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ummary" sheetId="2" r:id="rId6"/>
    <sheet state="visible" name="DTC - P&amp;L" sheetId="3" r:id="rId7"/>
    <sheet state="visible" name="DATA - P&amp;L" sheetId="4" r:id="rId8"/>
    <sheet state="visible" name="OLD Sales" sheetId="5" r:id="rId9"/>
    <sheet state="visible" name="OLD Detailed Report" sheetId="6" r:id="rId10"/>
    <sheet state="visible" name="OLD Formulas" sheetId="7" r:id="rId11"/>
    <sheet state="hidden" name="SupermetricsQueries" sheetId="8" r:id="rId12"/>
    <sheet state="visible" name="Business Metrics US" sheetId="9" r:id="rId13"/>
    <sheet state="visible" name="Business Metrics Canada" sheetId="10" r:id="rId14"/>
    <sheet state="visible" name="Forecast projection" sheetId="11" r:id="rId15"/>
    <sheet state="visible" name="ECOMMERCE Formulas" sheetId="12" r:id="rId16"/>
    <sheet state="visible" name="ECOMMERCE Detailed Report" sheetId="13" r:id="rId17"/>
    <sheet state="hidden" name="MTD &amp; YTD CS realization" sheetId="14" r:id="rId18"/>
    <sheet state="visible" name="Ziga - TEST by prod." sheetId="15" r:id="rId19"/>
  </sheets>
  <definedNames>
    <definedName localSheetId="9" name="rdataslayer_d70e473bcafe40a3aa834ce157fb2ba3">'Business Metrics Canada'!$C$16:$D$17</definedName>
    <definedName localSheetId="8" name="zsupermetrics_xwoIpANxRm908eDp5oKTwQpEI8gvD4">'Business Metrics US'!$A$5</definedName>
    <definedName name="zsupermetrics_ru0GDtbZzDLHQOQtJJ6K08MvUDyyp7">'OLD Formulas'!$B$5:$B$6</definedName>
    <definedName localSheetId="8" name="zsupermetrics_iNpyVy90bWCI0yUaFQpxOtzWMa6sW4">'Business Metrics US'!$A$5:$A$12</definedName>
    <definedName localSheetId="11" name="zsupermetrics_DQl8lUbpTRu3fayaJJi7lVfOGKjNU4">'ECOMMERCE Formulas'!$A$3:$A$4</definedName>
    <definedName localSheetId="9" name="zsupermetrics_NugLlrQxlKiqhxQae8EFpITBm1pLCj">'Business Metrics Canada'!$B$15:$C$23</definedName>
    <definedName localSheetId="9" name="rdataslayer_4a0f150f4f2f4e4f85c890c75b7a1fa4">'Business Metrics Canada'!$D$5:$E$12</definedName>
    <definedName localSheetId="11" name="zsupermetrics_BioPyGBzcBsy60UCQmPcTuFReEmghI">'ECOMMERCE Formulas'!$B$2:$B$3</definedName>
    <definedName name="zsupermetrics_refreshAll">SupermetricsQueries!$H$5</definedName>
    <definedName localSheetId="9" name="zsupermetrics_DQl8lUbpTRu3fayaJJi7lVfOGKjNU4">'Business Metrics Canada'!$A$2:$A$13</definedName>
    <definedName name="zsupermetrics_n3GtLgiKpTmd2pYmQNMuq6TPD0qE0b">'OLD Formulas'!$B$5:$B$6</definedName>
    <definedName localSheetId="8" name="zsupermetrics_9i4W4hgd80uRpQLMeX0eRnESN8gjyv">'Business Metrics US'!$C$23</definedName>
    <definedName localSheetId="9" name="zsupermetrics_qWp7V908pNEYMtfv8QZvSTeDnBAHOU">'Business Metrics Canada'!$B$14:$C$23</definedName>
    <definedName name="zsupermetrics_refreshAllSilent">SupermetricsQueries!$H$6</definedName>
    <definedName name="zsupermetrics_Mgms9p0QzysYvrIhnsKACeVBVxfIEO">'OLD Formulas'!$A$3:$A$4</definedName>
    <definedName localSheetId="8" name="rdataslayer_4a0f150f4f2f4e4f85c890c75b7a1fa4">'Business Metrics US'!$D$5:$E$12</definedName>
    <definedName localSheetId="9" name="zsupermetrics_lx4cNai7gT6tH4j08ZRkI21Qlpjioi">'Business Metrics Canada'!$B$13:$C$23</definedName>
    <definedName localSheetId="11" name="zsupermetrics_Mgms9p0QzysYvrIhnsKACeVBVxfIEO">'ECOMMERCE Formulas'!$A$2:$A$3</definedName>
    <definedName name="zsupermetrics_forceRefresh">SupermetricsQueries!$H$4</definedName>
    <definedName name="zsupermetrics_wbYMmT0YL9bAN0yhimW0ziPFnia9Dx">'OLD Formulas'!$A$3:$A$4</definedName>
    <definedName name="zsupermetrics_iNpyVy90bWCI0yUaFQpxOtzWMa6sW4">'OLD Formulas'!$A$3:$A$4</definedName>
    <definedName localSheetId="9" name="zsupermetrics_xwoIpANxRm908eDp5oKTwQpEI8gvD4">'Business Metrics Canada'!$A$5</definedName>
    <definedName localSheetId="11" name="zsupermetrics_xwoIpANxRm908eDp5oKTwQpEI8gvD4">#REF!</definedName>
    <definedName localSheetId="8" name="rdataslayer_3753ddf3234e496aa261974a0222e193">'Business Metrics US'!$H$5:$I$5</definedName>
    <definedName localSheetId="9" name="zsupermetrics_4VkB7ij7WO0JjKBEgvjB2GHjSy2Egm">'Business Metrics Canada'!$B$13:$C$17</definedName>
    <definedName localSheetId="11" name="zsupermetrics_n3GtLgiKpTmd2pYmQNMuq6TPD0qE0b">'ECOMMERCE Formulas'!$B$4:$B$5</definedName>
    <definedName localSheetId="11" name="rdataslayer_42b112e4e4be4305bb4c1be75e2dd549">'ECOMMERCE Formulas'!$B$2:$C$3</definedName>
    <definedName localSheetId="9" name="zsupermetrics_wbYMmT0YL9bAN0yhimW0ziPFnia9Dx">'Business Metrics Canada'!$A$5:$A$12</definedName>
    <definedName name="zsupermetrics_9i4W4hgd80uRpQLMeX0eRnESN8gjyv">'OLD Formulas'!$C$14</definedName>
    <definedName localSheetId="8" name="zsupermetrics_YsFuuYtr8vOdNXCCPiFJIO38NP4b2T">'Business Metrics US'!$B$13:$C$23</definedName>
    <definedName name="zsupermetrics_5bmwtOpHUbSYmDMeuCPkrxaojTprPP">#REF!</definedName>
    <definedName localSheetId="9" name="rdataslayer_adf57e64065742daa5b4161161b1c3ca">'Business Metrics Canada'!$B$13:$D$14</definedName>
    <definedName localSheetId="9" name="zsupermetrics_9i4W4hgd80uRpQLMeX0eRnESN8gjyv">'Business Metrics Canada'!$C$23</definedName>
    <definedName localSheetId="11" name="rdataslayer_3753ddf3234e496aa261974a0222e193">'ECOMMERCE Formulas'!$H$2:$I$2</definedName>
    <definedName localSheetId="8" name="zsupermetrics_4VkB7ij7WO0JjKBEgvjB2GHjSy2Egm">'Business Metrics US'!$B$13:$C$17</definedName>
    <definedName name="zsupermetrics_SGBxROnInO9rFyh3H7j2Lldx0Bdc5v">#REF!</definedName>
    <definedName name="zsupermetrics_pxuhRTEmIU93xSgKclyxajD0fCZ6rF">#REF!</definedName>
    <definedName localSheetId="11" name="zsupermetrics_ru0GDtbZzDLHQOQtJJ6K08MvUDyyp7">'ECOMMERCE Formulas'!$B$4:$B$5</definedName>
    <definedName localSheetId="11" name="zsupermetrics_qWp7V908pNEYMtfv8QZvSTeDnBAHOU">'ECOMMERCE Formulas'!$B$5:$C$13</definedName>
    <definedName localSheetId="8" name="zsupermetrics_wbYMmT0YL9bAN0yhimW0ziPFnia9Dx">'Business Metrics US'!$A$5:$A$12</definedName>
    <definedName name="rdataslayer_4a0f150f4f2f4e4f85c890c75b7a1fa4">'OLD Formulas'!$D$3:$E$4</definedName>
    <definedName localSheetId="9" name="zsupermetrics_iNpyVy90bWCI0yUaFQpxOtzWMa6sW4">'Business Metrics Canada'!$A$5:$A$12</definedName>
    <definedName name="zsupermetrics_HgZqhorObHOtZHuyJjpmyYaEPoYntx">'OLD Formulas'!$B$5:$B$6</definedName>
    <definedName name="zsupermetrics_YsFuuYtr8vOdNXCCPiFJIO38NP4b2T">'OLD Formulas'!$B$5:$C$14</definedName>
    <definedName name="zsupermetrics_DQl8lUbpTRu3fayaJJi7lVfOGKjNU4">'OLD Formulas'!$A$4:$A$5</definedName>
    <definedName name="zsupermetrics_YVuzfmsfdurz7Ldl84Rfns8oka6LsS">#REF!</definedName>
    <definedName name="zsupermetrics_4VkB7ij7WO0JjKBEgvjB2GHjSy2Egm">'OLD Formulas'!$B$5:$C$11</definedName>
    <definedName localSheetId="11" name="zsupermetrics_9i4W4hgd80uRpQLMeX0eRnESN8gjyv">'ECOMMERCE Formulas'!$C$13</definedName>
    <definedName localSheetId="8" name="zsupermetrics_Mgms9p0QzysYvrIhnsKACeVBVxfIEO">'Business Metrics US'!$A$5:$A$12</definedName>
    <definedName name="zsupermetrics_lx4cNai7gT6tH4j08ZRkI21Qlpjioi">'OLD Formulas'!$B$5:$C$14</definedName>
    <definedName localSheetId="8" name="zsupermetrics_BioPyGBzcBsy60UCQmPcTuFReEmghI">'Business Metrics US'!$B$5:$B$12</definedName>
    <definedName localSheetId="8" name="zsupermetrics_qWp7V908pNEYMtfv8QZvSTeDnBAHOU">'Business Metrics US'!$B$14:$C$23</definedName>
    <definedName localSheetId="8" name="rdataslayer_adf57e64065742daa5b4161161b1c3ca">'Business Metrics US'!$B$13:$D$14</definedName>
    <definedName name="rdataslayer_d70e473bcafe40a3aa834ce157fb2ba3">'OLD Formulas'!$C$9:$D$10</definedName>
    <definedName localSheetId="11" name="zsupermetrics_NugLlrQxlKiqhxQae8EFpITBm1pLCj">'ECOMMERCE Formulas'!$B$6:$C$13</definedName>
    <definedName name="zsupermetrics_8xojRjNDjo2jWHGDWjFEhflhyIq3Hq">'OLD Sales'!$K$8:$K$14</definedName>
    <definedName localSheetId="9" name="rdataslayer_42b112e4e4be4305bb4c1be75e2dd549">'Business Metrics Canada'!$B$5:$C$12</definedName>
    <definedName localSheetId="8" name="rdataslayer_d70e473bcafe40a3aa834ce157fb2ba3">'Business Metrics US'!$C$16:$D$17</definedName>
    <definedName name="rdataslayer_3753ddf3234e496aa261974a0222e193">'OLD Formulas'!$H$3:$I$3</definedName>
    <definedName localSheetId="9" name="zsupermetrics_BioPyGBzcBsy60UCQmPcTuFReEmghI">'Business Metrics Canada'!$B$5:$B$12</definedName>
    <definedName localSheetId="8" name="zsupermetrics_DQl8lUbpTRu3fayaJJi7lVfOGKjNU4">'Business Metrics US'!$A$2:$A$13</definedName>
    <definedName localSheetId="8" name="zsupermetrics_HgZqhorObHOtZHuyJjpmyYaEPoYntx">'Business Metrics US'!$B$13:$B$14</definedName>
    <definedName localSheetId="11" name="zsupermetrics_iNpyVy90bWCI0yUaFQpxOtzWMa6sW4">'ECOMMERCE Formulas'!$A$2:$A$3</definedName>
    <definedName localSheetId="11" name="rdataslayer_4a0f150f4f2f4e4f85c890c75b7a1fa4">'ECOMMERCE Formulas'!$D$2:$E$3</definedName>
    <definedName name="zsupermetrics_BioPyGBzcBsy60UCQmPcTuFReEmghI">'OLD Formulas'!$B$3:$B$4</definedName>
    <definedName name="zsupermetrics_qWp7V908pNEYMtfv8QZvSTeDnBAHOU">'OLD Formulas'!$B$6:$C$14</definedName>
    <definedName localSheetId="8" name="zsupermetrics_NugLlrQxlKiqhxQae8EFpITBm1pLCj">'Business Metrics US'!$B$15:$C$23</definedName>
    <definedName localSheetId="9" name="rdataslayer_3753ddf3234e496aa261974a0222e193">'Business Metrics Canada'!$H$5:$I$5</definedName>
    <definedName localSheetId="8" name="zsupermetrics_n3GtLgiKpTmd2pYmQNMuq6TPD0qE0b">'Business Metrics US'!$B$13:$B$14</definedName>
    <definedName localSheetId="8" name="rdataslayer_42b112e4e4be4305bb4c1be75e2dd549">'Business Metrics US'!$B$5:$C$12</definedName>
    <definedName localSheetId="8" name="zsupermetrics_lx4cNai7gT6tH4j08ZRkI21Qlpjioi">'Business Metrics US'!$B$13:$C$23</definedName>
    <definedName localSheetId="11" name="zsupermetrics_wbYMmT0YL9bAN0yhimW0ziPFnia9Dx">'ECOMMERCE Formulas'!$A$2:$A$3</definedName>
    <definedName localSheetId="11" name="zsupermetrics_4VkB7ij7WO0JjKBEgvjB2GHjSy2Egm">'ECOMMERCE Formulas'!$B$4:$C$10</definedName>
    <definedName localSheetId="11" name="zsupermetrics_lx4cNai7gT6tH4j08ZRkI21Qlpjioi">'ECOMMERCE Formulas'!$B$4:$C$13</definedName>
    <definedName name="rdataslayer_42b112e4e4be4305bb4c1be75e2dd549">'OLD Formulas'!$B$3:$C$4</definedName>
    <definedName localSheetId="9" name="zsupermetrics_n3GtLgiKpTmd2pYmQNMuq6TPD0qE0b">'Business Metrics Canada'!$B$13:$B$14</definedName>
    <definedName name="rdataslayer_adf57e64065742daa5b4161161b1c3ca">'OLD Formulas'!$B$5:$D$6</definedName>
    <definedName localSheetId="11" name="rdataslayer_adf57e64065742daa5b4161161b1c3ca">'ECOMMERCE Formulas'!$B$4:$D$5</definedName>
    <definedName localSheetId="9" name="zsupermetrics_ru0GDtbZzDLHQOQtJJ6K08MvUDyyp7">'Business Metrics Canada'!$B$13:$B$14</definedName>
    <definedName localSheetId="9" name="zsupermetrics_HgZqhorObHOtZHuyJjpmyYaEPoYntx">'Business Metrics Canada'!$B$13:$B$14</definedName>
    <definedName localSheetId="9" name="zsupermetrics_Mgms9p0QzysYvrIhnsKACeVBVxfIEO">'Business Metrics Canada'!$A$5:$A$12</definedName>
    <definedName name="zsupermetrics_NugLlrQxlKiqhxQae8EFpITBm1pLCj">'OLD Formulas'!$B$7:$C$14</definedName>
    <definedName name="zsupermetrics_xwoIpANxRm908eDp5oKTwQpEI8gvD4">'OLD Formulas'!$A$3</definedName>
    <definedName localSheetId="11" name="zsupermetrics_YsFuuYtr8vOdNXCCPiFJIO38NP4b2T">'ECOMMERCE Formulas'!$B$4:$C$13</definedName>
    <definedName localSheetId="11" name="rdataslayer_d70e473bcafe40a3aa834ce157fb2ba3">'ECOMMERCE Formulas'!$C$8:$D$9</definedName>
    <definedName localSheetId="8" name="zsupermetrics_ru0GDtbZzDLHQOQtJJ6K08MvUDyyp7">'Business Metrics US'!$B$13:$B$14</definedName>
    <definedName localSheetId="11" name="zsupermetrics_HgZqhorObHOtZHuyJjpmyYaEPoYntx">'ECOMMERCE Formulas'!$B$4:$B$5</definedName>
    <definedName localSheetId="9" name="zsupermetrics_YsFuuYtr8vOdNXCCPiFJIO38NP4b2T">'Business Metrics Canada'!$B$13:$C$23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tc={748775af-54f9-4ede-b88c-a63530508f3f}</author>
  </authors>
  <commentList>
    <comment authorId="0" xr:uid="{748775af-54f9-4ede-b88c-a63530508f3f}" ref="A1">
      <text>
        <t xml:space="preserve">[Threaded comment]
 Your version of Excel allows you to read this threaded comment; however, any edits to it will get removed if the file is opened in a newer version of Excel. Learn more: https://go.microsoft.com/fwlink/?linkid=870924
Comment:
	@peter@mybirdbuddy.com - Can we please delete this section and sum up % with row 33? We'll find a way to ask this as subquestion.
Assigned to peter@mybirdbuddy.com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tc={10468ace-e700-4e89-8ea1-252ad3ebe851}</author>
    <author>tc={18fa73f9-d653-44d7-8291-138182880245}</author>
    <author>tc={73daada3-ff20-49f6-b387-3aed38571873}</author>
  </authors>
  <commentList>
    <comment authorId="0" xr:uid="{10468ace-e700-4e89-8ea1-252ad3ebe851}" ref="H5">
      <text>
        <t xml:space="preserve">[Threaded comment]
 Your version of Excel allows you to read this threaded comment; however, any edits to it will get removed if the file is opened in a newer version of Excel. Learn more: https://go.microsoft.com/fwlink/?linkid=870924
Comment:
	Changes:
- Add review stars
- UGC section added to Product Page
- Edit Green Notice on Product Page
- reword product descriptions
- in stock message on Shop page
- remove best value for Pro Bundle
Reply:
	Also Added Upsell Popup
</t>
      </text>
    </comment>
    <comment authorId="1" xr:uid="{18fa73f9-d653-44d7-8291-138182880245}" ref="V25">
      <text>
        <t xml:space="preserve">[Threaded comment]
 Your version of Excel allows you to read this threaded comment; however, any edits to it will get removed if the file is opened in a newer version of Excel. Learn more: https://go.microsoft.com/fwlink/?linkid=870924
Comment:
	@jasna@mybirdbuddy.com - Do we need to fill this?
Assigned to 
Reply:
	yes. I am on it - there was nobody to cover for me during my vacation
</t>
      </text>
    </comment>
    <comment authorId="2" xr:uid="{73daada3-ff20-49f6-b387-3aed38571873}" ref="G5">
      <text>
        <t xml:space="preserve">[Threaded comment]
 Your version of Excel allows you to read this threaded comment; however, any edits to it will get removed if the file is opened in a newer version of Excel. Learn more: https://go.microsoft.com/fwlink/?linkid=870924
Comment:
	Shipping now update:
- sticky header A/B test
- Product page green notice
- Product page shipping pod atc buttonom
- Cart individual product notice
- Checkout EU Banner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tc={9258804f-27c3-458a-a3a2-7064b80fde4f}</author>
    <author>tc={ef7065a8-353f-473f-bf3f-10179d678691}</author>
    <author>tc={f98c84a4-bef5-40dd-a286-f62f6629a35d}</author>
  </authors>
  <commentList>
    <comment authorId="0" xr:uid="{9258804f-27c3-458a-a3a2-7064b80fde4f}" ref="A17">
      <text>
        <t xml:space="preserve">[Threaded comment]
 Your version of Excel allows you to read this threaded comment; however, any edits to it will get removed if the file is opened in a newer version of Excel. Learn more: https://go.microsoft.com/fwlink/?linkid=870924
Comment:
	Nimam dostop do Overall Accounts Performance Report - FB Ads
</t>
      </text>
    </comment>
    <comment authorId="1" xr:uid="{ef7065a8-353f-473f-bf3f-10179d678691}" ref="A5">
      <text>
        <t xml:space="preserve">[Threaded comment]
 Your version of Excel allows you to read this threaded comment; however, any edits to it will get removed if the file is opened in a newer version of Excel. Learn more: https://go.microsoft.com/fwlink/?linkid=870924
Comment:
	7 day click (last-click)
</t>
      </text>
    </comment>
    <comment authorId="2" xr:uid="{f98c84a4-bef5-40dd-a286-f62f6629a35d}" ref="A6">
      <text>
        <t xml:space="preserve">[Threaded comment]
 Your version of Excel allows you to read this threaded comment; however, any edits to it will get removed if the file is opened in a newer version of Excel. Learn more: https://go.microsoft.com/fwlink/?linkid=870924
Comment:
	GA4 data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tc={57eeb324-9c18-41f4-9a00-35b159b6bfd7}</author>
    <author>tc={a4e1e623-d7a2-4010-aaa7-bb38530db6a7}</author>
  </authors>
  <commentList>
    <comment authorId="0" xr:uid="{57eeb324-9c18-41f4-9a00-35b159b6bfd7}" ref="F13">
      <text>
        <t xml:space="preserve">[Threaded comment]
 Your version of Excel allows you to read this threaded comment; however, any edits to it will get removed if the file is opened in a newer version of Excel. Learn more: https://go.microsoft.com/fwlink/?linkid=870924
Comment:
	@ziga.skrabl@mybirdbuddy.com - Each add-on has different inbound charge. Check: https://docs.google.com/spreadsheets/d/16QZVqAJRY2BnzIWJStiU7c7bpGSYS1vLd7eFRlL40Ew/edit#gid=0
Assigned to ziga.skrabl@mybirdbuddy.com
Reply:
	updated and corrected with new proportions
</t>
      </text>
    </comment>
    <comment authorId="1" xr:uid="{a4e1e623-d7a2-4010-aaa7-bb38530db6a7}" ref="C13">
      <text>
        <t xml:space="preserve">[Threaded comment]
 Your version of Excel allows you to read this threaded comment; however, any edits to it will get removed if the file is opened in a newer version of Excel. Learn more: https://go.microsoft.com/fwlink/?linkid=870924
Comment:
	New numbers - new inbound shipping ration is 33/33/34 (air, fast boat, ocean).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
      <text>
        <t xml:space="preserve">Average order value</t>
      </text>
    </comment>
    <comment authorId="0" ref="A25">
      <text>
        <t xml:space="preserve">Customer acquisition cost per unit
</t>
      </text>
    </comment>
    <comment authorId="0" ref="A24">
      <text>
        <t xml:space="preserve">Customer acquisition cost per order</t>
      </text>
    </comment>
    <comment authorId="0" ref="A23">
      <text>
        <t xml:space="preserve">E-commerce conversion rate</t>
      </text>
    </comment>
    <comment authorId="0" ref="A20">
      <text>
        <t xml:space="preserve">A session is a period of time during which a user interacts with our website</t>
      </text>
    </comment>
    <comment authorId="0" ref="A18">
      <text>
        <t xml:space="preserve">Returned product, replaced with new one</t>
      </text>
    </comment>
    <comment authorId="0" ref="A16">
      <text>
        <t xml:space="preserve">Refunded orders after receiving the product</t>
      </text>
    </comment>
    <comment authorId="0" ref="A15">
      <text>
        <t xml:space="preserve">cancelled orders during purchase journey / before receiving the product</t>
      </text>
    </comment>
    <comment authorId="0" ref="A14">
      <text>
        <t xml:space="preserve">sum of grouped complaints</t>
      </text>
    </comment>
    <comment authorId="0" ref="A13">
      <text>
        <t xml:space="preserve">taxes from different regions
</t>
      </text>
    </comment>
    <comment authorId="0" ref="A12">
      <text>
        <t xml:space="preserve">cost of goods sold + taxes + duties + other product related fees</t>
      </text>
    </comment>
    <comment authorId="0" ref="A11">
      <text>
        <t xml:space="preserve">e-commerce fees</t>
      </text>
    </comment>
    <comment authorId="0" ref="A10">
      <text>
        <t xml:space="preserve">shipping from supplier to seller + shipping from seller to consumer</t>
      </text>
    </comment>
    <comment authorId="0" ref="A9">
      <text>
        <t xml:space="preserve">advertising costs</t>
      </text>
    </comment>
    <comment authorId="0" ref="A8">
      <text>
        <t xml:space="preserve">sum of grouped costs</t>
      </text>
    </comment>
    <comment authorId="0" ref="A7">
      <text>
        <t xml:space="preserve">The difference between sales revenues, the cost of sold goods and marketing costs. 
Calculated as: Net Order no VAT Value – Purchase Value of Sold Products (COGS) – Marketing Costs</t>
      </text>
    </comment>
    <comment authorId="0" ref="A6">
      <text>
        <t xml:space="preserve">The difference between revenue and cost before accounting other costs, calculated as the selling price of an item, less the cost of goods sold.
Calculated as: Net order no VAT Value – Purchase Value of Sold Products (COGS)</t>
      </text>
    </comment>
    <comment authorId="0" ref="A5">
      <text>
        <t xml:space="preserve">Net Order value = excluding VAT,
 including estimated complaints.</t>
      </text>
    </comment>
    <comment authorId="0" ref="A4">
      <text>
        <t xml:space="preserve">Total Order value including complaints.</t>
      </text>
    </comment>
  </commentList>
</comments>
</file>

<file path=xl/sharedStrings.xml><?xml version="1.0" encoding="utf-8"?>
<sst xmlns="http://schemas.openxmlformats.org/spreadsheetml/2006/main" count="3207" uniqueCount="1033">
  <si>
    <t>Query UUID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</si>
  <si>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</si>
  <si>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</si>
  <si>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</si>
  <si>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</si>
  <si>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</si>
  <si>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</si>
  <si>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</si>
  <si>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</si>
  <si>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</si>
  <si>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</si>
  <si>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</si>
  <si>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</si>
  <si>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</si>
  <si>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</si>
  <si>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</si>
  <si>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</si>
  <si>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</si>
  <si>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</si>
  <si>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</si>
  <si>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</si>
  <si>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</si>
  <si>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</si>
  <si>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</si>
  <si>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</si>
  <si>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</si>
  <si>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</si>
  <si>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</si>
  <si>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</si>
  <si>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</si>
  <si>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</si>
  <si>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</si>
  <si>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</si>
  <si>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</si>
  <si>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JULY</t>
  </si>
  <si>
    <t>Range address (static)</t>
  </si>
  <si>
    <t>Report type</t>
  </si>
  <si>
    <t>Highlight with colour</t>
  </si>
  <si>
    <t>Refresh with user account</t>
  </si>
  <si>
    <t>Returned data</t>
  </si>
  <si>
    <t>Sort dimensions</t>
  </si>
  <si>
    <t>Created by user account</t>
  </si>
  <si>
    <t>42b112e4e4be4305bb4c1be75e2dd549</t>
  </si>
  <si>
    <t>SAT</t>
  </si>
  <si>
    <t>SUN</t>
  </si>
  <si>
    <t>MON</t>
  </si>
  <si>
    <t>TUE</t>
  </si>
  <si>
    <t>WED</t>
  </si>
  <si>
    <t>THU</t>
  </si>
  <si>
    <t>FRI</t>
  </si>
  <si>
    <t>There is no data for the specified input</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</si>
  <si>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</si>
  <si>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</si>
  <si>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</si>
  <si>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</si>
  <si>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</si>
  <si>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</si>
  <si>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</si>
  <si>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</si>
  <si>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</si>
  <si>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</si>
  <si>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</si>
  <si>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Weekend Work</t>
  </si>
  <si>
    <t>Peter</t>
  </si>
  <si>
    <t>Peco</t>
  </si>
  <si>
    <t>Summer Sale</t>
  </si>
  <si>
    <t>[{"account_name":"","advertiser_id":"","id":"act_273249767551281","profile_id":"","name":"si_Bird buddy Inc_US &amp;amp; CA_BirdBuddy"}]</t>
  </si>
  <si>
    <t>Business Metrics</t>
  </si>
  <si>
    <t>Friendship Day</t>
  </si>
  <si>
    <t>adf57e64065742daa5b4161161b1c3ca</t>
  </si>
  <si>
    <t>Check comments in this cell</t>
  </si>
  <si>
    <t>Switch to BB yellow AND blue 10% off</t>
  </si>
  <si>
    <t>Communication changed from next day shipping to now shipping</t>
  </si>
  <si>
    <t>Website caching problem / Site down for 8 hours</t>
  </si>
  <si>
    <t>[{"name":"si_Bird buddy Inc_US &amp;amp; CA_BirdBuddy","id":"act_273249767551281","profile_id":"","account_name":"","advertiser_id":""}]</t>
  </si>
  <si>
    <t>[{"id":"spend","name":"Total Cost"},{"id":"cpm","name":"CPM"}]</t>
  </si>
  <si>
    <t>SBF (Blue) - out of stock</t>
  </si>
  <si>
    <t>One page checkout live from 3pm</t>
  </si>
  <si>
    <t>Friendship Day starts at 18:00 CET</t>
  </si>
  <si>
    <t>SBF (Blue) Back in stock</t>
  </si>
  <si>
    <t>d70e473bcafe40a3aa834ce157fb2ba3</t>
  </si>
  <si>
    <t>DAY</t>
  </si>
  <si>
    <t>In-Stock Sale Email</t>
  </si>
  <si>
    <t>In-Stock Sale Push Notification</t>
  </si>
  <si>
    <t>In-Stock Sale Follow-up Email</t>
  </si>
  <si>
    <t>Switching FB strategy to separate MOF &amp; BOF</t>
  </si>
  <si>
    <t>[{"advertiser_id":"","name":"si_Bird buddy Inc_US &amp;amp; CA_BirdBuddy","id":"act_273249767551281","account_name":"","profile_id":""}]</t>
  </si>
  <si>
    <t>3753ddf3234e496aa261974a0222e193</t>
  </si>
  <si>
    <t>Source</t>
  </si>
  <si>
    <t>DTC Revenue</t>
  </si>
  <si>
    <t>[{"profile_id":"","account_name":"","advertiser_id":"","name":"si_Bird buddy Inc_US &amp;amp; CA_BirdBuddy","id":"act_273249767551281"}]</t>
  </si>
  <si>
    <t>{"exclude_header_row":true}</t>
  </si>
  <si>
    <t>COGS</t>
  </si>
  <si>
    <t>COMMENT</t>
  </si>
  <si>
    <t>Attachment Rates</t>
  </si>
  <si>
    <t xml:space="preserve">   - Hardware</t>
  </si>
  <si>
    <t>Marketing Averages (per first-time order)</t>
  </si>
  <si>
    <t>Fees</t>
  </si>
  <si>
    <t xml:space="preserve">   - Add-ons</t>
  </si>
  <si>
    <t>VAT Averages</t>
  </si>
  <si>
    <t>Orders</t>
  </si>
  <si>
    <t>30 Day Returns</t>
  </si>
  <si>
    <t xml:space="preserve">   - Taxes</t>
  </si>
  <si>
    <t>Digital Market Places &amp; B2B</t>
  </si>
  <si>
    <t>Meta</t>
  </si>
  <si>
    <t xml:space="preserve">   - Shipping</t>
  </si>
  <si>
    <t>Bird Buddy</t>
  </si>
  <si>
    <t>Total Revenue</t>
  </si>
  <si>
    <t>Solar Roof</t>
  </si>
  <si>
    <t>Google</t>
  </si>
  <si>
    <t>DTC Orders</t>
  </si>
  <si>
    <t xml:space="preserve">   - Hardware (units sold)</t>
  </si>
  <si>
    <t>Stripe Processing Fee</t>
  </si>
  <si>
    <t>Europe</t>
  </si>
  <si>
    <t>US Shipping</t>
  </si>
  <si>
    <t xml:space="preserve">   - Add-ons (units sold)</t>
  </si>
  <si>
    <t>TikTok</t>
  </si>
  <si>
    <t>Average % tax</t>
  </si>
  <si>
    <t>Total Orders</t>
  </si>
  <si>
    <t>Bird Buddy with Solar Roof</t>
  </si>
  <si>
    <t>Bing</t>
  </si>
  <si>
    <t>Wall Mount</t>
  </si>
  <si>
    <t>Inbound Shipping</t>
  </si>
  <si>
    <t>Meta Spend EUR</t>
  </si>
  <si>
    <t>Duty</t>
  </si>
  <si>
    <t>ROW</t>
  </si>
  <si>
    <t>EU Shipping</t>
  </si>
  <si>
    <t>Solar Roof Single</t>
  </si>
  <si>
    <t>Nextdoor</t>
  </si>
  <si>
    <t>Fence Mount</t>
  </si>
  <si>
    <t>Outbound Shipping</t>
  </si>
  <si>
    <t>Currency rate</t>
  </si>
  <si>
    <t>China Tax</t>
  </si>
  <si>
    <t>NA</t>
  </si>
  <si>
    <t>Affiliates (Refersion)</t>
  </si>
  <si>
    <t>ROW Shipping</t>
  </si>
  <si>
    <t>Meta Spend</t>
  </si>
  <si>
    <t>Suet Ball Holder</t>
  </si>
  <si>
    <t>Taxes and VAT</t>
  </si>
  <si>
    <t>HMF</t>
  </si>
  <si>
    <t>Money Return</t>
  </si>
  <si>
    <t>Email</t>
  </si>
  <si>
    <t>3-in-1</t>
  </si>
  <si>
    <t>Google Spend</t>
  </si>
  <si>
    <t>China Tax (7.5%)</t>
  </si>
  <si>
    <t>MPF</t>
  </si>
  <si>
    <t>Bing Spend</t>
  </si>
  <si>
    <t>Bird Buddy w/ Solar</t>
  </si>
  <si>
    <t>TikTok Spend</t>
  </si>
  <si>
    <t>Duty (3.4%)</t>
  </si>
  <si>
    <t>Solar Roof China Tax</t>
  </si>
  <si>
    <t>All</t>
  </si>
  <si>
    <t>Nextdoor Spend</t>
  </si>
  <si>
    <t>3-in-1 Nutrition Set</t>
  </si>
  <si>
    <t>Processing Fee (2,90%)</t>
  </si>
  <si>
    <t>Affiliate Fees</t>
  </si>
  <si>
    <t>Solar Roof Duty</t>
  </si>
  <si>
    <t>Total DTC Spend</t>
  </si>
  <si>
    <t>Perch Extender</t>
  </si>
  <si>
    <t>Transaction Fee ($0.30)</t>
  </si>
  <si>
    <t>Chargeback Fee (Stripe)</t>
  </si>
  <si>
    <t>Avg. Merch Cost</t>
  </si>
  <si>
    <t>OTHER 2</t>
  </si>
  <si>
    <t>OTHER 1</t>
  </si>
  <si>
    <t>Avg. Merch Cost without Calendar</t>
  </si>
  <si>
    <t>OTHER 3</t>
  </si>
  <si>
    <t>Total Spend</t>
  </si>
  <si>
    <t>Revenue</t>
  </si>
  <si>
    <t>Stripe</t>
  </si>
  <si>
    <t>SBF Housing</t>
  </si>
  <si>
    <t>OTHER 4</t>
  </si>
  <si>
    <t>Affirm</t>
  </si>
  <si>
    <t>SBF Camera</t>
  </si>
  <si>
    <t>OTHER 5</t>
  </si>
  <si>
    <t>Affirm processing fee</t>
  </si>
  <si>
    <t>Affirm transaction fee</t>
  </si>
  <si>
    <t>Blended ROAS</t>
  </si>
  <si>
    <t>wROAS</t>
  </si>
  <si>
    <t>Outbound shipping</t>
  </si>
  <si>
    <t>Bird buddy</t>
  </si>
  <si>
    <t>Add-ons</t>
  </si>
  <si>
    <t>Merch</t>
  </si>
  <si>
    <t>*w/o CA weight</t>
  </si>
  <si>
    <t>Outbound (NA)</t>
  </si>
  <si>
    <t>App Advertising</t>
  </si>
  <si>
    <t>Outbound (Europe)</t>
  </si>
  <si>
    <t>Meta Share to Apple Store</t>
  </si>
  <si>
    <t>Outbound (ROW)</t>
  </si>
  <si>
    <t>Blended Spend per Unit</t>
  </si>
  <si>
    <t>Meta Share to Google Store</t>
  </si>
  <si>
    <t>3PL Costs</t>
  </si>
  <si>
    <t>Handling Fee</t>
  </si>
  <si>
    <t>Serial Capture</t>
  </si>
  <si>
    <t>Storage</t>
  </si>
  <si>
    <t>Supplies cost</t>
  </si>
  <si>
    <t>Pick charge</t>
  </si>
  <si>
    <t>Web Spend per Unit</t>
  </si>
  <si>
    <t>Pollybag cost</t>
  </si>
  <si>
    <t>Carton cost</t>
  </si>
  <si>
    <t>Total outbound (NA)</t>
  </si>
  <si>
    <t>Total outbound (Europe)</t>
  </si>
  <si>
    <t>Total outbound (ROW)</t>
  </si>
  <si>
    <t>Web CR</t>
  </si>
  <si>
    <t>Inbound shipping</t>
  </si>
  <si>
    <t>Inbound (NA)</t>
  </si>
  <si>
    <t>Media Cost</t>
  </si>
  <si>
    <t>Inbound (Europe)</t>
  </si>
  <si>
    <t>Inbound (ROW)</t>
  </si>
  <si>
    <t>Web AOV</t>
  </si>
  <si>
    <t>AMAZON Logistics</t>
  </si>
  <si>
    <t>https://docs.google.com/spreadsheets/d/1Dn0q7h1bHxXdG0N9KpcqzFo0tWUWYXOrRX7yxv3G1E0/edit#gid=1264242332</t>
  </si>
  <si>
    <t>Inbound</t>
  </si>
  <si>
    <t>Storage Fee</t>
  </si>
  <si>
    <t>AMAZON Fees</t>
  </si>
  <si>
    <t>fAOV</t>
  </si>
  <si>
    <t>FBA fee for units</t>
  </si>
  <si>
    <t>FBA fee for addons</t>
  </si>
  <si>
    <t>rAOV</t>
  </si>
  <si>
    <t>Sales Fee</t>
  </si>
  <si>
    <t>Customers</t>
  </si>
  <si>
    <t>AMAZON Shipping</t>
  </si>
  <si>
    <t>Returning</t>
  </si>
  <si>
    <t>BB units Shipping</t>
  </si>
  <si>
    <t>Addons Shipping</t>
  </si>
  <si>
    <t>First-time</t>
  </si>
  <si>
    <t>COGS adjustment for DTC</t>
  </si>
  <si>
    <t>Returns for refunds</t>
  </si>
  <si>
    <t>Returns for replacements</t>
  </si>
  <si>
    <t>COGS adjustment for Amazon</t>
  </si>
  <si>
    <t>Goal</t>
  </si>
  <si>
    <t>% of Goal</t>
  </si>
  <si>
    <t>Spend</t>
  </si>
  <si>
    <t>Amazon Removal Fee</t>
  </si>
  <si>
    <t>Units</t>
  </si>
  <si>
    <t>ROAS</t>
  </si>
  <si>
    <t>Spend per Unit</t>
  </si>
  <si>
    <t xml:space="preserve"> </t>
  </si>
  <si>
    <t>CR</t>
  </si>
  <si>
    <t>AOV</t>
  </si>
  <si>
    <t>Units Sold</t>
  </si>
  <si>
    <t>CAC per Unit</t>
  </si>
  <si>
    <t>First-time customers</t>
  </si>
  <si>
    <t>Returning customers</t>
  </si>
  <si>
    <t>Affiliate Fee (20%)</t>
  </si>
  <si>
    <t>Revenue Woocommerce (Platform)</t>
  </si>
  <si>
    <t>SUM</t>
  </si>
  <si>
    <t>Orders Woocommerce (Platform)</t>
  </si>
  <si>
    <t>Breakdown</t>
  </si>
  <si>
    <t xml:space="preserve">   - Merch</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</si>
  <si>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</si>
  <si>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</si>
  <si>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</si>
  <si>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</si>
  <si>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</si>
  <si>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</si>
  <si>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</si>
  <si>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</si>
  <si>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</si>
  <si>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</si>
  <si>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</si>
  <si>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</si>
  <si>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SUM (Add-ons)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</si>
  <si>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</si>
  <si>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</si>
  <si>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</si>
  <si>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</si>
  <si>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</si>
  <si>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</si>
  <si>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</si>
  <si>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</si>
  <si>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</si>
  <si>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</si>
  <si>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</si>
  <si>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</si>
  <si>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</si>
  <si>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</si>
  <si>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</si>
  <si>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</si>
  <si>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</si>
  <si>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</si>
  <si>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</si>
  <si>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</si>
  <si>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</si>
  <si>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</si>
  <si>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</si>
  <si>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</si>
  <si>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</si>
  <si>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</si>
  <si>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</si>
  <si>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</si>
  <si>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</si>
  <si>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</si>
  <si>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</si>
  <si>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</si>
  <si>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</si>
  <si>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</si>
  <si>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</si>
  <si>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</si>
  <si>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</si>
  <si>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</si>
  <si>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</si>
  <si>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</si>
  <si>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</si>
  <si>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</si>
  <si>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</si>
  <si>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</si>
  <si>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</si>
  <si>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</si>
  <si>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</si>
  <si>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</si>
  <si>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</si>
  <si>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</si>
  <si>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</si>
  <si>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</si>
  <si>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</si>
  <si>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</si>
  <si>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</si>
  <si>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</si>
  <si>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</si>
  <si>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</si>
  <si>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</si>
  <si>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</si>
  <si>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</si>
  <si>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</si>
  <si>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</si>
  <si>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</si>
  <si>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</si>
  <si>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</si>
  <si>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</si>
  <si>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</si>
  <si>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</si>
  <si>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</si>
  <si>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</si>
  <si>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</si>
  <si>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</si>
  <si>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</si>
  <si>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</si>
  <si>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</si>
  <si>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</si>
  <si>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</si>
  <si>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</si>
  <si>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</si>
  <si>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</si>
  <si>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</si>
  <si>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</si>
  <si>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</si>
  <si>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</si>
  <si>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</si>
  <si>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</si>
  <si>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</si>
  <si>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</si>
  <si>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</si>
  <si>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</si>
  <si>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</si>
  <si>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</si>
  <si>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</si>
  <si>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</si>
  <si>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</si>
  <si>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</si>
  <si>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</si>
  <si>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</si>
  <si>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</si>
  <si>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</si>
  <si>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</si>
  <si>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</si>
  <si>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</si>
  <si>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</si>
  <si>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</si>
  <si>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</si>
  <si>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</si>
  <si>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</si>
  <si>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</si>
  <si>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</si>
  <si>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</si>
  <si>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</si>
  <si>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</si>
  <si>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</si>
  <si>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</si>
  <si>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</si>
  <si>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</si>
  <si>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</si>
  <si>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</si>
  <si>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</si>
  <si>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</si>
  <si>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</si>
  <si>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</si>
  <si>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</si>
  <si>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</si>
  <si>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</si>
  <si>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</si>
  <si>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</si>
  <si>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</si>
  <si>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</si>
  <si>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</si>
  <si>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</si>
  <si>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</si>
  <si>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</si>
  <si>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</si>
  <si>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</si>
  <si>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Refund - US &amp; CA</t>
  </si>
  <si>
    <t>Orders Return for Refund - Europe</t>
  </si>
  <si>
    <t>Revenue - Returned for Refund by country (Gross)</t>
  </si>
  <si>
    <t>Transactions</t>
  </si>
  <si>
    <t>Units - Return for Replacement (Replacement Units &amp; Claims) by country</t>
  </si>
  <si>
    <t>FB (US &amp; CA)</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</si>
  <si>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</si>
  <si>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</si>
  <si>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</si>
  <si>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</si>
  <si>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US &amp; CA - Housing/Camera</t>
  </si>
  <si>
    <t>MNTN TV</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</si>
  <si>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</si>
  <si>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</si>
  <si>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FB (Internal Paid)</t>
  </si>
  <si>
    <t xml:space="preserve">Camera module </t>
  </si>
  <si>
    <t>FB (EU &amp; UK)</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</si>
  <si>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</si>
  <si>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</si>
  <si>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</si>
  <si>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</si>
  <si>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</si>
  <si>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</si>
  <si>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</si>
  <si>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</si>
  <si>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</si>
  <si>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</si>
  <si>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</si>
  <si>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t>FB Spend (US &amp; CA)</t>
  </si>
  <si>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</si>
  <si>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</si>
  <si>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</si>
  <si>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</si>
  <si>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</si>
  <si>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</si>
  <si>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</si>
  <si>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</si>
  <si>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Replacement - US &amp; CA</t>
  </si>
  <si>
    <t>Orders Return for Replacement - Europe</t>
  </si>
  <si>
    <t>Undeliverables</t>
  </si>
  <si>
    <t>Orders - Undelivered - US &amp; CA</t>
  </si>
  <si>
    <t>Orders - Undelivered - Europe</t>
  </si>
  <si>
    <t>Fee 15% Purchase (Backerkit)</t>
  </si>
  <si>
    <t>Chargebacks</t>
  </si>
  <si>
    <t xml:space="preserve">Number of Chargebacks </t>
  </si>
  <si>
    <t>Google Management Fee</t>
  </si>
  <si>
    <t>Gross Cost</t>
  </si>
  <si>
    <t>Affiliates Agency Payment (Grovia)</t>
  </si>
  <si>
    <t>Media Spend</t>
  </si>
  <si>
    <t>Affiliate Fee 20% (Grovia)</t>
  </si>
  <si>
    <t>FB Spend (Internal Paid)</t>
  </si>
  <si>
    <t>Media Fees</t>
  </si>
  <si>
    <t>FB Spend (EU &amp; UK)</t>
  </si>
  <si>
    <t>Pinterest Spend</t>
  </si>
  <si>
    <t>Platform Fee (6,90%)</t>
  </si>
  <si>
    <r>
      <rPr>
        <rFont val="Arial"/>
        <b/>
        <color theme="1"/>
        <sz val="12.0"/>
      </rPr>
      <t xml:space="preserve">COGS Bird Buddy </t>
    </r>
    <r>
      <rPr>
        <rFont val="Arial"/>
        <b val="0"/>
        <color theme="1"/>
        <sz val="12.0"/>
      </rPr>
      <t>($86.90)</t>
    </r>
  </si>
  <si>
    <t>Cost</t>
  </si>
  <si>
    <t>Average COGS ($88.77)</t>
  </si>
  <si>
    <r>
      <rPr>
        <rFont val="Arial"/>
        <b/>
        <color theme="1"/>
        <sz val="12.0"/>
      </rPr>
      <t xml:space="preserve">COGS Bird Buddy with Solar Roof </t>
    </r>
    <r>
      <rPr>
        <rFont val="Arial"/>
        <b val="0"/>
        <color theme="1"/>
        <sz val="12.0"/>
      </rPr>
      <t>($97.61)</t>
    </r>
  </si>
  <si>
    <t>Average Inbound Shipping ($8.63)</t>
  </si>
  <si>
    <r>
      <rPr>
        <rFont val="Arial"/>
        <b/>
        <color theme="1"/>
        <sz val="12.0"/>
      </rPr>
      <t xml:space="preserve">COGS Wall Mount </t>
    </r>
    <r>
      <rPr>
        <rFont val="Arial"/>
        <b val="0"/>
        <color theme="1"/>
        <sz val="12.0"/>
      </rPr>
      <t>($5.49)</t>
    </r>
  </si>
  <si>
    <t>Addons</t>
  </si>
  <si>
    <t>Shipping Costs</t>
  </si>
  <si>
    <t>US</t>
  </si>
  <si>
    <t>Post-purchase Survey</t>
  </si>
  <si>
    <t>EU</t>
  </si>
  <si>
    <t xml:space="preserve">Facebook / Instagram </t>
  </si>
  <si>
    <t>Average Outbound Shipping ($11.59)</t>
  </si>
  <si>
    <t>Friends / Family</t>
  </si>
  <si>
    <r>
      <rPr>
        <rFont val="Arial"/>
        <b/>
        <color theme="1"/>
        <sz val="12.0"/>
      </rPr>
      <t xml:space="preserve">COGS Suet Ball </t>
    </r>
    <r>
      <rPr>
        <rFont val="Arial"/>
        <b val="0"/>
        <color theme="1"/>
        <sz val="12.0"/>
      </rPr>
      <t>($1.19)</t>
    </r>
  </si>
  <si>
    <t>TV / Radio</t>
  </si>
  <si>
    <t>Blog / Article</t>
  </si>
  <si>
    <t>Reddit</t>
  </si>
  <si>
    <t>Google, Youtube</t>
  </si>
  <si>
    <t>Bird Buddy Shipping</t>
  </si>
  <si>
    <t>Average Taxes ($10.89)</t>
  </si>
  <si>
    <t>Add-ons Shipping</t>
  </si>
  <si>
    <t>Yahoo, Bing</t>
  </si>
  <si>
    <r>
      <rPr>
        <rFont val="Arial"/>
        <b/>
        <color theme="1"/>
        <sz val="12.0"/>
      </rPr>
      <t>COGS 3-in-1 Nutrition Set</t>
    </r>
    <r>
      <rPr>
        <rFont val="Arial"/>
        <b val="0"/>
        <color theme="1"/>
        <sz val="12.0"/>
      </rPr>
      <t xml:space="preserve"> ($6.66)</t>
    </r>
  </si>
  <si>
    <t>Total submissions:</t>
  </si>
  <si>
    <t>Percentage</t>
  </si>
  <si>
    <r>
      <rPr>
        <rFont val="Arial"/>
        <b/>
        <color theme="1"/>
        <sz val="12.0"/>
      </rPr>
      <t xml:space="preserve">COGS Solar Roof Single </t>
    </r>
    <r>
      <rPr>
        <rFont val="Arial"/>
        <b val="0"/>
        <color theme="1"/>
        <sz val="12.0"/>
      </rPr>
      <t>($13.44)</t>
    </r>
  </si>
  <si>
    <t>Marketing Averages (per order)</t>
  </si>
  <si>
    <r>
      <rPr>
        <rFont val="Arial"/>
        <b/>
        <color theme="1"/>
        <sz val="12.0"/>
      </rPr>
      <t>COGS Perch Extender</t>
    </r>
    <r>
      <rPr>
        <rFont val="Arial"/>
        <b val="0"/>
        <color theme="1"/>
        <sz val="12.0"/>
      </rPr>
      <t xml:space="preserve"> ($6.00)</t>
    </r>
  </si>
  <si>
    <t>Handling Fee ($1.50)</t>
  </si>
  <si>
    <r>
      <rPr>
        <rFont val="Arial"/>
        <b/>
        <color theme="1"/>
        <sz val="12.0"/>
      </rPr>
      <t>COGS Merch</t>
    </r>
    <r>
      <rPr>
        <rFont val="Arial"/>
        <b val="0"/>
        <color theme="1"/>
        <sz val="12.0"/>
      </rPr>
      <t xml:space="preserve"> (Average)</t>
    </r>
  </si>
  <si>
    <t>3PL - Handling Fee</t>
  </si>
  <si>
    <t>3PL - Serial Capture</t>
  </si>
  <si>
    <t>3PL - Storage Cost</t>
  </si>
  <si>
    <t>Processing Fee</t>
  </si>
  <si>
    <r>
      <rPr>
        <rFont val="Arial"/>
        <b/>
        <color theme="1"/>
        <sz val="12.0"/>
      </rPr>
      <t>Processing Fee</t>
    </r>
    <r>
      <rPr>
        <rFont val="Arial"/>
        <b val="0"/>
        <color theme="1"/>
        <sz val="12.0"/>
      </rPr>
      <t xml:space="preserve"> (2,90%) </t>
    </r>
    <r>
      <rPr>
        <rFont val="Arial"/>
        <b val="0"/>
        <color theme="1"/>
        <sz val="10.0"/>
      </rPr>
      <t>stripe vs. affirm %</t>
    </r>
  </si>
  <si>
    <t>Serial Capture ($0.30)</t>
  </si>
  <si>
    <t>Processing Fee (2,97%)</t>
  </si>
  <si>
    <r>
      <rPr>
        <rFont val="Arial"/>
        <b/>
        <color theme="1"/>
        <sz val="12.0"/>
      </rPr>
      <t xml:space="preserve">Transaction Fee </t>
    </r>
    <r>
      <rPr>
        <rFont val="Arial"/>
        <b val="0"/>
        <color theme="1"/>
        <sz val="12.0"/>
      </rPr>
      <t xml:space="preserve">($0.30) </t>
    </r>
    <r>
      <rPr>
        <rFont val="Arial"/>
        <b val="0"/>
        <color theme="1"/>
        <sz val="10.0"/>
      </rPr>
      <t>stripe vs. affirm %</t>
    </r>
  </si>
  <si>
    <t>Transaction Fee ($0.36)</t>
  </si>
  <si>
    <t>Supermetrics Queries</t>
  </si>
  <si>
    <r>
      <rPr>
        <rFont val="Arial"/>
        <b/>
        <color theme="1"/>
        <sz val="12.0"/>
      </rPr>
      <t xml:space="preserve">Inbound Shipping BB units </t>
    </r>
    <r>
      <rPr>
        <rFont val="Arial"/>
        <b val="0"/>
        <color theme="1"/>
        <sz val="12.0"/>
      </rPr>
      <t>($11.94)</t>
    </r>
  </si>
  <si>
    <t>Partial Profit</t>
  </si>
  <si>
    <t>All the queries created by Supermetrics are stored here, each in its own row.</t>
  </si>
  <si>
    <t>On this sheet you can:</t>
  </si>
  <si>
    <t>1. Modify the parameters of a query. Any changes will be visible when you run a refresh.</t>
  </si>
  <si>
    <t>Performance Facebook US &amp; CA</t>
  </si>
  <si>
    <t>PROFIT</t>
  </si>
  <si>
    <t>2. Remove a query by deleting its row</t>
  </si>
  <si>
    <t>Europe/Paris</t>
  </si>
  <si>
    <r>
      <rPr>
        <rFont val="Arial"/>
        <b/>
        <color theme="1"/>
        <sz val="12.0"/>
      </rPr>
      <t>Outbound Shipping BB units</t>
    </r>
    <r>
      <rPr>
        <rFont val="Arial"/>
        <b val="0"/>
        <color theme="1"/>
        <sz val="12.0"/>
      </rPr>
      <t xml:space="preserve"> ($11.94)</t>
    </r>
  </si>
  <si>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</si>
  <si>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</si>
  <si>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</si>
  <si>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CPO</t>
  </si>
  <si>
    <t>MER</t>
  </si>
  <si>
    <t>Query ID</t>
  </si>
  <si>
    <t>Refresh button number</t>
  </si>
  <si>
    <t>paramsID</t>
  </si>
  <si>
    <r>
      <rPr>
        <rFont val="Arial"/>
        <b/>
        <color theme="1"/>
        <sz val="12.0"/>
      </rPr>
      <t>Inbound Shipping Add-ons</t>
    </r>
    <r>
      <rPr>
        <rFont val="Arial"/>
        <b val="0"/>
        <color theme="1"/>
        <sz val="12.0"/>
      </rPr>
      <t xml:space="preserve"> ($1.44)</t>
    </r>
  </si>
  <si>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</si>
  <si>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</si>
  <si>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</si>
  <si>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</si>
  <si>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</si>
  <si>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</si>
  <si>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</si>
  <si>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</si>
  <si>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</si>
  <si>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</si>
  <si>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</si>
  <si>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</si>
  <si>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</si>
  <si>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</si>
  <si>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</si>
  <si>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</si>
  <si>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</si>
  <si>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</si>
  <si>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</si>
  <si>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</si>
  <si>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</si>
  <si>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</si>
  <si>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</si>
  <si>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</si>
  <si>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</si>
  <si>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</si>
  <si>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</si>
  <si>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</si>
  <si>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</si>
  <si>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</si>
  <si>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</si>
  <si>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</si>
  <si>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</si>
  <si>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</si>
  <si>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</si>
  <si>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</si>
  <si>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</si>
  <si>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</si>
  <si>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</si>
  <si>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</si>
  <si>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</si>
  <si>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Performance Google</t>
  </si>
  <si>
    <r>
      <rPr>
        <rFont val="Arial"/>
        <b/>
        <color theme="1"/>
        <sz val="12.0"/>
      </rPr>
      <t xml:space="preserve">Outbound Shipping Add-ons </t>
    </r>
    <r>
      <rPr>
        <rFont val="Arial"/>
        <b val="0"/>
        <color theme="1"/>
        <sz val="12.0"/>
      </rPr>
      <t>($6.16)</t>
    </r>
  </si>
  <si>
    <t>United States</t>
  </si>
  <si>
    <t>Product</t>
  </si>
  <si>
    <t>Hummingbird Feeder</t>
  </si>
  <si>
    <t>Pole System</t>
  </si>
  <si>
    <t>Category</t>
  </si>
  <si>
    <t>Bird Feeder</t>
  </si>
  <si>
    <t>Add-on</t>
  </si>
  <si>
    <t>Owner</t>
  </si>
  <si>
    <r>
      <rPr>
        <rFont val="Arial"/>
        <b/>
        <color theme="1"/>
        <sz val="12.0"/>
      </rPr>
      <t>Outbound Shipping - Merch</t>
    </r>
    <r>
      <rPr>
        <rFont val="Arial"/>
        <b val="0"/>
        <color theme="1"/>
        <sz val="12.0"/>
      </rPr>
      <t xml:space="preserve"> (Average)</t>
    </r>
  </si>
  <si>
    <t>Nick Koukourakis</t>
  </si>
  <si>
    <t>Controller #1</t>
  </si>
  <si>
    <t>Diana Spiewak</t>
  </si>
  <si>
    <t>Controller #2</t>
  </si>
  <si>
    <t>Eric Malkowski</t>
  </si>
  <si>
    <t>Batch</t>
  </si>
  <si>
    <t>Batch Timeline</t>
  </si>
  <si>
    <t>April - November</t>
  </si>
  <si>
    <t>Chip</t>
  </si>
  <si>
    <t>Other Component</t>
  </si>
  <si>
    <t>BOM Margin</t>
  </si>
  <si>
    <t>Packaging and Accessories</t>
  </si>
  <si>
    <t>Package Margin</t>
  </si>
  <si>
    <t>Total Product Cost</t>
  </si>
  <si>
    <t>Finance fee</t>
  </si>
  <si>
    <t>PPV cost component</t>
  </si>
  <si>
    <t>BOM Margin (%)</t>
  </si>
  <si>
    <t>Package Margin (%)</t>
  </si>
  <si>
    <t>Duty Rate</t>
  </si>
  <si>
    <t>Tarrif Rate</t>
  </si>
  <si>
    <t>Total Port Cost</t>
  </si>
  <si>
    <t>Duty Rate (%)</t>
  </si>
  <si>
    <t>Tarrif Rate (%)</t>
  </si>
  <si>
    <t>HMF (%)</t>
  </si>
  <si>
    <r>
      <rPr>
        <rFont val="Arial"/>
        <b/>
        <color theme="1"/>
        <sz val="12.0"/>
      </rPr>
      <t>(All sales) US VAT</t>
    </r>
    <r>
      <rPr>
        <rFont val="Arial"/>
        <b val="0"/>
        <color theme="1"/>
        <sz val="12.0"/>
      </rPr>
      <t xml:space="preserve"> (Woo)</t>
    </r>
  </si>
  <si>
    <t>MPF (%)</t>
  </si>
  <si>
    <t>Total Cost</t>
  </si>
  <si>
    <t>Judy Stanis</t>
  </si>
  <si>
    <t>Air Freight</t>
  </si>
  <si>
    <t>Fast Ocean</t>
  </si>
  <si>
    <t>Ocean</t>
  </si>
  <si>
    <t>Total Inbound Cost</t>
  </si>
  <si>
    <r>
      <rPr>
        <rFont val="Arial"/>
        <b/>
        <color theme="1"/>
        <sz val="12.0"/>
      </rPr>
      <t xml:space="preserve">(All sales) Europe VAT </t>
    </r>
    <r>
      <rPr>
        <rFont val="Arial"/>
        <b val="0"/>
        <color theme="1"/>
        <sz val="12.0"/>
      </rPr>
      <t>(EU, UK, NOR, SWI) - 22%</t>
    </r>
  </si>
  <si>
    <t>Air Freight (%)</t>
  </si>
  <si>
    <t>Fast Ocean (%)</t>
  </si>
  <si>
    <t>Ocean (%)</t>
  </si>
  <si>
    <t>Performance TikTok</t>
  </si>
  <si>
    <t>Remzo Hotić</t>
  </si>
  <si>
    <t>Customs and Duty</t>
  </si>
  <si>
    <t>Supplies Cost</t>
  </si>
  <si>
    <t>Pick Charge</t>
  </si>
  <si>
    <t>Pallet Cost</t>
  </si>
  <si>
    <t>PollyBag Cost</t>
  </si>
  <si>
    <t>Carton Cost</t>
  </si>
  <si>
    <t>VAS</t>
  </si>
  <si>
    <t>Storage Cost</t>
  </si>
  <si>
    <t>Total Outbound Cost</t>
  </si>
  <si>
    <t>80 units per pallet</t>
  </si>
  <si>
    <t>720 per pallet</t>
  </si>
  <si>
    <t>450 per pallet</t>
  </si>
  <si>
    <t>2940 per pallet</t>
  </si>
  <si>
    <t>640 per pallet</t>
  </si>
  <si>
    <t>Canada</t>
  </si>
  <si>
    <t>Gross Revenue</t>
  </si>
  <si>
    <t>Gross Sales Profit</t>
  </si>
  <si>
    <t>Performance Bing</t>
  </si>
  <si>
    <t>Gross Sales Margin</t>
  </si>
  <si>
    <t>Price</t>
  </si>
  <si>
    <t>Shipping</t>
  </si>
  <si>
    <t>Tax</t>
  </si>
  <si>
    <t>Total</t>
  </si>
  <si>
    <t>Daily ROAS</t>
  </si>
  <si>
    <t>Start date:</t>
  </si>
  <si>
    <t>End date:</t>
  </si>
  <si>
    <t>31/07/2023</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</si>
  <si>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</si>
  <si>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</si>
  <si>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</si>
  <si>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</si>
  <si>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</si>
  <si>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</si>
  <si>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</si>
  <si>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</si>
  <si>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</si>
  <si>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</si>
  <si>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</si>
  <si>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</si>
  <si>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</si>
  <si>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</si>
  <si>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</si>
  <si>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</si>
  <si>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</si>
  <si>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</si>
  <si>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</si>
  <si>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</si>
  <si>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</si>
  <si>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</si>
  <si>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0,91%</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</si>
  <si>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</si>
  <si>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</si>
  <si>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</si>
  <si>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</si>
  <si>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</si>
  <si>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</si>
  <si>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</si>
  <si>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</si>
  <si>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</si>
  <si>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</si>
  <si>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Gross Complaints</t>
  </si>
  <si>
    <t>Planned CR</t>
  </si>
  <si>
    <t>Planned AOV</t>
  </si>
  <si>
    <t>Planned Website traffic</t>
  </si>
  <si>
    <t xml:space="preserve">Cancellations </t>
  </si>
  <si>
    <t>Legend:</t>
  </si>
  <si>
    <t>plan input data</t>
  </si>
  <si>
    <t>formulas</t>
  </si>
  <si>
    <t>COGS Bird Buddy ($86.90)</t>
  </si>
  <si>
    <t>TOTAL</t>
  </si>
  <si>
    <t>INVESTMENTS</t>
  </si>
  <si>
    <t>INVESTMENT PLAN</t>
  </si>
  <si>
    <t>COGS Bird Buddy with Solar Roof ($97.61)</t>
  </si>
  <si>
    <t>Affiliates (Grovia)</t>
  </si>
  <si>
    <t>Performance Internal Paid</t>
  </si>
  <si>
    <t>COGS Wall Mount ($5.49)</t>
  </si>
  <si>
    <t>TRAFFIC (Sessions GA4)</t>
  </si>
  <si>
    <t>TRAFFIC PLAN</t>
  </si>
  <si>
    <t>Performance EU &amp; UK</t>
  </si>
  <si>
    <t>COGS Suet Ball ($1.19)</t>
  </si>
  <si>
    <t>Performance Email</t>
  </si>
  <si>
    <t>COGS 3-in-1 Nutrition Set ($6.66)</t>
  </si>
  <si>
    <t>Facebook / Instagram</t>
  </si>
  <si>
    <t>COGS Solar Roof Single ($13.44)</t>
  </si>
  <si>
    <t>US+CA</t>
  </si>
  <si>
    <t>Revenue Shopify (Platform)</t>
  </si>
  <si>
    <t>*from july.23</t>
  </si>
  <si>
    <t>EUROPE</t>
  </si>
  <si>
    <t>WordPress</t>
  </si>
  <si>
    <t>COGS Perch Extender ($6.00)</t>
  </si>
  <si>
    <t>- Hardware</t>
  </si>
  <si>
    <t>- Add-ons</t>
  </si>
  <si>
    <t>jan.23-jun.23 AOV</t>
  </si>
  <si>
    <t>- Merch</t>
  </si>
  <si>
    <t>- Taxes</t>
  </si>
  <si>
    <t>- Shipping</t>
  </si>
  <si>
    <t>NA (cca 6 %)</t>
  </si>
  <si>
    <t>Inbound Shipping BB units ($11.94)</t>
  </si>
  <si>
    <t>Revenue - All</t>
  </si>
  <si>
    <t>- Hardware (units sold)</t>
  </si>
  <si>
    <t>- Add-ons (units sold)</t>
  </si>
  <si>
    <t>- Merch (units sold)</t>
  </si>
  <si>
    <t>Europe (22 %)</t>
  </si>
  <si>
    <t>Transactions Shopify (Platform)</t>
  </si>
  <si>
    <t>FB - US &amp; CA</t>
  </si>
  <si>
    <t>Google - WW</t>
  </si>
  <si>
    <t>Bing - WW</t>
  </si>
  <si>
    <t>TikTok - US &amp; CA</t>
  </si>
  <si>
    <t>Affiliate Fees - US</t>
  </si>
  <si>
    <t>Transactions - All</t>
  </si>
  <si>
    <t xml:space="preserve">Outbound Shipping BB units </t>
  </si>
  <si>
    <t>CAC</t>
  </si>
  <si>
    <t>Shopify Platform</t>
  </si>
  <si>
    <t>Revenue Shopify (gross)</t>
  </si>
  <si>
    <t>Discounts</t>
  </si>
  <si>
    <t>Shipping Shopify</t>
  </si>
  <si>
    <t>/</t>
  </si>
  <si>
    <t>Tax Shopify</t>
  </si>
  <si>
    <t>All Shopify</t>
  </si>
  <si>
    <t>Revenue &amp; Transactions (Platform) - ALL</t>
  </si>
  <si>
    <t>Inbound Shipping Add-ons ($1.44)</t>
  </si>
  <si>
    <t>All Bird Buddy</t>
  </si>
  <si>
    <t>Outbound Shipping Add-ons ($6.16)</t>
  </si>
  <si>
    <t>Premium Subscription</t>
  </si>
  <si>
    <t>Seeds Subscription</t>
  </si>
  <si>
    <t>Cancellations value</t>
  </si>
  <si>
    <t>12-month Extended Warranty</t>
  </si>
  <si>
    <r>
      <rPr>
        <rFont val="Arial"/>
        <b/>
        <color theme="1"/>
        <sz val="12.0"/>
      </rPr>
      <t xml:space="preserve">Returns for Refund </t>
    </r>
    <r>
      <rPr>
        <rFont val="Arial"/>
        <b val="0"/>
        <color theme="1"/>
        <sz val="12.0"/>
      </rPr>
      <t>(25% adjusted)</t>
    </r>
  </si>
  <si>
    <t>24-month No Questions Asked Warranty</t>
  </si>
  <si>
    <t xml:space="preserve">COGS Bird Buddy ($86.90) </t>
  </si>
  <si>
    <t>Gift Cards</t>
  </si>
  <si>
    <t>KCTC (additionally for first 3.000 items)</t>
  </si>
  <si>
    <t>*KCTC = China -&gt; LA with Air fraight</t>
  </si>
  <si>
    <t>Logistics</t>
  </si>
  <si>
    <t>Label Handling</t>
  </si>
  <si>
    <t>FBA fees</t>
  </si>
  <si>
    <t xml:space="preserve">COGS Bird Buddy with Solar Roof ($97.61) </t>
  </si>
  <si>
    <t>*for first milion is 10 % than 15 %</t>
  </si>
  <si>
    <t xml:space="preserve">COGS Wall Mount ($5.49) </t>
  </si>
  <si>
    <t>Amazon (market place)</t>
  </si>
  <si>
    <t xml:space="preserve">COGS Suet Ball ($1.19) </t>
  </si>
  <si>
    <t>Amazon (market place) Spend</t>
  </si>
  <si>
    <t>Amazon (market place) Sales Fee (10-15 %)</t>
  </si>
  <si>
    <t>Average COGS ($92.18)</t>
  </si>
  <si>
    <t>Average Inbound Shipping ($13.06)</t>
  </si>
  <si>
    <t>Average Outbound Shipping ($15.06)</t>
  </si>
  <si>
    <t>Average Taxes ($16.81)</t>
  </si>
  <si>
    <t>Units Sold by country (Gross)</t>
  </si>
  <si>
    <t>Bird Buddy - NA (United States + Canada)</t>
  </si>
  <si>
    <t>Bird Buddy with Solar Roof- NA (United States + Canada)</t>
  </si>
  <si>
    <t>Bird Buddy - Europe (EU, UK, NOR, SWI)</t>
  </si>
  <si>
    <t>Bird Buddy with Solar Roof - Europe (EU, UK, NOR, SWI)</t>
  </si>
  <si>
    <t>Bird Buddy - ROW</t>
  </si>
  <si>
    <t>Bird Buddy with Solar Roof - ROW</t>
  </si>
  <si>
    <t>All Bird Buddy with Solar Roof</t>
  </si>
  <si>
    <t>30 days return shipping</t>
  </si>
  <si>
    <t>Wall Mount - NA</t>
  </si>
  <si>
    <t>Fence Mount - NA</t>
  </si>
  <si>
    <t>Suet Ball Holder - NA</t>
  </si>
  <si>
    <t>3-in-1 Nutrition Set - NA</t>
  </si>
  <si>
    <t>Solar Roof Single - NA</t>
  </si>
  <si>
    <t>All NA</t>
  </si>
  <si>
    <t>Refunds value</t>
  </si>
  <si>
    <t>Wall Mount - Europe</t>
  </si>
  <si>
    <r>
      <rPr>
        <rFont val="Arial"/>
        <b/>
        <color theme="1"/>
        <sz val="12.0"/>
      </rPr>
      <t xml:space="preserve">Returns for Replacements and Claims </t>
    </r>
    <r>
      <rPr>
        <rFont val="Arial"/>
        <b val="0"/>
        <color theme="1"/>
        <sz val="12.0"/>
      </rPr>
      <t>(10% adjusted)</t>
    </r>
  </si>
  <si>
    <t>Fence Mount - Europe</t>
  </si>
  <si>
    <t>Suet Ball Holder - Europe</t>
  </si>
  <si>
    <t>3-in-1 Nutrition Set - Europe</t>
  </si>
  <si>
    <t>Solar Roof Single - Europe</t>
  </si>
  <si>
    <t>All Europe</t>
  </si>
  <si>
    <t>Wall Mount - ROW</t>
  </si>
  <si>
    <t>Fence Mount - ROW</t>
  </si>
  <si>
    <t>Suet Ball Holder - ROW</t>
  </si>
  <si>
    <t>3-in-1 Nutrition Set - ROW</t>
  </si>
  <si>
    <t>Solar Roof Single - ROW</t>
  </si>
  <si>
    <t>All ROW</t>
  </si>
  <si>
    <t>Revenue by country (Gross)</t>
  </si>
  <si>
    <t>All Solar Roof</t>
  </si>
  <si>
    <t>Premium Subscription - WW</t>
  </si>
  <si>
    <t>Seeds Subscription - WW</t>
  </si>
  <si>
    <t>COGS Housing</t>
  </si>
  <si>
    <t>Gift Card</t>
  </si>
  <si>
    <t>ALL</t>
  </si>
  <si>
    <t>Units Refunded by country (Gross)</t>
  </si>
  <si>
    <t>AMAZON (marketplace)</t>
  </si>
  <si>
    <t>COGS Camera Module</t>
  </si>
  <si>
    <t>Orders - All</t>
  </si>
  <si>
    <t>Woocommerce Platform</t>
  </si>
  <si>
    <t>Revenue Woocommerce (gross)</t>
  </si>
  <si>
    <t>Shipping Woocommerce</t>
  </si>
  <si>
    <t>Tax Woocommerce</t>
  </si>
  <si>
    <t>All Woocommerce</t>
  </si>
  <si>
    <t>Revenue &amp; Orders (Platform) - ALL</t>
  </si>
  <si>
    <t>Inbound Shipping Housing</t>
  </si>
  <si>
    <t>Units Returned by country (Gross)</t>
  </si>
  <si>
    <t>Inbound Shipping Camera Module</t>
  </si>
  <si>
    <t>Return Shipping</t>
  </si>
  <si>
    <t xml:space="preserve">   - Returns for Replacement and Claims (New Items, 100%)</t>
  </si>
  <si>
    <t xml:space="preserve">   - COGS Bird Buddy ($86.90)</t>
  </si>
  <si>
    <t xml:space="preserve">   - COGS Bird Buddy with Solar Roof ($97.61)</t>
  </si>
  <si>
    <t>Orders Returned NA</t>
  </si>
  <si>
    <t xml:space="preserve">   - COGS Wall Mount ($5.49)</t>
  </si>
  <si>
    <t>Orders Returned EU</t>
  </si>
  <si>
    <t>Orders Returned ROW</t>
  </si>
  <si>
    <t>Money Refunded by country (Gross)</t>
  </si>
  <si>
    <t>Hardware - NA</t>
  </si>
  <si>
    <t xml:space="preserve">   - COGS Suet Ball ($1.19)</t>
  </si>
  <si>
    <t>Shipping - NA</t>
  </si>
  <si>
    <t>Taxes - NA</t>
  </si>
  <si>
    <t>Hardware - ROW</t>
  </si>
  <si>
    <t>Shipping - ROW</t>
  </si>
  <si>
    <t xml:space="preserve">   - COGS 3-in-1 Nutrition Set ($6.66)</t>
  </si>
  <si>
    <t>Taxes - ROW</t>
  </si>
  <si>
    <t>Money Returned by country (Gross)</t>
  </si>
  <si>
    <t xml:space="preserve">   - COGS Solar Roof Single ($13.44)</t>
  </si>
  <si>
    <t>Replacement Units &amp; Claims by country</t>
  </si>
  <si>
    <t>Units Cancelled by country (Gross)</t>
  </si>
  <si>
    <t xml:space="preserve">   - COGS Perch Extender ($6.00)</t>
  </si>
  <si>
    <t xml:space="preserve">   - COGS Housing</t>
  </si>
  <si>
    <t>Units Refund by country (Gross)</t>
  </si>
  <si>
    <t>Returns</t>
  </si>
  <si>
    <t xml:space="preserve">   - COGS Camera Module</t>
  </si>
  <si>
    <t>Refunds</t>
  </si>
  <si>
    <t>Sales Margin %</t>
  </si>
  <si>
    <t>Units Sold by country (Net)</t>
  </si>
  <si>
    <t xml:space="preserve">   - Inbound Shipping BB units ($11.94)</t>
  </si>
  <si>
    <r>
      <rPr>
        <rFont val="Arial"/>
        <color theme="1"/>
        <sz val="12.0"/>
      </rPr>
      <t xml:space="preserve">Orders Refund NA </t>
    </r>
    <r>
      <rPr>
        <rFont val="Arial"/>
        <color theme="1"/>
        <sz val="10.0"/>
      </rPr>
      <t>(ex. "return")</t>
    </r>
  </si>
  <si>
    <r>
      <rPr>
        <rFont val="Arial"/>
        <color theme="1"/>
        <sz val="12.0"/>
      </rPr>
      <t xml:space="preserve">Orders Refund EU </t>
    </r>
    <r>
      <rPr>
        <rFont val="Arial"/>
        <color theme="1"/>
        <sz val="10.0"/>
      </rPr>
      <t>(ex. "return")</t>
    </r>
  </si>
  <si>
    <r>
      <rPr>
        <rFont val="Arial"/>
        <color theme="1"/>
        <sz val="12.0"/>
      </rPr>
      <t xml:space="preserve">Orders Refund ROW </t>
    </r>
    <r>
      <rPr>
        <rFont val="Arial"/>
        <color theme="1"/>
        <sz val="10.0"/>
      </rPr>
      <t>(ex. "return")</t>
    </r>
  </si>
  <si>
    <t>Revenue Cancelled by country (Gross)</t>
  </si>
  <si>
    <t xml:space="preserve">   - Outbound Shipping BB units </t>
  </si>
  <si>
    <t>Revenue Refunded by country (Gross)</t>
  </si>
  <si>
    <t>RETURN (Replacement Units &amp; Claims) by country</t>
  </si>
  <si>
    <t xml:space="preserve">   - Inbound Shipping Add-ons ($1.44)</t>
  </si>
  <si>
    <t xml:space="preserve">   - Outbound Shipping Add-ons ($6.16)</t>
  </si>
  <si>
    <t>Cancellations</t>
  </si>
  <si>
    <t xml:space="preserve">   - Inbound Shipping Housing</t>
  </si>
  <si>
    <t>COGS Bird Buddy ($70.53)</t>
  </si>
  <si>
    <t xml:space="preserve">   - Outbound Shipping Housing</t>
  </si>
  <si>
    <t>Bird Buddy China Tax (7.5%)</t>
  </si>
  <si>
    <t>FINANCE REPORT July 2023</t>
  </si>
  <si>
    <t>MTD History</t>
  </si>
  <si>
    <t>MTD Actuals</t>
  </si>
  <si>
    <t>MTD Plan</t>
  </si>
  <si>
    <t>Actuals VS Plan</t>
  </si>
  <si>
    <t>GROWTH</t>
  </si>
  <si>
    <t>Jul.22</t>
  </si>
  <si>
    <t>Jul.23</t>
  </si>
  <si>
    <t>Growth YOY (%)</t>
  </si>
  <si>
    <t>Planned Growth (%)</t>
  </si>
  <si>
    <t>Contribution statment</t>
  </si>
  <si>
    <t>MTD EUR</t>
  </si>
  <si>
    <t>MTD EUR % TR</t>
  </si>
  <si>
    <t>Plan realization (%)</t>
  </si>
  <si>
    <t>Plan realization diff.</t>
  </si>
  <si>
    <r>
      <rPr>
        <rFont val="Calibri, sans-serif"/>
        <b/>
        <color rgb="FF000000"/>
        <sz val="11.0"/>
      </rPr>
      <t xml:space="preserve">TOTAL REVENUES </t>
    </r>
    <r>
      <rPr>
        <rFont val="Calibri, sans-serif"/>
        <b/>
        <i/>
        <color rgb="FF000000"/>
        <sz val="9.0"/>
      </rPr>
      <t>(Order value)</t>
    </r>
  </si>
  <si>
    <t>COGS Bird Buddy with Solar Roof ($80.08)</t>
  </si>
  <si>
    <r>
      <rPr>
        <rFont val="Calibri, sans-serif"/>
        <b/>
        <color rgb="FF134F5C"/>
        <sz val="11.0"/>
      </rPr>
      <t xml:space="preserve">TOTAL REVENUES </t>
    </r>
    <r>
      <rPr>
        <rFont val="Calibri, sans-serif"/>
        <b/>
        <i/>
        <color rgb="FF134F5C"/>
        <sz val="9.0"/>
      </rPr>
      <t>(Net order value)</t>
    </r>
  </si>
  <si>
    <r>
      <rPr>
        <rFont val="Calibri, sans-serif"/>
        <b/>
        <color rgb="FF45818E"/>
        <sz val="11.0"/>
      </rPr>
      <t>GROSS MARGIN</t>
    </r>
    <r>
      <rPr>
        <rFont val="Calibri, sans-serif"/>
        <b/>
        <color rgb="FF45818E"/>
        <sz val="10.0"/>
      </rPr>
      <t xml:space="preserve"> </t>
    </r>
    <r>
      <rPr>
        <rFont val="Calibri, sans-serif"/>
        <b/>
        <i/>
        <color rgb="FF45818E"/>
        <sz val="9.0"/>
      </rPr>
      <t>(Net order value)</t>
    </r>
  </si>
  <si>
    <t xml:space="preserve">   - Inbound Shipping Camera Module</t>
  </si>
  <si>
    <t>Bird Buddy with Solar Roof China Tax (7.5%)</t>
  </si>
  <si>
    <r>
      <rPr>
        <rFont val="Calibri, sans-serif"/>
        <b/>
        <color rgb="FF45818E"/>
        <sz val="11.0"/>
      </rPr>
      <t xml:space="preserve">MEDIA GROSS PROFIT </t>
    </r>
    <r>
      <rPr>
        <rFont val="Calibri, sans-serif"/>
        <b/>
        <i/>
        <color rgb="FF45818E"/>
        <sz val="9.0"/>
      </rPr>
      <t>(Net order value)</t>
    </r>
  </si>
  <si>
    <t>COGS Bird Buddy ($81.22)</t>
  </si>
  <si>
    <t>TOTAL COSTS</t>
  </si>
  <si>
    <t>Media mix costs</t>
  </si>
  <si>
    <r>
      <rPr>
        <rFont val="Calibri, sans-serif"/>
        <color rgb="FF4C1130"/>
        <sz val="11.0"/>
      </rPr>
      <t xml:space="preserve">Shipping costs </t>
    </r>
    <r>
      <rPr>
        <rFont val="Calibri, sans-serif"/>
        <i/>
        <color rgb="FF4C1130"/>
        <sz val="9.0"/>
      </rPr>
      <t>(inbound &amp; outbound)</t>
    </r>
  </si>
  <si>
    <r>
      <rPr>
        <rFont val="Calibri, sans-serif"/>
        <color rgb="FF4C1130"/>
        <sz val="11.0"/>
      </rPr>
      <t xml:space="preserve">Fee costs </t>
    </r>
    <r>
      <rPr>
        <rFont val="Calibri, sans-serif"/>
        <color rgb="FF4C1130"/>
        <sz val="9.0"/>
      </rPr>
      <t>(processing &amp; transaction fees)</t>
    </r>
  </si>
  <si>
    <t>COGS Fence Mount ($6.37)</t>
  </si>
  <si>
    <t>Taxes</t>
  </si>
  <si>
    <t>COGS Bird Buddy with Solar Roof ($91.14)</t>
  </si>
  <si>
    <t>TOTAL REFUNDS (complaints)</t>
  </si>
  <si>
    <t>Fence Mount China Tax (7.5%)</t>
  </si>
  <si>
    <t>Refunds + Shipping</t>
  </si>
  <si>
    <t xml:space="preserve">   - Outbound Shipping Camera Module</t>
  </si>
  <si>
    <t>Returns &amp; Replacements</t>
  </si>
  <si>
    <t>Sales profit</t>
  </si>
  <si>
    <t>Sessions</t>
  </si>
  <si>
    <t>Fence Mount Duty (3.4%)</t>
  </si>
  <si>
    <t>Units sold</t>
  </si>
  <si>
    <t>CAC per order</t>
  </si>
  <si>
    <t>COGS Wall Mount ($4.93)</t>
  </si>
  <si>
    <t>CAC per unit</t>
  </si>
  <si>
    <t>Revenue Per Session</t>
  </si>
  <si>
    <t>Cost Per Session (media mix costs)</t>
  </si>
  <si>
    <t>Wall Mount China Tax (7.5%)</t>
  </si>
  <si>
    <t>Wall Mount Duty (3.4%)</t>
  </si>
  <si>
    <t>Outbound Shipping Cost</t>
  </si>
  <si>
    <t>COGS Suet Ball ($1.07)</t>
  </si>
  <si>
    <t>Suet Ball China Tax (7.5%)</t>
  </si>
  <si>
    <t>CPO NONVV % = Marketing costs / Order no vat value * 100</t>
  </si>
  <si>
    <t>Suet Ball Duty (3.4%)</t>
  </si>
  <si>
    <t>ROI NONVV = (Net order no VAT value - Purchase value of sold products (NONVV)) / Marketing costs</t>
  </si>
  <si>
    <t>COGS NONVV % = Purchase Value of Sold Products (NONVV) / Net order no VAT value</t>
  </si>
  <si>
    <t>COGS 3-in-1 Nutrition Set ($5.98)</t>
  </si>
  <si>
    <t>MGP NONVV = Net Order no VAT value - Purchase Value of Sold Products (NONVV) - Marketing costs</t>
  </si>
  <si>
    <t>Chargebacks fee</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</si>
  <si>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</si>
  <si>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</si>
  <si>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</si>
  <si>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COGS 3-in-1 Nutrition Set China Tax (7.5%)</t>
  </si>
  <si>
    <t>Net Order no VAT Value – Order value subtracted with estimated complaints and without VAT. IL = item level</t>
  </si>
  <si>
    <t>Compensations</t>
  </si>
  <si>
    <t xml:space="preserve">Sales KPI-s by product </t>
  </si>
  <si>
    <t>COGS 3-in-1 Nutrition Set Duty (3.4%)</t>
  </si>
  <si>
    <t>W01-23</t>
  </si>
  <si>
    <t>W02-23</t>
  </si>
  <si>
    <t>W03-23</t>
  </si>
  <si>
    <t>W04-23</t>
  </si>
  <si>
    <t>jan.23</t>
  </si>
  <si>
    <t>W05-23</t>
  </si>
  <si>
    <t>COGS 3-in-1 Nutrition Set ($6.08)</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</si>
  <si>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</si>
  <si>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</si>
  <si>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</si>
  <si>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</si>
  <si>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</si>
  <si>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</si>
  <si>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</si>
  <si>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</si>
  <si>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</si>
  <si>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</si>
  <si>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</si>
  <si>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</si>
  <si>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</si>
  <si>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</si>
  <si>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</si>
  <si>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</si>
  <si>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</si>
  <si>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</si>
  <si>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</si>
  <si>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</si>
  <si>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</si>
  <si>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</si>
  <si>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</si>
  <si>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</si>
  <si>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</si>
  <si>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</si>
  <si>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</si>
  <si>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</si>
  <si>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</si>
  <si>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</si>
  <si>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</si>
  <si>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</si>
  <si>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</si>
  <si>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</si>
  <si>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Cash Out</t>
  </si>
  <si>
    <t>CPO NONVV %</t>
  </si>
  <si>
    <t>COGS Solar Roof Single ($10.50)</t>
  </si>
  <si>
    <t>ROI NONVV</t>
  </si>
  <si>
    <t>COGS NONVV %</t>
  </si>
  <si>
    <t>Revenue Company by IL NONVV %</t>
  </si>
  <si>
    <t>Water Fountain China Tax (7.5%)</t>
  </si>
  <si>
    <t>Cost Company by IL %</t>
  </si>
  <si>
    <t>Solar Roof Single China Tax (7.5%)</t>
  </si>
  <si>
    <t>MGP Company by IL NONVV %</t>
  </si>
  <si>
    <t>MGP NONVV</t>
  </si>
  <si>
    <t>Net Order no VAT Value</t>
  </si>
  <si>
    <t>Cost no VAT Value</t>
  </si>
  <si>
    <t>?</t>
  </si>
  <si>
    <t>Solar Roof Single Duty (2.5%)</t>
  </si>
  <si>
    <t>SKU3 - Bird Buddy w Solar Roof</t>
  </si>
  <si>
    <t>Water Fountain Duty (3.4%)</t>
  </si>
  <si>
    <t>Harbor Maintenance Fees (0.125%)</t>
  </si>
  <si>
    <t>COGS Solar Roof Single ($9.98)</t>
  </si>
  <si>
    <t>SKU6 - Solar Roof Single</t>
  </si>
  <si>
    <t>Merchandise Processing Fees (0.3464%)*</t>
  </si>
  <si>
    <r>
      <rPr>
        <rFont val="Arial"/>
        <color theme="1"/>
        <sz val="12.0"/>
      </rPr>
      <t xml:space="preserve">Processing Fee (2,90%) </t>
    </r>
    <r>
      <rPr>
        <rFont val="Arial"/>
        <color theme="1"/>
        <sz val="10.0"/>
      </rPr>
      <t>stripe vs. affirm %</t>
    </r>
  </si>
  <si>
    <t>Solar Roof Single China Tax (25%)</t>
  </si>
  <si>
    <t>NET Sales Profit</t>
  </si>
  <si>
    <t>Sales KPI-s by product (US)</t>
  </si>
  <si>
    <t>SKU1 - Bird Buddy Blue</t>
  </si>
  <si>
    <r>
      <rPr>
        <rFont val="Arial"/>
        <color theme="1"/>
        <sz val="12.0"/>
      </rPr>
      <t xml:space="preserve">Transaction Fee ($0.30) </t>
    </r>
    <r>
      <rPr>
        <rFont val="Arial"/>
        <color theme="1"/>
        <sz val="10.0"/>
      </rPr>
      <t>stripe vs. affirm %</t>
    </r>
  </si>
  <si>
    <t>Net Sales Margin</t>
  </si>
  <si>
    <t>SKU2 - Bird Buddy Yellow</t>
  </si>
  <si>
    <t>Inbound Shipping BB units</t>
  </si>
  <si>
    <t>SKU3 - Bird Buddy Blue w Solar Roof</t>
  </si>
  <si>
    <t>Outbound Shipping BB units</t>
  </si>
  <si>
    <t>SKU4 - Bird Buddy Yellow w Solar Roof</t>
  </si>
  <si>
    <t>Inbound Shipping Add-ons</t>
  </si>
  <si>
    <t>Gross profit per order</t>
  </si>
  <si>
    <t>SKU5 - Fence Mount</t>
  </si>
  <si>
    <t>Outbound Shipping Add-ons</t>
  </si>
  <si>
    <t>Net profit per order</t>
  </si>
  <si>
    <t>(All sales) US VAT (Shopify)</t>
  </si>
  <si>
    <t>SKU6 - Solar Roof Blue</t>
  </si>
  <si>
    <t>(All sales) Europe VAT (EU, UK, NOR, SWI) - 22%</t>
  </si>
  <si>
    <t>SKU7 - Solar Roof Yellow</t>
  </si>
  <si>
    <t>(All sales) Rest of World VAT - 13%</t>
  </si>
  <si>
    <t>SKU8 - Suet Ball</t>
  </si>
  <si>
    <t>Total Refunds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</si>
  <si>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</si>
  <si>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</si>
  <si>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</si>
  <si>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SKU9 - Wall Mount</t>
  </si>
  <si>
    <t>SKU10 - 3-in-1 Blue</t>
  </si>
  <si>
    <t>3PLHandling Fee</t>
  </si>
  <si>
    <t>3PL costs BB unit</t>
  </si>
  <si>
    <t>3PLSerial Capture BB unit</t>
  </si>
  <si>
    <t>SKU11 - 3-in-1 Yellow</t>
  </si>
  <si>
    <t>3PLStorage BB unit</t>
  </si>
  <si>
    <t>Sales KPI-s by product (EU)</t>
  </si>
  <si>
    <t>3PLSupplies cost BB unit</t>
  </si>
  <si>
    <t>3PLPick charge BB unit</t>
  </si>
  <si>
    <t>3PLPollybag cost BB unit</t>
  </si>
  <si>
    <t>3PLCarton cost BB unit</t>
  </si>
  <si>
    <t>3PL costs Addons</t>
  </si>
  <si>
    <t>3PLSerial Capture addons</t>
  </si>
  <si>
    <t>3PLStorage addons</t>
  </si>
  <si>
    <t xml:space="preserve">Returns </t>
  </si>
  <si>
    <t>Returns Shipping ($10)</t>
  </si>
  <si>
    <t>3PLSupplies cost addons</t>
  </si>
  <si>
    <t>3PLPick charge addons</t>
  </si>
  <si>
    <t>3PLPollybag cost addons</t>
  </si>
  <si>
    <t>3PL Handling Fee ($1.5)</t>
  </si>
  <si>
    <t>3PLCarton cost addons</t>
  </si>
  <si>
    <t>3PL Serial Capture ($0.3)</t>
  </si>
  <si>
    <t>Returns and Replacements</t>
  </si>
  <si>
    <t>3PL Storage Cost ($0.31 per unit)</t>
  </si>
  <si>
    <t>Replacements and Claims separate costs</t>
  </si>
  <si>
    <t>COGS Bird Buddy ($82.52)</t>
  </si>
  <si>
    <t>Sales KPI-s by product (ROW)</t>
  </si>
  <si>
    <t>COGS Bird Buddy with Solar Roof ($88.59)</t>
  </si>
  <si>
    <t>COGS Wall Mount ($4.73)</t>
  </si>
  <si>
    <t>COGS Suet Ball ($0.88)</t>
  </si>
  <si>
    <t>COGS Water Fountain ($5.00)</t>
  </si>
  <si>
    <t>Sales Margin</t>
  </si>
  <si>
    <t>Daily Sales Margin %</t>
  </si>
  <si>
    <t>Daily NET ROAS</t>
  </si>
  <si>
    <t>COGS Solar Roof Single ($11.01)</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</si>
</sst>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mmmm yyyy"/>
    <numFmt numFmtId="165" formatCode="M/d/yyyy"/>
    <numFmt numFmtId="166" formatCode="yyyy-mm-dd h:mm:ss"/>
    <numFmt numFmtId="167" formatCode="&quot;$&quot;#,##0.00"/>
    <numFmt numFmtId="168" formatCode="&quot;$&quot;#,##0"/>
    <numFmt numFmtId="169" formatCode="[$€]#,##0.00"/>
    <numFmt numFmtId="170" formatCode="#,##0.0000"/>
    <numFmt numFmtId="171" formatCode="0.000%"/>
    <numFmt numFmtId="172" formatCode="0.0000%"/>
    <numFmt numFmtId="173" formatCode="0.0%"/>
    <numFmt numFmtId="174" formatCode="yyyy-mm-dd"/>
    <numFmt numFmtId="175" formatCode="#,##0&quot;$&quot;"/>
    <numFmt numFmtId="176" formatCode="0.0"/>
    <numFmt numFmtId="177" formatCode="_-[$$-409]* #,##0.00_ ;_-[$$-409]* \-#,##0.00\ ;_-[$$-409]* &quot;-&quot;??_ ;_-@_ "/>
    <numFmt numFmtId="178" formatCode="mmm yyyy"/>
    <numFmt numFmtId="179" formatCode="_-[$€-2]\ * #,##0.00_-;\-[$€-2]\ * #,##0.00_-;_-[$€-2]\ * &quot;-&quot;??_-;_-@"/>
    <numFmt numFmtId="180" formatCode="_(&quot;$&quot;* #,##0.00_);_(&quot;$&quot;* \(#,##0.00\);_(&quot;$&quot;* &quot;-&quot;??_);_(@_)"/>
    <numFmt numFmtId="181" formatCode="mm/dd/yyyy"/>
    <numFmt numFmtId="182" formatCode="_-&quot;€&quot;* #,##0.00_-;\-&quot;€&quot;* #,##0.00_-;_-&quot;€&quot;* &quot;-&quot;??_-;_-@"/>
    <numFmt numFmtId="183" formatCode="m/d/yyyy"/>
    <numFmt numFmtId="184" formatCode="&quot;$&quot;#,##0.000"/>
    <numFmt numFmtId="185" formatCode="_([$€-2]\ * #,##0.00_);_([$€-2]\ * \(#,##0.00\);_([$€-2]\ * &quot;-&quot;??_);_(@_)"/>
  </numFmts>
  <fonts count="90">
    <font>
      <sz val="10.0"/>
      <color rgb="FF000000"/>
      <name val="Arial"/>
      <scheme val="minor"/>
    </font>
    <font>
      <color theme="1"/>
      <name val="Arial"/>
      <scheme val="minor"/>
    </font>
    <font>
      <color theme="1"/>
      <name val="Arial"/>
    </font>
    <font>
      <sz val="12.0"/>
      <color rgb="FFFFFFFF"/>
      <name val="Arial"/>
    </font>
    <font/>
    <font>
      <color rgb="FF202223"/>
      <name val="Arial"/>
    </font>
    <font>
      <u/>
      <color rgb="FF1155CC"/>
      <name val="Arial"/>
    </font>
    <font>
      <color rgb="FFFFFFFF"/>
      <name val="Arial"/>
    </font>
    <font>
      <sz val="12.0"/>
      <color theme="1"/>
      <name val="Arial"/>
    </font>
    <font>
      <i/>
      <sz val="8.0"/>
      <color theme="1"/>
      <name val="Arial"/>
    </font>
    <font>
      <b/>
      <i/>
      <sz val="12.0"/>
      <color theme="1"/>
      <name val="Arial"/>
    </font>
    <font>
      <u/>
      <color rgb="FF1155CC"/>
      <name val="Arial"/>
    </font>
    <font>
      <sz val="9.0"/>
      <color rgb="FFEFEFEF"/>
      <name val="Arial"/>
    </font>
    <font>
      <sz val="9.0"/>
      <color rgb="FFFFFFFF"/>
      <name val="Arial"/>
    </font>
    <font>
      <sz val="9.0"/>
      <color rgb="FFB7B7B7"/>
      <name val="Arial"/>
    </font>
    <font>
      <b/>
      <sz val="12.0"/>
      <color theme="1"/>
      <name val="Arial"/>
    </font>
    <font>
      <sz val="9.0"/>
      <color theme="1"/>
      <name val="Arial"/>
    </font>
    <font>
      <b/>
      <color theme="1"/>
      <name val="Arial"/>
    </font>
    <font>
      <u/>
      <color rgb="FF1155CC"/>
      <name val="Arial"/>
    </font>
    <font>
      <color rgb="FFD9D9D9"/>
      <name val="Arial"/>
    </font>
    <font>
      <u/>
      <color rgb="FF1155CC"/>
      <name val="Arial"/>
    </font>
    <font>
      <color rgb="FFF6B26B"/>
      <name val="Arial"/>
    </font>
    <font>
      <sz val="13.0"/>
      <color rgb="FFFFFFFF"/>
      <name val="Arial"/>
    </font>
    <font>
      <b/>
      <sz val="12.0"/>
      <color rgb="FFFFFFFF"/>
      <name val="Arial"/>
    </font>
    <font>
      <sz val="12.0"/>
      <color rgb="FFA5A5A5"/>
      <name val="Arial"/>
    </font>
    <font>
      <sz val="12.0"/>
      <color rgb="FF000000"/>
      <name val="Arial"/>
    </font>
    <font>
      <u/>
      <color rgb="FF0000FF"/>
    </font>
    <font>
      <color rgb="FF000000"/>
      <name val="Arial"/>
      <scheme val="minor"/>
    </font>
    <font>
      <color theme="0"/>
      <name val="Arial"/>
      <scheme val="minor"/>
    </font>
    <font>
      <color rgb="FFFFFFFF"/>
      <name val="Arial"/>
      <scheme val="minor"/>
    </font>
    <font>
      <b/>
      <color theme="1"/>
      <name val="Arial"/>
      <scheme val="minor"/>
    </font>
    <font>
      <b/>
      <color rgb="FFFFFFFF"/>
      <name val="Arial"/>
    </font>
    <font>
      <u/>
      <color rgb="FF0000FF"/>
    </font>
    <font>
      <b/>
      <sz val="9.0"/>
      <color theme="1"/>
      <name val="Arial"/>
      <scheme val="minor"/>
    </font>
    <font>
      <b/>
      <sz val="20.0"/>
      <color theme="1"/>
      <name val="Arial"/>
      <scheme val="minor"/>
    </font>
    <font>
      <color rgb="FFEEEEEE"/>
      <name val="Arial"/>
      <scheme val="minor"/>
    </font>
    <font>
      <i/>
      <sz val="12.0"/>
      <color theme="1"/>
      <name val="Arial"/>
    </font>
    <font>
      <u/>
      <color rgb="FF0000FF"/>
    </font>
    <font>
      <sz val="12.0"/>
      <color theme="1"/>
      <name val="Calibri"/>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sz val="12.0"/>
      <color rgb="FF999999"/>
      <name val="Arial"/>
    </font>
    <font>
      <b/>
      <sz val="12.0"/>
      <color theme="1"/>
      <name val="Calibri"/>
    </font>
    <font>
      <i/>
      <sz val="8.0"/>
      <color theme="1"/>
      <name val="Arial"/>
      <scheme val="minor"/>
    </font>
    <font>
      <i/>
      <color theme="1"/>
      <name val="Arial"/>
      <scheme val="minor"/>
    </font>
    <font>
      <sz val="10.0"/>
      <color rgb="FF202223"/>
      <name val="Arial"/>
      <scheme val="minor"/>
    </font>
    <font>
      <i/>
      <color theme="1"/>
      <name val="Arial"/>
    </font>
    <font>
      <sz val="11.0"/>
      <color rgb="FF1F2124"/>
      <name val="Arial"/>
    </font>
    <font>
      <sz val="12.0"/>
      <color rgb="FF202223"/>
      <name val="Arial"/>
    </font>
    <font>
      <color theme="1"/>
      <name val="Google Sans"/>
    </font>
    <font>
      <sz val="10.0"/>
      <color theme="1"/>
      <name val="Arial"/>
      <scheme val="minor"/>
    </font>
    <font>
      <sz val="12.0"/>
      <color theme="1"/>
      <name val="Arial"/>
      <scheme val="minor"/>
    </font>
    <font>
      <sz val="11.0"/>
      <color rgb="FF202223"/>
      <name val="Arial"/>
    </font>
    <font>
      <sz val="10.0"/>
      <color rgb="FF212B36"/>
      <name val="-apple-system"/>
    </font>
    <font>
      <color rgb="FFD9D9D9"/>
      <name val="Arial"/>
      <scheme val="minor"/>
    </font>
    <font>
      <sz val="8.0"/>
      <color rgb="FF333333"/>
      <name val="Latoregular"/>
    </font>
    <font>
      <i/>
      <sz val="8.0"/>
      <color rgb="FF000000"/>
      <name val="Arial"/>
      <scheme val="minor"/>
    </font>
    <font>
      <sz val="12.0"/>
      <color rgb="FF202223"/>
      <name val="Arial"/>
      <scheme val="minor"/>
    </font>
    <font>
      <sz val="11.0"/>
      <color rgb="FF202223"/>
      <name val="-apple-system"/>
    </font>
    <font>
      <sz val="13.0"/>
      <color theme="1"/>
      <name val="Arial"/>
    </font>
    <font>
      <sz val="12.0"/>
      <color rgb="FF000000"/>
      <name val="Inherit"/>
    </font>
    <font>
      <sz val="13.0"/>
      <color rgb="FF000000"/>
      <name val="Inherit"/>
    </font>
    <font>
      <sz val="13.0"/>
      <color theme="1"/>
      <name val="Arial"/>
      <scheme val="minor"/>
    </font>
    <font>
      <b/>
      <sz val="11.0"/>
      <color rgb="FF134F5C"/>
      <name val="Calibri"/>
    </font>
    <font>
      <b/>
      <sz val="11.0"/>
      <color rgb="FF45818E"/>
      <name val="Calibri"/>
    </font>
    <font>
      <b/>
      <sz val="11.0"/>
      <color rgb="FF4C1130"/>
      <name val="Calibri"/>
    </font>
    <font>
      <sz val="11.0"/>
      <color rgb="FF4C1130"/>
      <name val="Calibri"/>
    </font>
    <font>
      <b/>
      <sz val="11.0"/>
      <color rgb="FF980000"/>
      <name val="Calibri"/>
    </font>
    <font>
      <sz val="11.0"/>
      <color rgb="FF980000"/>
      <name val="Calibri"/>
    </font>
    <font>
      <sz val="11.0"/>
      <color rgb="FF000000"/>
      <name val="Calibri"/>
    </font>
    <font>
      <sz val="8.0"/>
      <color theme="1"/>
      <name val="Arial"/>
      <scheme val="minor"/>
    </font>
    <font>
      <b/>
      <sz val="12.0"/>
      <color theme="1"/>
      <name val="Arial"/>
      <scheme val="minor"/>
    </font>
    <font>
      <b/>
      <sz val="8.0"/>
      <color theme="1"/>
      <name val="Arial"/>
    </font>
    <font>
      <sz val="8.0"/>
      <color rgb="FF000000"/>
      <name val="Calibri"/>
    </font>
    <font>
      <sz val="13.0"/>
      <color rgb="FF000000"/>
      <name val="Arial"/>
    </font>
    <font>
      <sz val="12.0"/>
      <color rgb="FFFFFF00"/>
      <name val="Arial"/>
    </font>
    <font>
      <sz val="12.0"/>
      <color rgb="FFAEABAB"/>
      <name val="Arial"/>
    </font>
    <font>
      <sz val="12.0"/>
      <color rgb="FF006100"/>
      <name val="Arial"/>
    </font>
  </fonts>
  <fills count="245">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EFEFEF"/>
        <bgColor rgb="FFEFEFEF"/>
      </patternFill>
    </fill>
    <fill>
      <patternFill patternType="solid">
        <fgColor rgb="FFF3F3F3"/>
        <bgColor rgb="FFF3F3F3"/>
      </patternFill>
    </fill>
    <fill>
      <patternFill patternType="solid">
        <fgColor rgb="FF9CC2E5"/>
        <bgColor rgb="FF9CC2E5"/>
      </patternFill>
    </fill>
    <fill>
      <patternFill patternType="solid">
        <fgColor rgb="FFCCCCCC"/>
        <bgColor rgb="FFCCCCCC"/>
      </patternFill>
    </fill>
    <fill>
      <patternFill patternType="solid">
        <fgColor rgb="FF2F5496"/>
        <bgColor rgb="FF2F5496"/>
      </patternFill>
    </fill>
    <fill>
      <patternFill patternType="solid">
        <fgColor rgb="FFFFFFFF"/>
        <bgColor rgb="FFFFFFFF"/>
      </patternFill>
    </fill>
    <fill>
      <patternFill patternType="solid">
        <fgColor rgb="FF4A86E8"/>
        <bgColor rgb="FF4A86E8"/>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D9EAD3"/>
        <bgColor rgb="FFD9EAD3"/>
      </patternFill>
    </fill>
    <fill>
      <patternFill patternType="solid">
        <fgColor rgb="FFB6D7A8"/>
        <bgColor rgb="FFB6D7A8"/>
      </patternFill>
    </fill>
    <fill>
      <patternFill patternType="solid">
        <fgColor rgb="FFFFFF00"/>
        <bgColor rgb="FFFFFF00"/>
      </patternFill>
    </fill>
    <fill>
      <patternFill patternType="solid">
        <fgColor rgb="FFB7B7B7"/>
        <bgColor rgb="FFB7B7B7"/>
      </patternFill>
    </fill>
    <fill>
      <patternFill patternType="solid">
        <fgColor rgb="FFF4CCCC"/>
        <bgColor rgb="FFF4CCCC"/>
      </patternFill>
    </fill>
    <fill>
      <patternFill patternType="solid">
        <fgColor rgb="FFEA9999"/>
        <bgColor rgb="FFEA9999"/>
      </patternFill>
    </fill>
    <fill>
      <patternFill patternType="solid">
        <fgColor rgb="FFA8D08D"/>
        <bgColor rgb="FFA8D08D"/>
      </patternFill>
    </fill>
    <fill>
      <patternFill patternType="solid">
        <fgColor rgb="FFA4C2F4"/>
        <bgColor rgb="FFA4C2F4"/>
      </patternFill>
    </fill>
    <fill>
      <patternFill patternType="solid">
        <fgColor rgb="FFF0F9F5"/>
        <bgColor rgb="FFF0F9F5"/>
      </patternFill>
    </fill>
    <fill>
      <patternFill patternType="solid">
        <fgColor rgb="FFDFF2E9"/>
        <bgColor rgb="FFDFF2E9"/>
      </patternFill>
    </fill>
    <fill>
      <patternFill patternType="solid">
        <fgColor rgb="FF9DD7BB"/>
        <bgColor rgb="FF9DD7BB"/>
      </patternFill>
    </fill>
    <fill>
      <patternFill patternType="solid">
        <fgColor rgb="FFBBE4D0"/>
        <bgColor rgb="FFBBE4D0"/>
      </patternFill>
    </fill>
    <fill>
      <patternFill patternType="solid">
        <fgColor rgb="FFA3DABF"/>
        <bgColor rgb="FFA3DABF"/>
      </patternFill>
    </fill>
    <fill>
      <patternFill patternType="solid">
        <fgColor rgb="FF57BB8A"/>
        <bgColor rgb="FF57BB8A"/>
      </patternFill>
    </fill>
    <fill>
      <patternFill patternType="solid">
        <fgColor rgb="FF5DBE8F"/>
        <bgColor rgb="FF5DBE8F"/>
      </patternFill>
    </fill>
    <fill>
      <patternFill patternType="solid">
        <fgColor rgb="FF7AC9A2"/>
        <bgColor rgb="FF7AC9A2"/>
      </patternFill>
    </fill>
    <fill>
      <patternFill patternType="solid">
        <fgColor rgb="FFD2EDE0"/>
        <bgColor rgb="FFD2EDE0"/>
      </patternFill>
    </fill>
    <fill>
      <patternFill patternType="solid">
        <fgColor rgb="FFC3E7D5"/>
        <bgColor rgb="FFC3E7D5"/>
      </patternFill>
    </fill>
    <fill>
      <patternFill patternType="solid">
        <fgColor rgb="FF8DD1B0"/>
        <bgColor rgb="FF8DD1B0"/>
      </patternFill>
    </fill>
    <fill>
      <patternFill patternType="solid">
        <fgColor rgb="FFF4FBF7"/>
        <bgColor rgb="FFF4FBF7"/>
      </patternFill>
    </fill>
    <fill>
      <patternFill patternType="solid">
        <fgColor rgb="FFB2E0CA"/>
        <bgColor rgb="FFB2E0CA"/>
      </patternFill>
    </fill>
    <fill>
      <patternFill patternType="solid">
        <fgColor rgb="FFABDDC5"/>
        <bgColor rgb="FFABDDC5"/>
      </patternFill>
    </fill>
    <fill>
      <patternFill patternType="solid">
        <fgColor rgb="FF63C093"/>
        <bgColor rgb="FF63C093"/>
      </patternFill>
    </fill>
    <fill>
      <patternFill patternType="solid">
        <fgColor rgb="FF97D5B7"/>
        <bgColor rgb="FF97D5B7"/>
      </patternFill>
    </fill>
    <fill>
      <patternFill patternType="solid">
        <fgColor rgb="FFA2DABE"/>
        <bgColor rgb="FFA2DABE"/>
      </patternFill>
    </fill>
    <fill>
      <patternFill patternType="solid">
        <fgColor rgb="FF9BD7BA"/>
        <bgColor rgb="FF9BD7BA"/>
      </patternFill>
    </fill>
    <fill>
      <patternFill patternType="solid">
        <fgColor rgb="FFF9FDFB"/>
        <bgColor rgb="FFF9FDFB"/>
      </patternFill>
    </fill>
    <fill>
      <patternFill patternType="solid">
        <fgColor rgb="FFBEE5D2"/>
        <bgColor rgb="FFBEE5D2"/>
      </patternFill>
    </fill>
    <fill>
      <patternFill patternType="solid">
        <fgColor rgb="FFB4E1CB"/>
        <bgColor rgb="FFB4E1CB"/>
      </patternFill>
    </fill>
    <fill>
      <patternFill patternType="solid">
        <fgColor rgb="FFCFECDE"/>
        <bgColor rgb="FFCFECDE"/>
      </patternFill>
    </fill>
    <fill>
      <patternFill patternType="solid">
        <fgColor rgb="FFDCF1E7"/>
        <bgColor rgb="FFDCF1E7"/>
      </patternFill>
    </fill>
    <fill>
      <patternFill patternType="solid">
        <fgColor rgb="FFC3E7D6"/>
        <bgColor rgb="FFC3E7D6"/>
      </patternFill>
    </fill>
    <fill>
      <patternFill patternType="solid">
        <fgColor rgb="FFC7E9D8"/>
        <bgColor rgb="FFC7E9D8"/>
      </patternFill>
    </fill>
    <fill>
      <patternFill patternType="solid">
        <fgColor rgb="FFB3E0CA"/>
        <bgColor rgb="FFB3E0CA"/>
      </patternFill>
    </fill>
    <fill>
      <patternFill patternType="solid">
        <fgColor rgb="FFF2FAF6"/>
        <bgColor rgb="FFF2FAF6"/>
      </patternFill>
    </fill>
    <fill>
      <patternFill patternType="solid">
        <fgColor rgb="FFACDEC6"/>
        <bgColor rgb="FFACDEC6"/>
      </patternFill>
    </fill>
    <fill>
      <patternFill patternType="solid">
        <fgColor rgb="FF96D5B6"/>
        <bgColor rgb="FF96D5B6"/>
      </patternFill>
    </fill>
    <fill>
      <patternFill patternType="solid">
        <fgColor rgb="FFBDE5D1"/>
        <bgColor rgb="FFBDE5D1"/>
      </patternFill>
    </fill>
    <fill>
      <patternFill patternType="solid">
        <fgColor rgb="FFD8EFE4"/>
        <bgColor rgb="FFD8EFE4"/>
      </patternFill>
    </fill>
    <fill>
      <patternFill patternType="solid">
        <fgColor rgb="FFDFF3E9"/>
        <bgColor rgb="FFDFF3E9"/>
      </patternFill>
    </fill>
    <fill>
      <patternFill patternType="solid">
        <fgColor rgb="FFD0ECDF"/>
        <bgColor rgb="FFD0ECDF"/>
      </patternFill>
    </fill>
    <fill>
      <patternFill patternType="solid">
        <fgColor rgb="FFC9E9D9"/>
        <bgColor rgb="FFC9E9D9"/>
      </patternFill>
    </fill>
    <fill>
      <patternFill patternType="solid">
        <fgColor rgb="FF9DD8BB"/>
        <bgColor rgb="FF9DD8BB"/>
      </patternFill>
    </fill>
    <fill>
      <patternFill patternType="solid">
        <fgColor rgb="FFD4EEE1"/>
        <bgColor rgb="FFD4EEE1"/>
      </patternFill>
    </fill>
    <fill>
      <patternFill patternType="solid">
        <fgColor rgb="FFC5E8D7"/>
        <bgColor rgb="FFC5E8D7"/>
      </patternFill>
    </fill>
    <fill>
      <patternFill patternType="solid">
        <fgColor rgb="FFFF7E79"/>
        <bgColor rgb="FFFF7E79"/>
      </patternFill>
    </fill>
    <fill>
      <patternFill patternType="solid">
        <fgColor rgb="FF9FD9BC"/>
        <bgColor rgb="FF9FD9BC"/>
      </patternFill>
    </fill>
    <fill>
      <patternFill patternType="solid">
        <fgColor rgb="FF67C295"/>
        <bgColor rgb="FF67C295"/>
      </patternFill>
    </fill>
    <fill>
      <patternFill patternType="solid">
        <fgColor rgb="FFB0DFC8"/>
        <bgColor rgb="FFB0DFC8"/>
      </patternFill>
    </fill>
    <fill>
      <patternFill patternType="solid">
        <fgColor rgb="FFA7DCC2"/>
        <bgColor rgb="FFA7DCC2"/>
      </patternFill>
    </fill>
    <fill>
      <patternFill patternType="solid">
        <fgColor rgb="FFE6F5EE"/>
        <bgColor rgb="FFE6F5EE"/>
      </patternFill>
    </fill>
    <fill>
      <patternFill patternType="solid">
        <fgColor rgb="FFADDEC6"/>
        <bgColor rgb="FFADDEC6"/>
      </patternFill>
    </fill>
    <fill>
      <patternFill patternType="solid">
        <fgColor rgb="FF9ED8BC"/>
        <bgColor rgb="FF9ED8BC"/>
      </patternFill>
    </fill>
    <fill>
      <patternFill patternType="solid">
        <fgColor rgb="FFC2E7D5"/>
        <bgColor rgb="FFC2E7D5"/>
      </patternFill>
    </fill>
    <fill>
      <patternFill patternType="solid">
        <fgColor rgb="FFB2E0C9"/>
        <bgColor rgb="FFB2E0C9"/>
      </patternFill>
    </fill>
    <fill>
      <patternFill patternType="solid">
        <fgColor rgb="FFC1E6D4"/>
        <bgColor rgb="FFC1E6D4"/>
      </patternFill>
    </fill>
    <fill>
      <patternFill patternType="solid">
        <fgColor rgb="FF9FD8BC"/>
        <bgColor rgb="FF9FD8BC"/>
      </patternFill>
    </fill>
    <fill>
      <patternFill patternType="solid">
        <fgColor rgb="FF82CDA8"/>
        <bgColor rgb="FF82CDA8"/>
      </patternFill>
    </fill>
    <fill>
      <patternFill patternType="solid">
        <fgColor rgb="FF90D2B2"/>
        <bgColor rgb="FF90D2B2"/>
      </patternFill>
    </fill>
    <fill>
      <patternFill patternType="solid">
        <fgColor rgb="FF72C69D"/>
        <bgColor rgb="FF72C69D"/>
      </patternFill>
    </fill>
    <fill>
      <patternFill patternType="solid">
        <fgColor rgb="FFD1EDDF"/>
        <bgColor rgb="FFD1EDDF"/>
      </patternFill>
    </fill>
    <fill>
      <patternFill patternType="solid">
        <fgColor rgb="FF9ED8BB"/>
        <bgColor rgb="FF9ED8BB"/>
      </patternFill>
    </fill>
    <fill>
      <patternFill patternType="solid">
        <fgColor rgb="FF76C8A0"/>
        <bgColor rgb="FF76C8A0"/>
      </patternFill>
    </fill>
    <fill>
      <patternFill patternType="solid">
        <fgColor rgb="FF84CEAA"/>
        <bgColor rgb="FF84CEAA"/>
      </patternFill>
    </fill>
    <fill>
      <patternFill patternType="solid">
        <fgColor rgb="FF7DCBA5"/>
        <bgColor rgb="FF7DCBA5"/>
      </patternFill>
    </fill>
    <fill>
      <patternFill patternType="solid">
        <fgColor rgb="FFACDEC5"/>
        <bgColor rgb="FFACDEC5"/>
      </patternFill>
    </fill>
    <fill>
      <patternFill patternType="solid">
        <fgColor rgb="FF5ABC8C"/>
        <bgColor rgb="FF5ABC8C"/>
      </patternFill>
    </fill>
    <fill>
      <patternFill patternType="solid">
        <fgColor rgb="FFB5E2CC"/>
        <bgColor rgb="FFB5E2CC"/>
      </patternFill>
    </fill>
    <fill>
      <patternFill patternType="solid">
        <fgColor rgb="FFF7FCFA"/>
        <bgColor rgb="FFF7FCFA"/>
      </patternFill>
    </fill>
    <fill>
      <patternFill patternType="solid">
        <fgColor rgb="FFC8E9D9"/>
        <bgColor rgb="FFC8E9D9"/>
      </patternFill>
    </fill>
    <fill>
      <patternFill patternType="solid">
        <fgColor rgb="FF75C89F"/>
        <bgColor rgb="FF75C89F"/>
      </patternFill>
    </fill>
    <fill>
      <patternFill patternType="solid">
        <fgColor rgb="FFCCEBDC"/>
        <bgColor rgb="FFCCEBDC"/>
      </patternFill>
    </fill>
    <fill>
      <patternFill patternType="solid">
        <fgColor rgb="FFFCFEFD"/>
        <bgColor rgb="FFFCFEFD"/>
      </patternFill>
    </fill>
    <fill>
      <patternFill patternType="solid">
        <fgColor rgb="FFAEDFC7"/>
        <bgColor rgb="FFAEDFC7"/>
      </patternFill>
    </fill>
    <fill>
      <patternFill patternType="solid">
        <fgColor rgb="FFD3EEE1"/>
        <bgColor rgb="FFD3EEE1"/>
      </patternFill>
    </fill>
    <fill>
      <patternFill patternType="solid">
        <fgColor rgb="FFB3E1CA"/>
        <bgColor rgb="FFB3E1CA"/>
      </patternFill>
    </fill>
    <fill>
      <patternFill patternType="solid">
        <fgColor rgb="FFA5DBC0"/>
        <bgColor rgb="FFA5DBC0"/>
      </patternFill>
    </fill>
    <fill>
      <patternFill patternType="solid">
        <fgColor rgb="FFB1E0C9"/>
        <bgColor rgb="FFB1E0C9"/>
      </patternFill>
    </fill>
    <fill>
      <patternFill patternType="solid">
        <fgColor rgb="FF8FD2B1"/>
        <bgColor rgb="FF8FD2B1"/>
      </patternFill>
    </fill>
    <fill>
      <patternFill patternType="solid">
        <fgColor rgb="FFEAF7F1"/>
        <bgColor rgb="FFEAF7F1"/>
      </patternFill>
    </fill>
    <fill>
      <patternFill patternType="solid">
        <fgColor rgb="FF73C79E"/>
        <bgColor rgb="FF73C79E"/>
      </patternFill>
    </fill>
    <fill>
      <patternFill patternType="solid">
        <fgColor rgb="FFE0F3E9"/>
        <bgColor rgb="FFE0F3E9"/>
      </patternFill>
    </fill>
    <fill>
      <patternFill patternType="solid">
        <fgColor rgb="FFB8E3CE"/>
        <bgColor rgb="FFB8E3CE"/>
      </patternFill>
    </fill>
    <fill>
      <patternFill patternType="solid">
        <fgColor rgb="FFC6E8D7"/>
        <bgColor rgb="FFC6E8D7"/>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A5A5A5"/>
        <bgColor rgb="FFA5A5A5"/>
      </patternFill>
    </fill>
    <fill>
      <patternFill patternType="solid">
        <fgColor rgb="FFFFD966"/>
        <bgColor rgb="FFFFD966"/>
      </patternFill>
    </fill>
    <fill>
      <patternFill patternType="solid">
        <fgColor rgb="FFE98A82"/>
        <bgColor rgb="FFE98A82"/>
      </patternFill>
    </fill>
    <fill>
      <patternFill patternType="solid">
        <fgColor rgb="FFEA9189"/>
        <bgColor rgb="FFEA9189"/>
      </patternFill>
    </fill>
    <fill>
      <patternFill patternType="solid">
        <fgColor rgb="FFEB948C"/>
        <bgColor rgb="FFEB948C"/>
      </patternFill>
    </fill>
    <fill>
      <patternFill patternType="solid">
        <fgColor rgb="FFEB968F"/>
        <bgColor rgb="FFEB968F"/>
      </patternFill>
    </fill>
    <fill>
      <patternFill patternType="solid">
        <fgColor rgb="FFEC9992"/>
        <bgColor rgb="FFEC9992"/>
      </patternFill>
    </fill>
    <fill>
      <patternFill patternType="solid">
        <fgColor rgb="FFEB938B"/>
        <bgColor rgb="FFEB938B"/>
      </patternFill>
    </fill>
    <fill>
      <patternFill patternType="solid">
        <fgColor rgb="FFEC9790"/>
        <bgColor rgb="FFEC9790"/>
      </patternFill>
    </fill>
    <fill>
      <patternFill patternType="solid">
        <fgColor rgb="FFEEA39C"/>
        <bgColor rgb="FFEEA39C"/>
      </patternFill>
    </fill>
    <fill>
      <patternFill patternType="solid">
        <fgColor rgb="FFF0B0AB"/>
        <bgColor rgb="FFF0B0AB"/>
      </patternFill>
    </fill>
    <fill>
      <patternFill patternType="solid">
        <fgColor rgb="FFEFAAA4"/>
        <bgColor rgb="FFEFAAA4"/>
      </patternFill>
    </fill>
    <fill>
      <patternFill patternType="solid">
        <fgColor rgb="FFEA9089"/>
        <bgColor rgb="FFEA9089"/>
      </patternFill>
    </fill>
    <fill>
      <patternFill patternType="solid">
        <fgColor rgb="FFE67C73"/>
        <bgColor rgb="FFE67C73"/>
      </patternFill>
    </fill>
    <fill>
      <patternFill patternType="solid">
        <fgColor rgb="FFEB928B"/>
        <bgColor rgb="FFEB928B"/>
      </patternFill>
    </fill>
    <fill>
      <patternFill patternType="solid">
        <fgColor theme="0"/>
        <bgColor theme="0"/>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B45F06"/>
        <bgColor rgb="FFB45F06"/>
      </patternFill>
    </fill>
    <fill>
      <patternFill patternType="solid">
        <fgColor rgb="FF999999"/>
        <bgColor rgb="FF999999"/>
      </patternFill>
    </fill>
    <fill>
      <patternFill patternType="solid">
        <fgColor rgb="FF548135"/>
        <bgColor rgb="FF548135"/>
      </patternFill>
    </fill>
    <fill>
      <patternFill patternType="solid">
        <fgColor rgb="FFDADADA"/>
        <bgColor rgb="FFDADADA"/>
      </patternFill>
    </fill>
    <fill>
      <patternFill patternType="solid">
        <fgColor rgb="FFB5E1CB"/>
        <bgColor rgb="FFB5E1CB"/>
      </patternFill>
    </fill>
    <fill>
      <patternFill patternType="solid">
        <fgColor rgb="FF7F6000"/>
        <bgColor rgb="FF7F6000"/>
      </patternFill>
    </fill>
    <fill>
      <patternFill patternType="solid">
        <fgColor rgb="FF6DC499"/>
        <bgColor rgb="FF6DC499"/>
      </patternFill>
    </fill>
    <fill>
      <patternFill patternType="solid">
        <fgColor rgb="FF8BD0AE"/>
        <bgColor rgb="FF8BD0AE"/>
      </patternFill>
    </fill>
    <fill>
      <patternFill patternType="solid">
        <fgColor rgb="FFFFD965"/>
        <bgColor rgb="FFFFD965"/>
      </patternFill>
    </fill>
    <fill>
      <patternFill patternType="solid">
        <fgColor rgb="FF94D4B4"/>
        <bgColor rgb="FF94D4B4"/>
      </patternFill>
    </fill>
    <fill>
      <patternFill patternType="solid">
        <fgColor rgb="FFBCE4D0"/>
        <bgColor rgb="FFBCE4D0"/>
      </patternFill>
    </fill>
    <fill>
      <patternFill patternType="solid">
        <fgColor rgb="FFDBF1E6"/>
        <bgColor rgb="FFDBF1E6"/>
      </patternFill>
    </fill>
    <fill>
      <patternFill patternType="solid">
        <fgColor rgb="FFCDEBDC"/>
        <bgColor rgb="FFCDEBDC"/>
      </patternFill>
    </fill>
    <fill>
      <patternFill patternType="solid">
        <fgColor rgb="FFE4F4ED"/>
        <bgColor rgb="FFE4F4ED"/>
      </patternFill>
    </fill>
    <fill>
      <patternFill patternType="solid">
        <fgColor rgb="FFF8FCFA"/>
        <bgColor rgb="FFF8FCFA"/>
      </patternFill>
    </fill>
    <fill>
      <patternFill patternType="solid">
        <fgColor rgb="FFFAFDFC"/>
        <bgColor rgb="FFFAFDFC"/>
      </patternFill>
    </fill>
    <fill>
      <patternFill patternType="solid">
        <fgColor rgb="FFF1FAF6"/>
        <bgColor rgb="FFF1FAF6"/>
      </patternFill>
    </fill>
    <fill>
      <patternFill patternType="solid">
        <fgColor rgb="FFF4FBF8"/>
        <bgColor rgb="FFF4FBF8"/>
      </patternFill>
    </fill>
    <fill>
      <patternFill patternType="solid">
        <fgColor rgb="FFEDF8F3"/>
        <bgColor rgb="FFEDF8F3"/>
      </patternFill>
    </fill>
    <fill>
      <patternFill patternType="solid">
        <fgColor rgb="FF78C9A1"/>
        <bgColor rgb="FF78C9A1"/>
      </patternFill>
    </fill>
    <fill>
      <patternFill patternType="solid">
        <fgColor rgb="FF9AD7B9"/>
        <bgColor rgb="FF9AD7B9"/>
      </patternFill>
    </fill>
    <fill>
      <patternFill patternType="solid">
        <fgColor rgb="FF8AD0AD"/>
        <bgColor rgb="FF8AD0AD"/>
      </patternFill>
    </fill>
    <fill>
      <patternFill patternType="solid">
        <fgColor rgb="FF7CCAA4"/>
        <bgColor rgb="FF7CCAA4"/>
      </patternFill>
    </fill>
    <fill>
      <patternFill patternType="solid">
        <fgColor rgb="FF86CEAB"/>
        <bgColor rgb="FF86CEAB"/>
      </patternFill>
    </fill>
    <fill>
      <patternFill patternType="solid">
        <fgColor rgb="FF7ECBA5"/>
        <bgColor rgb="FF7ECBA5"/>
      </patternFill>
    </fill>
    <fill>
      <patternFill patternType="solid">
        <fgColor rgb="FF70C59B"/>
        <bgColor rgb="FF70C59B"/>
      </patternFill>
    </fill>
    <fill>
      <patternFill patternType="solid">
        <fgColor rgb="FF6FC59B"/>
        <bgColor rgb="FF6FC59B"/>
      </patternFill>
    </fill>
    <fill>
      <patternFill patternType="solid">
        <fgColor rgb="FF65C194"/>
        <bgColor rgb="FF65C194"/>
      </patternFill>
    </fill>
    <fill>
      <patternFill patternType="solid">
        <fgColor rgb="FF6CC499"/>
        <bgColor rgb="FF6CC499"/>
      </patternFill>
    </fill>
    <fill>
      <patternFill patternType="solid">
        <fgColor rgb="FF92D3B3"/>
        <bgColor rgb="FF92D3B3"/>
      </patternFill>
    </fill>
    <fill>
      <patternFill patternType="solid">
        <fgColor rgb="FFBAE3CF"/>
        <bgColor rgb="FFBAE3CF"/>
      </patternFill>
    </fill>
    <fill>
      <patternFill patternType="solid">
        <fgColor rgb="FFA4DBC0"/>
        <bgColor rgb="FFA4DBC0"/>
      </patternFill>
    </fill>
    <fill>
      <patternFill patternType="solid">
        <fgColor rgb="FF81CCA8"/>
        <bgColor rgb="FF81CCA8"/>
      </patternFill>
    </fill>
    <fill>
      <patternFill patternType="solid">
        <fgColor rgb="FF6EC59A"/>
        <bgColor rgb="FF6EC59A"/>
      </patternFill>
    </fill>
    <fill>
      <patternFill patternType="solid">
        <fgColor rgb="FFD0E0E3"/>
        <bgColor rgb="FFD0E0E3"/>
      </patternFill>
    </fill>
    <fill>
      <patternFill patternType="solid">
        <fgColor rgb="FFF2F2F2"/>
        <bgColor rgb="FFF2F2F2"/>
      </patternFill>
    </fill>
    <fill>
      <patternFill patternType="solid">
        <fgColor rgb="FFAEABAB"/>
        <bgColor rgb="FFAEABAB"/>
      </patternFill>
    </fill>
    <fill>
      <patternFill patternType="solid">
        <fgColor rgb="FFE2EFDA"/>
        <bgColor rgb="FFE2EFDA"/>
      </patternFill>
    </fill>
    <fill>
      <patternFill patternType="solid">
        <fgColor rgb="FFEDEDED"/>
        <bgColor rgb="FFEDEDED"/>
      </patternFill>
    </fill>
    <fill>
      <patternFill patternType="solid">
        <fgColor rgb="FFC111AC"/>
        <bgColor rgb="FFC111AC"/>
      </patternFill>
    </fill>
    <fill>
      <patternFill patternType="solid">
        <fgColor rgb="FFF0BAE8"/>
        <bgColor rgb="FFF0BAE8"/>
      </patternFill>
    </fill>
    <fill>
      <patternFill patternType="solid">
        <fgColor rgb="FFBE2626"/>
        <bgColor rgb="FFBE2626"/>
      </patternFill>
    </fill>
    <fill>
      <patternFill patternType="solid">
        <fgColor rgb="FF833C0B"/>
        <bgColor rgb="FF833C0B"/>
      </patternFill>
    </fill>
    <fill>
      <patternFill patternType="solid">
        <fgColor rgb="FFA64D79"/>
        <bgColor rgb="FFA64D79"/>
      </patternFill>
    </fill>
    <fill>
      <patternFill patternType="solid">
        <fgColor rgb="FF93C47D"/>
        <bgColor rgb="FF93C47D"/>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CFE2F3"/>
        <bgColor rgb="FFCFE2F3"/>
      </patternFill>
    </fill>
    <fill>
      <patternFill patternType="solid">
        <fgColor rgb="FFFEF9F8"/>
        <bgColor rgb="FFFEF9F8"/>
      </patternFill>
    </fill>
    <fill>
      <patternFill patternType="solid">
        <fgColor rgb="FFFBE6E4"/>
        <bgColor rgb="FFFBE6E4"/>
      </patternFill>
    </fill>
    <fill>
      <patternFill patternType="solid">
        <fgColor rgb="FFF8D8D5"/>
        <bgColor rgb="FFF8D8D5"/>
      </patternFill>
    </fill>
    <fill>
      <patternFill patternType="solid">
        <fgColor rgb="FFE78178"/>
        <bgColor rgb="FFE78178"/>
      </patternFill>
    </fill>
    <fill>
      <patternFill patternType="solid">
        <fgColor rgb="FFFEFAFA"/>
        <bgColor rgb="FFFEFAFA"/>
      </patternFill>
    </fill>
    <fill>
      <patternFill patternType="solid">
        <fgColor rgb="FFFAE2E0"/>
        <bgColor rgb="FFFAE2E0"/>
      </patternFill>
    </fill>
    <fill>
      <patternFill patternType="solid">
        <fgColor rgb="FFF8D6D4"/>
        <bgColor rgb="FFF8D6D4"/>
      </patternFill>
    </fill>
    <fill>
      <patternFill patternType="solid">
        <fgColor rgb="FFE8837A"/>
        <bgColor rgb="FFE8837A"/>
      </patternFill>
    </fill>
    <fill>
      <patternFill patternType="solid">
        <fgColor rgb="FFF9DCDA"/>
        <bgColor rgb="FFF9DCDA"/>
      </patternFill>
    </fill>
    <fill>
      <patternFill patternType="solid">
        <fgColor rgb="FFFFFCFB"/>
        <bgColor rgb="FFFFFCFB"/>
      </patternFill>
    </fill>
    <fill>
      <patternFill patternType="solid">
        <fgColor rgb="FFFEF6F6"/>
        <bgColor rgb="FFFEF6F6"/>
      </patternFill>
    </fill>
    <fill>
      <patternFill patternType="solid">
        <fgColor rgb="FFDBDBDB"/>
        <bgColor rgb="FFDBDBDB"/>
      </patternFill>
    </fill>
    <fill>
      <patternFill patternType="solid">
        <fgColor rgb="FFF6B26B"/>
        <bgColor rgb="FFF6B26B"/>
      </patternFill>
    </fill>
    <fill>
      <patternFill patternType="solid">
        <fgColor rgb="FFB7E2CD"/>
        <bgColor rgb="FFB7E2CD"/>
      </patternFill>
    </fill>
    <fill>
      <patternFill patternType="solid">
        <fgColor rgb="FFAFDFC8"/>
        <bgColor rgb="FFAFDFC8"/>
      </patternFill>
    </fill>
    <fill>
      <patternFill patternType="solid">
        <fgColor rgb="FFBFE5D3"/>
        <bgColor rgb="FFBFE5D3"/>
      </patternFill>
    </fill>
    <fill>
      <patternFill patternType="solid">
        <fgColor rgb="FFB9E3CE"/>
        <bgColor rgb="FFB9E3CE"/>
      </patternFill>
    </fill>
    <fill>
      <patternFill patternType="solid">
        <fgColor rgb="FFBCE4D1"/>
        <bgColor rgb="FFBCE4D1"/>
      </patternFill>
    </fill>
    <fill>
      <patternFill patternType="solid">
        <fgColor rgb="FFBDE4D1"/>
        <bgColor rgb="FFBDE4D1"/>
      </patternFill>
    </fill>
    <fill>
      <patternFill patternType="solid">
        <fgColor rgb="FFA0D9BD"/>
        <bgColor rgb="FFA0D9BD"/>
      </patternFill>
    </fill>
    <fill>
      <patternFill patternType="solid">
        <fgColor rgb="FF8AD0AE"/>
        <bgColor rgb="FF8AD0AE"/>
      </patternFill>
    </fill>
    <fill>
      <patternFill patternType="solid">
        <fgColor rgb="FF93D3B4"/>
        <bgColor rgb="FF93D3B4"/>
      </patternFill>
    </fill>
    <fill>
      <patternFill patternType="solid">
        <fgColor rgb="FFA4DAC0"/>
        <bgColor rgb="FFA4DAC0"/>
      </patternFill>
    </fill>
    <fill>
      <patternFill patternType="solid">
        <fgColor rgb="FFAEDEC7"/>
        <bgColor rgb="FFAEDEC7"/>
      </patternFill>
    </fill>
    <fill>
      <patternFill patternType="solid">
        <fgColor rgb="FFB6E2CC"/>
        <bgColor rgb="FFB6E2CC"/>
      </patternFill>
    </fill>
    <fill>
      <patternFill patternType="solid">
        <fgColor rgb="FFC7E8D8"/>
        <bgColor rgb="FFC7E8D8"/>
      </patternFill>
    </fill>
    <fill>
      <patternFill patternType="solid">
        <fgColor rgb="FFCEECDD"/>
        <bgColor rgb="FFCEECDD"/>
      </patternFill>
    </fill>
    <fill>
      <patternFill patternType="solid">
        <fgColor rgb="FFDEF2E8"/>
        <bgColor rgb="FFDEF2E8"/>
      </patternFill>
    </fill>
    <fill>
      <patternFill patternType="solid">
        <fgColor rgb="FFEFF9F4"/>
        <bgColor rgb="FFEFF9F4"/>
      </patternFill>
    </fill>
    <fill>
      <patternFill patternType="solid">
        <fgColor rgb="FFEEF8F3"/>
        <bgColor rgb="FFEEF8F3"/>
      </patternFill>
    </fill>
    <fill>
      <patternFill patternType="solid">
        <fgColor rgb="FFF1F9F5"/>
        <bgColor rgb="FFF1F9F5"/>
      </patternFill>
    </fill>
    <fill>
      <patternFill patternType="solid">
        <fgColor rgb="FFE7F6EF"/>
        <bgColor rgb="FFE7F6EF"/>
      </patternFill>
    </fill>
    <fill>
      <patternFill patternType="solid">
        <fgColor rgb="FFE8F6EF"/>
        <bgColor rgb="FFE8F6EF"/>
      </patternFill>
    </fill>
    <fill>
      <patternFill patternType="solid">
        <fgColor rgb="FFE9F6F0"/>
        <bgColor rgb="FFE9F6F0"/>
      </patternFill>
    </fill>
    <fill>
      <patternFill patternType="solid">
        <fgColor rgb="FFE4F4EC"/>
        <bgColor rgb="FFE4F4EC"/>
      </patternFill>
    </fill>
    <fill>
      <patternFill patternType="solid">
        <fgColor rgb="FF6DC49A"/>
        <bgColor rgb="FF6DC49A"/>
      </patternFill>
    </fill>
    <fill>
      <patternFill patternType="solid">
        <fgColor rgb="FF7BCAA3"/>
        <bgColor rgb="FF7BCAA3"/>
      </patternFill>
    </fill>
    <fill>
      <patternFill patternType="solid">
        <fgColor rgb="FF8BD1AF"/>
        <bgColor rgb="FF8BD1AF"/>
      </patternFill>
    </fill>
    <fill>
      <patternFill patternType="solid">
        <fgColor rgb="FF80CCA7"/>
        <bgColor rgb="FF80CCA7"/>
      </patternFill>
    </fill>
    <fill>
      <patternFill patternType="solid">
        <fgColor rgb="FF68C296"/>
        <bgColor rgb="FF68C296"/>
      </patternFill>
    </fill>
    <fill>
      <patternFill patternType="solid">
        <fgColor rgb="FF71C69C"/>
        <bgColor rgb="FF71C69C"/>
      </patternFill>
    </fill>
    <fill>
      <patternFill patternType="solid">
        <fgColor rgb="FF6BC398"/>
        <bgColor rgb="FF6BC398"/>
      </patternFill>
    </fill>
    <fill>
      <patternFill patternType="solid">
        <fgColor rgb="FF60BF90"/>
        <bgColor rgb="FF60BF90"/>
      </patternFill>
    </fill>
    <fill>
      <patternFill patternType="solid">
        <fgColor rgb="FF66C194"/>
        <bgColor rgb="FF66C194"/>
      </patternFill>
    </fill>
    <fill>
      <patternFill patternType="solid">
        <fgColor rgb="FFA1D9BE"/>
        <bgColor rgb="FFA1D9BE"/>
      </patternFill>
    </fill>
    <fill>
      <patternFill patternType="solid">
        <fgColor rgb="FF70C69C"/>
        <bgColor rgb="FF70C69C"/>
      </patternFill>
    </fill>
    <fill>
      <patternFill patternType="solid">
        <fgColor rgb="FF67C296"/>
        <bgColor rgb="FF67C296"/>
      </patternFill>
    </fill>
    <fill>
      <patternFill patternType="solid">
        <fgColor rgb="FF59BC8C"/>
        <bgColor rgb="FF59BC8C"/>
      </patternFill>
    </fill>
    <fill>
      <patternFill patternType="solid">
        <fgColor rgb="FFFCE5CD"/>
        <bgColor rgb="FFFCE5CD"/>
      </patternFill>
    </fill>
    <fill>
      <patternFill patternType="solid">
        <fgColor rgb="FF000000"/>
        <bgColor rgb="FF000000"/>
      </patternFill>
    </fill>
    <fill>
      <patternFill patternType="solid">
        <fgColor rgb="FFC6EFCE"/>
        <bgColor rgb="FFC6EFCE"/>
      </patternFill>
    </fill>
  </fills>
  <borders count="42">
    <border/>
    <border>
      <right style="thin">
        <color rgb="FF000000"/>
      </right>
    </border>
    <border>
      <left style="thin">
        <color rgb="FF000000"/>
      </left>
    </border>
    <border>
      <bottom style="thin">
        <color rgb="FF000000"/>
      </bottom>
    </border>
    <border>
      <right style="thin">
        <color rgb="FF000000"/>
      </right>
      <bottom style="thin">
        <color rgb="FF000000"/>
      </bottom>
    </border>
    <border>
      <bottom style="thin">
        <color rgb="FFB7B7B7"/>
      </bottom>
    </border>
    <border>
      <left style="thin">
        <color rgb="FF000000"/>
      </left>
      <right style="thin">
        <color rgb="FF000000"/>
      </right>
      <bottom style="thin">
        <color rgb="FF000000"/>
      </bottom>
    </border>
    <border>
      <top style="thin">
        <color rgb="FF000000"/>
      </top>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right style="thin">
        <color rgb="FF000000"/>
      </right>
      <bottom style="thick">
        <color rgb="FF000000"/>
      </bottom>
    </border>
    <border>
      <bottom style="thick">
        <color rgb="FF000000"/>
      </bottom>
    </border>
    <border>
      <left style="thin">
        <color rgb="FF000000"/>
      </left>
      <bottom style="thick">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top style="thin">
        <color rgb="FF8EA9DB"/>
      </top>
    </border>
    <border>
      <right style="thin">
        <color rgb="FF000000"/>
      </right>
      <top style="thin">
        <color rgb="FF8EA9DB"/>
      </top>
    </border>
    <border>
      <left style="thin">
        <color rgb="FF000000"/>
      </left>
      <right style="thin">
        <color rgb="FF000000"/>
      </right>
    </border>
    <border>
      <left style="thin">
        <color rgb="FFA6A6A6"/>
      </left>
      <right style="thin">
        <color rgb="FF000000"/>
      </right>
      <top style="thin">
        <color rgb="FF000000"/>
      </top>
      <bottom style="thin">
        <color rgb="FFA6A6A6"/>
      </bottom>
    </border>
    <border>
      <left style="thin">
        <color rgb="FFA6A6A6"/>
      </left>
      <right style="thin">
        <color rgb="FF000000"/>
      </right>
    </border>
    <border>
      <left style="thin">
        <color rgb="FFA6A6A6"/>
      </left>
      <right style="thin">
        <color rgb="FF000000"/>
      </right>
      <bottom style="thin">
        <color rgb="FF000000"/>
      </bottom>
    </border>
    <border>
      <left style="thin">
        <color rgb="FFA6A6A6"/>
      </left>
      <right style="thin">
        <color rgb="FF000000"/>
      </right>
      <bottom style="thin">
        <color rgb="FFA6A6A6"/>
      </bottom>
    </border>
    <border>
      <left style="thin">
        <color rgb="FFA6A6A6"/>
      </left>
      <bottom style="thin">
        <color rgb="FFA6A6A6"/>
      </bottom>
    </border>
    <border>
      <left style="thin">
        <color rgb="FFA6A6A6"/>
      </left>
      <right style="thin">
        <color rgb="FF000000"/>
      </right>
      <top style="thin">
        <color rgb="FFA6A6A6"/>
      </top>
      <bottom style="thin">
        <color rgb="FF000000"/>
      </bottom>
    </border>
  </borders>
  <cellStyleXfs count="1">
    <xf borderId="0" fillId="0" fontId="0" numFmtId="0" applyAlignment="1" applyFont="1"/>
  </cellStyleXfs>
  <cellXfs count="1121">
    <xf borderId="0" fillId="0" fontId="0" numFmtId="0" xfId="0" applyAlignment="1" applyFont="1">
      <alignment readingOrder="0" shrinkToFit="0" vertical="bottom" wrapText="0"/>
    </xf>
    <xf borderId="0" fillId="0" fontId="1" numFmtId="0" xfId="0" applyAlignment="1" applyFont="1">
      <alignment readingOrder="0"/>
    </xf>
    <xf borderId="0" fillId="2" fontId="2" numFmtId="164" xfId="0" applyAlignment="1" applyFill="1" applyFont="1" applyNumberFormat="1">
      <alignment horizontal="left" readingOrder="0" vertical="bottom"/>
    </xf>
    <xf borderId="0" fillId="2" fontId="2" numFmtId="165" xfId="0" applyAlignment="1" applyFont="1" applyNumberFormat="1">
      <alignment horizontal="left" readingOrder="0" vertical="bottom"/>
    </xf>
    <xf borderId="1" fillId="3" fontId="3" numFmtId="0" xfId="0" applyAlignment="1" applyBorder="1" applyFill="1" applyFont="1">
      <alignment readingOrder="0" vertical="bottom"/>
    </xf>
    <xf borderId="0" fillId="3" fontId="3" numFmtId="165" xfId="0" applyAlignment="1" applyFont="1" applyNumberFormat="1">
      <alignment horizontal="center" readingOrder="0" vertical="bottom"/>
    </xf>
    <xf borderId="0" fillId="4" fontId="2" numFmtId="0" xfId="0" applyAlignment="1" applyFill="1" applyFont="1">
      <alignment readingOrder="0" vertical="bottom"/>
    </xf>
    <xf borderId="0" fillId="0" fontId="1" numFmtId="166" xfId="0" applyAlignment="1" applyFont="1" applyNumberFormat="1">
      <alignment readingOrder="0"/>
    </xf>
    <xf borderId="0" fillId="0" fontId="1" numFmtId="0" xfId="0" applyAlignment="1" applyFont="1">
      <alignment readingOrder="0"/>
    </xf>
    <xf borderId="0" fillId="0" fontId="2" numFmtId="0" xfId="0" applyAlignment="1" applyFont="1">
      <alignment readingOrder="0" vertical="bottom"/>
    </xf>
    <xf borderId="0" fillId="5" fontId="1" numFmtId="0" xfId="0" applyAlignment="1" applyFill="1" applyFont="1">
      <alignment readingOrder="0" shrinkToFit="0" wrapText="1"/>
    </xf>
    <xf borderId="2" fillId="0" fontId="2" numFmtId="0" xfId="0" applyAlignment="1" applyBorder="1" applyFont="1">
      <alignment vertical="bottom"/>
    </xf>
    <xf borderId="0" fillId="2" fontId="1" numFmtId="0" xfId="0" applyAlignment="1" applyFont="1">
      <alignment horizontal="center" readingOrder="0"/>
    </xf>
    <xf borderId="0" fillId="0" fontId="1" numFmtId="0" xfId="0" applyAlignment="1" applyFont="1">
      <alignment horizontal="center" readingOrder="0" shrinkToFit="0" vertical="center" wrapText="1"/>
    </xf>
    <xf borderId="0" fillId="2" fontId="1" numFmtId="0" xfId="0" applyAlignment="1" applyFont="1">
      <alignment horizontal="center" readingOrder="0" shrinkToFit="0" wrapText="1"/>
    </xf>
    <xf borderId="3" fillId="6" fontId="2" numFmtId="0" xfId="0" applyAlignment="1" applyBorder="1" applyFill="1" applyFont="1">
      <alignment horizontal="center" vertical="bottom"/>
    </xf>
    <xf borderId="0" fillId="7" fontId="1" numFmtId="0" xfId="0" applyAlignment="1" applyFill="1" applyFont="1">
      <alignment readingOrder="0" shrinkToFit="0" wrapText="1"/>
    </xf>
    <xf borderId="3" fillId="0" fontId="4" numFmtId="0" xfId="0" applyBorder="1" applyFont="1"/>
    <xf borderId="0" fillId="2" fontId="1" numFmtId="0" xfId="0" applyAlignment="1" applyFont="1">
      <alignment readingOrder="0" shrinkToFit="0" wrapText="1"/>
    </xf>
    <xf borderId="0" fillId="0" fontId="2" numFmtId="0" xfId="0" applyFont="1"/>
    <xf borderId="2" fillId="4" fontId="2" numFmtId="0" xfId="0" applyAlignment="1" applyBorder="1" applyFont="1">
      <alignment vertical="bottom"/>
    </xf>
    <xf borderId="0" fillId="0" fontId="1" numFmtId="0" xfId="0" applyAlignment="1" applyFont="1">
      <alignment horizontal="center" readingOrder="0"/>
    </xf>
    <xf borderId="0" fillId="0" fontId="1" numFmtId="0" xfId="0" applyAlignment="1" applyFont="1">
      <alignment readingOrder="0" shrinkToFit="0" wrapText="1"/>
    </xf>
    <xf borderId="1" fillId="8" fontId="3" numFmtId="0" xfId="0" applyAlignment="1" applyBorder="1" applyFill="1" applyFont="1">
      <alignment readingOrder="0" vertical="bottom"/>
    </xf>
    <xf borderId="0" fillId="0" fontId="2" numFmtId="0" xfId="0" applyAlignment="1" applyFont="1">
      <alignment vertical="bottom"/>
    </xf>
    <xf borderId="0" fillId="8" fontId="3" numFmtId="0" xfId="0" applyAlignment="1" applyFont="1">
      <alignment horizontal="center" readingOrder="0" vertical="bottom"/>
    </xf>
    <xf borderId="0" fillId="6" fontId="2" numFmtId="0" xfId="0" applyAlignment="1" applyFont="1">
      <alignment vertical="bottom"/>
    </xf>
    <xf borderId="0" fillId="9" fontId="2" numFmtId="0" xfId="0" applyAlignment="1" applyFill="1" applyFont="1">
      <alignment vertical="bottom"/>
    </xf>
    <xf borderId="3" fillId="6" fontId="2" numFmtId="0" xfId="0" applyAlignment="1" applyBorder="1" applyFont="1">
      <alignment vertical="bottom"/>
    </xf>
    <xf borderId="0" fillId="7" fontId="2" numFmtId="0" xfId="0" applyAlignment="1" applyFont="1">
      <alignment vertical="bottom"/>
    </xf>
    <xf borderId="0" fillId="0" fontId="5" numFmtId="167" xfId="0" applyAlignment="1" applyFont="1" applyNumberFormat="1">
      <alignment horizontal="right" vertical="bottom"/>
    </xf>
    <xf borderId="1" fillId="9" fontId="6" numFmtId="0" xfId="0" applyAlignment="1" applyBorder="1" applyFont="1">
      <alignment vertical="bottom"/>
    </xf>
    <xf borderId="3" fillId="10" fontId="7" numFmtId="0" xfId="0" applyAlignment="1" applyBorder="1" applyFill="1" applyFont="1">
      <alignment horizontal="center" vertical="bottom"/>
    </xf>
    <xf borderId="1" fillId="11" fontId="3" numFmtId="0" xfId="0" applyAlignment="1" applyBorder="1" applyFill="1" applyFont="1">
      <alignment vertical="bottom"/>
    </xf>
    <xf borderId="4" fillId="0" fontId="4" numFmtId="0" xfId="0" applyBorder="1" applyFont="1"/>
    <xf borderId="1" fillId="0" fontId="2" numFmtId="0" xfId="0" applyAlignment="1" applyBorder="1" applyFont="1">
      <alignment vertical="bottom"/>
    </xf>
    <xf borderId="0" fillId="5" fontId="2" numFmtId="0" xfId="0" applyAlignment="1" applyFont="1">
      <alignment vertical="bottom"/>
    </xf>
    <xf borderId="0" fillId="5" fontId="5" numFmtId="167" xfId="0" applyAlignment="1" applyFont="1" applyNumberFormat="1">
      <alignment horizontal="right" readingOrder="0" vertical="bottom"/>
    </xf>
    <xf borderId="1" fillId="9" fontId="2" numFmtId="0" xfId="0" applyAlignment="1" applyBorder="1" applyFont="1">
      <alignment vertical="bottom"/>
    </xf>
    <xf borderId="0" fillId="5" fontId="2" numFmtId="167" xfId="0" applyAlignment="1" applyFont="1" applyNumberFormat="1">
      <alignment horizontal="right" readingOrder="0" vertical="bottom"/>
    </xf>
    <xf borderId="1" fillId="12" fontId="8" numFmtId="0" xfId="0" applyAlignment="1" applyBorder="1" applyFill="1" applyFont="1">
      <alignment vertical="bottom"/>
    </xf>
    <xf borderId="1" fillId="9" fontId="2" numFmtId="167" xfId="0" applyAlignment="1" applyBorder="1" applyFont="1" applyNumberFormat="1">
      <alignment vertical="bottom"/>
    </xf>
    <xf borderId="1" fillId="0" fontId="8" numFmtId="0" xfId="0" applyAlignment="1" applyBorder="1" applyFont="1">
      <alignment vertical="bottom"/>
    </xf>
    <xf borderId="0" fillId="13" fontId="8" numFmtId="0" xfId="0" applyAlignment="1" applyFill="1" applyFont="1">
      <alignment readingOrder="0" vertical="bottom"/>
    </xf>
    <xf borderId="4" fillId="9" fontId="2" numFmtId="0" xfId="0" applyAlignment="1" applyBorder="1" applyFont="1">
      <alignment vertical="bottom"/>
    </xf>
    <xf borderId="0" fillId="2" fontId="8" numFmtId="0" xfId="0" applyAlignment="1" applyFont="1">
      <alignment readingOrder="0" vertical="bottom"/>
    </xf>
    <xf borderId="4" fillId="14" fontId="2" numFmtId="167" xfId="0" applyAlignment="1" applyBorder="1" applyFill="1" applyFont="1" applyNumberFormat="1">
      <alignment horizontal="center" vertical="bottom"/>
    </xf>
    <xf borderId="0" fillId="13" fontId="8" numFmtId="3" xfId="0" applyAlignment="1" applyFont="1" applyNumberFormat="1">
      <alignment readingOrder="0" vertical="bottom"/>
    </xf>
    <xf borderId="0" fillId="15" fontId="2" numFmtId="0" xfId="0" applyAlignment="1" applyFill="1" applyFont="1">
      <alignment vertical="bottom"/>
    </xf>
    <xf borderId="1" fillId="0" fontId="9" numFmtId="167" xfId="0" applyAlignment="1" applyBorder="1" applyFont="1" applyNumberFormat="1">
      <alignment horizontal="center" vertical="bottom"/>
    </xf>
    <xf borderId="0" fillId="15" fontId="2" numFmtId="167" xfId="0" applyAlignment="1" applyFont="1" applyNumberFormat="1">
      <alignment horizontal="right" vertical="bottom"/>
    </xf>
    <xf borderId="4" fillId="0" fontId="2" numFmtId="0" xfId="0" applyAlignment="1" applyBorder="1" applyFont="1">
      <alignment vertical="bottom"/>
    </xf>
    <xf borderId="4" fillId="14" fontId="2" numFmtId="10" xfId="0" applyAlignment="1" applyBorder="1" applyFont="1" applyNumberFormat="1">
      <alignment horizontal="center" vertical="bottom"/>
    </xf>
    <xf borderId="2" fillId="4" fontId="10" numFmtId="0" xfId="0" applyAlignment="1" applyBorder="1" applyFont="1">
      <alignment horizontal="right" vertical="bottom"/>
    </xf>
    <xf borderId="0" fillId="13" fontId="8" numFmtId="1" xfId="0" applyAlignment="1" applyFont="1" applyNumberFormat="1">
      <alignment readingOrder="0" vertical="bottom"/>
    </xf>
    <xf borderId="0" fillId="2" fontId="8" numFmtId="1" xfId="0" applyAlignment="1" applyFont="1" applyNumberFormat="1">
      <alignment readingOrder="0" vertical="bottom"/>
    </xf>
    <xf borderId="0" fillId="9" fontId="2" numFmtId="0" xfId="0" applyAlignment="1" applyFont="1">
      <alignment horizontal="right" readingOrder="0" vertical="bottom"/>
    </xf>
    <xf borderId="1" fillId="9" fontId="9" numFmtId="167" xfId="0" applyAlignment="1" applyBorder="1" applyFont="1" applyNumberFormat="1">
      <alignment horizontal="center" vertical="bottom"/>
    </xf>
    <xf borderId="0" fillId="5" fontId="2" numFmtId="0" xfId="0" applyAlignment="1" applyFont="1">
      <alignment horizontal="right" readingOrder="0" vertical="bottom"/>
    </xf>
    <xf borderId="4" fillId="16" fontId="2" numFmtId="10" xfId="0" applyAlignment="1" applyBorder="1" applyFill="1" applyFont="1" applyNumberFormat="1">
      <alignment horizontal="center" vertical="bottom"/>
    </xf>
    <xf borderId="2" fillId="4" fontId="10" numFmtId="1" xfId="0" applyAlignment="1" applyBorder="1" applyFont="1" applyNumberFormat="1">
      <alignment horizontal="right" vertical="bottom"/>
    </xf>
    <xf borderId="4" fillId="14" fontId="2" numFmtId="168" xfId="0" applyAlignment="1" applyBorder="1" applyFont="1" applyNumberFormat="1">
      <alignment horizontal="center" vertical="bottom"/>
    </xf>
    <xf borderId="1" fillId="9" fontId="2" numFmtId="168" xfId="0" applyAlignment="1" applyBorder="1" applyFont="1" applyNumberFormat="1">
      <alignment vertical="bottom"/>
    </xf>
    <xf borderId="4" fillId="0" fontId="2" numFmtId="168" xfId="0" applyAlignment="1" applyBorder="1" applyFont="1" applyNumberFormat="1">
      <alignment vertical="bottom"/>
    </xf>
    <xf borderId="0" fillId="15" fontId="2" numFmtId="3" xfId="0" applyAlignment="1" applyFont="1" applyNumberFormat="1">
      <alignment horizontal="right" vertical="bottom"/>
    </xf>
    <xf borderId="0" fillId="9" fontId="11" numFmtId="0" xfId="0" applyAlignment="1" applyFont="1">
      <alignment horizontal="center" vertical="bottom"/>
    </xf>
    <xf borderId="0" fillId="0" fontId="12" numFmtId="0" xfId="0" applyAlignment="1" applyFont="1">
      <alignment readingOrder="0" vertical="bottom"/>
    </xf>
    <xf borderId="0" fillId="0" fontId="13" numFmtId="169" xfId="0" applyAlignment="1" applyFont="1" applyNumberFormat="1">
      <alignment readingOrder="0" vertical="bottom"/>
    </xf>
    <xf borderId="0" fillId="9" fontId="2" numFmtId="168" xfId="0" applyAlignment="1" applyFont="1" applyNumberFormat="1">
      <alignment vertical="bottom"/>
    </xf>
    <xf borderId="4" fillId="17" fontId="2" numFmtId="0" xfId="0" applyAlignment="1" applyBorder="1" applyFill="1" applyFont="1">
      <alignment vertical="bottom"/>
    </xf>
    <xf borderId="4" fillId="17" fontId="2" numFmtId="10" xfId="0" applyAlignment="1" applyBorder="1" applyFont="1" applyNumberFormat="1">
      <alignment horizontal="center" vertical="bottom"/>
    </xf>
    <xf borderId="5" fillId="0" fontId="14" numFmtId="0" xfId="0" applyAlignment="1" applyBorder="1" applyFont="1">
      <alignment readingOrder="0" vertical="bottom"/>
    </xf>
    <xf borderId="5" fillId="0" fontId="14" numFmtId="170" xfId="0" applyAlignment="1" applyBorder="1" applyFont="1" applyNumberFormat="1">
      <alignment readingOrder="0" vertical="bottom"/>
    </xf>
    <xf borderId="4" fillId="4" fontId="2" numFmtId="167" xfId="0" applyAlignment="1" applyBorder="1" applyFont="1" applyNumberFormat="1">
      <alignment vertical="bottom"/>
    </xf>
    <xf borderId="0" fillId="0" fontId="2" numFmtId="167" xfId="0" applyAlignment="1" applyFont="1" applyNumberFormat="1">
      <alignment horizontal="right" vertical="bottom"/>
    </xf>
    <xf borderId="4" fillId="14" fontId="2" numFmtId="171" xfId="0" applyAlignment="1" applyBorder="1" applyFont="1" applyNumberFormat="1">
      <alignment horizontal="center" vertical="bottom"/>
    </xf>
    <xf borderId="4" fillId="14" fontId="2" numFmtId="9" xfId="0" applyAlignment="1" applyBorder="1" applyFont="1" applyNumberFormat="1">
      <alignment horizontal="center" vertical="bottom"/>
    </xf>
    <xf borderId="0" fillId="9" fontId="2" numFmtId="9" xfId="0" applyAlignment="1" applyFont="1" applyNumberFormat="1">
      <alignment vertical="bottom"/>
    </xf>
    <xf borderId="6" fillId="0" fontId="8" numFmtId="0" xfId="0" applyAlignment="1" applyBorder="1" applyFont="1">
      <alignment vertical="bottom"/>
    </xf>
    <xf borderId="3" fillId="13" fontId="8" numFmtId="0" xfId="0" applyAlignment="1" applyBorder="1" applyFont="1">
      <alignment readingOrder="0" vertical="bottom"/>
    </xf>
    <xf borderId="4" fillId="17" fontId="2" numFmtId="167" xfId="0" applyAlignment="1" applyBorder="1" applyFont="1" applyNumberFormat="1">
      <alignment horizontal="center" vertical="bottom"/>
    </xf>
    <xf borderId="3" fillId="2" fontId="8" numFmtId="0" xfId="0" applyAlignment="1" applyBorder="1" applyFont="1">
      <alignment readingOrder="0" vertical="bottom"/>
    </xf>
    <xf borderId="0" fillId="0" fontId="2" numFmtId="167" xfId="0" applyAlignment="1" applyFont="1" applyNumberFormat="1">
      <alignment readingOrder="0" vertical="bottom"/>
    </xf>
    <xf borderId="4" fillId="14" fontId="2" numFmtId="172" xfId="0" applyAlignment="1" applyBorder="1" applyFont="1" applyNumberFormat="1">
      <alignment horizontal="center" vertical="bottom"/>
    </xf>
    <xf borderId="0" fillId="0" fontId="2" numFmtId="167" xfId="0" applyAlignment="1" applyFont="1" applyNumberFormat="1">
      <alignment vertical="bottom"/>
    </xf>
    <xf borderId="0" fillId="0" fontId="2" numFmtId="173" xfId="0" applyAlignment="1" applyFont="1" applyNumberFormat="1">
      <alignment vertical="bottom"/>
    </xf>
    <xf borderId="1" fillId="0" fontId="15" numFmtId="0" xfId="0" applyAlignment="1" applyBorder="1" applyFont="1">
      <alignment vertical="bottom"/>
    </xf>
    <xf borderId="0" fillId="0" fontId="15" numFmtId="1" xfId="0" applyAlignment="1" applyFont="1" applyNumberFormat="1">
      <alignment horizontal="right" vertical="bottom"/>
    </xf>
    <xf borderId="1" fillId="9" fontId="2" numFmtId="174" xfId="0" applyAlignment="1" applyBorder="1" applyFont="1" applyNumberFormat="1">
      <alignment vertical="bottom"/>
    </xf>
    <xf borderId="0" fillId="18" fontId="2" numFmtId="0" xfId="0" applyAlignment="1" applyFill="1" applyFont="1">
      <alignment vertical="bottom"/>
    </xf>
    <xf borderId="4" fillId="16" fontId="2" numFmtId="0" xfId="0" applyAlignment="1" applyBorder="1" applyFont="1">
      <alignment vertical="bottom"/>
    </xf>
    <xf borderId="4" fillId="16" fontId="2" numFmtId="167" xfId="0" applyAlignment="1" applyBorder="1" applyFont="1" applyNumberFormat="1">
      <alignment horizontal="center" vertical="bottom"/>
    </xf>
    <xf borderId="0" fillId="18" fontId="2" numFmtId="167" xfId="0" applyAlignment="1" applyFont="1" applyNumberFormat="1">
      <alignment horizontal="right" vertical="bottom"/>
    </xf>
    <xf borderId="3" fillId="0" fontId="2" numFmtId="0" xfId="0" applyAlignment="1" applyBorder="1" applyFont="1">
      <alignment vertical="bottom"/>
    </xf>
    <xf borderId="0" fillId="9" fontId="2" numFmtId="0" xfId="0" applyFont="1"/>
    <xf borderId="4" fillId="4" fontId="2" numFmtId="167" xfId="0" applyAlignment="1" applyBorder="1" applyFont="1" applyNumberFormat="1">
      <alignment horizontal="center" vertical="bottom"/>
    </xf>
    <xf borderId="0" fillId="19" fontId="2" numFmtId="0" xfId="0" applyAlignment="1" applyFill="1" applyFont="1">
      <alignment vertical="bottom"/>
    </xf>
    <xf borderId="0" fillId="9" fontId="2" numFmtId="167" xfId="0" applyAlignment="1" applyFont="1" applyNumberFormat="1">
      <alignment vertical="bottom"/>
    </xf>
    <xf borderId="0" fillId="0" fontId="2" numFmtId="175" xfId="0" applyAlignment="1" applyFont="1" applyNumberFormat="1">
      <alignment vertical="bottom"/>
    </xf>
    <xf borderId="0" fillId="19" fontId="2" numFmtId="167" xfId="0" applyAlignment="1" applyFont="1" applyNumberFormat="1">
      <alignment horizontal="right" vertical="bottom"/>
    </xf>
    <xf borderId="1" fillId="20" fontId="8" numFmtId="0" xfId="0" applyAlignment="1" applyBorder="1" applyFill="1" applyFont="1">
      <alignment vertical="bottom"/>
    </xf>
    <xf borderId="2" fillId="4" fontId="16" numFmtId="169" xfId="0" applyAlignment="1" applyBorder="1" applyFont="1" applyNumberFormat="1">
      <alignment vertical="bottom"/>
    </xf>
    <xf borderId="4" fillId="0" fontId="2" numFmtId="167" xfId="0" applyAlignment="1" applyBorder="1" applyFont="1" applyNumberFormat="1">
      <alignment horizontal="center" vertical="bottom"/>
    </xf>
    <xf borderId="0" fillId="13" fontId="8" numFmtId="167" xfId="0" applyAlignment="1" applyFont="1" applyNumberFormat="1">
      <alignment vertical="bottom"/>
    </xf>
    <xf borderId="0" fillId="21" fontId="2" numFmtId="0" xfId="0" applyAlignment="1" applyFill="1" applyFont="1">
      <alignment vertical="bottom"/>
    </xf>
    <xf borderId="0" fillId="22" fontId="2" numFmtId="2" xfId="0" applyAlignment="1" applyFill="1" applyFont="1" applyNumberFormat="1">
      <alignment horizontal="right" vertical="bottom"/>
    </xf>
    <xf borderId="0" fillId="23" fontId="2" numFmtId="2" xfId="0" applyAlignment="1" applyFill="1" applyFont="1" applyNumberFormat="1">
      <alignment horizontal="right" vertical="bottom"/>
    </xf>
    <xf borderId="0" fillId="24" fontId="2" numFmtId="2" xfId="0" applyAlignment="1" applyFill="1" applyFont="1" applyNumberFormat="1">
      <alignment horizontal="right" vertical="bottom"/>
    </xf>
    <xf borderId="0" fillId="25" fontId="2" numFmtId="2" xfId="0" applyAlignment="1" applyFill="1" applyFont="1" applyNumberFormat="1">
      <alignment horizontal="right" vertical="bottom"/>
    </xf>
    <xf borderId="0" fillId="26" fontId="2" numFmtId="2" xfId="0" applyAlignment="1" applyFill="1" applyFont="1" applyNumberFormat="1">
      <alignment horizontal="right" vertical="bottom"/>
    </xf>
    <xf borderId="0" fillId="27" fontId="2" numFmtId="2" xfId="0" applyAlignment="1" applyFill="1" applyFont="1" applyNumberFormat="1">
      <alignment horizontal="right" vertical="bottom"/>
    </xf>
    <xf borderId="0" fillId="28" fontId="2" numFmtId="2" xfId="0" applyAlignment="1" applyFill="1" applyFont="1" applyNumberFormat="1">
      <alignment horizontal="right" vertical="bottom"/>
    </xf>
    <xf borderId="0" fillId="29" fontId="2" numFmtId="2" xfId="0" applyAlignment="1" applyFill="1" applyFont="1" applyNumberFormat="1">
      <alignment horizontal="right" vertical="bottom"/>
    </xf>
    <xf borderId="0" fillId="30" fontId="2" numFmtId="2" xfId="0" applyAlignment="1" applyFill="1" applyFont="1" applyNumberFormat="1">
      <alignment horizontal="right" vertical="bottom"/>
    </xf>
    <xf borderId="0" fillId="31" fontId="2" numFmtId="2" xfId="0" applyAlignment="1" applyFill="1" applyFont="1" applyNumberFormat="1">
      <alignment horizontal="right" vertical="bottom"/>
    </xf>
    <xf borderId="0" fillId="32" fontId="2" numFmtId="2" xfId="0" applyAlignment="1" applyFill="1" applyFont="1" applyNumberFormat="1">
      <alignment horizontal="right" vertical="bottom"/>
    </xf>
    <xf borderId="0" fillId="9" fontId="2" numFmtId="2" xfId="0" applyAlignment="1" applyFont="1" applyNumberFormat="1">
      <alignment horizontal="right" vertical="bottom"/>
    </xf>
    <xf borderId="0" fillId="33" fontId="2" numFmtId="2" xfId="0" applyAlignment="1" applyFill="1" applyFont="1" applyNumberFormat="1">
      <alignment horizontal="right" vertical="bottom"/>
    </xf>
    <xf borderId="0" fillId="34" fontId="2" numFmtId="2" xfId="0" applyAlignment="1" applyFill="1" applyFont="1" applyNumberFormat="1">
      <alignment horizontal="right" vertical="bottom"/>
    </xf>
    <xf borderId="0" fillId="35" fontId="2" numFmtId="2" xfId="0" applyAlignment="1" applyFill="1" applyFont="1" applyNumberFormat="1">
      <alignment horizontal="right" vertical="bottom"/>
    </xf>
    <xf borderId="0" fillId="36" fontId="2" numFmtId="2" xfId="0" applyAlignment="1" applyFill="1" applyFont="1" applyNumberFormat="1">
      <alignment horizontal="right" vertical="bottom"/>
    </xf>
    <xf borderId="0" fillId="37" fontId="2" numFmtId="2" xfId="0" applyAlignment="1" applyFill="1" applyFont="1" applyNumberFormat="1">
      <alignment horizontal="right" vertical="bottom"/>
    </xf>
    <xf borderId="0" fillId="38" fontId="2" numFmtId="2" xfId="0" applyAlignment="1" applyFill="1" applyFont="1" applyNumberFormat="1">
      <alignment horizontal="right" vertical="bottom"/>
    </xf>
    <xf borderId="0" fillId="39" fontId="2" numFmtId="2" xfId="0" applyAlignment="1" applyFill="1" applyFont="1" applyNumberFormat="1">
      <alignment horizontal="right" vertical="bottom"/>
    </xf>
    <xf borderId="0" fillId="40" fontId="2" numFmtId="2" xfId="0" applyAlignment="1" applyFill="1" applyFont="1" applyNumberFormat="1">
      <alignment horizontal="right" vertical="bottom"/>
    </xf>
    <xf borderId="0" fillId="41" fontId="2" numFmtId="2" xfId="0" applyAlignment="1" applyFill="1" applyFont="1" applyNumberFormat="1">
      <alignment horizontal="right" vertical="bottom"/>
    </xf>
    <xf borderId="0" fillId="42" fontId="2" numFmtId="2" xfId="0" applyAlignment="1" applyFill="1" applyFont="1" applyNumberFormat="1">
      <alignment horizontal="right" vertical="bottom"/>
    </xf>
    <xf borderId="0" fillId="43" fontId="2" numFmtId="2" xfId="0" applyAlignment="1" applyFill="1" applyFont="1" applyNumberFormat="1">
      <alignment horizontal="right" vertical="bottom"/>
    </xf>
    <xf borderId="0" fillId="44" fontId="2" numFmtId="2" xfId="0" applyAlignment="1" applyFill="1" applyFont="1" applyNumberFormat="1">
      <alignment horizontal="right" vertical="bottom"/>
    </xf>
    <xf borderId="0" fillId="45" fontId="2" numFmtId="2" xfId="0" applyAlignment="1" applyFill="1" applyFont="1" applyNumberFormat="1">
      <alignment horizontal="right" vertical="bottom"/>
    </xf>
    <xf borderId="0" fillId="46" fontId="2" numFmtId="2" xfId="0" applyAlignment="1" applyFill="1" applyFont="1" applyNumberFormat="1">
      <alignment horizontal="right" vertical="bottom"/>
    </xf>
    <xf borderId="0" fillId="0" fontId="2" numFmtId="2" xfId="0" applyAlignment="1" applyFont="1" applyNumberFormat="1">
      <alignment horizontal="center" vertical="bottom"/>
    </xf>
    <xf borderId="3" fillId="9" fontId="2" numFmtId="0" xfId="0" applyAlignment="1" applyBorder="1" applyFont="1">
      <alignment vertical="bottom"/>
    </xf>
    <xf borderId="0" fillId="0" fontId="2" numFmtId="2" xfId="0" applyAlignment="1" applyFont="1" applyNumberFormat="1">
      <alignment horizontal="right" vertical="bottom"/>
    </xf>
    <xf borderId="4" fillId="10" fontId="7" numFmtId="0" xfId="0" applyAlignment="1" applyBorder="1" applyFont="1">
      <alignment vertical="bottom"/>
    </xf>
    <xf borderId="4" fillId="10" fontId="7" numFmtId="0" xfId="0" applyAlignment="1" applyBorder="1" applyFont="1">
      <alignment horizontal="center" vertical="bottom"/>
    </xf>
    <xf borderId="2" fillId="4" fontId="10" numFmtId="167" xfId="0" applyAlignment="1" applyBorder="1" applyFont="1" applyNumberFormat="1">
      <alignment horizontal="right" vertical="bottom"/>
    </xf>
    <xf borderId="4" fillId="9" fontId="2" numFmtId="10" xfId="0" applyAlignment="1" applyBorder="1" applyFont="1" applyNumberFormat="1">
      <alignment horizontal="right" vertical="bottom"/>
    </xf>
    <xf borderId="0" fillId="13" fontId="8" numFmtId="167" xfId="0" applyAlignment="1" applyFont="1" applyNumberFormat="1">
      <alignment readingOrder="0" vertical="bottom"/>
    </xf>
    <xf borderId="0" fillId="0" fontId="2" numFmtId="176" xfId="0" applyAlignment="1" applyFont="1" applyNumberFormat="1">
      <alignment vertical="bottom"/>
    </xf>
    <xf borderId="0" fillId="2" fontId="8" numFmtId="167" xfId="0" applyAlignment="1" applyFont="1" applyNumberFormat="1">
      <alignment readingOrder="0" vertical="bottom"/>
    </xf>
    <xf borderId="0" fillId="21" fontId="2" numFmtId="0" xfId="0" applyAlignment="1" applyFont="1">
      <alignment readingOrder="0" vertical="bottom"/>
    </xf>
    <xf borderId="0" fillId="47" fontId="2" numFmtId="167" xfId="0" applyAlignment="1" applyFill="1" applyFont="1" applyNumberFormat="1">
      <alignment horizontal="right" vertical="bottom"/>
    </xf>
    <xf borderId="4" fillId="14" fontId="2" numFmtId="0" xfId="0" applyAlignment="1" applyBorder="1" applyFont="1">
      <alignment horizontal="center" vertical="bottom"/>
    </xf>
    <xf borderId="4" fillId="16" fontId="2" numFmtId="167" xfId="0" applyAlignment="1" applyBorder="1" applyFont="1" applyNumberFormat="1">
      <alignment vertical="bottom"/>
    </xf>
    <xf borderId="0" fillId="5" fontId="2" numFmtId="0" xfId="0" applyAlignment="1" applyFont="1">
      <alignment readingOrder="0" vertical="bottom"/>
    </xf>
    <xf borderId="4" fillId="0" fontId="8" numFmtId="0" xfId="0" applyAlignment="1" applyBorder="1" applyFont="1">
      <alignment vertical="bottom"/>
    </xf>
    <xf borderId="3" fillId="13" fontId="8" numFmtId="167" xfId="0" applyAlignment="1" applyBorder="1" applyFont="1" applyNumberFormat="1">
      <alignment readingOrder="0" vertical="bottom"/>
    </xf>
    <xf borderId="3" fillId="2" fontId="8" numFmtId="167" xfId="0" applyAlignment="1" applyBorder="1" applyFont="1" applyNumberFormat="1">
      <alignment readingOrder="0" vertical="bottom"/>
    </xf>
    <xf borderId="4" fillId="0" fontId="17" numFmtId="0" xfId="0" applyAlignment="1" applyBorder="1" applyFont="1">
      <alignment vertical="bottom"/>
    </xf>
    <xf borderId="3" fillId="13" fontId="8" numFmtId="167" xfId="0" applyAlignment="1" applyBorder="1" applyFont="1" applyNumberFormat="1">
      <alignment readingOrder="0" vertical="bottom"/>
    </xf>
    <xf borderId="3" fillId="13" fontId="8" numFmtId="4" xfId="0" applyAlignment="1" applyBorder="1" applyFont="1" applyNumberFormat="1">
      <alignment readingOrder="0" vertical="bottom"/>
    </xf>
    <xf borderId="4" fillId="14" fontId="17" numFmtId="167" xfId="0" applyAlignment="1" applyBorder="1" applyFont="1" applyNumberFormat="1">
      <alignment horizontal="center" vertical="bottom"/>
    </xf>
    <xf borderId="0" fillId="0" fontId="15" numFmtId="177" xfId="0" applyAlignment="1" applyFont="1" applyNumberFormat="1">
      <alignment horizontal="right" vertical="bottom"/>
    </xf>
    <xf borderId="4" fillId="17" fontId="17" numFmtId="0" xfId="0" applyAlignment="1" applyBorder="1" applyFont="1">
      <alignment vertical="bottom"/>
    </xf>
    <xf borderId="4" fillId="17" fontId="2" numFmtId="167" xfId="0" applyAlignment="1" applyBorder="1" applyFont="1" applyNumberFormat="1">
      <alignment vertical="bottom"/>
    </xf>
    <xf borderId="0" fillId="0" fontId="2" numFmtId="10" xfId="0" applyAlignment="1" applyFont="1" applyNumberFormat="1">
      <alignment vertical="bottom"/>
    </xf>
    <xf borderId="1" fillId="0" fontId="18" numFmtId="0" xfId="0" applyAlignment="1" applyBorder="1" applyFont="1">
      <alignment vertical="bottom"/>
    </xf>
    <xf borderId="0" fillId="22" fontId="2" numFmtId="10" xfId="0" applyAlignment="1" applyFont="1" applyNumberFormat="1">
      <alignment readingOrder="0" vertical="bottom"/>
    </xf>
    <xf borderId="0" fillId="0" fontId="2" numFmtId="10" xfId="0" applyAlignment="1" applyFont="1" applyNumberFormat="1">
      <alignment readingOrder="0" vertical="bottom"/>
    </xf>
    <xf borderId="0" fillId="9" fontId="2" numFmtId="10" xfId="0" applyAlignment="1" applyFont="1" applyNumberFormat="1">
      <alignment readingOrder="0" vertical="bottom"/>
    </xf>
    <xf borderId="0" fillId="48" fontId="2" numFmtId="10" xfId="0" applyAlignment="1" applyFill="1" applyFont="1" applyNumberFormat="1">
      <alignment readingOrder="0" vertical="bottom"/>
    </xf>
    <xf borderId="0" fillId="49" fontId="2" numFmtId="10" xfId="0" applyAlignment="1" applyFill="1" applyFont="1" applyNumberFormat="1">
      <alignment readingOrder="0" vertical="bottom"/>
    </xf>
    <xf borderId="0" fillId="50" fontId="2" numFmtId="10" xfId="0" applyAlignment="1" applyFill="1" applyFont="1" applyNumberFormat="1">
      <alignment readingOrder="0" vertical="bottom"/>
    </xf>
    <xf borderId="0" fillId="27" fontId="2" numFmtId="10" xfId="0" applyAlignment="1" applyFont="1" applyNumberFormat="1">
      <alignment readingOrder="0" vertical="bottom"/>
    </xf>
    <xf borderId="0" fillId="51" fontId="2" numFmtId="10" xfId="0" applyAlignment="1" applyFill="1" applyFont="1" applyNumberFormat="1">
      <alignment readingOrder="0" vertical="bottom"/>
    </xf>
    <xf borderId="0" fillId="52" fontId="2" numFmtId="10" xfId="0" applyAlignment="1" applyFill="1" applyFont="1" applyNumberFormat="1">
      <alignment readingOrder="0" vertical="bottom"/>
    </xf>
    <xf borderId="2" fillId="4" fontId="10" numFmtId="177" xfId="0" applyAlignment="1" applyBorder="1" applyFont="1" applyNumberFormat="1">
      <alignment horizontal="right" vertical="bottom"/>
    </xf>
    <xf borderId="0" fillId="53" fontId="2" numFmtId="10" xfId="0" applyAlignment="1" applyFill="1" applyFont="1" applyNumberFormat="1">
      <alignment readingOrder="0" vertical="bottom"/>
    </xf>
    <xf borderId="0" fillId="26" fontId="2" numFmtId="10" xfId="0" applyAlignment="1" applyFont="1" applyNumberFormat="1">
      <alignment readingOrder="0" vertical="bottom"/>
    </xf>
    <xf borderId="0" fillId="54" fontId="2" numFmtId="10" xfId="0" applyAlignment="1" applyFill="1" applyFont="1" applyNumberFormat="1">
      <alignment readingOrder="0" vertical="bottom"/>
    </xf>
    <xf borderId="0" fillId="55" fontId="2" numFmtId="10" xfId="0" applyAlignment="1" applyFill="1" applyFont="1" applyNumberFormat="1">
      <alignment readingOrder="0" vertical="bottom"/>
    </xf>
    <xf borderId="0" fillId="44" fontId="2" numFmtId="10" xfId="0" applyAlignment="1" applyFont="1" applyNumberFormat="1">
      <alignment readingOrder="0" vertical="bottom"/>
    </xf>
    <xf borderId="0" fillId="56" fontId="2" numFmtId="10" xfId="0" applyAlignment="1" applyFill="1" applyFont="1" applyNumberFormat="1">
      <alignment readingOrder="0" vertical="bottom"/>
    </xf>
    <xf borderId="0" fillId="57" fontId="2" numFmtId="10" xfId="0" applyAlignment="1" applyFill="1" applyFont="1" applyNumberFormat="1">
      <alignment readingOrder="0" vertical="bottom"/>
    </xf>
    <xf borderId="0" fillId="58" fontId="2" numFmtId="10" xfId="0" applyAlignment="1" applyFill="1" applyFont="1" applyNumberFormat="1">
      <alignment readingOrder="0" vertical="bottom"/>
    </xf>
    <xf borderId="1" fillId="59" fontId="8" numFmtId="0" xfId="0" applyAlignment="1" applyBorder="1" applyFill="1" applyFont="1">
      <alignment vertical="bottom"/>
    </xf>
    <xf borderId="0" fillId="60" fontId="2" numFmtId="10" xfId="0" applyAlignment="1" applyFill="1" applyFont="1" applyNumberFormat="1">
      <alignment readingOrder="0" vertical="bottom"/>
    </xf>
    <xf borderId="0" fillId="30" fontId="2" numFmtId="10" xfId="0" applyAlignment="1" applyFont="1" applyNumberFormat="1">
      <alignment readingOrder="0" vertical="bottom"/>
    </xf>
    <xf borderId="0" fillId="61" fontId="2" numFmtId="10" xfId="0" applyAlignment="1" applyFill="1" applyFont="1" applyNumberFormat="1">
      <alignment readingOrder="0" vertical="bottom"/>
    </xf>
    <xf borderId="0" fillId="62" fontId="2" numFmtId="10" xfId="0" applyAlignment="1" applyFill="1" applyFont="1" applyNumberFormat="1">
      <alignment readingOrder="0" vertical="bottom"/>
    </xf>
    <xf borderId="0" fillId="46" fontId="2" numFmtId="10" xfId="0" applyAlignment="1" applyFont="1" applyNumberFormat="1">
      <alignment readingOrder="0" vertical="bottom"/>
    </xf>
    <xf borderId="0" fillId="63" fontId="2" numFmtId="10" xfId="0" applyAlignment="1" applyFill="1" applyFont="1" applyNumberFormat="1">
      <alignment readingOrder="0" vertical="bottom"/>
    </xf>
    <xf borderId="0" fillId="64" fontId="2" numFmtId="167" xfId="0" applyAlignment="1" applyFill="1" applyFont="1" applyNumberFormat="1">
      <alignment horizontal="right" vertical="bottom"/>
    </xf>
    <xf borderId="0" fillId="65" fontId="2" numFmtId="167" xfId="0" applyAlignment="1" applyFill="1" applyFont="1" applyNumberFormat="1">
      <alignment horizontal="right" vertical="bottom"/>
    </xf>
    <xf borderId="0" fillId="38" fontId="2" numFmtId="167" xfId="0" applyAlignment="1" applyFont="1" applyNumberFormat="1">
      <alignment horizontal="right" vertical="bottom"/>
    </xf>
    <xf borderId="3" fillId="9" fontId="2" numFmtId="10" xfId="0" applyAlignment="1" applyBorder="1" applyFont="1" applyNumberFormat="1">
      <alignment vertical="bottom"/>
    </xf>
    <xf borderId="0" fillId="66" fontId="2" numFmtId="167" xfId="0" applyAlignment="1" applyFill="1" applyFont="1" applyNumberFormat="1">
      <alignment horizontal="right" vertical="bottom"/>
    </xf>
    <xf borderId="0" fillId="67" fontId="2" numFmtId="167" xfId="0" applyAlignment="1" applyFill="1" applyFont="1" applyNumberFormat="1">
      <alignment horizontal="right" vertical="bottom"/>
    </xf>
    <xf borderId="0" fillId="68" fontId="2" numFmtId="167" xfId="0" applyAlignment="1" applyFill="1" applyFont="1" applyNumberFormat="1">
      <alignment horizontal="right" vertical="bottom"/>
    </xf>
    <xf borderId="0" fillId="69" fontId="2" numFmtId="167" xfId="0" applyAlignment="1" applyFill="1" applyFont="1" applyNumberFormat="1">
      <alignment horizontal="right" vertical="bottom"/>
    </xf>
    <xf borderId="0" fillId="13" fontId="8" numFmtId="177" xfId="0" applyAlignment="1" applyFont="1" applyNumberFormat="1">
      <alignment vertical="bottom"/>
    </xf>
    <xf borderId="0" fillId="70" fontId="2" numFmtId="167" xfId="0" applyAlignment="1" applyFill="1" applyFont="1" applyNumberFormat="1">
      <alignment horizontal="right" vertical="bottom"/>
    </xf>
    <xf borderId="4" fillId="9" fontId="2" numFmtId="167" xfId="0" applyAlignment="1" applyBorder="1" applyFont="1" applyNumberFormat="1">
      <alignment horizontal="center" vertical="bottom"/>
    </xf>
    <xf borderId="0" fillId="29" fontId="2" numFmtId="167" xfId="0" applyAlignment="1" applyFont="1" applyNumberFormat="1">
      <alignment horizontal="right" vertical="bottom"/>
    </xf>
    <xf borderId="3" fillId="0" fontId="2" numFmtId="167" xfId="0" applyAlignment="1" applyBorder="1" applyFont="1" applyNumberFormat="1">
      <alignment horizontal="center" vertical="bottom"/>
    </xf>
    <xf borderId="0" fillId="71" fontId="2" numFmtId="167" xfId="0" applyAlignment="1" applyFill="1" applyFont="1" applyNumberFormat="1">
      <alignment horizontal="right" vertical="bottom"/>
    </xf>
    <xf borderId="0" fillId="9" fontId="2" numFmtId="167" xfId="0" applyAlignment="1" applyFont="1" applyNumberFormat="1">
      <alignment vertical="bottom"/>
    </xf>
    <xf borderId="0" fillId="72" fontId="2" numFmtId="167" xfId="0" applyAlignment="1" applyFill="1" applyFont="1" applyNumberFormat="1">
      <alignment horizontal="right" vertical="bottom"/>
    </xf>
    <xf borderId="0" fillId="73" fontId="2" numFmtId="167" xfId="0" applyAlignment="1" applyFill="1" applyFont="1" applyNumberFormat="1">
      <alignment horizontal="right" vertical="bottom"/>
    </xf>
    <xf borderId="0" fillId="26" fontId="2" numFmtId="167" xfId="0" applyAlignment="1" applyFont="1" applyNumberFormat="1">
      <alignment horizontal="right" vertical="bottom"/>
    </xf>
    <xf borderId="0" fillId="74" fontId="2" numFmtId="167" xfId="0" applyAlignment="1" applyFill="1" applyFont="1" applyNumberFormat="1">
      <alignment horizontal="right" vertical="bottom"/>
    </xf>
    <xf borderId="0" fillId="37" fontId="2" numFmtId="167" xfId="0" applyAlignment="1" applyFont="1" applyNumberFormat="1">
      <alignment horizontal="right" vertical="bottom"/>
    </xf>
    <xf borderId="0" fillId="75" fontId="2" numFmtId="167" xfId="0" applyAlignment="1" applyFill="1" applyFont="1" applyNumberFormat="1">
      <alignment horizontal="right" vertical="bottom"/>
    </xf>
    <xf borderId="0" fillId="76" fontId="2" numFmtId="167" xfId="0" applyAlignment="1" applyFill="1" applyFont="1" applyNumberFormat="1">
      <alignment horizontal="right" vertical="bottom"/>
    </xf>
    <xf borderId="0" fillId="27" fontId="2" numFmtId="167" xfId="0" applyAlignment="1" applyFont="1" applyNumberFormat="1">
      <alignment horizontal="right" vertical="bottom"/>
    </xf>
    <xf borderId="0" fillId="77" fontId="2" numFmtId="167" xfId="0" applyAlignment="1" applyFill="1" applyFont="1" applyNumberFormat="1">
      <alignment horizontal="right" vertical="bottom"/>
    </xf>
    <xf borderId="3" fillId="9" fontId="2" numFmtId="167" xfId="0" applyAlignment="1" applyBorder="1" applyFont="1" applyNumberFormat="1">
      <alignment horizontal="center" vertical="bottom"/>
    </xf>
    <xf borderId="0" fillId="78" fontId="2" numFmtId="167" xfId="0" applyAlignment="1" applyFill="1" applyFont="1" applyNumberFormat="1">
      <alignment horizontal="right" vertical="bottom"/>
    </xf>
    <xf borderId="0" fillId="9" fontId="2" numFmtId="167" xfId="0" applyAlignment="1" applyFont="1" applyNumberFormat="1">
      <alignment horizontal="right" vertical="bottom"/>
    </xf>
    <xf borderId="0" fillId="79" fontId="2" numFmtId="167" xfId="0" applyAlignment="1" applyFill="1" applyFont="1" applyNumberFormat="1">
      <alignment horizontal="right" vertical="bottom"/>
    </xf>
    <xf borderId="0" fillId="80" fontId="2" numFmtId="167" xfId="0" applyAlignment="1" applyFill="1" applyFont="1" applyNumberFormat="1">
      <alignment horizontal="right" vertical="bottom"/>
    </xf>
    <xf borderId="0" fillId="41" fontId="2" numFmtId="167" xfId="0" applyAlignment="1" applyFont="1" applyNumberFormat="1">
      <alignment horizontal="right" vertical="bottom"/>
    </xf>
    <xf borderId="1" fillId="9" fontId="9" numFmtId="167" xfId="0" applyAlignment="1" applyBorder="1" applyFont="1" applyNumberFormat="1">
      <alignment horizontal="center" vertical="bottom"/>
    </xf>
    <xf borderId="0" fillId="81" fontId="2" numFmtId="167" xfId="0" applyAlignment="1" applyFill="1" applyFont="1" applyNumberFormat="1">
      <alignment horizontal="right" vertical="bottom"/>
    </xf>
    <xf borderId="0" fillId="9" fontId="2" numFmtId="167" xfId="0" applyAlignment="1" applyFont="1" applyNumberFormat="1">
      <alignment readingOrder="0" vertical="bottom"/>
    </xf>
    <xf borderId="4" fillId="9" fontId="2" numFmtId="167" xfId="0" applyAlignment="1" applyBorder="1" applyFont="1" applyNumberFormat="1">
      <alignment horizontal="center" vertical="bottom"/>
    </xf>
    <xf borderId="0" fillId="0" fontId="2" numFmtId="167" xfId="0" applyAlignment="1" applyFont="1" applyNumberFormat="1">
      <alignment readingOrder="0" vertical="bottom"/>
    </xf>
    <xf borderId="0" fillId="0" fontId="2" numFmtId="167" xfId="0" applyAlignment="1" applyFont="1" applyNumberFormat="1">
      <alignment vertical="bottom"/>
    </xf>
    <xf borderId="0" fillId="0" fontId="2" numFmtId="168" xfId="0" applyAlignment="1" applyFont="1" applyNumberFormat="1">
      <alignment vertical="bottom"/>
    </xf>
    <xf borderId="1" fillId="0" fontId="9" numFmtId="167" xfId="0" applyAlignment="1" applyBorder="1" applyFont="1" applyNumberFormat="1">
      <alignment horizontal="center" vertical="bottom"/>
    </xf>
    <xf borderId="4" fillId="9" fontId="2" numFmtId="10" xfId="0" applyAlignment="1" applyBorder="1" applyFont="1" applyNumberFormat="1">
      <alignment horizontal="center" vertical="bottom"/>
    </xf>
    <xf borderId="0" fillId="41" fontId="2" numFmtId="10" xfId="0" applyAlignment="1" applyFont="1" applyNumberFormat="1">
      <alignment readingOrder="0" vertical="bottom"/>
    </xf>
    <xf borderId="0" fillId="35" fontId="2" numFmtId="10" xfId="0" applyAlignment="1" applyFont="1" applyNumberFormat="1">
      <alignment readingOrder="0" vertical="bottom"/>
    </xf>
    <xf borderId="0" fillId="82" fontId="2" numFmtId="10" xfId="0" applyAlignment="1" applyFill="1" applyFont="1" applyNumberFormat="1">
      <alignment readingOrder="0" vertical="bottom"/>
    </xf>
    <xf borderId="0" fillId="83" fontId="2" numFmtId="10" xfId="0" applyAlignment="1" applyFill="1" applyFont="1" applyNumberFormat="1">
      <alignment readingOrder="0" vertical="bottom"/>
    </xf>
    <xf borderId="0" fillId="34" fontId="2" numFmtId="10" xfId="0" applyAlignment="1" applyFont="1" applyNumberFormat="1">
      <alignment readingOrder="0" vertical="bottom"/>
    </xf>
    <xf borderId="0" fillId="84" fontId="2" numFmtId="10" xfId="0" applyAlignment="1" applyFill="1" applyFont="1" applyNumberFormat="1">
      <alignment readingOrder="0" vertical="bottom"/>
    </xf>
    <xf borderId="0" fillId="85" fontId="2" numFmtId="10" xfId="0" applyAlignment="1" applyFill="1" applyFont="1" applyNumberFormat="1">
      <alignment readingOrder="0" vertical="bottom"/>
    </xf>
    <xf borderId="1" fillId="0" fontId="9" numFmtId="0" xfId="0" applyAlignment="1" applyBorder="1" applyFont="1">
      <alignment horizontal="center" vertical="bottom"/>
    </xf>
    <xf borderId="0" fillId="86" fontId="2" numFmtId="10" xfId="0" applyAlignment="1" applyFill="1" applyFont="1" applyNumberFormat="1">
      <alignment readingOrder="0" vertical="bottom"/>
    </xf>
    <xf borderId="0" fillId="87" fontId="2" numFmtId="10" xfId="0" applyAlignment="1" applyFill="1" applyFont="1" applyNumberFormat="1">
      <alignment readingOrder="0" vertical="bottom"/>
    </xf>
    <xf borderId="0" fillId="88" fontId="2" numFmtId="10" xfId="0" applyAlignment="1" applyFill="1" applyFont="1" applyNumberFormat="1">
      <alignment readingOrder="0" vertical="bottom"/>
    </xf>
    <xf borderId="4" fillId="0" fontId="2" numFmtId="167" xfId="0" applyAlignment="1" applyBorder="1" applyFont="1" applyNumberFormat="1">
      <alignment horizontal="right" vertical="bottom"/>
    </xf>
    <xf borderId="0" fillId="89" fontId="2" numFmtId="10" xfId="0" applyAlignment="1" applyFill="1" applyFont="1" applyNumberFormat="1">
      <alignment readingOrder="0" vertical="bottom"/>
    </xf>
    <xf borderId="0" fillId="31" fontId="2" numFmtId="10" xfId="0" applyAlignment="1" applyFont="1" applyNumberFormat="1">
      <alignment readingOrder="0" vertical="bottom"/>
    </xf>
    <xf borderId="0" fillId="90" fontId="2" numFmtId="10" xfId="0" applyAlignment="1" applyFill="1" applyFont="1" applyNumberFormat="1">
      <alignment readingOrder="0" vertical="bottom"/>
    </xf>
    <xf borderId="0" fillId="91" fontId="2" numFmtId="10" xfId="0" applyAlignment="1" applyFill="1" applyFont="1" applyNumberFormat="1">
      <alignment readingOrder="0" vertical="bottom"/>
    </xf>
    <xf borderId="0" fillId="92" fontId="2" numFmtId="10" xfId="0" applyAlignment="1" applyFill="1" applyFont="1" applyNumberFormat="1">
      <alignment readingOrder="0" vertical="bottom"/>
    </xf>
    <xf borderId="0" fillId="93" fontId="2" numFmtId="10" xfId="0" applyAlignment="1" applyFill="1" applyFont="1" applyNumberFormat="1">
      <alignment readingOrder="0" vertical="bottom"/>
    </xf>
    <xf borderId="0" fillId="72" fontId="2" numFmtId="10" xfId="0" applyAlignment="1" applyFont="1" applyNumberFormat="1">
      <alignment readingOrder="0" vertical="bottom"/>
    </xf>
    <xf borderId="0" fillId="94" fontId="2" numFmtId="10" xfId="0" applyAlignment="1" applyFill="1" applyFont="1" applyNumberFormat="1">
      <alignment readingOrder="0" vertical="bottom"/>
    </xf>
    <xf borderId="0" fillId="25" fontId="2" numFmtId="10" xfId="0" applyAlignment="1" applyFont="1" applyNumberFormat="1">
      <alignment readingOrder="0" vertical="bottom"/>
    </xf>
    <xf borderId="0" fillId="95" fontId="2" numFmtId="10" xfId="0" applyAlignment="1" applyFill="1" applyFont="1" applyNumberFormat="1">
      <alignment readingOrder="0" vertical="bottom"/>
    </xf>
    <xf borderId="1" fillId="13" fontId="8" numFmtId="177" xfId="0" applyAlignment="1" applyBorder="1" applyFont="1" applyNumberFormat="1">
      <alignment vertical="bottom"/>
    </xf>
    <xf borderId="0" fillId="96" fontId="2" numFmtId="10" xfId="0" applyAlignment="1" applyFill="1" applyFont="1" applyNumberFormat="1">
      <alignment readingOrder="0" vertical="bottom"/>
    </xf>
    <xf borderId="0" fillId="97" fontId="2" numFmtId="10" xfId="0" applyAlignment="1" applyFill="1" applyFont="1" applyNumberFormat="1">
      <alignment readingOrder="0" vertical="bottom"/>
    </xf>
    <xf borderId="4" fillId="0" fontId="2" numFmtId="167" xfId="0" applyAlignment="1" applyBorder="1" applyFont="1" applyNumberFormat="1">
      <alignment horizontal="right" vertical="bottom"/>
    </xf>
    <xf borderId="0" fillId="0" fontId="2" numFmtId="10" xfId="0" applyAlignment="1" applyFont="1" applyNumberFormat="1">
      <alignment horizontal="right" vertical="bottom"/>
    </xf>
    <xf borderId="1" fillId="0" fontId="2" numFmtId="167" xfId="0" applyAlignment="1" applyBorder="1" applyFont="1" applyNumberFormat="1">
      <alignment vertical="bottom"/>
    </xf>
    <xf borderId="4" fillId="0" fontId="2" numFmtId="10" xfId="0" applyAlignment="1" applyBorder="1" applyFont="1" applyNumberFormat="1">
      <alignment horizontal="right" vertical="bottom"/>
    </xf>
    <xf borderId="0" fillId="2" fontId="2" numFmtId="178" xfId="0" applyAlignment="1" applyFont="1" applyNumberFormat="1">
      <alignment horizontal="right" readingOrder="0" vertical="bottom"/>
    </xf>
    <xf borderId="0" fillId="2" fontId="2" numFmtId="0" xfId="0" applyAlignment="1" applyFont="1">
      <alignment horizontal="right" vertical="bottom"/>
    </xf>
    <xf borderId="0" fillId="0" fontId="19" numFmtId="168" xfId="0" applyAlignment="1" applyFont="1" applyNumberFormat="1">
      <alignment horizontal="right" vertical="bottom"/>
    </xf>
    <xf borderId="0" fillId="0" fontId="19" numFmtId="10" xfId="0" applyAlignment="1" applyFont="1" applyNumberFormat="1">
      <alignment horizontal="right" vertical="bottom"/>
    </xf>
    <xf borderId="0" fillId="0" fontId="2" numFmtId="2" xfId="0" applyAlignment="1" applyFont="1" applyNumberFormat="1">
      <alignment vertical="bottom"/>
    </xf>
    <xf borderId="0" fillId="0" fontId="19" numFmtId="2" xfId="0" applyAlignment="1" applyFont="1" applyNumberFormat="1">
      <alignment horizontal="right" vertical="bottom"/>
    </xf>
    <xf borderId="0" fillId="0" fontId="20" numFmtId="0" xfId="0" applyAlignment="1" applyFont="1">
      <alignment vertical="bottom"/>
    </xf>
    <xf borderId="0" fillId="0" fontId="2" numFmtId="0" xfId="0" applyAlignment="1" applyFont="1">
      <alignment shrinkToFit="0" vertical="bottom" wrapText="0"/>
    </xf>
    <xf borderId="0" fillId="9" fontId="21" numFmtId="0" xfId="0" applyAlignment="1" applyFont="1">
      <alignment shrinkToFit="0" vertical="bottom" wrapText="0"/>
    </xf>
    <xf borderId="0" fillId="0" fontId="2" numFmtId="167" xfId="0" applyAlignment="1" applyFont="1" applyNumberFormat="1">
      <alignment horizontal="right" vertical="bottom"/>
    </xf>
    <xf borderId="0" fillId="0" fontId="2" numFmtId="4" xfId="0" applyAlignment="1" applyFont="1" applyNumberFormat="1">
      <alignment vertical="bottom"/>
    </xf>
    <xf borderId="0" fillId="0" fontId="2" numFmtId="3" xfId="0" applyAlignment="1" applyFont="1" applyNumberFormat="1">
      <alignment horizontal="right" vertical="bottom"/>
    </xf>
    <xf borderId="0" fillId="9" fontId="2" numFmtId="3" xfId="0" applyAlignment="1" applyFont="1" applyNumberFormat="1">
      <alignment horizontal="right" vertical="bottom"/>
    </xf>
    <xf borderId="0" fillId="0" fontId="19" numFmtId="3" xfId="0" applyAlignment="1" applyFont="1" applyNumberFormat="1">
      <alignment horizontal="right" vertical="bottom"/>
    </xf>
    <xf borderId="0" fillId="0" fontId="2" numFmtId="9" xfId="0" applyAlignment="1" applyFont="1" applyNumberFormat="1">
      <alignment horizontal="right" vertical="bottom"/>
    </xf>
    <xf borderId="4" fillId="9" fontId="8" numFmtId="0" xfId="0" applyAlignment="1" applyBorder="1" applyFont="1">
      <alignment vertical="bottom"/>
    </xf>
    <xf borderId="3" fillId="2" fontId="8" numFmtId="177" xfId="0" applyAlignment="1" applyBorder="1" applyFont="1" applyNumberFormat="1">
      <alignment vertical="bottom"/>
    </xf>
    <xf borderId="4" fillId="2" fontId="8" numFmtId="177" xfId="0" applyAlignment="1" applyBorder="1" applyFont="1" applyNumberFormat="1">
      <alignment vertical="bottom"/>
    </xf>
    <xf borderId="1" fillId="0" fontId="2" numFmtId="2" xfId="0" applyAlignment="1" applyBorder="1" applyFont="1" applyNumberFormat="1">
      <alignment vertical="bottom"/>
    </xf>
    <xf borderId="2" fillId="4" fontId="2" numFmtId="177" xfId="0" applyAlignment="1" applyBorder="1" applyFont="1" applyNumberFormat="1">
      <alignment vertical="bottom"/>
    </xf>
    <xf borderId="1" fillId="98" fontId="2" numFmtId="0" xfId="0" applyAlignment="1" applyBorder="1" applyFill="1" applyFont="1">
      <alignment vertical="bottom"/>
    </xf>
    <xf borderId="0" fillId="98" fontId="2" numFmtId="0" xfId="0" applyAlignment="1" applyFont="1">
      <alignment vertical="bottom"/>
    </xf>
    <xf borderId="0" fillId="0" fontId="2" numFmtId="179" xfId="0" applyAlignment="1" applyFont="1" applyNumberFormat="1">
      <alignment vertical="bottom"/>
    </xf>
    <xf borderId="1" fillId="99" fontId="3" numFmtId="0" xfId="0" applyAlignment="1" applyBorder="1" applyFill="1" applyFont="1">
      <alignment vertical="bottom"/>
    </xf>
    <xf borderId="1" fillId="13" fontId="8" numFmtId="0" xfId="0" applyAlignment="1" applyBorder="1" applyFont="1">
      <alignment vertical="bottom"/>
    </xf>
    <xf borderId="0" fillId="0" fontId="8" numFmtId="177" xfId="0" applyAlignment="1" applyFont="1" applyNumberFormat="1">
      <alignment horizontal="right" vertical="bottom"/>
    </xf>
    <xf borderId="2" fillId="4" fontId="10" numFmtId="3" xfId="0" applyAlignment="1" applyBorder="1" applyFont="1" applyNumberFormat="1">
      <alignment horizontal="right" vertical="bottom"/>
    </xf>
    <xf borderId="1" fillId="13" fontId="15" numFmtId="0" xfId="0" applyAlignment="1" applyBorder="1" applyFont="1">
      <alignment vertical="bottom"/>
    </xf>
    <xf borderId="0" fillId="100" fontId="15" numFmtId="177" xfId="0" applyAlignment="1" applyFill="1" applyFont="1" applyNumberFormat="1">
      <alignment horizontal="right" shrinkToFit="0" vertical="bottom" wrapText="1"/>
    </xf>
    <xf borderId="1" fillId="100" fontId="8" numFmtId="0" xfId="0" applyAlignment="1" applyBorder="1" applyFont="1">
      <alignment vertical="bottom"/>
    </xf>
    <xf borderId="0" fillId="0" fontId="8" numFmtId="3" xfId="0" applyAlignment="1" applyFont="1" applyNumberFormat="1">
      <alignment vertical="bottom"/>
    </xf>
    <xf borderId="1" fillId="100" fontId="15" numFmtId="0" xfId="0" applyAlignment="1" applyBorder="1" applyFont="1">
      <alignment vertical="bottom"/>
    </xf>
    <xf borderId="0" fillId="100" fontId="15" numFmtId="3" xfId="0" applyAlignment="1" applyFont="1" applyNumberFormat="1">
      <alignment horizontal="right" vertical="bottom"/>
    </xf>
    <xf borderId="1" fillId="101" fontId="8" numFmtId="0" xfId="0" applyAlignment="1" applyBorder="1" applyFill="1" applyFont="1">
      <alignment vertical="bottom"/>
    </xf>
    <xf borderId="0" fillId="0" fontId="8" numFmtId="167" xfId="0" applyAlignment="1" applyFont="1" applyNumberFormat="1">
      <alignment horizontal="right" vertical="bottom"/>
    </xf>
    <xf borderId="0" fillId="101" fontId="2" numFmtId="167" xfId="0" applyAlignment="1" applyFont="1" applyNumberFormat="1">
      <alignment vertical="bottom"/>
    </xf>
    <xf borderId="0" fillId="9" fontId="8" numFmtId="167" xfId="0" applyAlignment="1" applyFont="1" applyNumberFormat="1">
      <alignment vertical="bottom"/>
    </xf>
    <xf borderId="1" fillId="102" fontId="15" numFmtId="0" xfId="0" applyAlignment="1" applyBorder="1" applyFill="1" applyFont="1">
      <alignment vertical="bottom"/>
    </xf>
    <xf borderId="0" fillId="102" fontId="15" numFmtId="167" xfId="0" applyAlignment="1" applyFont="1" applyNumberFormat="1">
      <alignment horizontal="right" vertical="bottom"/>
    </xf>
    <xf borderId="0" fillId="0" fontId="2" numFmtId="1" xfId="0" applyAlignment="1" applyFont="1" applyNumberFormat="1">
      <alignment vertical="bottom"/>
    </xf>
    <xf borderId="2" fillId="4" fontId="2" numFmtId="3" xfId="0" applyAlignment="1" applyBorder="1" applyFont="1" applyNumberFormat="1">
      <alignment vertical="bottom"/>
    </xf>
    <xf borderId="1" fillId="103" fontId="8" numFmtId="0" xfId="0" applyAlignment="1" applyBorder="1" applyFill="1" applyFont="1">
      <alignment vertical="bottom"/>
    </xf>
    <xf borderId="0" fillId="0" fontId="8" numFmtId="0" xfId="0" applyAlignment="1" applyFont="1">
      <alignment horizontal="right" readingOrder="0" vertical="bottom"/>
    </xf>
    <xf borderId="0" fillId="0" fontId="8" numFmtId="1" xfId="0" applyAlignment="1" applyFont="1" applyNumberFormat="1">
      <alignment horizontal="right" readingOrder="0" vertical="bottom"/>
    </xf>
    <xf borderId="0" fillId="0" fontId="8" numFmtId="3" xfId="0" applyAlignment="1" applyFont="1" applyNumberFormat="1">
      <alignment horizontal="right" readingOrder="0" vertical="bottom"/>
    </xf>
    <xf borderId="1" fillId="104" fontId="15" numFmtId="0" xfId="0" applyAlignment="1" applyBorder="1" applyFill="1" applyFont="1">
      <alignment vertical="bottom"/>
    </xf>
    <xf borderId="0" fillId="104" fontId="15" numFmtId="1" xfId="0" applyAlignment="1" applyFont="1" applyNumberFormat="1">
      <alignment horizontal="right" vertical="bottom"/>
    </xf>
    <xf borderId="1" fillId="105" fontId="15" numFmtId="0" xfId="0" applyAlignment="1" applyBorder="1" applyFill="1" applyFont="1">
      <alignment vertical="bottom"/>
    </xf>
    <xf borderId="0" fillId="105" fontId="2" numFmtId="0" xfId="0" applyAlignment="1" applyFont="1">
      <alignment vertical="bottom"/>
    </xf>
    <xf borderId="0" fillId="0" fontId="8" numFmtId="1" xfId="0" applyAlignment="1" applyFont="1" applyNumberFormat="1">
      <alignment horizontal="right" vertical="bottom"/>
    </xf>
    <xf borderId="0" fillId="0" fontId="8" numFmtId="1" xfId="0" applyAlignment="1" applyFont="1" applyNumberFormat="1">
      <alignment readingOrder="0" vertical="bottom"/>
    </xf>
    <xf borderId="0" fillId="0" fontId="8" numFmtId="0" xfId="0" applyAlignment="1" applyFont="1">
      <alignment readingOrder="0" vertical="bottom"/>
    </xf>
    <xf borderId="0" fillId="0" fontId="8" numFmtId="3" xfId="0" applyAlignment="1" applyFont="1" applyNumberFormat="1">
      <alignment horizontal="right" vertical="bottom"/>
    </xf>
    <xf borderId="1" fillId="99" fontId="22" numFmtId="0" xfId="0" applyAlignment="1" applyBorder="1" applyFont="1">
      <alignment vertical="bottom"/>
    </xf>
    <xf borderId="1" fillId="106" fontId="8" numFmtId="0" xfId="0" applyAlignment="1" applyBorder="1" applyFill="1" applyFont="1">
      <alignment vertical="bottom"/>
    </xf>
    <xf borderId="0" fillId="106" fontId="2" numFmtId="1" xfId="0" applyAlignment="1" applyFont="1" applyNumberFormat="1">
      <alignment vertical="bottom"/>
    </xf>
    <xf borderId="1" fillId="107" fontId="23" numFmtId="0" xfId="0" applyAlignment="1" applyBorder="1" applyFill="1" applyFont="1">
      <alignment vertical="bottom"/>
    </xf>
    <xf borderId="0" fillId="107" fontId="15" numFmtId="1" xfId="0" applyAlignment="1" applyFont="1" applyNumberFormat="1">
      <alignment horizontal="right" vertical="bottom"/>
    </xf>
    <xf borderId="2" fillId="4" fontId="2" numFmtId="167" xfId="0" applyAlignment="1" applyBorder="1" applyFont="1" applyNumberFormat="1">
      <alignment vertical="bottom"/>
    </xf>
    <xf borderId="0" fillId="9" fontId="8" numFmtId="167" xfId="0" applyAlignment="1" applyFont="1" applyNumberFormat="1">
      <alignment readingOrder="0" vertical="bottom"/>
    </xf>
    <xf borderId="0" fillId="0" fontId="8" numFmtId="167" xfId="0" applyAlignment="1" applyFont="1" applyNumberFormat="1">
      <alignment readingOrder="0" vertical="bottom"/>
    </xf>
    <xf borderId="0" fillId="107" fontId="15" numFmtId="167" xfId="0" applyAlignment="1" applyFont="1" applyNumberFormat="1">
      <alignment horizontal="right" vertical="bottom"/>
    </xf>
    <xf borderId="0" fillId="0" fontId="8" numFmtId="168" xfId="0" applyAlignment="1" applyFont="1" applyNumberFormat="1">
      <alignment readingOrder="0" vertical="bottom"/>
    </xf>
    <xf borderId="1" fillId="108" fontId="8" numFmtId="0" xfId="0" applyAlignment="1" applyBorder="1" applyFill="1" applyFont="1">
      <alignment vertical="bottom"/>
    </xf>
    <xf borderId="0" fillId="108" fontId="2" numFmtId="1" xfId="0" applyAlignment="1" applyFont="1" applyNumberFormat="1">
      <alignment vertical="bottom"/>
    </xf>
    <xf borderId="1" fillId="105" fontId="23" numFmtId="167" xfId="0" applyAlignment="1" applyBorder="1" applyFont="1" applyNumberFormat="1">
      <alignment vertical="bottom"/>
    </xf>
    <xf borderId="0" fillId="105" fontId="2" numFmtId="167" xfId="0" applyAlignment="1" applyFont="1" applyNumberFormat="1">
      <alignment vertical="bottom"/>
    </xf>
    <xf borderId="1" fillId="99" fontId="23" numFmtId="0" xfId="0" applyAlignment="1" applyBorder="1" applyFont="1">
      <alignment vertical="bottom"/>
    </xf>
    <xf borderId="0" fillId="99" fontId="2" numFmtId="2" xfId="0" applyAlignment="1" applyFont="1" applyNumberFormat="1">
      <alignment vertical="bottom"/>
    </xf>
    <xf borderId="0" fillId="99" fontId="2" numFmtId="0" xfId="0" applyAlignment="1" applyFont="1">
      <alignment vertical="bottom"/>
    </xf>
    <xf borderId="1" fillId="18" fontId="8" numFmtId="0" xfId="0" applyAlignment="1" applyBorder="1" applyFont="1">
      <alignment vertical="bottom"/>
    </xf>
    <xf borderId="1" fillId="19" fontId="15" numFmtId="0" xfId="0" applyAlignment="1" applyBorder="1" applyFont="1">
      <alignment vertical="bottom"/>
    </xf>
    <xf borderId="0" fillId="19" fontId="15" numFmtId="1" xfId="0" applyAlignment="1" applyFont="1" applyNumberFormat="1">
      <alignment horizontal="right" vertical="bottom"/>
    </xf>
    <xf borderId="1" fillId="19" fontId="15" numFmtId="1" xfId="0" applyAlignment="1" applyBorder="1" applyFont="1" applyNumberFormat="1">
      <alignment vertical="bottom"/>
    </xf>
    <xf borderId="0" fillId="19" fontId="15" numFmtId="167" xfId="0" applyAlignment="1" applyFont="1" applyNumberFormat="1">
      <alignment horizontal="right" vertical="bottom"/>
    </xf>
    <xf borderId="0" fillId="0" fontId="8" numFmtId="167" xfId="0" applyAlignment="1" applyFont="1" applyNumberFormat="1">
      <alignment vertical="bottom"/>
    </xf>
    <xf borderId="0" fillId="0" fontId="8" numFmtId="0" xfId="0" applyAlignment="1" applyFont="1">
      <alignment vertical="bottom"/>
    </xf>
    <xf borderId="0" fillId="0" fontId="8" numFmtId="167" xfId="0" applyAlignment="1" applyFont="1" applyNumberFormat="1">
      <alignment horizontal="right" vertical="bottom"/>
    </xf>
    <xf borderId="0" fillId="0" fontId="8" numFmtId="167" xfId="0" applyAlignment="1" applyFont="1" applyNumberFormat="1">
      <alignment readingOrder="0" vertical="bottom"/>
    </xf>
    <xf borderId="2" fillId="0" fontId="8" numFmtId="0" xfId="0" applyAlignment="1" applyBorder="1" applyFont="1">
      <alignment vertical="bottom"/>
    </xf>
    <xf borderId="1" fillId="11" fontId="3" numFmtId="0" xfId="0" applyAlignment="1" applyBorder="1" applyFont="1">
      <alignment readingOrder="0" vertical="bottom"/>
    </xf>
    <xf borderId="1" fillId="12" fontId="8" numFmtId="0" xfId="0" applyAlignment="1" applyBorder="1" applyFont="1">
      <alignment readingOrder="0" vertical="bottom"/>
    </xf>
    <xf borderId="2" fillId="13" fontId="8" numFmtId="0" xfId="0" applyAlignment="1" applyBorder="1" applyFont="1">
      <alignment horizontal="right" readingOrder="0" vertical="bottom"/>
    </xf>
    <xf borderId="0" fillId="13" fontId="8" numFmtId="0" xfId="0" applyAlignment="1" applyFont="1">
      <alignment horizontal="right" readingOrder="0" vertical="bottom"/>
    </xf>
    <xf borderId="0" fillId="18" fontId="2" numFmtId="1" xfId="0" applyAlignment="1" applyFont="1" applyNumberFormat="1">
      <alignment vertical="bottom"/>
    </xf>
    <xf borderId="2" fillId="0" fontId="10" numFmtId="0" xfId="0" applyAlignment="1" applyBorder="1" applyFont="1">
      <alignment horizontal="right" vertical="bottom"/>
    </xf>
    <xf borderId="1" fillId="0" fontId="8" numFmtId="0" xfId="0" applyAlignment="1" applyBorder="1" applyFont="1">
      <alignment readingOrder="0" vertical="bottom"/>
    </xf>
    <xf borderId="0" fillId="109" fontId="8" numFmtId="0" xfId="0" applyAlignment="1" applyFill="1" applyFont="1">
      <alignment horizontal="right" readingOrder="0" vertical="bottom"/>
    </xf>
    <xf borderId="0" fillId="2" fontId="8" numFmtId="0" xfId="0" applyAlignment="1" applyFont="1">
      <alignment horizontal="right" readingOrder="0" vertical="bottom"/>
    </xf>
    <xf borderId="0" fillId="109" fontId="8" numFmtId="1" xfId="0" applyAlignment="1" applyFont="1" applyNumberFormat="1">
      <alignment readingOrder="0" vertical="bottom"/>
    </xf>
    <xf borderId="0" fillId="109" fontId="8" numFmtId="1" xfId="0" applyAlignment="1" applyFont="1" applyNumberFormat="1">
      <alignment vertical="bottom"/>
    </xf>
    <xf borderId="2" fillId="0" fontId="10" numFmtId="1" xfId="0" applyAlignment="1" applyBorder="1" applyFont="1" applyNumberFormat="1">
      <alignment horizontal="right" vertical="bottom"/>
    </xf>
    <xf borderId="4" fillId="0" fontId="8" numFmtId="0" xfId="0" applyAlignment="1" applyBorder="1" applyFont="1">
      <alignment readingOrder="0" vertical="bottom"/>
    </xf>
    <xf borderId="3" fillId="13" fontId="8" numFmtId="0" xfId="0" applyAlignment="1" applyBorder="1" applyFont="1">
      <alignment horizontal="right" readingOrder="0" vertical="bottom"/>
    </xf>
    <xf borderId="3" fillId="13" fontId="8" numFmtId="3" xfId="0" applyAlignment="1" applyBorder="1" applyFont="1" applyNumberFormat="1">
      <alignment horizontal="right" readingOrder="0" vertical="bottom"/>
    </xf>
    <xf borderId="1" fillId="0" fontId="15" numFmtId="0" xfId="0" applyAlignment="1" applyBorder="1" applyFont="1">
      <alignment readingOrder="0" vertical="bottom"/>
    </xf>
    <xf borderId="1" fillId="20" fontId="8" numFmtId="0" xfId="0" applyAlignment="1" applyBorder="1" applyFont="1">
      <alignment readingOrder="0" vertical="bottom"/>
    </xf>
    <xf borderId="2" fillId="13" fontId="8" numFmtId="167" xfId="0" applyAlignment="1" applyBorder="1" applyFont="1" applyNumberFormat="1">
      <alignment horizontal="right" readingOrder="0" vertical="bottom"/>
    </xf>
    <xf borderId="0" fillId="13" fontId="8" numFmtId="167" xfId="0" applyAlignment="1" applyFont="1" applyNumberFormat="1">
      <alignment horizontal="right" readingOrder="0" vertical="bottom"/>
    </xf>
    <xf borderId="2" fillId="0" fontId="10" numFmtId="167" xfId="0" applyAlignment="1" applyBorder="1" applyFont="1" applyNumberFormat="1">
      <alignment horizontal="right" vertical="bottom"/>
    </xf>
    <xf borderId="2" fillId="109" fontId="8" numFmtId="167" xfId="0" applyAlignment="1" applyBorder="1" applyFont="1" applyNumberFormat="1">
      <alignment readingOrder="0" vertical="bottom"/>
    </xf>
    <xf borderId="0" fillId="109" fontId="8" numFmtId="167" xfId="0" applyAlignment="1" applyFont="1" applyNumberFormat="1">
      <alignment readingOrder="0" vertical="bottom"/>
    </xf>
    <xf borderId="0" fillId="109" fontId="8" numFmtId="167" xfId="0" applyAlignment="1" applyFont="1" applyNumberFormat="1">
      <alignment horizontal="right" readingOrder="0" vertical="bottom"/>
    </xf>
    <xf borderId="0" fillId="109" fontId="8" numFmtId="167" xfId="0" applyAlignment="1" applyFont="1" applyNumberFormat="1">
      <alignment vertical="bottom"/>
    </xf>
    <xf borderId="3" fillId="13" fontId="8" numFmtId="167" xfId="0" applyAlignment="1" applyBorder="1" applyFont="1" applyNumberFormat="1">
      <alignment horizontal="right" readingOrder="0" vertical="bottom"/>
    </xf>
    <xf borderId="3" fillId="13" fontId="8" numFmtId="167" xfId="0" applyAlignment="1" applyBorder="1" applyFont="1" applyNumberFormat="1">
      <alignment horizontal="right" readingOrder="0" vertical="bottom"/>
    </xf>
    <xf borderId="3" fillId="13" fontId="8" numFmtId="4" xfId="0" applyAlignment="1" applyBorder="1" applyFont="1" applyNumberFormat="1">
      <alignment horizontal="right" readingOrder="0" vertical="bottom"/>
    </xf>
    <xf borderId="0" fillId="13" fontId="8" numFmtId="167" xfId="0" applyAlignment="1" applyFont="1" applyNumberFormat="1">
      <alignment horizontal="right" readingOrder="0" vertical="bottom"/>
    </xf>
    <xf borderId="7" fillId="0" fontId="15" numFmtId="177" xfId="0" applyAlignment="1" applyBorder="1" applyFont="1" applyNumberFormat="1">
      <alignment horizontal="right" vertical="bottom"/>
    </xf>
    <xf borderId="2" fillId="0" fontId="10" numFmtId="177" xfId="0" applyAlignment="1" applyBorder="1" applyFont="1" applyNumberFormat="1">
      <alignment horizontal="right" vertical="bottom"/>
    </xf>
    <xf borderId="1" fillId="59" fontId="8" numFmtId="0" xfId="0" applyAlignment="1" applyBorder="1" applyFont="1">
      <alignment readingOrder="0" vertical="bottom"/>
    </xf>
    <xf borderId="0" fillId="13" fontId="8" numFmtId="177" xfId="0" applyAlignment="1" applyFont="1" applyNumberFormat="1">
      <alignment horizontal="right" readingOrder="0" vertical="bottom"/>
    </xf>
    <xf borderId="1" fillId="0" fontId="2" numFmtId="1" xfId="0" applyAlignment="1" applyBorder="1" applyFont="1" applyNumberFormat="1">
      <alignment vertical="bottom"/>
    </xf>
    <xf borderId="1" fillId="18" fontId="15" numFmtId="0" xfId="0" applyAlignment="1" applyBorder="1" applyFont="1">
      <alignment vertical="bottom"/>
    </xf>
    <xf borderId="0" fillId="19" fontId="8" numFmtId="1" xfId="0" applyAlignment="1" applyFont="1" applyNumberFormat="1">
      <alignment readingOrder="0" vertical="bottom"/>
    </xf>
    <xf borderId="0" fillId="109" fontId="24" numFmtId="177" xfId="0" applyAlignment="1" applyFont="1" applyNumberFormat="1">
      <alignment vertical="bottom"/>
    </xf>
    <xf borderId="0" fillId="19" fontId="15" numFmtId="1" xfId="0" applyAlignment="1" applyFont="1" applyNumberFormat="1">
      <alignment horizontal="right" readingOrder="0" vertical="bottom"/>
    </xf>
    <xf borderId="0" fillId="19" fontId="2" numFmtId="1" xfId="0" applyAlignment="1" applyFont="1" applyNumberFormat="1">
      <alignment readingOrder="0" vertical="bottom"/>
    </xf>
    <xf borderId="0" fillId="19" fontId="8" numFmtId="0" xfId="0" applyAlignment="1" applyFont="1">
      <alignment readingOrder="0" vertical="bottom"/>
    </xf>
    <xf borderId="0" fillId="109" fontId="8" numFmtId="177" xfId="0" applyAlignment="1" applyFont="1" applyNumberFormat="1">
      <alignment vertical="bottom"/>
    </xf>
    <xf borderId="4" fillId="110" fontId="8" numFmtId="0" xfId="0" applyAlignment="1" applyBorder="1" applyFill="1" applyFont="1">
      <alignment vertical="bottom"/>
    </xf>
    <xf borderId="0" fillId="9" fontId="25" numFmtId="0" xfId="0" applyAlignment="1" applyFont="1">
      <alignment horizontal="left" readingOrder="0"/>
    </xf>
    <xf borderId="2" fillId="109" fontId="8" numFmtId="177" xfId="0" applyAlignment="1" applyBorder="1" applyFont="1" applyNumberFormat="1">
      <alignment vertical="bottom"/>
    </xf>
    <xf borderId="8" fillId="4" fontId="2" numFmtId="0" xfId="0" applyAlignment="1" applyBorder="1" applyFont="1">
      <alignment vertical="bottom"/>
    </xf>
    <xf borderId="1" fillId="101" fontId="15" numFmtId="0" xfId="0" applyAlignment="1" applyBorder="1" applyFont="1">
      <alignment vertical="bottom"/>
    </xf>
    <xf borderId="0" fillId="111" fontId="8" numFmtId="177" xfId="0" applyAlignment="1" applyFill="1" applyFont="1" applyNumberFormat="1">
      <alignment horizontal="right" vertical="bottom"/>
    </xf>
    <xf borderId="2" fillId="2" fontId="8" numFmtId="177" xfId="0" applyAlignment="1" applyBorder="1" applyFont="1" applyNumberFormat="1">
      <alignment vertical="bottom"/>
    </xf>
    <xf borderId="0" fillId="112" fontId="8" numFmtId="177" xfId="0" applyAlignment="1" applyFill="1" applyFont="1" applyNumberFormat="1">
      <alignment horizontal="right" vertical="bottom"/>
    </xf>
    <xf borderId="0" fillId="113" fontId="8" numFmtId="177" xfId="0" applyAlignment="1" applyFill="1" applyFont="1" applyNumberFormat="1">
      <alignment horizontal="right" vertical="bottom"/>
    </xf>
    <xf borderId="0" fillId="2" fontId="8" numFmtId="177" xfId="0" applyAlignment="1" applyFont="1" applyNumberFormat="1">
      <alignment vertical="bottom"/>
    </xf>
    <xf borderId="0" fillId="114" fontId="8" numFmtId="177" xfId="0" applyAlignment="1" applyFill="1" applyFont="1" applyNumberFormat="1">
      <alignment horizontal="right" vertical="bottom"/>
    </xf>
    <xf borderId="0" fillId="115" fontId="8" numFmtId="177" xfId="0" applyAlignment="1" applyFill="1" applyFont="1" applyNumberFormat="1">
      <alignment horizontal="right" vertical="bottom"/>
    </xf>
    <xf borderId="0" fillId="116" fontId="8" numFmtId="177" xfId="0" applyAlignment="1" applyFill="1" applyFont="1" applyNumberFormat="1">
      <alignment horizontal="right" vertical="bottom"/>
    </xf>
    <xf borderId="0" fillId="117" fontId="8" numFmtId="177" xfId="0" applyAlignment="1" applyFill="1" applyFont="1" applyNumberFormat="1">
      <alignment horizontal="right" vertical="bottom"/>
    </xf>
    <xf borderId="0" fillId="118" fontId="8" numFmtId="177" xfId="0" applyAlignment="1" applyFill="1" applyFont="1" applyNumberFormat="1">
      <alignment horizontal="right" vertical="bottom"/>
    </xf>
    <xf borderId="0" fillId="119" fontId="8" numFmtId="177" xfId="0" applyAlignment="1" applyFill="1" applyFont="1" applyNumberFormat="1">
      <alignment horizontal="right" vertical="bottom"/>
    </xf>
    <xf borderId="0" fillId="120" fontId="8" numFmtId="177" xfId="0" applyAlignment="1" applyFill="1" applyFont="1" applyNumberFormat="1">
      <alignment horizontal="right" vertical="bottom"/>
    </xf>
    <xf borderId="0" fillId="121" fontId="8" numFmtId="177" xfId="0" applyAlignment="1" applyFill="1" applyFont="1" applyNumberFormat="1">
      <alignment horizontal="right" vertical="bottom"/>
    </xf>
    <xf borderId="0" fillId="122" fontId="8" numFmtId="177" xfId="0" applyAlignment="1" applyFill="1" applyFont="1" applyNumberFormat="1">
      <alignment horizontal="right" vertical="bottom"/>
    </xf>
    <xf borderId="0" fillId="123" fontId="8" numFmtId="177" xfId="0" applyAlignment="1" applyFill="1" applyFont="1" applyNumberFormat="1">
      <alignment horizontal="right" vertical="bottom"/>
    </xf>
    <xf borderId="0" fillId="9" fontId="8" numFmtId="177" xfId="0" applyAlignment="1" applyFont="1" applyNumberFormat="1">
      <alignment horizontal="right" vertical="bottom"/>
    </xf>
    <xf borderId="4" fillId="101" fontId="15" numFmtId="0" xfId="0" applyAlignment="1" applyBorder="1" applyFont="1">
      <alignment vertical="bottom"/>
    </xf>
    <xf borderId="3" fillId="0" fontId="8" numFmtId="177" xfId="0" applyAlignment="1" applyBorder="1" applyFont="1" applyNumberFormat="1">
      <alignment vertical="bottom"/>
    </xf>
    <xf borderId="3" fillId="109" fontId="8" numFmtId="177" xfId="0" applyAlignment="1" applyBorder="1" applyFont="1" applyNumberFormat="1">
      <alignment vertical="bottom"/>
    </xf>
    <xf borderId="8" fillId="4" fontId="10" numFmtId="177" xfId="0" applyAlignment="1" applyBorder="1" applyFont="1" applyNumberFormat="1">
      <alignment horizontal="right" vertical="bottom"/>
    </xf>
    <xf borderId="2" fillId="0" fontId="8" numFmtId="177" xfId="0" applyAlignment="1" applyBorder="1" applyFont="1" applyNumberFormat="1">
      <alignment horizontal="right" vertical="bottom"/>
    </xf>
    <xf borderId="0" fillId="6" fontId="1" numFmtId="0" xfId="0" applyAlignment="1" applyFont="1">
      <alignment horizontal="center" readingOrder="0"/>
    </xf>
    <xf borderId="0" fillId="9" fontId="26" numFmtId="0" xfId="0" applyAlignment="1" applyFont="1">
      <alignment horizontal="left" readingOrder="0"/>
    </xf>
    <xf borderId="0" fillId="9" fontId="27" numFmtId="0" xfId="0" applyAlignment="1" applyFont="1">
      <alignment readingOrder="0"/>
    </xf>
    <xf borderId="0" fillId="10" fontId="28" numFmtId="0" xfId="0" applyAlignment="1" applyFont="1">
      <alignment readingOrder="0"/>
    </xf>
    <xf borderId="0" fillId="10" fontId="29" numFmtId="0" xfId="0" applyAlignment="1" applyFont="1">
      <alignment readingOrder="0"/>
    </xf>
    <xf borderId="0" fillId="10" fontId="29" numFmtId="0" xfId="0" applyAlignment="1" applyFont="1">
      <alignment horizontal="center" readingOrder="0"/>
    </xf>
    <xf borderId="0" fillId="124" fontId="29" numFmtId="0" xfId="0" applyAlignment="1" applyFill="1" applyFont="1">
      <alignment horizontal="center" readingOrder="0"/>
    </xf>
    <xf borderId="0" fillId="102" fontId="30" numFmtId="0" xfId="0" applyAlignment="1" applyFont="1">
      <alignment horizontal="center" readingOrder="0"/>
    </xf>
    <xf borderId="0" fillId="9" fontId="27" numFmtId="167" xfId="0" applyAlignment="1" applyFont="1" applyNumberFormat="1">
      <alignment readingOrder="0"/>
    </xf>
    <xf borderId="0" fillId="14" fontId="27" numFmtId="167" xfId="0" applyAlignment="1" applyFont="1" applyNumberFormat="1">
      <alignment readingOrder="0"/>
    </xf>
    <xf borderId="0" fillId="16" fontId="1" numFmtId="167" xfId="0" applyAlignment="1" applyFont="1" applyNumberFormat="1">
      <alignment readingOrder="0"/>
    </xf>
    <xf borderId="0" fillId="124" fontId="1" numFmtId="167" xfId="0" applyAlignment="1" applyFont="1" applyNumberFormat="1">
      <alignment horizontal="center" readingOrder="0"/>
    </xf>
    <xf borderId="0" fillId="0" fontId="30" numFmtId="0" xfId="0" applyAlignment="1" applyFont="1">
      <alignment horizontal="right" readingOrder="0"/>
    </xf>
    <xf borderId="0" fillId="0" fontId="30" numFmtId="168" xfId="0" applyAlignment="1" applyFont="1" applyNumberFormat="1">
      <alignment horizontal="right" readingOrder="0"/>
    </xf>
    <xf borderId="0" fillId="10" fontId="31" numFmtId="165" xfId="0" applyAlignment="1" applyFont="1" applyNumberFormat="1">
      <alignment horizontal="right" readingOrder="0" vertical="bottom"/>
    </xf>
    <xf borderId="0" fillId="14" fontId="1" numFmtId="167" xfId="0" applyAlignment="1" applyFont="1" applyNumberFormat="1">
      <alignment readingOrder="0"/>
    </xf>
    <xf borderId="2" fillId="0" fontId="1" numFmtId="0" xfId="0" applyAlignment="1" applyBorder="1" applyFont="1">
      <alignment readingOrder="0"/>
    </xf>
    <xf borderId="7" fillId="0" fontId="2" numFmtId="3" xfId="0" applyAlignment="1" applyBorder="1" applyFont="1" applyNumberFormat="1">
      <alignment horizontal="center" readingOrder="0" vertical="bottom"/>
    </xf>
    <xf borderId="1" fillId="0" fontId="1" numFmtId="0" xfId="0" applyAlignment="1" applyBorder="1" applyFont="1">
      <alignment horizontal="center" readingOrder="0"/>
    </xf>
    <xf borderId="0" fillId="0" fontId="1" numFmtId="3" xfId="0" applyAlignment="1" applyFont="1" applyNumberFormat="1">
      <alignment horizontal="center" readingOrder="0"/>
    </xf>
    <xf borderId="1" fillId="0" fontId="1" numFmtId="3" xfId="0" applyAlignment="1" applyBorder="1" applyFont="1" applyNumberFormat="1">
      <alignment horizontal="center" readingOrder="0"/>
    </xf>
    <xf borderId="0" fillId="0" fontId="1" numFmtId="167" xfId="0" applyAlignment="1" applyFont="1" applyNumberFormat="1">
      <alignment readingOrder="0"/>
    </xf>
    <xf borderId="0" fillId="9" fontId="1" numFmtId="0" xfId="0" applyAlignment="1" applyFont="1">
      <alignment horizontal="left" readingOrder="0"/>
    </xf>
    <xf borderId="2" fillId="0" fontId="1" numFmtId="0" xfId="0" applyAlignment="1" applyBorder="1" applyFont="1">
      <alignment readingOrder="0"/>
    </xf>
    <xf borderId="0" fillId="9" fontId="27" numFmtId="174" xfId="0" applyAlignment="1" applyFont="1" applyNumberFormat="1">
      <alignment readingOrder="0"/>
    </xf>
    <xf borderId="0" fillId="0" fontId="32" numFmtId="0" xfId="0" applyAlignment="1" applyFont="1">
      <alignment readingOrder="0"/>
    </xf>
    <xf borderId="0" fillId="14" fontId="1" numFmtId="167" xfId="0" applyAlignment="1" applyFont="1" applyNumberFormat="1">
      <alignment horizontal="right" readingOrder="0"/>
    </xf>
    <xf borderId="9" fillId="106" fontId="30" numFmtId="0" xfId="0" applyAlignment="1" applyBorder="1" applyFont="1">
      <alignment horizontal="center" readingOrder="0"/>
    </xf>
    <xf borderId="10" fillId="106" fontId="30" numFmtId="3" xfId="0" applyAlignment="1" applyBorder="1" applyFont="1" applyNumberFormat="1">
      <alignment horizontal="center" readingOrder="0"/>
    </xf>
    <xf borderId="0" fillId="0" fontId="27" numFmtId="0" xfId="0" applyFont="1"/>
    <xf borderId="11" fillId="15" fontId="29" numFmtId="0" xfId="0" applyAlignment="1" applyBorder="1" applyFont="1">
      <alignment horizontal="center" readingOrder="0"/>
    </xf>
    <xf borderId="7" fillId="15" fontId="31" numFmtId="165" xfId="0" applyAlignment="1" applyBorder="1" applyFont="1" applyNumberFormat="1">
      <alignment horizontal="right" readingOrder="0" vertical="bottom"/>
    </xf>
    <xf borderId="12" fillId="15" fontId="31" numFmtId="165" xfId="0" applyAlignment="1" applyBorder="1" applyFont="1" applyNumberFormat="1">
      <alignment horizontal="right" readingOrder="0" vertical="bottom"/>
    </xf>
    <xf borderId="0" fillId="0" fontId="1" numFmtId="10" xfId="0" applyFont="1" applyNumberFormat="1"/>
    <xf borderId="1" fillId="0" fontId="1" numFmtId="10" xfId="0" applyBorder="1" applyFont="1" applyNumberFormat="1"/>
    <xf borderId="0" fillId="4" fontId="1" numFmtId="167" xfId="0" applyAlignment="1" applyFont="1" applyNumberFormat="1">
      <alignment readingOrder="0"/>
    </xf>
    <xf borderId="0" fillId="124" fontId="29" numFmtId="0" xfId="0" applyAlignment="1" applyFont="1">
      <alignment readingOrder="0"/>
    </xf>
    <xf borderId="0" fillId="124" fontId="1" numFmtId="0" xfId="0" applyFont="1"/>
    <xf borderId="0" fillId="0" fontId="27" numFmtId="0" xfId="0" applyAlignment="1" applyFont="1">
      <alignment readingOrder="0"/>
    </xf>
    <xf borderId="0" fillId="0" fontId="1" numFmtId="10" xfId="0" applyAlignment="1" applyFont="1" applyNumberFormat="1">
      <alignment readingOrder="0"/>
    </xf>
    <xf borderId="0" fillId="124" fontId="27" numFmtId="0" xfId="0" applyAlignment="1" applyFont="1">
      <alignment readingOrder="0"/>
    </xf>
    <xf borderId="0" fillId="124" fontId="1" numFmtId="0" xfId="0" applyAlignment="1" applyFont="1">
      <alignment horizontal="center"/>
    </xf>
    <xf borderId="0" fillId="0" fontId="1" numFmtId="167" xfId="0" applyAlignment="1" applyFont="1" applyNumberFormat="1">
      <alignment readingOrder="0"/>
    </xf>
    <xf borderId="0" fillId="0" fontId="8" numFmtId="180" xfId="0" applyAlignment="1" applyFont="1" applyNumberFormat="1">
      <alignment horizontal="right" vertical="bottom"/>
    </xf>
    <xf borderId="0" fillId="124" fontId="1" numFmtId="0" xfId="0" applyAlignment="1" applyFont="1">
      <alignment readingOrder="0"/>
    </xf>
    <xf borderId="0" fillId="124" fontId="1" numFmtId="167" xfId="0" applyAlignment="1" applyFont="1" applyNumberFormat="1">
      <alignment horizontal="center"/>
    </xf>
    <xf borderId="8" fillId="0" fontId="1" numFmtId="0" xfId="0" applyAlignment="1" applyBorder="1" applyFont="1">
      <alignment readingOrder="0"/>
    </xf>
    <xf borderId="3" fillId="0" fontId="1" numFmtId="10" xfId="0" applyBorder="1" applyFont="1" applyNumberFormat="1"/>
    <xf borderId="4" fillId="0" fontId="1" numFmtId="10" xfId="0" applyBorder="1" applyFont="1" applyNumberFormat="1"/>
    <xf borderId="0" fillId="0" fontId="1" numFmtId="167" xfId="0" applyFont="1" applyNumberFormat="1"/>
    <xf borderId="0" fillId="14" fontId="1" numFmtId="10" xfId="0" applyFont="1" applyNumberFormat="1"/>
    <xf borderId="0" fillId="14" fontId="27" numFmtId="167" xfId="0" applyFont="1" applyNumberFormat="1"/>
    <xf borderId="3" fillId="0" fontId="8" numFmtId="180" xfId="0" applyAlignment="1" applyBorder="1" applyFont="1" applyNumberFormat="1">
      <alignment horizontal="right" vertical="bottom"/>
    </xf>
    <xf borderId="0" fillId="16" fontId="27" numFmtId="0" xfId="0" applyFont="1"/>
    <xf borderId="3" fillId="0" fontId="1" numFmtId="0" xfId="0" applyAlignment="1" applyBorder="1" applyFont="1">
      <alignment readingOrder="0"/>
    </xf>
    <xf borderId="3" fillId="14" fontId="1" numFmtId="10" xfId="0" applyBorder="1" applyFont="1" applyNumberFormat="1"/>
    <xf borderId="3" fillId="14" fontId="27" numFmtId="167" xfId="0" applyBorder="1" applyFont="1" applyNumberFormat="1"/>
    <xf borderId="0" fillId="14" fontId="27" numFmtId="10" xfId="0" applyAlignment="1" applyFont="1" applyNumberFormat="1">
      <alignment readingOrder="0"/>
    </xf>
    <xf borderId="0" fillId="16" fontId="1" numFmtId="168" xfId="0" applyAlignment="1" applyFont="1" applyNumberFormat="1">
      <alignment readingOrder="0"/>
    </xf>
    <xf borderId="0" fillId="14" fontId="1" numFmtId="10" xfId="0" applyAlignment="1" applyFont="1" applyNumberFormat="1">
      <alignment readingOrder="0"/>
    </xf>
    <xf borderId="0" fillId="14" fontId="1" numFmtId="171" xfId="0" applyAlignment="1" applyFont="1" applyNumberFormat="1">
      <alignment readingOrder="0"/>
    </xf>
    <xf borderId="0" fillId="14" fontId="1" numFmtId="9" xfId="0" applyAlignment="1" applyFont="1" applyNumberFormat="1">
      <alignment readingOrder="0"/>
    </xf>
    <xf borderId="0" fillId="14" fontId="1" numFmtId="172" xfId="0" applyAlignment="1" applyFont="1" applyNumberFormat="1">
      <alignment readingOrder="0"/>
    </xf>
    <xf borderId="0" fillId="0" fontId="1" numFmtId="168" xfId="0" applyAlignment="1" applyFont="1" applyNumberFormat="1">
      <alignment readingOrder="0"/>
    </xf>
    <xf borderId="0" fillId="0" fontId="33" numFmtId="0" xfId="0" applyAlignment="1" applyFont="1">
      <alignment horizontal="center" readingOrder="0" vertical="center"/>
    </xf>
    <xf borderId="3" fillId="0" fontId="8" numFmtId="177" xfId="0" applyAlignment="1" applyBorder="1" applyFont="1" applyNumberFormat="1">
      <alignment horizontal="right" vertical="bottom"/>
    </xf>
    <xf borderId="13" fillId="0" fontId="34" numFmtId="0" xfId="0" applyAlignment="1" applyBorder="1" applyFont="1">
      <alignment readingOrder="0"/>
    </xf>
    <xf borderId="13" fillId="0" fontId="1" numFmtId="0" xfId="0" applyBorder="1" applyFont="1"/>
    <xf borderId="0" fillId="0" fontId="8" numFmtId="177" xfId="0" applyAlignment="1" applyFont="1" applyNumberFormat="1">
      <alignment vertical="bottom"/>
    </xf>
    <xf borderId="13" fillId="0" fontId="1" numFmtId="0" xfId="0" applyAlignment="1" applyBorder="1" applyFont="1">
      <alignment readingOrder="0" vertical="top"/>
    </xf>
    <xf borderId="13" fillId="0" fontId="29" numFmtId="0" xfId="0" applyAlignment="1" applyBorder="1" applyFont="1">
      <alignment readingOrder="0"/>
    </xf>
    <xf borderId="1" fillId="0" fontId="8" numFmtId="177" xfId="0" applyAlignment="1" applyBorder="1" applyFont="1" applyNumberFormat="1">
      <alignment horizontal="right" vertical="bottom"/>
    </xf>
    <xf borderId="13" fillId="0" fontId="1" numFmtId="0" xfId="0" applyAlignment="1" applyBorder="1" applyFont="1">
      <alignment readingOrder="0"/>
    </xf>
    <xf borderId="13" fillId="0" fontId="35" numFmtId="0" xfId="0" applyBorder="1" applyFont="1"/>
    <xf borderId="1" fillId="98" fontId="8" numFmtId="0" xfId="0" applyAlignment="1" applyBorder="1" applyFont="1">
      <alignment vertical="bottom"/>
    </xf>
    <xf borderId="0" fillId="98" fontId="8" numFmtId="0" xfId="0" applyAlignment="1" applyFont="1">
      <alignment vertical="bottom"/>
    </xf>
    <xf borderId="14" fillId="0" fontId="1" numFmtId="0" xfId="0" applyAlignment="1" applyBorder="1" applyFont="1">
      <alignment readingOrder="0" shrinkToFit="0" vertical="top" wrapText="1"/>
    </xf>
    <xf borderId="15" fillId="0" fontId="4" numFmtId="0" xfId="0" applyBorder="1" applyFont="1"/>
    <xf borderId="16" fillId="0" fontId="4" numFmtId="0" xfId="0" applyBorder="1" applyFont="1"/>
    <xf borderId="2" fillId="98" fontId="8" numFmtId="0" xfId="0" applyAlignment="1" applyBorder="1" applyFont="1">
      <alignment vertical="bottom"/>
    </xf>
    <xf borderId="17" fillId="0" fontId="4" numFmtId="0" xfId="0" applyBorder="1" applyFont="1"/>
    <xf borderId="18" fillId="0" fontId="4" numFmtId="0" xfId="0" applyBorder="1" applyFont="1"/>
    <xf borderId="19" fillId="0" fontId="4" numFmtId="0" xfId="0" applyBorder="1" applyFont="1"/>
    <xf borderId="0" fillId="0" fontId="3" numFmtId="0" xfId="0" applyAlignment="1" applyFont="1">
      <alignment horizontal="right" vertical="bottom"/>
    </xf>
    <xf borderId="0" fillId="0" fontId="3" numFmtId="2" xfId="0" applyAlignment="1" applyFont="1" applyNumberFormat="1">
      <alignment horizontal="right" vertical="bottom"/>
    </xf>
    <xf borderId="2" fillId="0" fontId="36" numFmtId="177" xfId="0" applyAlignment="1" applyBorder="1" applyFont="1" applyNumberFormat="1">
      <alignment horizontal="center" vertical="bottom"/>
    </xf>
    <xf borderId="1" fillId="6" fontId="8" numFmtId="0" xfId="0" applyAlignment="1" applyBorder="1" applyFont="1">
      <alignment readingOrder="0" vertical="bottom"/>
    </xf>
    <xf borderId="13" fillId="0" fontId="29" numFmtId="0" xfId="0" applyAlignment="1" applyBorder="1" applyFont="1">
      <alignment readingOrder="0"/>
    </xf>
    <xf borderId="0" fillId="125" fontId="8" numFmtId="2" xfId="0" applyAlignment="1" applyFill="1" applyFont="1" applyNumberFormat="1">
      <alignment horizontal="right" vertical="bottom"/>
    </xf>
    <xf borderId="20" fillId="0" fontId="4" numFmtId="0" xfId="0" applyBorder="1" applyFont="1"/>
    <xf borderId="21" fillId="0" fontId="4" numFmtId="0" xfId="0" applyBorder="1" applyFont="1"/>
    <xf borderId="0" fillId="126" fontId="8" numFmtId="177" xfId="0" applyAlignment="1" applyFill="1" applyFont="1" applyNumberFormat="1">
      <alignment horizontal="right" vertical="bottom"/>
    </xf>
    <xf borderId="1" fillId="6" fontId="8" numFmtId="0" xfId="0" applyAlignment="1" applyBorder="1" applyFont="1">
      <alignment vertical="bottom"/>
    </xf>
    <xf borderId="0" fillId="127" fontId="3" numFmtId="2" xfId="0" applyAlignment="1" applyFill="1" applyFont="1" applyNumberFormat="1">
      <alignment horizontal="right" vertical="bottom"/>
    </xf>
    <xf borderId="13" fillId="106" fontId="30" numFmtId="0" xfId="0" applyAlignment="1" applyBorder="1" applyFont="1">
      <alignment readingOrder="0"/>
    </xf>
    <xf borderId="13" fillId="106" fontId="30" numFmtId="0" xfId="0" applyBorder="1" applyFont="1"/>
    <xf borderId="1" fillId="128" fontId="8" numFmtId="0" xfId="0" applyAlignment="1" applyBorder="1" applyFill="1" applyFont="1">
      <alignment readingOrder="0" vertical="bottom"/>
    </xf>
    <xf borderId="1" fillId="129" fontId="8" numFmtId="0" xfId="0" applyAlignment="1" applyBorder="1" applyFill="1" applyFont="1">
      <alignment readingOrder="0" vertical="bottom"/>
    </xf>
    <xf borderId="0" fillId="130" fontId="29" numFmtId="0" xfId="0" applyAlignment="1" applyFill="1" applyFont="1">
      <alignment horizontal="center" readingOrder="0"/>
    </xf>
    <xf borderId="0" fillId="21" fontId="27" numFmtId="0" xfId="0" applyAlignment="1" applyFont="1">
      <alignment readingOrder="0"/>
    </xf>
    <xf borderId="0" fillId="106" fontId="27" numFmtId="0" xfId="0" applyAlignment="1" applyFont="1">
      <alignment readingOrder="0"/>
    </xf>
    <xf borderId="0" fillId="9" fontId="37" numFmtId="0" xfId="0" applyAlignment="1" applyFont="1">
      <alignment horizontal="center" readingOrder="0"/>
    </xf>
    <xf borderId="0" fillId="5" fontId="1" numFmtId="0" xfId="0" applyAlignment="1" applyFont="1">
      <alignment readingOrder="0"/>
    </xf>
    <xf borderId="0" fillId="9" fontId="27" numFmtId="3" xfId="0" applyAlignment="1" applyFont="1" applyNumberFormat="1">
      <alignment horizontal="left" readingOrder="0"/>
    </xf>
    <xf borderId="0" fillId="16" fontId="27" numFmtId="3" xfId="0" applyAlignment="1" applyFont="1" applyNumberFormat="1">
      <alignment horizontal="left" readingOrder="0"/>
    </xf>
    <xf borderId="1" fillId="129" fontId="8" numFmtId="0" xfId="0" applyAlignment="1" applyBorder="1" applyFont="1">
      <alignment vertical="bottom"/>
    </xf>
    <xf borderId="0" fillId="5" fontId="27" numFmtId="0" xfId="0" applyAlignment="1" applyFont="1">
      <alignment readingOrder="0"/>
    </xf>
    <xf borderId="0" fillId="0" fontId="27" numFmtId="167" xfId="0" applyAlignment="1" applyFont="1" applyNumberFormat="1">
      <alignment readingOrder="0"/>
    </xf>
    <xf borderId="0" fillId="0" fontId="38" numFmtId="0" xfId="0" applyAlignment="1" applyFont="1">
      <alignment vertical="bottom"/>
    </xf>
    <xf borderId="0" fillId="0" fontId="38" numFmtId="167" xfId="0" applyAlignment="1" applyFont="1" applyNumberFormat="1">
      <alignment horizontal="right" vertical="bottom"/>
    </xf>
    <xf borderId="0" fillId="9" fontId="27" numFmtId="167" xfId="0" applyAlignment="1" applyFont="1" applyNumberFormat="1">
      <alignment horizontal="right" readingOrder="0"/>
    </xf>
    <xf borderId="0" fillId="0" fontId="27" numFmtId="167" xfId="0" applyAlignment="1" applyFont="1" applyNumberFormat="1">
      <alignment horizontal="right" readingOrder="0"/>
    </xf>
    <xf borderId="0" fillId="9" fontId="27" numFmtId="167" xfId="0" applyAlignment="1" applyFont="1" applyNumberFormat="1">
      <alignment readingOrder="0"/>
    </xf>
    <xf borderId="0" fillId="0" fontId="27" numFmtId="167" xfId="0" applyAlignment="1" applyFont="1" applyNumberFormat="1">
      <alignment readingOrder="0"/>
    </xf>
    <xf borderId="0" fillId="0" fontId="38" numFmtId="9" xfId="0" applyAlignment="1" applyFont="1" applyNumberFormat="1">
      <alignment horizontal="right" vertical="bottom"/>
    </xf>
    <xf borderId="0" fillId="2" fontId="27" numFmtId="0" xfId="0" applyAlignment="1" applyFont="1">
      <alignment readingOrder="0"/>
    </xf>
    <xf borderId="0" fillId="2" fontId="27" numFmtId="167" xfId="0" applyAlignment="1" applyFont="1" applyNumberFormat="1">
      <alignment readingOrder="0"/>
    </xf>
    <xf borderId="0" fillId="0" fontId="2" numFmtId="0" xfId="0" applyAlignment="1" applyFont="1">
      <alignment readingOrder="0" vertical="bottom"/>
    </xf>
    <xf borderId="0" fillId="9" fontId="27" numFmtId="10" xfId="0" applyAlignment="1" applyFont="1" applyNumberFormat="1">
      <alignment readingOrder="0"/>
    </xf>
    <xf borderId="0" fillId="0" fontId="27" numFmtId="10" xfId="0" applyAlignment="1" applyFont="1" applyNumberFormat="1">
      <alignment readingOrder="0"/>
    </xf>
    <xf borderId="0" fillId="0" fontId="38" numFmtId="0" xfId="0" applyAlignment="1" applyFont="1">
      <alignment horizontal="right" vertical="bottom"/>
    </xf>
    <xf borderId="0" fillId="9" fontId="27" numFmtId="171" xfId="0" applyAlignment="1" applyFont="1" applyNumberFormat="1">
      <alignment readingOrder="0"/>
    </xf>
    <xf borderId="0" fillId="9" fontId="27" numFmtId="172" xfId="0" applyAlignment="1" applyFont="1" applyNumberFormat="1">
      <alignment readingOrder="0"/>
    </xf>
    <xf borderId="0" fillId="131" fontId="29" numFmtId="0" xfId="0" applyAlignment="1" applyFill="1" applyFont="1">
      <alignment readingOrder="0"/>
    </xf>
    <xf borderId="0" fillId="131" fontId="29" numFmtId="167" xfId="0" applyAlignment="1" applyFont="1" applyNumberFormat="1">
      <alignment readingOrder="0"/>
    </xf>
    <xf borderId="0" fillId="124" fontId="27" numFmtId="167" xfId="0" applyAlignment="1" applyFont="1" applyNumberFormat="1">
      <alignment readingOrder="0"/>
    </xf>
    <xf borderId="0" fillId="124" fontId="27" numFmtId="167" xfId="0" applyAlignment="1" applyFont="1" applyNumberFormat="1">
      <alignment horizontal="right" readingOrder="0"/>
    </xf>
    <xf borderId="3" fillId="0" fontId="27" numFmtId="10" xfId="0" applyAlignment="1" applyBorder="1" applyFont="1" applyNumberFormat="1">
      <alignment readingOrder="0"/>
    </xf>
    <xf borderId="1" fillId="132" fontId="3" numFmtId="0" xfId="0" applyAlignment="1" applyBorder="1" applyFill="1" applyFont="1">
      <alignment vertical="bottom"/>
    </xf>
    <xf borderId="0" fillId="9" fontId="1" numFmtId="0" xfId="0" applyFont="1"/>
    <xf borderId="0" fillId="9" fontId="1" numFmtId="167" xfId="0" applyAlignment="1" applyFont="1" applyNumberFormat="1">
      <alignment readingOrder="0"/>
    </xf>
    <xf borderId="0" fillId="0" fontId="2" numFmtId="177" xfId="0" applyAlignment="1" applyFont="1" applyNumberFormat="1">
      <alignment vertical="bottom"/>
    </xf>
    <xf borderId="0" fillId="19" fontId="15" numFmtId="177" xfId="0" applyAlignment="1" applyFont="1" applyNumberFormat="1">
      <alignment horizontal="right" vertical="bottom"/>
    </xf>
    <xf borderId="2" fillId="4" fontId="15" numFmtId="177" xfId="0" applyAlignment="1" applyBorder="1" applyFont="1" applyNumberFormat="1">
      <alignment horizontal="right" vertical="bottom"/>
    </xf>
    <xf borderId="22" fillId="0" fontId="2" numFmtId="0" xfId="0" applyAlignment="1" applyBorder="1" applyFont="1">
      <alignment vertical="bottom"/>
    </xf>
    <xf borderId="23" fillId="0" fontId="2" numFmtId="177" xfId="0" applyAlignment="1" applyBorder="1" applyFont="1" applyNumberFormat="1">
      <alignment vertical="bottom"/>
    </xf>
    <xf borderId="24" fillId="4" fontId="2" numFmtId="177" xfId="0" applyAlignment="1" applyBorder="1" applyFont="1" applyNumberFormat="1">
      <alignment vertical="bottom"/>
    </xf>
    <xf borderId="1" fillId="133" fontId="8" numFmtId="0" xfId="0" applyAlignment="1" applyBorder="1" applyFill="1" applyFont="1">
      <alignment vertical="bottom"/>
    </xf>
    <xf borderId="1" fillId="0" fontId="8" numFmtId="167" xfId="0" applyAlignment="1" applyBorder="1" applyFont="1" applyNumberFormat="1">
      <alignment horizontal="right" vertical="bottom"/>
    </xf>
    <xf borderId="0" fillId="83" fontId="8" numFmtId="177" xfId="0" applyAlignment="1" applyFont="1" applyNumberFormat="1">
      <alignment horizontal="right" vertical="bottom"/>
    </xf>
    <xf borderId="0" fillId="51" fontId="8" numFmtId="177" xfId="0" applyAlignment="1" applyFont="1" applyNumberFormat="1">
      <alignment horizontal="right" vertical="bottom"/>
    </xf>
    <xf borderId="0" fillId="134" fontId="8" numFmtId="177" xfId="0" applyAlignment="1" applyFill="1" applyFont="1" applyNumberFormat="1">
      <alignment horizontal="right" vertical="bottom"/>
    </xf>
    <xf borderId="0" fillId="31" fontId="8" numFmtId="177" xfId="0" applyAlignment="1" applyFont="1" applyNumberFormat="1">
      <alignment horizontal="right" vertical="bottom"/>
    </xf>
    <xf borderId="1" fillId="135" fontId="3" numFmtId="0" xfId="0" applyAlignment="1" applyBorder="1" applyFill="1" applyFont="1">
      <alignment readingOrder="0" vertical="bottom"/>
    </xf>
    <xf borderId="0" fillId="41" fontId="8" numFmtId="177" xfId="0" applyAlignment="1" applyFont="1" applyNumberFormat="1">
      <alignment horizontal="right" vertical="bottom"/>
    </xf>
    <xf borderId="0" fillId="0" fontId="8" numFmtId="2" xfId="0" applyAlignment="1" applyFont="1" applyNumberFormat="1">
      <alignment vertical="bottom"/>
    </xf>
    <xf borderId="0" fillId="25" fontId="8" numFmtId="177" xfId="0" applyAlignment="1" applyFont="1" applyNumberFormat="1">
      <alignment horizontal="right" vertical="bottom"/>
    </xf>
    <xf borderId="0" fillId="69" fontId="8" numFmtId="177" xfId="0" applyAlignment="1" applyFont="1" applyNumberFormat="1">
      <alignment horizontal="right" vertical="bottom"/>
    </xf>
    <xf borderId="0" fillId="62" fontId="8" numFmtId="177" xfId="0" applyAlignment="1" applyFont="1" applyNumberFormat="1">
      <alignment horizontal="right" vertical="bottom"/>
    </xf>
    <xf borderId="0" fillId="26" fontId="8" numFmtId="177" xfId="0" applyAlignment="1" applyFont="1" applyNumberFormat="1">
      <alignment horizontal="right" vertical="bottom"/>
    </xf>
    <xf borderId="0" fillId="27" fontId="8" numFmtId="177" xfId="0" applyAlignment="1" applyFont="1" applyNumberFormat="1">
      <alignment horizontal="right" vertical="bottom"/>
    </xf>
    <xf borderId="0" fillId="136" fontId="8" numFmtId="177" xfId="0" applyAlignment="1" applyFill="1" applyFont="1" applyNumberFormat="1">
      <alignment horizontal="right" vertical="bottom"/>
    </xf>
    <xf borderId="0" fillId="137" fontId="8" numFmtId="177" xfId="0" applyAlignment="1" applyFill="1" applyFont="1" applyNumberFormat="1">
      <alignment horizontal="right" vertical="bottom"/>
    </xf>
    <xf borderId="1" fillId="138" fontId="8" numFmtId="0" xfId="0" applyAlignment="1" applyBorder="1" applyFill="1" applyFont="1">
      <alignment readingOrder="0" vertical="bottom"/>
    </xf>
    <xf borderId="0" fillId="139" fontId="8" numFmtId="177" xfId="0" applyAlignment="1" applyFill="1" applyFont="1" applyNumberFormat="1">
      <alignment horizontal="right" vertical="bottom"/>
    </xf>
    <xf borderId="0" fillId="42" fontId="8" numFmtId="177" xfId="0" applyAlignment="1" applyFont="1" applyNumberFormat="1">
      <alignment horizontal="right" vertical="bottom"/>
    </xf>
    <xf borderId="0" fillId="140" fontId="8" numFmtId="177" xfId="0" applyAlignment="1" applyFill="1" applyFont="1" applyNumberFormat="1">
      <alignment horizontal="right" vertical="bottom"/>
    </xf>
    <xf borderId="0" fillId="141" fontId="8" numFmtId="177" xfId="0" applyAlignment="1" applyFill="1" applyFont="1" applyNumberFormat="1">
      <alignment horizontal="right" vertical="bottom"/>
    </xf>
    <xf borderId="0" fillId="142" fontId="8" numFmtId="177" xfId="0" applyAlignment="1" applyFill="1" applyFont="1" applyNumberFormat="1">
      <alignment horizontal="right" vertical="bottom"/>
    </xf>
    <xf borderId="0" fillId="30" fontId="8" numFmtId="177" xfId="0" applyAlignment="1" applyFont="1" applyNumberFormat="1">
      <alignment horizontal="right" vertical="bottom"/>
    </xf>
    <xf borderId="0" fillId="143" fontId="8" numFmtId="177" xfId="0" applyAlignment="1" applyFill="1" applyFont="1" applyNumberFormat="1">
      <alignment horizontal="right" vertical="bottom"/>
    </xf>
    <xf borderId="0" fillId="144" fontId="8" numFmtId="177" xfId="0" applyAlignment="1" applyFill="1" applyFont="1" applyNumberFormat="1">
      <alignment horizontal="right" vertical="bottom"/>
    </xf>
    <xf borderId="0" fillId="145" fontId="8" numFmtId="177" xfId="0" applyAlignment="1" applyFill="1" applyFont="1" applyNumberFormat="1">
      <alignment horizontal="right" vertical="bottom"/>
    </xf>
    <xf borderId="0" fillId="146" fontId="8" numFmtId="177" xfId="0" applyAlignment="1" applyFill="1" applyFont="1" applyNumberFormat="1">
      <alignment horizontal="right" vertical="bottom"/>
    </xf>
    <xf borderId="0" fillId="48" fontId="8" numFmtId="177" xfId="0" applyAlignment="1" applyFont="1" applyNumberFormat="1">
      <alignment horizontal="right" vertical="bottom"/>
    </xf>
    <xf borderId="0" fillId="147" fontId="8" numFmtId="177" xfId="0" applyAlignment="1" applyFill="1" applyFont="1" applyNumberFormat="1">
      <alignment horizontal="right" vertical="bottom"/>
    </xf>
    <xf borderId="0" fillId="33" fontId="8" numFmtId="177" xfId="0" applyAlignment="1" applyFont="1" applyNumberFormat="1">
      <alignment horizontal="right" vertical="bottom"/>
    </xf>
    <xf borderId="0" fillId="148" fontId="8" numFmtId="177" xfId="0" applyAlignment="1" applyFill="1" applyFont="1" applyNumberFormat="1">
      <alignment horizontal="right" vertical="bottom"/>
    </xf>
    <xf borderId="0" fillId="149" fontId="8" numFmtId="10" xfId="0" applyAlignment="1" applyFill="1" applyFont="1" applyNumberFormat="1">
      <alignment horizontal="right" vertical="bottom"/>
    </xf>
    <xf borderId="0" fillId="71" fontId="8" numFmtId="10" xfId="0" applyAlignment="1" applyFont="1" applyNumberFormat="1">
      <alignment horizontal="right" vertical="bottom"/>
    </xf>
    <xf borderId="0" fillId="72" fontId="8" numFmtId="10" xfId="0" applyAlignment="1" applyFont="1" applyNumberFormat="1">
      <alignment horizontal="right" vertical="bottom"/>
    </xf>
    <xf borderId="0" fillId="26" fontId="8" numFmtId="10" xfId="0" applyAlignment="1" applyFont="1" applyNumberFormat="1">
      <alignment horizontal="right" vertical="bottom"/>
    </xf>
    <xf borderId="0" fillId="0" fontId="1" numFmtId="0" xfId="0" applyFont="1"/>
    <xf borderId="0" fillId="150" fontId="8" numFmtId="10" xfId="0" applyAlignment="1" applyFill="1" applyFont="1" applyNumberFormat="1">
      <alignment horizontal="right" vertical="bottom"/>
    </xf>
    <xf borderId="0" fillId="75" fontId="8" numFmtId="10" xfId="0" applyAlignment="1" applyFont="1" applyNumberFormat="1">
      <alignment horizontal="right" vertical="bottom"/>
    </xf>
    <xf borderId="0" fillId="0" fontId="30" numFmtId="0" xfId="0" applyAlignment="1" applyFont="1">
      <alignment readingOrder="0"/>
    </xf>
    <xf borderId="0" fillId="63" fontId="8" numFmtId="10" xfId="0" applyAlignment="1" applyFont="1" applyNumberFormat="1">
      <alignment horizontal="right" vertical="bottom"/>
    </xf>
    <xf borderId="0" fillId="37" fontId="8" numFmtId="10" xfId="0" applyAlignment="1" applyFont="1" applyNumberFormat="1">
      <alignment horizontal="right" vertical="bottom"/>
    </xf>
    <xf borderId="0" fillId="0" fontId="30" numFmtId="0" xfId="0" applyFont="1"/>
    <xf borderId="0" fillId="151" fontId="8" numFmtId="10" xfId="0" applyAlignment="1" applyFill="1" applyFont="1" applyNumberFormat="1">
      <alignment horizontal="right" vertical="bottom"/>
    </xf>
    <xf borderId="0" fillId="94" fontId="8" numFmtId="10" xfId="0" applyAlignment="1" applyFont="1" applyNumberFormat="1">
      <alignment horizontal="right" vertical="bottom"/>
    </xf>
    <xf borderId="0" fillId="152" fontId="8" numFmtId="10" xfId="0" applyAlignment="1" applyFill="1" applyFont="1" applyNumberFormat="1">
      <alignment horizontal="right" vertical="bottom"/>
    </xf>
    <xf borderId="0" fillId="153" fontId="8" numFmtId="10" xfId="0" applyAlignment="1" applyFill="1" applyFont="1" applyNumberFormat="1">
      <alignment horizontal="right" vertical="bottom"/>
    </xf>
    <xf borderId="0" fillId="154" fontId="8" numFmtId="10" xfId="0" applyAlignment="1" applyFill="1" applyFont="1" applyNumberFormat="1">
      <alignment horizontal="right" vertical="bottom"/>
    </xf>
    <xf borderId="0" fillId="155" fontId="8" numFmtId="10" xfId="0" applyAlignment="1" applyFill="1" applyFont="1" applyNumberFormat="1">
      <alignment horizontal="right" vertical="bottom"/>
    </xf>
    <xf borderId="0" fillId="156" fontId="8" numFmtId="10" xfId="0" applyAlignment="1" applyFill="1" applyFont="1" applyNumberFormat="1">
      <alignment horizontal="right" vertical="bottom"/>
    </xf>
    <xf borderId="0" fillId="157" fontId="8" numFmtId="10" xfId="0" applyAlignment="1" applyFill="1" applyFont="1" applyNumberFormat="1">
      <alignment horizontal="right" vertical="bottom"/>
    </xf>
    <xf borderId="0" fillId="158" fontId="8" numFmtId="10" xfId="0" applyAlignment="1" applyFill="1" applyFont="1" applyNumberFormat="1">
      <alignment horizontal="right" vertical="bottom"/>
    </xf>
    <xf borderId="0" fillId="159" fontId="8" numFmtId="10" xfId="0" applyAlignment="1" applyFill="1" applyFont="1" applyNumberFormat="1">
      <alignment horizontal="right" vertical="bottom"/>
    </xf>
    <xf borderId="0" fillId="9" fontId="8" numFmtId="10" xfId="0" applyAlignment="1" applyFont="1" applyNumberFormat="1">
      <alignment horizontal="right" vertical="bottom"/>
    </xf>
    <xf borderId="0" fillId="160" fontId="8" numFmtId="10" xfId="0" applyAlignment="1" applyFill="1" applyFont="1" applyNumberFormat="1">
      <alignment horizontal="right" vertical="bottom"/>
    </xf>
    <xf borderId="0" fillId="161" fontId="8" numFmtId="10" xfId="0" applyAlignment="1" applyFill="1" applyFont="1" applyNumberFormat="1">
      <alignment horizontal="right" vertical="bottom"/>
    </xf>
    <xf borderId="0" fillId="134" fontId="8" numFmtId="10" xfId="0" applyAlignment="1" applyFont="1" applyNumberFormat="1">
      <alignment horizontal="right" vertical="bottom"/>
    </xf>
    <xf borderId="0" fillId="162" fontId="8" numFmtId="10" xfId="0" applyAlignment="1" applyFill="1" applyFont="1" applyNumberFormat="1">
      <alignment horizontal="right" vertical="bottom"/>
    </xf>
    <xf borderId="0" fillId="163" fontId="8" numFmtId="10" xfId="0" applyAlignment="1" applyFill="1" applyFont="1" applyNumberFormat="1">
      <alignment horizontal="right" vertical="bottom"/>
    </xf>
    <xf borderId="0" fillId="136" fontId="8" numFmtId="10" xfId="0" applyAlignment="1" applyFont="1" applyNumberFormat="1">
      <alignment horizontal="right" vertical="bottom"/>
    </xf>
    <xf borderId="0" fillId="36" fontId="8" numFmtId="10" xfId="0" applyAlignment="1" applyFont="1" applyNumberFormat="1">
      <alignment horizontal="right" vertical="bottom"/>
    </xf>
    <xf borderId="0" fillId="27" fontId="8" numFmtId="10" xfId="0" applyAlignment="1" applyFont="1" applyNumberFormat="1">
      <alignment horizontal="right" vertical="bottom"/>
    </xf>
    <xf borderId="1" fillId="0" fontId="8" numFmtId="10" xfId="0" applyAlignment="1" applyBorder="1" applyFont="1" applyNumberFormat="1">
      <alignment horizontal="right" vertical="bottom"/>
    </xf>
    <xf borderId="1" fillId="0" fontId="2" numFmtId="177" xfId="0" applyAlignment="1" applyBorder="1" applyFont="1" applyNumberFormat="1">
      <alignment vertical="bottom"/>
    </xf>
    <xf borderId="0" fillId="0" fontId="1" numFmtId="177" xfId="0" applyFont="1" applyNumberFormat="1"/>
    <xf borderId="22" fillId="133" fontId="8" numFmtId="0" xfId="0" applyAlignment="1" applyBorder="1" applyFont="1">
      <alignment vertical="bottom"/>
    </xf>
    <xf borderId="1" fillId="138" fontId="8" numFmtId="0" xfId="0" applyAlignment="1" applyBorder="1" applyFont="1">
      <alignment vertical="bottom"/>
    </xf>
    <xf borderId="0" fillId="124" fontId="39" numFmtId="0" xfId="0" applyAlignment="1" applyFont="1">
      <alignment horizontal="center" readingOrder="0" shrinkToFit="0" vertical="bottom" wrapText="0"/>
    </xf>
    <xf borderId="0" fillId="124" fontId="39" numFmtId="181" xfId="0" applyAlignment="1" applyFont="1" applyNumberFormat="1">
      <alignment horizontal="center" readingOrder="0" shrinkToFit="0" vertical="bottom" wrapText="0"/>
    </xf>
    <xf borderId="0" fillId="124" fontId="39" numFmtId="0" xfId="0" applyAlignment="1" applyFont="1">
      <alignment horizontal="center" shrinkToFit="0" vertical="bottom" wrapText="0"/>
    </xf>
    <xf borderId="23" fillId="9" fontId="8" numFmtId="2" xfId="0" applyAlignment="1" applyBorder="1" applyFont="1" applyNumberFormat="1">
      <alignment vertical="bottom"/>
    </xf>
    <xf borderId="0" fillId="124" fontId="40" numFmtId="0" xfId="0" applyAlignment="1" applyFont="1">
      <alignment horizontal="center" readingOrder="0" shrinkToFit="0" vertical="bottom" wrapText="0"/>
    </xf>
    <xf borderId="25" fillId="164" fontId="39" numFmtId="0" xfId="0" applyAlignment="1" applyBorder="1" applyFill="1" applyFont="1">
      <alignment horizontal="center" readingOrder="0" shrinkToFit="0" vertical="bottom" wrapText="0"/>
    </xf>
    <xf borderId="25" fillId="164" fontId="39" numFmtId="181" xfId="0" applyAlignment="1" applyBorder="1" applyFont="1" applyNumberFormat="1">
      <alignment horizontal="center" readingOrder="0" shrinkToFit="0" vertical="bottom" wrapText="0"/>
    </xf>
    <xf borderId="25" fillId="164" fontId="39" numFmtId="0" xfId="0" applyAlignment="1" applyBorder="1" applyFont="1">
      <alignment horizontal="center" shrinkToFit="0" vertical="bottom" wrapText="0"/>
    </xf>
    <xf borderId="9" fillId="125" fontId="40" numFmtId="0" xfId="0" applyAlignment="1" applyBorder="1" applyFont="1">
      <alignment horizontal="center" readingOrder="0" shrinkToFit="0" vertical="bottom" wrapText="0"/>
    </xf>
    <xf borderId="26" fillId="0" fontId="4" numFmtId="0" xfId="0" applyBorder="1" applyFont="1"/>
    <xf borderId="10" fillId="165" fontId="40" numFmtId="0" xfId="0" applyAlignment="1" applyBorder="1" applyFill="1" applyFont="1">
      <alignment horizontal="center" readingOrder="0" shrinkToFit="0" vertical="bottom" wrapText="0"/>
    </xf>
    <xf borderId="25" fillId="164" fontId="41" numFmtId="0" xfId="0" applyAlignment="1" applyBorder="1" applyFont="1">
      <alignment readingOrder="0" shrinkToFit="0" vertical="bottom" wrapText="0"/>
    </xf>
    <xf borderId="25" fillId="164" fontId="42" numFmtId="0" xfId="0" applyAlignment="1" applyBorder="1" applyFont="1">
      <alignment horizontal="center" readingOrder="0" shrinkToFit="0" vertical="bottom" wrapText="0"/>
    </xf>
    <xf borderId="11" fillId="164" fontId="43" numFmtId="0" xfId="0" applyAlignment="1" applyBorder="1" applyFont="1">
      <alignment horizontal="center" readingOrder="0" shrinkToFit="0" vertical="bottom" wrapText="0"/>
    </xf>
    <xf borderId="7" fillId="0" fontId="4" numFmtId="0" xfId="0" applyBorder="1" applyFont="1"/>
    <xf borderId="12" fillId="0" fontId="4" numFmtId="0" xfId="0" applyBorder="1" applyFont="1"/>
    <xf borderId="6" fillId="125" fontId="44" numFmtId="0" xfId="0" applyAlignment="1" applyBorder="1" applyFont="1">
      <alignment readingOrder="0" shrinkToFit="0" vertical="bottom" wrapText="0"/>
    </xf>
    <xf borderId="4" fillId="125" fontId="40" numFmtId="168" xfId="0" applyAlignment="1" applyBorder="1" applyFont="1" applyNumberFormat="1">
      <alignment horizontal="center" readingOrder="0" shrinkToFit="0" vertical="bottom" wrapText="0"/>
    </xf>
    <xf borderId="4" fillId="165" fontId="44" numFmtId="0" xfId="0" applyAlignment="1" applyBorder="1" applyFont="1">
      <alignment horizontal="left" readingOrder="0" shrinkToFit="0" vertical="bottom" wrapText="0"/>
    </xf>
    <xf borderId="4" fillId="165" fontId="40" numFmtId="168" xfId="0" applyAlignment="1" applyBorder="1" applyFont="1" applyNumberFormat="1">
      <alignment horizontal="center" readingOrder="0" shrinkToFit="0" vertical="bottom" wrapText="0"/>
    </xf>
    <xf borderId="25" fillId="16" fontId="42" numFmtId="0" xfId="0" applyAlignment="1" applyBorder="1" applyFont="1">
      <alignment horizontal="center" readingOrder="0" shrinkToFit="0" vertical="bottom" wrapText="0"/>
    </xf>
    <xf borderId="8" fillId="0" fontId="4" numFmtId="0" xfId="0" applyBorder="1" applyFont="1"/>
    <xf borderId="4" fillId="125" fontId="40" numFmtId="0" xfId="0" applyAlignment="1" applyBorder="1" applyFont="1">
      <alignment horizontal="center" readingOrder="0" shrinkToFit="0" vertical="bottom" wrapText="0"/>
    </xf>
    <xf borderId="4" fillId="165" fontId="40" numFmtId="0" xfId="0" applyAlignment="1" applyBorder="1" applyFont="1">
      <alignment horizontal="center" readingOrder="0" shrinkToFit="0" vertical="bottom" wrapText="0"/>
    </xf>
    <xf borderId="25" fillId="14" fontId="45" numFmtId="0" xfId="0" applyAlignment="1" applyBorder="1" applyFont="1">
      <alignment shrinkToFit="0" vertical="bottom" wrapText="0"/>
    </xf>
    <xf borderId="9" fillId="14" fontId="46" numFmtId="0" xfId="0" applyAlignment="1" applyBorder="1" applyFont="1">
      <alignment horizontal="center" readingOrder="0"/>
    </xf>
    <xf borderId="10" fillId="0" fontId="4" numFmtId="0" xfId="0" applyBorder="1" applyFont="1"/>
    <xf borderId="25" fillId="14" fontId="47" numFmtId="0" xfId="0" applyAlignment="1" applyBorder="1" applyFont="1">
      <alignment horizontal="center" readingOrder="0"/>
    </xf>
    <xf borderId="25" fillId="16" fontId="47" numFmtId="0" xfId="0" applyAlignment="1" applyBorder="1" applyFont="1">
      <alignment horizontal="center" readingOrder="0"/>
    </xf>
    <xf borderId="4" fillId="125" fontId="40" numFmtId="3" xfId="0" applyAlignment="1" applyBorder="1" applyFont="1" applyNumberFormat="1">
      <alignment horizontal="center" readingOrder="0" shrinkToFit="0" vertical="bottom" wrapText="0"/>
    </xf>
    <xf borderId="4" fillId="165" fontId="40" numFmtId="3" xfId="0" applyAlignment="1" applyBorder="1" applyFont="1" applyNumberFormat="1">
      <alignment horizontal="center" readingOrder="0" shrinkToFit="0" vertical="bottom" wrapText="0"/>
    </xf>
    <xf borderId="27" fillId="9" fontId="48" numFmtId="0" xfId="0" applyAlignment="1" applyBorder="1" applyFont="1">
      <alignment horizontal="center" readingOrder="0" shrinkToFit="0" vertical="bottom" wrapText="0"/>
    </xf>
    <xf borderId="28" fillId="9" fontId="49" numFmtId="168" xfId="0" applyAlignment="1" applyBorder="1" applyFont="1" applyNumberFormat="1">
      <alignment horizontal="center" readingOrder="0" shrinkToFit="0" vertical="bottom" wrapText="0"/>
    </xf>
    <xf borderId="28" fillId="9" fontId="49" numFmtId="168" xfId="0" applyAlignment="1" applyBorder="1" applyFont="1" applyNumberFormat="1">
      <alignment horizontal="center" shrinkToFit="0" vertical="bottom" wrapText="0"/>
    </xf>
    <xf borderId="29" fillId="9" fontId="49" numFmtId="168" xfId="0" applyAlignment="1" applyBorder="1" applyFont="1" applyNumberFormat="1">
      <alignment horizontal="center" readingOrder="0" shrinkToFit="0" vertical="bottom" wrapText="0"/>
    </xf>
    <xf borderId="29" fillId="9" fontId="50" numFmtId="9" xfId="0" applyAlignment="1" applyBorder="1" applyFont="1" applyNumberFormat="1">
      <alignment horizontal="center" readingOrder="0" shrinkToFit="0" vertical="bottom" wrapText="0"/>
    </xf>
    <xf borderId="28" fillId="9" fontId="48" numFmtId="168" xfId="0" applyAlignment="1" applyBorder="1" applyFont="1" applyNumberFormat="1">
      <alignment horizontal="center" readingOrder="0" shrinkToFit="0" vertical="bottom" wrapText="0"/>
    </xf>
    <xf borderId="4" fillId="165" fontId="44" numFmtId="0" xfId="0" applyAlignment="1" applyBorder="1" applyFont="1">
      <alignment horizontal="center" shrinkToFit="0" vertical="bottom" wrapText="0"/>
    </xf>
    <xf borderId="30" fillId="9" fontId="48" numFmtId="0" xfId="0" applyAlignment="1" applyBorder="1" applyFont="1">
      <alignment horizontal="center" readingOrder="0" shrinkToFit="0" vertical="bottom" wrapText="0"/>
    </xf>
    <xf borderId="31" fillId="2" fontId="49" numFmtId="168" xfId="0" applyAlignment="1" applyBorder="1" applyFont="1" applyNumberFormat="1">
      <alignment horizontal="center" readingOrder="0" shrinkToFit="0" vertical="bottom" wrapText="0"/>
    </xf>
    <xf borderId="31" fillId="2" fontId="49" numFmtId="168" xfId="0" applyAlignment="1" applyBorder="1" applyFont="1" applyNumberFormat="1">
      <alignment horizontal="center" shrinkToFit="0" vertical="bottom" wrapText="0"/>
    </xf>
    <xf borderId="32" fillId="9" fontId="50" numFmtId="9" xfId="0" applyAlignment="1" applyBorder="1" applyFont="1" applyNumberFormat="1">
      <alignment horizontal="center" readingOrder="0" shrinkToFit="0" vertical="bottom" wrapText="0"/>
    </xf>
    <xf borderId="31" fillId="9" fontId="48" numFmtId="168" xfId="0" applyAlignment="1" applyBorder="1" applyFont="1" applyNumberFormat="1">
      <alignment horizontal="center" readingOrder="0" shrinkToFit="0" vertical="bottom" wrapText="0"/>
    </xf>
    <xf borderId="4" fillId="125" fontId="40" numFmtId="9" xfId="0" applyAlignment="1" applyBorder="1" applyFont="1" applyNumberFormat="1">
      <alignment horizontal="center" readingOrder="0" shrinkToFit="0" vertical="bottom" wrapText="0"/>
    </xf>
    <xf borderId="4" fillId="165" fontId="51" numFmtId="0" xfId="0" applyAlignment="1" applyBorder="1" applyFont="1">
      <alignment horizontal="center" shrinkToFit="0" vertical="bottom" wrapText="0"/>
    </xf>
    <xf borderId="31" fillId="9" fontId="49" numFmtId="168" xfId="0" applyAlignment="1" applyBorder="1" applyFont="1" applyNumberFormat="1">
      <alignment horizontal="center" shrinkToFit="0" vertical="bottom" wrapText="0"/>
    </xf>
    <xf borderId="6" fillId="125" fontId="51" numFmtId="0" xfId="0" applyAlignment="1" applyBorder="1" applyFont="1">
      <alignment readingOrder="0" shrinkToFit="0" vertical="bottom" wrapText="0"/>
    </xf>
    <xf borderId="4" fillId="125" fontId="40" numFmtId="167" xfId="0" applyAlignment="1" applyBorder="1" applyFont="1" applyNumberFormat="1">
      <alignment horizontal="center" readingOrder="0" shrinkToFit="0" vertical="bottom" wrapText="0"/>
    </xf>
    <xf borderId="1" fillId="99" fontId="3" numFmtId="0" xfId="0" applyAlignment="1" applyBorder="1" applyFont="1">
      <alignment readingOrder="0" vertical="bottom"/>
    </xf>
    <xf borderId="25" fillId="164" fontId="40" numFmtId="0" xfId="0" applyAlignment="1" applyBorder="1" applyFont="1">
      <alignment horizontal="left" readingOrder="0" shrinkToFit="0" vertical="bottom" wrapText="0"/>
    </xf>
    <xf borderId="25" fillId="164" fontId="40" numFmtId="0" xfId="0" applyAlignment="1" applyBorder="1" applyFont="1">
      <alignment horizontal="center" readingOrder="0" shrinkToFit="0" vertical="bottom" wrapText="0"/>
    </xf>
    <xf borderId="25" fillId="110" fontId="40" numFmtId="0" xfId="0" applyAlignment="1" applyBorder="1" applyFont="1">
      <alignment horizontal="center" readingOrder="0" shrinkToFit="0" vertical="bottom" wrapText="0"/>
    </xf>
    <xf borderId="1" fillId="166" fontId="8" numFmtId="0" xfId="0" applyAlignment="1" applyBorder="1" applyFill="1" applyFont="1">
      <alignment readingOrder="0" vertical="bottom"/>
    </xf>
    <xf borderId="6" fillId="0" fontId="44" numFmtId="0" xfId="0" applyAlignment="1" applyBorder="1" applyFont="1">
      <alignment readingOrder="0" shrinkToFit="0" vertical="bottom" wrapText="0"/>
    </xf>
    <xf borderId="4" fillId="167" fontId="44" numFmtId="168" xfId="0" applyAlignment="1" applyBorder="1" applyFill="1" applyFont="1" applyNumberFormat="1">
      <alignment horizontal="center" readingOrder="0" shrinkToFit="0" vertical="bottom" wrapText="0"/>
    </xf>
    <xf borderId="4" fillId="0" fontId="44" numFmtId="167" xfId="0" applyAlignment="1" applyBorder="1" applyFont="1" applyNumberFormat="1">
      <alignment horizontal="center" shrinkToFit="0" vertical="bottom" wrapText="0"/>
    </xf>
    <xf borderId="25" fillId="124" fontId="44" numFmtId="9" xfId="0" applyAlignment="1" applyBorder="1" applyFont="1" applyNumberFormat="1">
      <alignment horizontal="center" readingOrder="0" shrinkToFit="0" vertical="bottom" wrapText="0"/>
    </xf>
    <xf borderId="4" fillId="14" fontId="44" numFmtId="3" xfId="0" applyAlignment="1" applyBorder="1" applyFont="1" applyNumberFormat="1">
      <alignment horizontal="center" readingOrder="0" shrinkToFit="0" vertical="bottom" wrapText="0"/>
    </xf>
    <xf borderId="4" fillId="0" fontId="44" numFmtId="3" xfId="0" applyAlignment="1" applyBorder="1" applyFont="1" applyNumberFormat="1">
      <alignment horizontal="center" shrinkToFit="0" vertical="bottom" wrapText="0"/>
    </xf>
    <xf borderId="4" fillId="0" fontId="44" numFmtId="2" xfId="0" applyAlignment="1" applyBorder="1" applyFont="1" applyNumberFormat="1">
      <alignment horizontal="center" readingOrder="0" shrinkToFit="0" vertical="bottom" wrapText="0"/>
    </xf>
    <xf borderId="4" fillId="0" fontId="44" numFmtId="2" xfId="0" applyAlignment="1" applyBorder="1" applyFont="1" applyNumberFormat="1">
      <alignment horizontal="center" shrinkToFit="0" vertical="bottom" wrapText="0"/>
    </xf>
    <xf borderId="4" fillId="0" fontId="44" numFmtId="10" xfId="0" applyAlignment="1" applyBorder="1" applyFont="1" applyNumberFormat="1">
      <alignment horizontal="center" readingOrder="0" shrinkToFit="0" vertical="bottom" wrapText="0"/>
    </xf>
    <xf borderId="1" fillId="110" fontId="8" numFmtId="0" xfId="0" applyAlignment="1" applyBorder="1" applyFont="1">
      <alignment vertical="bottom"/>
    </xf>
    <xf borderId="4" fillId="0" fontId="44" numFmtId="10" xfId="0" applyAlignment="1" applyBorder="1" applyFont="1" applyNumberFormat="1">
      <alignment horizontal="center" shrinkToFit="0" vertical="bottom" wrapText="0"/>
    </xf>
    <xf borderId="4" fillId="14" fontId="44" numFmtId="10" xfId="0" applyAlignment="1" applyBorder="1" applyFont="1" applyNumberFormat="1">
      <alignment horizontal="center" readingOrder="0" shrinkToFit="0" vertical="bottom" wrapText="0"/>
    </xf>
    <xf borderId="31" fillId="9" fontId="49" numFmtId="168" xfId="0" applyAlignment="1" applyBorder="1" applyFont="1" applyNumberFormat="1">
      <alignment horizontal="center" readingOrder="0" shrinkToFit="0" vertical="bottom" wrapText="0"/>
    </xf>
    <xf borderId="4" fillId="9" fontId="44" numFmtId="167" xfId="0" applyAlignment="1" applyBorder="1" applyFont="1" applyNumberFormat="1">
      <alignment horizontal="center" readingOrder="0" shrinkToFit="0" vertical="bottom" wrapText="0"/>
    </xf>
    <xf borderId="4" fillId="9" fontId="44" numFmtId="3" xfId="0" applyAlignment="1" applyBorder="1" applyFont="1" applyNumberFormat="1">
      <alignment horizontal="center" readingOrder="0" shrinkToFit="0" vertical="bottom" wrapText="0"/>
    </xf>
    <xf borderId="3" fillId="0" fontId="2" numFmtId="177" xfId="0" applyAlignment="1" applyBorder="1" applyFont="1" applyNumberFormat="1">
      <alignment vertical="bottom"/>
    </xf>
    <xf borderId="0" fillId="124" fontId="44" numFmtId="0" xfId="0" applyAlignment="1" applyFont="1">
      <alignment shrinkToFit="0" vertical="bottom" wrapText="0"/>
    </xf>
    <xf borderId="0" fillId="2" fontId="8" numFmtId="177" xfId="0" applyAlignment="1" applyFont="1" applyNumberFormat="1">
      <alignment horizontal="right" vertical="bottom"/>
    </xf>
    <xf borderId="0" fillId="124" fontId="44" numFmtId="0" xfId="0" applyAlignment="1" applyFont="1">
      <alignment readingOrder="0" shrinkToFit="0" vertical="bottom" wrapText="0"/>
    </xf>
    <xf borderId="0" fillId="14" fontId="44" numFmtId="168" xfId="0" applyAlignment="1" applyFont="1" applyNumberFormat="1">
      <alignment horizontal="center" readingOrder="0" shrinkToFit="0" vertical="bottom" wrapText="0"/>
    </xf>
    <xf borderId="0" fillId="124" fontId="44" numFmtId="0" xfId="0" applyAlignment="1" applyFont="1">
      <alignment horizontal="center" readingOrder="0" shrinkToFit="0" vertical="bottom" wrapText="0"/>
    </xf>
    <xf borderId="0" fillId="124" fontId="44" numFmtId="3" xfId="0" applyAlignment="1" applyFont="1" applyNumberFormat="1">
      <alignment horizontal="center" readingOrder="0" shrinkToFit="0" vertical="bottom" wrapText="0"/>
    </xf>
    <xf borderId="0" fillId="124" fontId="44" numFmtId="9" xfId="0" applyAlignment="1" applyFont="1" applyNumberFormat="1">
      <alignment horizontal="center" readingOrder="0" shrinkToFit="0" vertical="bottom" wrapText="0"/>
    </xf>
    <xf borderId="0" fillId="124" fontId="44" numFmtId="168" xfId="0" applyAlignment="1" applyFont="1" applyNumberFormat="1">
      <alignment horizontal="center" readingOrder="0" shrinkToFit="0" vertical="bottom" wrapText="0"/>
    </xf>
    <xf borderId="0" fillId="124" fontId="44" numFmtId="2" xfId="0" applyAlignment="1" applyFont="1" applyNumberFormat="1">
      <alignment horizontal="center" readingOrder="0" shrinkToFit="0" vertical="bottom" wrapText="0"/>
    </xf>
    <xf borderId="0" fillId="124" fontId="51" numFmtId="0" xfId="0" applyAlignment="1" applyFont="1">
      <alignment readingOrder="0" shrinkToFit="0" vertical="bottom" wrapText="0"/>
    </xf>
    <xf borderId="0" fillId="124" fontId="44" numFmtId="10" xfId="0" applyAlignment="1" applyFont="1" applyNumberFormat="1">
      <alignment horizontal="center" readingOrder="0" shrinkToFit="0" vertical="bottom" wrapText="0"/>
    </xf>
    <xf borderId="0" fillId="124" fontId="44" numFmtId="167" xfId="0" applyAlignment="1" applyFont="1" applyNumberFormat="1">
      <alignment horizontal="center" readingOrder="0" shrinkToFit="0" vertical="bottom" wrapText="0"/>
    </xf>
    <xf borderId="1" fillId="166" fontId="8" numFmtId="0" xfId="0" applyAlignment="1" applyBorder="1" applyFont="1">
      <alignment vertical="bottom"/>
    </xf>
    <xf borderId="31" fillId="9" fontId="49" numFmtId="167" xfId="0" applyAlignment="1" applyBorder="1" applyFont="1" applyNumberFormat="1">
      <alignment horizontal="center" shrinkToFit="0" vertical="bottom" wrapText="0"/>
    </xf>
    <xf borderId="9" fillId="168" fontId="52" numFmtId="0" xfId="0" applyAlignment="1" applyBorder="1" applyFill="1" applyFont="1">
      <alignment readingOrder="0" shrinkToFit="0" vertical="bottom" wrapText="0"/>
    </xf>
    <xf borderId="26" fillId="168" fontId="52" numFmtId="167" xfId="0" applyAlignment="1" applyBorder="1" applyFont="1" applyNumberFormat="1">
      <alignment horizontal="center" readingOrder="0" shrinkToFit="0" vertical="bottom" wrapText="0"/>
    </xf>
    <xf borderId="10" fillId="168" fontId="52" numFmtId="167" xfId="0" applyAlignment="1" applyBorder="1" applyFont="1" applyNumberFormat="1">
      <alignment horizontal="center" readingOrder="0" shrinkToFit="0" vertical="bottom" wrapText="0"/>
    </xf>
    <xf borderId="10" fillId="168" fontId="52" numFmtId="10" xfId="0" applyAlignment="1" applyBorder="1" applyFont="1" applyNumberFormat="1">
      <alignment horizontal="center" readingOrder="0" shrinkToFit="0" vertical="bottom" wrapText="0"/>
    </xf>
    <xf borderId="1" fillId="169" fontId="3" numFmtId="0" xfId="0" applyAlignment="1" applyBorder="1" applyFill="1" applyFont="1">
      <alignment readingOrder="0" vertical="bottom"/>
    </xf>
    <xf borderId="1" fillId="170" fontId="8" numFmtId="0" xfId="0" applyAlignment="1" applyBorder="1" applyFill="1" applyFont="1">
      <alignment readingOrder="0" vertical="bottom"/>
    </xf>
    <xf borderId="0" fillId="131" fontId="53" numFmtId="177" xfId="0" applyAlignment="1" applyFont="1" applyNumberFormat="1">
      <alignment horizontal="right" vertical="bottom"/>
    </xf>
    <xf borderId="1" fillId="170" fontId="8" numFmtId="0" xfId="0" applyAlignment="1" applyBorder="1" applyFont="1">
      <alignment vertical="bottom"/>
    </xf>
    <xf borderId="1" fillId="103" fontId="8" numFmtId="0" xfId="0" applyAlignment="1" applyBorder="1" applyFont="1">
      <alignment readingOrder="0" vertical="bottom"/>
    </xf>
    <xf borderId="33" fillId="9" fontId="50" numFmtId="9" xfId="0" applyAlignment="1" applyBorder="1" applyFont="1" applyNumberFormat="1">
      <alignment horizontal="center" readingOrder="0" shrinkToFit="0" vertical="bottom" wrapText="0"/>
    </xf>
    <xf borderId="34" fillId="9" fontId="48" numFmtId="168" xfId="0" applyAlignment="1" applyBorder="1" applyFont="1" applyNumberFormat="1">
      <alignment horizontal="center" readingOrder="0" shrinkToFit="0" vertical="bottom" wrapText="0"/>
    </xf>
    <xf borderId="0" fillId="131" fontId="53" numFmtId="2" xfId="0" applyAlignment="1" applyFont="1" applyNumberFormat="1">
      <alignment horizontal="center" vertical="bottom"/>
    </xf>
    <xf borderId="10" fillId="4" fontId="54" numFmtId="10" xfId="0" applyAlignment="1" applyBorder="1" applyFont="1" applyNumberFormat="1">
      <alignment horizontal="center"/>
    </xf>
    <xf borderId="26" fillId="4" fontId="54" numFmtId="167" xfId="0" applyAlignment="1" applyBorder="1" applyFont="1" applyNumberFormat="1">
      <alignment horizontal="center"/>
    </xf>
    <xf borderId="0" fillId="131" fontId="53" numFmtId="177" xfId="0" applyAlignment="1" applyFont="1" applyNumberFormat="1">
      <alignment horizontal="center" vertical="bottom"/>
    </xf>
    <xf borderId="0" fillId="9" fontId="29" numFmtId="0" xfId="0" applyFont="1"/>
    <xf borderId="28" fillId="9" fontId="49" numFmtId="3" xfId="0" applyAlignment="1" applyBorder="1" applyFont="1" applyNumberFormat="1">
      <alignment horizontal="center" shrinkToFit="0" vertical="bottom" wrapText="0"/>
    </xf>
    <xf borderId="28" fillId="9" fontId="49" numFmtId="3" xfId="0" applyAlignment="1" applyBorder="1" applyFont="1" applyNumberFormat="1">
      <alignment horizontal="center" readingOrder="0" shrinkToFit="0" vertical="bottom" wrapText="0"/>
    </xf>
    <xf borderId="29" fillId="9" fontId="49" numFmtId="3" xfId="0" applyAlignment="1" applyBorder="1" applyFont="1" applyNumberFormat="1">
      <alignment horizontal="center" readingOrder="0" shrinkToFit="0" vertical="bottom" wrapText="0"/>
    </xf>
    <xf borderId="28" fillId="9" fontId="48" numFmtId="3" xfId="0" applyAlignment="1" applyBorder="1" applyFont="1" applyNumberFormat="1">
      <alignment horizontal="center" readingOrder="0" shrinkToFit="0" vertical="bottom" wrapText="0"/>
    </xf>
    <xf borderId="0" fillId="0" fontId="8" numFmtId="182" xfId="0" applyAlignment="1" applyFont="1" applyNumberFormat="1">
      <alignment vertical="bottom"/>
    </xf>
    <xf borderId="31" fillId="2" fontId="49" numFmtId="3" xfId="0" applyAlignment="1" applyBorder="1" applyFont="1" applyNumberFormat="1">
      <alignment horizontal="center" shrinkToFit="0" vertical="bottom" wrapText="0"/>
    </xf>
    <xf borderId="31" fillId="9" fontId="48" numFmtId="3" xfId="0" applyAlignment="1" applyBorder="1" applyFont="1" applyNumberFormat="1">
      <alignment horizontal="center" readingOrder="0" shrinkToFit="0" vertical="bottom" wrapText="0"/>
    </xf>
    <xf borderId="1" fillId="171" fontId="3" numFmtId="0" xfId="0" applyAlignment="1" applyBorder="1" applyFill="1" applyFont="1">
      <alignment vertical="bottom"/>
    </xf>
    <xf borderId="0" fillId="9" fontId="29" numFmtId="1" xfId="0" applyFont="1" applyNumberFormat="1"/>
    <xf borderId="1" fillId="0" fontId="8" numFmtId="2" xfId="0" applyAlignment="1" applyBorder="1" applyFont="1" applyNumberFormat="1">
      <alignment vertical="bottom"/>
    </xf>
    <xf borderId="0" fillId="0" fontId="1" numFmtId="1" xfId="0" applyFont="1" applyNumberFormat="1"/>
    <xf borderId="1" fillId="172" fontId="3" numFmtId="0" xfId="0" applyAlignment="1" applyBorder="1" applyFill="1" applyFont="1">
      <alignment readingOrder="0" vertical="bottom"/>
    </xf>
    <xf borderId="26" fillId="168" fontId="52" numFmtId="3" xfId="0" applyAlignment="1" applyBorder="1" applyFont="1" applyNumberFormat="1">
      <alignment horizontal="center" readingOrder="0" shrinkToFit="0" vertical="bottom" wrapText="0"/>
    </xf>
    <xf borderId="0" fillId="0" fontId="1" numFmtId="0" xfId="0" applyAlignment="1" applyFont="1">
      <alignment horizontal="center"/>
    </xf>
    <xf borderId="1" fillId="128" fontId="8" numFmtId="0" xfId="0" applyAlignment="1" applyBorder="1" applyFont="1">
      <alignment vertical="bottom"/>
    </xf>
    <xf borderId="9" fillId="10" fontId="28" numFmtId="0" xfId="0" applyAlignment="1" applyBorder="1" applyFont="1">
      <alignment horizontal="center" readingOrder="0"/>
    </xf>
    <xf borderId="9" fillId="10" fontId="29" numFmtId="0" xfId="0" applyAlignment="1" applyBorder="1" applyFont="1">
      <alignment horizontal="center" readingOrder="0"/>
    </xf>
    <xf borderId="0" fillId="124" fontId="30" numFmtId="0" xfId="0" applyAlignment="1" applyFont="1">
      <alignment horizontal="center" readingOrder="0"/>
    </xf>
    <xf borderId="3" fillId="10" fontId="31" numFmtId="165" xfId="0" applyAlignment="1" applyBorder="1" applyFont="1" applyNumberFormat="1">
      <alignment horizontal="right" readingOrder="0" vertical="bottom"/>
    </xf>
    <xf borderId="3" fillId="10" fontId="31" numFmtId="183" xfId="0" applyAlignment="1" applyBorder="1" applyFont="1" applyNumberFormat="1">
      <alignment horizontal="right" readingOrder="0" vertical="bottom"/>
    </xf>
    <xf borderId="25" fillId="9" fontId="27" numFmtId="0" xfId="0" applyAlignment="1" applyBorder="1" applyFont="1">
      <alignment readingOrder="0"/>
    </xf>
    <xf borderId="25" fillId="14" fontId="27" numFmtId="167" xfId="0" applyAlignment="1" applyBorder="1" applyFont="1" applyNumberFormat="1">
      <alignment horizontal="center" readingOrder="0"/>
    </xf>
    <xf borderId="0" fillId="0" fontId="55" numFmtId="167" xfId="0" applyAlignment="1" applyFont="1" applyNumberFormat="1">
      <alignment horizontal="center" readingOrder="0"/>
    </xf>
    <xf borderId="25" fillId="0" fontId="1" numFmtId="0" xfId="0" applyAlignment="1" applyBorder="1" applyFont="1">
      <alignment readingOrder="0"/>
    </xf>
    <xf borderId="25" fillId="14" fontId="1" numFmtId="10" xfId="0" applyAlignment="1" applyBorder="1" applyFont="1" applyNumberFormat="1">
      <alignment horizontal="center"/>
    </xf>
    <xf borderId="0" fillId="124" fontId="1" numFmtId="167" xfId="0" applyAlignment="1" applyFont="1" applyNumberFormat="1">
      <alignment readingOrder="0"/>
    </xf>
    <xf borderId="25" fillId="0" fontId="27" numFmtId="0" xfId="0" applyAlignment="1" applyBorder="1" applyFont="1">
      <alignment readingOrder="0"/>
    </xf>
    <xf borderId="25" fillId="14" fontId="1" numFmtId="167" xfId="0" applyAlignment="1" applyBorder="1" applyFont="1" applyNumberFormat="1">
      <alignment horizontal="center" readingOrder="0"/>
    </xf>
    <xf borderId="0" fillId="124" fontId="55" numFmtId="167" xfId="0" applyAlignment="1" applyFont="1" applyNumberFormat="1">
      <alignment horizontal="center" readingOrder="0"/>
    </xf>
    <xf borderId="25" fillId="124" fontId="27" numFmtId="0" xfId="0" applyAlignment="1" applyBorder="1" applyFont="1">
      <alignment readingOrder="0"/>
    </xf>
    <xf borderId="25" fillId="14" fontId="1" numFmtId="10" xfId="0" applyAlignment="1" applyBorder="1" applyFont="1" applyNumberFormat="1">
      <alignment horizontal="center" readingOrder="0"/>
    </xf>
    <xf borderId="25" fillId="14" fontId="27" numFmtId="10" xfId="0" applyAlignment="1" applyBorder="1" applyFont="1" applyNumberFormat="1">
      <alignment horizontal="center" readingOrder="0"/>
    </xf>
    <xf borderId="25" fillId="16" fontId="1" numFmtId="168" xfId="0" applyAlignment="1" applyBorder="1" applyFont="1" applyNumberFormat="1">
      <alignment horizontal="center" readingOrder="0"/>
    </xf>
    <xf borderId="11" fillId="0" fontId="1" numFmtId="0" xfId="0" applyAlignment="1" applyBorder="1" applyFont="1">
      <alignment readingOrder="0"/>
    </xf>
    <xf borderId="0" fillId="0" fontId="2" numFmtId="3" xfId="0" applyAlignment="1" applyFont="1" applyNumberFormat="1">
      <alignment horizontal="center" readingOrder="0" vertical="bottom"/>
    </xf>
    <xf borderId="0" fillId="0" fontId="1" numFmtId="168" xfId="0" applyAlignment="1" applyFont="1" applyNumberFormat="1">
      <alignment horizontal="center" readingOrder="0"/>
    </xf>
    <xf borderId="0" fillId="124" fontId="30" numFmtId="0" xfId="0" applyAlignment="1" applyFont="1">
      <alignment horizontal="right" readingOrder="0"/>
    </xf>
    <xf borderId="0" fillId="0" fontId="1" numFmtId="3" xfId="0" applyAlignment="1" applyFont="1" applyNumberFormat="1">
      <alignment horizontal="center"/>
    </xf>
    <xf borderId="0" fillId="0" fontId="30" numFmtId="0" xfId="0" applyAlignment="1" applyFont="1">
      <alignment horizontal="center"/>
    </xf>
    <xf borderId="25" fillId="4" fontId="1" numFmtId="167" xfId="0" applyAlignment="1" applyBorder="1" applyFont="1" applyNumberFormat="1">
      <alignment horizontal="center" readingOrder="0"/>
    </xf>
    <xf borderId="2" fillId="0" fontId="8" numFmtId="177" xfId="0" applyAlignment="1" applyBorder="1" applyFont="1" applyNumberFormat="1">
      <alignment vertical="bottom"/>
    </xf>
    <xf borderId="1" fillId="98" fontId="8" numFmtId="0" xfId="0" applyAlignment="1" applyBorder="1" applyFont="1">
      <alignment readingOrder="0" vertical="bottom"/>
    </xf>
    <xf borderId="25" fillId="14" fontId="1" numFmtId="171" xfId="0" applyAlignment="1" applyBorder="1" applyFont="1" applyNumberFormat="1">
      <alignment horizontal="center" readingOrder="0"/>
    </xf>
    <xf borderId="25" fillId="14" fontId="1" numFmtId="9" xfId="0" applyAlignment="1" applyBorder="1" applyFont="1" applyNumberFormat="1">
      <alignment horizontal="center" readingOrder="0"/>
    </xf>
    <xf borderId="0" fillId="0" fontId="8" numFmtId="179" xfId="0" applyAlignment="1" applyFont="1" applyNumberFormat="1">
      <alignment vertical="bottom"/>
    </xf>
    <xf borderId="0" fillId="0" fontId="55" numFmtId="0" xfId="0" applyAlignment="1" applyFont="1">
      <alignment horizontal="center"/>
    </xf>
    <xf borderId="25" fillId="14" fontId="1" numFmtId="167" xfId="0" applyAlignment="1" applyBorder="1" applyFont="1" applyNumberFormat="1">
      <alignment horizontal="center"/>
    </xf>
    <xf borderId="25" fillId="14" fontId="1" numFmtId="172" xfId="0" applyAlignment="1" applyBorder="1" applyFont="1" applyNumberFormat="1">
      <alignment horizontal="center" readingOrder="0"/>
    </xf>
    <xf borderId="0" fillId="0" fontId="1" numFmtId="173" xfId="0" applyAlignment="1" applyFont="1" applyNumberFormat="1">
      <alignment horizontal="center" readingOrder="0"/>
    </xf>
    <xf borderId="0" fillId="0" fontId="56" numFmtId="0" xfId="0" applyAlignment="1" applyFont="1">
      <alignment readingOrder="0"/>
    </xf>
    <xf borderId="25" fillId="9" fontId="1" numFmtId="0" xfId="0" applyAlignment="1" applyBorder="1" applyFont="1">
      <alignment horizontal="left" readingOrder="0"/>
    </xf>
    <xf borderId="0" fillId="7" fontId="1" numFmtId="0" xfId="0" applyAlignment="1" applyFont="1">
      <alignment readingOrder="0"/>
    </xf>
    <xf borderId="0" fillId="0" fontId="57" numFmtId="167" xfId="0" applyAlignment="1" applyFont="1" applyNumberFormat="1">
      <alignment horizontal="right" readingOrder="0"/>
    </xf>
    <xf borderId="25" fillId="124" fontId="1" numFmtId="0" xfId="0" applyAlignment="1" applyBorder="1" applyFont="1">
      <alignment readingOrder="0"/>
    </xf>
    <xf borderId="0" fillId="0" fontId="0" numFmtId="167" xfId="0" applyAlignment="1" applyFont="1" applyNumberFormat="1">
      <alignment horizontal="right" readingOrder="0"/>
    </xf>
    <xf borderId="0" fillId="0" fontId="56" numFmtId="0" xfId="0" applyAlignment="1" applyFont="1">
      <alignment horizontal="center" readingOrder="0"/>
    </xf>
    <xf borderId="0" fillId="5" fontId="57" numFmtId="167" xfId="0" applyAlignment="1" applyFont="1" applyNumberFormat="1">
      <alignment horizontal="right" readingOrder="0"/>
    </xf>
    <xf borderId="0" fillId="5" fontId="1" numFmtId="167" xfId="0" applyAlignment="1" applyFont="1" applyNumberFormat="1">
      <alignment readingOrder="0"/>
    </xf>
    <xf borderId="25" fillId="4" fontId="1" numFmtId="167" xfId="0" applyAlignment="1" applyBorder="1" applyFont="1" applyNumberFormat="1">
      <alignment readingOrder="0"/>
    </xf>
    <xf borderId="0" fillId="5" fontId="0" numFmtId="167" xfId="0" applyAlignment="1" applyFont="1" applyNumberFormat="1">
      <alignment horizontal="right" readingOrder="0"/>
    </xf>
    <xf borderId="0" fillId="0" fontId="1" numFmtId="0" xfId="0" applyAlignment="1" applyFont="1">
      <alignment readingOrder="0"/>
    </xf>
    <xf borderId="0" fillId="0" fontId="1" numFmtId="0" xfId="0" applyAlignment="1" applyFont="1">
      <alignment horizontal="left" readingOrder="0"/>
    </xf>
    <xf borderId="0" fillId="0" fontId="1" numFmtId="167" xfId="0" applyAlignment="1" applyFont="1" applyNumberFormat="1">
      <alignment horizontal="center" readingOrder="0"/>
    </xf>
    <xf borderId="0" fillId="9" fontId="30" numFmtId="167" xfId="0" applyAlignment="1" applyFont="1" applyNumberFormat="1">
      <alignment horizontal="center" vertical="center"/>
    </xf>
    <xf borderId="11" fillId="106" fontId="30" numFmtId="0" xfId="0" applyAlignment="1" applyBorder="1" applyFont="1">
      <alignment horizontal="center" readingOrder="0"/>
    </xf>
    <xf borderId="0" fillId="15" fontId="1" numFmtId="0" xfId="0" applyAlignment="1" applyFont="1">
      <alignment readingOrder="0"/>
    </xf>
    <xf borderId="0" fillId="9" fontId="30" numFmtId="167" xfId="0" applyAlignment="1" applyFont="1" applyNumberFormat="1">
      <alignment horizontal="center"/>
    </xf>
    <xf borderId="0" fillId="15" fontId="1" numFmtId="167" xfId="0" applyFont="1" applyNumberFormat="1"/>
    <xf borderId="0" fillId="0" fontId="1" numFmtId="175" xfId="0" applyAlignment="1" applyFont="1" applyNumberFormat="1">
      <alignment readingOrder="0"/>
    </xf>
    <xf borderId="2" fillId="0" fontId="10" numFmtId="3" xfId="0" applyAlignment="1" applyBorder="1" applyFont="1" applyNumberFormat="1">
      <alignment horizontal="right" vertical="bottom"/>
    </xf>
    <xf borderId="0" fillId="0" fontId="1" numFmtId="3" xfId="0" applyAlignment="1" applyFont="1" applyNumberFormat="1">
      <alignment readingOrder="0"/>
    </xf>
    <xf borderId="0" fillId="100" fontId="8" numFmtId="177" xfId="0" applyAlignment="1" applyFont="1" applyNumberFormat="1">
      <alignment horizontal="right" shrinkToFit="0" vertical="bottom" wrapText="1"/>
    </xf>
    <xf borderId="9" fillId="15" fontId="29" numFmtId="0" xfId="0" applyAlignment="1" applyBorder="1" applyFont="1">
      <alignment horizontal="center" readingOrder="0"/>
    </xf>
    <xf borderId="3" fillId="15" fontId="31" numFmtId="165" xfId="0" applyAlignment="1" applyBorder="1" applyFont="1" applyNumberFormat="1">
      <alignment horizontal="right" readingOrder="0" vertical="bottom"/>
    </xf>
    <xf borderId="0" fillId="5" fontId="2" numFmtId="0" xfId="0" applyAlignment="1" applyFont="1">
      <alignment vertical="bottom"/>
    </xf>
    <xf borderId="0" fillId="5" fontId="27" numFmtId="3" xfId="0" applyAlignment="1" applyFont="1" applyNumberFormat="1">
      <alignment readingOrder="0"/>
    </xf>
    <xf borderId="3" fillId="15" fontId="31" numFmtId="183" xfId="0" applyAlignment="1" applyBorder="1" applyFont="1" applyNumberFormat="1">
      <alignment horizontal="right" readingOrder="0" vertical="bottom"/>
    </xf>
    <xf borderId="2" fillId="0" fontId="58" numFmtId="0" xfId="0" applyBorder="1" applyFont="1"/>
    <xf borderId="0" fillId="0" fontId="8" numFmtId="0" xfId="0" applyAlignment="1" applyFont="1">
      <alignment horizontal="right" vertical="bottom"/>
    </xf>
    <xf borderId="0" fillId="0" fontId="1" numFmtId="10" xfId="0" applyAlignment="1" applyFont="1" applyNumberFormat="1">
      <alignment horizontal="center"/>
    </xf>
    <xf borderId="0" fillId="18" fontId="1" numFmtId="0" xfId="0" applyAlignment="1" applyFont="1">
      <alignment readingOrder="0"/>
    </xf>
    <xf borderId="0" fillId="18" fontId="1" numFmtId="167" xfId="0" applyFont="1" applyNumberFormat="1"/>
    <xf borderId="25" fillId="16" fontId="1" numFmtId="10" xfId="0" applyAlignment="1" applyBorder="1" applyFont="1" applyNumberFormat="1">
      <alignment horizontal="center" readingOrder="0"/>
    </xf>
    <xf borderId="0" fillId="0" fontId="1" numFmtId="2" xfId="0" applyFont="1" applyNumberFormat="1"/>
    <xf borderId="0" fillId="100" fontId="8" numFmtId="3" xfId="0" applyAlignment="1" applyFont="1" applyNumberFormat="1">
      <alignment horizontal="right" vertical="bottom"/>
    </xf>
    <xf borderId="0" fillId="100" fontId="8" numFmtId="0" xfId="0" applyAlignment="1" applyFont="1">
      <alignment horizontal="right" vertical="bottom"/>
    </xf>
    <xf borderId="25" fillId="0" fontId="1" numFmtId="167" xfId="0" applyAlignment="1" applyBorder="1" applyFont="1" applyNumberFormat="1">
      <alignment horizontal="center"/>
    </xf>
    <xf borderId="25" fillId="16" fontId="1" numFmtId="167" xfId="0" applyAlignment="1" applyBorder="1" applyFont="1" applyNumberFormat="1">
      <alignment horizontal="center" readingOrder="0"/>
    </xf>
    <xf borderId="0" fillId="0" fontId="8" numFmtId="167" xfId="0" applyAlignment="1" applyFont="1" applyNumberFormat="1">
      <alignment horizontal="right" readingOrder="0" vertical="bottom"/>
    </xf>
    <xf borderId="0" fillId="0" fontId="8" numFmtId="184" xfId="0" applyAlignment="1" applyFont="1" applyNumberFormat="1">
      <alignment horizontal="right" readingOrder="0" vertical="bottom"/>
    </xf>
    <xf borderId="0" fillId="9" fontId="59" numFmtId="167" xfId="0" applyAlignment="1" applyFont="1" applyNumberFormat="1">
      <alignment horizontal="right" readingOrder="0" shrinkToFit="0" wrapText="0"/>
    </xf>
    <xf borderId="0" fillId="0" fontId="8" numFmtId="167" xfId="0" applyAlignment="1" applyFont="1" applyNumberFormat="1">
      <alignment horizontal="right" readingOrder="0" vertical="bottom"/>
    </xf>
    <xf borderId="0" fillId="0" fontId="1" numFmtId="167" xfId="0" applyAlignment="1" applyFont="1" applyNumberFormat="1">
      <alignment horizontal="right" readingOrder="0"/>
    </xf>
    <xf borderId="0" fillId="9" fontId="60" numFmtId="167" xfId="0" applyAlignment="1" applyFont="1" applyNumberFormat="1">
      <alignment horizontal="right" readingOrder="0" shrinkToFit="0" wrapText="0"/>
    </xf>
    <xf borderId="0" fillId="0" fontId="61" numFmtId="167" xfId="0" applyAlignment="1" applyFont="1" applyNumberFormat="1">
      <alignment horizontal="right" readingOrder="0" vertical="bottom"/>
    </xf>
    <xf borderId="1" fillId="101" fontId="8" numFmtId="0" xfId="0" applyAlignment="1" applyBorder="1" applyFont="1">
      <alignment readingOrder="0" vertical="bottom"/>
    </xf>
    <xf borderId="25" fillId="10" fontId="29" numFmtId="0" xfId="0" applyAlignment="1" applyBorder="1" applyFont="1">
      <alignment readingOrder="0"/>
    </xf>
    <xf borderId="25" fillId="10" fontId="29" numFmtId="0" xfId="0" applyAlignment="1" applyBorder="1" applyFont="1">
      <alignment horizontal="center" readingOrder="0"/>
    </xf>
    <xf borderId="0" fillId="0" fontId="8" numFmtId="167" xfId="0" applyAlignment="1" applyFont="1" applyNumberFormat="1">
      <alignment readingOrder="0"/>
    </xf>
    <xf borderId="0" fillId="4" fontId="1" numFmtId="0" xfId="0" applyAlignment="1" applyFont="1">
      <alignment horizontal="center" readingOrder="0"/>
    </xf>
    <xf borderId="1" fillId="102" fontId="8" numFmtId="0" xfId="0" applyAlignment="1" applyBorder="1" applyFont="1">
      <alignment readingOrder="0" vertical="bottom"/>
    </xf>
    <xf borderId="0" fillId="102" fontId="8" numFmtId="167" xfId="0" applyAlignment="1" applyFont="1" applyNumberFormat="1">
      <alignment horizontal="right" vertical="bottom"/>
    </xf>
    <xf borderId="0" fillId="0" fontId="30" numFmtId="167" xfId="0" applyAlignment="1" applyFont="1" applyNumberFormat="1">
      <alignment horizontal="center" readingOrder="0"/>
    </xf>
    <xf borderId="0" fillId="0" fontId="62" numFmtId="10" xfId="0" applyAlignment="1" applyFont="1" applyNumberFormat="1">
      <alignment readingOrder="0"/>
    </xf>
    <xf borderId="0" fillId="0" fontId="1" numFmtId="176" xfId="0" applyFont="1" applyNumberFormat="1"/>
    <xf borderId="0" fillId="102" fontId="8" numFmtId="177" xfId="0" applyAlignment="1" applyFont="1" applyNumberFormat="1">
      <alignment horizontal="right" vertical="bottom"/>
    </xf>
    <xf borderId="0" fillId="104" fontId="8" numFmtId="0" xfId="0" applyAlignment="1" applyFont="1">
      <alignment horizontal="right" readingOrder="0" vertical="bottom"/>
    </xf>
    <xf borderId="0" fillId="104" fontId="8" numFmtId="0" xfId="0" applyAlignment="1" applyFont="1">
      <alignment horizontal="right" vertical="bottom"/>
    </xf>
    <xf borderId="0" fillId="104" fontId="8" numFmtId="3" xfId="0" applyAlignment="1" applyFont="1" applyNumberFormat="1">
      <alignment horizontal="right" readingOrder="0" vertical="bottom"/>
    </xf>
    <xf borderId="0" fillId="0" fontId="63" numFmtId="0" xfId="0" applyAlignment="1" applyFont="1">
      <alignment readingOrder="0"/>
    </xf>
    <xf borderId="0" fillId="0" fontId="60" numFmtId="3" xfId="0" applyAlignment="1" applyFont="1" applyNumberFormat="1">
      <alignment horizontal="right" readingOrder="0" shrinkToFit="0" wrapText="0"/>
    </xf>
    <xf borderId="3" fillId="0" fontId="1" numFmtId="10" xfId="0" applyAlignment="1" applyBorder="1" applyFont="1" applyNumberFormat="1">
      <alignment horizontal="center"/>
    </xf>
    <xf borderId="0" fillId="0" fontId="64" numFmtId="0" xfId="0" applyAlignment="1" applyFont="1">
      <alignment horizontal="right" readingOrder="0" shrinkToFit="0" wrapText="0"/>
    </xf>
    <xf borderId="1" fillId="104" fontId="8" numFmtId="0" xfId="0" applyAlignment="1" applyBorder="1" applyFont="1">
      <alignment readingOrder="0" vertical="bottom"/>
    </xf>
    <xf borderId="0" fillId="104" fontId="8" numFmtId="1" xfId="0" applyAlignment="1" applyFont="1" applyNumberFormat="1">
      <alignment horizontal="right" vertical="bottom"/>
    </xf>
    <xf borderId="0" fillId="9" fontId="65" numFmtId="0" xfId="0" applyFont="1"/>
    <xf borderId="0" fillId="2" fontId="1" numFmtId="178" xfId="0" applyAlignment="1" applyFont="1" applyNumberFormat="1">
      <alignment readingOrder="0"/>
    </xf>
    <xf borderId="0" fillId="2" fontId="1" numFmtId="0" xfId="0" applyAlignment="1" applyFont="1">
      <alignment horizontal="right" readingOrder="0"/>
    </xf>
    <xf borderId="25" fillId="0" fontId="1" numFmtId="0" xfId="0" applyAlignment="1" applyBorder="1" applyFont="1">
      <alignment readingOrder="0"/>
    </xf>
    <xf borderId="0" fillId="0" fontId="66" numFmtId="168" xfId="0" applyAlignment="1" applyFont="1" applyNumberFormat="1">
      <alignment readingOrder="0"/>
    </xf>
    <xf borderId="0" fillId="0" fontId="66" numFmtId="10" xfId="0" applyFont="1" applyNumberFormat="1"/>
    <xf borderId="0" fillId="124" fontId="1" numFmtId="10" xfId="0" applyFont="1" applyNumberFormat="1"/>
    <xf borderId="0" fillId="0" fontId="66" numFmtId="2" xfId="0" applyAlignment="1" applyFont="1" applyNumberFormat="1">
      <alignment readingOrder="0"/>
    </xf>
    <xf borderId="0" fillId="0" fontId="66" numFmtId="167" xfId="0" applyAlignment="1" applyFont="1" applyNumberFormat="1">
      <alignment readingOrder="0"/>
    </xf>
    <xf borderId="0" fillId="0" fontId="8" numFmtId="1" xfId="0" applyAlignment="1" applyFont="1" applyNumberFormat="1">
      <alignment vertical="bottom"/>
    </xf>
    <xf borderId="0" fillId="0" fontId="66" numFmtId="10" xfId="0" applyAlignment="1" applyFont="1" applyNumberFormat="1">
      <alignment readingOrder="0"/>
    </xf>
    <xf borderId="0" fillId="124" fontId="1" numFmtId="0" xfId="0" applyAlignment="1" applyFont="1">
      <alignment readingOrder="0"/>
    </xf>
    <xf borderId="0" fillId="0" fontId="1" numFmtId="3" xfId="0" applyFont="1" applyNumberFormat="1"/>
    <xf borderId="2" fillId="0" fontId="8" numFmtId="0" xfId="0" applyAlignment="1" applyBorder="1" applyFont="1">
      <alignment readingOrder="0" vertical="bottom"/>
    </xf>
    <xf borderId="0" fillId="0" fontId="66" numFmtId="0" xfId="0" applyAlignment="1" applyFont="1">
      <alignment readingOrder="0"/>
    </xf>
    <xf borderId="0" fillId="0" fontId="60" numFmtId="0" xfId="0" applyAlignment="1" applyFont="1">
      <alignment horizontal="right" readingOrder="0" shrinkToFit="0" wrapText="0"/>
    </xf>
    <xf borderId="0" fillId="0" fontId="67" numFmtId="167" xfId="0" applyAlignment="1" applyFont="1" applyNumberFormat="1">
      <alignment horizontal="left" readingOrder="0"/>
    </xf>
    <xf borderId="0" fillId="0" fontId="8" numFmtId="3" xfId="0" applyAlignment="1" applyFont="1" applyNumberFormat="1">
      <alignment readingOrder="0" vertical="bottom"/>
    </xf>
    <xf borderId="0" fillId="0" fontId="60" numFmtId="1" xfId="0" applyAlignment="1" applyFont="1" applyNumberFormat="1">
      <alignment horizontal="right" readingOrder="0" shrinkToFit="0" wrapText="0"/>
    </xf>
    <xf borderId="25" fillId="0" fontId="30" numFmtId="0" xfId="0" applyAlignment="1" applyBorder="1" applyFont="1">
      <alignment readingOrder="0"/>
    </xf>
    <xf borderId="25" fillId="14" fontId="30" numFmtId="167" xfId="0" applyAlignment="1" applyBorder="1" applyFont="1" applyNumberFormat="1">
      <alignment horizontal="center"/>
    </xf>
    <xf borderId="1" fillId="0" fontId="1" numFmtId="0" xfId="0" applyBorder="1" applyFont="1"/>
    <xf borderId="0" fillId="13" fontId="8" numFmtId="2" xfId="0" applyAlignment="1" applyFont="1" applyNumberFormat="1">
      <alignment vertical="bottom"/>
    </xf>
    <xf borderId="0" fillId="13" fontId="8" numFmtId="1" xfId="0" applyAlignment="1" applyFont="1" applyNumberFormat="1">
      <alignment horizontal="right" readingOrder="0" vertical="bottom"/>
    </xf>
    <xf borderId="0" fillId="104" fontId="8" numFmtId="1" xfId="0" applyAlignment="1" applyFont="1" applyNumberFormat="1">
      <alignment readingOrder="0" vertical="bottom"/>
    </xf>
    <xf borderId="0" fillId="124" fontId="1" numFmtId="168" xfId="0" applyAlignment="1" applyFont="1" applyNumberFormat="1">
      <alignment readingOrder="0"/>
    </xf>
    <xf borderId="0" fillId="124" fontId="27" numFmtId="0" xfId="0" applyFont="1"/>
    <xf borderId="0" fillId="124" fontId="27" numFmtId="10" xfId="0" applyAlignment="1" applyFont="1" applyNumberFormat="1">
      <alignment readingOrder="0"/>
    </xf>
    <xf borderId="25" fillId="124" fontId="1" numFmtId="168" xfId="0" applyAlignment="1" applyBorder="1" applyFont="1" applyNumberFormat="1">
      <alignment readingOrder="0"/>
    </xf>
    <xf borderId="0" fillId="0" fontId="55" numFmtId="167" xfId="0" applyAlignment="1" applyFont="1" applyNumberFormat="1">
      <alignment horizontal="center"/>
    </xf>
    <xf borderId="0" fillId="0" fontId="63" numFmtId="1" xfId="0" applyAlignment="1" applyFont="1" applyNumberFormat="1">
      <alignment readingOrder="0"/>
    </xf>
    <xf borderId="25" fillId="124" fontId="27" numFmtId="167" xfId="0" applyAlignment="1" applyBorder="1" applyFont="1" applyNumberFormat="1">
      <alignment horizontal="center" readingOrder="0"/>
    </xf>
    <xf borderId="25" fillId="124" fontId="1" numFmtId="167" xfId="0" applyAlignment="1" applyBorder="1" applyFont="1" applyNumberFormat="1">
      <alignment horizontal="center" readingOrder="0"/>
    </xf>
    <xf borderId="0" fillId="124" fontId="68" numFmtId="167" xfId="0" applyAlignment="1" applyFont="1" applyNumberFormat="1">
      <alignment horizontal="center" readingOrder="0"/>
    </xf>
    <xf borderId="25" fillId="124" fontId="27" numFmtId="167" xfId="0" applyAlignment="1" applyBorder="1" applyFont="1" applyNumberFormat="1">
      <alignment horizontal="center" readingOrder="0"/>
    </xf>
    <xf borderId="0" fillId="124" fontId="33" numFmtId="0" xfId="0" applyAlignment="1" applyFont="1">
      <alignment horizontal="center" readingOrder="0" vertical="center"/>
    </xf>
    <xf borderId="0" fillId="0" fontId="55" numFmtId="167" xfId="0" applyAlignment="1" applyFont="1" applyNumberFormat="1">
      <alignment horizontal="center"/>
    </xf>
    <xf borderId="25" fillId="124" fontId="27" numFmtId="10" xfId="0" applyAlignment="1" applyBorder="1" applyFont="1" applyNumberFormat="1">
      <alignment horizontal="center" readingOrder="0"/>
    </xf>
    <xf borderId="0" fillId="0" fontId="55" numFmtId="0" xfId="0" applyFont="1"/>
    <xf borderId="35" fillId="0" fontId="8" numFmtId="0" xfId="0" applyAlignment="1" applyBorder="1" applyFont="1">
      <alignment readingOrder="0" vertical="bottom"/>
    </xf>
    <xf borderId="0" fillId="13" fontId="8" numFmtId="3" xfId="0" applyAlignment="1" applyFont="1" applyNumberFormat="1">
      <alignment horizontal="right" readingOrder="0" vertical="bottom"/>
    </xf>
    <xf borderId="1" fillId="13" fontId="8" numFmtId="0" xfId="0" applyAlignment="1" applyBorder="1" applyFont="1">
      <alignment horizontal="right" readingOrder="0" vertical="bottom"/>
    </xf>
    <xf borderId="0" fillId="0" fontId="10" numFmtId="0" xfId="0" applyAlignment="1" applyFont="1">
      <alignment horizontal="right" vertical="bottom"/>
    </xf>
    <xf borderId="3" fillId="109" fontId="8" numFmtId="1" xfId="0" applyAlignment="1" applyBorder="1" applyFont="1" applyNumberFormat="1">
      <alignment readingOrder="0" vertical="bottom"/>
    </xf>
    <xf borderId="3" fillId="109" fontId="8" numFmtId="1" xfId="0" applyAlignment="1" applyBorder="1" applyFont="1" applyNumberFormat="1">
      <alignment vertical="bottom"/>
    </xf>
    <xf borderId="0" fillId="0" fontId="69" numFmtId="1" xfId="0" applyAlignment="1" applyFont="1" applyNumberFormat="1">
      <alignment horizontal="right" readingOrder="0" shrinkToFit="0" wrapText="0"/>
    </xf>
    <xf borderId="0" fillId="131" fontId="8" numFmtId="167" xfId="0" applyAlignment="1" applyFont="1" applyNumberFormat="1">
      <alignment readingOrder="0" vertical="bottom"/>
    </xf>
    <xf borderId="0" fillId="131" fontId="8" numFmtId="167" xfId="0" applyAlignment="1" applyFont="1" applyNumberFormat="1">
      <alignment vertical="bottom"/>
    </xf>
    <xf borderId="0" fillId="131" fontId="15" numFmtId="177" xfId="0" applyAlignment="1" applyFont="1" applyNumberFormat="1">
      <alignment horizontal="right" readingOrder="0" vertical="bottom"/>
    </xf>
    <xf borderId="0" fillId="131" fontId="15" numFmtId="177" xfId="0" applyAlignment="1" applyFont="1" applyNumberFormat="1">
      <alignment horizontal="right" vertical="bottom"/>
    </xf>
    <xf borderId="1" fillId="131" fontId="15" numFmtId="177" xfId="0" applyAlignment="1" applyBorder="1" applyFont="1" applyNumberFormat="1">
      <alignment horizontal="right" vertical="bottom"/>
    </xf>
    <xf borderId="0" fillId="0" fontId="10" numFmtId="177" xfId="0" applyAlignment="1" applyFont="1" applyNumberFormat="1">
      <alignment horizontal="right" vertical="bottom"/>
    </xf>
    <xf borderId="0" fillId="13" fontId="8" numFmtId="4" xfId="0" applyAlignment="1" applyFont="1" applyNumberFormat="1">
      <alignment horizontal="right" readingOrder="0" vertical="bottom"/>
    </xf>
    <xf borderId="1" fillId="13" fontId="8" numFmtId="167" xfId="0" applyAlignment="1" applyBorder="1" applyFont="1" applyNumberFormat="1">
      <alignment horizontal="right" readingOrder="0" vertical="bottom"/>
    </xf>
    <xf borderId="0" fillId="0" fontId="10" numFmtId="167" xfId="0" applyAlignment="1" applyFont="1" applyNumberFormat="1">
      <alignment horizontal="right" vertical="bottom"/>
    </xf>
    <xf borderId="3" fillId="131" fontId="8" numFmtId="167" xfId="0" applyAlignment="1" applyBorder="1" applyFont="1" applyNumberFormat="1">
      <alignment readingOrder="0" vertical="bottom"/>
    </xf>
    <xf borderId="3" fillId="131" fontId="15" numFmtId="177" xfId="0" applyAlignment="1" applyBorder="1" applyFont="1" applyNumberFormat="1">
      <alignment horizontal="right" vertical="bottom"/>
    </xf>
    <xf borderId="0" fillId="0" fontId="63" numFmtId="1" xfId="0" applyFont="1" applyNumberFormat="1"/>
    <xf borderId="0" fillId="0" fontId="63" numFmtId="3" xfId="0" applyFont="1" applyNumberFormat="1"/>
    <xf borderId="0" fillId="13" fontId="8" numFmtId="1" xfId="0" applyAlignment="1" applyFont="1" applyNumberFormat="1">
      <alignment horizontal="right" vertical="bottom"/>
    </xf>
    <xf borderId="0" fillId="9" fontId="70" numFmtId="0" xfId="0" applyAlignment="1" applyFont="1">
      <alignment horizontal="right" readingOrder="0" shrinkToFit="0" wrapText="0"/>
    </xf>
    <xf borderId="1" fillId="99" fontId="22" numFmtId="0" xfId="0" applyAlignment="1" applyBorder="1" applyFont="1">
      <alignment readingOrder="0" vertical="bottom"/>
    </xf>
    <xf borderId="1" fillId="106" fontId="8" numFmtId="0" xfId="0" applyAlignment="1" applyBorder="1" applyFont="1">
      <alignment readingOrder="0" vertical="bottom"/>
    </xf>
    <xf borderId="0" fillId="0" fontId="71" numFmtId="1" xfId="0" applyAlignment="1" applyFont="1" applyNumberFormat="1">
      <alignment readingOrder="0" vertical="bottom"/>
    </xf>
    <xf borderId="0" fillId="13" fontId="71" numFmtId="1" xfId="0" applyAlignment="1" applyFont="1" applyNumberFormat="1">
      <alignment readingOrder="0" vertical="bottom"/>
    </xf>
    <xf borderId="0" fillId="2" fontId="8" numFmtId="2" xfId="0" applyAlignment="1" applyFont="1" applyNumberFormat="1">
      <alignment vertical="bottom"/>
    </xf>
    <xf borderId="1" fillId="107" fontId="8" numFmtId="0" xfId="0" applyAlignment="1" applyBorder="1" applyFont="1">
      <alignment readingOrder="0" vertical="bottom"/>
    </xf>
    <xf borderId="0" fillId="107" fontId="8" numFmtId="1" xfId="0" applyAlignment="1" applyFont="1" applyNumberFormat="1">
      <alignment horizontal="right" vertical="bottom"/>
    </xf>
    <xf borderId="0" fillId="0" fontId="71" numFmtId="0" xfId="0" applyAlignment="1" applyFont="1">
      <alignment readingOrder="0" vertical="bottom"/>
    </xf>
    <xf borderId="0" fillId="107" fontId="8" numFmtId="1" xfId="0" applyAlignment="1" applyFont="1" applyNumberFormat="1">
      <alignment horizontal="left" readingOrder="0" vertical="bottom"/>
    </xf>
    <xf borderId="0" fillId="13" fontId="8" numFmtId="1" xfId="0" applyAlignment="1" applyFont="1" applyNumberFormat="1">
      <alignment vertical="bottom"/>
    </xf>
    <xf borderId="0" fillId="0" fontId="71" numFmtId="167" xfId="0" applyAlignment="1" applyFont="1" applyNumberFormat="1">
      <alignment readingOrder="0" vertical="bottom"/>
    </xf>
    <xf borderId="0" fillId="9" fontId="72" numFmtId="167" xfId="0" applyAlignment="1" applyFont="1" applyNumberFormat="1">
      <alignment horizontal="right" readingOrder="0"/>
    </xf>
    <xf borderId="0" fillId="9" fontId="73" numFmtId="167" xfId="0" applyAlignment="1" applyFont="1" applyNumberFormat="1">
      <alignment horizontal="right" readingOrder="0"/>
    </xf>
    <xf borderId="0" fillId="107" fontId="8" numFmtId="167" xfId="0" applyAlignment="1" applyFont="1" applyNumberFormat="1">
      <alignment horizontal="right" vertical="bottom"/>
    </xf>
    <xf borderId="0" fillId="0" fontId="74" numFmtId="167" xfId="0" applyAlignment="1" applyFont="1" applyNumberFormat="1">
      <alignment readingOrder="0"/>
    </xf>
    <xf borderId="0" fillId="0" fontId="74" numFmtId="167" xfId="0" applyAlignment="1" applyFont="1" applyNumberFormat="1">
      <alignment readingOrder="0" vertical="bottom"/>
    </xf>
    <xf borderId="0" fillId="0" fontId="63" numFmtId="167" xfId="0" applyAlignment="1" applyFont="1" applyNumberFormat="1">
      <alignment readingOrder="0"/>
    </xf>
    <xf borderId="0" fillId="0" fontId="63" numFmtId="167" xfId="0" applyAlignment="1" applyFont="1" applyNumberFormat="1">
      <alignment readingOrder="0" vertical="bottom"/>
    </xf>
    <xf borderId="1" fillId="107" fontId="8" numFmtId="167" xfId="0" applyAlignment="1" applyBorder="1" applyFont="1" applyNumberFormat="1">
      <alignment horizontal="left" vertical="bottom"/>
    </xf>
    <xf borderId="0" fillId="0" fontId="1" numFmtId="0" xfId="0" applyAlignment="1" applyFont="1">
      <alignment horizontal="right"/>
    </xf>
    <xf borderId="0" fillId="0" fontId="8" numFmtId="4" xfId="0" applyAlignment="1" applyFont="1" applyNumberFormat="1">
      <alignment horizontal="right" vertical="bottom"/>
    </xf>
    <xf borderId="0" fillId="0" fontId="71" numFmtId="167" xfId="0" applyAlignment="1" applyFont="1" applyNumberFormat="1">
      <alignment horizontal="right" readingOrder="0" vertical="bottom"/>
    </xf>
    <xf borderId="1" fillId="18" fontId="8" numFmtId="0" xfId="0" applyAlignment="1" applyBorder="1" applyFont="1">
      <alignment readingOrder="0" vertical="bottom"/>
    </xf>
    <xf borderId="1" fillId="173" fontId="3" numFmtId="0" xfId="0" applyAlignment="1" applyBorder="1" applyFill="1" applyFont="1">
      <alignment readingOrder="0" vertical="bottom"/>
    </xf>
    <xf borderId="1" fillId="16" fontId="8" numFmtId="0" xfId="0" applyAlignment="1" applyBorder="1" applyFont="1">
      <alignment readingOrder="0" vertical="bottom"/>
    </xf>
    <xf borderId="1" fillId="19" fontId="8" numFmtId="0" xfId="0" applyAlignment="1" applyBorder="1" applyFont="1">
      <alignment readingOrder="0" vertical="bottom"/>
    </xf>
    <xf borderId="0" fillId="19" fontId="8" numFmtId="1" xfId="0" applyAlignment="1" applyFont="1" applyNumberFormat="1">
      <alignment horizontal="right" vertical="bottom"/>
    </xf>
    <xf borderId="1" fillId="16" fontId="8" numFmtId="0" xfId="0" applyAlignment="1" applyBorder="1" applyFont="1">
      <alignment vertical="bottom"/>
    </xf>
    <xf borderId="1" fillId="9" fontId="8" numFmtId="0" xfId="0" applyAlignment="1" applyBorder="1" applyFont="1">
      <alignment readingOrder="0" vertical="bottom"/>
    </xf>
    <xf borderId="0" fillId="9" fontId="8" numFmtId="0" xfId="0" applyAlignment="1" applyFont="1">
      <alignment vertical="bottom"/>
    </xf>
    <xf borderId="2" fillId="9" fontId="8" numFmtId="0" xfId="0" applyAlignment="1" applyBorder="1" applyFont="1">
      <alignment vertical="bottom"/>
    </xf>
    <xf borderId="1" fillId="13" fontId="8" numFmtId="0" xfId="0" applyAlignment="1" applyBorder="1" applyFont="1">
      <alignment readingOrder="0" vertical="bottom"/>
    </xf>
    <xf borderId="1" fillId="19" fontId="8" numFmtId="1" xfId="0" applyAlignment="1" applyBorder="1" applyFont="1" applyNumberFormat="1">
      <alignment horizontal="left" vertical="bottom"/>
    </xf>
    <xf borderId="0" fillId="19" fontId="8" numFmtId="1" xfId="0" applyAlignment="1" applyFont="1" applyNumberFormat="1">
      <alignment horizontal="right" readingOrder="0" vertical="bottom"/>
    </xf>
    <xf borderId="1" fillId="100" fontId="8" numFmtId="0" xfId="0" applyAlignment="1" applyBorder="1" applyFont="1">
      <alignment readingOrder="0" vertical="bottom"/>
    </xf>
    <xf borderId="0" fillId="2" fontId="8" numFmtId="1" xfId="0" applyAlignment="1" applyFont="1" applyNumberFormat="1">
      <alignment vertical="bottom"/>
    </xf>
    <xf borderId="2" fillId="0" fontId="1" numFmtId="0" xfId="0" applyBorder="1" applyFont="1"/>
    <xf borderId="2" fillId="19" fontId="8" numFmtId="1" xfId="0" applyAlignment="1" applyBorder="1" applyFont="1" applyNumberFormat="1">
      <alignment horizontal="right" vertical="bottom"/>
    </xf>
    <xf borderId="0" fillId="0" fontId="2" numFmtId="177" xfId="0" applyAlignment="1" applyFont="1" applyNumberFormat="1">
      <alignment horizontal="right" vertical="bottom"/>
    </xf>
    <xf borderId="1" fillId="19" fontId="8" numFmtId="1" xfId="0" applyAlignment="1" applyBorder="1" applyFont="1" applyNumberFormat="1">
      <alignment horizontal="left" readingOrder="0" vertical="bottom"/>
    </xf>
    <xf borderId="0" fillId="19" fontId="8" numFmtId="167" xfId="0" applyAlignment="1" applyFont="1" applyNumberFormat="1">
      <alignment horizontal="right" vertical="bottom"/>
    </xf>
    <xf borderId="0" fillId="13" fontId="71" numFmtId="167" xfId="0" applyAlignment="1" applyFont="1" applyNumberFormat="1">
      <alignment readingOrder="0" vertical="bottom"/>
    </xf>
    <xf borderId="0" fillId="0" fontId="63" numFmtId="167" xfId="0" applyAlignment="1" applyFont="1" applyNumberFormat="1">
      <alignment horizontal="right" readingOrder="0"/>
    </xf>
    <xf borderId="0" fillId="7" fontId="1" numFmtId="0" xfId="0" applyFont="1"/>
    <xf borderId="0" fillId="19" fontId="8" numFmtId="167" xfId="0" applyAlignment="1" applyFont="1" applyNumberFormat="1">
      <alignment horizontal="right" readingOrder="0" vertical="bottom"/>
    </xf>
    <xf borderId="0" fillId="7" fontId="1" numFmtId="0" xfId="0" applyAlignment="1" applyFont="1">
      <alignment horizontal="right" readingOrder="0"/>
    </xf>
    <xf borderId="0" fillId="7" fontId="1" numFmtId="0" xfId="0" applyAlignment="1" applyFont="1">
      <alignment horizontal="right"/>
    </xf>
    <xf borderId="2" fillId="19" fontId="8" numFmtId="1" xfId="0" applyAlignment="1" applyBorder="1" applyFont="1" applyNumberFormat="1">
      <alignment readingOrder="0" vertical="bottom"/>
    </xf>
    <xf borderId="0" fillId="0" fontId="63" numFmtId="0" xfId="0" applyFont="1"/>
    <xf borderId="0" fillId="19" fontId="63" numFmtId="0" xfId="0" applyFont="1"/>
    <xf borderId="1" fillId="0" fontId="1" numFmtId="0" xfId="0" applyAlignment="1" applyBorder="1" applyFont="1">
      <alignment readingOrder="0"/>
    </xf>
    <xf borderId="0" fillId="0" fontId="1" numFmtId="180" xfId="0" applyFont="1" applyNumberFormat="1"/>
    <xf borderId="1" fillId="14" fontId="8" numFmtId="0" xfId="0" applyAlignment="1" applyBorder="1" applyFont="1">
      <alignment readingOrder="0" vertical="bottom"/>
    </xf>
    <xf borderId="1" fillId="174" fontId="8" numFmtId="0" xfId="0" applyAlignment="1" applyBorder="1" applyFill="1" applyFont="1">
      <alignment readingOrder="0" vertical="bottom"/>
    </xf>
    <xf borderId="0" fillId="174" fontId="8" numFmtId="1" xfId="0" applyAlignment="1" applyFont="1" applyNumberFormat="1">
      <alignment horizontal="right" vertical="bottom"/>
    </xf>
    <xf borderId="0" fillId="0" fontId="74" numFmtId="167" xfId="0" applyAlignment="1" applyFont="1" applyNumberFormat="1">
      <alignment horizontal="right" readingOrder="0"/>
    </xf>
    <xf borderId="1" fillId="174" fontId="8" numFmtId="1" xfId="0" applyAlignment="1" applyBorder="1" applyFont="1" applyNumberFormat="1">
      <alignment horizontal="left" vertical="bottom"/>
    </xf>
    <xf borderId="2" fillId="174" fontId="8" numFmtId="1" xfId="0" applyAlignment="1" applyBorder="1" applyFont="1" applyNumberFormat="1">
      <alignment horizontal="right" vertical="bottom"/>
    </xf>
    <xf borderId="0" fillId="175" fontId="8" numFmtId="177" xfId="0" applyAlignment="1" applyFill="1" applyFont="1" applyNumberFormat="1">
      <alignment horizontal="right" vertical="bottom"/>
    </xf>
    <xf borderId="0" fillId="176" fontId="8" numFmtId="177" xfId="0" applyAlignment="1" applyFill="1" applyFont="1" applyNumberFormat="1">
      <alignment horizontal="right" vertical="bottom"/>
    </xf>
    <xf borderId="0" fillId="177" fontId="8" numFmtId="177" xfId="0" applyAlignment="1" applyFill="1" applyFont="1" applyNumberFormat="1">
      <alignment horizontal="right" vertical="bottom"/>
    </xf>
    <xf borderId="0" fillId="178" fontId="8" numFmtId="177" xfId="0" applyAlignment="1" applyFill="1" applyFont="1" applyNumberFormat="1">
      <alignment horizontal="right" vertical="bottom"/>
    </xf>
    <xf borderId="0" fillId="179" fontId="8" numFmtId="177" xfId="0" applyAlignment="1" applyFill="1" applyFont="1" applyNumberFormat="1">
      <alignment horizontal="right" vertical="bottom"/>
    </xf>
    <xf borderId="0" fillId="180" fontId="8" numFmtId="177" xfId="0" applyAlignment="1" applyFill="1" applyFont="1" applyNumberFormat="1">
      <alignment horizontal="right" vertical="bottom"/>
    </xf>
    <xf borderId="0" fillId="181" fontId="8" numFmtId="177" xfId="0" applyAlignment="1" applyFill="1" applyFont="1" applyNumberFormat="1">
      <alignment horizontal="right" vertical="bottom"/>
    </xf>
    <xf borderId="0" fillId="182" fontId="8" numFmtId="177" xfId="0" applyAlignment="1" applyFill="1" applyFont="1" applyNumberFormat="1">
      <alignment horizontal="right" vertical="bottom"/>
    </xf>
    <xf borderId="0" fillId="183" fontId="8" numFmtId="177" xfId="0" applyAlignment="1" applyFill="1" applyFont="1" applyNumberFormat="1">
      <alignment horizontal="right" vertical="bottom"/>
    </xf>
    <xf borderId="0" fillId="184" fontId="8" numFmtId="177" xfId="0" applyAlignment="1" applyFill="1" applyFont="1" applyNumberFormat="1">
      <alignment horizontal="right" vertical="bottom"/>
    </xf>
    <xf borderId="0" fillId="185" fontId="8" numFmtId="177" xfId="0" applyAlignment="1" applyFill="1" applyFont="1" applyNumberFormat="1">
      <alignment horizontal="right" vertical="bottom"/>
    </xf>
    <xf borderId="0" fillId="186" fontId="8" numFmtId="177" xfId="0" applyAlignment="1" applyFill="1" applyFont="1" applyNumberFormat="1">
      <alignment horizontal="right" vertical="bottom"/>
    </xf>
    <xf borderId="0" fillId="187" fontId="8" numFmtId="177" xfId="0" applyAlignment="1" applyFill="1" applyFont="1" applyNumberFormat="1">
      <alignment horizontal="right" vertical="bottom"/>
    </xf>
    <xf borderId="0" fillId="188" fontId="8" numFmtId="177" xfId="0" applyAlignment="1" applyFill="1" applyFont="1" applyNumberFormat="1">
      <alignment horizontal="right" vertical="bottom"/>
    </xf>
    <xf borderId="0" fillId="189" fontId="8" numFmtId="177" xfId="0" applyAlignment="1" applyFill="1" applyFont="1" applyNumberFormat="1">
      <alignment horizontal="right" vertical="bottom"/>
    </xf>
    <xf borderId="0" fillId="190" fontId="8" numFmtId="177" xfId="0" applyAlignment="1" applyFill="1" applyFont="1" applyNumberFormat="1">
      <alignment horizontal="right" vertical="bottom"/>
    </xf>
    <xf borderId="0" fillId="191" fontId="8" numFmtId="177" xfId="0" applyAlignment="1" applyFill="1" applyFont="1" applyNumberFormat="1">
      <alignment horizontal="right" vertical="bottom"/>
    </xf>
    <xf borderId="0" fillId="192" fontId="8" numFmtId="177" xfId="0" applyAlignment="1" applyFill="1" applyFont="1" applyNumberFormat="1">
      <alignment horizontal="right" vertical="bottom"/>
    </xf>
    <xf borderId="1" fillId="5" fontId="52" numFmtId="0" xfId="0" applyAlignment="1" applyBorder="1" applyFont="1">
      <alignment horizontal="center" readingOrder="0" shrinkToFit="0" vertical="center" wrapText="0"/>
    </xf>
    <xf borderId="3" fillId="193" fontId="30" numFmtId="0" xfId="0" applyAlignment="1" applyBorder="1" applyFill="1" applyFont="1">
      <alignment horizontal="center" readingOrder="0"/>
    </xf>
    <xf borderId="3" fillId="164" fontId="30" numFmtId="0" xfId="0" applyAlignment="1" applyBorder="1" applyFont="1">
      <alignment horizontal="center" readingOrder="0"/>
    </xf>
    <xf borderId="0" fillId="0" fontId="1" numFmtId="0" xfId="0" applyAlignment="1" applyFont="1">
      <alignment readingOrder="0" vertical="center"/>
    </xf>
    <xf borderId="0" fillId="0" fontId="1" numFmtId="10" xfId="0" applyAlignment="1" applyFont="1" applyNumberFormat="1">
      <alignment horizontal="center" vertical="center"/>
    </xf>
    <xf borderId="3" fillId="16" fontId="30" numFmtId="0" xfId="0" applyAlignment="1" applyBorder="1" applyFont="1">
      <alignment horizontal="center" readingOrder="0"/>
    </xf>
    <xf borderId="1" fillId="14" fontId="30" numFmtId="0" xfId="0" applyAlignment="1" applyBorder="1" applyFont="1">
      <alignment horizontal="center" readingOrder="0" vertical="center"/>
    </xf>
    <xf borderId="1" fillId="14" fontId="42" numFmtId="0" xfId="0" applyAlignment="1" applyBorder="1" applyFont="1">
      <alignment readingOrder="0" shrinkToFit="0" vertical="bottom" wrapText="0"/>
    </xf>
    <xf borderId="3" fillId="14" fontId="30" numFmtId="0" xfId="0" applyAlignment="1" applyBorder="1" applyFont="1">
      <alignment horizontal="center" readingOrder="0"/>
    </xf>
    <xf borderId="4" fillId="14" fontId="30" numFmtId="0" xfId="0" applyAlignment="1" applyBorder="1" applyFont="1">
      <alignment horizontal="center" readingOrder="0"/>
    </xf>
    <xf borderId="36" fillId="5" fontId="42" numFmtId="0" xfId="0" applyAlignment="1" applyBorder="1" applyFont="1">
      <alignment readingOrder="0" shrinkToFit="0" vertical="bottom" wrapText="0"/>
    </xf>
    <xf borderId="0" fillId="5" fontId="1" numFmtId="167" xfId="0" applyAlignment="1" applyFont="1" applyNumberFormat="1">
      <alignment horizontal="center" readingOrder="0"/>
    </xf>
    <xf borderId="1" fillId="164" fontId="1" numFmtId="10" xfId="0" applyAlignment="1" applyBorder="1" applyFont="1" applyNumberFormat="1">
      <alignment horizontal="center" vertical="center"/>
    </xf>
    <xf borderId="0" fillId="164" fontId="1" numFmtId="167" xfId="0" applyAlignment="1" applyFont="1" applyNumberFormat="1">
      <alignment horizontal="center" readingOrder="0"/>
    </xf>
    <xf borderId="0" fillId="164" fontId="1" numFmtId="10" xfId="0" applyAlignment="1" applyFont="1" applyNumberFormat="1">
      <alignment horizontal="center"/>
    </xf>
    <xf borderId="1" fillId="164" fontId="1" numFmtId="167" xfId="0" applyAlignment="1" applyBorder="1" applyFont="1" applyNumberFormat="1">
      <alignment horizontal="center"/>
    </xf>
    <xf borderId="1" fillId="164" fontId="1" numFmtId="10" xfId="0" applyAlignment="1" applyBorder="1" applyFont="1" applyNumberFormat="1">
      <alignment horizontal="center"/>
    </xf>
    <xf borderId="37" fillId="5" fontId="75" numFmtId="0" xfId="0" applyAlignment="1" applyBorder="1" applyFont="1">
      <alignment readingOrder="0" shrinkToFit="0" vertical="bottom" wrapText="0"/>
    </xf>
    <xf borderId="0" fillId="5" fontId="1" numFmtId="167" xfId="0" applyAlignment="1" applyFont="1" applyNumberFormat="1">
      <alignment horizontal="center"/>
    </xf>
    <xf borderId="0" fillId="164" fontId="1" numFmtId="167" xfId="0" applyAlignment="1" applyFont="1" applyNumberFormat="1">
      <alignment horizontal="center"/>
    </xf>
    <xf borderId="1" fillId="5" fontId="76" numFmtId="0" xfId="0" applyAlignment="1" applyBorder="1" applyFont="1">
      <alignment readingOrder="0" shrinkToFit="0" vertical="bottom" wrapText="0"/>
    </xf>
    <xf borderId="1" fillId="164" fontId="30" numFmtId="10" xfId="0" applyAlignment="1" applyBorder="1" applyFont="1" applyNumberFormat="1">
      <alignment horizontal="center"/>
    </xf>
    <xf borderId="38" fillId="5" fontId="76" numFmtId="0" xfId="0" applyAlignment="1" applyBorder="1" applyFont="1">
      <alignment readingOrder="0" shrinkToFit="0" vertical="bottom" wrapText="0"/>
    </xf>
    <xf borderId="3" fillId="5" fontId="1" numFmtId="167" xfId="0" applyAlignment="1" applyBorder="1" applyFont="1" applyNumberFormat="1">
      <alignment horizontal="center" readingOrder="0"/>
    </xf>
    <xf borderId="4" fillId="164" fontId="1" numFmtId="10" xfId="0" applyAlignment="1" applyBorder="1" applyFont="1" applyNumberFormat="1">
      <alignment horizontal="center"/>
    </xf>
    <xf borderId="3" fillId="164" fontId="1" numFmtId="167" xfId="0" applyAlignment="1" applyBorder="1" applyFont="1" applyNumberFormat="1">
      <alignment horizontal="center" readingOrder="0"/>
    </xf>
    <xf borderId="3" fillId="164" fontId="1" numFmtId="10" xfId="0" applyAlignment="1" applyBorder="1" applyFont="1" applyNumberFormat="1">
      <alignment horizontal="center"/>
    </xf>
    <xf borderId="4" fillId="164" fontId="1" numFmtId="167" xfId="0" applyAlignment="1" applyBorder="1" applyFont="1" applyNumberFormat="1">
      <alignment horizontal="center"/>
    </xf>
    <xf borderId="1" fillId="193" fontId="15" numFmtId="0" xfId="0" applyAlignment="1" applyBorder="1" applyFont="1">
      <alignment readingOrder="0" vertical="bottom"/>
    </xf>
    <xf borderId="37" fillId="5" fontId="77" numFmtId="0" xfId="0" applyAlignment="1" applyBorder="1" applyFont="1">
      <alignment readingOrder="0" shrinkToFit="0" vertical="bottom" wrapText="0"/>
    </xf>
    <xf borderId="39" fillId="5" fontId="78" numFmtId="0" xfId="0" applyAlignment="1" applyBorder="1" applyFont="1">
      <alignment readingOrder="0" shrinkToFit="0" vertical="bottom" wrapText="0"/>
    </xf>
    <xf borderId="1" fillId="193" fontId="8" numFmtId="0" xfId="0" applyAlignment="1" applyBorder="1" applyFont="1">
      <alignment readingOrder="0" vertical="bottom"/>
    </xf>
    <xf borderId="0" fillId="164" fontId="30" numFmtId="167" xfId="0" applyAlignment="1" applyFont="1" applyNumberFormat="1">
      <alignment horizontal="center" readingOrder="0"/>
    </xf>
    <xf borderId="39" fillId="5" fontId="79" numFmtId="0" xfId="0" applyAlignment="1" applyBorder="1" applyFont="1">
      <alignment readingOrder="0" shrinkToFit="0" vertical="bottom" wrapText="0"/>
    </xf>
    <xf borderId="39" fillId="5" fontId="80" numFmtId="0" xfId="0" applyAlignment="1" applyBorder="1" applyFont="1">
      <alignment readingOrder="0" shrinkToFit="0" vertical="bottom" wrapText="0"/>
    </xf>
    <xf borderId="37" fillId="14" fontId="39" numFmtId="0" xfId="0" applyAlignment="1" applyBorder="1" applyFont="1">
      <alignment readingOrder="0" shrinkToFit="0" vertical="bottom" wrapText="0"/>
    </xf>
    <xf borderId="3" fillId="14" fontId="1" numFmtId="167" xfId="0" applyAlignment="1" applyBorder="1" applyFont="1" applyNumberFormat="1">
      <alignment horizontal="center"/>
    </xf>
    <xf borderId="4" fillId="14" fontId="1" numFmtId="10" xfId="0" applyAlignment="1" applyBorder="1" applyFont="1" applyNumberFormat="1">
      <alignment horizontal="center"/>
    </xf>
    <xf borderId="3" fillId="14" fontId="1" numFmtId="10" xfId="0" applyAlignment="1" applyBorder="1" applyFont="1" applyNumberFormat="1">
      <alignment horizontal="center"/>
    </xf>
    <xf borderId="4" fillId="14" fontId="1" numFmtId="167" xfId="0" applyAlignment="1" applyBorder="1" applyFont="1" applyNumberFormat="1">
      <alignment horizontal="center"/>
    </xf>
    <xf borderId="36" fillId="5" fontId="81" numFmtId="0" xfId="0" applyAlignment="1" applyBorder="1" applyFont="1">
      <alignment readingOrder="0" shrinkToFit="0" vertical="bottom" wrapText="0"/>
    </xf>
    <xf borderId="0" fillId="5" fontId="1" numFmtId="3" xfId="0" applyAlignment="1" applyFont="1" applyNumberFormat="1">
      <alignment horizontal="center" readingOrder="0"/>
    </xf>
    <xf borderId="1" fillId="0" fontId="4" numFmtId="0" xfId="0" applyBorder="1" applyFont="1"/>
    <xf borderId="0" fillId="164" fontId="1" numFmtId="3" xfId="0" applyAlignment="1" applyFont="1" applyNumberFormat="1">
      <alignment horizontal="center" readingOrder="0"/>
    </xf>
    <xf borderId="39" fillId="5" fontId="81" numFmtId="0" xfId="0" applyAlignment="1" applyBorder="1" applyFont="1">
      <alignment readingOrder="0" shrinkToFit="0" vertical="bottom" wrapText="0"/>
    </xf>
    <xf borderId="0" fillId="164" fontId="1" numFmtId="3" xfId="0" applyAlignment="1" applyFont="1" applyNumberFormat="1">
      <alignment horizontal="center"/>
    </xf>
    <xf borderId="1" fillId="164" fontId="1" numFmtId="3" xfId="0" applyAlignment="1" applyBorder="1" applyFont="1" applyNumberFormat="1">
      <alignment horizontal="center"/>
    </xf>
    <xf borderId="40" fillId="5" fontId="81" numFmtId="0" xfId="0" applyAlignment="1" applyBorder="1" applyFont="1">
      <alignment readingOrder="0" shrinkToFit="0" vertical="bottom" wrapText="0"/>
    </xf>
    <xf borderId="2" fillId="164" fontId="1" numFmtId="167" xfId="0" applyAlignment="1" applyBorder="1" applyFont="1" applyNumberFormat="1">
      <alignment horizontal="center"/>
    </xf>
    <xf borderId="0" fillId="164" fontId="27" numFmtId="167" xfId="0" applyAlignment="1" applyFont="1" applyNumberFormat="1">
      <alignment horizontal="center"/>
    </xf>
    <xf borderId="37" fillId="5" fontId="81" numFmtId="0" xfId="0" applyAlignment="1" applyBorder="1" applyFont="1">
      <alignment readingOrder="0" shrinkToFit="0" vertical="bottom" wrapText="0"/>
    </xf>
    <xf borderId="41" fillId="5" fontId="81" numFmtId="0" xfId="0" applyAlignment="1" applyBorder="1" applyFont="1">
      <alignment readingOrder="0" shrinkToFit="0" vertical="bottom" wrapText="0"/>
    </xf>
    <xf borderId="3" fillId="164" fontId="1" numFmtId="167" xfId="0" applyAlignment="1" applyBorder="1" applyFont="1" applyNumberFormat="1">
      <alignment horizontal="center"/>
    </xf>
    <xf borderId="3" fillId="164" fontId="27" numFmtId="167" xfId="0" applyAlignment="1" applyBorder="1" applyFont="1" applyNumberFormat="1">
      <alignment horizontal="center"/>
    </xf>
    <xf borderId="0" fillId="2" fontId="2" numFmtId="177" xfId="0" applyAlignment="1" applyFont="1" applyNumberFormat="1">
      <alignment vertical="bottom"/>
    </xf>
    <xf borderId="0" fillId="0" fontId="82" numFmtId="0" xfId="0" applyAlignment="1" applyFont="1">
      <alignment horizontal="left" readingOrder="0"/>
    </xf>
    <xf borderId="0" fillId="0" fontId="30" numFmtId="0" xfId="0" applyAlignment="1" applyFont="1">
      <alignment horizontal="left" readingOrder="0"/>
    </xf>
    <xf borderId="0" fillId="0" fontId="8" numFmtId="177" xfId="0" applyAlignment="1" applyFont="1" applyNumberFormat="1">
      <alignment horizontal="right" readingOrder="0" vertical="bottom"/>
    </xf>
    <xf borderId="0" fillId="0" fontId="2" numFmtId="177" xfId="0" applyAlignment="1" applyFont="1" applyNumberFormat="1">
      <alignment readingOrder="0" vertical="bottom"/>
    </xf>
    <xf borderId="0" fillId="0" fontId="1" numFmtId="167" xfId="0" applyAlignment="1" applyFont="1" applyNumberFormat="1">
      <alignment horizontal="left" readingOrder="0"/>
    </xf>
    <xf borderId="0" fillId="0" fontId="83" numFmtId="0" xfId="0" applyAlignment="1" applyFont="1">
      <alignment horizontal="center" readingOrder="0"/>
    </xf>
    <xf borderId="1" fillId="101" fontId="15" numFmtId="0" xfId="0" applyAlignment="1" applyBorder="1" applyFont="1">
      <alignment readingOrder="0" vertical="bottom"/>
    </xf>
    <xf borderId="0" fillId="0" fontId="8" numFmtId="180" xfId="0" applyAlignment="1" applyFont="1" applyNumberFormat="1">
      <alignment horizontal="right" readingOrder="0" vertical="bottom"/>
    </xf>
    <xf borderId="0" fillId="0" fontId="30" numFmtId="0" xfId="0" applyAlignment="1" applyFont="1">
      <alignment horizontal="center" readingOrder="0"/>
    </xf>
    <xf borderId="7" fillId="0" fontId="83" numFmtId="0" xfId="0" applyAlignment="1" applyBorder="1" applyFont="1">
      <alignment horizontal="center" readingOrder="0"/>
    </xf>
    <xf borderId="7" fillId="0" fontId="1" numFmtId="0" xfId="0" applyAlignment="1" applyBorder="1" applyFont="1">
      <alignment readingOrder="0"/>
    </xf>
    <xf borderId="10" fillId="0" fontId="30" numFmtId="0" xfId="0" applyAlignment="1" applyBorder="1" applyFont="1">
      <alignment horizontal="center" readingOrder="0"/>
    </xf>
    <xf borderId="0" fillId="0" fontId="2" numFmtId="180" xfId="0" applyAlignment="1" applyFont="1" applyNumberFormat="1">
      <alignment readingOrder="0" vertical="bottom"/>
    </xf>
    <xf borderId="0" fillId="165" fontId="84" numFmtId="0" xfId="0" applyAlignment="1" applyFont="1">
      <alignment horizontal="center" readingOrder="0" vertical="center"/>
    </xf>
    <xf borderId="25" fillId="0" fontId="85" numFmtId="0" xfId="0" applyAlignment="1" applyBorder="1" applyFont="1">
      <alignment readingOrder="0" shrinkToFit="0" vertical="bottom" wrapText="0"/>
    </xf>
    <xf borderId="0" fillId="194" fontId="8" numFmtId="177" xfId="0" applyAlignment="1" applyFill="1" applyFont="1" applyNumberFormat="1">
      <alignment horizontal="right" vertical="bottom"/>
    </xf>
    <xf borderId="0" fillId="195" fontId="8" numFmtId="177" xfId="0" applyAlignment="1" applyFill="1" applyFont="1" applyNumberFormat="1">
      <alignment horizontal="right" vertical="bottom"/>
    </xf>
    <xf borderId="6" fillId="0" fontId="85" numFmtId="0" xfId="0" applyAlignment="1" applyBorder="1" applyFont="1">
      <alignment readingOrder="0" shrinkToFit="0" vertical="bottom" wrapText="0"/>
    </xf>
    <xf borderId="0" fillId="196" fontId="8" numFmtId="177" xfId="0" applyAlignment="1" applyFill="1" applyFont="1" applyNumberFormat="1">
      <alignment horizontal="right" vertical="bottom"/>
    </xf>
    <xf borderId="0" fillId="197" fontId="8" numFmtId="177" xfId="0" applyAlignment="1" applyFill="1" applyFont="1" applyNumberFormat="1">
      <alignment horizontal="right" vertical="bottom"/>
    </xf>
    <xf borderId="0" fillId="198" fontId="8" numFmtId="177" xfId="0" applyAlignment="1" applyFill="1" applyFont="1" applyNumberFormat="1">
      <alignment horizontal="right" vertical="bottom"/>
    </xf>
    <xf borderId="0" fillId="199" fontId="8" numFmtId="177" xfId="0" applyAlignment="1" applyFill="1" applyFont="1" applyNumberFormat="1">
      <alignment horizontal="right" vertical="bottom"/>
    </xf>
    <xf borderId="0" fillId="200" fontId="8" numFmtId="177" xfId="0" applyAlignment="1" applyFill="1" applyFont="1" applyNumberFormat="1">
      <alignment horizontal="right" vertical="bottom"/>
    </xf>
    <xf borderId="0" fillId="0" fontId="1" numFmtId="10" xfId="0" applyAlignment="1" applyFont="1" applyNumberFormat="1">
      <alignment horizontal="center" readingOrder="0"/>
    </xf>
    <xf borderId="0" fillId="201" fontId="8" numFmtId="177" xfId="0" applyAlignment="1" applyFill="1" applyFont="1" applyNumberFormat="1">
      <alignment horizontal="right" vertical="bottom"/>
    </xf>
    <xf borderId="0" fillId="202" fontId="8" numFmtId="177" xfId="0" applyAlignment="1" applyFill="1" applyFont="1" applyNumberFormat="1">
      <alignment horizontal="right" vertical="bottom"/>
    </xf>
    <xf borderId="0" fillId="203" fontId="8" numFmtId="177" xfId="0" applyAlignment="1" applyFill="1" applyFont="1" applyNumberFormat="1">
      <alignment horizontal="right" vertical="bottom"/>
    </xf>
    <xf borderId="0" fillId="204" fontId="8" numFmtId="177" xfId="0" applyAlignment="1" applyFill="1" applyFont="1" applyNumberFormat="1">
      <alignment horizontal="right" vertical="bottom"/>
    </xf>
    <xf borderId="6" fillId="205" fontId="46" numFmtId="0" xfId="0" applyAlignment="1" applyBorder="1" applyFill="1" applyFont="1">
      <alignment readingOrder="0" shrinkToFit="0" vertical="bottom" wrapText="0"/>
    </xf>
    <xf borderId="0" fillId="0" fontId="1" numFmtId="167" xfId="0" applyAlignment="1" applyFont="1" applyNumberFormat="1">
      <alignment horizontal="center" readingOrder="0"/>
    </xf>
    <xf borderId="3" fillId="0" fontId="1" numFmtId="0" xfId="0" applyAlignment="1" applyBorder="1" applyFont="1">
      <alignment horizontal="center" readingOrder="0"/>
    </xf>
    <xf borderId="3" fillId="0" fontId="1" numFmtId="0" xfId="0" applyAlignment="1" applyBorder="1" applyFont="1">
      <alignment horizontal="center"/>
    </xf>
    <xf borderId="0" fillId="0" fontId="8" numFmtId="180" xfId="0" applyAlignment="1" applyFont="1" applyNumberFormat="1">
      <alignment vertical="bottom"/>
    </xf>
    <xf borderId="23" fillId="0" fontId="2" numFmtId="0" xfId="0" applyAlignment="1" applyBorder="1" applyFont="1">
      <alignment vertical="bottom"/>
    </xf>
    <xf borderId="24" fillId="4" fontId="10" numFmtId="177" xfId="0" applyAlignment="1" applyBorder="1" applyFont="1" applyNumberFormat="1">
      <alignment horizontal="right" vertical="bottom"/>
    </xf>
    <xf borderId="2" fillId="0" fontId="10" numFmtId="177" xfId="0" applyAlignment="1" applyBorder="1" applyFont="1" applyNumberFormat="1">
      <alignment horizontal="right" readingOrder="0" vertical="bottom"/>
    </xf>
    <xf borderId="1" fillId="206" fontId="8" numFmtId="0" xfId="0" applyAlignment="1" applyBorder="1" applyFill="1" applyFont="1">
      <alignment readingOrder="0" vertical="bottom"/>
    </xf>
    <xf borderId="0" fillId="133" fontId="8" numFmtId="0" xfId="0" applyAlignment="1" applyFont="1">
      <alignment vertical="bottom"/>
    </xf>
    <xf borderId="0" fillId="0" fontId="1" numFmtId="167" xfId="0" applyAlignment="1" applyFont="1" applyNumberFormat="1">
      <alignment horizontal="center"/>
    </xf>
    <xf borderId="0" fillId="207" fontId="8" numFmtId="177" xfId="0" applyAlignment="1" applyFill="1" applyFont="1" applyNumberFormat="1">
      <alignment horizontal="right" vertical="bottom"/>
    </xf>
    <xf borderId="0" fillId="208" fontId="8" numFmtId="177" xfId="0" applyAlignment="1" applyFill="1" applyFont="1" applyNumberFormat="1">
      <alignment horizontal="right" vertical="bottom"/>
    </xf>
    <xf borderId="0" fillId="209" fontId="8" numFmtId="177" xfId="0" applyAlignment="1" applyFill="1" applyFont="1" applyNumberFormat="1">
      <alignment horizontal="right" vertical="bottom"/>
    </xf>
    <xf borderId="3" fillId="0" fontId="1" numFmtId="0" xfId="0" applyBorder="1" applyFont="1"/>
    <xf borderId="0" fillId="210" fontId="8" numFmtId="177" xfId="0" applyAlignment="1" applyFill="1" applyFont="1" applyNumberFormat="1">
      <alignment horizontal="right" vertical="bottom"/>
    </xf>
    <xf borderId="0" fillId="211" fontId="8" numFmtId="177" xfId="0" applyAlignment="1" applyFill="1" applyFont="1" applyNumberFormat="1">
      <alignment horizontal="right" vertical="bottom"/>
    </xf>
    <xf borderId="0" fillId="212" fontId="8" numFmtId="177" xfId="0" applyAlignment="1" applyFill="1" applyFont="1" applyNumberFormat="1">
      <alignment horizontal="right" vertical="bottom"/>
    </xf>
    <xf borderId="0" fillId="79" fontId="8" numFmtId="177" xfId="0" applyAlignment="1" applyFont="1" applyNumberFormat="1">
      <alignment horizontal="right" vertical="bottom"/>
    </xf>
    <xf borderId="0" fillId="213" fontId="8" numFmtId="177" xfId="0" applyAlignment="1" applyFill="1" applyFont="1" applyNumberFormat="1">
      <alignment horizontal="right" vertical="bottom"/>
    </xf>
    <xf borderId="0" fillId="155" fontId="8" numFmtId="177" xfId="0" applyAlignment="1" applyFont="1" applyNumberFormat="1">
      <alignment horizontal="right" vertical="bottom"/>
    </xf>
    <xf borderId="0" fillId="214" fontId="8" numFmtId="177" xfId="0" applyAlignment="1" applyFill="1" applyFont="1" applyNumberFormat="1">
      <alignment horizontal="right" vertical="bottom"/>
    </xf>
    <xf borderId="0" fillId="215" fontId="8" numFmtId="177" xfId="0" applyAlignment="1" applyFill="1" applyFont="1" applyNumberFormat="1">
      <alignment horizontal="right" vertical="bottom"/>
    </xf>
    <xf borderId="0" fillId="165" fontId="84" numFmtId="0" xfId="0" applyAlignment="1" applyFont="1">
      <alignment horizontal="center" vertical="center"/>
    </xf>
    <xf borderId="0" fillId="216" fontId="8" numFmtId="177" xfId="0" applyAlignment="1" applyFill="1" applyFont="1" applyNumberFormat="1">
      <alignment horizontal="right" vertical="bottom"/>
    </xf>
    <xf borderId="0" fillId="217" fontId="8" numFmtId="177" xfId="0" applyAlignment="1" applyFill="1" applyFont="1" applyNumberFormat="1">
      <alignment horizontal="right" vertical="bottom"/>
    </xf>
    <xf borderId="0" fillId="218" fontId="8" numFmtId="177" xfId="0" applyAlignment="1" applyFill="1" applyFont="1" applyNumberFormat="1">
      <alignment horizontal="right" vertical="bottom"/>
    </xf>
    <xf borderId="0" fillId="57" fontId="8" numFmtId="177" xfId="0" applyAlignment="1" applyFont="1" applyNumberFormat="1">
      <alignment horizontal="right" vertical="bottom"/>
    </xf>
    <xf borderId="0" fillId="219" fontId="8" numFmtId="177" xfId="0" applyAlignment="1" applyFill="1" applyFont="1" applyNumberFormat="1">
      <alignment horizontal="right" vertical="bottom"/>
    </xf>
    <xf borderId="0" fillId="220" fontId="8" numFmtId="177" xfId="0" applyAlignment="1" applyFill="1" applyFont="1" applyNumberFormat="1">
      <alignment horizontal="right" vertical="bottom"/>
    </xf>
    <xf borderId="0" fillId="221" fontId="8" numFmtId="177" xfId="0" applyAlignment="1" applyFill="1" applyFont="1" applyNumberFormat="1">
      <alignment horizontal="right" vertical="bottom"/>
    </xf>
    <xf borderId="0" fillId="222" fontId="8" numFmtId="177" xfId="0" applyAlignment="1" applyFill="1" applyFont="1" applyNumberFormat="1">
      <alignment horizontal="right" vertical="bottom"/>
    </xf>
    <xf borderId="0" fillId="223" fontId="8" numFmtId="177" xfId="0" applyAlignment="1" applyFill="1" applyFont="1" applyNumberFormat="1">
      <alignment horizontal="right" vertical="bottom"/>
    </xf>
    <xf borderId="0" fillId="224" fontId="8" numFmtId="177" xfId="0" applyAlignment="1" applyFill="1" applyFont="1" applyNumberFormat="1">
      <alignment horizontal="right" vertical="bottom"/>
    </xf>
    <xf borderId="0" fillId="225" fontId="8" numFmtId="177" xfId="0" applyAlignment="1" applyFill="1" applyFont="1" applyNumberFormat="1">
      <alignment horizontal="right" vertical="bottom"/>
    </xf>
    <xf borderId="0" fillId="226" fontId="8" numFmtId="177" xfId="0" applyAlignment="1" applyFill="1" applyFont="1" applyNumberFormat="1">
      <alignment horizontal="right" vertical="bottom"/>
    </xf>
    <xf borderId="0" fillId="227" fontId="8" numFmtId="177" xfId="0" applyAlignment="1" applyFill="1" applyFont="1" applyNumberFormat="1">
      <alignment horizontal="right" vertical="bottom"/>
    </xf>
    <xf borderId="0" fillId="228" fontId="8" numFmtId="177" xfId="0" applyAlignment="1" applyFill="1" applyFont="1" applyNumberFormat="1">
      <alignment horizontal="right" vertical="bottom"/>
    </xf>
    <xf borderId="0" fillId="229" fontId="8" numFmtId="10" xfId="0" applyAlignment="1" applyFill="1" applyFont="1" applyNumberFormat="1">
      <alignment horizontal="right" vertical="bottom"/>
    </xf>
    <xf borderId="0" fillId="73" fontId="8" numFmtId="10" xfId="0" applyAlignment="1" applyFont="1" applyNumberFormat="1">
      <alignment horizontal="right" vertical="bottom"/>
    </xf>
    <xf borderId="0" fillId="230" fontId="8" numFmtId="10" xfId="0" applyAlignment="1" applyFill="1" applyFont="1" applyNumberFormat="1">
      <alignment horizontal="right" vertical="bottom"/>
    </xf>
    <xf borderId="0" fillId="214" fontId="8" numFmtId="10" xfId="0" applyAlignment="1" applyFont="1" applyNumberFormat="1">
      <alignment horizontal="right" vertical="bottom"/>
    </xf>
    <xf borderId="0" fillId="231" fontId="8" numFmtId="10" xfId="0" applyAlignment="1" applyFill="1" applyFont="1" applyNumberFormat="1">
      <alignment horizontal="right" vertical="bottom"/>
    </xf>
    <xf borderId="1" fillId="108" fontId="25" numFmtId="0" xfId="0" applyAlignment="1" applyBorder="1" applyFont="1">
      <alignment readingOrder="0" vertical="bottom"/>
    </xf>
    <xf borderId="0" fillId="232" fontId="8" numFmtId="10" xfId="0" applyAlignment="1" applyFill="1" applyFont="1" applyNumberFormat="1">
      <alignment horizontal="right" vertical="bottom"/>
    </xf>
    <xf borderId="0" fillId="233" fontId="8" numFmtId="10" xfId="0" applyAlignment="1" applyFill="1" applyFont="1" applyNumberFormat="1">
      <alignment horizontal="right" vertical="bottom"/>
    </xf>
    <xf borderId="0" fillId="76" fontId="8" numFmtId="10" xfId="0" applyAlignment="1" applyFont="1" applyNumberFormat="1">
      <alignment horizontal="right" vertical="bottom"/>
    </xf>
    <xf borderId="0" fillId="234" fontId="8" numFmtId="10" xfId="0" applyAlignment="1" applyFill="1" applyFont="1" applyNumberFormat="1">
      <alignment horizontal="right" vertical="bottom"/>
    </xf>
    <xf borderId="0" fillId="235" fontId="8" numFmtId="10" xfId="0" applyAlignment="1" applyFill="1" applyFont="1" applyNumberFormat="1">
      <alignment horizontal="right" vertical="bottom"/>
    </xf>
    <xf borderId="0" fillId="236" fontId="8" numFmtId="10" xfId="0" applyAlignment="1" applyFill="1" applyFont="1" applyNumberFormat="1">
      <alignment horizontal="right" vertical="bottom"/>
    </xf>
    <xf borderId="0" fillId="237" fontId="8" numFmtId="10" xfId="0" applyAlignment="1" applyFill="1" applyFont="1" applyNumberFormat="1">
      <alignment horizontal="right" vertical="bottom"/>
    </xf>
    <xf borderId="0" fillId="77" fontId="8" numFmtId="10" xfId="0" applyAlignment="1" applyFont="1" applyNumberFormat="1">
      <alignment horizontal="right" vertical="bottom"/>
    </xf>
    <xf borderId="0" fillId="122" fontId="8" numFmtId="10" xfId="0" applyAlignment="1" applyFont="1" applyNumberFormat="1">
      <alignment horizontal="right" vertical="bottom"/>
    </xf>
    <xf borderId="0" fillId="213" fontId="8" numFmtId="10" xfId="0" applyAlignment="1" applyFont="1" applyNumberFormat="1">
      <alignment horizontal="right" vertical="bottom"/>
    </xf>
    <xf borderId="0" fillId="137" fontId="8" numFmtId="10" xfId="0" applyAlignment="1" applyFont="1" applyNumberFormat="1">
      <alignment horizontal="right" vertical="bottom"/>
    </xf>
    <xf borderId="0" fillId="238" fontId="8" numFmtId="10" xfId="0" applyAlignment="1" applyFill="1" applyFont="1" applyNumberFormat="1">
      <alignment horizontal="right" vertical="bottom"/>
    </xf>
    <xf borderId="0" fillId="239" fontId="8" numFmtId="10" xfId="0" applyAlignment="1" applyFill="1" applyFont="1" applyNumberFormat="1">
      <alignment horizontal="right" vertical="bottom"/>
    </xf>
    <xf borderId="0" fillId="240" fontId="8" numFmtId="10" xfId="0" applyAlignment="1" applyFill="1" applyFont="1" applyNumberFormat="1">
      <alignment horizontal="right" vertical="bottom"/>
    </xf>
    <xf borderId="0" fillId="241" fontId="8" numFmtId="10" xfId="0" applyAlignment="1" applyFill="1" applyFont="1" applyNumberFormat="1">
      <alignment horizontal="right" vertical="bottom"/>
    </xf>
    <xf borderId="1" fillId="108" fontId="8" numFmtId="0" xfId="0" applyAlignment="1" applyBorder="1" applyFont="1">
      <alignment readingOrder="0" vertical="bottom"/>
    </xf>
    <xf borderId="1" fillId="0" fontId="2" numFmtId="167" xfId="0" applyAlignment="1" applyBorder="1" applyFont="1" applyNumberFormat="1">
      <alignment vertical="bottom"/>
    </xf>
    <xf borderId="1" fillId="242" fontId="8" numFmtId="0" xfId="0" applyAlignment="1" applyBorder="1" applyFill="1" applyFont="1">
      <alignment readingOrder="0" vertical="bottom"/>
    </xf>
    <xf borderId="0" fillId="165" fontId="8" numFmtId="180" xfId="0" applyAlignment="1" applyFont="1" applyNumberFormat="1">
      <alignment vertical="bottom"/>
    </xf>
    <xf borderId="4" fillId="18" fontId="8" numFmtId="0" xfId="0" applyAlignment="1" applyBorder="1" applyFont="1">
      <alignment readingOrder="0" vertical="bottom"/>
    </xf>
    <xf borderId="3" fillId="0" fontId="8" numFmtId="177" xfId="0" applyAlignment="1" applyBorder="1" applyFont="1" applyNumberFormat="1">
      <alignment horizontal="right" readingOrder="0" vertical="bottom"/>
    </xf>
    <xf borderId="0" fillId="0" fontId="71" numFmtId="177" xfId="0" applyAlignment="1" applyFont="1" applyNumberFormat="1">
      <alignment horizontal="right" readingOrder="0" vertical="bottom"/>
    </xf>
    <xf borderId="0" fillId="0" fontId="8" numFmtId="177" xfId="0" applyAlignment="1" applyFont="1" applyNumberFormat="1">
      <alignment readingOrder="0" vertical="bottom"/>
    </xf>
    <xf borderId="0" fillId="0" fontId="86" numFmtId="177" xfId="0" applyAlignment="1" applyFont="1" applyNumberFormat="1">
      <alignment readingOrder="0" vertical="bottom"/>
    </xf>
    <xf borderId="0" fillId="0" fontId="71" numFmtId="177" xfId="0" applyAlignment="1" applyFont="1" applyNumberFormat="1">
      <alignment readingOrder="0" vertical="bottom"/>
    </xf>
    <xf borderId="0" fillId="0" fontId="8" numFmtId="180" xfId="0" applyAlignment="1" applyFont="1" applyNumberFormat="1">
      <alignment readingOrder="0" vertical="bottom"/>
    </xf>
    <xf borderId="1" fillId="5" fontId="8" numFmtId="0" xfId="0" applyAlignment="1" applyBorder="1" applyFont="1">
      <alignment readingOrder="0" vertical="bottom"/>
    </xf>
    <xf borderId="4" fillId="5" fontId="8" numFmtId="0" xfId="0" applyAlignment="1" applyBorder="1" applyFont="1">
      <alignment readingOrder="0" vertical="bottom"/>
    </xf>
    <xf borderId="3" fillId="0" fontId="8" numFmtId="167" xfId="0" applyAlignment="1" applyBorder="1" applyFont="1" applyNumberFormat="1">
      <alignment vertical="bottom"/>
    </xf>
    <xf borderId="8" fillId="0" fontId="10" numFmtId="177" xfId="0" applyAlignment="1" applyBorder="1" applyFont="1" applyNumberFormat="1">
      <alignment horizontal="right" vertical="bottom"/>
    </xf>
    <xf borderId="2" fillId="0" fontId="15" numFmtId="167" xfId="0" applyAlignment="1" applyBorder="1" applyFont="1" applyNumberFormat="1">
      <alignment horizontal="right" vertical="bottom"/>
    </xf>
    <xf borderId="1" fillId="243" fontId="87" numFmtId="0" xfId="0" applyAlignment="1" applyBorder="1" applyFill="1" applyFont="1">
      <alignment readingOrder="0" vertical="bottom"/>
    </xf>
    <xf borderId="1" fillId="0" fontId="88" numFmtId="0" xfId="0" applyAlignment="1" applyBorder="1" applyFont="1">
      <alignment readingOrder="0" vertical="bottom"/>
    </xf>
    <xf borderId="0" fillId="0" fontId="88" numFmtId="177" xfId="0" applyAlignment="1" applyFont="1" applyNumberFormat="1">
      <alignment horizontal="right" vertical="bottom"/>
    </xf>
    <xf borderId="1" fillId="244" fontId="89" numFmtId="177" xfId="0" applyAlignment="1" applyBorder="1" applyFill="1" applyFont="1" applyNumberFormat="1">
      <alignment horizontal="right" vertical="bottom"/>
    </xf>
    <xf borderId="2" fillId="0" fontId="2" numFmtId="0" xfId="0" applyBorder="1" applyFont="1"/>
    <xf borderId="1" fillId="133" fontId="8" numFmtId="0" xfId="0" applyAlignment="1" applyBorder="1" applyFont="1">
      <alignment readingOrder="0" vertical="bottom"/>
    </xf>
    <xf borderId="0" fillId="0" fontId="15" numFmtId="10" xfId="0" applyAlignment="1" applyFont="1" applyNumberFormat="1">
      <alignment horizontal="right" vertical="bottom"/>
    </xf>
    <xf borderId="1" fillId="0" fontId="8" numFmtId="177" xfId="0" applyAlignment="1" applyBorder="1" applyFont="1" applyNumberFormat="1">
      <alignment readingOrder="0" vertical="bottom"/>
    </xf>
    <xf borderId="0" fillId="0" fontId="8" numFmtId="2" xfId="0" applyAlignment="1" applyFont="1" applyNumberFormat="1">
      <alignment horizontal="right" vertical="bottom"/>
    </xf>
    <xf borderId="2" fillId="0" fontId="2" numFmtId="177" xfId="0" applyAlignment="1" applyBorder="1" applyFont="1" applyNumberFormat="1">
      <alignment horizontal="right" vertical="bottom"/>
    </xf>
    <xf borderId="0" fillId="0" fontId="8" numFmtId="185" xfId="0" applyAlignment="1" applyFont="1" applyNumberFormat="1">
      <alignment vertical="bottom"/>
    </xf>
    <xf borderId="2" fillId="0" fontId="8" numFmtId="185" xfId="0" applyAlignment="1" applyBorder="1" applyFont="1" applyNumberFormat="1">
      <alignment vertical="bottom"/>
    </xf>
  </cellXfs>
  <cellStyles count="1">
    <cellStyle xfId="0" name="Normal" builtinId="0"/>
  </cellStyles>
  <dxfs count="6">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FBBEC1"/>
          <bgColor rgb="FFFBBEC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'OLD Sales'!$A$14</c:f>
            </c:strRef>
          </c:tx>
          <c:spPr>
            <a:solidFill>
              <a:srgbClr val="4285F4">
                <a:alpha val="30000"/>
              </a:srgbClr>
            </a:solidFill>
            <a:ln cmpd="sng">
              <a:solidFill>
                <a:srgbClr val="4285F4"/>
              </a:solidFill>
            </a:ln>
          </c:spPr>
          <c:cat>
            <c:strRef>
              <c:f>'OLD Sales'!$B$1:$AC$1</c:f>
            </c:strRef>
          </c:cat>
          <c:val>
            <c:numRef>
              <c:f>'OLD Sales'!$B$14:$AC$14</c:f>
              <c:numCache/>
            </c:numRef>
          </c:val>
        </c:ser>
        <c:ser>
          <c:idx val="1"/>
          <c:order val="1"/>
          <c:tx>
            <c:strRef>
              <c:f>'OLD Sales'!$A$26</c:f>
            </c:strRef>
          </c:tx>
          <c:spPr>
            <a:solidFill>
              <a:srgbClr val="EA4335">
                <a:alpha val="30000"/>
              </a:srgbClr>
            </a:solidFill>
            <a:ln cmpd="sng">
              <a:solidFill>
                <a:srgbClr val="EA4335"/>
              </a:solidFill>
            </a:ln>
          </c:spPr>
          <c:cat>
            <c:strRef>
              <c:f>'OLD Sales'!$B$1:$AC$1</c:f>
            </c:strRef>
          </c:cat>
          <c:val>
            <c:numRef>
              <c:f>'OLD Sales'!$B$26:$AC$26</c:f>
              <c:numCache/>
            </c:numRef>
          </c:val>
        </c:ser>
        <c:axId val="1154474764"/>
        <c:axId val="98130650"/>
      </c:areaChart>
      <c:catAx>
        <c:axId val="11544747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130650"/>
      </c:catAx>
      <c:valAx>
        <c:axId val="981306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447476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'OLD Sales'!$A$36</c:f>
            </c:strRef>
          </c:tx>
          <c:spPr>
            <a:solidFill>
              <a:schemeClr val="accent1"/>
            </a:solidFill>
            <a:ln cmpd="sng">
              <a:noFill/>
            </a:ln>
          </c:spPr>
          <c:cat>
            <c:strRef>
              <c:f>'OLD Sales'!$C$1:$AC$1</c:f>
            </c:strRef>
          </c:cat>
          <c:val>
            <c:numRef>
              <c:f>'OLD Sales'!$B$36:$AC$36</c:f>
              <c:numCache/>
            </c:numRef>
          </c:val>
        </c:ser>
        <c:ser>
          <c:idx val="1"/>
          <c:order val="1"/>
          <c:tx>
            <c:strRef>
              <c:f>'OLD Sales'!$A$37</c:f>
            </c:strRef>
          </c:tx>
          <c:spPr>
            <a:solidFill>
              <a:schemeClr val="accent2"/>
            </a:solidFill>
            <a:ln cmpd="sng">
              <a:noFill/>
            </a:ln>
          </c:spPr>
          <c:dPt>
            <c:idx val="3"/>
          </c:dPt>
          <c:cat>
            <c:strRef>
              <c:f>'OLD Sales'!$C$1:$AC$1</c:f>
            </c:strRef>
          </c:cat>
          <c:val>
            <c:numRef>
              <c:f>'OLD Sales'!$B$37:$AC$37</c:f>
              <c:numCache/>
            </c:numRef>
          </c:val>
        </c:ser>
        <c:overlap val="100"/>
        <c:axId val="357880007"/>
        <c:axId val="928376158"/>
      </c:barChart>
      <c:catAx>
        <c:axId val="357880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28376158"/>
      </c:catAx>
      <c:valAx>
        <c:axId val="9283761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788000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9f102b05-cedf-4b68-81fa-dc63bebb76c5}">
    <Anchor>
      <Comment id="{748775af-54f9-4ede-b88c-a63530508f3f}"/>
    </Anchor>
    <History>
      <Event time="2023-07-31T08:54:48.00" id="{938cd96c-991d-46ea-9d54-17c6133bde60}">
        <Attribution userId="placeholder@email.com" userName="Benjamin Kumalić" userProvider="google-sheets"/>
        <Anchor>
          <Comment id="{748775af-54f9-4ede-b88c-a63530508f3f}"/>
        </Anchor>
        <Create/>
      </Event>
      <Event time="2023-07-31T08:54:48.00" id="{d9b0c16a-31b2-4ee0-a78f-ca283a229a70}">
        <Attribution userId="placeholder@email.com" userName="Benjamin Kumalić" userProvider="google-sheets"/>
        <Anchor>
          <Comment id="{748775af-54f9-4ede-b88c-a63530508f3f}"/>
        </Anchor>
        <Assign userId="peter@mybirdbuddy.com" userName="peter@mybirdbuddy.com" userProvider="google-sheets"/>
      </Event>
    </History>
  </Task>
</Tasks>
</file>

<file path=xl/documenttasks/documenttask2.xml><?xml version="1.0" encoding="utf-8"?>
<Tasks xmlns="http://schemas.microsoft.com/office/tasks/2019/documenttasks">
  <Task id="{e14a8243-dd83-4ff9-83fe-74e4a4e71d3e}">
    <Anchor>
      <Comment id="{18fa73f9-d653-44d7-8291-138182880245}"/>
    </Anchor>
    <History>
      <Event time="2023-07-31T08:53:46.00" id="{efe50faf-ad7d-41eb-8b91-e42ef60fa60b}">
        <Attribution userId="placeholder@email.com" userName="Benjamin Kumalić" userProvider="google-sheets"/>
        <Anchor>
          <Comment id="{18fa73f9-d653-44d7-8291-138182880245}"/>
        </Anchor>
        <Create/>
      </Event>
      <Event time="2023-07-31T08:53:46.00" id="{0d1217d1-6aa1-4f5d-8692-0f730cd3c51d}">
        <Attribution userId="placeholder@email.com" userName="Benjamin Kumalić" userProvider="google-sheets"/>
        <Anchor>
          <Comment id="{18fa73f9-d653-44d7-8291-138182880245}"/>
        </Anchor>
        <Assign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c5ed9427-3ac5-400d-8d9f-5cb99a41c03d}">
    <Anchor>
      <Comment id="{57eeb324-9c18-41f4-9a00-35b159b6bfd7}"/>
    </Anchor>
    <History>
      <Event time="2023-07-19T18:15:37.00" id="{73c5c13f-8984-496a-a4bf-7e2f131b105c}">
        <Attribution userId="placeholder@email.com" userName="Benjamin Kumalić" userProvider="google-sheets"/>
        <Anchor>
          <Comment id="{57eeb324-9c18-41f4-9a00-35b159b6bfd7}"/>
        </Anchor>
        <Create/>
      </Event>
      <Event time="2023-07-19T18:15:37.00" id="{2362d1fb-fa2b-4f95-80c4-755a4dab4e17}">
        <Attribution userId="placeholder@email.com" userName="Benjamin Kumalić" userProvider="google-sheets"/>
        <Anchor>
          <Comment id="{57eeb324-9c18-41f4-9a00-35b159b6bfd7}"/>
        </Anchor>
        <Assign userId="ziga.skrabl@mybirdbuddy.com" userName="ziga.skrabl@mybirdbuddy.com" userProvider="google-sheets"/>
      </Event>
    </History>
  </Task>
</Task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40</xdr:row>
      <xdr:rowOff>171450</xdr:rowOff>
    </xdr:from>
    <xdr:ext cx="1657350" cy="1981200"/>
    <xdr:grpSp>
      <xdr:nvGrpSpPr>
        <xdr:cNvPr id="2" name="Shape 2" title="Drawing"/>
        <xdr:cNvGrpSpPr/>
      </xdr:nvGrpSpPr>
      <xdr:grpSpPr>
        <a:xfrm>
          <a:off x="3132200" y="1340950"/>
          <a:ext cx="2411650" cy="2892000"/>
          <a:chOff x="3132200" y="1340950"/>
          <a:chExt cx="2411650" cy="2892000"/>
        </a:xfrm>
      </xdr:grpSpPr>
      <xdr:cxnSp>
        <xdr:nvCxnSpPr>
          <xdr:cNvPr id="3" name="Shape 3"/>
          <xdr:cNvCxnSpPr/>
        </xdr:nvCxnSpPr>
        <xdr:spPr>
          <a:xfrm flipH="1">
            <a:off x="3132200" y="1340950"/>
            <a:ext cx="2211600" cy="2892000"/>
          </a:xfrm>
          <a:prstGeom prst="straightConnector1">
            <a:avLst/>
          </a:prstGeom>
          <a:noFill/>
          <a:ln cap="flat" cmpd="sng" w="9525">
            <a:solidFill>
              <a:srgbClr val="000000"/>
            </a:solidFill>
            <a:prstDash val="solid"/>
            <a:round/>
            <a:headEnd len="med" w="med" type="none"/>
            <a:tailEnd len="med" w="med" type="none"/>
          </a:ln>
        </xdr:spPr>
      </xdr:cxnSp>
      <xdr:cxnSp>
        <xdr:nvCxnSpPr>
          <xdr:cNvPr id="4" name="Shape 4"/>
          <xdr:cNvCxnSpPr/>
        </xdr:nvCxnSpPr>
        <xdr:spPr>
          <a:xfrm>
            <a:off x="3182250" y="1471050"/>
            <a:ext cx="2361600" cy="25719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276225</xdr:colOff>
      <xdr:row>59</xdr:row>
      <xdr:rowOff>85725</xdr:rowOff>
    </xdr:from>
    <xdr:ext cx="771525" cy="838200"/>
    <xdr:grpSp>
      <xdr:nvGrpSpPr>
        <xdr:cNvPr id="2" name="Shape 2" title="Drawing"/>
        <xdr:cNvGrpSpPr/>
      </xdr:nvGrpSpPr>
      <xdr:grpSpPr>
        <a:xfrm>
          <a:off x="3882750" y="1571200"/>
          <a:ext cx="2131475" cy="2301450"/>
          <a:chOff x="3882750" y="1571200"/>
          <a:chExt cx="2131475" cy="2301450"/>
        </a:xfrm>
      </xdr:grpSpPr>
      <xdr:cxnSp>
        <xdr:nvCxnSpPr>
          <xdr:cNvPr id="5" name="Shape 5"/>
          <xdr:cNvCxnSpPr/>
        </xdr:nvCxnSpPr>
        <xdr:spPr>
          <a:xfrm flipH="1" rot="10800000">
            <a:off x="3882750" y="1571200"/>
            <a:ext cx="1921500" cy="2221500"/>
          </a:xfrm>
          <a:prstGeom prst="straightConnector1">
            <a:avLst/>
          </a:prstGeom>
          <a:noFill/>
          <a:ln cap="flat" cmpd="sng" w="9525">
            <a:solidFill>
              <a:srgbClr val="000000"/>
            </a:solidFill>
            <a:prstDash val="solid"/>
            <a:round/>
            <a:headEnd len="med" w="med" type="none"/>
            <a:tailEnd len="med" w="med" type="none"/>
          </a:ln>
        </xdr:spPr>
      </xdr:cxnSp>
      <xdr:cxnSp>
        <xdr:nvCxnSpPr>
          <xdr:cNvPr id="6" name="Shape 6"/>
          <xdr:cNvCxnSpPr/>
        </xdr:nvCxnSpPr>
        <xdr:spPr>
          <a:xfrm>
            <a:off x="4243025" y="1761250"/>
            <a:ext cx="1771200" cy="21114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83</xdr:row>
      <xdr:rowOff>114300</xdr:rowOff>
    </xdr:from>
    <xdr:ext cx="854392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65</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571500</xdr:colOff>
      <xdr:row>65</xdr:row>
      <xdr:rowOff>142875</xdr:rowOff>
    </xdr:from>
    <xdr:ext cx="14335125" cy="7867650"/>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9525</xdr:colOff>
      <xdr:row>104</xdr:row>
      <xdr:rowOff>114300</xdr:rowOff>
    </xdr:from>
    <xdr:ext cx="8496300" cy="42481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942975</xdr:colOff>
      <xdr:row>20</xdr:row>
      <xdr:rowOff>142875</xdr:rowOff>
    </xdr:from>
    <xdr:ext cx="5819775" cy="12858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12d4e1a8-03b7-4533-9db6-8a2f7a6bd2c7}" providerId="google-sheets"/>
  <x18tc:person displayName="Deleted user" id="{979d929d-2a36-45d5-b732-ecdecaa9e417}" providerId="google-sheets"/>
  <x18tc:person displayName="ziga.skrabl@mybirdbuddy.com" id="{0876c575-a69e-4821-b4aa-3058167cedc7}" userId="ziga.skrabl@mybirdbuddy.com" providerId="google-sheets"/>
  <x18tc:person displayName="jasna@mybirdbuddy.com" id="{49d7f500-9411-401f-9204-d5f843116e6a}" userId="jasna@mybirdbuddy.com" providerId="google-sheets"/>
  <x18tc:person displayName="Deleted user" id="{16c84308-f79d-4ec2-bf5b-12af165871a9}" providerId="google-sheets"/>
  <x18tc:person displayName="Peter Drole" id="{bc5acba9-40d4-40a5-ba90-a5d96703d7a5}" providerId="google-sheets"/>
  <x18tc:person displayName="peter@mybirdbuddy.com" id="{a3f0194b-05f3-4e22-9804-4a6e41f15d21}" userId="peter@mybirdbuddy.com" providerId="google-sheets"/>
  <x18tc:person displayName="Žiga Škrabl" id="{ac0e59cf-a464-4453-bddc-938bc27bcf2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7-31T08:54:48.00" personId="{12d4e1a8-03b7-4533-9db6-8a2f7a6bd2c7}" id="{748775af-54f9-4ede-b88c-a63530508f3f}" done="0">
    <x18tc:text xml:space="preserve">@peter@mybirdbuddy.com - Can we please delete this section and sum up % with row 33? We'll find a way to ask this as subquestion.
Assigned to peter@mybirdbuddy.com</x18tc:text>
    <x18tc:mentions>
      <x18tc:mention mentionpersonId="{a3f0194b-05f3-4e22-9804-4a6e41f15d21}" mentionId="{878f4d68-fe51-4332-8ba3-698ca44664fc}"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 dT="2023-07-11T09:36:56.00" personId="{bc5acba9-40d4-40a5-ba90-a5d96703d7a5}" id="{73daada3-ff20-49f6-b387-3aed38571873}" done="0">
    <x18tc:text xml:space="preserve">Shipping now update:
- sticky header A/B test
- Product page green notice
- Product page shipping pod atc buttonom
- Cart individual product notice
- Checkout EU Banner</x18tc:text>
  </x18tc:threadedComment>
  <x18tc:threadedComment ref="V25" dT="2023-07-31T08:53:46.00" personId="{12d4e1a8-03b7-4533-9db6-8a2f7a6bd2c7}" id="{18fa73f9-d653-44d7-8291-138182880245}" done="1">
    <x18tc:text xml:space="preserve">@jasna@mybirdbuddy.com - Do we need to fill this?
Assigned to </x18tc:text>
    <x18tc:mentions>
      <x18tc:mention mentionpersonId="{49d7f500-9411-401f-9204-d5f843116e6a}" mentionId="{ae3276d0-190d-42f8-994b-766b41024fb8}" startIndex="0" length="22"/>
    </x18tc:mentions>
  </x18tc:threadedComment>
  <x18tc:threadedComment ref="V25" dT="2023-07-31T08:55:21.00" personId="{16c84308-f79d-4ec2-bf5b-12af165871a9}" id="{6c01fbc8-2f36-443b-a80e-65c62cb16dee}" parentId="{18fa73f9-d653-44d7-8291-138182880245}">
    <x18tc:text xml:space="preserve">yes. I am on it - there was nobody to cover for me during my vacation</x18tc:text>
  </x18tc:threadedComment>
  <x18tc:threadedComment ref="H5" dT="2023-07-11T09:38:25.00" personId="{bc5acba9-40d4-40a5-ba90-a5d96703d7a5}" id="{10468ace-e700-4e89-8ea1-252ad3ebe851}" done="0">
    <x18tc:text xml:space="preserve">Changes:
- Add review stars
- UGC section added to Product Page
- Edit Green Notice on Product Page
- reword product descriptions
- in stock message on Shop page
- remove best value for Pro Bundle</x18tc:text>
  </x18tc:threadedComment>
  <x18tc:threadedComment ref="H5" dT="2023-07-24T11:36:38.00" personId="{bc5acba9-40d4-40a5-ba90-a5d96703d7a5}" id="{f9993ef1-90b1-4db6-87ff-1777dae63b3c}" parentId="{10468ace-e700-4e89-8ea1-252ad3ebe851}">
    <x18tc:text xml:space="preserve">Also Added Upsell Popup</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3-07-17T11:54:45.00" personId="{bc5acba9-40d4-40a5-ba90-a5d96703d7a5}" id="{ef7065a8-353f-473f-bf3f-10179d678691}" done="0">
    <x18tc:text xml:space="preserve">7 day click (last-click)</x18tc:text>
  </x18tc:threadedComment>
  <x18tc:threadedComment ref="A6" dT="2023-07-17T11:59:09.00" personId="{bc5acba9-40d4-40a5-ba90-a5d96703d7a5}" id="{f98c84a4-bef5-40dd-a286-f62f6629a35d}" done="0">
    <x18tc:text xml:space="preserve">GA4 data</x18tc:text>
  </x18tc:threadedComment>
  <x18tc:threadedComment ref="A17" dT="2023-07-25T08:22:50.00" personId="{979d929d-2a36-45d5-b732-ecdecaa9e417}" id="{9258804f-27c3-458a-a3a2-7064b80fde4f}" done="0">
    <x18tc:text xml:space="preserve">Nimam dostop do Overall Accounts Performance Report - FB Ads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 dT="2023-07-19T18:13:49.00" personId="{12d4e1a8-03b7-4533-9db6-8a2f7a6bd2c7}" id="{a4e1e623-d7a2-4010-aaa7-bb38530db6a7}" done="1">
    <x18tc:text xml:space="preserve">New numbers - new inbound shipping ration is 33/33/34 (air, fast boat, ocean).</x18tc:text>
  </x18tc:threadedComment>
  <x18tc:threadedComment ref="F13" dT="2023-07-19T18:15:37.00" personId="{12d4e1a8-03b7-4533-9db6-8a2f7a6bd2c7}" id="{57eeb324-9c18-41f4-9a00-35b159b6bfd7}" done="1">
    <x18tc:text xml:space="preserve">@ziga.skrabl@mybirdbuddy.com - Each add-on has different inbound charge. Check: https://docs.google.com/spreadsheets/d/16QZVqAJRY2BnzIWJStiU7c7bpGSYS1vLd7eFRlL40Ew/edit#gid=0
Assigned to ziga.skrabl@mybirdbuddy.com</x18tc:text>
    <x18tc:mentions>
      <x18tc:mention mentionpersonId="{0876c575-a69e-4821-b4aa-3058167cedc7}" mentionId="{4065b10a-d1bc-4201-a5f2-4f9f5360a95a}" startIndex="0" length="28"/>
    </x18tc:mentions>
    <x18tc:extLst>
      <ext uri="{F7C98A9C-CBB3-438F-8F68-D28B6AF4A901}">
        <xltc2:checksum/>
        <xltc2:hyperlink startIndex="80" length="94" url="https://docs.google.com/spreadsheets/d/16QZVqAJRY2BnzIWJStiU7c7bpGSYS1vLd7eFRlL40Ew/edit#gid=0"/>
      </ext>
    </x18tc:extLst>
  </x18tc:threadedComment>
  <x18tc:threadedComment ref="F13" dT="2023-07-20T08:45:43.00" personId="{ac0e59cf-a464-4453-bddc-938bc27bcf23}" id="{998c680d-6527-4f01-98c5-be57b5290c67}" parentId="{57eeb324-9c18-41f4-9a00-35b159b6bfd7}">
    <x18tc:text xml:space="preserve">updated and corrected with new proportions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drawing" Target="../drawings/drawing4.xml"/><Relationship Id="rId8"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hAaecrGaXGNYxbQyNpxu2nVVZ1vCEGj9/edit" TargetMode="External"/><Relationship Id="rId5" Type="http://schemas.openxmlformats.org/officeDocument/2006/relationships/hyperlink" Target="https://docs.google.com/spreadsheets/d/1idUECWQit7UswbbGO_Mwza2jbXN-FdVQfZHfyVTjgds/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drawing" Target="../drawings/drawing7.xml"/><Relationship Id="rId8"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AaecrGaXGNYxbQyNpxu2nVVZ1vCEGj9/edit" TargetMode="External"/><Relationship Id="rId4" Type="http://schemas.openxmlformats.org/officeDocument/2006/relationships/hyperlink" Target="https://docs.google.com/spreadsheets/d/1dhD3sTz_Knf_w4H3JhgYXhxBusiSvSSuRyK3HNU1E0E/edit?usp=sharing" TargetMode="External"/><Relationship Id="rId5" Type="http://schemas.openxmlformats.org/officeDocument/2006/relationships/drawing" Target="../drawings/drawing12.xml"/><Relationship Id="rId6"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IFERROR(__xludf.DUMMYFUNCTION("ARRAY_CONSTRAIN(split(CELL(""ADDRESS"",rdataslayer_42b112e4e4be4305bb4c1be75e2dd549),""!""),1,1)"),"[OLD] Formulas'")</f>
        <v>[OLD] 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B$3:$C$4")</f>
        <v>$B$3:$C$4</v>
      </c>
      <c r="D2" s="7">
        <v>44518.61325231481</v>
      </c>
      <c r="E2" s="7">
        <v>44520.05126157407</v>
      </c>
      <c r="F2" s="1" t="s">
        <v>50</v>
      </c>
      <c r="I2" s="8">
        <v>7.0</v>
      </c>
      <c r="J2" s="1" t="s">
        <v>51</v>
      </c>
      <c r="L2" s="1" t="s">
        <v>52</v>
      </c>
      <c r="M2" s="1" t="s">
        <v>53</v>
      </c>
      <c r="R2" s="1" t="s">
        <v>54</v>
      </c>
      <c r="S2" s="1" t="s">
        <v>55</v>
      </c>
      <c r="T2" s="1" t="s">
        <v>56</v>
      </c>
      <c r="U2" s="1" t="s">
        <v>57</v>
      </c>
      <c r="V2" s="1" t="s">
        <v>57</v>
      </c>
      <c r="W2" s="1" t="s">
        <v>57</v>
      </c>
      <c r="Y2" s="1" t="s">
        <v>57</v>
      </c>
      <c r="Z2" s="8">
        <v>5.0</v>
      </c>
      <c r="AA2" s="8">
        <v>5.0</v>
      </c>
      <c r="AB2" s="1" t="s">
        <v>58</v>
      </c>
      <c r="AC2" s="1" t="s">
        <v>58</v>
      </c>
      <c r="AL2" s="1" t="s">
        <v>59</v>
      </c>
      <c r="AN2" s="1" t="s">
        <v>57</v>
      </c>
      <c r="AO2" s="1" t="s">
        <v>60</v>
      </c>
    </row>
    <row r="3">
      <c r="A3" s="1" t="s">
        <v>61</v>
      </c>
      <c r="B3" s="1" t="str">
        <f>IFERROR(__xludf.DUMMYFUNCTION("ARRAY_CONSTRAIN(split(CELL(""ADDRESS"",rdataslayer_4a0f150f4f2f4e4f85c890c75b7a1fa4),""!""),1,1)"),"[OLD] Formulas'")</f>
        <v>[OLD] 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D$3:$E$4")</f>
        <v>$D$3:$E$4</v>
      </c>
      <c r="D3" s="7">
        <v>44518.615324074075</v>
      </c>
      <c r="E3" s="7">
        <v>44520.0512962963</v>
      </c>
      <c r="F3" s="1" t="s">
        <v>50</v>
      </c>
      <c r="I3" s="8">
        <v>7.0</v>
      </c>
      <c r="J3" s="1" t="s">
        <v>51</v>
      </c>
      <c r="L3" s="1" t="s">
        <v>52</v>
      </c>
      <c r="M3" s="1" t="s">
        <v>53</v>
      </c>
      <c r="R3" s="1" t="s">
        <v>66</v>
      </c>
      <c r="S3" s="1" t="s">
        <v>55</v>
      </c>
      <c r="T3" s="1" t="s">
        <v>57</v>
      </c>
      <c r="U3" s="1" t="s">
        <v>56</v>
      </c>
      <c r="V3" s="1" t="s">
        <v>57</v>
      </c>
      <c r="W3" s="1" t="s">
        <v>57</v>
      </c>
      <c r="Y3" s="1" t="s">
        <v>57</v>
      </c>
      <c r="Z3" s="8">
        <v>5.0</v>
      </c>
      <c r="AA3" s="8">
        <v>5.0</v>
      </c>
      <c r="AB3" s="1" t="s">
        <v>58</v>
      </c>
      <c r="AC3" s="1" t="s">
        <v>58</v>
      </c>
      <c r="AL3" s="1" t="s">
        <v>59</v>
      </c>
      <c r="AN3" s="1" t="s">
        <v>57</v>
      </c>
      <c r="AO3" s="1" t="s">
        <v>60</v>
      </c>
    </row>
    <row r="4">
      <c r="A4" s="1" t="s">
        <v>69</v>
      </c>
      <c r="B4" s="1" t="str">
        <f>IFERROR(__xludf.DUMMYFUNCTION("ARRAY_CONSTRAIN(split(CELL(""ADDRESS"",rdataslayer_adf57e64065742daa5b4161161b1c3ca),""!""),1,1)"),"[OLD] Formulas'")</f>
        <v>[OLD] 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B$5:$D$6")</f>
        <v>$B$5:$D$6</v>
      </c>
      <c r="D4" s="7">
        <v>44518.61782407407</v>
      </c>
      <c r="E4" s="7">
        <v>44520.05138888889</v>
      </c>
      <c r="F4" s="1" t="s">
        <v>50</v>
      </c>
      <c r="I4" s="8">
        <v>18.0</v>
      </c>
      <c r="J4" s="1" t="s">
        <v>51</v>
      </c>
      <c r="L4" s="1" t="s">
        <v>52</v>
      </c>
      <c r="M4" s="1" t="s">
        <v>53</v>
      </c>
      <c r="R4" s="1" t="s">
        <v>74</v>
      </c>
      <c r="S4" s="1" t="s">
        <v>75</v>
      </c>
      <c r="T4" s="1" t="s">
        <v>56</v>
      </c>
      <c r="U4" s="1" t="s">
        <v>57</v>
      </c>
      <c r="V4" s="1" t="s">
        <v>57</v>
      </c>
      <c r="W4" s="1" t="s">
        <v>57</v>
      </c>
      <c r="Y4" s="1" t="s">
        <v>57</v>
      </c>
      <c r="Z4" s="8">
        <v>5.0</v>
      </c>
      <c r="AA4" s="8">
        <v>5.0</v>
      </c>
      <c r="AB4" s="1" t="s">
        <v>58</v>
      </c>
      <c r="AC4" s="1" t="s">
        <v>58</v>
      </c>
      <c r="AL4" s="1" t="s">
        <v>59</v>
      </c>
      <c r="AN4" s="1" t="s">
        <v>57</v>
      </c>
      <c r="AO4" s="1" t="s">
        <v>60</v>
      </c>
    </row>
    <row r="5">
      <c r="A5" s="1" t="s">
        <v>80</v>
      </c>
      <c r="B5" s="1" t="str">
        <f>IFERROR(__xludf.DUMMYFUNCTION("ARRAY_CONSTRAIN(split(CELL(""ADDRESS"",rdataslayer_d70e473bcafe40a3aa834ce157fb2ba3),""!""),1,1)"),"[OLD] Formulas'")</f>
        <v>[OLD] 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C$9:$D$10")</f>
        <v>$C$9:$D$10</v>
      </c>
      <c r="D5" s="7">
        <v>44518.619479166664</v>
      </c>
      <c r="E5" s="7">
        <v>44520.05134259259</v>
      </c>
      <c r="F5" s="1" t="s">
        <v>50</v>
      </c>
      <c r="I5" s="8">
        <v>7.0</v>
      </c>
      <c r="J5" s="1" t="s">
        <v>51</v>
      </c>
      <c r="L5" s="1" t="s">
        <v>52</v>
      </c>
      <c r="M5" s="1" t="s">
        <v>53</v>
      </c>
      <c r="R5" s="1" t="s">
        <v>86</v>
      </c>
      <c r="S5" s="1" t="s">
        <v>55</v>
      </c>
      <c r="T5" s="1" t="s">
        <v>56</v>
      </c>
      <c r="U5" s="1" t="s">
        <v>57</v>
      </c>
      <c r="V5" s="1" t="s">
        <v>57</v>
      </c>
      <c r="W5" s="1" t="s">
        <v>57</v>
      </c>
      <c r="Y5" s="1" t="s">
        <v>57</v>
      </c>
      <c r="Z5" s="8">
        <v>100.0</v>
      </c>
      <c r="AA5" s="8">
        <v>100.0</v>
      </c>
      <c r="AB5" s="1" t="s">
        <v>58</v>
      </c>
      <c r="AC5" s="1" t="s">
        <v>58</v>
      </c>
      <c r="AL5" s="1" t="s">
        <v>59</v>
      </c>
      <c r="AN5" s="1" t="s">
        <v>57</v>
      </c>
      <c r="AO5" s="1" t="s">
        <v>60</v>
      </c>
    </row>
    <row r="6">
      <c r="A6" s="1" t="s">
        <v>87</v>
      </c>
      <c r="B6" s="1" t="str">
        <f>IFERROR(__xludf.DUMMYFUNCTION("ARRAY_CONSTRAIN(split(CELL(""ADDRESS"",rdataslayer_3753ddf3234e496aa261974a0222e193),""!""),1,1)"),"[OLD] Formulas'")</f>
        <v>[OLD] 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H$3:$I$3")</f>
        <v>$H$3:$I$3</v>
      </c>
      <c r="D6" s="7">
        <v>44518.620729166665</v>
      </c>
      <c r="E6" s="7">
        <v>44520.05142361111</v>
      </c>
      <c r="F6" s="1" t="s">
        <v>50</v>
      </c>
      <c r="I6" s="8">
        <v>18.0</v>
      </c>
      <c r="J6" s="1" t="s">
        <v>51</v>
      </c>
      <c r="L6" s="1" t="s">
        <v>52</v>
      </c>
      <c r="M6" s="1" t="s">
        <v>53</v>
      </c>
      <c r="R6" s="1" t="s">
        <v>90</v>
      </c>
      <c r="S6" s="1" t="s">
        <v>55</v>
      </c>
      <c r="T6" s="1" t="s">
        <v>57</v>
      </c>
      <c r="U6" s="1" t="s">
        <v>57</v>
      </c>
      <c r="V6" s="1" t="s">
        <v>57</v>
      </c>
      <c r="W6" s="1" t="s">
        <v>57</v>
      </c>
      <c r="Y6" s="1" t="s">
        <v>57</v>
      </c>
      <c r="Z6" s="8">
        <v>100.0</v>
      </c>
      <c r="AA6" s="8">
        <v>100.0</v>
      </c>
      <c r="AB6" s="1" t="s">
        <v>91</v>
      </c>
      <c r="AC6" s="1" t="s">
        <v>58</v>
      </c>
      <c r="AL6" s="1" t="s">
        <v>59</v>
      </c>
      <c r="AN6" s="1" t="s">
        <v>57</v>
      </c>
      <c r="AO6" s="1"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19.25"/>
  </cols>
  <sheetData>
    <row r="1">
      <c r="A1" s="2">
        <v>45108.0</v>
      </c>
      <c r="B1" s="3">
        <v>45108.0</v>
      </c>
      <c r="C1" s="3">
        <v>45109.0</v>
      </c>
      <c r="D1" s="3">
        <v>45110.0</v>
      </c>
      <c r="E1" s="3">
        <v>45111.0</v>
      </c>
      <c r="F1" s="3">
        <v>45112.0</v>
      </c>
      <c r="G1" s="3">
        <v>45113.0</v>
      </c>
      <c r="H1" s="3">
        <v>45114.0</v>
      </c>
      <c r="I1" s="3">
        <v>45115.0</v>
      </c>
      <c r="J1" s="3">
        <v>45116.0</v>
      </c>
      <c r="K1" s="3">
        <v>45117.0</v>
      </c>
      <c r="L1" s="3">
        <v>45118.0</v>
      </c>
      <c r="M1" s="3">
        <v>45119.0</v>
      </c>
      <c r="N1" s="3">
        <v>45120.0</v>
      </c>
      <c r="O1" s="3">
        <v>45121.0</v>
      </c>
      <c r="P1" s="3">
        <v>45122.0</v>
      </c>
      <c r="Q1" s="3">
        <v>45123.0</v>
      </c>
      <c r="R1" s="3">
        <v>45124.0</v>
      </c>
      <c r="S1" s="3">
        <v>45125.0</v>
      </c>
      <c r="T1" s="3">
        <v>45126.0</v>
      </c>
      <c r="U1" s="3">
        <v>45127.0</v>
      </c>
      <c r="V1" s="3">
        <v>45128.0</v>
      </c>
      <c r="W1" s="3">
        <v>45129.0</v>
      </c>
      <c r="X1" s="3">
        <v>45130.0</v>
      </c>
      <c r="Y1" s="3">
        <v>45131.0</v>
      </c>
      <c r="Z1" s="3">
        <v>45132.0</v>
      </c>
      <c r="AA1" s="3">
        <v>45133.0</v>
      </c>
      <c r="AB1" s="3">
        <v>45134.0</v>
      </c>
      <c r="AC1" s="3">
        <v>45135.0</v>
      </c>
      <c r="AD1" s="3">
        <v>45136.0</v>
      </c>
      <c r="AE1" s="3">
        <v>45137.0</v>
      </c>
      <c r="AF1" s="3">
        <v>45138.0</v>
      </c>
    </row>
    <row r="2">
      <c r="B2" s="6" t="s">
        <v>43</v>
      </c>
      <c r="C2" s="6" t="s">
        <v>44</v>
      </c>
      <c r="D2" s="6" t="s">
        <v>45</v>
      </c>
      <c r="E2" s="6" t="s">
        <v>46</v>
      </c>
      <c r="F2" s="6" t="s">
        <v>47</v>
      </c>
      <c r="G2" s="6" t="s">
        <v>48</v>
      </c>
      <c r="H2" s="6" t="s">
        <v>49</v>
      </c>
      <c r="I2" s="6" t="s">
        <v>43</v>
      </c>
      <c r="J2" s="6" t="s">
        <v>44</v>
      </c>
      <c r="K2" s="6" t="s">
        <v>45</v>
      </c>
      <c r="L2" s="6" t="s">
        <v>46</v>
      </c>
      <c r="M2" s="6" t="s">
        <v>47</v>
      </c>
      <c r="N2" s="6" t="s">
        <v>48</v>
      </c>
      <c r="O2" s="6" t="s">
        <v>49</v>
      </c>
      <c r="P2" s="6" t="s">
        <v>43</v>
      </c>
      <c r="Q2" s="6" t="s">
        <v>44</v>
      </c>
      <c r="R2" s="6" t="s">
        <v>45</v>
      </c>
      <c r="S2" s="6" t="s">
        <v>46</v>
      </c>
      <c r="T2" s="6" t="s">
        <v>47</v>
      </c>
      <c r="U2" s="6" t="s">
        <v>48</v>
      </c>
      <c r="V2" s="6" t="s">
        <v>49</v>
      </c>
      <c r="W2" s="6" t="s">
        <v>43</v>
      </c>
      <c r="X2" s="6" t="s">
        <v>44</v>
      </c>
      <c r="Y2" s="6" t="s">
        <v>45</v>
      </c>
      <c r="Z2" s="6" t="s">
        <v>46</v>
      </c>
      <c r="AA2" s="6" t="s">
        <v>47</v>
      </c>
      <c r="AB2" s="6" t="s">
        <v>48</v>
      </c>
      <c r="AC2" s="6" t="s">
        <v>49</v>
      </c>
      <c r="AD2" s="6" t="s">
        <v>43</v>
      </c>
      <c r="AE2" s="6" t="s">
        <v>44</v>
      </c>
      <c r="AF2" s="6" t="s">
        <v>45</v>
      </c>
    </row>
    <row r="3">
      <c r="A3" s="1" t="s">
        <v>62</v>
      </c>
      <c r="B3" s="1" t="s">
        <v>63</v>
      </c>
      <c r="C3" s="1" t="s">
        <v>63</v>
      </c>
      <c r="D3" s="9"/>
      <c r="E3" s="9"/>
      <c r="I3" s="1" t="s">
        <v>63</v>
      </c>
      <c r="J3" s="1" t="s">
        <v>63</v>
      </c>
      <c r="K3" s="9"/>
      <c r="P3" s="1" t="s">
        <v>64</v>
      </c>
      <c r="Q3" s="1" t="s">
        <v>64</v>
      </c>
      <c r="W3" s="1" t="s">
        <v>64</v>
      </c>
      <c r="X3" s="1" t="s">
        <v>64</v>
      </c>
      <c r="Z3" s="9"/>
      <c r="AA3" s="1"/>
      <c r="AC3" s="1"/>
      <c r="AD3" s="1" t="s">
        <v>63</v>
      </c>
      <c r="AE3" s="1" t="s">
        <v>63</v>
      </c>
      <c r="AF3" s="1"/>
    </row>
    <row r="4">
      <c r="A4" s="10"/>
      <c r="B4" s="12" t="s">
        <v>65</v>
      </c>
      <c r="V4" s="13"/>
      <c r="W4" s="13"/>
      <c r="X4" s="13"/>
      <c r="Y4" s="13"/>
      <c r="Z4" s="14" t="s">
        <v>68</v>
      </c>
    </row>
    <row r="5">
      <c r="A5" s="10"/>
      <c r="G5" s="16" t="s">
        <v>70</v>
      </c>
      <c r="H5" s="16" t="s">
        <v>70</v>
      </c>
      <c r="K5" s="18" t="s">
        <v>71</v>
      </c>
      <c r="L5" s="19"/>
      <c r="N5" s="18" t="s">
        <v>72</v>
      </c>
      <c r="Q5" s="13"/>
      <c r="R5" s="18" t="s">
        <v>73</v>
      </c>
      <c r="S5" s="13"/>
      <c r="T5" s="13"/>
      <c r="U5" s="13"/>
      <c r="V5" s="18" t="s">
        <v>76</v>
      </c>
      <c r="W5" s="13"/>
      <c r="X5" s="13"/>
      <c r="Y5" s="18" t="s">
        <v>77</v>
      </c>
      <c r="Z5" s="18" t="s">
        <v>78</v>
      </c>
      <c r="AC5" s="18" t="s">
        <v>79</v>
      </c>
    </row>
    <row r="6">
      <c r="A6" s="10"/>
      <c r="H6" s="21"/>
      <c r="K6" s="22"/>
      <c r="L6" s="19"/>
      <c r="N6" s="18" t="s">
        <v>82</v>
      </c>
      <c r="O6" s="18" t="s">
        <v>83</v>
      </c>
      <c r="Q6" s="13"/>
      <c r="R6" s="18" t="s">
        <v>84</v>
      </c>
      <c r="S6" s="13"/>
      <c r="T6" s="13"/>
      <c r="U6" s="13"/>
      <c r="V6" s="13"/>
      <c r="W6" s="13"/>
      <c r="X6" s="13"/>
      <c r="Y6" s="13"/>
      <c r="Z6" s="22"/>
      <c r="AA6" s="18" t="s">
        <v>85</v>
      </c>
    </row>
    <row r="7">
      <c r="A7" s="24"/>
      <c r="B7" s="24"/>
      <c r="C7" s="24"/>
      <c r="D7" s="24"/>
      <c r="E7" s="24"/>
      <c r="F7" s="24"/>
      <c r="G7" s="24"/>
      <c r="H7" s="24"/>
      <c r="I7" s="24"/>
      <c r="J7" s="24"/>
      <c r="K7" s="24"/>
      <c r="L7" s="24"/>
      <c r="M7" s="27"/>
      <c r="N7" s="27"/>
      <c r="O7" s="27"/>
      <c r="P7" s="27"/>
      <c r="Q7" s="27"/>
      <c r="R7" s="24"/>
      <c r="S7" s="24"/>
      <c r="T7" s="24"/>
      <c r="U7" s="24"/>
      <c r="V7" s="24"/>
      <c r="W7" s="24"/>
      <c r="X7" s="24"/>
      <c r="Y7" s="24"/>
      <c r="Z7" s="24"/>
      <c r="AA7" s="24"/>
      <c r="AB7" s="24"/>
      <c r="AC7" s="24"/>
      <c r="AD7" s="24"/>
      <c r="AE7" s="24"/>
      <c r="AF7" s="24"/>
    </row>
    <row r="8">
      <c r="A8" s="29" t="s">
        <v>89</v>
      </c>
      <c r="B8" s="30">
        <f t="shared" ref="B8:AF8" si="1">sum(B9:B12)</f>
        <v>45643.43</v>
      </c>
      <c r="C8" s="30">
        <f t="shared" si="1"/>
        <v>45073.44</v>
      </c>
      <c r="D8" s="30">
        <f t="shared" si="1"/>
        <v>38928.55</v>
      </c>
      <c r="E8" s="30">
        <f t="shared" si="1"/>
        <v>42623.92</v>
      </c>
      <c r="F8" s="30">
        <f t="shared" si="1"/>
        <v>41052.98</v>
      </c>
      <c r="G8" s="30">
        <f t="shared" si="1"/>
        <v>44139.05</v>
      </c>
      <c r="H8" s="30">
        <f t="shared" si="1"/>
        <v>46442.05</v>
      </c>
      <c r="I8" s="30">
        <f t="shared" si="1"/>
        <v>54824.78</v>
      </c>
      <c r="J8" s="30">
        <f t="shared" si="1"/>
        <v>52242.94</v>
      </c>
      <c r="K8" s="30">
        <f t="shared" si="1"/>
        <v>49723.04</v>
      </c>
      <c r="L8" s="30">
        <f t="shared" si="1"/>
        <v>49446.04</v>
      </c>
      <c r="M8" s="30">
        <f t="shared" si="1"/>
        <v>49929.89</v>
      </c>
      <c r="N8" s="30">
        <f t="shared" si="1"/>
        <v>78505.41</v>
      </c>
      <c r="O8" s="30">
        <f t="shared" si="1"/>
        <v>70372.88</v>
      </c>
      <c r="P8" s="30">
        <f t="shared" si="1"/>
        <v>60036.63</v>
      </c>
      <c r="Q8" s="30">
        <f t="shared" si="1"/>
        <v>60758.67</v>
      </c>
      <c r="R8" s="30">
        <f t="shared" si="1"/>
        <v>33617.88</v>
      </c>
      <c r="S8" s="30">
        <f t="shared" si="1"/>
        <v>59553.78</v>
      </c>
      <c r="T8" s="30">
        <f t="shared" si="1"/>
        <v>43309.02</v>
      </c>
      <c r="U8" s="30">
        <f t="shared" si="1"/>
        <v>49519.16</v>
      </c>
      <c r="V8" s="30">
        <f t="shared" si="1"/>
        <v>45317.33</v>
      </c>
      <c r="W8" s="30">
        <f t="shared" si="1"/>
        <v>45468.29</v>
      </c>
      <c r="X8" s="30">
        <f t="shared" si="1"/>
        <v>39514.22</v>
      </c>
      <c r="Y8" s="30">
        <f t="shared" si="1"/>
        <v>32580.33</v>
      </c>
      <c r="Z8" s="30">
        <f t="shared" si="1"/>
        <v>34191.35</v>
      </c>
      <c r="AA8" s="30">
        <f t="shared" si="1"/>
        <v>31459.69</v>
      </c>
      <c r="AB8" s="30">
        <f t="shared" si="1"/>
        <v>34850.36</v>
      </c>
      <c r="AC8" s="30">
        <f t="shared" si="1"/>
        <v>32209.07</v>
      </c>
      <c r="AD8" s="30">
        <f t="shared" si="1"/>
        <v>31661.81</v>
      </c>
      <c r="AE8" s="30">
        <f t="shared" si="1"/>
        <v>32033.77</v>
      </c>
      <c r="AF8" s="30">
        <f t="shared" si="1"/>
        <v>36477.99</v>
      </c>
    </row>
    <row r="9" outlineLevel="1">
      <c r="A9" s="36" t="s">
        <v>95</v>
      </c>
      <c r="B9" s="37">
        <v>36339.3</v>
      </c>
      <c r="C9" s="37">
        <v>35421.0</v>
      </c>
      <c r="D9" s="37">
        <v>31591.8</v>
      </c>
      <c r="E9" s="37">
        <v>34100.4</v>
      </c>
      <c r="F9" s="37">
        <v>33472.26</v>
      </c>
      <c r="G9" s="37">
        <v>35821.56</v>
      </c>
      <c r="H9" s="37">
        <v>38210.4</v>
      </c>
      <c r="I9" s="37">
        <v>43742.46</v>
      </c>
      <c r="J9" s="37">
        <v>41422.2</v>
      </c>
      <c r="K9" s="37">
        <v>39284.96</v>
      </c>
      <c r="L9" s="37">
        <v>40703.3</v>
      </c>
      <c r="M9" s="37">
        <v>41234.16</v>
      </c>
      <c r="N9" s="37">
        <v>63104.9</v>
      </c>
      <c r="O9" s="37">
        <v>56976.1</v>
      </c>
      <c r="P9" s="37">
        <v>47668.1</v>
      </c>
      <c r="Q9" s="37">
        <v>49046.66</v>
      </c>
      <c r="R9" s="37">
        <v>26941.0</v>
      </c>
      <c r="S9" s="37">
        <v>48103.1</v>
      </c>
      <c r="T9" s="37">
        <v>35159.9</v>
      </c>
      <c r="U9" s="37">
        <v>39792.4</v>
      </c>
      <c r="V9" s="37">
        <v>36372.6</v>
      </c>
      <c r="W9" s="37">
        <v>36633.8</v>
      </c>
      <c r="X9" s="37">
        <v>30906.36</v>
      </c>
      <c r="Y9" s="37">
        <v>26358.4</v>
      </c>
      <c r="Z9" s="37">
        <v>27558.89</v>
      </c>
      <c r="AA9" s="39">
        <v>25640.36</v>
      </c>
      <c r="AB9" s="39">
        <v>28999.96</v>
      </c>
      <c r="AC9" s="37">
        <v>26447.16</v>
      </c>
      <c r="AD9" s="39">
        <v>25269.66</v>
      </c>
      <c r="AE9" s="39">
        <v>25398.43</v>
      </c>
      <c r="AF9" s="39">
        <v>29808.2</v>
      </c>
    </row>
    <row r="10" outlineLevel="1">
      <c r="A10" s="36" t="s">
        <v>98</v>
      </c>
      <c r="B10" s="37">
        <v>3989.9</v>
      </c>
      <c r="C10" s="37">
        <v>4273.0</v>
      </c>
      <c r="D10" s="37">
        <v>2907.0</v>
      </c>
      <c r="E10" s="37">
        <v>3694.0</v>
      </c>
      <c r="F10" s="37">
        <v>2903.84</v>
      </c>
      <c r="G10" s="37">
        <v>3373.34</v>
      </c>
      <c r="H10" s="37">
        <v>3094.0</v>
      </c>
      <c r="I10" s="37">
        <v>4878.34</v>
      </c>
      <c r="J10" s="37">
        <v>4884.2</v>
      </c>
      <c r="K10" s="37">
        <v>4714.34</v>
      </c>
      <c r="L10" s="37">
        <v>3192.0</v>
      </c>
      <c r="M10" s="37">
        <v>3191.34</v>
      </c>
      <c r="N10" s="37">
        <v>6532.0</v>
      </c>
      <c r="O10" s="37">
        <v>5318.7</v>
      </c>
      <c r="P10" s="37">
        <v>5447.5</v>
      </c>
      <c r="Q10" s="37">
        <v>4774.34</v>
      </c>
      <c r="R10" s="37">
        <v>2782.5</v>
      </c>
      <c r="S10" s="37">
        <v>4742.0</v>
      </c>
      <c r="T10" s="37">
        <v>3127.5</v>
      </c>
      <c r="U10" s="37">
        <v>4219.0</v>
      </c>
      <c r="V10" s="37">
        <v>3698.0</v>
      </c>
      <c r="W10" s="37">
        <v>3777.5</v>
      </c>
      <c r="X10" s="37">
        <v>4035.84</v>
      </c>
      <c r="Y10" s="37">
        <v>2513.0</v>
      </c>
      <c r="Z10" s="37">
        <v>2883.51</v>
      </c>
      <c r="AA10" s="39">
        <v>2296.84</v>
      </c>
      <c r="AB10" s="39">
        <v>2151.84</v>
      </c>
      <c r="AC10" s="37">
        <v>2146.84</v>
      </c>
      <c r="AD10" s="39">
        <v>2833.34</v>
      </c>
      <c r="AE10" s="39">
        <v>2899.17</v>
      </c>
      <c r="AF10" s="39">
        <v>2702.4</v>
      </c>
    </row>
    <row r="11" outlineLevel="1">
      <c r="A11" s="36" t="s">
        <v>102</v>
      </c>
      <c r="B11" s="37">
        <v>2609.23</v>
      </c>
      <c r="C11" s="37">
        <v>2794.44</v>
      </c>
      <c r="D11" s="37">
        <v>2179.75</v>
      </c>
      <c r="E11" s="37">
        <v>2264.52</v>
      </c>
      <c r="F11" s="37">
        <v>2326.88</v>
      </c>
      <c r="G11" s="37">
        <v>2594.15</v>
      </c>
      <c r="H11" s="37">
        <v>2622.65</v>
      </c>
      <c r="I11" s="37">
        <v>3158.98</v>
      </c>
      <c r="J11" s="37">
        <v>2956.54</v>
      </c>
      <c r="K11" s="37">
        <v>2753.74</v>
      </c>
      <c r="L11" s="37">
        <v>2970.74</v>
      </c>
      <c r="M11" s="37">
        <v>2809.39</v>
      </c>
      <c r="N11" s="37">
        <v>4513.51</v>
      </c>
      <c r="O11" s="37">
        <v>4143.08</v>
      </c>
      <c r="P11" s="37">
        <v>3461.03</v>
      </c>
      <c r="Q11" s="37">
        <v>3387.67</v>
      </c>
      <c r="R11" s="37">
        <v>1939.38</v>
      </c>
      <c r="S11" s="37">
        <v>3498.68</v>
      </c>
      <c r="T11" s="37">
        <v>2561.62</v>
      </c>
      <c r="U11" s="37">
        <v>2827.76</v>
      </c>
      <c r="V11" s="37">
        <v>2666.73</v>
      </c>
      <c r="W11" s="37">
        <v>2596.99</v>
      </c>
      <c r="X11" s="37">
        <v>2267.02</v>
      </c>
      <c r="Y11" s="37">
        <v>1868.93</v>
      </c>
      <c r="Z11" s="37">
        <v>1873.95</v>
      </c>
      <c r="AA11" s="37">
        <v>1777.49</v>
      </c>
      <c r="AB11" s="37">
        <v>1878.56</v>
      </c>
      <c r="AC11" s="37">
        <v>1670.07</v>
      </c>
      <c r="AD11" s="39">
        <v>1808.81</v>
      </c>
      <c r="AE11" s="39">
        <v>1886.17</v>
      </c>
      <c r="AF11" s="39">
        <v>1967.39</v>
      </c>
    </row>
    <row r="12" outlineLevel="1">
      <c r="A12" s="36" t="s">
        <v>105</v>
      </c>
      <c r="B12" s="37">
        <v>2705.0</v>
      </c>
      <c r="C12" s="37">
        <v>2585.0</v>
      </c>
      <c r="D12" s="37">
        <v>2250.0</v>
      </c>
      <c r="E12" s="37">
        <v>2565.0</v>
      </c>
      <c r="F12" s="37">
        <v>2350.0</v>
      </c>
      <c r="G12" s="37">
        <v>2350.0</v>
      </c>
      <c r="H12" s="37">
        <v>2515.0</v>
      </c>
      <c r="I12" s="37">
        <v>3045.0</v>
      </c>
      <c r="J12" s="37">
        <v>2980.0</v>
      </c>
      <c r="K12" s="37">
        <v>2970.0</v>
      </c>
      <c r="L12" s="37">
        <v>2580.0</v>
      </c>
      <c r="M12" s="37">
        <v>2695.0</v>
      </c>
      <c r="N12" s="37">
        <v>4355.0</v>
      </c>
      <c r="O12" s="37">
        <v>3935.0</v>
      </c>
      <c r="P12" s="37">
        <v>3460.0</v>
      </c>
      <c r="Q12" s="37">
        <v>3550.0</v>
      </c>
      <c r="R12" s="37">
        <v>1955.0</v>
      </c>
      <c r="S12" s="37">
        <v>3210.0</v>
      </c>
      <c r="T12" s="37">
        <v>2460.0</v>
      </c>
      <c r="U12" s="37">
        <v>2680.0</v>
      </c>
      <c r="V12" s="37">
        <v>2580.0</v>
      </c>
      <c r="W12" s="37">
        <v>2460.0</v>
      </c>
      <c r="X12" s="37">
        <v>2305.0</v>
      </c>
      <c r="Y12" s="37">
        <v>1840.0</v>
      </c>
      <c r="Z12" s="37">
        <v>1875.0</v>
      </c>
      <c r="AA12" s="37">
        <v>1745.0</v>
      </c>
      <c r="AB12" s="37">
        <v>1820.0</v>
      </c>
      <c r="AC12" s="37">
        <v>1945.0</v>
      </c>
      <c r="AD12" s="39">
        <v>1750.0</v>
      </c>
      <c r="AE12" s="39">
        <v>1850.0</v>
      </c>
      <c r="AF12" s="39">
        <v>2000.0</v>
      </c>
    </row>
    <row r="13">
      <c r="A13" s="48" t="s">
        <v>107</v>
      </c>
      <c r="B13" s="50">
        <f t="shared" ref="B13:AF13" si="2">SUM(B8)</f>
        <v>45643.43</v>
      </c>
      <c r="C13" s="50">
        <f t="shared" si="2"/>
        <v>45073.44</v>
      </c>
      <c r="D13" s="50">
        <f t="shared" si="2"/>
        <v>38928.55</v>
      </c>
      <c r="E13" s="50">
        <f t="shared" si="2"/>
        <v>42623.92</v>
      </c>
      <c r="F13" s="50">
        <f t="shared" si="2"/>
        <v>41052.98</v>
      </c>
      <c r="G13" s="50">
        <f t="shared" si="2"/>
        <v>44139.05</v>
      </c>
      <c r="H13" s="50">
        <f t="shared" si="2"/>
        <v>46442.05</v>
      </c>
      <c r="I13" s="50">
        <f t="shared" si="2"/>
        <v>54824.78</v>
      </c>
      <c r="J13" s="50">
        <f t="shared" si="2"/>
        <v>52242.94</v>
      </c>
      <c r="K13" s="50">
        <f t="shared" si="2"/>
        <v>49723.04</v>
      </c>
      <c r="L13" s="50">
        <f t="shared" si="2"/>
        <v>49446.04</v>
      </c>
      <c r="M13" s="50">
        <f t="shared" si="2"/>
        <v>49929.89</v>
      </c>
      <c r="N13" s="50">
        <f t="shared" si="2"/>
        <v>78505.41</v>
      </c>
      <c r="O13" s="50">
        <f t="shared" si="2"/>
        <v>70372.88</v>
      </c>
      <c r="P13" s="50">
        <f t="shared" si="2"/>
        <v>60036.63</v>
      </c>
      <c r="Q13" s="50">
        <f t="shared" si="2"/>
        <v>60758.67</v>
      </c>
      <c r="R13" s="50">
        <f t="shared" si="2"/>
        <v>33617.88</v>
      </c>
      <c r="S13" s="50">
        <f t="shared" si="2"/>
        <v>59553.78</v>
      </c>
      <c r="T13" s="50">
        <f t="shared" si="2"/>
        <v>43309.02</v>
      </c>
      <c r="U13" s="50">
        <f t="shared" si="2"/>
        <v>49519.16</v>
      </c>
      <c r="V13" s="50">
        <f t="shared" si="2"/>
        <v>45317.33</v>
      </c>
      <c r="W13" s="50">
        <f t="shared" si="2"/>
        <v>45468.29</v>
      </c>
      <c r="X13" s="50">
        <f t="shared" si="2"/>
        <v>39514.22</v>
      </c>
      <c r="Y13" s="50">
        <f t="shared" si="2"/>
        <v>32580.33</v>
      </c>
      <c r="Z13" s="50">
        <f t="shared" si="2"/>
        <v>34191.35</v>
      </c>
      <c r="AA13" s="50">
        <f t="shared" si="2"/>
        <v>31459.69</v>
      </c>
      <c r="AB13" s="50">
        <f t="shared" si="2"/>
        <v>34850.36</v>
      </c>
      <c r="AC13" s="50">
        <f t="shared" si="2"/>
        <v>32209.07</v>
      </c>
      <c r="AD13" s="50">
        <f t="shared" si="2"/>
        <v>31661.81</v>
      </c>
      <c r="AE13" s="50">
        <f t="shared" si="2"/>
        <v>32033.77</v>
      </c>
      <c r="AF13" s="50">
        <f t="shared" si="2"/>
        <v>36477.99</v>
      </c>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row>
    <row r="15">
      <c r="A15" s="29" t="s">
        <v>110</v>
      </c>
      <c r="B15" s="56">
        <v>196.0</v>
      </c>
      <c r="C15" s="56">
        <v>181.0</v>
      </c>
      <c r="D15" s="56">
        <v>159.0</v>
      </c>
      <c r="E15" s="56">
        <v>187.0</v>
      </c>
      <c r="F15" s="56">
        <v>174.0</v>
      </c>
      <c r="G15" s="56">
        <v>186.0</v>
      </c>
      <c r="H15" s="56">
        <v>197.0</v>
      </c>
      <c r="I15" s="56">
        <v>239.0</v>
      </c>
      <c r="J15" s="56">
        <v>221.0</v>
      </c>
      <c r="K15" s="56">
        <v>219.0</v>
      </c>
      <c r="L15" s="56">
        <v>210.0</v>
      </c>
      <c r="M15" s="56">
        <v>200.0</v>
      </c>
      <c r="N15" s="56">
        <v>333.0</v>
      </c>
      <c r="O15" s="56">
        <v>294.0</v>
      </c>
      <c r="P15" s="56">
        <v>255.0</v>
      </c>
      <c r="Q15" s="56">
        <v>256.0</v>
      </c>
      <c r="R15" s="56">
        <v>153.0</v>
      </c>
      <c r="S15" s="56">
        <v>240.0</v>
      </c>
      <c r="T15" s="56">
        <v>177.0</v>
      </c>
      <c r="U15" s="56">
        <v>200.0</v>
      </c>
      <c r="V15" s="56">
        <v>192.0</v>
      </c>
      <c r="W15" s="56">
        <v>191.0</v>
      </c>
      <c r="X15" s="56">
        <v>173.0</v>
      </c>
      <c r="Y15" s="56">
        <v>130.0</v>
      </c>
      <c r="Z15" s="56">
        <v>135.0</v>
      </c>
      <c r="AA15" s="56">
        <v>119.0</v>
      </c>
      <c r="AB15" s="56">
        <v>130.0</v>
      </c>
      <c r="AC15" s="56">
        <v>133.0</v>
      </c>
      <c r="AD15" s="56">
        <v>131.0</v>
      </c>
      <c r="AE15" s="56">
        <v>132.0</v>
      </c>
      <c r="AF15" s="56">
        <v>141.0</v>
      </c>
    </row>
    <row r="16" outlineLevel="1">
      <c r="A16" s="36" t="s">
        <v>111</v>
      </c>
      <c r="B16" s="58">
        <v>151.0</v>
      </c>
      <c r="C16" s="58">
        <v>149.0</v>
      </c>
      <c r="D16" s="58">
        <v>134.0</v>
      </c>
      <c r="E16" s="58">
        <v>146.0</v>
      </c>
      <c r="F16" s="58">
        <v>147.0</v>
      </c>
      <c r="G16" s="58">
        <v>154.0</v>
      </c>
      <c r="H16" s="58">
        <v>170.0</v>
      </c>
      <c r="I16" s="58">
        <v>189.0</v>
      </c>
      <c r="J16" s="58">
        <v>178.0</v>
      </c>
      <c r="K16" s="58">
        <v>174.0</v>
      </c>
      <c r="L16" s="58">
        <v>181.0</v>
      </c>
      <c r="M16" s="58">
        <v>182.0</v>
      </c>
      <c r="N16" s="58">
        <v>287.0</v>
      </c>
      <c r="O16" s="58">
        <v>263.0</v>
      </c>
      <c r="P16" s="58">
        <v>217.0</v>
      </c>
      <c r="Q16" s="58">
        <v>222.0</v>
      </c>
      <c r="R16" s="58">
        <v>122.0</v>
      </c>
      <c r="S16" s="58">
        <v>213.0</v>
      </c>
      <c r="T16" s="58">
        <v>154.0</v>
      </c>
      <c r="U16" s="58">
        <v>171.0</v>
      </c>
      <c r="V16" s="58">
        <v>154.0</v>
      </c>
      <c r="W16" s="58">
        <v>146.0</v>
      </c>
      <c r="X16" s="58">
        <v>125.0</v>
      </c>
      <c r="Y16" s="58">
        <v>104.0</v>
      </c>
      <c r="Z16" s="58">
        <v>112.0</v>
      </c>
      <c r="AA16" s="58">
        <v>106.0</v>
      </c>
      <c r="AB16" s="58">
        <v>119.0</v>
      </c>
      <c r="AC16" s="58">
        <v>112.0</v>
      </c>
      <c r="AD16" s="58">
        <v>103.0</v>
      </c>
      <c r="AE16" s="58">
        <v>106.0</v>
      </c>
      <c r="AF16" s="58">
        <v>122.0</v>
      </c>
    </row>
    <row r="17" outlineLevel="1">
      <c r="A17" s="36" t="s">
        <v>115</v>
      </c>
      <c r="B17" s="58">
        <v>134.0</v>
      </c>
      <c r="C17" s="58">
        <v>150.0</v>
      </c>
      <c r="D17" s="58">
        <v>94.0</v>
      </c>
      <c r="E17" s="58">
        <v>122.0</v>
      </c>
      <c r="F17" s="58">
        <v>104.0</v>
      </c>
      <c r="G17" s="58">
        <v>109.0</v>
      </c>
      <c r="H17" s="58">
        <v>101.0</v>
      </c>
      <c r="I17" s="58">
        <v>167.0</v>
      </c>
      <c r="J17" s="58">
        <v>160.0</v>
      </c>
      <c r="K17" s="58">
        <v>154.0</v>
      </c>
      <c r="L17" s="58">
        <v>118.0</v>
      </c>
      <c r="M17" s="58">
        <v>114.0</v>
      </c>
      <c r="N17" s="58">
        <v>221.0</v>
      </c>
      <c r="O17" s="58">
        <v>183.0</v>
      </c>
      <c r="P17" s="58">
        <v>197.0</v>
      </c>
      <c r="Q17" s="58">
        <v>176.0</v>
      </c>
      <c r="R17" s="58">
        <v>93.0</v>
      </c>
      <c r="S17" s="58">
        <v>170.0</v>
      </c>
      <c r="T17" s="58">
        <v>120.0</v>
      </c>
      <c r="U17" s="58">
        <v>145.0</v>
      </c>
      <c r="V17" s="58">
        <v>132.0</v>
      </c>
      <c r="W17" s="58">
        <v>135.0</v>
      </c>
      <c r="X17" s="58">
        <v>138.0</v>
      </c>
      <c r="Y17" s="58">
        <v>92.0</v>
      </c>
      <c r="Z17" s="58">
        <v>95.0</v>
      </c>
      <c r="AA17" s="58">
        <v>83.0</v>
      </c>
      <c r="AB17" s="58">
        <v>80.0</v>
      </c>
      <c r="AC17" s="58">
        <v>75.0</v>
      </c>
      <c r="AD17" s="58">
        <v>90.0</v>
      </c>
      <c r="AE17" s="58">
        <v>99.0</v>
      </c>
      <c r="AF17" s="58">
        <v>98.0</v>
      </c>
    </row>
    <row r="18">
      <c r="A18" s="48" t="s">
        <v>118</v>
      </c>
      <c r="B18" s="64">
        <f t="shared" ref="B18:AF18" si="3">SUM(B15)</f>
        <v>196</v>
      </c>
      <c r="C18" s="64">
        <f t="shared" si="3"/>
        <v>181</v>
      </c>
      <c r="D18" s="64">
        <f t="shared" si="3"/>
        <v>159</v>
      </c>
      <c r="E18" s="64">
        <f t="shared" si="3"/>
        <v>187</v>
      </c>
      <c r="F18" s="64">
        <f t="shared" si="3"/>
        <v>174</v>
      </c>
      <c r="G18" s="64">
        <f t="shared" si="3"/>
        <v>186</v>
      </c>
      <c r="H18" s="64">
        <f t="shared" si="3"/>
        <v>197</v>
      </c>
      <c r="I18" s="64">
        <f t="shared" si="3"/>
        <v>239</v>
      </c>
      <c r="J18" s="64">
        <f t="shared" si="3"/>
        <v>221</v>
      </c>
      <c r="K18" s="64">
        <f t="shared" si="3"/>
        <v>219</v>
      </c>
      <c r="L18" s="64">
        <f t="shared" si="3"/>
        <v>210</v>
      </c>
      <c r="M18" s="64">
        <f t="shared" si="3"/>
        <v>200</v>
      </c>
      <c r="N18" s="64">
        <f t="shared" si="3"/>
        <v>333</v>
      </c>
      <c r="O18" s="64">
        <f t="shared" si="3"/>
        <v>294</v>
      </c>
      <c r="P18" s="64">
        <f t="shared" si="3"/>
        <v>255</v>
      </c>
      <c r="Q18" s="64">
        <f t="shared" si="3"/>
        <v>256</v>
      </c>
      <c r="R18" s="64">
        <f t="shared" si="3"/>
        <v>153</v>
      </c>
      <c r="S18" s="64">
        <f t="shared" si="3"/>
        <v>240</v>
      </c>
      <c r="T18" s="64">
        <f t="shared" si="3"/>
        <v>177</v>
      </c>
      <c r="U18" s="64">
        <f t="shared" si="3"/>
        <v>200</v>
      </c>
      <c r="V18" s="64">
        <f t="shared" si="3"/>
        <v>192</v>
      </c>
      <c r="W18" s="64">
        <f t="shared" si="3"/>
        <v>191</v>
      </c>
      <c r="X18" s="64">
        <f t="shared" si="3"/>
        <v>173</v>
      </c>
      <c r="Y18" s="64">
        <f t="shared" si="3"/>
        <v>130</v>
      </c>
      <c r="Z18" s="64">
        <f t="shared" si="3"/>
        <v>135</v>
      </c>
      <c r="AA18" s="64">
        <f t="shared" si="3"/>
        <v>119</v>
      </c>
      <c r="AB18" s="64">
        <f t="shared" si="3"/>
        <v>130</v>
      </c>
      <c r="AC18" s="64">
        <f t="shared" si="3"/>
        <v>133</v>
      </c>
      <c r="AD18" s="64">
        <f t="shared" si="3"/>
        <v>131</v>
      </c>
      <c r="AE18" s="64">
        <f t="shared" si="3"/>
        <v>132</v>
      </c>
      <c r="AF18" s="64">
        <f t="shared" si="3"/>
        <v>141</v>
      </c>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row>
    <row r="20">
      <c r="A20" s="66" t="s">
        <v>123</v>
      </c>
      <c r="B20" s="67">
        <v>6812.23</v>
      </c>
      <c r="C20" s="67">
        <v>8920.58</v>
      </c>
      <c r="D20" s="67">
        <v>10641.93</v>
      </c>
      <c r="E20" s="67">
        <f>12542.67</f>
        <v>12542.67</v>
      </c>
      <c r="F20" s="67">
        <f>12229.74</f>
        <v>12229.74</v>
      </c>
      <c r="G20" s="67">
        <f>12058.01</f>
        <v>12058.01</v>
      </c>
      <c r="H20" s="67">
        <f>12244.54</f>
        <v>12244.54</v>
      </c>
      <c r="I20" s="67">
        <f>12582.44</f>
        <v>12582.44</v>
      </c>
      <c r="J20" s="67">
        <f>15187</f>
        <v>15187</v>
      </c>
      <c r="K20" s="67">
        <f>14931.46</f>
        <v>14931.46</v>
      </c>
      <c r="L20" s="67">
        <f>13178.9</f>
        <v>13178.9</v>
      </c>
      <c r="M20" s="67">
        <v>8654.11</v>
      </c>
      <c r="N20" s="67">
        <v>8564.89</v>
      </c>
      <c r="O20" s="67">
        <v>11789.45</v>
      </c>
      <c r="P20" s="67">
        <v>15747.93</v>
      </c>
      <c r="Q20" s="67">
        <v>18280.91</v>
      </c>
      <c r="R20" s="67">
        <v>13347.97</v>
      </c>
      <c r="S20" s="67">
        <v>13146.6</v>
      </c>
      <c r="T20" s="67">
        <v>14341.92</v>
      </c>
      <c r="U20" s="67">
        <v>14801.0</v>
      </c>
      <c r="V20" s="67">
        <v>14841.48</v>
      </c>
      <c r="W20" s="67">
        <v>15111.05</v>
      </c>
      <c r="X20" s="67">
        <v>15762.12</v>
      </c>
      <c r="Y20" s="67">
        <v>10132.76</v>
      </c>
      <c r="Z20" s="67">
        <v>8367.72</v>
      </c>
      <c r="AA20" s="67">
        <v>8856.5</v>
      </c>
      <c r="AB20" s="67">
        <v>6682.97</v>
      </c>
      <c r="AC20" s="67">
        <v>6077.66</v>
      </c>
      <c r="AD20" s="67">
        <v>6139.65</v>
      </c>
      <c r="AE20" s="67">
        <v>7096.91</v>
      </c>
      <c r="AF20" s="67">
        <v>7025.38</v>
      </c>
    </row>
    <row r="21" outlineLevel="1">
      <c r="A21" s="71" t="s">
        <v>131</v>
      </c>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row>
    <row r="22">
      <c r="A22" s="36" t="s">
        <v>136</v>
      </c>
      <c r="B22" s="74">
        <f>IFERROR(__xludf.DUMMYFUNCTION("GOOGLEFINANCE(""CURRENCY:EURUSD"")*B20"),7810.5282453499985)</f>
        <v>7810.528245</v>
      </c>
      <c r="C22" s="74">
        <f>IFERROR(__xludf.DUMMYFUNCTION("GOOGLEFINANCE(""CURRENCY:EURUSD"")*C20"),10227.8463961)</f>
        <v>10227.8464</v>
      </c>
      <c r="D22" s="74">
        <f>IFERROR(__xludf.DUMMYFUNCTION("GOOGLEFINANCE(""CURRENCY:EURUSD"")*D20"),12201.45163185)</f>
        <v>12201.45163</v>
      </c>
      <c r="E22" s="74">
        <f>IFERROR(__xludf.DUMMYFUNCTION("GOOGLEFINANCE(""CURRENCY:EURUSD"")*E20"),14380.73557515)</f>
        <v>14380.73558</v>
      </c>
      <c r="F22" s="74">
        <f>IFERROR(__xludf.DUMMYFUNCTION("GOOGLEFINANCE(""CURRENCY:EURUSD"")*F20"),14021.947248299999)</f>
        <v>14021.94725</v>
      </c>
      <c r="G22" s="74">
        <f>IFERROR(__xludf.DUMMYFUNCTION("GOOGLEFINANCE(""CURRENCY:EURUSD"")*G20"),13825.05107545)</f>
        <v>13825.05108</v>
      </c>
      <c r="H22" s="74">
        <f>IFERROR(__xludf.DUMMYFUNCTION("GOOGLEFINANCE(""CURRENCY:EURUSD"")*H20"),14038.9161143)</f>
        <v>14038.91611</v>
      </c>
      <c r="I22" s="74">
        <f>IFERROR(__xludf.DUMMYFUNCTION("GOOGLEFINANCE(""CURRENCY:EURUSD"")*I20"),14426.3336698)</f>
        <v>14426.33367</v>
      </c>
      <c r="J22" s="74">
        <f>IFERROR(__xludf.DUMMYFUNCTION("GOOGLEFINANCE(""CURRENCY:EURUSD"")*J20"),17412.578915)</f>
        <v>17412.57892</v>
      </c>
      <c r="K22" s="74">
        <f>IFERROR(__xludf.DUMMYFUNCTION("GOOGLEFINANCE(""CURRENCY:EURUSD"")*K20"),17119.590805699998)</f>
        <v>17119.59081</v>
      </c>
      <c r="L22" s="74">
        <f>IFERROR(__xludf.DUMMYFUNCTION("GOOGLEFINANCE(""CURRENCY:EURUSD"")*L20"),15110.201900499998)</f>
        <v>15110.2019</v>
      </c>
      <c r="M22" s="74">
        <f>IFERROR(__xludf.DUMMYFUNCTION("GOOGLEFINANCE(""CURRENCY:EURUSD"")*M20"),9922.32654995)</f>
        <v>9922.32655</v>
      </c>
      <c r="N22" s="74">
        <f>IFERROR(__xludf.DUMMYFUNCTION("GOOGLEFINANCE(""CURRENCY:EURUSD"")*N20"),9820.03180505)</f>
        <v>9820.031805</v>
      </c>
      <c r="O22" s="74">
        <f>IFERROR(__xludf.DUMMYFUNCTION("GOOGLEFINANCE(""CURRENCY:EURUSD"")*O20"),13517.13495025)</f>
        <v>13517.13495</v>
      </c>
      <c r="P22" s="74">
        <f>IFERROR(__xludf.DUMMYFUNCTION("GOOGLEFINANCE(""CURRENCY:EURUSD"")*P20"),18055.71040185)</f>
        <v>18055.7104</v>
      </c>
      <c r="Q22" s="74">
        <f>IFERROR(__xludf.DUMMYFUNCTION("GOOGLEFINANCE(""CURRENCY:EURUSD"")*Q20"),20959.885955949998)</f>
        <v>20959.88596</v>
      </c>
      <c r="R22" s="74">
        <f>IFERROR(__xludf.DUMMYFUNCTION("GOOGLEFINANCE(""CURRENCY:EURUSD"")*R20"),15304.048263649998)</f>
        <v>15304.04826</v>
      </c>
      <c r="S22" s="74">
        <f>IFERROR(__xludf.DUMMYFUNCTION("GOOGLEFINANCE(""CURRENCY:EURUSD"")*S20"),15073.168496999999)</f>
        <v>15073.1685</v>
      </c>
      <c r="T22" s="74">
        <f>IFERROR(__xludf.DUMMYFUNCTION("GOOGLEFINANCE(""CURRENCY:EURUSD"")*T20"),16443.6566664)</f>
        <v>16443.65667</v>
      </c>
      <c r="U22" s="74">
        <f>IFERROR(__xludf.DUMMYFUNCTION("GOOGLEFINANCE(""CURRENCY:EURUSD"")*U20"),16970.012544999998)</f>
        <v>16970.01255</v>
      </c>
      <c r="V22" s="74">
        <f>IFERROR(__xludf.DUMMYFUNCTION("GOOGLEFINANCE(""CURRENCY:EURUSD"")*V20"),17016.4246866)</f>
        <v>17016.42469</v>
      </c>
      <c r="W22" s="74">
        <f>IFERROR(__xludf.DUMMYFUNCTION("GOOGLEFINANCE(""CURRENCY:EURUSD"")*W20"),17325.49882225)</f>
        <v>17325.49882</v>
      </c>
      <c r="X22" s="74">
        <f>IFERROR(__xludf.DUMMYFUNCTION("GOOGLEFINANCE(""CURRENCY:EURUSD"")*X20"),18071.9798754)</f>
        <v>18071.97988</v>
      </c>
      <c r="Y22" s="74">
        <f>IFERROR(__xludf.DUMMYFUNCTION("GOOGLEFINANCE(""CURRENCY:EURUSD"")*Y20"),11617.6653142)</f>
        <v>11617.66531</v>
      </c>
      <c r="Z22" s="74">
        <f>IFERROR(__xludf.DUMMYFUNCTION("GOOGLEFINANCE(""CURRENCY:EURUSD"")*Z20"),9593.967527399998)</f>
        <v>9593.967527</v>
      </c>
      <c r="AA22" s="74">
        <f>IFERROR(__xludf.DUMMYFUNCTION("GOOGLEFINANCE(""CURRENCY:EURUSD"")*AA20"),10154.375792499999)</f>
        <v>10154.37579</v>
      </c>
      <c r="AB22" s="74">
        <f>IFERROR(__xludf.DUMMYFUNCTION("GOOGLEFINANCE(""CURRENCY:EURUSD"")*AB20"),7662.32583865)</f>
        <v>7662.325839</v>
      </c>
      <c r="AC22" s="74">
        <f>IFERROR(__xludf.DUMMYFUNCTION("GOOGLEFINANCE(""CURRENCY:EURUSD"")*AC20"),6968.310684699999)</f>
        <v>6968.310685</v>
      </c>
      <c r="AD22" s="74">
        <f>IFERROR(__xludf.DUMMYFUNCTION("GOOGLEFINANCE(""CURRENCY:EURUSD"")*AD20"),7039.385009249999)</f>
        <v>7039.385009</v>
      </c>
      <c r="AE22" s="74">
        <f>IFERROR(__xludf.DUMMYFUNCTION("GOOGLEFINANCE(""CURRENCY:EURUSD"")*AE20"),8136.92667595)</f>
        <v>8136.926676</v>
      </c>
      <c r="AF22" s="74">
        <f>IFERROR(__xludf.DUMMYFUNCTION("GOOGLEFINANCE(""CURRENCY:EURUSD"")*AF20"),8054.9143121)</f>
        <v>8054.914312</v>
      </c>
    </row>
    <row r="23">
      <c r="A23" s="36" t="s">
        <v>143</v>
      </c>
      <c r="B23" s="82">
        <v>3497.11</v>
      </c>
      <c r="C23" s="82">
        <v>3319.47</v>
      </c>
      <c r="D23" s="82">
        <v>3105.73</v>
      </c>
      <c r="E23" s="82">
        <v>3164.17</v>
      </c>
      <c r="F23" s="82">
        <v>2743.6</v>
      </c>
      <c r="G23" s="82">
        <v>3026.1</v>
      </c>
      <c r="H23" s="82">
        <v>3130.09</v>
      </c>
      <c r="I23" s="82">
        <v>3395.52</v>
      </c>
      <c r="J23" s="82">
        <v>3789.66</v>
      </c>
      <c r="K23" s="82">
        <v>3114.09</v>
      </c>
      <c r="L23" s="82">
        <v>3480.59</v>
      </c>
      <c r="M23" s="82">
        <v>3371.41</v>
      </c>
      <c r="N23" s="82">
        <v>3892.08</v>
      </c>
      <c r="O23" s="82">
        <v>4289.26</v>
      </c>
      <c r="P23" s="82">
        <v>5070.66</v>
      </c>
      <c r="Q23" s="82">
        <v>5352.91</v>
      </c>
      <c r="R23" s="82">
        <v>4266.18</v>
      </c>
      <c r="S23" s="82">
        <v>5866.88</v>
      </c>
      <c r="T23" s="82">
        <v>3965.4</v>
      </c>
      <c r="U23" s="82">
        <v>3445.26</v>
      </c>
      <c r="V23" s="82">
        <v>4409.06</v>
      </c>
      <c r="W23" s="82">
        <v>6178.13</v>
      </c>
      <c r="X23" s="82">
        <v>7918.68</v>
      </c>
      <c r="Y23" s="82">
        <v>7299.64</v>
      </c>
      <c r="Z23" s="82">
        <v>6903.82</v>
      </c>
      <c r="AA23" s="82">
        <v>5757.83</v>
      </c>
      <c r="AB23" s="82">
        <v>6501.5</v>
      </c>
      <c r="AC23" s="82">
        <v>6675.18</v>
      </c>
      <c r="AD23" s="82">
        <v>5629.81</v>
      </c>
      <c r="AE23" s="82">
        <v>3929.84</v>
      </c>
      <c r="AF23" s="82">
        <v>2235.27</v>
      </c>
    </row>
    <row r="24">
      <c r="A24" s="36" t="s">
        <v>146</v>
      </c>
      <c r="B24" s="82">
        <v>244.51</v>
      </c>
      <c r="C24" s="82">
        <v>259.8</v>
      </c>
      <c r="D24" s="82">
        <v>259.73</v>
      </c>
      <c r="E24" s="82">
        <v>251.56</v>
      </c>
      <c r="F24" s="82">
        <v>260.93</v>
      </c>
      <c r="G24" s="82">
        <v>252.96</v>
      </c>
      <c r="H24" s="82">
        <v>250.94</v>
      </c>
      <c r="I24" s="82">
        <v>249.85</v>
      </c>
      <c r="J24" s="82">
        <v>248.72</v>
      </c>
      <c r="K24" s="82">
        <v>245.95</v>
      </c>
      <c r="L24" s="82">
        <v>250.54</v>
      </c>
      <c r="M24" s="82">
        <v>247.66</v>
      </c>
      <c r="N24" s="82">
        <v>82.36</v>
      </c>
      <c r="O24" s="82">
        <v>0.0</v>
      </c>
      <c r="P24" s="82">
        <v>0.0</v>
      </c>
      <c r="Q24" s="82">
        <v>0.0</v>
      </c>
      <c r="R24" s="82">
        <v>0.0</v>
      </c>
      <c r="S24" s="82">
        <v>0.0</v>
      </c>
      <c r="T24" s="82">
        <v>130.29</v>
      </c>
      <c r="U24" s="82">
        <v>247.33</v>
      </c>
      <c r="V24" s="82">
        <v>241.87</v>
      </c>
      <c r="W24" s="82">
        <v>267.6</v>
      </c>
      <c r="X24" s="82">
        <v>247.2</v>
      </c>
      <c r="Y24" s="82">
        <v>239.41</v>
      </c>
      <c r="Z24" s="82">
        <v>253.25</v>
      </c>
      <c r="AA24" s="82">
        <v>281.69</v>
      </c>
      <c r="AB24" s="82">
        <v>262.48</v>
      </c>
      <c r="AC24" s="82">
        <v>301.09</v>
      </c>
      <c r="AD24" s="82">
        <v>283.72</v>
      </c>
      <c r="AE24" s="82">
        <v>289.28</v>
      </c>
      <c r="AF24" s="82">
        <v>296.9</v>
      </c>
    </row>
    <row r="25">
      <c r="A25" s="36" t="s">
        <v>148</v>
      </c>
      <c r="B25" s="82">
        <v>0.0</v>
      </c>
      <c r="C25" s="82">
        <v>0.0</v>
      </c>
      <c r="D25" s="82">
        <v>0.0</v>
      </c>
      <c r="E25" s="82">
        <v>0.0</v>
      </c>
      <c r="F25" s="82">
        <v>0.0</v>
      </c>
      <c r="G25" s="82">
        <v>0.0</v>
      </c>
      <c r="H25" s="82">
        <v>0.0</v>
      </c>
      <c r="I25" s="82">
        <v>0.0</v>
      </c>
      <c r="J25" s="82">
        <v>0.0</v>
      </c>
      <c r="K25" s="82">
        <v>0.0</v>
      </c>
      <c r="L25" s="82">
        <v>0.0</v>
      </c>
      <c r="M25" s="82">
        <v>0.0</v>
      </c>
      <c r="N25" s="82">
        <v>0.0</v>
      </c>
      <c r="O25" s="82">
        <v>0.0</v>
      </c>
      <c r="P25" s="82">
        <v>0.0</v>
      </c>
      <c r="Q25" s="82">
        <v>0.0</v>
      </c>
      <c r="R25" s="82">
        <v>0.0</v>
      </c>
      <c r="S25" s="82">
        <v>0.0</v>
      </c>
      <c r="T25" s="82">
        <v>0.0</v>
      </c>
      <c r="U25" s="82">
        <v>0.0</v>
      </c>
      <c r="V25" s="82">
        <v>0.0</v>
      </c>
      <c r="W25" s="82">
        <v>0.0</v>
      </c>
      <c r="X25" s="82">
        <v>0.0</v>
      </c>
      <c r="Y25" s="82">
        <v>0.0</v>
      </c>
      <c r="Z25" s="82">
        <v>0.0</v>
      </c>
      <c r="AA25" s="82">
        <v>0.0</v>
      </c>
      <c r="AB25" s="82">
        <v>0.0</v>
      </c>
      <c r="AC25" s="82">
        <v>0.0</v>
      </c>
      <c r="AD25" s="82">
        <v>0.0</v>
      </c>
      <c r="AE25" s="82">
        <v>0.0</v>
      </c>
      <c r="AF25" s="82">
        <v>0.0</v>
      </c>
    </row>
    <row r="26">
      <c r="A26" s="36" t="s">
        <v>152</v>
      </c>
      <c r="B26" s="82">
        <v>0.0</v>
      </c>
      <c r="C26" s="82">
        <v>0.0</v>
      </c>
      <c r="D26" s="82">
        <v>0.0</v>
      </c>
      <c r="E26" s="82">
        <v>0.0</v>
      </c>
      <c r="F26" s="82">
        <v>0.0</v>
      </c>
      <c r="G26" s="82">
        <v>0.0</v>
      </c>
      <c r="H26" s="82">
        <v>0.0</v>
      </c>
      <c r="I26" s="82">
        <v>0.0</v>
      </c>
      <c r="J26" s="82">
        <v>0.0</v>
      </c>
      <c r="K26" s="82">
        <v>0.0</v>
      </c>
      <c r="L26" s="82">
        <v>0.0</v>
      </c>
      <c r="M26" s="82">
        <v>0.0</v>
      </c>
      <c r="N26" s="82">
        <v>0.0</v>
      </c>
      <c r="O26" s="82">
        <v>0.0</v>
      </c>
      <c r="P26" s="82">
        <v>0.0</v>
      </c>
      <c r="Q26" s="82">
        <v>0.0</v>
      </c>
      <c r="R26" s="82">
        <v>0.0</v>
      </c>
      <c r="S26" s="82">
        <v>0.0</v>
      </c>
      <c r="T26" s="82">
        <v>0.0</v>
      </c>
      <c r="U26" s="82">
        <v>0.0</v>
      </c>
      <c r="V26" s="82">
        <v>0.0</v>
      </c>
      <c r="W26" s="82">
        <v>0.0</v>
      </c>
      <c r="X26" s="82">
        <v>0.0</v>
      </c>
      <c r="Y26" s="82">
        <v>0.0</v>
      </c>
      <c r="Z26" s="82">
        <v>0.0</v>
      </c>
      <c r="AA26" s="82">
        <v>0.0</v>
      </c>
      <c r="AB26" s="82">
        <v>0.0</v>
      </c>
      <c r="AC26" s="82">
        <v>0.0</v>
      </c>
      <c r="AD26" s="82">
        <v>0.0</v>
      </c>
      <c r="AE26" s="82">
        <v>0.0</v>
      </c>
      <c r="AF26" s="82">
        <v>0.0</v>
      </c>
    </row>
    <row r="27">
      <c r="A27" s="36" t="s">
        <v>155</v>
      </c>
      <c r="B27" s="82">
        <v>0.0</v>
      </c>
      <c r="C27" s="82">
        <v>0.0</v>
      </c>
      <c r="D27" s="82">
        <v>0.0</v>
      </c>
      <c r="E27" s="82">
        <v>0.0</v>
      </c>
      <c r="F27" s="82">
        <v>0.0</v>
      </c>
      <c r="G27" s="82">
        <v>0.0</v>
      </c>
      <c r="H27" s="82">
        <v>0.0</v>
      </c>
      <c r="I27" s="82">
        <v>0.0</v>
      </c>
      <c r="J27" s="82">
        <v>0.0</v>
      </c>
      <c r="K27" s="82">
        <v>0.0</v>
      </c>
      <c r="L27" s="82">
        <v>0.0</v>
      </c>
      <c r="M27" s="82">
        <v>0.0</v>
      </c>
      <c r="N27" s="82">
        <v>0.0</v>
      </c>
      <c r="O27" s="82">
        <v>0.0</v>
      </c>
      <c r="P27" s="82">
        <v>0.0</v>
      </c>
      <c r="Q27" s="82">
        <v>0.0</v>
      </c>
      <c r="R27" s="82">
        <v>0.0</v>
      </c>
      <c r="S27" s="82">
        <v>156.16</v>
      </c>
      <c r="T27" s="82">
        <v>131.12</v>
      </c>
      <c r="U27" s="82">
        <v>215.27</v>
      </c>
      <c r="V27" s="82">
        <v>264.81</v>
      </c>
      <c r="W27" s="82">
        <v>122.94</v>
      </c>
      <c r="X27" s="82">
        <v>187.67</v>
      </c>
      <c r="Y27" s="82">
        <v>229.7</v>
      </c>
      <c r="Z27" s="82">
        <v>157.02</v>
      </c>
      <c r="AA27" s="82">
        <v>108.61</v>
      </c>
      <c r="AB27" s="82">
        <v>196.05</v>
      </c>
      <c r="AC27" s="82">
        <v>49.05</v>
      </c>
      <c r="AD27" s="82">
        <v>0.0</v>
      </c>
      <c r="AE27" s="82">
        <v>136.42</v>
      </c>
      <c r="AF27" s="82">
        <v>0.0</v>
      </c>
    </row>
    <row r="28">
      <c r="A28" s="89" t="s">
        <v>157</v>
      </c>
      <c r="B28" s="92">
        <f t="shared" ref="B28:AF28" si="4">B22+B23+B24+B25+B26+B27</f>
        <v>11552.14825</v>
      </c>
      <c r="C28" s="92">
        <f t="shared" si="4"/>
        <v>13807.1164</v>
      </c>
      <c r="D28" s="92">
        <f t="shared" si="4"/>
        <v>15566.91163</v>
      </c>
      <c r="E28" s="92">
        <f t="shared" si="4"/>
        <v>17796.46558</v>
      </c>
      <c r="F28" s="92">
        <f t="shared" si="4"/>
        <v>17026.47725</v>
      </c>
      <c r="G28" s="92">
        <f t="shared" si="4"/>
        <v>17104.11108</v>
      </c>
      <c r="H28" s="92">
        <f t="shared" si="4"/>
        <v>17419.94611</v>
      </c>
      <c r="I28" s="92">
        <f t="shared" si="4"/>
        <v>18071.70367</v>
      </c>
      <c r="J28" s="92">
        <f t="shared" si="4"/>
        <v>21450.95892</v>
      </c>
      <c r="K28" s="92">
        <f t="shared" si="4"/>
        <v>20479.63081</v>
      </c>
      <c r="L28" s="92">
        <f t="shared" si="4"/>
        <v>18841.3319</v>
      </c>
      <c r="M28" s="92">
        <f t="shared" si="4"/>
        <v>13541.39655</v>
      </c>
      <c r="N28" s="92">
        <f t="shared" si="4"/>
        <v>13794.47181</v>
      </c>
      <c r="O28" s="92">
        <f t="shared" si="4"/>
        <v>17806.39495</v>
      </c>
      <c r="P28" s="92">
        <f t="shared" si="4"/>
        <v>23126.3704</v>
      </c>
      <c r="Q28" s="92">
        <f t="shared" si="4"/>
        <v>26312.79596</v>
      </c>
      <c r="R28" s="92">
        <f t="shared" si="4"/>
        <v>19570.22826</v>
      </c>
      <c r="S28" s="92">
        <f t="shared" si="4"/>
        <v>21096.2085</v>
      </c>
      <c r="T28" s="92">
        <f t="shared" si="4"/>
        <v>20670.46667</v>
      </c>
      <c r="U28" s="92">
        <f t="shared" si="4"/>
        <v>20877.87255</v>
      </c>
      <c r="V28" s="92">
        <f t="shared" si="4"/>
        <v>21932.16469</v>
      </c>
      <c r="W28" s="92">
        <f t="shared" si="4"/>
        <v>23894.16882</v>
      </c>
      <c r="X28" s="92">
        <f t="shared" si="4"/>
        <v>26425.52988</v>
      </c>
      <c r="Y28" s="92">
        <f t="shared" si="4"/>
        <v>19386.41531</v>
      </c>
      <c r="Z28" s="92">
        <f t="shared" si="4"/>
        <v>16908.05753</v>
      </c>
      <c r="AA28" s="92">
        <f t="shared" si="4"/>
        <v>16302.50579</v>
      </c>
      <c r="AB28" s="92">
        <f t="shared" si="4"/>
        <v>14622.35584</v>
      </c>
      <c r="AC28" s="92">
        <f t="shared" si="4"/>
        <v>13993.63068</v>
      </c>
      <c r="AD28" s="92">
        <f t="shared" si="4"/>
        <v>12952.91501</v>
      </c>
      <c r="AE28" s="92">
        <f t="shared" si="4"/>
        <v>12492.46668</v>
      </c>
      <c r="AF28" s="92">
        <f t="shared" si="4"/>
        <v>10587.08431</v>
      </c>
    </row>
    <row r="29">
      <c r="A29" s="96" t="s">
        <v>166</v>
      </c>
      <c r="B29" s="99">
        <f t="shared" ref="B29:AF29" si="5">SUM(B22:B27)</f>
        <v>11552.14825</v>
      </c>
      <c r="C29" s="99">
        <f t="shared" si="5"/>
        <v>13807.1164</v>
      </c>
      <c r="D29" s="99">
        <f t="shared" si="5"/>
        <v>15566.91163</v>
      </c>
      <c r="E29" s="99">
        <f t="shared" si="5"/>
        <v>17796.46558</v>
      </c>
      <c r="F29" s="99">
        <f t="shared" si="5"/>
        <v>17026.47725</v>
      </c>
      <c r="G29" s="99">
        <f t="shared" si="5"/>
        <v>17104.11108</v>
      </c>
      <c r="H29" s="99">
        <f t="shared" si="5"/>
        <v>17419.94611</v>
      </c>
      <c r="I29" s="99">
        <f t="shared" si="5"/>
        <v>18071.70367</v>
      </c>
      <c r="J29" s="99">
        <f t="shared" si="5"/>
        <v>21450.95892</v>
      </c>
      <c r="K29" s="99">
        <f t="shared" si="5"/>
        <v>20479.63081</v>
      </c>
      <c r="L29" s="99">
        <f t="shared" si="5"/>
        <v>18841.3319</v>
      </c>
      <c r="M29" s="99">
        <f t="shared" si="5"/>
        <v>13541.39655</v>
      </c>
      <c r="N29" s="99">
        <f t="shared" si="5"/>
        <v>13794.47181</v>
      </c>
      <c r="O29" s="99">
        <f t="shared" si="5"/>
        <v>17806.39495</v>
      </c>
      <c r="P29" s="99">
        <f t="shared" si="5"/>
        <v>23126.3704</v>
      </c>
      <c r="Q29" s="99">
        <f t="shared" si="5"/>
        <v>26312.79596</v>
      </c>
      <c r="R29" s="99">
        <f t="shared" si="5"/>
        <v>19570.22826</v>
      </c>
      <c r="S29" s="99">
        <f t="shared" si="5"/>
        <v>21096.2085</v>
      </c>
      <c r="T29" s="99">
        <f t="shared" si="5"/>
        <v>20670.46667</v>
      </c>
      <c r="U29" s="99">
        <f t="shared" si="5"/>
        <v>20877.87255</v>
      </c>
      <c r="V29" s="99">
        <f t="shared" si="5"/>
        <v>21932.16469</v>
      </c>
      <c r="W29" s="99">
        <f t="shared" si="5"/>
        <v>23894.16882</v>
      </c>
      <c r="X29" s="99">
        <f t="shared" si="5"/>
        <v>26425.52988</v>
      </c>
      <c r="Y29" s="99">
        <f t="shared" si="5"/>
        <v>19386.41531</v>
      </c>
      <c r="Z29" s="99">
        <f t="shared" si="5"/>
        <v>16908.05753</v>
      </c>
      <c r="AA29" s="99">
        <f t="shared" si="5"/>
        <v>16302.50579</v>
      </c>
      <c r="AB29" s="99">
        <f t="shared" si="5"/>
        <v>14622.35584</v>
      </c>
      <c r="AC29" s="99">
        <f t="shared" si="5"/>
        <v>13993.63068</v>
      </c>
      <c r="AD29" s="99">
        <f t="shared" si="5"/>
        <v>12952.91501</v>
      </c>
      <c r="AE29" s="99">
        <f t="shared" si="5"/>
        <v>12492.46668</v>
      </c>
      <c r="AF29" s="99">
        <f t="shared" si="5"/>
        <v>10587.08431</v>
      </c>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row>
    <row r="31">
      <c r="A31" s="104" t="s">
        <v>176</v>
      </c>
      <c r="B31" s="105">
        <f t="shared" ref="B31:AF31" si="6">B13/B29</f>
        <v>3.95107724</v>
      </c>
      <c r="C31" s="106">
        <f t="shared" si="6"/>
        <v>3.26450786</v>
      </c>
      <c r="D31" s="107">
        <f t="shared" si="6"/>
        <v>2.500724031</v>
      </c>
      <c r="E31" s="108">
        <f t="shared" si="6"/>
        <v>2.395077821</v>
      </c>
      <c r="F31" s="109">
        <f t="shared" si="6"/>
        <v>2.411125884</v>
      </c>
      <c r="G31" s="110">
        <f t="shared" si="6"/>
        <v>2.58061058</v>
      </c>
      <c r="H31" s="111">
        <f t="shared" si="6"/>
        <v>2.666027191</v>
      </c>
      <c r="I31" s="112">
        <f t="shared" si="6"/>
        <v>3.03373611</v>
      </c>
      <c r="J31" s="113">
        <f t="shared" si="6"/>
        <v>2.435459422</v>
      </c>
      <c r="K31" s="114">
        <f t="shared" si="6"/>
        <v>2.427926581</v>
      </c>
      <c r="L31" s="115">
        <f t="shared" si="6"/>
        <v>2.624338888</v>
      </c>
      <c r="M31" s="113">
        <f t="shared" si="6"/>
        <v>3.687203887</v>
      </c>
      <c r="N31" s="116">
        <f t="shared" si="6"/>
        <v>5.691077637</v>
      </c>
      <c r="O31" s="117">
        <f t="shared" si="6"/>
        <v>3.952112721</v>
      </c>
      <c r="P31" s="118">
        <f t="shared" si="6"/>
        <v>2.596024753</v>
      </c>
      <c r="Q31" s="119">
        <f t="shared" si="6"/>
        <v>2.309092128</v>
      </c>
      <c r="R31" s="120">
        <f t="shared" si="6"/>
        <v>1.71780725</v>
      </c>
      <c r="S31" s="121">
        <f t="shared" si="6"/>
        <v>2.822961292</v>
      </c>
      <c r="T31" s="122">
        <f t="shared" si="6"/>
        <v>2.095212493</v>
      </c>
      <c r="U31" s="123">
        <f t="shared" si="6"/>
        <v>2.371848946</v>
      </c>
      <c r="V31" s="124">
        <f t="shared" si="6"/>
        <v>2.066249759</v>
      </c>
      <c r="W31" s="125">
        <f t="shared" si="6"/>
        <v>1.902903187</v>
      </c>
      <c r="X31" s="119">
        <f t="shared" si="6"/>
        <v>1.495304737</v>
      </c>
      <c r="Y31" s="126">
        <f t="shared" si="6"/>
        <v>1.680575262</v>
      </c>
      <c r="Z31" s="127">
        <f t="shared" si="6"/>
        <v>2.02219267</v>
      </c>
      <c r="AA31" s="128">
        <f t="shared" si="6"/>
        <v>1.929745672</v>
      </c>
      <c r="AB31" s="129">
        <f t="shared" si="6"/>
        <v>2.383361504</v>
      </c>
      <c r="AC31" s="130">
        <f t="shared" si="6"/>
        <v>2.301695016</v>
      </c>
      <c r="AD31" s="131">
        <f t="shared" si="6"/>
        <v>2.444377191</v>
      </c>
      <c r="AE31" s="131">
        <f t="shared" si="6"/>
        <v>2.564246984</v>
      </c>
      <c r="AF31" s="131">
        <f t="shared" si="6"/>
        <v>3.445518041</v>
      </c>
    </row>
    <row r="32">
      <c r="A32" s="36" t="s">
        <v>177</v>
      </c>
      <c r="B32" s="133">
        <f t="shared" ref="B32:AF32" si="7">B8/B28</f>
        <v>3.95107724</v>
      </c>
      <c r="C32" s="133">
        <f t="shared" si="7"/>
        <v>3.26450786</v>
      </c>
      <c r="D32" s="133">
        <f t="shared" si="7"/>
        <v>2.500724031</v>
      </c>
      <c r="E32" s="133">
        <f t="shared" si="7"/>
        <v>2.395077821</v>
      </c>
      <c r="F32" s="133">
        <f t="shared" si="7"/>
        <v>2.411125884</v>
      </c>
      <c r="G32" s="133">
        <f t="shared" si="7"/>
        <v>2.58061058</v>
      </c>
      <c r="H32" s="133">
        <f t="shared" si="7"/>
        <v>2.666027191</v>
      </c>
      <c r="I32" s="133">
        <f t="shared" si="7"/>
        <v>3.03373611</v>
      </c>
      <c r="J32" s="133">
        <f t="shared" si="7"/>
        <v>2.435459422</v>
      </c>
      <c r="K32" s="133">
        <f t="shared" si="7"/>
        <v>2.427926581</v>
      </c>
      <c r="L32" s="133">
        <f t="shared" si="7"/>
        <v>2.624338888</v>
      </c>
      <c r="M32" s="133">
        <f t="shared" si="7"/>
        <v>3.687203887</v>
      </c>
      <c r="N32" s="133">
        <f t="shared" si="7"/>
        <v>5.691077637</v>
      </c>
      <c r="O32" s="133">
        <f t="shared" si="7"/>
        <v>3.952112721</v>
      </c>
      <c r="P32" s="133">
        <f t="shared" si="7"/>
        <v>2.596024753</v>
      </c>
      <c r="Q32" s="133">
        <f t="shared" si="7"/>
        <v>2.309092128</v>
      </c>
      <c r="R32" s="133">
        <f t="shared" si="7"/>
        <v>1.71780725</v>
      </c>
      <c r="S32" s="133">
        <f t="shared" si="7"/>
        <v>2.822961292</v>
      </c>
      <c r="T32" s="133">
        <f t="shared" si="7"/>
        <v>2.095212493</v>
      </c>
      <c r="U32" s="133">
        <f t="shared" si="7"/>
        <v>2.371848946</v>
      </c>
      <c r="V32" s="133">
        <f t="shared" si="7"/>
        <v>2.066249759</v>
      </c>
      <c r="W32" s="133">
        <f t="shared" si="7"/>
        <v>1.902903187</v>
      </c>
      <c r="X32" s="133">
        <f t="shared" si="7"/>
        <v>1.495304737</v>
      </c>
      <c r="Y32" s="133">
        <f t="shared" si="7"/>
        <v>1.680575262</v>
      </c>
      <c r="Z32" s="133">
        <f t="shared" si="7"/>
        <v>2.02219267</v>
      </c>
      <c r="AA32" s="133">
        <f t="shared" si="7"/>
        <v>1.929745672</v>
      </c>
      <c r="AB32" s="133">
        <f t="shared" si="7"/>
        <v>2.383361504</v>
      </c>
      <c r="AC32" s="133">
        <f t="shared" si="7"/>
        <v>2.301695016</v>
      </c>
      <c r="AD32" s="131">
        <f t="shared" si="7"/>
        <v>2.444377191</v>
      </c>
      <c r="AE32" s="131">
        <f t="shared" si="7"/>
        <v>2.564246984</v>
      </c>
      <c r="AF32" s="131">
        <f t="shared" si="7"/>
        <v>3.445518041</v>
      </c>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row>
    <row r="34">
      <c r="A34" s="141" t="s">
        <v>188</v>
      </c>
      <c r="B34" s="142">
        <f>B29/'DTC - P&amp;L'!B57</f>
        <v>76.50429302</v>
      </c>
      <c r="C34" s="142">
        <f>C29/'DTC - P&amp;L'!C57</f>
        <v>92.66521071</v>
      </c>
      <c r="D34" s="142">
        <f>D29/'DTC - P&amp;L'!D57</f>
        <v>116.1709823</v>
      </c>
      <c r="E34" s="142">
        <f>E29/'DTC - P&amp;L'!E57</f>
        <v>121.8935998</v>
      </c>
      <c r="F34" s="142">
        <f>F29/'DTC - P&amp;L'!F57</f>
        <v>115.8263758</v>
      </c>
      <c r="G34" s="142">
        <f>G29/'DTC - P&amp;L'!G57</f>
        <v>111.0656563</v>
      </c>
      <c r="H34" s="142">
        <f>H29/'DTC - P&amp;L'!H57</f>
        <v>102.4702713</v>
      </c>
      <c r="I34" s="142">
        <f>I29/'DTC - P&amp;L'!I57</f>
        <v>95.61747973</v>
      </c>
      <c r="J34" s="142">
        <f>J29/'DTC - P&amp;L'!J57</f>
        <v>120.5110051</v>
      </c>
      <c r="K34" s="142">
        <f>K29/'DTC - P&amp;L'!K57</f>
        <v>117.6990276</v>
      </c>
      <c r="L34" s="142">
        <f>L29/'DTC - P&amp;L'!L57</f>
        <v>104.0957564</v>
      </c>
      <c r="M34" s="142">
        <f>M29/'DTC - P&amp;L'!M57</f>
        <v>74.40327775</v>
      </c>
      <c r="N34" s="142">
        <f>N29/'DTC - P&amp;L'!N57</f>
        <v>48.06436169</v>
      </c>
      <c r="O34" s="142">
        <f>O29/'DTC - P&amp;L'!O57</f>
        <v>67.70492377</v>
      </c>
      <c r="P34" s="142">
        <f>P29/'DTC - P&amp;L'!P57</f>
        <v>106.5731355</v>
      </c>
      <c r="Q34" s="142">
        <f>Q29/'DTC - P&amp;L'!Q57</f>
        <v>118.5261079</v>
      </c>
      <c r="R34" s="142">
        <f>R29/'DTC - P&amp;L'!R57</f>
        <v>160.4117071</v>
      </c>
      <c r="S34" s="142">
        <f>S29/'DTC - P&amp;L'!S57</f>
        <v>99.04323238</v>
      </c>
      <c r="T34" s="142">
        <f>T29/'DTC - P&amp;L'!T57</f>
        <v>134.2238095</v>
      </c>
      <c r="U34" s="142">
        <f>U29/'DTC - P&amp;L'!U57</f>
        <v>122.0928219</v>
      </c>
      <c r="V34" s="142">
        <f>V29/'DTC - P&amp;L'!V57</f>
        <v>142.4166538</v>
      </c>
      <c r="W34" s="142">
        <f>W29/'DTC - P&amp;L'!W57</f>
        <v>163.6586906</v>
      </c>
      <c r="X34" s="142">
        <f>X29/'DTC - P&amp;L'!X57</f>
        <v>211.404239</v>
      </c>
      <c r="Y34" s="142">
        <f>Y29/'DTC - P&amp;L'!Y57</f>
        <v>186.4078396</v>
      </c>
      <c r="Z34" s="142">
        <f>Z29/'DTC - P&amp;L'!Z57</f>
        <v>150.9647994</v>
      </c>
      <c r="AA34" s="142">
        <f>AA29/'DTC - P&amp;L'!AA57</f>
        <v>153.7972245</v>
      </c>
      <c r="AB34" s="142">
        <f>AB29/'DTC - P&amp;L'!AB57</f>
        <v>122.8769398</v>
      </c>
      <c r="AC34" s="142">
        <f>AC29/'DTC - P&amp;L'!AC57</f>
        <v>124.9431311</v>
      </c>
      <c r="AD34" s="142">
        <f>AD29/'DTC - P&amp;L'!AD57</f>
        <v>125.7564564</v>
      </c>
      <c r="AE34" s="142">
        <f>AE29/'DTC - P&amp;L'!AE57</f>
        <v>117.8534592</v>
      </c>
      <c r="AF34" s="142">
        <f>AF29/'DTC - P&amp;L'!AF57</f>
        <v>86.77937961</v>
      </c>
    </row>
    <row r="35">
      <c r="A35" s="145" t="s">
        <v>196</v>
      </c>
      <c r="B35" s="74">
        <f>B28/'DTC - P&amp;L'!B57</f>
        <v>76.50429302</v>
      </c>
      <c r="C35" s="74">
        <f>C28/'DTC - P&amp;L'!C57</f>
        <v>92.66521071</v>
      </c>
      <c r="D35" s="74">
        <f>D28/'DTC - P&amp;L'!D57</f>
        <v>116.1709823</v>
      </c>
      <c r="E35" s="74">
        <f>E28/'DTC - P&amp;L'!E57</f>
        <v>121.8935998</v>
      </c>
      <c r="F35" s="74">
        <f>F28/'DTC - P&amp;L'!F57</f>
        <v>115.8263758</v>
      </c>
      <c r="G35" s="74">
        <f>G28/'DTC - P&amp;L'!G57</f>
        <v>111.0656563</v>
      </c>
      <c r="H35" s="74">
        <f>H28/'DTC - P&amp;L'!H57</f>
        <v>102.4702713</v>
      </c>
      <c r="I35" s="74">
        <f>I28/'DTC - P&amp;L'!I57</f>
        <v>95.61747973</v>
      </c>
      <c r="J35" s="74">
        <f>J28/'DTC - P&amp;L'!J57</f>
        <v>120.5110051</v>
      </c>
      <c r="K35" s="74">
        <f>K28/'DTC - P&amp;L'!K57</f>
        <v>117.6990276</v>
      </c>
      <c r="L35" s="74">
        <f>L28/'DTC - P&amp;L'!L57</f>
        <v>104.0957564</v>
      </c>
      <c r="M35" s="74">
        <f>M28/'DTC - P&amp;L'!M57</f>
        <v>74.40327775</v>
      </c>
      <c r="N35" s="74">
        <f>N28/'DTC - P&amp;L'!N57</f>
        <v>48.06436169</v>
      </c>
      <c r="O35" s="74">
        <f>O28/'DTC - P&amp;L'!O57</f>
        <v>67.70492377</v>
      </c>
      <c r="P35" s="74">
        <f>P28/'DTC - P&amp;L'!P57</f>
        <v>106.5731355</v>
      </c>
      <c r="Q35" s="74">
        <f>Q28/'DTC - P&amp;L'!Q57</f>
        <v>118.5261079</v>
      </c>
      <c r="R35" s="74">
        <f>R28/'DTC - P&amp;L'!R57</f>
        <v>160.4117071</v>
      </c>
      <c r="S35" s="74">
        <f>S28/'DTC - P&amp;L'!S57</f>
        <v>99.04323238</v>
      </c>
      <c r="T35" s="74">
        <f>T28/'DTC - P&amp;L'!T57</f>
        <v>134.2238095</v>
      </c>
      <c r="U35" s="74">
        <f>U28/'DTC - P&amp;L'!U57</f>
        <v>122.0928219</v>
      </c>
      <c r="V35" s="74">
        <f>V28/'DTC - P&amp;L'!V57</f>
        <v>142.4166538</v>
      </c>
      <c r="W35" s="74">
        <f>W28/'DTC - P&amp;L'!W57</f>
        <v>163.6586906</v>
      </c>
      <c r="X35" s="74">
        <f>X28/'DTC - P&amp;L'!X57</f>
        <v>211.404239</v>
      </c>
      <c r="Y35" s="74">
        <f>Y28/'DTC - P&amp;L'!Y57</f>
        <v>186.4078396</v>
      </c>
      <c r="Z35" s="74">
        <f>Z28/'DTC - P&amp;L'!Z57</f>
        <v>150.9647994</v>
      </c>
      <c r="AA35" s="74">
        <f>AA28/'DTC - P&amp;L'!AA57</f>
        <v>153.7972245</v>
      </c>
      <c r="AB35" s="74">
        <f>AB28/'DTC - P&amp;L'!AB57</f>
        <v>122.8769398</v>
      </c>
      <c r="AC35" s="74">
        <f>AC28/'DTC - P&amp;L'!AC57</f>
        <v>124.9431311</v>
      </c>
      <c r="AD35" s="74">
        <f>AD28/'DTC - P&amp;L'!AD57</f>
        <v>125.7564564</v>
      </c>
      <c r="AE35" s="74">
        <f>AE28/'DTC - P&amp;L'!AE57</f>
        <v>117.8534592</v>
      </c>
      <c r="AF35" s="74">
        <f>AF28/'DTC - P&amp;L'!AF57</f>
        <v>86.77937961</v>
      </c>
    </row>
    <row r="36">
      <c r="A36" s="24"/>
      <c r="B36" s="24"/>
      <c r="C36" s="156"/>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c r="A37" s="36" t="s">
        <v>202</v>
      </c>
      <c r="B37" s="158">
        <v>0.0202</v>
      </c>
      <c r="C37" s="159">
        <v>0.0166</v>
      </c>
      <c r="D37" s="160">
        <v>0.0147</v>
      </c>
      <c r="E37" s="161">
        <v>0.0172</v>
      </c>
      <c r="F37" s="162">
        <v>0.0173</v>
      </c>
      <c r="G37" s="163">
        <v>0.0182</v>
      </c>
      <c r="H37" s="164">
        <v>0.018</v>
      </c>
      <c r="I37" s="165">
        <v>0.0213</v>
      </c>
      <c r="J37" s="166">
        <v>0.0175</v>
      </c>
      <c r="K37" s="168">
        <v>0.0189</v>
      </c>
      <c r="L37" s="169">
        <v>0.0184</v>
      </c>
      <c r="M37" s="170">
        <v>0.0227</v>
      </c>
      <c r="N37" s="171">
        <v>0.0302</v>
      </c>
      <c r="O37" s="165">
        <v>0.0177</v>
      </c>
      <c r="P37" s="171">
        <v>0.0204</v>
      </c>
      <c r="Q37" s="172">
        <v>0.0194</v>
      </c>
      <c r="R37" s="173">
        <v>0.0147</v>
      </c>
      <c r="S37" s="170">
        <v>0.0229</v>
      </c>
      <c r="T37" s="174">
        <v>0.0182</v>
      </c>
      <c r="U37" s="166">
        <v>0.0219</v>
      </c>
      <c r="V37" s="175">
        <v>0.0189</v>
      </c>
      <c r="W37" s="177">
        <v>0.0176</v>
      </c>
      <c r="X37" s="165">
        <v>0.0159</v>
      </c>
      <c r="Y37" s="178">
        <v>0.015</v>
      </c>
      <c r="Z37" s="179">
        <v>0.0165</v>
      </c>
      <c r="AA37" s="180">
        <v>0.0153</v>
      </c>
      <c r="AB37" s="181">
        <v>0.0168</v>
      </c>
      <c r="AC37" s="182">
        <v>0.0173</v>
      </c>
      <c r="AD37" s="159">
        <v>0.0182</v>
      </c>
      <c r="AE37" s="159">
        <v>0.0179</v>
      </c>
      <c r="AF37" s="159">
        <v>0.0221</v>
      </c>
    </row>
    <row r="38">
      <c r="A38" s="36" t="s">
        <v>208</v>
      </c>
      <c r="B38" s="183">
        <f t="shared" ref="B38:AF38" si="8">B8/B15</f>
        <v>232.8746429</v>
      </c>
      <c r="C38" s="184">
        <f t="shared" si="8"/>
        <v>249.0245304</v>
      </c>
      <c r="D38" s="185">
        <f t="shared" si="8"/>
        <v>244.8336478</v>
      </c>
      <c r="E38" s="187">
        <f t="shared" si="8"/>
        <v>227.9354011</v>
      </c>
      <c r="F38" s="188">
        <f t="shared" si="8"/>
        <v>235.9366667</v>
      </c>
      <c r="G38" s="189">
        <f t="shared" si="8"/>
        <v>237.3067204</v>
      </c>
      <c r="H38" s="190">
        <f t="shared" si="8"/>
        <v>235.7464467</v>
      </c>
      <c r="I38" s="192">
        <f t="shared" si="8"/>
        <v>229.3923849</v>
      </c>
      <c r="J38" s="194">
        <f t="shared" si="8"/>
        <v>236.3933937</v>
      </c>
      <c r="K38" s="196">
        <f t="shared" si="8"/>
        <v>227.0458447</v>
      </c>
      <c r="L38" s="198">
        <f t="shared" si="8"/>
        <v>235.4573333</v>
      </c>
      <c r="M38" s="199">
        <f t="shared" si="8"/>
        <v>249.64945</v>
      </c>
      <c r="N38" s="200">
        <f t="shared" si="8"/>
        <v>235.751982</v>
      </c>
      <c r="O38" s="201">
        <f t="shared" si="8"/>
        <v>239.3635374</v>
      </c>
      <c r="P38" s="202">
        <f t="shared" si="8"/>
        <v>235.4377647</v>
      </c>
      <c r="Q38" s="203">
        <f t="shared" si="8"/>
        <v>237.3385547</v>
      </c>
      <c r="R38" s="204">
        <f t="shared" si="8"/>
        <v>219.7247059</v>
      </c>
      <c r="S38" s="205">
        <f t="shared" si="8"/>
        <v>248.14075</v>
      </c>
      <c r="T38" s="206">
        <f t="shared" si="8"/>
        <v>244.6837288</v>
      </c>
      <c r="U38" s="208">
        <f t="shared" si="8"/>
        <v>247.5958</v>
      </c>
      <c r="V38" s="209">
        <f t="shared" si="8"/>
        <v>236.0277604</v>
      </c>
      <c r="W38" s="210">
        <f t="shared" si="8"/>
        <v>238.0538743</v>
      </c>
      <c r="X38" s="211">
        <f t="shared" si="8"/>
        <v>228.405896</v>
      </c>
      <c r="Y38" s="185">
        <f t="shared" si="8"/>
        <v>250.6179231</v>
      </c>
      <c r="Z38" s="212">
        <f t="shared" si="8"/>
        <v>253.2692593</v>
      </c>
      <c r="AA38" s="74">
        <f t="shared" si="8"/>
        <v>264.3671429</v>
      </c>
      <c r="AB38" s="74">
        <f t="shared" si="8"/>
        <v>268.0796923</v>
      </c>
      <c r="AC38" s="214">
        <f t="shared" si="8"/>
        <v>242.1734586</v>
      </c>
      <c r="AD38" s="74">
        <f t="shared" si="8"/>
        <v>241.6932061</v>
      </c>
      <c r="AE38" s="74">
        <f t="shared" si="8"/>
        <v>242.6800758</v>
      </c>
      <c r="AF38" s="74">
        <f t="shared" si="8"/>
        <v>258.7091489</v>
      </c>
    </row>
    <row r="39">
      <c r="A39" s="36" t="s">
        <v>214</v>
      </c>
      <c r="B39" s="82">
        <v>232.87</v>
      </c>
      <c r="C39" s="82">
        <v>250.12</v>
      </c>
      <c r="D39" s="215">
        <v>245.84</v>
      </c>
      <c r="E39" s="215">
        <v>228.12</v>
      </c>
      <c r="F39" s="82">
        <v>233.8</v>
      </c>
      <c r="G39" s="82">
        <v>237.07</v>
      </c>
      <c r="H39" s="82">
        <v>235.75</v>
      </c>
      <c r="I39" s="82">
        <v>229.1</v>
      </c>
      <c r="J39" s="82">
        <v>236.39</v>
      </c>
      <c r="K39" s="82">
        <v>226.93</v>
      </c>
      <c r="L39" s="82">
        <v>236.28</v>
      </c>
      <c r="M39" s="82">
        <v>249.32</v>
      </c>
      <c r="N39" s="82">
        <v>236.82</v>
      </c>
      <c r="O39" s="82">
        <v>239.27</v>
      </c>
      <c r="P39" s="82">
        <v>237.04</v>
      </c>
      <c r="Q39" s="82">
        <v>239.26</v>
      </c>
      <c r="R39" s="217">
        <v>224.56</v>
      </c>
      <c r="S39" s="82">
        <v>249.17</v>
      </c>
      <c r="T39" s="82">
        <v>251.88</v>
      </c>
      <c r="U39" s="82">
        <v>247.08</v>
      </c>
      <c r="V39" s="82">
        <v>238.35</v>
      </c>
      <c r="W39" s="82">
        <v>239.44</v>
      </c>
      <c r="X39" s="82">
        <v>231.27</v>
      </c>
      <c r="Y39" s="82">
        <v>262.63</v>
      </c>
      <c r="Z39" s="82">
        <v>252.93</v>
      </c>
      <c r="AA39" s="82">
        <v>267.26</v>
      </c>
      <c r="AB39" s="82">
        <v>270.84</v>
      </c>
      <c r="AC39" s="82">
        <v>244.41</v>
      </c>
      <c r="AD39" s="82">
        <v>249.79</v>
      </c>
      <c r="AE39" s="82">
        <v>247.92</v>
      </c>
      <c r="AF39" s="82">
        <v>264.04</v>
      </c>
    </row>
    <row r="40">
      <c r="A40" s="36" t="s">
        <v>217</v>
      </c>
      <c r="B40" s="82">
        <v>0.0</v>
      </c>
      <c r="C40" s="82">
        <v>150.77</v>
      </c>
      <c r="D40" s="215">
        <v>86.4</v>
      </c>
      <c r="E40" s="215">
        <v>210.85</v>
      </c>
      <c r="F40" s="82">
        <v>320.38</v>
      </c>
      <c r="G40" s="82">
        <v>251.65</v>
      </c>
      <c r="H40" s="82">
        <v>0.0</v>
      </c>
      <c r="I40" s="82">
        <v>246.79</v>
      </c>
      <c r="J40" s="82">
        <v>0.0</v>
      </c>
      <c r="K40" s="82">
        <v>235.68</v>
      </c>
      <c r="L40" s="82">
        <v>64.09</v>
      </c>
      <c r="M40" s="82">
        <v>282.07</v>
      </c>
      <c r="N40" s="82">
        <v>177.61</v>
      </c>
      <c r="O40" s="82">
        <v>267.23</v>
      </c>
      <c r="P40" s="82">
        <v>156.3</v>
      </c>
      <c r="Q40" s="82">
        <v>177.77</v>
      </c>
      <c r="R40" s="82">
        <v>76.55</v>
      </c>
      <c r="S40" s="82">
        <v>218.32</v>
      </c>
      <c r="T40" s="82">
        <v>69.85</v>
      </c>
      <c r="U40" s="82">
        <v>298.57</v>
      </c>
      <c r="V40" s="82">
        <v>164.13</v>
      </c>
      <c r="W40" s="82">
        <v>151.25</v>
      </c>
      <c r="X40" s="82">
        <v>160.39</v>
      </c>
      <c r="Y40" s="82">
        <v>89.17</v>
      </c>
      <c r="Z40" s="82">
        <v>275.82</v>
      </c>
      <c r="AA40" s="82">
        <v>152.47</v>
      </c>
      <c r="AB40" s="82">
        <v>151.33</v>
      </c>
      <c r="AC40" s="82">
        <v>145.32</v>
      </c>
      <c r="AD40" s="82">
        <v>73.05</v>
      </c>
      <c r="AE40" s="82">
        <v>109.48</v>
      </c>
      <c r="AF40" s="82">
        <v>113.61</v>
      </c>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c r="A42" s="36" t="s">
        <v>219</v>
      </c>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c r="A43" s="156" t="s">
        <v>221</v>
      </c>
      <c r="B43" s="222">
        <v>1.0</v>
      </c>
      <c r="C43" s="223">
        <v>0.011</v>
      </c>
      <c r="D43" s="224">
        <v>0.006</v>
      </c>
      <c r="E43" s="225">
        <v>0.011</v>
      </c>
      <c r="F43" s="226">
        <v>0.012</v>
      </c>
      <c r="G43" s="227">
        <v>0.016</v>
      </c>
      <c r="H43" s="228">
        <v>0.0</v>
      </c>
      <c r="I43" s="223">
        <v>0.017</v>
      </c>
      <c r="J43" s="230">
        <v>0.0</v>
      </c>
      <c r="K43" s="169">
        <v>0.014</v>
      </c>
      <c r="L43" s="231">
        <v>0.005</v>
      </c>
      <c r="M43" s="232">
        <v>0.01</v>
      </c>
      <c r="N43" s="234">
        <v>0.018</v>
      </c>
      <c r="O43" s="235">
        <v>0.004</v>
      </c>
      <c r="P43" s="236">
        <v>0.028</v>
      </c>
      <c r="Q43" s="237">
        <v>0.032</v>
      </c>
      <c r="R43" s="181">
        <v>0.034</v>
      </c>
      <c r="S43" s="238">
        <v>0.034</v>
      </c>
      <c r="T43" s="239">
        <v>0.034</v>
      </c>
      <c r="U43" s="240">
        <v>0.01</v>
      </c>
      <c r="V43" s="241">
        <v>0.032</v>
      </c>
      <c r="W43" s="179">
        <v>0.016</v>
      </c>
      <c r="X43" s="242">
        <v>0.041</v>
      </c>
      <c r="Y43" s="243">
        <v>0.071</v>
      </c>
      <c r="Z43" s="160">
        <v>0.015</v>
      </c>
      <c r="AA43" s="245">
        <v>0.025</v>
      </c>
      <c r="AB43" s="164">
        <v>0.023</v>
      </c>
      <c r="AC43" s="246">
        <v>0.015</v>
      </c>
      <c r="AD43" s="159">
        <v>0.047</v>
      </c>
      <c r="AE43" s="159">
        <v>0.038</v>
      </c>
      <c r="AF43" s="159">
        <v>0.036</v>
      </c>
    </row>
    <row r="44">
      <c r="A44" s="24" t="s">
        <v>224</v>
      </c>
      <c r="B44" s="248">
        <f t="shared" ref="B44:AF44" si="9">1-B43</f>
        <v>0</v>
      </c>
      <c r="C44" s="248">
        <f t="shared" si="9"/>
        <v>0.989</v>
      </c>
      <c r="D44" s="248">
        <f t="shared" si="9"/>
        <v>0.994</v>
      </c>
      <c r="E44" s="248">
        <f t="shared" si="9"/>
        <v>0.989</v>
      </c>
      <c r="F44" s="248">
        <f t="shared" si="9"/>
        <v>0.988</v>
      </c>
      <c r="G44" s="248">
        <f t="shared" si="9"/>
        <v>0.984</v>
      </c>
      <c r="H44" s="248">
        <f t="shared" si="9"/>
        <v>1</v>
      </c>
      <c r="I44" s="248">
        <f t="shared" si="9"/>
        <v>0.983</v>
      </c>
      <c r="J44" s="248">
        <f t="shared" si="9"/>
        <v>1</v>
      </c>
      <c r="K44" s="248">
        <f t="shared" si="9"/>
        <v>0.986</v>
      </c>
      <c r="L44" s="248">
        <f t="shared" si="9"/>
        <v>0.995</v>
      </c>
      <c r="M44" s="248">
        <f t="shared" si="9"/>
        <v>0.99</v>
      </c>
      <c r="N44" s="248">
        <f t="shared" si="9"/>
        <v>0.982</v>
      </c>
      <c r="O44" s="248">
        <f t="shared" si="9"/>
        <v>0.996</v>
      </c>
      <c r="P44" s="248">
        <f t="shared" si="9"/>
        <v>0.972</v>
      </c>
      <c r="Q44" s="248">
        <f t="shared" si="9"/>
        <v>0.968</v>
      </c>
      <c r="R44" s="248">
        <f t="shared" si="9"/>
        <v>0.966</v>
      </c>
      <c r="S44" s="248">
        <f t="shared" si="9"/>
        <v>0.966</v>
      </c>
      <c r="T44" s="248">
        <f t="shared" si="9"/>
        <v>0.966</v>
      </c>
      <c r="U44" s="248">
        <f t="shared" si="9"/>
        <v>0.99</v>
      </c>
      <c r="V44" s="248">
        <f t="shared" si="9"/>
        <v>0.968</v>
      </c>
      <c r="W44" s="248">
        <f t="shared" si="9"/>
        <v>0.984</v>
      </c>
      <c r="X44" s="248">
        <f t="shared" si="9"/>
        <v>0.959</v>
      </c>
      <c r="Y44" s="248">
        <f t="shared" si="9"/>
        <v>0.929</v>
      </c>
      <c r="Z44" s="248">
        <f t="shared" si="9"/>
        <v>0.985</v>
      </c>
      <c r="AA44" s="248">
        <f t="shared" si="9"/>
        <v>0.975</v>
      </c>
      <c r="AB44" s="248">
        <f t="shared" si="9"/>
        <v>0.977</v>
      </c>
      <c r="AC44" s="248">
        <f t="shared" si="9"/>
        <v>0.985</v>
      </c>
      <c r="AD44" s="248">
        <f t="shared" si="9"/>
        <v>0.953</v>
      </c>
      <c r="AE44" s="248">
        <f t="shared" si="9"/>
        <v>0.962</v>
      </c>
      <c r="AF44" s="248">
        <f t="shared" si="9"/>
        <v>0.964</v>
      </c>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c r="A46" s="24"/>
      <c r="B46" s="251">
        <v>45108.0</v>
      </c>
      <c r="C46" s="252" t="s">
        <v>229</v>
      </c>
      <c r="D46" s="252" t="s">
        <v>230</v>
      </c>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c r="A47" s="24" t="s">
        <v>167</v>
      </c>
      <c r="B47" s="74">
        <f>SUM(B13:AF13)</f>
        <v>1411507.75</v>
      </c>
      <c r="C47" s="253">
        <v>1200000.0</v>
      </c>
      <c r="D47" s="254">
        <f t="shared" ref="D47:D49" si="10">B47/C47</f>
        <v>1.176256458</v>
      </c>
      <c r="E47" s="24"/>
      <c r="F47" s="24"/>
      <c r="G47" s="24"/>
      <c r="H47" s="24"/>
      <c r="I47" s="24"/>
      <c r="J47" s="24"/>
      <c r="K47" s="24"/>
      <c r="L47" s="24"/>
      <c r="M47" s="24"/>
      <c r="N47" s="24"/>
      <c r="O47" s="24"/>
      <c r="P47" s="24"/>
      <c r="Q47" s="24"/>
      <c r="R47" s="24"/>
      <c r="S47" s="24"/>
      <c r="T47" s="24"/>
      <c r="U47" s="24"/>
      <c r="V47" s="24"/>
      <c r="W47" s="24"/>
      <c r="X47" s="156"/>
      <c r="Y47" s="24"/>
      <c r="Z47" s="24"/>
      <c r="AA47" s="255"/>
      <c r="AB47" s="24"/>
      <c r="AC47" s="24"/>
      <c r="AD47" s="24"/>
      <c r="AE47" s="24"/>
      <c r="AF47" s="24"/>
    </row>
    <row r="48">
      <c r="A48" s="24" t="s">
        <v>231</v>
      </c>
      <c r="B48" s="74">
        <f>SUM(B29:AF29)</f>
        <v>555410.3018</v>
      </c>
      <c r="C48" s="253">
        <f>C47/C49</f>
        <v>300000</v>
      </c>
      <c r="D48" s="254">
        <f t="shared" si="10"/>
        <v>1.851367673</v>
      </c>
      <c r="E48" s="24"/>
      <c r="F48" s="24"/>
      <c r="G48" s="24"/>
      <c r="H48" s="24"/>
      <c r="I48" s="24"/>
      <c r="J48" s="24"/>
      <c r="K48" s="24"/>
      <c r="L48" s="24"/>
      <c r="M48" s="24"/>
      <c r="N48" s="24"/>
      <c r="O48" s="24"/>
      <c r="P48" s="24"/>
      <c r="Q48" s="24"/>
      <c r="R48" s="24"/>
      <c r="S48" s="24"/>
      <c r="T48" s="24"/>
      <c r="U48" s="24"/>
      <c r="V48" s="24"/>
      <c r="W48" s="24"/>
      <c r="X48" s="156"/>
      <c r="Y48" s="24"/>
      <c r="Z48" s="24"/>
      <c r="AA48" s="255"/>
      <c r="AB48" s="24"/>
      <c r="AC48" s="24"/>
      <c r="AD48" s="24"/>
      <c r="AE48" s="24"/>
      <c r="AF48" s="24"/>
    </row>
    <row r="49">
      <c r="A49" s="24" t="s">
        <v>234</v>
      </c>
      <c r="B49" s="133">
        <f>B47/B48</f>
        <v>2.541378411</v>
      </c>
      <c r="C49" s="256">
        <v>4.0</v>
      </c>
      <c r="D49" s="254">
        <f t="shared" si="10"/>
        <v>0.6353446027</v>
      </c>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c r="A50" s="9" t="s">
        <v>235</v>
      </c>
      <c r="B50" s="74">
        <f>SUM(B29:AF29)/SUM('DTC - P&amp;L'!B57:AF57)</f>
        <v>113.049115</v>
      </c>
      <c r="C50" s="84"/>
      <c r="D50" s="156"/>
      <c r="E50" s="24"/>
      <c r="F50" s="24"/>
      <c r="G50" s="24"/>
      <c r="H50" s="24"/>
      <c r="I50" s="24"/>
      <c r="J50" s="24"/>
      <c r="K50" s="24"/>
      <c r="L50" s="24"/>
      <c r="M50" s="24"/>
      <c r="N50" s="24"/>
      <c r="O50" s="24"/>
      <c r="P50" s="24"/>
      <c r="Q50" s="24"/>
      <c r="R50" s="24"/>
      <c r="S50" s="24"/>
      <c r="T50" s="24"/>
      <c r="U50" s="24"/>
      <c r="V50" s="24"/>
      <c r="W50" s="24" t="s">
        <v>236</v>
      </c>
      <c r="X50" s="24"/>
      <c r="Y50" s="24"/>
      <c r="Z50" s="24"/>
      <c r="AA50" s="24"/>
      <c r="AB50" s="24"/>
      <c r="AC50" s="24"/>
      <c r="AD50" s="24"/>
      <c r="AE50" s="24"/>
      <c r="AF50" s="24"/>
    </row>
    <row r="51">
      <c r="A51" s="24" t="s">
        <v>237</v>
      </c>
      <c r="B51" s="248">
        <f>IFERROR(__xludf.DUMMYFUNCTION("AVERAGE.WEIGHTED(B37:AF37,B15:AF15)"),0.01917450713800136)</f>
        <v>0.01917450714</v>
      </c>
      <c r="C51" s="156"/>
      <c r="D51" s="156"/>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row>
    <row r="52">
      <c r="A52" s="24" t="s">
        <v>238</v>
      </c>
      <c r="B52" s="74">
        <f>AVERAGE(B38:AF38)</f>
        <v>241.0874427</v>
      </c>
      <c r="C52" s="84"/>
      <c r="D52" s="156"/>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row>
    <row r="53">
      <c r="A53" s="24" t="s">
        <v>214</v>
      </c>
      <c r="B53" s="74">
        <f>IFERROR(__xludf.DUMMYFUNCTION("AVERAGE.WEIGHTED(B39:AF39,B15:AF15)"),241.52070870156356)</f>
        <v>241.5207087</v>
      </c>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row>
    <row r="54">
      <c r="A54" s="24" t="s">
        <v>217</v>
      </c>
      <c r="B54" s="74">
        <f>IFERROR(__xludf.DUMMYFUNCTION("AVERAGE.weighted(B40:AF40,B15:AF15)"),162.62774133242692)</f>
        <v>162.6277413</v>
      </c>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row>
    <row r="55">
      <c r="A55" s="24" t="s">
        <v>100</v>
      </c>
      <c r="B55" s="262">
        <f>SUM(B18:AF18)</f>
        <v>5884</v>
      </c>
      <c r="C55" s="24"/>
      <c r="D55" s="156"/>
      <c r="E55" s="24"/>
      <c r="F55" s="24"/>
      <c r="G55" s="24"/>
      <c r="H55" s="24"/>
      <c r="I55" s="24"/>
      <c r="J55" s="24"/>
      <c r="K55" s="24"/>
      <c r="L55" s="24" t="s">
        <v>236</v>
      </c>
      <c r="M55" s="24"/>
      <c r="N55" s="24"/>
      <c r="O55" s="24"/>
      <c r="P55" s="24"/>
      <c r="Q55" s="24"/>
      <c r="R55" s="24"/>
      <c r="S55" s="24"/>
      <c r="T55" s="24"/>
      <c r="U55" s="24"/>
      <c r="V55" s="24"/>
      <c r="W55" s="24"/>
      <c r="X55" s="24"/>
      <c r="Y55" s="24"/>
      <c r="Z55" s="24"/>
      <c r="AA55" s="24"/>
      <c r="AB55" s="24"/>
      <c r="AC55" s="24"/>
      <c r="AD55" s="24"/>
      <c r="AE55" s="24"/>
      <c r="AF55" s="24"/>
    </row>
    <row r="56">
      <c r="A56" s="24" t="s">
        <v>239</v>
      </c>
      <c r="B56" s="263">
        <f>'DTC - P&amp;L'!AG57</f>
        <v>4913</v>
      </c>
      <c r="C56" s="264">
        <v>4000.0</v>
      </c>
      <c r="D56" s="254">
        <f>B56/C56</f>
        <v>1.22825</v>
      </c>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row>
    <row r="57">
      <c r="A57" s="24" t="s">
        <v>240</v>
      </c>
      <c r="B57" s="74">
        <f>(SUM(B29:AF29)/B56)</f>
        <v>113.049115</v>
      </c>
      <c r="C57" s="84"/>
      <c r="D57" s="156"/>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row>
    <row r="58">
      <c r="A58" s="24" t="s">
        <v>241</v>
      </c>
      <c r="B58" s="248">
        <f>IFERROR(__xludf.DUMMYFUNCTION("AVERAGE.WEIGHTED(B44:AF44,B15:AF15)"),0.9469945615227736)</f>
        <v>0.9469945615</v>
      </c>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row>
    <row r="59">
      <c r="A59" s="24" t="s">
        <v>242</v>
      </c>
      <c r="B59" s="248">
        <f>IFERROR(__xludf.DUMMYFUNCTION("AVERAGE.WEIGHTED(B43:AF43,B15:AF15)"),0.053005438477226385)</f>
        <v>0.05300543848</v>
      </c>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156"/>
      <c r="Z69" s="156"/>
      <c r="AA69" s="156"/>
      <c r="AB69" s="156"/>
      <c r="AC69" s="156"/>
      <c r="AD69" s="156"/>
      <c r="AE69" s="156"/>
      <c r="AF69" s="156"/>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156"/>
      <c r="Z70" s="156"/>
      <c r="AA70" s="156"/>
      <c r="AB70" s="156"/>
      <c r="AC70" s="156"/>
      <c r="AD70" s="156"/>
      <c r="AE70" s="156"/>
      <c r="AF70" s="156"/>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156"/>
      <c r="Z71" s="156"/>
      <c r="AA71" s="156"/>
      <c r="AB71" s="156"/>
      <c r="AC71" s="156"/>
      <c r="AD71" s="156"/>
      <c r="AE71" s="156"/>
      <c r="AF71" s="156"/>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18"/>
      <c r="Z72" s="24"/>
      <c r="AA72" s="24"/>
      <c r="AB72" s="24"/>
      <c r="AC72" s="156"/>
      <c r="AD72" s="156"/>
      <c r="AE72" s="156"/>
      <c r="AF72" s="156"/>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t="s">
        <v>236</v>
      </c>
      <c r="Z77" s="24"/>
      <c r="AA77" s="24"/>
      <c r="AB77" s="24"/>
      <c r="AC77" s="24"/>
      <c r="AD77" s="24"/>
      <c r="AE77" s="24"/>
      <c r="AF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row>
    <row r="165">
      <c r="A165" s="24"/>
      <c r="B165" s="24"/>
      <c r="C165" s="24"/>
      <c r="D165" s="24"/>
      <c r="E165" s="24"/>
      <c r="F165" s="24"/>
      <c r="G165" s="27"/>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row>
    <row r="166">
      <c r="A166" s="24"/>
      <c r="B166" s="24"/>
      <c r="C166" s="24"/>
      <c r="D166" s="24"/>
      <c r="E166" s="24"/>
      <c r="F166" s="24"/>
      <c r="G166" s="27"/>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row>
  </sheetData>
  <mergeCells count="2">
    <mergeCell ref="B4:U4"/>
    <mergeCell ref="Z4:AF4"/>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5.75"/>
    <col customWidth="1" min="33" max="33" width="14.38"/>
  </cols>
  <sheetData>
    <row r="1">
      <c r="A1" s="4" t="s">
        <v>34</v>
      </c>
      <c r="B1" s="5">
        <v>45108.0</v>
      </c>
      <c r="C1" s="5">
        <v>45109.0</v>
      </c>
      <c r="D1" s="5">
        <v>45110.0</v>
      </c>
      <c r="E1" s="5">
        <v>45111.0</v>
      </c>
      <c r="F1" s="5">
        <v>45112.0</v>
      </c>
      <c r="G1" s="5">
        <v>45113.0</v>
      </c>
      <c r="H1" s="5">
        <v>45114.0</v>
      </c>
      <c r="I1" s="5">
        <v>45115.0</v>
      </c>
      <c r="J1" s="5">
        <v>45116.0</v>
      </c>
      <c r="K1" s="5">
        <v>45117.0</v>
      </c>
      <c r="L1" s="5">
        <v>45118.0</v>
      </c>
      <c r="M1" s="5">
        <v>45119.0</v>
      </c>
      <c r="N1" s="5">
        <v>45120.0</v>
      </c>
      <c r="O1" s="5">
        <v>45121.0</v>
      </c>
      <c r="P1" s="5">
        <v>45122.0</v>
      </c>
      <c r="Q1" s="5">
        <v>45123.0</v>
      </c>
      <c r="R1" s="5">
        <v>45124.0</v>
      </c>
      <c r="S1" s="5">
        <v>45125.0</v>
      </c>
      <c r="T1" s="5">
        <v>45126.0</v>
      </c>
      <c r="U1" s="5">
        <v>45127.0</v>
      </c>
      <c r="V1" s="5">
        <v>45128.0</v>
      </c>
      <c r="W1" s="5">
        <v>45129.0</v>
      </c>
      <c r="X1" s="5">
        <v>45130.0</v>
      </c>
      <c r="Y1" s="5">
        <v>45131.0</v>
      </c>
      <c r="Z1" s="5">
        <v>45132.0</v>
      </c>
      <c r="AA1" s="5">
        <v>45133.0</v>
      </c>
      <c r="AB1" s="5">
        <v>45134.0</v>
      </c>
      <c r="AC1" s="5">
        <v>45135.0</v>
      </c>
      <c r="AD1" s="5">
        <v>45136.0</v>
      </c>
      <c r="AE1" s="5">
        <v>45137.0</v>
      </c>
      <c r="AF1" s="5">
        <v>45138.0</v>
      </c>
      <c r="AG1" s="20"/>
    </row>
    <row r="2">
      <c r="A2" s="23" t="s">
        <v>81</v>
      </c>
      <c r="B2" s="25" t="s">
        <v>43</v>
      </c>
      <c r="C2" s="25" t="s">
        <v>44</v>
      </c>
      <c r="D2" s="25" t="s">
        <v>45</v>
      </c>
      <c r="E2" s="25" t="s">
        <v>46</v>
      </c>
      <c r="F2" s="25" t="s">
        <v>47</v>
      </c>
      <c r="G2" s="25" t="s">
        <v>48</v>
      </c>
      <c r="H2" s="25" t="s">
        <v>49</v>
      </c>
      <c r="I2" s="25" t="s">
        <v>43</v>
      </c>
      <c r="J2" s="25" t="s">
        <v>44</v>
      </c>
      <c r="K2" s="25" t="s">
        <v>45</v>
      </c>
      <c r="L2" s="25" t="s">
        <v>46</v>
      </c>
      <c r="M2" s="25" t="s">
        <v>47</v>
      </c>
      <c r="N2" s="25" t="s">
        <v>48</v>
      </c>
      <c r="O2" s="25" t="s">
        <v>49</v>
      </c>
      <c r="P2" s="25" t="s">
        <v>43</v>
      </c>
      <c r="Q2" s="25" t="s">
        <v>44</v>
      </c>
      <c r="R2" s="25" t="s">
        <v>45</v>
      </c>
      <c r="S2" s="25" t="s">
        <v>46</v>
      </c>
      <c r="T2" s="25" t="s">
        <v>47</v>
      </c>
      <c r="U2" s="25" t="s">
        <v>48</v>
      </c>
      <c r="V2" s="25" t="s">
        <v>49</v>
      </c>
      <c r="W2" s="25" t="s">
        <v>43</v>
      </c>
      <c r="X2" s="25" t="s">
        <v>44</v>
      </c>
      <c r="Y2" s="25" t="s">
        <v>45</v>
      </c>
      <c r="Z2" s="25" t="s">
        <v>46</v>
      </c>
      <c r="AA2" s="25" t="s">
        <v>47</v>
      </c>
      <c r="AB2" s="25" t="s">
        <v>48</v>
      </c>
      <c r="AC2" s="25" t="s">
        <v>49</v>
      </c>
      <c r="AD2" s="25" t="s">
        <v>43</v>
      </c>
      <c r="AE2" s="25" t="s">
        <v>44</v>
      </c>
      <c r="AF2" s="25" t="s">
        <v>45</v>
      </c>
      <c r="AG2" s="20"/>
    </row>
    <row r="3">
      <c r="A3" s="33" t="s">
        <v>93</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0"/>
    </row>
    <row r="4">
      <c r="A4" s="40" t="s">
        <v>100</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0"/>
    </row>
    <row r="5">
      <c r="A5" s="42" t="s">
        <v>104</v>
      </c>
      <c r="B5" s="43">
        <v>52.0</v>
      </c>
      <c r="C5" s="43">
        <v>93.0</v>
      </c>
      <c r="D5" s="43">
        <v>64.0</v>
      </c>
      <c r="E5" s="45">
        <v>95.0</v>
      </c>
      <c r="F5" s="45">
        <v>81.0</v>
      </c>
      <c r="G5" s="45">
        <v>102.0</v>
      </c>
      <c r="H5" s="45">
        <v>101.0</v>
      </c>
      <c r="I5" s="43">
        <v>140.0</v>
      </c>
      <c r="J5" s="43">
        <v>113.0</v>
      </c>
      <c r="K5" s="43">
        <v>120.0</v>
      </c>
      <c r="L5" s="43">
        <v>107.0</v>
      </c>
      <c r="M5" s="47">
        <v>80.0</v>
      </c>
      <c r="N5" s="43">
        <v>140.0</v>
      </c>
      <c r="O5" s="43">
        <v>146.0</v>
      </c>
      <c r="P5" s="43">
        <v>114.0</v>
      </c>
      <c r="Q5" s="43">
        <v>118.0</v>
      </c>
      <c r="R5" s="43">
        <v>66.0</v>
      </c>
      <c r="S5" s="43">
        <v>96.0</v>
      </c>
      <c r="T5" s="43">
        <v>91.0</v>
      </c>
      <c r="U5" s="43">
        <v>104.0</v>
      </c>
      <c r="V5" s="43">
        <v>90.0</v>
      </c>
      <c r="W5" s="43">
        <v>89.0</v>
      </c>
      <c r="X5" s="43">
        <v>93.0</v>
      </c>
      <c r="Y5" s="45">
        <v>60.0</v>
      </c>
      <c r="Z5" s="45">
        <v>51.0</v>
      </c>
      <c r="AA5" s="43">
        <v>37.0</v>
      </c>
      <c r="AB5" s="43">
        <v>50.0</v>
      </c>
      <c r="AC5" s="43">
        <v>43.0</v>
      </c>
      <c r="AD5" s="43">
        <v>39.0</v>
      </c>
      <c r="AE5" s="43">
        <v>30.0</v>
      </c>
      <c r="AF5" s="43">
        <v>41.0</v>
      </c>
      <c r="AG5" s="53">
        <f t="shared" ref="AG5:AG6" si="1">SUM(B5:AF5)</f>
        <v>2646</v>
      </c>
    </row>
    <row r="6">
      <c r="A6" s="42" t="s">
        <v>109</v>
      </c>
      <c r="B6" s="54">
        <v>78.0</v>
      </c>
      <c r="C6" s="54">
        <v>85.0</v>
      </c>
      <c r="D6" s="55">
        <v>66.0</v>
      </c>
      <c r="E6" s="55">
        <v>73.0</v>
      </c>
      <c r="F6" s="55">
        <v>67.0</v>
      </c>
      <c r="G6" s="54">
        <v>80.0</v>
      </c>
      <c r="H6" s="54">
        <v>86.0</v>
      </c>
      <c r="I6" s="54">
        <v>102.0</v>
      </c>
      <c r="J6" s="54">
        <v>95.0</v>
      </c>
      <c r="K6" s="54">
        <v>111.0</v>
      </c>
      <c r="L6" s="55">
        <v>91.0</v>
      </c>
      <c r="M6" s="54">
        <v>117.0</v>
      </c>
      <c r="N6" s="54">
        <v>94.0</v>
      </c>
      <c r="O6" s="54">
        <v>98.0</v>
      </c>
      <c r="P6" s="54">
        <v>84.0</v>
      </c>
      <c r="Q6" s="54">
        <v>86.0</v>
      </c>
      <c r="R6" s="54">
        <v>88.0</v>
      </c>
      <c r="S6" s="54">
        <v>130.0</v>
      </c>
      <c r="T6" s="54">
        <v>98.0</v>
      </c>
      <c r="U6" s="54">
        <v>150.0</v>
      </c>
      <c r="V6" s="54">
        <v>153.0</v>
      </c>
      <c r="W6" s="54">
        <v>140.0</v>
      </c>
      <c r="X6" s="54">
        <v>174.0</v>
      </c>
      <c r="Y6" s="54">
        <v>113.0</v>
      </c>
      <c r="Z6" s="54">
        <v>116.0</v>
      </c>
      <c r="AA6" s="54">
        <v>115.0</v>
      </c>
      <c r="AB6" s="54">
        <v>119.0</v>
      </c>
      <c r="AC6" s="54">
        <v>139.0</v>
      </c>
      <c r="AD6" s="54">
        <v>101.0</v>
      </c>
      <c r="AE6" s="54">
        <v>115.0</v>
      </c>
      <c r="AF6" s="54">
        <v>72.0</v>
      </c>
      <c r="AG6" s="60">
        <f t="shared" si="1"/>
        <v>3236</v>
      </c>
    </row>
    <row r="7">
      <c r="A7" s="42" t="s">
        <v>116</v>
      </c>
      <c r="B7" s="43">
        <v>0.0</v>
      </c>
      <c r="C7" s="43">
        <v>0.0</v>
      </c>
      <c r="D7" s="43">
        <v>0.0</v>
      </c>
      <c r="E7" s="43">
        <v>0.0</v>
      </c>
      <c r="F7" s="43">
        <v>0.0</v>
      </c>
      <c r="G7" s="43">
        <v>0.0</v>
      </c>
      <c r="H7" s="43">
        <v>0.0</v>
      </c>
      <c r="I7" s="43">
        <v>0.0</v>
      </c>
      <c r="J7" s="43">
        <v>0.0</v>
      </c>
      <c r="K7" s="43">
        <v>0.0</v>
      </c>
      <c r="L7" s="43">
        <v>0.0</v>
      </c>
      <c r="M7" s="43">
        <v>0.0</v>
      </c>
      <c r="N7" s="43">
        <v>0.0</v>
      </c>
      <c r="O7" s="43">
        <v>0.0</v>
      </c>
      <c r="P7" s="43">
        <v>0.0</v>
      </c>
      <c r="Q7" s="43">
        <v>0.0</v>
      </c>
      <c r="R7" s="43">
        <v>0.0</v>
      </c>
      <c r="S7" s="43">
        <v>0.0</v>
      </c>
      <c r="T7" s="43">
        <v>0.0</v>
      </c>
      <c r="U7" s="43">
        <v>0.0</v>
      </c>
      <c r="V7" s="43">
        <v>0.0</v>
      </c>
      <c r="W7" s="43">
        <v>0.0</v>
      </c>
      <c r="X7" s="43">
        <v>0.0</v>
      </c>
      <c r="Y7" s="43">
        <v>0.0</v>
      </c>
      <c r="Z7" s="43">
        <v>0.0</v>
      </c>
      <c r="AA7" s="43">
        <v>0.0</v>
      </c>
      <c r="AB7" s="43">
        <v>0.0</v>
      </c>
      <c r="AC7" s="43">
        <v>0.0</v>
      </c>
      <c r="AD7" s="43">
        <v>0.0</v>
      </c>
      <c r="AE7" s="43">
        <v>0.0</v>
      </c>
      <c r="AF7" s="43">
        <v>0.0</v>
      </c>
      <c r="AG7" s="53">
        <v>0.0</v>
      </c>
    </row>
    <row r="8">
      <c r="A8" s="42" t="s">
        <v>120</v>
      </c>
      <c r="B8" s="43">
        <v>0.0</v>
      </c>
      <c r="C8" s="43">
        <v>0.0</v>
      </c>
      <c r="D8" s="43">
        <v>0.0</v>
      </c>
      <c r="E8" s="43">
        <v>0.0</v>
      </c>
      <c r="F8" s="43">
        <v>0.0</v>
      </c>
      <c r="G8" s="43">
        <v>0.0</v>
      </c>
      <c r="H8" s="43">
        <v>0.0</v>
      </c>
      <c r="I8" s="43">
        <v>0.0</v>
      </c>
      <c r="J8" s="43">
        <v>0.0</v>
      </c>
      <c r="K8" s="43">
        <v>0.0</v>
      </c>
      <c r="L8" s="43">
        <v>0.0</v>
      </c>
      <c r="M8" s="43">
        <v>0.0</v>
      </c>
      <c r="N8" s="43">
        <v>0.0</v>
      </c>
      <c r="O8" s="43">
        <v>0.0</v>
      </c>
      <c r="P8" s="43">
        <v>0.0</v>
      </c>
      <c r="Q8" s="43">
        <v>0.0</v>
      </c>
      <c r="R8" s="43">
        <v>0.0</v>
      </c>
      <c r="S8" s="43">
        <v>0.0</v>
      </c>
      <c r="T8" s="43">
        <v>0.0</v>
      </c>
      <c r="U8" s="43">
        <v>0.0</v>
      </c>
      <c r="V8" s="43">
        <v>0.0</v>
      </c>
      <c r="W8" s="43">
        <v>0.0</v>
      </c>
      <c r="X8" s="43">
        <v>0.0</v>
      </c>
      <c r="Y8" s="43">
        <v>0.0</v>
      </c>
      <c r="Z8" s="43">
        <v>0.0</v>
      </c>
      <c r="AA8" s="43">
        <v>0.0</v>
      </c>
      <c r="AB8" s="43">
        <v>0.0</v>
      </c>
      <c r="AC8" s="43">
        <v>0.0</v>
      </c>
      <c r="AD8" s="43">
        <v>0.0</v>
      </c>
      <c r="AE8" s="43">
        <v>0.0</v>
      </c>
      <c r="AF8" s="43">
        <v>0.0</v>
      </c>
      <c r="AG8" s="53">
        <f t="shared" ref="AG8:AG9" si="2">SUM(B8:AF8)</f>
        <v>0</v>
      </c>
    </row>
    <row r="9">
      <c r="A9" s="42" t="s">
        <v>128</v>
      </c>
      <c r="B9" s="43">
        <v>0.0</v>
      </c>
      <c r="C9" s="43">
        <v>0.0</v>
      </c>
      <c r="D9" s="43">
        <v>0.0</v>
      </c>
      <c r="E9" s="43">
        <v>0.0</v>
      </c>
      <c r="F9" s="43">
        <v>0.0</v>
      </c>
      <c r="G9" s="43">
        <v>0.0</v>
      </c>
      <c r="H9" s="43">
        <v>0.0</v>
      </c>
      <c r="I9" s="43">
        <v>0.0</v>
      </c>
      <c r="J9" s="43">
        <v>0.0</v>
      </c>
      <c r="K9" s="43">
        <v>0.0</v>
      </c>
      <c r="L9" s="43">
        <v>0.0</v>
      </c>
      <c r="M9" s="43">
        <v>0.0</v>
      </c>
      <c r="N9" s="43">
        <v>0.0</v>
      </c>
      <c r="O9" s="43">
        <v>0.0</v>
      </c>
      <c r="P9" s="43">
        <v>0.0</v>
      </c>
      <c r="Q9" s="43">
        <v>0.0</v>
      </c>
      <c r="R9" s="43">
        <v>0.0</v>
      </c>
      <c r="S9" s="43">
        <v>0.0</v>
      </c>
      <c r="T9" s="43">
        <v>0.0</v>
      </c>
      <c r="U9" s="43">
        <v>0.0</v>
      </c>
      <c r="V9" s="43">
        <v>0.0</v>
      </c>
      <c r="W9" s="43">
        <v>0.0</v>
      </c>
      <c r="X9" s="43">
        <v>0.0</v>
      </c>
      <c r="Y9" s="43">
        <v>0.0</v>
      </c>
      <c r="Z9" s="43">
        <v>0.0</v>
      </c>
      <c r="AA9" s="43">
        <v>0.0</v>
      </c>
      <c r="AB9" s="43">
        <v>0.0</v>
      </c>
      <c r="AC9" s="43">
        <v>0.0</v>
      </c>
      <c r="AD9" s="43">
        <v>0.0</v>
      </c>
      <c r="AE9" s="43">
        <v>0.0</v>
      </c>
      <c r="AF9" s="43">
        <v>0.0</v>
      </c>
      <c r="AG9" s="53">
        <f t="shared" si="2"/>
        <v>0</v>
      </c>
    </row>
    <row r="10">
      <c r="A10" s="42" t="s">
        <v>134</v>
      </c>
      <c r="B10" s="43">
        <v>0.0</v>
      </c>
      <c r="C10" s="43">
        <v>0.0</v>
      </c>
      <c r="D10" s="43">
        <v>0.0</v>
      </c>
      <c r="E10" s="43">
        <v>0.0</v>
      </c>
      <c r="F10" s="43">
        <v>0.0</v>
      </c>
      <c r="G10" s="43">
        <v>0.0</v>
      </c>
      <c r="H10" s="43">
        <v>0.0</v>
      </c>
      <c r="I10" s="43">
        <v>0.0</v>
      </c>
      <c r="J10" s="43">
        <v>0.0</v>
      </c>
      <c r="K10" s="43">
        <v>0.0</v>
      </c>
      <c r="L10" s="43">
        <v>0.0</v>
      </c>
      <c r="M10" s="43">
        <v>0.0</v>
      </c>
      <c r="N10" s="43">
        <v>0.0</v>
      </c>
      <c r="O10" s="43">
        <v>0.0</v>
      </c>
      <c r="P10" s="43">
        <v>0.0</v>
      </c>
      <c r="Q10" s="43">
        <v>0.0</v>
      </c>
      <c r="R10" s="43">
        <v>0.0</v>
      </c>
      <c r="S10" s="45">
        <v>4.0</v>
      </c>
      <c r="T10" s="45">
        <v>3.0</v>
      </c>
      <c r="U10" s="45">
        <v>3.0</v>
      </c>
      <c r="V10" s="45">
        <v>4.0</v>
      </c>
      <c r="W10" s="45">
        <v>2.0</v>
      </c>
      <c r="X10" s="45">
        <v>3.0</v>
      </c>
      <c r="Y10" s="45">
        <v>5.0</v>
      </c>
      <c r="Z10" s="45">
        <v>3.0</v>
      </c>
      <c r="AA10" s="45">
        <v>2.0</v>
      </c>
      <c r="AB10" s="45">
        <v>3.0</v>
      </c>
      <c r="AC10" s="45">
        <v>1.0</v>
      </c>
      <c r="AD10" s="45">
        <v>0.0</v>
      </c>
      <c r="AE10" s="45">
        <v>4.0</v>
      </c>
      <c r="AF10" s="45">
        <v>0.0</v>
      </c>
      <c r="AG10" s="53">
        <v>37.0</v>
      </c>
    </row>
    <row r="11">
      <c r="A11" s="78" t="s">
        <v>141</v>
      </c>
      <c r="B11" s="79">
        <v>4.0</v>
      </c>
      <c r="C11" s="79">
        <v>6.0</v>
      </c>
      <c r="D11" s="79">
        <v>3.0</v>
      </c>
      <c r="E11" s="79">
        <v>2.0</v>
      </c>
      <c r="F11" s="81">
        <v>1.0</v>
      </c>
      <c r="G11" s="79">
        <v>1.0</v>
      </c>
      <c r="H11" s="79">
        <v>0.0</v>
      </c>
      <c r="I11" s="79">
        <v>1.0</v>
      </c>
      <c r="J11" s="79">
        <v>2.0</v>
      </c>
      <c r="K11" s="79">
        <v>3.0</v>
      </c>
      <c r="L11" s="81">
        <v>1.0</v>
      </c>
      <c r="M11" s="79">
        <v>2.0</v>
      </c>
      <c r="N11" s="79">
        <v>94.0</v>
      </c>
      <c r="O11" s="79">
        <v>76.0</v>
      </c>
      <c r="P11" s="79">
        <v>25.0</v>
      </c>
      <c r="Q11" s="79">
        <v>17.0</v>
      </c>
      <c r="R11" s="79">
        <v>29.0</v>
      </c>
      <c r="S11" s="79">
        <v>38.0</v>
      </c>
      <c r="T11" s="79">
        <v>2.0</v>
      </c>
      <c r="U11" s="79">
        <v>4.0</v>
      </c>
      <c r="V11" s="79">
        <v>3.0</v>
      </c>
      <c r="W11" s="79">
        <v>2.0</v>
      </c>
      <c r="X11" s="79">
        <v>6.0</v>
      </c>
      <c r="Y11" s="79">
        <v>2.0</v>
      </c>
      <c r="Z11" s="79">
        <v>1.0</v>
      </c>
      <c r="AA11" s="79">
        <v>0.0</v>
      </c>
      <c r="AB11" s="79">
        <v>4.0</v>
      </c>
      <c r="AC11" s="79">
        <v>4.0</v>
      </c>
      <c r="AD11" s="79">
        <v>1.0</v>
      </c>
      <c r="AE11" s="79">
        <v>4.0</v>
      </c>
      <c r="AF11" s="79">
        <v>4.0</v>
      </c>
      <c r="AG11" s="53">
        <f t="shared" ref="AG11:AG12" si="4">SUM(B11:AF11)</f>
        <v>342</v>
      </c>
    </row>
    <row r="12">
      <c r="A12" s="86" t="s">
        <v>151</v>
      </c>
      <c r="B12" s="87">
        <f t="shared" ref="B12:AF12" si="3">SUM(B5:B11)</f>
        <v>134</v>
      </c>
      <c r="C12" s="87">
        <f t="shared" si="3"/>
        <v>184</v>
      </c>
      <c r="D12" s="87">
        <f t="shared" si="3"/>
        <v>133</v>
      </c>
      <c r="E12" s="87">
        <f t="shared" si="3"/>
        <v>170</v>
      </c>
      <c r="F12" s="87">
        <f t="shared" si="3"/>
        <v>149</v>
      </c>
      <c r="G12" s="87">
        <f t="shared" si="3"/>
        <v>183</v>
      </c>
      <c r="H12" s="87">
        <f t="shared" si="3"/>
        <v>187</v>
      </c>
      <c r="I12" s="87">
        <f t="shared" si="3"/>
        <v>243</v>
      </c>
      <c r="J12" s="87">
        <f t="shared" si="3"/>
        <v>210</v>
      </c>
      <c r="K12" s="87">
        <f t="shared" si="3"/>
        <v>234</v>
      </c>
      <c r="L12" s="87">
        <f t="shared" si="3"/>
        <v>199</v>
      </c>
      <c r="M12" s="87">
        <f t="shared" si="3"/>
        <v>199</v>
      </c>
      <c r="N12" s="87">
        <f t="shared" si="3"/>
        <v>328</v>
      </c>
      <c r="O12" s="87">
        <f t="shared" si="3"/>
        <v>320</v>
      </c>
      <c r="P12" s="87">
        <f t="shared" si="3"/>
        <v>223</v>
      </c>
      <c r="Q12" s="87">
        <f t="shared" si="3"/>
        <v>221</v>
      </c>
      <c r="R12" s="87">
        <f t="shared" si="3"/>
        <v>183</v>
      </c>
      <c r="S12" s="87">
        <f t="shared" si="3"/>
        <v>268</v>
      </c>
      <c r="T12" s="87">
        <f t="shared" si="3"/>
        <v>194</v>
      </c>
      <c r="U12" s="87">
        <f t="shared" si="3"/>
        <v>261</v>
      </c>
      <c r="V12" s="87">
        <f t="shared" si="3"/>
        <v>250</v>
      </c>
      <c r="W12" s="87">
        <f t="shared" si="3"/>
        <v>233</v>
      </c>
      <c r="X12" s="87">
        <f t="shared" si="3"/>
        <v>276</v>
      </c>
      <c r="Y12" s="87">
        <f t="shared" si="3"/>
        <v>180</v>
      </c>
      <c r="Z12" s="87">
        <f t="shared" si="3"/>
        <v>171</v>
      </c>
      <c r="AA12" s="87">
        <f t="shared" si="3"/>
        <v>154</v>
      </c>
      <c r="AB12" s="87">
        <f t="shared" si="3"/>
        <v>176</v>
      </c>
      <c r="AC12" s="87">
        <f t="shared" si="3"/>
        <v>187</v>
      </c>
      <c r="AD12" s="87">
        <f t="shared" si="3"/>
        <v>141</v>
      </c>
      <c r="AE12" s="87">
        <f t="shared" si="3"/>
        <v>153</v>
      </c>
      <c r="AF12" s="87">
        <f t="shared" si="3"/>
        <v>117</v>
      </c>
      <c r="AG12" s="60">
        <f t="shared" si="4"/>
        <v>6261</v>
      </c>
    </row>
    <row r="13">
      <c r="A13" s="35"/>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0"/>
    </row>
    <row r="14">
      <c r="A14" s="100" t="s">
        <v>167</v>
      </c>
      <c r="B14" s="67">
        <v>12675.01</v>
      </c>
      <c r="C14" s="67">
        <v>24381.02</v>
      </c>
      <c r="D14" s="67">
        <v>15128.23</v>
      </c>
      <c r="E14" s="67">
        <v>21258.9</v>
      </c>
      <c r="F14" s="67">
        <v>19092.71</v>
      </c>
      <c r="G14" s="67">
        <v>22290.99</v>
      </c>
      <c r="H14" s="67">
        <v>22384.22</v>
      </c>
      <c r="I14" s="67">
        <v>31413.49</v>
      </c>
      <c r="J14" s="67">
        <v>26123.96</v>
      </c>
      <c r="K14" s="67">
        <v>27325.69</v>
      </c>
      <c r="L14" s="67">
        <v>23733.94</v>
      </c>
      <c r="M14" s="67">
        <v>18438.07</v>
      </c>
      <c r="N14" s="67">
        <v>33573.93</v>
      </c>
      <c r="O14" s="67">
        <v>33415.06</v>
      </c>
      <c r="P14" s="67">
        <v>24031.07</v>
      </c>
      <c r="Q14" s="67">
        <v>25557.35</v>
      </c>
      <c r="R14" s="67">
        <v>13441.3</v>
      </c>
      <c r="S14" s="67">
        <v>21801.24</v>
      </c>
      <c r="T14" s="67">
        <v>20575.78</v>
      </c>
      <c r="U14" s="67">
        <v>25635.85</v>
      </c>
      <c r="V14" s="67">
        <v>19910.12</v>
      </c>
      <c r="W14" s="67">
        <v>21315.94</v>
      </c>
      <c r="X14" s="67">
        <v>20426.44</v>
      </c>
      <c r="Y14" s="67">
        <v>13358.97</v>
      </c>
      <c r="Z14" s="67">
        <v>12504.83</v>
      </c>
      <c r="AA14" s="67">
        <v>8226.96</v>
      </c>
      <c r="AB14" s="67">
        <v>12250.88</v>
      </c>
      <c r="AC14" s="67">
        <v>9252.93</v>
      </c>
      <c r="AD14" s="67">
        <v>9205.01</v>
      </c>
      <c r="AE14" s="67">
        <v>6970.93</v>
      </c>
      <c r="AF14" s="67">
        <v>10140.6</v>
      </c>
      <c r="AG14" s="101"/>
    </row>
    <row r="15">
      <c r="A15" s="42" t="s">
        <v>104</v>
      </c>
      <c r="B15" s="103">
        <f>IFERROR(__xludf.DUMMYFUNCTION("GOOGLEFINANCE(""CURRENCY:EURUSD"")*B14"),14532.46934045)</f>
        <v>14532.46934</v>
      </c>
      <c r="C15" s="103">
        <f>IFERROR(__xludf.DUMMYFUNCTION("GOOGLEFINANCE(""CURRENCY:EURUSD"")*C14"),27953.9365759)</f>
        <v>27953.93658</v>
      </c>
      <c r="D15" s="103">
        <f>IFERROR(__xludf.DUMMYFUNCTION("GOOGLEFINANCE(""CURRENCY:EURUSD"")*D14"),17345.19646535)</f>
        <v>17345.19647</v>
      </c>
      <c r="E15" s="103">
        <f>IFERROR(__xludf.DUMMYFUNCTION("GOOGLEFINANCE(""CURRENCY:EURUSD"")*E14"),24374.2855005)</f>
        <v>24374.2855</v>
      </c>
      <c r="F15" s="103">
        <f>IFERROR(__xludf.DUMMYFUNCTION("GOOGLEFINANCE(""CURRENCY:EURUSD"")*F14"),21890.65118695)</f>
        <v>21890.65119</v>
      </c>
      <c r="G15" s="103">
        <f>IFERROR(__xludf.DUMMYFUNCTION("GOOGLEFINANCE(""CURRENCY:EURUSD"")*G14"),25557.62312955)</f>
        <v>25557.62313</v>
      </c>
      <c r="H15" s="103">
        <f>IFERROR(__xludf.DUMMYFUNCTION("GOOGLEFINANCE(""CURRENCY:EURUSD"")*H14"),25664.5155199)</f>
        <v>25664.51552</v>
      </c>
      <c r="I15" s="103">
        <f>IFERROR(__xludf.DUMMYFUNCTION("GOOGLEFINANCE(""CURRENCY:EURUSD"")*I14"),36016.979892049996)</f>
        <v>36016.97989</v>
      </c>
      <c r="J15" s="103">
        <f>IFERROR(__xludf.DUMMYFUNCTION("GOOGLEFINANCE(""CURRENCY:EURUSD"")*J14"),29952.295718199995)</f>
        <v>29952.29572</v>
      </c>
      <c r="K15" s="103">
        <f>IFERROR(__xludf.DUMMYFUNCTION("GOOGLEFINANCE(""CURRENCY:EURUSD"")*K14"),31330.133241049996)</f>
        <v>31330.13324</v>
      </c>
      <c r="L15" s="103">
        <f>IFERROR(__xludf.DUMMYFUNCTION("GOOGLEFINANCE(""CURRENCY:EURUSD"")*L14"),27212.030237299998)</f>
        <v>27212.03024</v>
      </c>
      <c r="M15" s="103">
        <f>IFERROR(__xludf.DUMMYFUNCTION("GOOGLEFINANCE(""CURRENCY:EURUSD"")*M14"),21140.07696815)</f>
        <v>21140.07697</v>
      </c>
      <c r="N15" s="103">
        <f>IFERROR(__xludf.DUMMYFUNCTION("GOOGLEFINANCE(""CURRENCY:EURUSD"")*N14"),38494.02157185)</f>
        <v>38494.02157</v>
      </c>
      <c r="O15" s="103">
        <f>IFERROR(__xludf.DUMMYFUNCTION("GOOGLEFINANCE(""CURRENCY:EURUSD"")*O14"),38311.8699677)</f>
        <v>38311.86997</v>
      </c>
      <c r="P15" s="103">
        <f>IFERROR(__xludf.DUMMYFUNCTION("GOOGLEFINANCE(""CURRENCY:EURUSD"")*P14"),27552.703153149996)</f>
        <v>27552.70315</v>
      </c>
      <c r="Q15" s="103">
        <f>IFERROR(__xludf.DUMMYFUNCTION("GOOGLEFINANCE(""CURRENCY:EURUSD"")*Q14"),29302.651855749995)</f>
        <v>29302.65186</v>
      </c>
      <c r="R15" s="103">
        <f>IFERROR(__xludf.DUMMYFUNCTION("GOOGLEFINANCE(""CURRENCY:EURUSD"")*R14"),15411.055308499997)</f>
        <v>15411.05531</v>
      </c>
      <c r="S15" s="103">
        <f>IFERROR(__xludf.DUMMYFUNCTION("GOOGLEFINANCE(""CURRENCY:EURUSD"")*S14"),24996.1027158)</f>
        <v>24996.10272</v>
      </c>
      <c r="T15" s="103">
        <f>IFERROR(__xludf.DUMMYFUNCTION("GOOGLEFINANCE(""CURRENCY:EURUSD"")*T14"),23591.0576801)</f>
        <v>23591.05768</v>
      </c>
      <c r="U15" s="103">
        <f>IFERROR(__xludf.DUMMYFUNCTION("GOOGLEFINANCE(""CURRENCY:EURUSD"")*U14"),29392.655638249995)</f>
        <v>29392.65564</v>
      </c>
      <c r="V15" s="103">
        <f>IFERROR(__xludf.DUMMYFUNCTION("GOOGLEFINANCE(""CURRENCY:EURUSD"")*V14"),22827.848535399997)</f>
        <v>22827.84854</v>
      </c>
      <c r="W15" s="103">
        <f>IFERROR(__xludf.DUMMYFUNCTION("GOOGLEFINANCE(""CURRENCY:EURUSD"")*W14"),24439.684427299995)</f>
        <v>24439.68443</v>
      </c>
      <c r="X15" s="103">
        <f>IFERROR(__xludf.DUMMYFUNCTION("GOOGLEFINANCE(""CURRENCY:EURUSD"")*X14"),23419.8326498)</f>
        <v>23419.83265</v>
      </c>
      <c r="Y15" s="103">
        <f>IFERROR(__xludf.DUMMYFUNCTION("GOOGLEFINANCE(""CURRENCY:EURUSD"")*Y14"),15316.660258649998)</f>
        <v>15316.66026</v>
      </c>
      <c r="Z15" s="103">
        <f>IFERROR(__xludf.DUMMYFUNCTION("GOOGLEFINANCE(""CURRENCY:EURUSD"")*Z14"),14337.35031235)</f>
        <v>14337.35031</v>
      </c>
      <c r="AA15" s="103">
        <f>IFERROR(__xludf.DUMMYFUNCTION("GOOGLEFINANCE(""CURRENCY:EURUSD"")*AA14"),9432.579853199999)</f>
        <v>9432.579853</v>
      </c>
      <c r="AB15" s="103">
        <f>IFERROR(__xludf.DUMMYFUNCTION("GOOGLEFINANCE(""CURRENCY:EURUSD"")*AB14"),14046.185209599998)</f>
        <v>14046.18521</v>
      </c>
      <c r="AC15" s="103">
        <f>IFERROR(__xludf.DUMMYFUNCTION("GOOGLEFINANCE(""CURRENCY:EURUSD"")*AC14"),10608.90062685)</f>
        <v>10608.90063</v>
      </c>
      <c r="AD15" s="103">
        <f>IFERROR(__xludf.DUMMYFUNCTION("GOOGLEFINANCE(""CURRENCY:EURUSD"")*AD14"),10553.95819045)</f>
        <v>10553.95819</v>
      </c>
      <c r="AE15" s="103">
        <f>IFERROR(__xludf.DUMMYFUNCTION("GOOGLEFINANCE(""CURRENCY:EURUSD"")*AE14"),7992.48493685)</f>
        <v>7992.484937</v>
      </c>
      <c r="AF15" s="103">
        <f>IFERROR(__xludf.DUMMYFUNCTION("GOOGLEFINANCE(""CURRENCY:EURUSD"")*AF14"),11626.654226999999)</f>
        <v>11626.65423</v>
      </c>
      <c r="AG15" s="136">
        <f t="shared" ref="AG15:AG16" si="5">SUM(B15:AF15)</f>
        <v>694624.4509</v>
      </c>
    </row>
    <row r="16">
      <c r="A16" s="42" t="s">
        <v>109</v>
      </c>
      <c r="B16" s="138">
        <v>17677.42</v>
      </c>
      <c r="C16" s="138">
        <v>19491.64</v>
      </c>
      <c r="D16" s="138">
        <v>16155.61</v>
      </c>
      <c r="E16" s="140">
        <v>16190.97</v>
      </c>
      <c r="F16" s="138">
        <v>14253.45</v>
      </c>
      <c r="G16" s="138">
        <v>18950.64</v>
      </c>
      <c r="H16" s="138">
        <v>17552.74</v>
      </c>
      <c r="I16" s="138">
        <v>21202.65</v>
      </c>
      <c r="J16" s="138">
        <v>22383.36</v>
      </c>
      <c r="K16" s="138">
        <v>24365.38</v>
      </c>
      <c r="L16" s="140">
        <v>21103.84</v>
      </c>
      <c r="M16" s="138">
        <v>27826.14</v>
      </c>
      <c r="N16" s="138">
        <v>21588.42</v>
      </c>
      <c r="O16" s="138">
        <v>22876.85</v>
      </c>
      <c r="P16" s="138">
        <v>18232.01</v>
      </c>
      <c r="Q16" s="138">
        <v>19035.3</v>
      </c>
      <c r="R16" s="138">
        <v>19745.03</v>
      </c>
      <c r="S16" s="138">
        <v>29990.59</v>
      </c>
      <c r="T16" s="138">
        <v>25696.34</v>
      </c>
      <c r="U16" s="138">
        <v>35243.03</v>
      </c>
      <c r="V16" s="138">
        <v>35780.89</v>
      </c>
      <c r="W16" s="138">
        <v>30440.01</v>
      </c>
      <c r="X16" s="138">
        <v>41113.74</v>
      </c>
      <c r="Y16" s="138">
        <v>29308.52</v>
      </c>
      <c r="Z16" s="138">
        <v>31396.99</v>
      </c>
      <c r="AA16" s="138">
        <v>28641.3</v>
      </c>
      <c r="AB16" s="138">
        <v>29733.18</v>
      </c>
      <c r="AC16" s="138">
        <v>34539.75</v>
      </c>
      <c r="AD16" s="138">
        <v>24300.69</v>
      </c>
      <c r="AE16" s="138">
        <v>28836.64</v>
      </c>
      <c r="AF16" s="138">
        <v>16758.04</v>
      </c>
      <c r="AG16" s="136">
        <f t="shared" si="5"/>
        <v>760411.16</v>
      </c>
    </row>
    <row r="17">
      <c r="A17" s="42" t="s">
        <v>116</v>
      </c>
      <c r="B17" s="138">
        <v>0.0</v>
      </c>
      <c r="C17" s="138">
        <v>0.0</v>
      </c>
      <c r="D17" s="138">
        <v>0.0</v>
      </c>
      <c r="E17" s="138">
        <v>0.0</v>
      </c>
      <c r="F17" s="138">
        <v>0.0</v>
      </c>
      <c r="G17" s="138">
        <v>0.0</v>
      </c>
      <c r="H17" s="138">
        <v>0.0</v>
      </c>
      <c r="I17" s="138">
        <v>0.0</v>
      </c>
      <c r="J17" s="138">
        <v>0.0</v>
      </c>
      <c r="K17" s="138">
        <v>0.0</v>
      </c>
      <c r="L17" s="138">
        <v>0.0</v>
      </c>
      <c r="M17" s="138">
        <v>0.0</v>
      </c>
      <c r="N17" s="138">
        <v>0.0</v>
      </c>
      <c r="O17" s="138">
        <v>0.0</v>
      </c>
      <c r="P17" s="138">
        <v>0.0</v>
      </c>
      <c r="Q17" s="138">
        <v>0.0</v>
      </c>
      <c r="R17" s="138">
        <v>0.0</v>
      </c>
      <c r="S17" s="138">
        <v>0.0</v>
      </c>
      <c r="T17" s="138">
        <v>0.0</v>
      </c>
      <c r="U17" s="138">
        <v>0.0</v>
      </c>
      <c r="V17" s="138">
        <v>0.0</v>
      </c>
      <c r="W17" s="138">
        <v>0.0</v>
      </c>
      <c r="X17" s="138">
        <v>0.0</v>
      </c>
      <c r="Y17" s="138">
        <v>0.0</v>
      </c>
      <c r="Z17" s="138">
        <v>0.0</v>
      </c>
      <c r="AA17" s="138">
        <v>0.0</v>
      </c>
      <c r="AB17" s="138">
        <v>0.0</v>
      </c>
      <c r="AC17" s="138">
        <v>0.0</v>
      </c>
      <c r="AD17" s="138">
        <v>0.0</v>
      </c>
      <c r="AE17" s="138">
        <v>0.0</v>
      </c>
      <c r="AF17" s="138">
        <v>0.0</v>
      </c>
      <c r="AG17" s="136">
        <v>0.0</v>
      </c>
    </row>
    <row r="18">
      <c r="A18" s="42" t="s">
        <v>120</v>
      </c>
      <c r="B18" s="138">
        <v>0.0</v>
      </c>
      <c r="C18" s="138">
        <v>0.0</v>
      </c>
      <c r="D18" s="138">
        <v>0.0</v>
      </c>
      <c r="E18" s="138">
        <v>0.0</v>
      </c>
      <c r="F18" s="138">
        <v>0.0</v>
      </c>
      <c r="G18" s="138">
        <v>0.0</v>
      </c>
      <c r="H18" s="138">
        <v>0.0</v>
      </c>
      <c r="I18" s="138">
        <v>0.0</v>
      </c>
      <c r="J18" s="138">
        <v>0.0</v>
      </c>
      <c r="K18" s="138">
        <v>0.0</v>
      </c>
      <c r="L18" s="138">
        <v>0.0</v>
      </c>
      <c r="M18" s="138">
        <v>0.0</v>
      </c>
      <c r="N18" s="138">
        <v>0.0</v>
      </c>
      <c r="O18" s="138">
        <v>0.0</v>
      </c>
      <c r="P18" s="138">
        <v>0.0</v>
      </c>
      <c r="Q18" s="138">
        <v>0.0</v>
      </c>
      <c r="R18" s="138">
        <v>0.0</v>
      </c>
      <c r="S18" s="138">
        <v>0.0</v>
      </c>
      <c r="T18" s="138">
        <v>0.0</v>
      </c>
      <c r="U18" s="138">
        <v>0.0</v>
      </c>
      <c r="V18" s="138">
        <v>0.0</v>
      </c>
      <c r="W18" s="138">
        <v>0.0</v>
      </c>
      <c r="X18" s="138">
        <v>0.0</v>
      </c>
      <c r="Y18" s="138">
        <v>0.0</v>
      </c>
      <c r="Z18" s="138">
        <v>0.0</v>
      </c>
      <c r="AA18" s="138">
        <v>0.0</v>
      </c>
      <c r="AB18" s="138">
        <v>0.0</v>
      </c>
      <c r="AC18" s="138">
        <v>0.0</v>
      </c>
      <c r="AD18" s="138">
        <v>0.0</v>
      </c>
      <c r="AE18" s="138">
        <v>0.0</v>
      </c>
      <c r="AF18" s="138">
        <v>0.0</v>
      </c>
      <c r="AG18" s="136">
        <f t="shared" ref="AG18:AG19" si="6">SUM(B18:AF18)</f>
        <v>0</v>
      </c>
    </row>
    <row r="19">
      <c r="A19" s="42" t="s">
        <v>128</v>
      </c>
      <c r="B19" s="138">
        <v>0.0</v>
      </c>
      <c r="C19" s="138">
        <v>0.0</v>
      </c>
      <c r="D19" s="138">
        <v>0.0</v>
      </c>
      <c r="E19" s="138">
        <v>0.0</v>
      </c>
      <c r="F19" s="138">
        <v>0.0</v>
      </c>
      <c r="G19" s="138">
        <v>0.0</v>
      </c>
      <c r="H19" s="138">
        <v>0.0</v>
      </c>
      <c r="I19" s="138">
        <v>0.0</v>
      </c>
      <c r="J19" s="138">
        <v>0.0</v>
      </c>
      <c r="K19" s="138">
        <v>0.0</v>
      </c>
      <c r="L19" s="138">
        <v>0.0</v>
      </c>
      <c r="M19" s="138">
        <v>0.0</v>
      </c>
      <c r="N19" s="138">
        <v>0.0</v>
      </c>
      <c r="O19" s="138">
        <v>0.0</v>
      </c>
      <c r="P19" s="138">
        <v>0.0</v>
      </c>
      <c r="Q19" s="138">
        <v>0.0</v>
      </c>
      <c r="R19" s="138">
        <v>0.0</v>
      </c>
      <c r="S19" s="138">
        <v>0.0</v>
      </c>
      <c r="T19" s="138">
        <v>0.0</v>
      </c>
      <c r="U19" s="138">
        <v>0.0</v>
      </c>
      <c r="V19" s="138">
        <v>0.0</v>
      </c>
      <c r="W19" s="138">
        <v>0.0</v>
      </c>
      <c r="X19" s="138">
        <v>0.0</v>
      </c>
      <c r="Y19" s="138">
        <v>0.0</v>
      </c>
      <c r="Z19" s="138">
        <v>0.0</v>
      </c>
      <c r="AA19" s="138">
        <v>0.0</v>
      </c>
      <c r="AB19" s="138">
        <v>0.0</v>
      </c>
      <c r="AC19" s="138">
        <v>0.0</v>
      </c>
      <c r="AD19" s="138">
        <v>0.0</v>
      </c>
      <c r="AE19" s="138">
        <v>0.0</v>
      </c>
      <c r="AF19" s="138">
        <v>0.0</v>
      </c>
      <c r="AG19" s="136">
        <f t="shared" si="6"/>
        <v>0</v>
      </c>
    </row>
    <row r="20">
      <c r="A20" s="42" t="s">
        <v>134</v>
      </c>
      <c r="B20" s="140">
        <v>0.0</v>
      </c>
      <c r="C20" s="140">
        <v>0.0</v>
      </c>
      <c r="D20" s="140">
        <v>0.0</v>
      </c>
      <c r="E20" s="140">
        <v>0.0</v>
      </c>
      <c r="F20" s="140">
        <v>0.0</v>
      </c>
      <c r="G20" s="140">
        <v>0.0</v>
      </c>
      <c r="H20" s="140">
        <v>0.0</v>
      </c>
      <c r="I20" s="140">
        <v>0.0</v>
      </c>
      <c r="J20" s="140">
        <v>0.0</v>
      </c>
      <c r="K20" s="140">
        <v>0.0</v>
      </c>
      <c r="L20" s="140">
        <v>0.0</v>
      </c>
      <c r="M20" s="140">
        <v>0.0</v>
      </c>
      <c r="N20" s="140">
        <v>0.0</v>
      </c>
      <c r="O20" s="140">
        <v>0.0</v>
      </c>
      <c r="P20" s="140">
        <v>0.0</v>
      </c>
      <c r="Q20" s="138">
        <v>0.0</v>
      </c>
      <c r="R20" s="140">
        <v>0.0</v>
      </c>
      <c r="S20" s="138">
        <v>780.81</v>
      </c>
      <c r="T20" s="140">
        <v>541.79</v>
      </c>
      <c r="U20" s="140">
        <v>925.45</v>
      </c>
      <c r="V20" s="140">
        <v>1184.57</v>
      </c>
      <c r="W20" s="140">
        <v>531.95</v>
      </c>
      <c r="X20" s="140">
        <v>938.33</v>
      </c>
      <c r="Y20" s="140">
        <v>1148.46</v>
      </c>
      <c r="Z20" s="140">
        <v>785.1</v>
      </c>
      <c r="AA20" s="140">
        <v>543.06</v>
      </c>
      <c r="AB20" s="140">
        <v>908.25</v>
      </c>
      <c r="AC20" s="140">
        <v>245.27</v>
      </c>
      <c r="AD20" s="140">
        <v>0.0</v>
      </c>
      <c r="AE20" s="140">
        <v>682.12</v>
      </c>
      <c r="AF20" s="140">
        <v>0.0</v>
      </c>
      <c r="AG20" s="136">
        <v>9215.160000000002</v>
      </c>
    </row>
    <row r="21">
      <c r="A21" s="146" t="s">
        <v>141</v>
      </c>
      <c r="B21" s="147">
        <v>815.46</v>
      </c>
      <c r="C21" s="147">
        <v>1741.69</v>
      </c>
      <c r="D21" s="148">
        <v>729.81</v>
      </c>
      <c r="E21" s="147">
        <v>509.74</v>
      </c>
      <c r="F21" s="148">
        <v>204.7</v>
      </c>
      <c r="G21" s="147">
        <v>266.63</v>
      </c>
      <c r="H21" s="147">
        <v>0.0</v>
      </c>
      <c r="I21" s="147">
        <v>30.74</v>
      </c>
      <c r="J21" s="147">
        <v>425.14</v>
      </c>
      <c r="K21" s="147">
        <v>543.68</v>
      </c>
      <c r="L21" s="148">
        <v>63.0</v>
      </c>
      <c r="M21" s="147">
        <v>348.11</v>
      </c>
      <c r="N21" s="150">
        <v>21081.09</v>
      </c>
      <c r="O21" s="148">
        <v>19052.55</v>
      </c>
      <c r="P21" s="150">
        <v>6531.28</v>
      </c>
      <c r="Q21" s="150">
        <v>3775.83</v>
      </c>
      <c r="R21" s="147">
        <v>6515.75</v>
      </c>
      <c r="S21" s="148">
        <v>7669.01</v>
      </c>
      <c r="T21" s="151">
        <v>238.68</v>
      </c>
      <c r="U21" s="150">
        <v>825.72</v>
      </c>
      <c r="V21" s="150">
        <v>465.42</v>
      </c>
      <c r="W21" s="150">
        <v>309.71</v>
      </c>
      <c r="X21" s="150">
        <v>1222.39</v>
      </c>
      <c r="Y21" s="150">
        <v>351.79</v>
      </c>
      <c r="Z21" s="150">
        <v>24.84</v>
      </c>
      <c r="AA21" s="150">
        <v>0.0</v>
      </c>
      <c r="AB21" s="150">
        <v>1047.31</v>
      </c>
      <c r="AC21" s="150">
        <v>576.18</v>
      </c>
      <c r="AD21" s="150">
        <v>124.94</v>
      </c>
      <c r="AE21" s="150">
        <v>646.42</v>
      </c>
      <c r="AF21" s="150">
        <v>1000.93</v>
      </c>
      <c r="AG21" s="136">
        <f t="shared" ref="AG21:AG22" si="8">SUM(B21:AF21)</f>
        <v>77138.54</v>
      </c>
    </row>
    <row r="22">
      <c r="A22" s="86" t="s">
        <v>151</v>
      </c>
      <c r="B22" s="153">
        <f t="shared" ref="B22:AF22" si="7">SUM(B15:B21)</f>
        <v>33025.34934</v>
      </c>
      <c r="C22" s="153">
        <f t="shared" si="7"/>
        <v>49187.26658</v>
      </c>
      <c r="D22" s="153">
        <f t="shared" si="7"/>
        <v>34230.61647</v>
      </c>
      <c r="E22" s="153">
        <f t="shared" si="7"/>
        <v>41074.9955</v>
      </c>
      <c r="F22" s="153">
        <f t="shared" si="7"/>
        <v>36348.80119</v>
      </c>
      <c r="G22" s="153">
        <f t="shared" si="7"/>
        <v>44774.89313</v>
      </c>
      <c r="H22" s="153">
        <f t="shared" si="7"/>
        <v>43217.25552</v>
      </c>
      <c r="I22" s="153">
        <f t="shared" si="7"/>
        <v>57250.36989</v>
      </c>
      <c r="J22" s="153">
        <f t="shared" si="7"/>
        <v>52760.79572</v>
      </c>
      <c r="K22" s="153">
        <f t="shared" si="7"/>
        <v>56239.19324</v>
      </c>
      <c r="L22" s="153">
        <f t="shared" si="7"/>
        <v>48378.87024</v>
      </c>
      <c r="M22" s="153">
        <f t="shared" si="7"/>
        <v>49314.32697</v>
      </c>
      <c r="N22" s="153">
        <f t="shared" si="7"/>
        <v>81163.53157</v>
      </c>
      <c r="O22" s="153">
        <f t="shared" si="7"/>
        <v>80241.26997</v>
      </c>
      <c r="P22" s="153">
        <f t="shared" si="7"/>
        <v>52315.99315</v>
      </c>
      <c r="Q22" s="153">
        <f t="shared" si="7"/>
        <v>52113.78186</v>
      </c>
      <c r="R22" s="153">
        <f t="shared" si="7"/>
        <v>41671.83531</v>
      </c>
      <c r="S22" s="153">
        <f t="shared" si="7"/>
        <v>63436.51272</v>
      </c>
      <c r="T22" s="153">
        <f t="shared" si="7"/>
        <v>50067.86768</v>
      </c>
      <c r="U22" s="153">
        <f t="shared" si="7"/>
        <v>66386.85564</v>
      </c>
      <c r="V22" s="153">
        <f t="shared" si="7"/>
        <v>60258.72854</v>
      </c>
      <c r="W22" s="153">
        <f t="shared" si="7"/>
        <v>55721.35443</v>
      </c>
      <c r="X22" s="153">
        <f t="shared" si="7"/>
        <v>66694.29265</v>
      </c>
      <c r="Y22" s="153">
        <f t="shared" si="7"/>
        <v>46125.43026</v>
      </c>
      <c r="Z22" s="153">
        <f t="shared" si="7"/>
        <v>46544.28031</v>
      </c>
      <c r="AA22" s="153">
        <f t="shared" si="7"/>
        <v>38616.93985</v>
      </c>
      <c r="AB22" s="153">
        <f t="shared" si="7"/>
        <v>45734.92521</v>
      </c>
      <c r="AC22" s="153">
        <f t="shared" si="7"/>
        <v>45970.10063</v>
      </c>
      <c r="AD22" s="153">
        <f t="shared" si="7"/>
        <v>34979.58819</v>
      </c>
      <c r="AE22" s="153">
        <f t="shared" si="7"/>
        <v>38157.66494</v>
      </c>
      <c r="AF22" s="153">
        <f t="shared" si="7"/>
        <v>29385.62423</v>
      </c>
      <c r="AG22" s="167">
        <f t="shared" si="8"/>
        <v>1541389.311</v>
      </c>
    </row>
    <row r="23">
      <c r="A23" s="35"/>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0"/>
    </row>
    <row r="24">
      <c r="A24" s="176" t="s">
        <v>205</v>
      </c>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0"/>
    </row>
    <row r="25">
      <c r="A25" s="42" t="s">
        <v>104</v>
      </c>
      <c r="B25" s="191">
        <f>Summary!B22</f>
        <v>7810.528245</v>
      </c>
      <c r="C25" s="191">
        <f>Summary!C22</f>
        <v>10227.8464</v>
      </c>
      <c r="D25" s="191">
        <f>Summary!D22</f>
        <v>12201.45163</v>
      </c>
      <c r="E25" s="191">
        <f>Summary!E22</f>
        <v>14380.73558</v>
      </c>
      <c r="F25" s="191">
        <f>Summary!F22</f>
        <v>14021.94725</v>
      </c>
      <c r="G25" s="191">
        <f>Summary!G22</f>
        <v>13825.05108</v>
      </c>
      <c r="H25" s="191">
        <f>Summary!H22</f>
        <v>14038.91611</v>
      </c>
      <c r="I25" s="191">
        <f>Summary!I22</f>
        <v>14426.33367</v>
      </c>
      <c r="J25" s="191">
        <f>Summary!J22</f>
        <v>17412.57892</v>
      </c>
      <c r="K25" s="191">
        <f>Summary!K22</f>
        <v>17119.59081</v>
      </c>
      <c r="L25" s="191">
        <f>Summary!L22</f>
        <v>15110.2019</v>
      </c>
      <c r="M25" s="191">
        <f>Summary!M22</f>
        <v>9922.32655</v>
      </c>
      <c r="N25" s="191">
        <f>Summary!N22</f>
        <v>9820.031805</v>
      </c>
      <c r="O25" s="191">
        <f>Summary!O22</f>
        <v>13517.13495</v>
      </c>
      <c r="P25" s="191">
        <f>Summary!P22</f>
        <v>18055.7104</v>
      </c>
      <c r="Q25" s="191">
        <f>Summary!Q22</f>
        <v>20959.88596</v>
      </c>
      <c r="R25" s="191">
        <f>Summary!R22</f>
        <v>15304.04826</v>
      </c>
      <c r="S25" s="191">
        <f>Summary!S22</f>
        <v>15073.1685</v>
      </c>
      <c r="T25" s="191">
        <f>Summary!T22</f>
        <v>16443.65667</v>
      </c>
      <c r="U25" s="191">
        <f>Summary!U22</f>
        <v>16970.01255</v>
      </c>
      <c r="V25" s="191">
        <f>Summary!V22</f>
        <v>17016.42469</v>
      </c>
      <c r="W25" s="191">
        <f>Summary!W22</f>
        <v>17325.49882</v>
      </c>
      <c r="X25" s="191">
        <f>Summary!X22</f>
        <v>18071.97988</v>
      </c>
      <c r="Y25" s="191">
        <f>Summary!Y22</f>
        <v>11617.66531</v>
      </c>
      <c r="Z25" s="191">
        <f>Summary!Z22</f>
        <v>9593.967527</v>
      </c>
      <c r="AA25" s="191">
        <f>Summary!AA22</f>
        <v>10154.37579</v>
      </c>
      <c r="AB25" s="191">
        <f>Summary!AB22</f>
        <v>7662.325839</v>
      </c>
      <c r="AC25" s="191">
        <f>Summary!AC22</f>
        <v>6968.310685</v>
      </c>
      <c r="AD25" s="191">
        <f>Summary!AD22</f>
        <v>7039.385009</v>
      </c>
      <c r="AE25" s="191">
        <f>Summary!AE22</f>
        <v>8136.926676</v>
      </c>
      <c r="AF25" s="191">
        <f>Summary!AF22</f>
        <v>8054.914312</v>
      </c>
      <c r="AG25" s="167">
        <f t="shared" ref="AG25:AG31" si="9">SUM(B25:AF25)</f>
        <v>408282.9318</v>
      </c>
    </row>
    <row r="26">
      <c r="A26" s="42" t="s">
        <v>109</v>
      </c>
      <c r="B26" s="191">
        <f>Summary!B23</f>
        <v>3497.11</v>
      </c>
      <c r="C26" s="191">
        <f>Summary!C23</f>
        <v>3319.47</v>
      </c>
      <c r="D26" s="191">
        <f>Summary!D23</f>
        <v>3105.73</v>
      </c>
      <c r="E26" s="191">
        <f>Summary!E23</f>
        <v>3164.17</v>
      </c>
      <c r="F26" s="191">
        <f>Summary!F23</f>
        <v>2743.6</v>
      </c>
      <c r="G26" s="191">
        <f>Summary!G23</f>
        <v>3026.1</v>
      </c>
      <c r="H26" s="191">
        <f>Summary!H23</f>
        <v>3130.09</v>
      </c>
      <c r="I26" s="191">
        <f>Summary!I23</f>
        <v>3395.52</v>
      </c>
      <c r="J26" s="191">
        <f>Summary!J23</f>
        <v>3789.66</v>
      </c>
      <c r="K26" s="191">
        <f>Summary!K23</f>
        <v>3114.09</v>
      </c>
      <c r="L26" s="191">
        <f>Summary!L23</f>
        <v>3480.59</v>
      </c>
      <c r="M26" s="191">
        <f>Summary!M23</f>
        <v>3371.41</v>
      </c>
      <c r="N26" s="191">
        <f>Summary!N23</f>
        <v>3892.08</v>
      </c>
      <c r="O26" s="191">
        <f>Summary!O23</f>
        <v>4289.26</v>
      </c>
      <c r="P26" s="191">
        <f>Summary!P23</f>
        <v>5070.66</v>
      </c>
      <c r="Q26" s="191">
        <f>Summary!Q23</f>
        <v>5352.91</v>
      </c>
      <c r="R26" s="191">
        <f>Summary!R23</f>
        <v>4266.18</v>
      </c>
      <c r="S26" s="191">
        <f>Summary!S23</f>
        <v>5866.88</v>
      </c>
      <c r="T26" s="191">
        <f>Summary!T23</f>
        <v>3965.4</v>
      </c>
      <c r="U26" s="191">
        <f>Summary!U23</f>
        <v>3445.26</v>
      </c>
      <c r="V26" s="191">
        <f>Summary!V23</f>
        <v>4409.06</v>
      </c>
      <c r="W26" s="191">
        <f>Summary!W23</f>
        <v>6178.13</v>
      </c>
      <c r="X26" s="191">
        <f>Summary!X23</f>
        <v>7918.68</v>
      </c>
      <c r="Y26" s="191">
        <f>Summary!Y23</f>
        <v>7299.64</v>
      </c>
      <c r="Z26" s="191">
        <f>Summary!Z23</f>
        <v>6903.82</v>
      </c>
      <c r="AA26" s="191">
        <f>Summary!AA23</f>
        <v>5757.83</v>
      </c>
      <c r="AB26" s="191">
        <f>Summary!AB23</f>
        <v>6501.5</v>
      </c>
      <c r="AC26" s="191">
        <f>Summary!AC23</f>
        <v>6675.18</v>
      </c>
      <c r="AD26" s="191">
        <f>Summary!AD23</f>
        <v>5629.81</v>
      </c>
      <c r="AE26" s="191">
        <f>Summary!AE23</f>
        <v>3929.84</v>
      </c>
      <c r="AF26" s="244">
        <f>Summary!AF23</f>
        <v>2235.27</v>
      </c>
      <c r="AG26" s="167">
        <f t="shared" si="9"/>
        <v>138724.93</v>
      </c>
    </row>
    <row r="27">
      <c r="A27" s="42" t="s">
        <v>116</v>
      </c>
      <c r="B27" s="191">
        <f>Summary!B25</f>
        <v>0</v>
      </c>
      <c r="C27" s="191">
        <f>Summary!C25</f>
        <v>0</v>
      </c>
      <c r="D27" s="191">
        <f>Summary!D25</f>
        <v>0</v>
      </c>
      <c r="E27" s="191">
        <f>Summary!E25</f>
        <v>0</v>
      </c>
      <c r="F27" s="191">
        <f>Summary!F25</f>
        <v>0</v>
      </c>
      <c r="G27" s="191">
        <f>Summary!G25</f>
        <v>0</v>
      </c>
      <c r="H27" s="191">
        <f>Summary!H25</f>
        <v>0</v>
      </c>
      <c r="I27" s="191">
        <f>Summary!I25</f>
        <v>0</v>
      </c>
      <c r="J27" s="191">
        <f>Summary!J25</f>
        <v>0</v>
      </c>
      <c r="K27" s="191">
        <f>Summary!K25</f>
        <v>0</v>
      </c>
      <c r="L27" s="191">
        <f>Summary!L25</f>
        <v>0</v>
      </c>
      <c r="M27" s="191">
        <f>Summary!M25</f>
        <v>0</v>
      </c>
      <c r="N27" s="191">
        <f>Summary!N25</f>
        <v>0</v>
      </c>
      <c r="O27" s="191">
        <f>Summary!O25</f>
        <v>0</v>
      </c>
      <c r="P27" s="191">
        <f>Summary!P25</f>
        <v>0</v>
      </c>
      <c r="Q27" s="191">
        <f>Summary!Q25</f>
        <v>0</v>
      </c>
      <c r="R27" s="191">
        <f>Summary!R25</f>
        <v>0</v>
      </c>
      <c r="S27" s="191">
        <f>Summary!S25</f>
        <v>0</v>
      </c>
      <c r="T27" s="191">
        <f>Summary!T25</f>
        <v>0</v>
      </c>
      <c r="U27" s="191">
        <f>Summary!U25</f>
        <v>0</v>
      </c>
      <c r="V27" s="191">
        <f>Summary!V25</f>
        <v>0</v>
      </c>
      <c r="W27" s="191">
        <f>Summary!W25</f>
        <v>0</v>
      </c>
      <c r="X27" s="191">
        <f>Summary!X25</f>
        <v>0</v>
      </c>
      <c r="Y27" s="191">
        <f>Summary!Y25</f>
        <v>0</v>
      </c>
      <c r="Z27" s="191">
        <f>Summary!Z25</f>
        <v>0</v>
      </c>
      <c r="AA27" s="191">
        <f>Summary!AA25</f>
        <v>0</v>
      </c>
      <c r="AB27" s="191">
        <f>Summary!AB25</f>
        <v>0</v>
      </c>
      <c r="AC27" s="191">
        <f>Summary!AC25</f>
        <v>0</v>
      </c>
      <c r="AD27" s="191">
        <f>Summary!AD25</f>
        <v>0</v>
      </c>
      <c r="AE27" s="191">
        <f>Summary!AE25</f>
        <v>0</v>
      </c>
      <c r="AF27" s="244">
        <f>Summary!AF25</f>
        <v>0</v>
      </c>
      <c r="AG27" s="167">
        <f t="shared" si="9"/>
        <v>0</v>
      </c>
    </row>
    <row r="28">
      <c r="A28" s="42" t="s">
        <v>120</v>
      </c>
      <c r="B28" s="191">
        <f>Summary!B24</f>
        <v>244.51</v>
      </c>
      <c r="C28" s="191">
        <f>Summary!C24</f>
        <v>259.8</v>
      </c>
      <c r="D28" s="191">
        <f>Summary!D24</f>
        <v>259.73</v>
      </c>
      <c r="E28" s="191">
        <f>Summary!E24</f>
        <v>251.56</v>
      </c>
      <c r="F28" s="191">
        <f>Summary!F24</f>
        <v>260.93</v>
      </c>
      <c r="G28" s="191">
        <f>Summary!G24</f>
        <v>252.96</v>
      </c>
      <c r="H28" s="191">
        <f>Summary!H24</f>
        <v>250.94</v>
      </c>
      <c r="I28" s="191">
        <f>Summary!I24</f>
        <v>249.85</v>
      </c>
      <c r="J28" s="191">
        <f>Summary!J24</f>
        <v>248.72</v>
      </c>
      <c r="K28" s="191">
        <f>Summary!K24</f>
        <v>245.95</v>
      </c>
      <c r="L28" s="191">
        <f>Summary!L24</f>
        <v>250.54</v>
      </c>
      <c r="M28" s="191">
        <f>Summary!M24</f>
        <v>247.66</v>
      </c>
      <c r="N28" s="191">
        <f>Summary!N24</f>
        <v>82.36</v>
      </c>
      <c r="O28" s="191">
        <f>Summary!O24</f>
        <v>0</v>
      </c>
      <c r="P28" s="191">
        <f>Summary!P24</f>
        <v>0</v>
      </c>
      <c r="Q28" s="191">
        <f>Summary!Q24</f>
        <v>0</v>
      </c>
      <c r="R28" s="191">
        <f>Summary!R24</f>
        <v>0</v>
      </c>
      <c r="S28" s="191">
        <f>Summary!S24</f>
        <v>0</v>
      </c>
      <c r="T28" s="191">
        <f>Summary!T24</f>
        <v>130.29</v>
      </c>
      <c r="U28" s="191">
        <f>Summary!U24</f>
        <v>247.33</v>
      </c>
      <c r="V28" s="191">
        <f>Summary!V24</f>
        <v>241.87</v>
      </c>
      <c r="W28" s="191">
        <f>Summary!W24</f>
        <v>267.6</v>
      </c>
      <c r="X28" s="191">
        <f>Summary!X24</f>
        <v>247.2</v>
      </c>
      <c r="Y28" s="191">
        <f>Summary!Y24</f>
        <v>239.41</v>
      </c>
      <c r="Z28" s="191">
        <f>Summary!Z24</f>
        <v>253.25</v>
      </c>
      <c r="AA28" s="191">
        <f>Summary!AA24</f>
        <v>281.69</v>
      </c>
      <c r="AB28" s="191">
        <f>Summary!AB24</f>
        <v>262.48</v>
      </c>
      <c r="AC28" s="191">
        <f>Summary!AC24</f>
        <v>301.09</v>
      </c>
      <c r="AD28" s="191">
        <f>Summary!AD24</f>
        <v>283.72</v>
      </c>
      <c r="AE28" s="191">
        <f>Summary!AE24</f>
        <v>289.28</v>
      </c>
      <c r="AF28" s="244">
        <f>Summary!AF24</f>
        <v>296.9</v>
      </c>
      <c r="AG28" s="167">
        <f t="shared" si="9"/>
        <v>6447.62</v>
      </c>
    </row>
    <row r="29">
      <c r="A29" s="42" t="s">
        <v>128</v>
      </c>
      <c r="B29" s="191">
        <f>Summary!B26</f>
        <v>0</v>
      </c>
      <c r="C29" s="191">
        <f>Summary!C26</f>
        <v>0</v>
      </c>
      <c r="D29" s="191">
        <f>Summary!D26</f>
        <v>0</v>
      </c>
      <c r="E29" s="191">
        <f>Summary!E26</f>
        <v>0</v>
      </c>
      <c r="F29" s="191">
        <f>Summary!F26</f>
        <v>0</v>
      </c>
      <c r="G29" s="191">
        <f>Summary!G26</f>
        <v>0</v>
      </c>
      <c r="H29" s="191">
        <f>Summary!H26</f>
        <v>0</v>
      </c>
      <c r="I29" s="191">
        <f>Summary!I26</f>
        <v>0</v>
      </c>
      <c r="J29" s="191">
        <f>Summary!J26</f>
        <v>0</v>
      </c>
      <c r="K29" s="191">
        <f>Summary!K26</f>
        <v>0</v>
      </c>
      <c r="L29" s="191">
        <f>Summary!L26</f>
        <v>0</v>
      </c>
      <c r="M29" s="191">
        <f>Summary!M26</f>
        <v>0</v>
      </c>
      <c r="N29" s="191">
        <f>Summary!N26</f>
        <v>0</v>
      </c>
      <c r="O29" s="191">
        <f>Summary!O26</f>
        <v>0</v>
      </c>
      <c r="P29" s="191">
        <f>Summary!P26</f>
        <v>0</v>
      </c>
      <c r="Q29" s="191">
        <f>Summary!Q26</f>
        <v>0</v>
      </c>
      <c r="R29" s="191">
        <f>Summary!R26</f>
        <v>0</v>
      </c>
      <c r="S29" s="191">
        <f>Summary!S26</f>
        <v>0</v>
      </c>
      <c r="T29" s="191">
        <f>Summary!T26</f>
        <v>0</v>
      </c>
      <c r="U29" s="191">
        <f>Summary!U26</f>
        <v>0</v>
      </c>
      <c r="V29" s="191">
        <f>Summary!V26</f>
        <v>0</v>
      </c>
      <c r="W29" s="191">
        <f>Summary!W26</f>
        <v>0</v>
      </c>
      <c r="X29" s="191">
        <f>Summary!X26</f>
        <v>0</v>
      </c>
      <c r="Y29" s="191">
        <f>Summary!Y26</f>
        <v>0</v>
      </c>
      <c r="Z29" s="191">
        <f>Summary!Z26</f>
        <v>0</v>
      </c>
      <c r="AA29" s="191">
        <f>Summary!AA26</f>
        <v>0</v>
      </c>
      <c r="AB29" s="191">
        <f>Summary!AB26</f>
        <v>0</v>
      </c>
      <c r="AC29" s="191">
        <f>Summary!AC26</f>
        <v>0</v>
      </c>
      <c r="AD29" s="191">
        <f>Summary!AD26</f>
        <v>0</v>
      </c>
      <c r="AE29" s="191">
        <f>Summary!AE26</f>
        <v>0</v>
      </c>
      <c r="AF29" s="244">
        <f>Summary!AF26</f>
        <v>0</v>
      </c>
      <c r="AG29" s="167">
        <f t="shared" si="9"/>
        <v>0</v>
      </c>
    </row>
    <row r="30">
      <c r="A30" s="266" t="s">
        <v>243</v>
      </c>
      <c r="B30" s="267">
        <f>Summary!B27</f>
        <v>0</v>
      </c>
      <c r="C30" s="267">
        <f>Summary!C27</f>
        <v>0</v>
      </c>
      <c r="D30" s="267">
        <f>Summary!D27</f>
        <v>0</v>
      </c>
      <c r="E30" s="267">
        <f>Summary!E27</f>
        <v>0</v>
      </c>
      <c r="F30" s="267">
        <f>Summary!F27</f>
        <v>0</v>
      </c>
      <c r="G30" s="267">
        <f>Summary!G27</f>
        <v>0</v>
      </c>
      <c r="H30" s="267">
        <f>Summary!H27</f>
        <v>0</v>
      </c>
      <c r="I30" s="267">
        <f>Summary!I27</f>
        <v>0</v>
      </c>
      <c r="J30" s="267">
        <f>Summary!J27</f>
        <v>0</v>
      </c>
      <c r="K30" s="267">
        <f>Summary!K27</f>
        <v>0</v>
      </c>
      <c r="L30" s="267">
        <f>Summary!L27</f>
        <v>0</v>
      </c>
      <c r="M30" s="267">
        <f>Summary!M27</f>
        <v>0</v>
      </c>
      <c r="N30" s="267">
        <f>Summary!N27</f>
        <v>0</v>
      </c>
      <c r="O30" s="267">
        <f>Summary!O27</f>
        <v>0</v>
      </c>
      <c r="P30" s="267">
        <f>Summary!P27</f>
        <v>0</v>
      </c>
      <c r="Q30" s="267">
        <f>Summary!Q27</f>
        <v>0</v>
      </c>
      <c r="R30" s="267">
        <f>Summary!R27</f>
        <v>0</v>
      </c>
      <c r="S30" s="267">
        <f>Summary!S27</f>
        <v>156.16</v>
      </c>
      <c r="T30" s="267">
        <f>Summary!T27</f>
        <v>131.12</v>
      </c>
      <c r="U30" s="267">
        <f>Summary!U27</f>
        <v>215.27</v>
      </c>
      <c r="V30" s="267">
        <f>Summary!V27</f>
        <v>264.81</v>
      </c>
      <c r="W30" s="267">
        <f>Summary!W27</f>
        <v>122.94</v>
      </c>
      <c r="X30" s="267">
        <f>Summary!X27</f>
        <v>187.67</v>
      </c>
      <c r="Y30" s="267">
        <f>Summary!Y27</f>
        <v>229.7</v>
      </c>
      <c r="Z30" s="267">
        <f>Summary!Z27</f>
        <v>157.02</v>
      </c>
      <c r="AA30" s="267">
        <f>Summary!AA27</f>
        <v>108.61</v>
      </c>
      <c r="AB30" s="267">
        <f>Summary!AB27</f>
        <v>196.05</v>
      </c>
      <c r="AC30" s="267">
        <f>Summary!AC27</f>
        <v>49.05</v>
      </c>
      <c r="AD30" s="267">
        <f>Summary!AD27</f>
        <v>0</v>
      </c>
      <c r="AE30" s="267">
        <f>Summary!AE27</f>
        <v>136.42</v>
      </c>
      <c r="AF30" s="268">
        <f>Summary!AF27</f>
        <v>0</v>
      </c>
      <c r="AG30" s="167">
        <f t="shared" si="9"/>
        <v>1954.82</v>
      </c>
    </row>
    <row r="31">
      <c r="A31" s="86" t="s">
        <v>151</v>
      </c>
      <c r="B31" s="153">
        <f t="shared" ref="B31:AF31" si="10">SUM(B25:B30)</f>
        <v>11552.14825</v>
      </c>
      <c r="C31" s="153">
        <f t="shared" si="10"/>
        <v>13807.1164</v>
      </c>
      <c r="D31" s="153">
        <f t="shared" si="10"/>
        <v>15566.91163</v>
      </c>
      <c r="E31" s="153">
        <f t="shared" si="10"/>
        <v>17796.46558</v>
      </c>
      <c r="F31" s="153">
        <f t="shared" si="10"/>
        <v>17026.47725</v>
      </c>
      <c r="G31" s="153">
        <f t="shared" si="10"/>
        <v>17104.11108</v>
      </c>
      <c r="H31" s="153">
        <f t="shared" si="10"/>
        <v>17419.94611</v>
      </c>
      <c r="I31" s="153">
        <f t="shared" si="10"/>
        <v>18071.70367</v>
      </c>
      <c r="J31" s="153">
        <f t="shared" si="10"/>
        <v>21450.95892</v>
      </c>
      <c r="K31" s="153">
        <f t="shared" si="10"/>
        <v>20479.63081</v>
      </c>
      <c r="L31" s="153">
        <f t="shared" si="10"/>
        <v>18841.3319</v>
      </c>
      <c r="M31" s="153">
        <f t="shared" si="10"/>
        <v>13541.39655</v>
      </c>
      <c r="N31" s="153">
        <f t="shared" si="10"/>
        <v>13794.47181</v>
      </c>
      <c r="O31" s="153">
        <f t="shared" si="10"/>
        <v>17806.39495</v>
      </c>
      <c r="P31" s="153">
        <f t="shared" si="10"/>
        <v>23126.3704</v>
      </c>
      <c r="Q31" s="153">
        <f t="shared" si="10"/>
        <v>26312.79596</v>
      </c>
      <c r="R31" s="153">
        <f t="shared" si="10"/>
        <v>19570.22826</v>
      </c>
      <c r="S31" s="153">
        <f t="shared" si="10"/>
        <v>21096.2085</v>
      </c>
      <c r="T31" s="153">
        <f t="shared" si="10"/>
        <v>20670.46667</v>
      </c>
      <c r="U31" s="153">
        <f t="shared" si="10"/>
        <v>20877.87255</v>
      </c>
      <c r="V31" s="153">
        <f t="shared" si="10"/>
        <v>21932.16469</v>
      </c>
      <c r="W31" s="153">
        <f t="shared" si="10"/>
        <v>23894.16882</v>
      </c>
      <c r="X31" s="153">
        <f t="shared" si="10"/>
        <v>26425.52988</v>
      </c>
      <c r="Y31" s="153">
        <f t="shared" si="10"/>
        <v>19386.41531</v>
      </c>
      <c r="Z31" s="153">
        <f t="shared" si="10"/>
        <v>16908.05753</v>
      </c>
      <c r="AA31" s="153">
        <f t="shared" si="10"/>
        <v>16302.50579</v>
      </c>
      <c r="AB31" s="153">
        <f t="shared" si="10"/>
        <v>14622.35584</v>
      </c>
      <c r="AC31" s="153">
        <f t="shared" si="10"/>
        <v>13993.63068</v>
      </c>
      <c r="AD31" s="153">
        <f t="shared" si="10"/>
        <v>12952.91501</v>
      </c>
      <c r="AE31" s="153">
        <f t="shared" si="10"/>
        <v>12492.46668</v>
      </c>
      <c r="AF31" s="153">
        <f t="shared" si="10"/>
        <v>10587.08431</v>
      </c>
      <c r="AG31" s="167">
        <f t="shared" si="9"/>
        <v>555410.3018</v>
      </c>
    </row>
    <row r="32">
      <c r="A32" s="35"/>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0"/>
    </row>
    <row r="33">
      <c r="A33" s="269"/>
      <c r="B33" s="255"/>
      <c r="C33" s="255"/>
      <c r="D33" s="255"/>
      <c r="E33" s="255"/>
      <c r="F33" s="255"/>
      <c r="G33" s="255"/>
      <c r="H33" s="255"/>
      <c r="I33" s="255"/>
      <c r="J33" s="255"/>
      <c r="K33" s="255"/>
      <c r="L33" s="255"/>
      <c r="M33" s="255"/>
      <c r="N33" s="255"/>
      <c r="O33" s="255"/>
      <c r="P33" s="255"/>
      <c r="Q33" s="255"/>
      <c r="R33" s="255"/>
      <c r="S33" s="255"/>
      <c r="T33" s="255"/>
      <c r="U33" s="255"/>
      <c r="V33" s="255"/>
      <c r="W33" s="255"/>
      <c r="X33" s="255"/>
      <c r="Y33" s="255"/>
      <c r="Z33" s="255"/>
      <c r="AA33" s="255"/>
      <c r="AB33" s="255"/>
      <c r="AC33" s="255"/>
      <c r="AD33" s="255"/>
      <c r="AE33" s="255"/>
      <c r="AF33" s="255"/>
      <c r="AG33" s="270"/>
    </row>
    <row r="34">
      <c r="A34" s="271"/>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c r="Z34" s="272"/>
      <c r="AA34" s="272"/>
      <c r="AB34" s="272"/>
      <c r="AC34" s="272"/>
      <c r="AD34" s="272"/>
      <c r="AE34" s="272"/>
      <c r="AF34" s="272"/>
      <c r="AG34" s="20"/>
    </row>
    <row r="35">
      <c r="A35" s="35"/>
      <c r="B35" s="273"/>
      <c r="C35" s="273"/>
      <c r="D35" s="273"/>
      <c r="E35" s="273"/>
      <c r="F35" s="273"/>
      <c r="G35" s="273"/>
      <c r="H35" s="273"/>
      <c r="I35" s="273"/>
      <c r="J35" s="273"/>
      <c r="K35" s="273"/>
      <c r="L35" s="273"/>
      <c r="M35" s="273"/>
      <c r="N35" s="273"/>
      <c r="O35" s="273"/>
      <c r="P35" s="273"/>
      <c r="Q35" s="273"/>
      <c r="R35" s="273"/>
      <c r="S35" s="273"/>
      <c r="T35" s="273"/>
      <c r="U35" s="273"/>
      <c r="V35" s="273"/>
      <c r="W35" s="273"/>
      <c r="X35" s="273"/>
      <c r="Y35" s="273"/>
      <c r="Z35" s="273"/>
      <c r="AA35" s="273"/>
      <c r="AB35" s="273"/>
      <c r="AC35" s="273"/>
      <c r="AD35" s="273"/>
      <c r="AE35" s="273"/>
      <c r="AF35" s="273"/>
      <c r="AG35" s="20"/>
    </row>
    <row r="36">
      <c r="A36" s="274" t="s">
        <v>167</v>
      </c>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0"/>
    </row>
    <row r="37">
      <c r="A37" s="275" t="s">
        <v>244</v>
      </c>
      <c r="B37" s="276">
        <f>Summary!B8</f>
        <v>45643.43</v>
      </c>
      <c r="C37" s="276">
        <f>Summary!C8</f>
        <v>45073.44</v>
      </c>
      <c r="D37" s="276">
        <f>Summary!D8</f>
        <v>38928.55</v>
      </c>
      <c r="E37" s="276">
        <f>Summary!E8</f>
        <v>42623.92</v>
      </c>
      <c r="F37" s="276">
        <f>Summary!F8</f>
        <v>41052.98</v>
      </c>
      <c r="G37" s="276">
        <f>Summary!G8</f>
        <v>44139.05</v>
      </c>
      <c r="H37" s="276">
        <f>Summary!H8</f>
        <v>46442.05</v>
      </c>
      <c r="I37" s="276">
        <f>Summary!I8</f>
        <v>54824.78</v>
      </c>
      <c r="J37" s="276">
        <f>Summary!J8</f>
        <v>52242.94</v>
      </c>
      <c r="K37" s="276">
        <f>Summary!K8</f>
        <v>49723.04</v>
      </c>
      <c r="L37" s="276">
        <f>Summary!L8</f>
        <v>49446.04</v>
      </c>
      <c r="M37" s="276">
        <f>Summary!M8</f>
        <v>49929.89</v>
      </c>
      <c r="N37" s="276">
        <f>Summary!N8</f>
        <v>78505.41</v>
      </c>
      <c r="O37" s="276">
        <f>Summary!O8</f>
        <v>70372.88</v>
      </c>
      <c r="P37" s="276">
        <f>Summary!P8</f>
        <v>60036.63</v>
      </c>
      <c r="Q37" s="276">
        <f>Summary!Q8</f>
        <v>60758.67</v>
      </c>
      <c r="R37" s="276">
        <f>Summary!R8</f>
        <v>33617.88</v>
      </c>
      <c r="S37" s="276">
        <f>Summary!S8</f>
        <v>59553.78</v>
      </c>
      <c r="T37" s="276">
        <f>Summary!T8</f>
        <v>43309.02</v>
      </c>
      <c r="U37" s="276">
        <f>Summary!U8</f>
        <v>49519.16</v>
      </c>
      <c r="V37" s="276">
        <f>Summary!V8</f>
        <v>45317.33</v>
      </c>
      <c r="W37" s="276">
        <f>Summary!W8</f>
        <v>45468.29</v>
      </c>
      <c r="X37" s="276">
        <f>Summary!X8</f>
        <v>39514.22</v>
      </c>
      <c r="Y37" s="276">
        <f>Summary!Y8</f>
        <v>32580.33</v>
      </c>
      <c r="Z37" s="276">
        <f>Summary!Z8</f>
        <v>34191.35</v>
      </c>
      <c r="AA37" s="276">
        <f>Summary!AA8</f>
        <v>31459.69</v>
      </c>
      <c r="AB37" s="276">
        <f>Summary!AB8</f>
        <v>34850.36</v>
      </c>
      <c r="AC37" s="276">
        <f>Summary!AC8</f>
        <v>32209.07</v>
      </c>
      <c r="AD37" s="276">
        <f>Summary!AD8</f>
        <v>31661.81</v>
      </c>
      <c r="AE37" s="276">
        <f>Summary!AE8</f>
        <v>32033.77</v>
      </c>
      <c r="AF37" s="276">
        <f>Summary!AF8</f>
        <v>36477.99</v>
      </c>
      <c r="AG37" s="277">
        <f t="shared" ref="AG37:AG38" si="12">sum(B37:AF37)</f>
        <v>1411507.75</v>
      </c>
    </row>
    <row r="38">
      <c r="A38" s="278" t="s">
        <v>245</v>
      </c>
      <c r="B38" s="279">
        <f t="shared" ref="B38:AF38" si="11">SUM(B37)</f>
        <v>45643.43</v>
      </c>
      <c r="C38" s="279">
        <f t="shared" si="11"/>
        <v>45073.44</v>
      </c>
      <c r="D38" s="279">
        <f t="shared" si="11"/>
        <v>38928.55</v>
      </c>
      <c r="E38" s="279">
        <f t="shared" si="11"/>
        <v>42623.92</v>
      </c>
      <c r="F38" s="279">
        <f t="shared" si="11"/>
        <v>41052.98</v>
      </c>
      <c r="G38" s="279">
        <f t="shared" si="11"/>
        <v>44139.05</v>
      </c>
      <c r="H38" s="279">
        <f t="shared" si="11"/>
        <v>46442.05</v>
      </c>
      <c r="I38" s="279">
        <f t="shared" si="11"/>
        <v>54824.78</v>
      </c>
      <c r="J38" s="279">
        <f t="shared" si="11"/>
        <v>52242.94</v>
      </c>
      <c r="K38" s="279">
        <f t="shared" si="11"/>
        <v>49723.04</v>
      </c>
      <c r="L38" s="279">
        <f t="shared" si="11"/>
        <v>49446.04</v>
      </c>
      <c r="M38" s="279">
        <f t="shared" si="11"/>
        <v>49929.89</v>
      </c>
      <c r="N38" s="279">
        <f t="shared" si="11"/>
        <v>78505.41</v>
      </c>
      <c r="O38" s="279">
        <f t="shared" si="11"/>
        <v>70372.88</v>
      </c>
      <c r="P38" s="279">
        <f t="shared" si="11"/>
        <v>60036.63</v>
      </c>
      <c r="Q38" s="279">
        <f t="shared" si="11"/>
        <v>60758.67</v>
      </c>
      <c r="R38" s="279">
        <f t="shared" si="11"/>
        <v>33617.88</v>
      </c>
      <c r="S38" s="279">
        <f t="shared" si="11"/>
        <v>59553.78</v>
      </c>
      <c r="T38" s="279">
        <f t="shared" si="11"/>
        <v>43309.02</v>
      </c>
      <c r="U38" s="279">
        <f t="shared" si="11"/>
        <v>49519.16</v>
      </c>
      <c r="V38" s="279">
        <f t="shared" si="11"/>
        <v>45317.33</v>
      </c>
      <c r="W38" s="279">
        <f t="shared" si="11"/>
        <v>45468.29</v>
      </c>
      <c r="X38" s="279">
        <f t="shared" si="11"/>
        <v>39514.22</v>
      </c>
      <c r="Y38" s="279">
        <f t="shared" si="11"/>
        <v>32580.33</v>
      </c>
      <c r="Z38" s="279">
        <f t="shared" si="11"/>
        <v>34191.35</v>
      </c>
      <c r="AA38" s="279">
        <f t="shared" si="11"/>
        <v>31459.69</v>
      </c>
      <c r="AB38" s="279">
        <f t="shared" si="11"/>
        <v>34850.36</v>
      </c>
      <c r="AC38" s="279">
        <f t="shared" si="11"/>
        <v>32209.07</v>
      </c>
      <c r="AD38" s="279">
        <f t="shared" si="11"/>
        <v>31661.81</v>
      </c>
      <c r="AE38" s="279">
        <f t="shared" si="11"/>
        <v>32033.77</v>
      </c>
      <c r="AF38" s="279">
        <f t="shared" si="11"/>
        <v>36477.99</v>
      </c>
      <c r="AG38" s="277">
        <f t="shared" si="12"/>
        <v>1411507.75</v>
      </c>
    </row>
    <row r="39">
      <c r="A39" s="35"/>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0"/>
    </row>
    <row r="40">
      <c r="A40" s="274" t="s">
        <v>100</v>
      </c>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0"/>
    </row>
    <row r="41">
      <c r="A41" s="280" t="s">
        <v>246</v>
      </c>
      <c r="B41" s="281">
        <f>Summary!B15</f>
        <v>196</v>
      </c>
      <c r="C41" s="281">
        <f>Summary!C15</f>
        <v>181</v>
      </c>
      <c r="D41" s="281">
        <f>Summary!D15</f>
        <v>159</v>
      </c>
      <c r="E41" s="281">
        <f>Summary!E15</f>
        <v>187</v>
      </c>
      <c r="F41" s="281">
        <f>Summary!F15</f>
        <v>174</v>
      </c>
      <c r="G41" s="281">
        <f>Summary!G15</f>
        <v>186</v>
      </c>
      <c r="H41" s="281">
        <f>Summary!H15</f>
        <v>197</v>
      </c>
      <c r="I41" s="281">
        <f>Summary!I15</f>
        <v>239</v>
      </c>
      <c r="J41" s="281">
        <f>Summary!J15</f>
        <v>221</v>
      </c>
      <c r="K41" s="281">
        <f>Summary!K15</f>
        <v>219</v>
      </c>
      <c r="L41" s="281">
        <f>Summary!L15</f>
        <v>210</v>
      </c>
      <c r="M41" s="281">
        <f>Summary!M15</f>
        <v>200</v>
      </c>
      <c r="N41" s="281">
        <f>Summary!N15</f>
        <v>333</v>
      </c>
      <c r="O41" s="281">
        <f>Summary!O15</f>
        <v>294</v>
      </c>
      <c r="P41" s="281">
        <f>Summary!P15</f>
        <v>255</v>
      </c>
      <c r="Q41" s="281">
        <f>Summary!Q15</f>
        <v>256</v>
      </c>
      <c r="R41" s="281">
        <f>Summary!R15</f>
        <v>153</v>
      </c>
      <c r="S41" s="281">
        <f>Summary!S15</f>
        <v>240</v>
      </c>
      <c r="T41" s="281">
        <f>Summary!T15</f>
        <v>177</v>
      </c>
      <c r="U41" s="281">
        <f>Summary!U15</f>
        <v>200</v>
      </c>
      <c r="V41" s="281">
        <f>Summary!V15</f>
        <v>192</v>
      </c>
      <c r="W41" s="281">
        <f>Summary!W15</f>
        <v>191</v>
      </c>
      <c r="X41" s="281">
        <f>Summary!X15</f>
        <v>173</v>
      </c>
      <c r="Y41" s="281">
        <f>Summary!Y15</f>
        <v>130</v>
      </c>
      <c r="Z41" s="281">
        <f>Summary!Z15</f>
        <v>135</v>
      </c>
      <c r="AA41" s="281">
        <f>Summary!AA15</f>
        <v>119</v>
      </c>
      <c r="AB41" s="281">
        <f>Summary!AB15</f>
        <v>130</v>
      </c>
      <c r="AC41" s="281">
        <f>Summary!AC15</f>
        <v>133</v>
      </c>
      <c r="AD41" s="281">
        <f>Summary!AD15</f>
        <v>131</v>
      </c>
      <c r="AE41" s="281">
        <f>Summary!AE15</f>
        <v>132</v>
      </c>
      <c r="AF41" s="281">
        <f>Summary!AF15</f>
        <v>141</v>
      </c>
      <c r="AG41" s="277">
        <f t="shared" ref="AG41:AG42" si="14">sum(B41:AF41)</f>
        <v>5884</v>
      </c>
    </row>
    <row r="42">
      <c r="A42" s="282" t="s">
        <v>245</v>
      </c>
      <c r="B42" s="283">
        <f t="shared" ref="B42:AF42" si="13">SUM(B41)</f>
        <v>196</v>
      </c>
      <c r="C42" s="283">
        <f t="shared" si="13"/>
        <v>181</v>
      </c>
      <c r="D42" s="283">
        <f t="shared" si="13"/>
        <v>159</v>
      </c>
      <c r="E42" s="283">
        <f t="shared" si="13"/>
        <v>187</v>
      </c>
      <c r="F42" s="283">
        <f t="shared" si="13"/>
        <v>174</v>
      </c>
      <c r="G42" s="283">
        <f t="shared" si="13"/>
        <v>186</v>
      </c>
      <c r="H42" s="283">
        <f t="shared" si="13"/>
        <v>197</v>
      </c>
      <c r="I42" s="283">
        <f t="shared" si="13"/>
        <v>239</v>
      </c>
      <c r="J42" s="283">
        <f t="shared" si="13"/>
        <v>221</v>
      </c>
      <c r="K42" s="283">
        <f t="shared" si="13"/>
        <v>219</v>
      </c>
      <c r="L42" s="283">
        <f t="shared" si="13"/>
        <v>210</v>
      </c>
      <c r="M42" s="283">
        <f t="shared" si="13"/>
        <v>200</v>
      </c>
      <c r="N42" s="283">
        <f t="shared" si="13"/>
        <v>333</v>
      </c>
      <c r="O42" s="283">
        <f t="shared" si="13"/>
        <v>294</v>
      </c>
      <c r="P42" s="283">
        <f t="shared" si="13"/>
        <v>255</v>
      </c>
      <c r="Q42" s="283">
        <f t="shared" si="13"/>
        <v>256</v>
      </c>
      <c r="R42" s="283">
        <f t="shared" si="13"/>
        <v>153</v>
      </c>
      <c r="S42" s="283">
        <f t="shared" si="13"/>
        <v>240</v>
      </c>
      <c r="T42" s="283">
        <f t="shared" si="13"/>
        <v>177</v>
      </c>
      <c r="U42" s="283">
        <f t="shared" si="13"/>
        <v>200</v>
      </c>
      <c r="V42" s="283">
        <f t="shared" si="13"/>
        <v>192</v>
      </c>
      <c r="W42" s="283">
        <f t="shared" si="13"/>
        <v>191</v>
      </c>
      <c r="X42" s="283">
        <f t="shared" si="13"/>
        <v>173</v>
      </c>
      <c r="Y42" s="283">
        <f t="shared" si="13"/>
        <v>130</v>
      </c>
      <c r="Z42" s="283">
        <f t="shared" si="13"/>
        <v>135</v>
      </c>
      <c r="AA42" s="283">
        <f t="shared" si="13"/>
        <v>119</v>
      </c>
      <c r="AB42" s="283">
        <f t="shared" si="13"/>
        <v>130</v>
      </c>
      <c r="AC42" s="283">
        <f t="shared" si="13"/>
        <v>133</v>
      </c>
      <c r="AD42" s="283">
        <f t="shared" si="13"/>
        <v>131</v>
      </c>
      <c r="AE42" s="283">
        <f t="shared" si="13"/>
        <v>132</v>
      </c>
      <c r="AF42" s="283">
        <f t="shared" si="13"/>
        <v>141</v>
      </c>
      <c r="AG42" s="277">
        <f t="shared" si="14"/>
        <v>5884</v>
      </c>
    </row>
    <row r="43">
      <c r="A43" s="35"/>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0"/>
    </row>
    <row r="44">
      <c r="A44" s="274" t="s">
        <v>247</v>
      </c>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0"/>
    </row>
    <row r="45">
      <c r="A45" s="284" t="s">
        <v>95</v>
      </c>
      <c r="B45" s="285">
        <f>Summary!B9</f>
        <v>36339.3</v>
      </c>
      <c r="C45" s="285">
        <f>Summary!C9</f>
        <v>35421</v>
      </c>
      <c r="D45" s="285">
        <f>Summary!D9</f>
        <v>31591.8</v>
      </c>
      <c r="E45" s="285">
        <f>Summary!E9</f>
        <v>34100.4</v>
      </c>
      <c r="F45" s="285">
        <f>Summary!F9</f>
        <v>33472.26</v>
      </c>
      <c r="G45" s="285">
        <f>Summary!G9</f>
        <v>35821.56</v>
      </c>
      <c r="H45" s="285">
        <f>Summary!H9</f>
        <v>38210.4</v>
      </c>
      <c r="I45" s="285">
        <f>Summary!I9</f>
        <v>43742.46</v>
      </c>
      <c r="J45" s="285">
        <f>Summary!J9</f>
        <v>41422.2</v>
      </c>
      <c r="K45" s="285">
        <f>Summary!K9</f>
        <v>39284.96</v>
      </c>
      <c r="L45" s="285">
        <f>Summary!L9</f>
        <v>40703.3</v>
      </c>
      <c r="M45" s="285">
        <f>Summary!M9</f>
        <v>41234.16</v>
      </c>
      <c r="N45" s="285">
        <f>Summary!N9</f>
        <v>63104.9</v>
      </c>
      <c r="O45" s="285">
        <f>Summary!O9</f>
        <v>56976.1</v>
      </c>
      <c r="P45" s="285">
        <f>Summary!P9</f>
        <v>47668.1</v>
      </c>
      <c r="Q45" s="285">
        <f>Summary!Q9</f>
        <v>49046.66</v>
      </c>
      <c r="R45" s="285">
        <f>Summary!R9</f>
        <v>26941</v>
      </c>
      <c r="S45" s="285">
        <f>Summary!S9</f>
        <v>48103.1</v>
      </c>
      <c r="T45" s="285">
        <f>Summary!T9</f>
        <v>35159.9</v>
      </c>
      <c r="U45" s="285">
        <f>Summary!U9</f>
        <v>39792.4</v>
      </c>
      <c r="V45" s="285">
        <f>Summary!V9</f>
        <v>36372.6</v>
      </c>
      <c r="W45" s="285">
        <f>Summary!W9</f>
        <v>36633.8</v>
      </c>
      <c r="X45" s="285">
        <f>Summary!X9</f>
        <v>30906.36</v>
      </c>
      <c r="Y45" s="285">
        <f>Summary!Y9</f>
        <v>26358.4</v>
      </c>
      <c r="Z45" s="285">
        <f>Summary!Z9</f>
        <v>27558.89</v>
      </c>
      <c r="AA45" s="285">
        <f>Summary!AA9</f>
        <v>25640.36</v>
      </c>
      <c r="AB45" s="285">
        <f>Summary!AB9</f>
        <v>28999.96</v>
      </c>
      <c r="AC45" s="285">
        <f>Summary!AC9</f>
        <v>26447.16</v>
      </c>
      <c r="AD45" s="285">
        <f>Summary!AD9</f>
        <v>25269.66</v>
      </c>
      <c r="AE45" s="285">
        <f>Summary!AE9</f>
        <v>25398.43</v>
      </c>
      <c r="AF45" s="285">
        <f>Summary!AF9</f>
        <v>29808.2</v>
      </c>
      <c r="AG45" s="167">
        <f t="shared" ref="AG45:AG46" si="15">SUM(B45:AF45)</f>
        <v>1137529.78</v>
      </c>
    </row>
    <row r="46">
      <c r="A46" s="284" t="s">
        <v>98</v>
      </c>
      <c r="B46" s="285">
        <f>Summary!B10</f>
        <v>3989.9</v>
      </c>
      <c r="C46" s="285">
        <f>Summary!C10</f>
        <v>4273</v>
      </c>
      <c r="D46" s="285">
        <f>Summary!D10</f>
        <v>2907</v>
      </c>
      <c r="E46" s="285">
        <f>Summary!E10</f>
        <v>3694</v>
      </c>
      <c r="F46" s="285">
        <f>Summary!F10</f>
        <v>2903.84</v>
      </c>
      <c r="G46" s="285">
        <f>Summary!G10</f>
        <v>3373.34</v>
      </c>
      <c r="H46" s="285">
        <f>Summary!H10</f>
        <v>3094</v>
      </c>
      <c r="I46" s="285">
        <f>Summary!I10</f>
        <v>4878.34</v>
      </c>
      <c r="J46" s="285">
        <f>Summary!J10</f>
        <v>4884.2</v>
      </c>
      <c r="K46" s="285">
        <f>Summary!K10</f>
        <v>4714.34</v>
      </c>
      <c r="L46" s="285">
        <f>Summary!L10</f>
        <v>3192</v>
      </c>
      <c r="M46" s="285">
        <f>Summary!M10</f>
        <v>3191.34</v>
      </c>
      <c r="N46" s="285">
        <f>Summary!N10</f>
        <v>6532</v>
      </c>
      <c r="O46" s="285">
        <f>Summary!O10</f>
        <v>5318.7</v>
      </c>
      <c r="P46" s="285">
        <f>Summary!P10</f>
        <v>5447.5</v>
      </c>
      <c r="Q46" s="285">
        <f>Summary!Q10</f>
        <v>4774.34</v>
      </c>
      <c r="R46" s="285">
        <f>Summary!R10</f>
        <v>2782.5</v>
      </c>
      <c r="S46" s="285">
        <f>Summary!S10</f>
        <v>4742</v>
      </c>
      <c r="T46" s="285">
        <f>Summary!T10</f>
        <v>3127.5</v>
      </c>
      <c r="U46" s="285">
        <f>Summary!U10</f>
        <v>4219</v>
      </c>
      <c r="V46" s="285">
        <f>Summary!V10</f>
        <v>3698</v>
      </c>
      <c r="W46" s="285">
        <f>Summary!W10</f>
        <v>3777.5</v>
      </c>
      <c r="X46" s="285">
        <f>Summary!X10</f>
        <v>4035.84</v>
      </c>
      <c r="Y46" s="285">
        <f>Summary!Y10</f>
        <v>2513</v>
      </c>
      <c r="Z46" s="285">
        <f>Summary!Z10</f>
        <v>2883.51</v>
      </c>
      <c r="AA46" s="285">
        <f>Summary!AA10</f>
        <v>2296.84</v>
      </c>
      <c r="AB46" s="285">
        <f>Summary!AB10</f>
        <v>2151.84</v>
      </c>
      <c r="AC46" s="285">
        <f>Summary!AC10</f>
        <v>2146.84</v>
      </c>
      <c r="AD46" s="285">
        <f>Summary!AD10</f>
        <v>2833.34</v>
      </c>
      <c r="AE46" s="285">
        <f>Summary!AE10</f>
        <v>2899.17</v>
      </c>
      <c r="AF46" s="285">
        <f>Summary!AF10</f>
        <v>2702.4</v>
      </c>
      <c r="AG46" s="167">
        <f t="shared" si="15"/>
        <v>113977.12</v>
      </c>
    </row>
    <row r="47">
      <c r="A47" s="284" t="s">
        <v>248</v>
      </c>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86"/>
      <c r="AD47" s="286"/>
      <c r="AE47" s="286"/>
      <c r="AF47" s="286"/>
      <c r="AG47" s="167"/>
    </row>
    <row r="48">
      <c r="A48" s="284" t="s">
        <v>102</v>
      </c>
      <c r="B48" s="287">
        <f>Summary!B11</f>
        <v>2609.23</v>
      </c>
      <c r="C48" s="287">
        <f>Summary!C11</f>
        <v>2794.44</v>
      </c>
      <c r="D48" s="287">
        <f>Summary!D11</f>
        <v>2179.75</v>
      </c>
      <c r="E48" s="287">
        <f>Summary!E11</f>
        <v>2264.52</v>
      </c>
      <c r="F48" s="287">
        <f>Summary!F11</f>
        <v>2326.88</v>
      </c>
      <c r="G48" s="287">
        <f>Summary!G11</f>
        <v>2594.15</v>
      </c>
      <c r="H48" s="287">
        <f>Summary!H11</f>
        <v>2622.65</v>
      </c>
      <c r="I48" s="287">
        <f>Summary!I11</f>
        <v>3158.98</v>
      </c>
      <c r="J48" s="287">
        <f>Summary!J11</f>
        <v>2956.54</v>
      </c>
      <c r="K48" s="287">
        <f>Summary!K11</f>
        <v>2753.74</v>
      </c>
      <c r="L48" s="287">
        <f>Summary!L11</f>
        <v>2970.74</v>
      </c>
      <c r="M48" s="287">
        <f>Summary!M11</f>
        <v>2809.39</v>
      </c>
      <c r="N48" s="287">
        <f>Summary!N11</f>
        <v>4513.51</v>
      </c>
      <c r="O48" s="287">
        <f>Summary!O11</f>
        <v>4143.08</v>
      </c>
      <c r="P48" s="287">
        <f>Summary!P11</f>
        <v>3461.03</v>
      </c>
      <c r="Q48" s="287">
        <f>Summary!Q11</f>
        <v>3387.67</v>
      </c>
      <c r="R48" s="287">
        <f>Summary!R11</f>
        <v>1939.38</v>
      </c>
      <c r="S48" s="287">
        <f>Summary!S11</f>
        <v>3498.68</v>
      </c>
      <c r="T48" s="287">
        <f>Summary!T11</f>
        <v>2561.62</v>
      </c>
      <c r="U48" s="287">
        <f>Summary!U11</f>
        <v>2827.76</v>
      </c>
      <c r="V48" s="287">
        <f>Summary!V11</f>
        <v>2666.73</v>
      </c>
      <c r="W48" s="287">
        <f>Summary!W11</f>
        <v>2596.99</v>
      </c>
      <c r="X48" s="287">
        <f>Summary!X11</f>
        <v>2267.02</v>
      </c>
      <c r="Y48" s="287">
        <f>Summary!Y11</f>
        <v>1868.93</v>
      </c>
      <c r="Z48" s="287">
        <f>Summary!Z11</f>
        <v>1873.95</v>
      </c>
      <c r="AA48" s="287">
        <f>Summary!AA11</f>
        <v>1777.49</v>
      </c>
      <c r="AB48" s="287">
        <f>Summary!AB11</f>
        <v>1878.56</v>
      </c>
      <c r="AC48" s="287">
        <f>Summary!AC11</f>
        <v>1670.07</v>
      </c>
      <c r="AD48" s="287">
        <f>Summary!AD11</f>
        <v>1808.81</v>
      </c>
      <c r="AE48" s="287">
        <f>Summary!AE11</f>
        <v>1886.17</v>
      </c>
      <c r="AF48" s="287">
        <f>Summary!AF11</f>
        <v>1967.39</v>
      </c>
      <c r="AG48" s="167">
        <f t="shared" ref="AG48:AG50" si="16">SUM(B48:AF48)</f>
        <v>80635.85</v>
      </c>
    </row>
    <row r="49">
      <c r="A49" s="284" t="s">
        <v>105</v>
      </c>
      <c r="B49" s="285">
        <f>Summary!B12</f>
        <v>2705</v>
      </c>
      <c r="C49" s="285">
        <f>Summary!C12</f>
        <v>2585</v>
      </c>
      <c r="D49" s="285">
        <f>Summary!D12</f>
        <v>2250</v>
      </c>
      <c r="E49" s="285">
        <f>Summary!E12</f>
        <v>2565</v>
      </c>
      <c r="F49" s="285">
        <f>Summary!F12</f>
        <v>2350</v>
      </c>
      <c r="G49" s="285">
        <f>Summary!G12</f>
        <v>2350</v>
      </c>
      <c r="H49" s="285">
        <f>Summary!H12</f>
        <v>2515</v>
      </c>
      <c r="I49" s="285">
        <f>Summary!I12</f>
        <v>3045</v>
      </c>
      <c r="J49" s="285">
        <f>Summary!J12</f>
        <v>2980</v>
      </c>
      <c r="K49" s="285">
        <f>Summary!K12</f>
        <v>2970</v>
      </c>
      <c r="L49" s="285">
        <f>Summary!L12</f>
        <v>2580</v>
      </c>
      <c r="M49" s="285">
        <f>Summary!M12</f>
        <v>2695</v>
      </c>
      <c r="N49" s="285">
        <f>Summary!N12</f>
        <v>4355</v>
      </c>
      <c r="O49" s="285">
        <f>Summary!O12</f>
        <v>3935</v>
      </c>
      <c r="P49" s="285">
        <f>Summary!P12</f>
        <v>3460</v>
      </c>
      <c r="Q49" s="285">
        <f>Summary!Q12</f>
        <v>3550</v>
      </c>
      <c r="R49" s="285">
        <f>Summary!R12</f>
        <v>1955</v>
      </c>
      <c r="S49" s="285">
        <f>Summary!S12</f>
        <v>3210</v>
      </c>
      <c r="T49" s="285">
        <f>Summary!T12</f>
        <v>2460</v>
      </c>
      <c r="U49" s="285">
        <f>Summary!U12</f>
        <v>2680</v>
      </c>
      <c r="V49" s="285">
        <f>Summary!V12</f>
        <v>2580</v>
      </c>
      <c r="W49" s="285">
        <f>Summary!W12</f>
        <v>2460</v>
      </c>
      <c r="X49" s="285">
        <f>Summary!X12</f>
        <v>2305</v>
      </c>
      <c r="Y49" s="285">
        <f>Summary!Y12</f>
        <v>1840</v>
      </c>
      <c r="Z49" s="285">
        <f>Summary!Z12</f>
        <v>1875</v>
      </c>
      <c r="AA49" s="285">
        <f>Summary!AA12</f>
        <v>1745</v>
      </c>
      <c r="AB49" s="285">
        <f>Summary!AB12</f>
        <v>1820</v>
      </c>
      <c r="AC49" s="285">
        <f>Summary!AC12</f>
        <v>1945</v>
      </c>
      <c r="AD49" s="285">
        <f>Summary!AD12</f>
        <v>1750</v>
      </c>
      <c r="AE49" s="285">
        <f>Summary!AE12</f>
        <v>1850</v>
      </c>
      <c r="AF49" s="285">
        <f>Summary!AF12</f>
        <v>2000</v>
      </c>
      <c r="AG49" s="167">
        <f t="shared" si="16"/>
        <v>79365</v>
      </c>
    </row>
    <row r="50">
      <c r="A50" s="288" t="s">
        <v>245</v>
      </c>
      <c r="B50" s="289">
        <f t="shared" ref="B50:AF50" si="17">SUM(B45:B49)</f>
        <v>45643.43</v>
      </c>
      <c r="C50" s="289">
        <f t="shared" si="17"/>
        <v>45073.44</v>
      </c>
      <c r="D50" s="289">
        <f t="shared" si="17"/>
        <v>38928.55</v>
      </c>
      <c r="E50" s="289">
        <f t="shared" si="17"/>
        <v>42623.92</v>
      </c>
      <c r="F50" s="289">
        <f t="shared" si="17"/>
        <v>41052.98</v>
      </c>
      <c r="G50" s="289">
        <f t="shared" si="17"/>
        <v>44139.05</v>
      </c>
      <c r="H50" s="289">
        <f t="shared" si="17"/>
        <v>46442.05</v>
      </c>
      <c r="I50" s="289">
        <f t="shared" si="17"/>
        <v>54824.78</v>
      </c>
      <c r="J50" s="289">
        <f t="shared" si="17"/>
        <v>52242.94</v>
      </c>
      <c r="K50" s="289">
        <f t="shared" si="17"/>
        <v>49723.04</v>
      </c>
      <c r="L50" s="289">
        <f t="shared" si="17"/>
        <v>49446.04</v>
      </c>
      <c r="M50" s="289">
        <f t="shared" si="17"/>
        <v>49929.89</v>
      </c>
      <c r="N50" s="289">
        <f t="shared" si="17"/>
        <v>78505.41</v>
      </c>
      <c r="O50" s="289">
        <f t="shared" si="17"/>
        <v>70372.88</v>
      </c>
      <c r="P50" s="289">
        <f t="shared" si="17"/>
        <v>60036.63</v>
      </c>
      <c r="Q50" s="289">
        <f t="shared" si="17"/>
        <v>60758.67</v>
      </c>
      <c r="R50" s="289">
        <f t="shared" si="17"/>
        <v>33617.88</v>
      </c>
      <c r="S50" s="289">
        <f t="shared" si="17"/>
        <v>59553.78</v>
      </c>
      <c r="T50" s="289">
        <f t="shared" si="17"/>
        <v>43309.02</v>
      </c>
      <c r="U50" s="289">
        <f t="shared" si="17"/>
        <v>49519.16</v>
      </c>
      <c r="V50" s="289">
        <f t="shared" si="17"/>
        <v>45317.33</v>
      </c>
      <c r="W50" s="289">
        <f t="shared" si="17"/>
        <v>45468.29</v>
      </c>
      <c r="X50" s="289">
        <f t="shared" si="17"/>
        <v>39514.22</v>
      </c>
      <c r="Y50" s="289">
        <f t="shared" si="17"/>
        <v>32580.33</v>
      </c>
      <c r="Z50" s="289">
        <f t="shared" si="17"/>
        <v>34191.35</v>
      </c>
      <c r="AA50" s="289">
        <f t="shared" si="17"/>
        <v>31459.69</v>
      </c>
      <c r="AB50" s="289">
        <f t="shared" si="17"/>
        <v>34850.36</v>
      </c>
      <c r="AC50" s="289">
        <f t="shared" si="17"/>
        <v>32209.07</v>
      </c>
      <c r="AD50" s="289">
        <f t="shared" si="17"/>
        <v>31661.81</v>
      </c>
      <c r="AE50" s="289">
        <f t="shared" si="17"/>
        <v>32033.77</v>
      </c>
      <c r="AF50" s="289">
        <f t="shared" si="17"/>
        <v>36477.99</v>
      </c>
      <c r="AG50" s="167">
        <f t="shared" si="16"/>
        <v>1411507.75</v>
      </c>
    </row>
    <row r="51">
      <c r="A51" s="35"/>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0"/>
    </row>
    <row r="52">
      <c r="A52" s="274" t="s">
        <v>249</v>
      </c>
      <c r="B52" s="290"/>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91"/>
    </row>
    <row r="53">
      <c r="A53" s="292" t="s">
        <v>250</v>
      </c>
      <c r="B53" s="293">
        <v>16.0</v>
      </c>
      <c r="C53" s="294">
        <v>29.0</v>
      </c>
      <c r="D53" s="294">
        <v>13.0</v>
      </c>
      <c r="E53" s="294">
        <v>10.0</v>
      </c>
      <c r="F53" s="293">
        <v>15.0</v>
      </c>
      <c r="G53" s="294">
        <v>24.0</v>
      </c>
      <c r="H53" s="294">
        <v>16.0</v>
      </c>
      <c r="I53" s="293">
        <v>21.0</v>
      </c>
      <c r="J53" s="293">
        <v>13.0</v>
      </c>
      <c r="K53" s="293">
        <v>25.0</v>
      </c>
      <c r="L53" s="293">
        <v>40.0</v>
      </c>
      <c r="M53" s="293">
        <v>49.0</v>
      </c>
      <c r="N53" s="293">
        <v>49.0</v>
      </c>
      <c r="O53" s="295">
        <v>59.0</v>
      </c>
      <c r="P53" s="293">
        <v>50.0</v>
      </c>
      <c r="Q53" s="293">
        <v>66.0</v>
      </c>
      <c r="R53" s="293">
        <v>21.0</v>
      </c>
      <c r="S53" s="293">
        <v>42.0</v>
      </c>
      <c r="T53" s="293">
        <v>32.0</v>
      </c>
      <c r="U53" s="293">
        <v>38.0</v>
      </c>
      <c r="V53" s="293">
        <v>24.0</v>
      </c>
      <c r="W53" s="293">
        <v>0.0</v>
      </c>
      <c r="X53" s="293">
        <v>0.0</v>
      </c>
      <c r="Y53" s="293">
        <v>0.0</v>
      </c>
      <c r="Z53" s="295">
        <v>0.0</v>
      </c>
      <c r="AA53" s="293">
        <v>0.0</v>
      </c>
      <c r="AB53" s="293">
        <v>0.0</v>
      </c>
      <c r="AC53" s="295">
        <v>11.0</v>
      </c>
      <c r="AD53" s="295">
        <v>3.0</v>
      </c>
      <c r="AE53" s="295">
        <v>17.0</v>
      </c>
      <c r="AF53" s="295">
        <v>9.0</v>
      </c>
      <c r="AG53" s="277">
        <f t="shared" ref="AG53:AG57" si="18">sum(B53:AF53)</f>
        <v>692</v>
      </c>
    </row>
    <row r="54">
      <c r="A54" s="292" t="s">
        <v>251</v>
      </c>
      <c r="B54" s="293">
        <v>30.0</v>
      </c>
      <c r="C54" s="294">
        <v>28.0</v>
      </c>
      <c r="D54" s="294">
        <v>32.0</v>
      </c>
      <c r="E54" s="294">
        <v>30.0</v>
      </c>
      <c r="F54" s="293">
        <v>36.0</v>
      </c>
      <c r="G54" s="294">
        <v>24.0</v>
      </c>
      <c r="H54" s="293">
        <v>48.0</v>
      </c>
      <c r="I54" s="293">
        <v>34.0</v>
      </c>
      <c r="J54" s="293">
        <v>39.0</v>
      </c>
      <c r="K54" s="293">
        <v>39.0</v>
      </c>
      <c r="L54" s="293">
        <v>16.0</v>
      </c>
      <c r="M54" s="293">
        <v>9.0</v>
      </c>
      <c r="N54" s="293">
        <v>13.0</v>
      </c>
      <c r="O54" s="295">
        <v>13.0</v>
      </c>
      <c r="P54" s="293">
        <v>14.0</v>
      </c>
      <c r="Q54" s="293">
        <v>7.0</v>
      </c>
      <c r="R54" s="293">
        <v>11.0</v>
      </c>
      <c r="S54" s="293">
        <v>16.0</v>
      </c>
      <c r="T54" s="293">
        <v>12.0</v>
      </c>
      <c r="U54" s="293">
        <v>9.0</v>
      </c>
      <c r="V54" s="293">
        <v>24.0</v>
      </c>
      <c r="W54" s="293">
        <v>30.0</v>
      </c>
      <c r="X54" s="293">
        <v>29.0</v>
      </c>
      <c r="Y54" s="293">
        <v>20.0</v>
      </c>
      <c r="Z54" s="295">
        <v>26.0</v>
      </c>
      <c r="AA54" s="293">
        <v>26.0</v>
      </c>
      <c r="AB54" s="293">
        <v>35.0</v>
      </c>
      <c r="AC54" s="295">
        <v>25.0</v>
      </c>
      <c r="AD54" s="295">
        <v>14.0</v>
      </c>
      <c r="AE54" s="295">
        <v>13.0</v>
      </c>
      <c r="AF54" s="295">
        <v>19.0</v>
      </c>
      <c r="AG54" s="277">
        <f t="shared" si="18"/>
        <v>721</v>
      </c>
    </row>
    <row r="55">
      <c r="A55" s="292" t="s">
        <v>252</v>
      </c>
      <c r="B55" s="294">
        <v>57.0</v>
      </c>
      <c r="C55" s="294">
        <v>51.0</v>
      </c>
      <c r="D55" s="294">
        <v>44.0</v>
      </c>
      <c r="E55" s="294">
        <v>46.0</v>
      </c>
      <c r="F55" s="294">
        <v>41.0</v>
      </c>
      <c r="G55" s="294">
        <v>42.0</v>
      </c>
      <c r="H55" s="294">
        <v>50.0</v>
      </c>
      <c r="I55" s="293">
        <v>58.0</v>
      </c>
      <c r="J55" s="293">
        <v>54.0</v>
      </c>
      <c r="K55" s="293">
        <v>70.0</v>
      </c>
      <c r="L55" s="293">
        <v>104.0</v>
      </c>
      <c r="M55" s="293">
        <v>96.0</v>
      </c>
      <c r="N55" s="293">
        <v>173.0</v>
      </c>
      <c r="O55" s="295">
        <v>136.0</v>
      </c>
      <c r="P55" s="293">
        <v>120.0</v>
      </c>
      <c r="Q55" s="293">
        <v>125.0</v>
      </c>
      <c r="R55" s="293">
        <v>64.0</v>
      </c>
      <c r="S55" s="293">
        <v>117.0</v>
      </c>
      <c r="T55" s="293">
        <v>89.0</v>
      </c>
      <c r="U55" s="293">
        <v>94.0</v>
      </c>
      <c r="V55" s="293">
        <v>84.0</v>
      </c>
      <c r="W55" s="293">
        <v>92.0</v>
      </c>
      <c r="X55" s="293">
        <v>76.0</v>
      </c>
      <c r="Y55" s="293">
        <v>65.0</v>
      </c>
      <c r="Z55" s="293">
        <v>67.0</v>
      </c>
      <c r="AA55" s="293">
        <v>63.0</v>
      </c>
      <c r="AB55" s="293">
        <v>69.0</v>
      </c>
      <c r="AC55" s="293">
        <v>66.0</v>
      </c>
      <c r="AD55" s="293">
        <v>67.0</v>
      </c>
      <c r="AE55" s="293">
        <v>59.0</v>
      </c>
      <c r="AF55" s="293">
        <v>72.0</v>
      </c>
      <c r="AG55" s="277">
        <f t="shared" si="18"/>
        <v>2411</v>
      </c>
    </row>
    <row r="56">
      <c r="A56" s="292" t="s">
        <v>253</v>
      </c>
      <c r="B56" s="293">
        <v>48.0</v>
      </c>
      <c r="C56" s="294">
        <v>41.0</v>
      </c>
      <c r="D56" s="294">
        <v>45.0</v>
      </c>
      <c r="E56" s="294">
        <v>60.0</v>
      </c>
      <c r="F56" s="294">
        <v>55.0</v>
      </c>
      <c r="G56" s="294">
        <v>64.0</v>
      </c>
      <c r="H56" s="294">
        <v>56.0</v>
      </c>
      <c r="I56" s="293">
        <v>76.0</v>
      </c>
      <c r="J56" s="293">
        <v>72.0</v>
      </c>
      <c r="K56" s="293">
        <v>40.0</v>
      </c>
      <c r="L56" s="293">
        <v>21.0</v>
      </c>
      <c r="M56" s="295">
        <v>28.0</v>
      </c>
      <c r="N56" s="293">
        <v>52.0</v>
      </c>
      <c r="O56" s="295">
        <v>55.0</v>
      </c>
      <c r="P56" s="293">
        <v>33.0</v>
      </c>
      <c r="Q56" s="293">
        <v>24.0</v>
      </c>
      <c r="R56" s="293">
        <v>26.0</v>
      </c>
      <c r="S56" s="293">
        <v>38.0</v>
      </c>
      <c r="T56" s="293">
        <v>21.0</v>
      </c>
      <c r="U56" s="293">
        <v>30.0</v>
      </c>
      <c r="V56" s="293">
        <v>22.0</v>
      </c>
      <c r="W56" s="293">
        <v>24.0</v>
      </c>
      <c r="X56" s="293">
        <v>20.0</v>
      </c>
      <c r="Y56" s="293">
        <v>19.0</v>
      </c>
      <c r="Z56" s="293">
        <v>19.0</v>
      </c>
      <c r="AA56" s="293">
        <v>17.0</v>
      </c>
      <c r="AB56" s="293">
        <v>15.0</v>
      </c>
      <c r="AC56" s="293">
        <v>10.0</v>
      </c>
      <c r="AD56" s="293">
        <v>19.0</v>
      </c>
      <c r="AE56" s="293">
        <v>17.0</v>
      </c>
      <c r="AF56" s="293">
        <v>22.0</v>
      </c>
      <c r="AG56" s="277">
        <f t="shared" si="18"/>
        <v>1089</v>
      </c>
    </row>
    <row r="57">
      <c r="A57" s="296" t="s">
        <v>254</v>
      </c>
      <c r="B57" s="297">
        <f t="shared" ref="B57:AF57" si="19">SUM(B53:B56)</f>
        <v>151</v>
      </c>
      <c r="C57" s="297">
        <f t="shared" si="19"/>
        <v>149</v>
      </c>
      <c r="D57" s="297">
        <f t="shared" si="19"/>
        <v>134</v>
      </c>
      <c r="E57" s="297">
        <f t="shared" si="19"/>
        <v>146</v>
      </c>
      <c r="F57" s="297">
        <f t="shared" si="19"/>
        <v>147</v>
      </c>
      <c r="G57" s="297">
        <f t="shared" si="19"/>
        <v>154</v>
      </c>
      <c r="H57" s="297">
        <f t="shared" si="19"/>
        <v>170</v>
      </c>
      <c r="I57" s="297">
        <f t="shared" si="19"/>
        <v>189</v>
      </c>
      <c r="J57" s="297">
        <f t="shared" si="19"/>
        <v>178</v>
      </c>
      <c r="K57" s="297">
        <f t="shared" si="19"/>
        <v>174</v>
      </c>
      <c r="L57" s="297">
        <f t="shared" si="19"/>
        <v>181</v>
      </c>
      <c r="M57" s="297">
        <f t="shared" si="19"/>
        <v>182</v>
      </c>
      <c r="N57" s="297">
        <f t="shared" si="19"/>
        <v>287</v>
      </c>
      <c r="O57" s="297">
        <f t="shared" si="19"/>
        <v>263</v>
      </c>
      <c r="P57" s="297">
        <f t="shared" si="19"/>
        <v>217</v>
      </c>
      <c r="Q57" s="297">
        <f t="shared" si="19"/>
        <v>222</v>
      </c>
      <c r="R57" s="297">
        <f t="shared" si="19"/>
        <v>122</v>
      </c>
      <c r="S57" s="297">
        <f t="shared" si="19"/>
        <v>213</v>
      </c>
      <c r="T57" s="297">
        <f t="shared" si="19"/>
        <v>154</v>
      </c>
      <c r="U57" s="297">
        <f t="shared" si="19"/>
        <v>171</v>
      </c>
      <c r="V57" s="297">
        <f t="shared" si="19"/>
        <v>154</v>
      </c>
      <c r="W57" s="297">
        <f t="shared" si="19"/>
        <v>146</v>
      </c>
      <c r="X57" s="297">
        <f t="shared" si="19"/>
        <v>125</v>
      </c>
      <c r="Y57" s="297">
        <f t="shared" si="19"/>
        <v>104</v>
      </c>
      <c r="Z57" s="297">
        <f t="shared" si="19"/>
        <v>112</v>
      </c>
      <c r="AA57" s="297">
        <f t="shared" si="19"/>
        <v>106</v>
      </c>
      <c r="AB57" s="297">
        <f t="shared" si="19"/>
        <v>119</v>
      </c>
      <c r="AC57" s="297">
        <f t="shared" si="19"/>
        <v>112</v>
      </c>
      <c r="AD57" s="297">
        <f t="shared" si="19"/>
        <v>103</v>
      </c>
      <c r="AE57" s="297">
        <f t="shared" si="19"/>
        <v>106</v>
      </c>
      <c r="AF57" s="297">
        <f t="shared" si="19"/>
        <v>122</v>
      </c>
      <c r="AG57" s="277">
        <f t="shared" si="18"/>
        <v>4913</v>
      </c>
    </row>
    <row r="58">
      <c r="A58" s="35"/>
      <c r="B58" s="290"/>
      <c r="C58" s="290"/>
      <c r="D58" s="290"/>
      <c r="E58" s="290"/>
      <c r="F58" s="290"/>
      <c r="G58" s="290"/>
      <c r="H58" s="290"/>
      <c r="I58" s="290"/>
      <c r="J58" s="24"/>
      <c r="K58" s="24"/>
      <c r="L58" s="24"/>
      <c r="M58" s="24"/>
      <c r="N58" s="24"/>
      <c r="O58" s="24"/>
      <c r="P58" s="24"/>
      <c r="Q58" s="24"/>
      <c r="R58" s="24"/>
      <c r="S58" s="24"/>
      <c r="T58" s="24"/>
      <c r="U58" s="24"/>
      <c r="V58" s="24"/>
      <c r="W58" s="24"/>
      <c r="X58" s="24"/>
      <c r="Y58" s="24"/>
      <c r="Z58" s="24"/>
      <c r="AA58" s="24"/>
      <c r="AB58" s="24"/>
      <c r="AC58" s="24"/>
      <c r="AD58" s="24"/>
      <c r="AE58" s="24"/>
      <c r="AF58" s="24"/>
      <c r="AG58" s="20"/>
    </row>
    <row r="59">
      <c r="A59" s="292" t="s">
        <v>121</v>
      </c>
      <c r="B59" s="294">
        <v>53.0</v>
      </c>
      <c r="C59" s="294">
        <v>52.0</v>
      </c>
      <c r="D59" s="294">
        <v>32.0</v>
      </c>
      <c r="E59" s="294">
        <v>37.0</v>
      </c>
      <c r="F59" s="294">
        <v>44.0</v>
      </c>
      <c r="G59" s="294">
        <v>43.0</v>
      </c>
      <c r="H59" s="294">
        <v>48.0</v>
      </c>
      <c r="I59" s="293">
        <v>71.0</v>
      </c>
      <c r="J59" s="293">
        <v>72.0</v>
      </c>
      <c r="K59" s="293">
        <v>62.0</v>
      </c>
      <c r="L59" s="293">
        <v>56.0</v>
      </c>
      <c r="M59" s="293">
        <v>46.0</v>
      </c>
      <c r="N59" s="293">
        <v>84.0</v>
      </c>
      <c r="O59" s="293">
        <v>69.0</v>
      </c>
      <c r="P59" s="293">
        <v>86.0</v>
      </c>
      <c r="Q59" s="293">
        <v>82.0</v>
      </c>
      <c r="R59" s="293">
        <v>34.0</v>
      </c>
      <c r="S59" s="293">
        <v>79.0</v>
      </c>
      <c r="T59" s="293">
        <v>47.0</v>
      </c>
      <c r="U59" s="293">
        <v>59.0</v>
      </c>
      <c r="V59" s="293">
        <v>50.0</v>
      </c>
      <c r="W59" s="293">
        <v>62.0</v>
      </c>
      <c r="X59" s="293">
        <v>56.0</v>
      </c>
      <c r="Y59" s="293">
        <v>37.0</v>
      </c>
      <c r="Z59" s="293">
        <v>42.0</v>
      </c>
      <c r="AA59" s="293">
        <v>27.0</v>
      </c>
      <c r="AB59" s="293">
        <v>41.0</v>
      </c>
      <c r="AC59" s="293">
        <v>32.0</v>
      </c>
      <c r="AD59" s="293">
        <v>41.0</v>
      </c>
      <c r="AE59" s="293">
        <v>37.0</v>
      </c>
      <c r="AF59" s="293">
        <v>48.0</v>
      </c>
      <c r="AG59" s="277">
        <f t="shared" ref="AG59:AG67" si="20">sum(B59:AF59)</f>
        <v>1629</v>
      </c>
    </row>
    <row r="60">
      <c r="A60" s="292" t="s">
        <v>137</v>
      </c>
      <c r="B60" s="294">
        <v>26.0</v>
      </c>
      <c r="C60" s="294">
        <v>37.0</v>
      </c>
      <c r="D60" s="294">
        <v>22.0</v>
      </c>
      <c r="E60" s="294">
        <v>28.0</v>
      </c>
      <c r="F60" s="294">
        <v>24.0</v>
      </c>
      <c r="G60" s="294">
        <v>19.0</v>
      </c>
      <c r="H60" s="294">
        <v>16.0</v>
      </c>
      <c r="I60" s="293">
        <v>33.0</v>
      </c>
      <c r="J60" s="293">
        <v>25.0</v>
      </c>
      <c r="K60" s="293">
        <v>29.0</v>
      </c>
      <c r="L60" s="293">
        <v>24.0</v>
      </c>
      <c r="M60" s="293">
        <v>26.0</v>
      </c>
      <c r="N60" s="294">
        <v>47.0</v>
      </c>
      <c r="O60" s="293">
        <v>40.0</v>
      </c>
      <c r="P60" s="294">
        <v>40.0</v>
      </c>
      <c r="Q60" s="293">
        <v>39.0</v>
      </c>
      <c r="R60" s="293">
        <v>24.0</v>
      </c>
      <c r="S60" s="293">
        <v>36.0</v>
      </c>
      <c r="T60" s="293">
        <v>33.0</v>
      </c>
      <c r="U60" s="293">
        <v>32.0</v>
      </c>
      <c r="V60" s="293">
        <v>27.0</v>
      </c>
      <c r="W60" s="293">
        <v>27.0</v>
      </c>
      <c r="X60" s="293">
        <v>26.0</v>
      </c>
      <c r="Y60" s="293">
        <v>24.0</v>
      </c>
      <c r="Z60" s="295">
        <v>19.0</v>
      </c>
      <c r="AA60" s="295">
        <v>21.0</v>
      </c>
      <c r="AB60" s="293">
        <v>14.0</v>
      </c>
      <c r="AC60" s="295">
        <v>15.0</v>
      </c>
      <c r="AD60" s="295">
        <v>18.0</v>
      </c>
      <c r="AE60" s="295">
        <v>23.0</v>
      </c>
      <c r="AF60" s="295">
        <v>19.0</v>
      </c>
      <c r="AG60" s="277">
        <f t="shared" si="20"/>
        <v>833</v>
      </c>
    </row>
    <row r="61">
      <c r="A61" s="292" t="s">
        <v>255</v>
      </c>
      <c r="B61" s="294">
        <v>26.0</v>
      </c>
      <c r="C61" s="294">
        <v>31.0</v>
      </c>
      <c r="D61" s="294">
        <v>13.0</v>
      </c>
      <c r="E61" s="294">
        <v>24.0</v>
      </c>
      <c r="F61" s="294">
        <v>15.0</v>
      </c>
      <c r="G61" s="294">
        <v>14.0</v>
      </c>
      <c r="H61" s="294">
        <v>11.0</v>
      </c>
      <c r="I61" s="294">
        <v>22.0</v>
      </c>
      <c r="J61" s="294">
        <v>27.0</v>
      </c>
      <c r="K61" s="294">
        <v>23.0</v>
      </c>
      <c r="L61" s="294">
        <v>21.0</v>
      </c>
      <c r="M61" s="294">
        <v>23.0</v>
      </c>
      <c r="N61" s="294">
        <v>41.0</v>
      </c>
      <c r="O61" s="294">
        <v>41.0</v>
      </c>
      <c r="P61" s="294">
        <v>38.0</v>
      </c>
      <c r="Q61" s="294">
        <v>30.0</v>
      </c>
      <c r="R61" s="294">
        <v>13.0</v>
      </c>
      <c r="S61" s="294">
        <v>28.0</v>
      </c>
      <c r="T61" s="294">
        <v>23.0</v>
      </c>
      <c r="U61" s="294">
        <v>23.0</v>
      </c>
      <c r="V61" s="294">
        <v>30.0</v>
      </c>
      <c r="W61" s="294">
        <v>17.0</v>
      </c>
      <c r="X61" s="294">
        <v>28.0</v>
      </c>
      <c r="Y61" s="294">
        <v>13.0</v>
      </c>
      <c r="Z61" s="294">
        <v>15.0</v>
      </c>
      <c r="AA61" s="294">
        <v>15.0</v>
      </c>
      <c r="AB61" s="294">
        <v>11.0</v>
      </c>
      <c r="AC61" s="294">
        <v>13.0</v>
      </c>
      <c r="AD61" s="294">
        <v>8.0</v>
      </c>
      <c r="AE61" s="294">
        <v>19.0</v>
      </c>
      <c r="AF61" s="294">
        <v>12.0</v>
      </c>
      <c r="AG61" s="277">
        <f t="shared" si="20"/>
        <v>668</v>
      </c>
    </row>
    <row r="62">
      <c r="A62" s="292" t="s">
        <v>256</v>
      </c>
      <c r="B62" s="293">
        <v>10.0</v>
      </c>
      <c r="C62" s="294">
        <v>12.0</v>
      </c>
      <c r="D62" s="294">
        <v>9.0</v>
      </c>
      <c r="E62" s="294">
        <v>10.0</v>
      </c>
      <c r="F62" s="294">
        <v>8.0</v>
      </c>
      <c r="G62" s="294">
        <v>14.0</v>
      </c>
      <c r="H62" s="294">
        <v>8.0</v>
      </c>
      <c r="I62" s="293">
        <v>17.0</v>
      </c>
      <c r="J62" s="293">
        <v>11.0</v>
      </c>
      <c r="K62" s="293">
        <v>13.0</v>
      </c>
      <c r="L62" s="293">
        <v>5.0</v>
      </c>
      <c r="M62" s="293">
        <v>5.0</v>
      </c>
      <c r="N62" s="293">
        <v>14.0</v>
      </c>
      <c r="O62" s="295">
        <v>8.0</v>
      </c>
      <c r="P62" s="293">
        <v>11.0</v>
      </c>
      <c r="Q62" s="293">
        <v>8.0</v>
      </c>
      <c r="R62" s="293">
        <v>5.0</v>
      </c>
      <c r="S62" s="293">
        <v>7.0</v>
      </c>
      <c r="T62" s="294">
        <v>7.0</v>
      </c>
      <c r="U62" s="294">
        <v>10.0</v>
      </c>
      <c r="V62" s="294">
        <v>9.0</v>
      </c>
      <c r="W62" s="294">
        <v>12.0</v>
      </c>
      <c r="X62" s="294">
        <v>8.0</v>
      </c>
      <c r="Y62" s="294">
        <v>7.0</v>
      </c>
      <c r="Z62" s="294">
        <v>2.0</v>
      </c>
      <c r="AA62" s="294">
        <v>9.0</v>
      </c>
      <c r="AB62" s="294">
        <v>4.0</v>
      </c>
      <c r="AC62" s="294">
        <v>4.0</v>
      </c>
      <c r="AD62" s="294">
        <v>3.0</v>
      </c>
      <c r="AE62" s="294">
        <v>4.0</v>
      </c>
      <c r="AF62" s="294">
        <v>7.0</v>
      </c>
      <c r="AG62" s="277">
        <f t="shared" si="20"/>
        <v>261</v>
      </c>
    </row>
    <row r="63">
      <c r="A63" s="292" t="s">
        <v>257</v>
      </c>
      <c r="B63" s="294">
        <v>12.0</v>
      </c>
      <c r="C63" s="294">
        <v>12.0</v>
      </c>
      <c r="D63" s="294">
        <v>14.0</v>
      </c>
      <c r="E63" s="294">
        <v>19.0</v>
      </c>
      <c r="F63" s="294">
        <v>9.0</v>
      </c>
      <c r="G63" s="294">
        <v>17.0</v>
      </c>
      <c r="H63" s="294">
        <v>12.0</v>
      </c>
      <c r="I63" s="294">
        <v>16.0</v>
      </c>
      <c r="J63" s="294">
        <v>21.0</v>
      </c>
      <c r="K63" s="294">
        <v>21.0</v>
      </c>
      <c r="L63" s="294">
        <v>8.0</v>
      </c>
      <c r="M63" s="294">
        <v>9.0</v>
      </c>
      <c r="N63" s="294">
        <v>32.0</v>
      </c>
      <c r="O63" s="294">
        <v>20.0</v>
      </c>
      <c r="P63" s="294">
        <v>14.0</v>
      </c>
      <c r="Q63" s="294">
        <v>11.0</v>
      </c>
      <c r="R63" s="294">
        <v>14.0</v>
      </c>
      <c r="S63" s="294">
        <v>15.0</v>
      </c>
      <c r="T63" s="294">
        <v>8.0</v>
      </c>
      <c r="U63" s="294">
        <v>16.0</v>
      </c>
      <c r="V63" s="294">
        <v>11.0</v>
      </c>
      <c r="W63" s="294">
        <v>13.0</v>
      </c>
      <c r="X63" s="294">
        <v>15.0</v>
      </c>
      <c r="Y63" s="294">
        <v>8.0</v>
      </c>
      <c r="Z63" s="294">
        <v>13.0</v>
      </c>
      <c r="AA63" s="293">
        <v>8.0</v>
      </c>
      <c r="AB63" s="294">
        <v>8.0</v>
      </c>
      <c r="AC63" s="294">
        <v>8.0</v>
      </c>
      <c r="AD63" s="294">
        <v>17.0</v>
      </c>
      <c r="AE63" s="294">
        <v>11.0</v>
      </c>
      <c r="AF63" s="294">
        <v>9.0</v>
      </c>
      <c r="AG63" s="277">
        <f t="shared" si="20"/>
        <v>421</v>
      </c>
    </row>
    <row r="64">
      <c r="A64" s="292" t="s">
        <v>258</v>
      </c>
      <c r="B64" s="293">
        <v>7.0</v>
      </c>
      <c r="C64" s="294">
        <v>6.0</v>
      </c>
      <c r="D64" s="294">
        <v>4.0</v>
      </c>
      <c r="E64" s="294">
        <v>4.0</v>
      </c>
      <c r="F64" s="294">
        <v>4.0</v>
      </c>
      <c r="G64" s="294">
        <v>2.0</v>
      </c>
      <c r="H64" s="294">
        <v>6.0</v>
      </c>
      <c r="I64" s="293">
        <v>8.0</v>
      </c>
      <c r="J64" s="293">
        <v>4.0</v>
      </c>
      <c r="K64" s="293">
        <v>6.0</v>
      </c>
      <c r="L64" s="293">
        <v>4.0</v>
      </c>
      <c r="M64" s="293">
        <v>5.0</v>
      </c>
      <c r="N64" s="293">
        <v>3.0</v>
      </c>
      <c r="O64" s="295">
        <v>5.0</v>
      </c>
      <c r="P64" s="293">
        <v>8.0</v>
      </c>
      <c r="Q64" s="293">
        <v>6.0</v>
      </c>
      <c r="R64" s="293">
        <v>3.0</v>
      </c>
      <c r="S64" s="293">
        <v>5.0</v>
      </c>
      <c r="T64" s="294">
        <v>2.0</v>
      </c>
      <c r="U64" s="294">
        <v>5.0</v>
      </c>
      <c r="V64" s="294">
        <v>5.0</v>
      </c>
      <c r="W64" s="294">
        <v>4.0</v>
      </c>
      <c r="X64" s="294">
        <v>5.0</v>
      </c>
      <c r="Y64" s="294">
        <v>3.0</v>
      </c>
      <c r="Z64" s="294">
        <v>4.0</v>
      </c>
      <c r="AA64" s="293">
        <v>3.0</v>
      </c>
      <c r="AB64" s="294">
        <v>2.0</v>
      </c>
      <c r="AC64" s="294">
        <v>3.0</v>
      </c>
      <c r="AD64" s="294">
        <v>3.0</v>
      </c>
      <c r="AE64" s="294">
        <v>5.0</v>
      </c>
      <c r="AF64" s="294">
        <v>3.0</v>
      </c>
      <c r="AG64" s="277">
        <f t="shared" si="20"/>
        <v>137</v>
      </c>
    </row>
    <row r="65">
      <c r="A65" s="292" t="s">
        <v>259</v>
      </c>
      <c r="B65" s="294">
        <v>0.0</v>
      </c>
      <c r="C65" s="294">
        <v>0.0</v>
      </c>
      <c r="D65" s="294">
        <v>0.0</v>
      </c>
      <c r="E65" s="294">
        <v>0.0</v>
      </c>
      <c r="F65" s="294">
        <v>0.0</v>
      </c>
      <c r="G65" s="294">
        <v>0.0</v>
      </c>
      <c r="H65" s="294">
        <v>0.0</v>
      </c>
      <c r="I65" s="294">
        <v>0.0</v>
      </c>
      <c r="J65" s="294">
        <v>0.0</v>
      </c>
      <c r="K65" s="294">
        <v>0.0</v>
      </c>
      <c r="L65" s="294">
        <v>0.0</v>
      </c>
      <c r="M65" s="294">
        <v>0.0</v>
      </c>
      <c r="N65" s="294">
        <v>0.0</v>
      </c>
      <c r="O65" s="294">
        <v>0.0</v>
      </c>
      <c r="P65" s="294">
        <v>0.0</v>
      </c>
      <c r="Q65" s="294">
        <v>0.0</v>
      </c>
      <c r="R65" s="294">
        <v>0.0</v>
      </c>
      <c r="S65" s="294">
        <v>0.0</v>
      </c>
      <c r="T65" s="294">
        <v>0.0</v>
      </c>
      <c r="U65" s="294">
        <v>0.0</v>
      </c>
      <c r="V65" s="294">
        <v>0.0</v>
      </c>
      <c r="W65" s="294">
        <v>0.0</v>
      </c>
      <c r="X65" s="294">
        <v>0.0</v>
      </c>
      <c r="Y65" s="294">
        <v>0.0</v>
      </c>
      <c r="Z65" s="294">
        <v>0.0</v>
      </c>
      <c r="AA65" s="294">
        <v>0.0</v>
      </c>
      <c r="AB65" s="294">
        <v>0.0</v>
      </c>
      <c r="AC65" s="294">
        <v>0.0</v>
      </c>
      <c r="AD65" s="294">
        <v>0.0</v>
      </c>
      <c r="AE65" s="294">
        <v>0.0</v>
      </c>
      <c r="AF65" s="294">
        <v>0.0</v>
      </c>
      <c r="AG65" s="277">
        <f t="shared" si="20"/>
        <v>0</v>
      </c>
    </row>
    <row r="66">
      <c r="A66" s="292" t="s">
        <v>260</v>
      </c>
      <c r="B66" s="294">
        <v>0.0</v>
      </c>
      <c r="C66" s="294">
        <v>0.0</v>
      </c>
      <c r="D66" s="294">
        <v>0.0</v>
      </c>
      <c r="E66" s="294">
        <v>0.0</v>
      </c>
      <c r="F66" s="294">
        <v>0.0</v>
      </c>
      <c r="G66" s="294">
        <v>0.0</v>
      </c>
      <c r="H66" s="294">
        <v>0.0</v>
      </c>
      <c r="I66" s="294">
        <v>0.0</v>
      </c>
      <c r="J66" s="294">
        <v>0.0</v>
      </c>
      <c r="K66" s="294">
        <v>0.0</v>
      </c>
      <c r="L66" s="294">
        <v>0.0</v>
      </c>
      <c r="M66" s="294">
        <v>0.0</v>
      </c>
      <c r="N66" s="294">
        <v>0.0</v>
      </c>
      <c r="O66" s="294">
        <v>0.0</v>
      </c>
      <c r="P66" s="294">
        <v>0.0</v>
      </c>
      <c r="Q66" s="294">
        <v>0.0</v>
      </c>
      <c r="R66" s="294">
        <v>0.0</v>
      </c>
      <c r="S66" s="294">
        <v>0.0</v>
      </c>
      <c r="T66" s="294">
        <v>0.0</v>
      </c>
      <c r="U66" s="294">
        <v>0.0</v>
      </c>
      <c r="V66" s="294">
        <v>0.0</v>
      </c>
      <c r="W66" s="294">
        <v>0.0</v>
      </c>
      <c r="X66" s="294">
        <v>0.0</v>
      </c>
      <c r="Y66" s="294">
        <v>0.0</v>
      </c>
      <c r="Z66" s="294">
        <v>0.0</v>
      </c>
      <c r="AA66" s="294">
        <v>0.0</v>
      </c>
      <c r="AB66" s="294">
        <v>0.0</v>
      </c>
      <c r="AC66" s="294">
        <v>0.0</v>
      </c>
      <c r="AD66" s="294">
        <v>0.0</v>
      </c>
      <c r="AE66" s="294">
        <v>0.0</v>
      </c>
      <c r="AF66" s="294">
        <v>0.0</v>
      </c>
      <c r="AG66" s="277">
        <f t="shared" si="20"/>
        <v>0</v>
      </c>
    </row>
    <row r="67">
      <c r="A67" s="296" t="s">
        <v>261</v>
      </c>
      <c r="B67" s="297">
        <f t="shared" ref="B67:AF67" si="21">SUM(B59:B66)</f>
        <v>134</v>
      </c>
      <c r="C67" s="297">
        <f t="shared" si="21"/>
        <v>150</v>
      </c>
      <c r="D67" s="297">
        <f t="shared" si="21"/>
        <v>94</v>
      </c>
      <c r="E67" s="297">
        <f t="shared" si="21"/>
        <v>122</v>
      </c>
      <c r="F67" s="297">
        <f t="shared" si="21"/>
        <v>104</v>
      </c>
      <c r="G67" s="297">
        <f t="shared" si="21"/>
        <v>109</v>
      </c>
      <c r="H67" s="297">
        <f t="shared" si="21"/>
        <v>101</v>
      </c>
      <c r="I67" s="297">
        <f t="shared" si="21"/>
        <v>167</v>
      </c>
      <c r="J67" s="297">
        <f t="shared" si="21"/>
        <v>160</v>
      </c>
      <c r="K67" s="297">
        <f t="shared" si="21"/>
        <v>154</v>
      </c>
      <c r="L67" s="297">
        <f t="shared" si="21"/>
        <v>118</v>
      </c>
      <c r="M67" s="297">
        <f t="shared" si="21"/>
        <v>114</v>
      </c>
      <c r="N67" s="297">
        <f t="shared" si="21"/>
        <v>221</v>
      </c>
      <c r="O67" s="297">
        <f t="shared" si="21"/>
        <v>183</v>
      </c>
      <c r="P67" s="297">
        <f t="shared" si="21"/>
        <v>197</v>
      </c>
      <c r="Q67" s="297">
        <f t="shared" si="21"/>
        <v>176</v>
      </c>
      <c r="R67" s="297">
        <f t="shared" si="21"/>
        <v>93</v>
      </c>
      <c r="S67" s="297">
        <f t="shared" si="21"/>
        <v>170</v>
      </c>
      <c r="T67" s="297">
        <f t="shared" si="21"/>
        <v>120</v>
      </c>
      <c r="U67" s="297">
        <f t="shared" si="21"/>
        <v>145</v>
      </c>
      <c r="V67" s="297">
        <f t="shared" si="21"/>
        <v>132</v>
      </c>
      <c r="W67" s="297">
        <f t="shared" si="21"/>
        <v>135</v>
      </c>
      <c r="X67" s="297">
        <f t="shared" si="21"/>
        <v>138</v>
      </c>
      <c r="Y67" s="297">
        <f t="shared" si="21"/>
        <v>92</v>
      </c>
      <c r="Z67" s="297">
        <f t="shared" si="21"/>
        <v>95</v>
      </c>
      <c r="AA67" s="297">
        <f t="shared" si="21"/>
        <v>83</v>
      </c>
      <c r="AB67" s="297">
        <f t="shared" si="21"/>
        <v>80</v>
      </c>
      <c r="AC67" s="297">
        <f t="shared" si="21"/>
        <v>75</v>
      </c>
      <c r="AD67" s="297">
        <f t="shared" si="21"/>
        <v>90</v>
      </c>
      <c r="AE67" s="297">
        <f t="shared" si="21"/>
        <v>99</v>
      </c>
      <c r="AF67" s="297">
        <f t="shared" si="21"/>
        <v>98</v>
      </c>
      <c r="AG67" s="277">
        <f t="shared" si="20"/>
        <v>3949</v>
      </c>
    </row>
    <row r="68">
      <c r="A68" s="35"/>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91"/>
    </row>
    <row r="69">
      <c r="A69" s="274" t="s">
        <v>262</v>
      </c>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91"/>
    </row>
    <row r="70">
      <c r="A70" s="298" t="s">
        <v>263</v>
      </c>
      <c r="B70" s="299"/>
      <c r="C70" s="299"/>
      <c r="D70" s="299"/>
      <c r="E70" s="299"/>
      <c r="F70" s="299"/>
      <c r="G70" s="299"/>
      <c r="H70" s="299"/>
      <c r="I70" s="299"/>
      <c r="J70" s="299"/>
      <c r="K70" s="299"/>
      <c r="L70" s="299"/>
      <c r="M70" s="299"/>
      <c r="N70" s="299"/>
      <c r="O70" s="299"/>
      <c r="P70" s="299"/>
      <c r="Q70" s="299"/>
      <c r="R70" s="299"/>
      <c r="S70" s="299"/>
      <c r="T70" s="299"/>
      <c r="U70" s="299"/>
      <c r="V70" s="299"/>
      <c r="W70" s="299"/>
      <c r="X70" s="299"/>
      <c r="Y70" s="299"/>
      <c r="Z70" s="299"/>
      <c r="AA70" s="299"/>
      <c r="AB70" s="299"/>
      <c r="AC70" s="299"/>
      <c r="AD70" s="299"/>
      <c r="AE70" s="299"/>
      <c r="AF70" s="299"/>
      <c r="AG70" s="277"/>
    </row>
    <row r="71">
      <c r="A71" s="35"/>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91"/>
    </row>
    <row r="72">
      <c r="A72" s="274" t="s">
        <v>264</v>
      </c>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91"/>
    </row>
    <row r="73">
      <c r="A73" s="292" t="s">
        <v>265</v>
      </c>
      <c r="B73" s="300">
        <f t="shared" ref="B73:AF73" si="22">B53-B90</f>
        <v>16</v>
      </c>
      <c r="C73" s="300">
        <f t="shared" si="22"/>
        <v>29</v>
      </c>
      <c r="D73" s="300">
        <f t="shared" si="22"/>
        <v>13</v>
      </c>
      <c r="E73" s="300">
        <f t="shared" si="22"/>
        <v>10</v>
      </c>
      <c r="F73" s="300">
        <f t="shared" si="22"/>
        <v>15</v>
      </c>
      <c r="G73" s="300">
        <f t="shared" si="22"/>
        <v>23</v>
      </c>
      <c r="H73" s="300">
        <f t="shared" si="22"/>
        <v>16</v>
      </c>
      <c r="I73" s="300">
        <f t="shared" si="22"/>
        <v>21</v>
      </c>
      <c r="J73" s="300">
        <f t="shared" si="22"/>
        <v>13</v>
      </c>
      <c r="K73" s="300">
        <f t="shared" si="22"/>
        <v>25</v>
      </c>
      <c r="L73" s="300">
        <f t="shared" si="22"/>
        <v>40</v>
      </c>
      <c r="M73" s="300">
        <f t="shared" si="22"/>
        <v>49</v>
      </c>
      <c r="N73" s="300">
        <f t="shared" si="22"/>
        <v>48</v>
      </c>
      <c r="O73" s="300">
        <f t="shared" si="22"/>
        <v>59</v>
      </c>
      <c r="P73" s="300">
        <f t="shared" si="22"/>
        <v>49</v>
      </c>
      <c r="Q73" s="300">
        <f t="shared" si="22"/>
        <v>66</v>
      </c>
      <c r="R73" s="300">
        <f t="shared" si="22"/>
        <v>20</v>
      </c>
      <c r="S73" s="300">
        <f t="shared" si="22"/>
        <v>41</v>
      </c>
      <c r="T73" s="300">
        <f t="shared" si="22"/>
        <v>32</v>
      </c>
      <c r="U73" s="300">
        <f t="shared" si="22"/>
        <v>38</v>
      </c>
      <c r="V73" s="300">
        <f t="shared" si="22"/>
        <v>24</v>
      </c>
      <c r="W73" s="300">
        <f t="shared" si="22"/>
        <v>0</v>
      </c>
      <c r="X73" s="300">
        <f t="shared" si="22"/>
        <v>0</v>
      </c>
      <c r="Y73" s="300">
        <f t="shared" si="22"/>
        <v>0</v>
      </c>
      <c r="Z73" s="300">
        <f t="shared" si="22"/>
        <v>0</v>
      </c>
      <c r="AA73" s="300">
        <f t="shared" si="22"/>
        <v>0</v>
      </c>
      <c r="AB73" s="300">
        <f t="shared" si="22"/>
        <v>0</v>
      </c>
      <c r="AC73" s="300">
        <f t="shared" si="22"/>
        <v>11</v>
      </c>
      <c r="AD73" s="300">
        <f t="shared" si="22"/>
        <v>3</v>
      </c>
      <c r="AE73" s="300">
        <f t="shared" si="22"/>
        <v>17</v>
      </c>
      <c r="AF73" s="300">
        <f t="shared" si="22"/>
        <v>9</v>
      </c>
      <c r="AG73" s="277">
        <f t="shared" ref="AG73:AG77" si="24">sum(B73:AF73)</f>
        <v>687</v>
      </c>
    </row>
    <row r="74">
      <c r="A74" s="292" t="s">
        <v>266</v>
      </c>
      <c r="B74" s="300">
        <f t="shared" ref="B74:AF74" si="23">B54-B91</f>
        <v>30</v>
      </c>
      <c r="C74" s="300">
        <f t="shared" si="23"/>
        <v>27</v>
      </c>
      <c r="D74" s="300">
        <f t="shared" si="23"/>
        <v>32</v>
      </c>
      <c r="E74" s="300">
        <f t="shared" si="23"/>
        <v>30</v>
      </c>
      <c r="F74" s="300">
        <f t="shared" si="23"/>
        <v>36</v>
      </c>
      <c r="G74" s="300">
        <f t="shared" si="23"/>
        <v>23</v>
      </c>
      <c r="H74" s="300">
        <f t="shared" si="23"/>
        <v>48</v>
      </c>
      <c r="I74" s="300">
        <f t="shared" si="23"/>
        <v>34</v>
      </c>
      <c r="J74" s="300">
        <f t="shared" si="23"/>
        <v>39</v>
      </c>
      <c r="K74" s="300">
        <f t="shared" si="23"/>
        <v>37</v>
      </c>
      <c r="L74" s="300">
        <f t="shared" si="23"/>
        <v>16</v>
      </c>
      <c r="M74" s="300">
        <f t="shared" si="23"/>
        <v>9</v>
      </c>
      <c r="N74" s="300">
        <f t="shared" si="23"/>
        <v>12</v>
      </c>
      <c r="O74" s="300">
        <f t="shared" si="23"/>
        <v>13</v>
      </c>
      <c r="P74" s="300">
        <f t="shared" si="23"/>
        <v>14</v>
      </c>
      <c r="Q74" s="300">
        <f t="shared" si="23"/>
        <v>7</v>
      </c>
      <c r="R74" s="300">
        <f t="shared" si="23"/>
        <v>11</v>
      </c>
      <c r="S74" s="300">
        <f t="shared" si="23"/>
        <v>16</v>
      </c>
      <c r="T74" s="300">
        <f t="shared" si="23"/>
        <v>12</v>
      </c>
      <c r="U74" s="300">
        <f t="shared" si="23"/>
        <v>9</v>
      </c>
      <c r="V74" s="300">
        <f t="shared" si="23"/>
        <v>23</v>
      </c>
      <c r="W74" s="300">
        <f t="shared" si="23"/>
        <v>30</v>
      </c>
      <c r="X74" s="300">
        <f t="shared" si="23"/>
        <v>28</v>
      </c>
      <c r="Y74" s="300">
        <f t="shared" si="23"/>
        <v>20</v>
      </c>
      <c r="Z74" s="300">
        <f t="shared" si="23"/>
        <v>25</v>
      </c>
      <c r="AA74" s="300">
        <f t="shared" si="23"/>
        <v>26</v>
      </c>
      <c r="AB74" s="300">
        <f t="shared" si="23"/>
        <v>35</v>
      </c>
      <c r="AC74" s="300">
        <f t="shared" si="23"/>
        <v>23</v>
      </c>
      <c r="AD74" s="300">
        <f t="shared" si="23"/>
        <v>13</v>
      </c>
      <c r="AE74" s="300">
        <f t="shared" si="23"/>
        <v>13</v>
      </c>
      <c r="AF74" s="300">
        <f t="shared" si="23"/>
        <v>17</v>
      </c>
      <c r="AG74" s="277">
        <f t="shared" si="24"/>
        <v>708</v>
      </c>
    </row>
    <row r="75">
      <c r="A75" s="292" t="s">
        <v>267</v>
      </c>
      <c r="B75" s="300">
        <f t="shared" ref="B75:AF75" si="25">B55-B92</f>
        <v>57</v>
      </c>
      <c r="C75" s="300">
        <f t="shared" si="25"/>
        <v>51</v>
      </c>
      <c r="D75" s="300">
        <f t="shared" si="25"/>
        <v>44</v>
      </c>
      <c r="E75" s="300">
        <f t="shared" si="25"/>
        <v>46</v>
      </c>
      <c r="F75" s="300">
        <f t="shared" si="25"/>
        <v>40</v>
      </c>
      <c r="G75" s="300">
        <f t="shared" si="25"/>
        <v>42</v>
      </c>
      <c r="H75" s="300">
        <f t="shared" si="25"/>
        <v>50</v>
      </c>
      <c r="I75" s="300">
        <f t="shared" si="25"/>
        <v>56</v>
      </c>
      <c r="J75" s="300">
        <f t="shared" si="25"/>
        <v>54</v>
      </c>
      <c r="K75" s="300">
        <f t="shared" si="25"/>
        <v>69</v>
      </c>
      <c r="L75" s="300">
        <f t="shared" si="25"/>
        <v>104</v>
      </c>
      <c r="M75" s="300">
        <f t="shared" si="25"/>
        <v>95</v>
      </c>
      <c r="N75" s="300">
        <f t="shared" si="25"/>
        <v>172</v>
      </c>
      <c r="O75" s="300">
        <f t="shared" si="25"/>
        <v>136</v>
      </c>
      <c r="P75" s="300">
        <f t="shared" si="25"/>
        <v>118</v>
      </c>
      <c r="Q75" s="300">
        <f t="shared" si="25"/>
        <v>121</v>
      </c>
      <c r="R75" s="300">
        <f t="shared" si="25"/>
        <v>64</v>
      </c>
      <c r="S75" s="300">
        <f t="shared" si="25"/>
        <v>116</v>
      </c>
      <c r="T75" s="300">
        <f t="shared" si="25"/>
        <v>89</v>
      </c>
      <c r="U75" s="300">
        <f t="shared" si="25"/>
        <v>92</v>
      </c>
      <c r="V75" s="300">
        <f t="shared" si="25"/>
        <v>83</v>
      </c>
      <c r="W75" s="300">
        <f t="shared" si="25"/>
        <v>92</v>
      </c>
      <c r="X75" s="300">
        <f t="shared" si="25"/>
        <v>75</v>
      </c>
      <c r="Y75" s="300">
        <f t="shared" si="25"/>
        <v>64</v>
      </c>
      <c r="Z75" s="300">
        <f t="shared" si="25"/>
        <v>67</v>
      </c>
      <c r="AA75" s="300">
        <f t="shared" si="25"/>
        <v>62</v>
      </c>
      <c r="AB75" s="300">
        <f t="shared" si="25"/>
        <v>68</v>
      </c>
      <c r="AC75" s="300">
        <f t="shared" si="25"/>
        <v>66</v>
      </c>
      <c r="AD75" s="300">
        <f t="shared" si="25"/>
        <v>67</v>
      </c>
      <c r="AE75" s="300">
        <f t="shared" si="25"/>
        <v>58</v>
      </c>
      <c r="AF75" s="300">
        <f t="shared" si="25"/>
        <v>72</v>
      </c>
      <c r="AG75" s="277">
        <f t="shared" si="24"/>
        <v>2390</v>
      </c>
    </row>
    <row r="76">
      <c r="A76" s="292" t="s">
        <v>268</v>
      </c>
      <c r="B76" s="300">
        <f t="shared" ref="B76:AF76" si="26">B56-B93</f>
        <v>48</v>
      </c>
      <c r="C76" s="300">
        <f t="shared" si="26"/>
        <v>41</v>
      </c>
      <c r="D76" s="300">
        <f t="shared" si="26"/>
        <v>45</v>
      </c>
      <c r="E76" s="300">
        <f t="shared" si="26"/>
        <v>59</v>
      </c>
      <c r="F76" s="300">
        <f t="shared" si="26"/>
        <v>54</v>
      </c>
      <c r="G76" s="300">
        <f t="shared" si="26"/>
        <v>63</v>
      </c>
      <c r="H76" s="300">
        <f t="shared" si="26"/>
        <v>56</v>
      </c>
      <c r="I76" s="300">
        <f t="shared" si="26"/>
        <v>75</v>
      </c>
      <c r="J76" s="300">
        <f t="shared" si="26"/>
        <v>72</v>
      </c>
      <c r="K76" s="300">
        <f t="shared" si="26"/>
        <v>40</v>
      </c>
      <c r="L76" s="300">
        <f t="shared" si="26"/>
        <v>21</v>
      </c>
      <c r="M76" s="300">
        <f t="shared" si="26"/>
        <v>27</v>
      </c>
      <c r="N76" s="300">
        <f t="shared" si="26"/>
        <v>51</v>
      </c>
      <c r="O76" s="300">
        <f t="shared" si="26"/>
        <v>54</v>
      </c>
      <c r="P76" s="300">
        <f t="shared" si="26"/>
        <v>32</v>
      </c>
      <c r="Q76" s="300">
        <f t="shared" si="26"/>
        <v>24</v>
      </c>
      <c r="R76" s="300">
        <f t="shared" si="26"/>
        <v>26</v>
      </c>
      <c r="S76" s="300">
        <f t="shared" si="26"/>
        <v>34</v>
      </c>
      <c r="T76" s="300">
        <f t="shared" si="26"/>
        <v>21</v>
      </c>
      <c r="U76" s="300">
        <f t="shared" si="26"/>
        <v>30</v>
      </c>
      <c r="V76" s="300">
        <f t="shared" si="26"/>
        <v>21</v>
      </c>
      <c r="W76" s="300">
        <f t="shared" si="26"/>
        <v>23</v>
      </c>
      <c r="X76" s="300">
        <f t="shared" si="26"/>
        <v>19</v>
      </c>
      <c r="Y76" s="300">
        <f t="shared" si="26"/>
        <v>19</v>
      </c>
      <c r="Z76" s="300">
        <f t="shared" si="26"/>
        <v>18</v>
      </c>
      <c r="AA76" s="300">
        <f t="shared" si="26"/>
        <v>17</v>
      </c>
      <c r="AB76" s="300">
        <f t="shared" si="26"/>
        <v>15</v>
      </c>
      <c r="AC76" s="300">
        <f t="shared" si="26"/>
        <v>10</v>
      </c>
      <c r="AD76" s="300">
        <f t="shared" si="26"/>
        <v>19</v>
      </c>
      <c r="AE76" s="300">
        <f t="shared" si="26"/>
        <v>17</v>
      </c>
      <c r="AF76" s="300">
        <f t="shared" si="26"/>
        <v>22</v>
      </c>
      <c r="AG76" s="277">
        <f t="shared" si="24"/>
        <v>1073</v>
      </c>
    </row>
    <row r="77">
      <c r="A77" s="296" t="s">
        <v>254</v>
      </c>
      <c r="B77" s="297">
        <f t="shared" ref="B77:AF77" si="27">SUM(B73:B76)</f>
        <v>151</v>
      </c>
      <c r="C77" s="297">
        <f t="shared" si="27"/>
        <v>148</v>
      </c>
      <c r="D77" s="297">
        <f t="shared" si="27"/>
        <v>134</v>
      </c>
      <c r="E77" s="297">
        <f t="shared" si="27"/>
        <v>145</v>
      </c>
      <c r="F77" s="297">
        <f t="shared" si="27"/>
        <v>145</v>
      </c>
      <c r="G77" s="297">
        <f t="shared" si="27"/>
        <v>151</v>
      </c>
      <c r="H77" s="297">
        <f t="shared" si="27"/>
        <v>170</v>
      </c>
      <c r="I77" s="297">
        <f t="shared" si="27"/>
        <v>186</v>
      </c>
      <c r="J77" s="297">
        <f t="shared" si="27"/>
        <v>178</v>
      </c>
      <c r="K77" s="297">
        <f t="shared" si="27"/>
        <v>171</v>
      </c>
      <c r="L77" s="297">
        <f t="shared" si="27"/>
        <v>181</v>
      </c>
      <c r="M77" s="297">
        <f t="shared" si="27"/>
        <v>180</v>
      </c>
      <c r="N77" s="297">
        <f t="shared" si="27"/>
        <v>283</v>
      </c>
      <c r="O77" s="297">
        <f t="shared" si="27"/>
        <v>262</v>
      </c>
      <c r="P77" s="297">
        <f t="shared" si="27"/>
        <v>213</v>
      </c>
      <c r="Q77" s="297">
        <f t="shared" si="27"/>
        <v>218</v>
      </c>
      <c r="R77" s="297">
        <f t="shared" si="27"/>
        <v>121</v>
      </c>
      <c r="S77" s="297">
        <f t="shared" si="27"/>
        <v>207</v>
      </c>
      <c r="T77" s="297">
        <f t="shared" si="27"/>
        <v>154</v>
      </c>
      <c r="U77" s="297">
        <f t="shared" si="27"/>
        <v>169</v>
      </c>
      <c r="V77" s="297">
        <f t="shared" si="27"/>
        <v>151</v>
      </c>
      <c r="W77" s="297">
        <f t="shared" si="27"/>
        <v>145</v>
      </c>
      <c r="X77" s="297">
        <f t="shared" si="27"/>
        <v>122</v>
      </c>
      <c r="Y77" s="297">
        <f t="shared" si="27"/>
        <v>103</v>
      </c>
      <c r="Z77" s="297">
        <f t="shared" si="27"/>
        <v>110</v>
      </c>
      <c r="AA77" s="297">
        <f t="shared" si="27"/>
        <v>105</v>
      </c>
      <c r="AB77" s="297">
        <f t="shared" si="27"/>
        <v>118</v>
      </c>
      <c r="AC77" s="297">
        <f t="shared" si="27"/>
        <v>110</v>
      </c>
      <c r="AD77" s="297">
        <f t="shared" si="27"/>
        <v>102</v>
      </c>
      <c r="AE77" s="297">
        <f t="shared" si="27"/>
        <v>105</v>
      </c>
      <c r="AF77" s="297">
        <f t="shared" si="27"/>
        <v>120</v>
      </c>
      <c r="AG77" s="277">
        <f t="shared" si="24"/>
        <v>4858</v>
      </c>
    </row>
    <row r="78">
      <c r="A78" s="35"/>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91"/>
    </row>
    <row r="79">
      <c r="A79" s="292" t="s">
        <v>121</v>
      </c>
      <c r="B79" s="300">
        <f t="shared" ref="B79:AF79" si="28">B59-B96</f>
        <v>53</v>
      </c>
      <c r="C79" s="300">
        <f t="shared" si="28"/>
        <v>52</v>
      </c>
      <c r="D79" s="300">
        <f t="shared" si="28"/>
        <v>32</v>
      </c>
      <c r="E79" s="300">
        <f t="shared" si="28"/>
        <v>36</v>
      </c>
      <c r="F79" s="300">
        <f t="shared" si="28"/>
        <v>43</v>
      </c>
      <c r="G79" s="300">
        <f t="shared" si="28"/>
        <v>42</v>
      </c>
      <c r="H79" s="300">
        <f t="shared" si="28"/>
        <v>48</v>
      </c>
      <c r="I79" s="300">
        <f t="shared" si="28"/>
        <v>70</v>
      </c>
      <c r="J79" s="300">
        <f t="shared" si="28"/>
        <v>72</v>
      </c>
      <c r="K79" s="300">
        <f t="shared" si="28"/>
        <v>62</v>
      </c>
      <c r="L79" s="300">
        <f t="shared" si="28"/>
        <v>56</v>
      </c>
      <c r="M79" s="300">
        <f t="shared" si="28"/>
        <v>45</v>
      </c>
      <c r="N79" s="300">
        <f t="shared" si="28"/>
        <v>84</v>
      </c>
      <c r="O79" s="300">
        <f t="shared" si="28"/>
        <v>69</v>
      </c>
      <c r="P79" s="300">
        <f t="shared" si="28"/>
        <v>84</v>
      </c>
      <c r="Q79" s="300">
        <f t="shared" si="28"/>
        <v>78</v>
      </c>
      <c r="R79" s="300">
        <f t="shared" si="28"/>
        <v>31</v>
      </c>
      <c r="S79" s="300">
        <f t="shared" si="28"/>
        <v>78</v>
      </c>
      <c r="T79" s="300">
        <f t="shared" si="28"/>
        <v>44</v>
      </c>
      <c r="U79" s="300">
        <f t="shared" si="28"/>
        <v>59</v>
      </c>
      <c r="V79" s="300">
        <f t="shared" si="28"/>
        <v>48</v>
      </c>
      <c r="W79" s="300">
        <f t="shared" si="28"/>
        <v>61</v>
      </c>
      <c r="X79" s="300">
        <f t="shared" si="28"/>
        <v>53</v>
      </c>
      <c r="Y79" s="300">
        <f t="shared" si="28"/>
        <v>32</v>
      </c>
      <c r="Z79" s="300">
        <f t="shared" si="28"/>
        <v>41</v>
      </c>
      <c r="AA79" s="300">
        <f t="shared" si="28"/>
        <v>27</v>
      </c>
      <c r="AB79" s="300">
        <f t="shared" si="28"/>
        <v>39</v>
      </c>
      <c r="AC79" s="300">
        <f t="shared" si="28"/>
        <v>32</v>
      </c>
      <c r="AD79" s="300">
        <f t="shared" si="28"/>
        <v>41</v>
      </c>
      <c r="AE79" s="300">
        <f t="shared" si="28"/>
        <v>36</v>
      </c>
      <c r="AF79" s="300">
        <f t="shared" si="28"/>
        <v>44</v>
      </c>
      <c r="AG79" s="277">
        <f t="shared" ref="AG79:AG87" si="30">sum(B79:AF79)</f>
        <v>1592</v>
      </c>
    </row>
    <row r="80">
      <c r="A80" s="292" t="s">
        <v>137</v>
      </c>
      <c r="B80" s="300">
        <f t="shared" ref="B80:AF80" si="29">B60-B97</f>
        <v>26</v>
      </c>
      <c r="C80" s="300">
        <f t="shared" si="29"/>
        <v>37</v>
      </c>
      <c r="D80" s="300">
        <f t="shared" si="29"/>
        <v>22</v>
      </c>
      <c r="E80" s="300">
        <f t="shared" si="29"/>
        <v>27</v>
      </c>
      <c r="F80" s="300">
        <f t="shared" si="29"/>
        <v>23</v>
      </c>
      <c r="G80" s="300">
        <f t="shared" si="29"/>
        <v>19</v>
      </c>
      <c r="H80" s="300">
        <f t="shared" si="29"/>
        <v>16</v>
      </c>
      <c r="I80" s="300">
        <f t="shared" si="29"/>
        <v>33</v>
      </c>
      <c r="J80" s="300">
        <f t="shared" si="29"/>
        <v>25</v>
      </c>
      <c r="K80" s="300">
        <f t="shared" si="29"/>
        <v>29</v>
      </c>
      <c r="L80" s="300">
        <f t="shared" si="29"/>
        <v>24</v>
      </c>
      <c r="M80" s="300">
        <f t="shared" si="29"/>
        <v>26</v>
      </c>
      <c r="N80" s="300">
        <f t="shared" si="29"/>
        <v>44</v>
      </c>
      <c r="O80" s="300">
        <f t="shared" si="29"/>
        <v>40</v>
      </c>
      <c r="P80" s="300">
        <f t="shared" si="29"/>
        <v>39</v>
      </c>
      <c r="Q80" s="300">
        <f t="shared" si="29"/>
        <v>36</v>
      </c>
      <c r="R80" s="300">
        <f t="shared" si="29"/>
        <v>24</v>
      </c>
      <c r="S80" s="300">
        <f t="shared" si="29"/>
        <v>33</v>
      </c>
      <c r="T80" s="300">
        <f t="shared" si="29"/>
        <v>29</v>
      </c>
      <c r="U80" s="300">
        <f t="shared" si="29"/>
        <v>32</v>
      </c>
      <c r="V80" s="300">
        <f t="shared" si="29"/>
        <v>27</v>
      </c>
      <c r="W80" s="300">
        <f t="shared" si="29"/>
        <v>27</v>
      </c>
      <c r="X80" s="300">
        <f t="shared" si="29"/>
        <v>26</v>
      </c>
      <c r="Y80" s="300">
        <f t="shared" si="29"/>
        <v>20</v>
      </c>
      <c r="Z80" s="300">
        <f t="shared" si="29"/>
        <v>19</v>
      </c>
      <c r="AA80" s="300">
        <f t="shared" si="29"/>
        <v>21</v>
      </c>
      <c r="AB80" s="300">
        <f t="shared" si="29"/>
        <v>14</v>
      </c>
      <c r="AC80" s="300">
        <f t="shared" si="29"/>
        <v>15</v>
      </c>
      <c r="AD80" s="300">
        <f t="shared" si="29"/>
        <v>18</v>
      </c>
      <c r="AE80" s="300">
        <f t="shared" si="29"/>
        <v>21</v>
      </c>
      <c r="AF80" s="300">
        <f t="shared" si="29"/>
        <v>19</v>
      </c>
      <c r="AG80" s="277">
        <f t="shared" si="30"/>
        <v>811</v>
      </c>
    </row>
    <row r="81">
      <c r="A81" s="292" t="s">
        <v>269</v>
      </c>
      <c r="B81" s="300">
        <f t="shared" ref="B81:AF81" si="31">B61-B98</f>
        <v>26</v>
      </c>
      <c r="C81" s="300">
        <f t="shared" si="31"/>
        <v>31</v>
      </c>
      <c r="D81" s="300">
        <f t="shared" si="31"/>
        <v>13</v>
      </c>
      <c r="E81" s="300">
        <f t="shared" si="31"/>
        <v>24</v>
      </c>
      <c r="F81" s="300">
        <f t="shared" si="31"/>
        <v>14</v>
      </c>
      <c r="G81" s="300">
        <f t="shared" si="31"/>
        <v>14</v>
      </c>
      <c r="H81" s="300">
        <f t="shared" si="31"/>
        <v>11</v>
      </c>
      <c r="I81" s="300">
        <f t="shared" si="31"/>
        <v>22</v>
      </c>
      <c r="J81" s="300">
        <f t="shared" si="31"/>
        <v>27</v>
      </c>
      <c r="K81" s="300">
        <f t="shared" si="31"/>
        <v>23</v>
      </c>
      <c r="L81" s="300">
        <f t="shared" si="31"/>
        <v>21</v>
      </c>
      <c r="M81" s="300">
        <f t="shared" si="31"/>
        <v>23</v>
      </c>
      <c r="N81" s="300">
        <f t="shared" si="31"/>
        <v>40</v>
      </c>
      <c r="O81" s="300">
        <f t="shared" si="31"/>
        <v>41</v>
      </c>
      <c r="P81" s="300">
        <f t="shared" si="31"/>
        <v>37</v>
      </c>
      <c r="Q81" s="300">
        <f t="shared" si="31"/>
        <v>28</v>
      </c>
      <c r="R81" s="300">
        <f t="shared" si="31"/>
        <v>13</v>
      </c>
      <c r="S81" s="300">
        <f t="shared" si="31"/>
        <v>28</v>
      </c>
      <c r="T81" s="300">
        <f t="shared" si="31"/>
        <v>21</v>
      </c>
      <c r="U81" s="300">
        <f t="shared" si="31"/>
        <v>23</v>
      </c>
      <c r="V81" s="300">
        <f t="shared" si="31"/>
        <v>29</v>
      </c>
      <c r="W81" s="300">
        <f t="shared" si="31"/>
        <v>17</v>
      </c>
      <c r="X81" s="300">
        <f t="shared" si="31"/>
        <v>28</v>
      </c>
      <c r="Y81" s="300">
        <f t="shared" si="31"/>
        <v>12</v>
      </c>
      <c r="Z81" s="300">
        <f t="shared" si="31"/>
        <v>15</v>
      </c>
      <c r="AA81" s="300">
        <f t="shared" si="31"/>
        <v>15</v>
      </c>
      <c r="AB81" s="300">
        <f t="shared" si="31"/>
        <v>11</v>
      </c>
      <c r="AC81" s="300">
        <f t="shared" si="31"/>
        <v>12</v>
      </c>
      <c r="AD81" s="300">
        <f t="shared" si="31"/>
        <v>7</v>
      </c>
      <c r="AE81" s="300">
        <f t="shared" si="31"/>
        <v>19</v>
      </c>
      <c r="AF81" s="300">
        <f t="shared" si="31"/>
        <v>12</v>
      </c>
      <c r="AG81" s="277">
        <f t="shared" si="30"/>
        <v>657</v>
      </c>
    </row>
    <row r="82">
      <c r="A82" s="292" t="s">
        <v>270</v>
      </c>
      <c r="B82" s="300">
        <f t="shared" ref="B82:AF82" si="32">B62-B99</f>
        <v>10</v>
      </c>
      <c r="C82" s="300">
        <f t="shared" si="32"/>
        <v>12</v>
      </c>
      <c r="D82" s="300">
        <f t="shared" si="32"/>
        <v>9</v>
      </c>
      <c r="E82" s="300">
        <f t="shared" si="32"/>
        <v>9</v>
      </c>
      <c r="F82" s="300">
        <f t="shared" si="32"/>
        <v>8</v>
      </c>
      <c r="G82" s="300">
        <f t="shared" si="32"/>
        <v>13</v>
      </c>
      <c r="H82" s="300">
        <f t="shared" si="32"/>
        <v>8</v>
      </c>
      <c r="I82" s="300">
        <f t="shared" si="32"/>
        <v>17</v>
      </c>
      <c r="J82" s="300">
        <f t="shared" si="32"/>
        <v>11</v>
      </c>
      <c r="K82" s="300">
        <f t="shared" si="32"/>
        <v>13</v>
      </c>
      <c r="L82" s="300">
        <f t="shared" si="32"/>
        <v>5</v>
      </c>
      <c r="M82" s="300">
        <f t="shared" si="32"/>
        <v>5</v>
      </c>
      <c r="N82" s="300">
        <f t="shared" si="32"/>
        <v>13</v>
      </c>
      <c r="O82" s="300">
        <f t="shared" si="32"/>
        <v>8</v>
      </c>
      <c r="P82" s="300">
        <f t="shared" si="32"/>
        <v>10</v>
      </c>
      <c r="Q82" s="300">
        <f t="shared" si="32"/>
        <v>6</v>
      </c>
      <c r="R82" s="300">
        <f t="shared" si="32"/>
        <v>5</v>
      </c>
      <c r="S82" s="300">
        <f t="shared" si="32"/>
        <v>6</v>
      </c>
      <c r="T82" s="300">
        <f t="shared" si="32"/>
        <v>4</v>
      </c>
      <c r="U82" s="300">
        <f t="shared" si="32"/>
        <v>10</v>
      </c>
      <c r="V82" s="300">
        <f t="shared" si="32"/>
        <v>9</v>
      </c>
      <c r="W82" s="300">
        <f t="shared" si="32"/>
        <v>11</v>
      </c>
      <c r="X82" s="300">
        <f t="shared" si="32"/>
        <v>8</v>
      </c>
      <c r="Y82" s="300">
        <f t="shared" si="32"/>
        <v>6</v>
      </c>
      <c r="Z82" s="300">
        <f t="shared" si="32"/>
        <v>2</v>
      </c>
      <c r="AA82" s="300">
        <f t="shared" si="32"/>
        <v>9</v>
      </c>
      <c r="AB82" s="300">
        <f t="shared" si="32"/>
        <v>4</v>
      </c>
      <c r="AC82" s="300">
        <f t="shared" si="32"/>
        <v>4</v>
      </c>
      <c r="AD82" s="300">
        <f t="shared" si="32"/>
        <v>3</v>
      </c>
      <c r="AE82" s="300">
        <f t="shared" si="32"/>
        <v>4</v>
      </c>
      <c r="AF82" s="300">
        <f t="shared" si="32"/>
        <v>7</v>
      </c>
      <c r="AG82" s="277">
        <f t="shared" si="30"/>
        <v>249</v>
      </c>
    </row>
    <row r="83">
      <c r="A83" s="292" t="s">
        <v>271</v>
      </c>
      <c r="B83" s="300">
        <f t="shared" ref="B83:AF83" si="33">B63-B100</f>
        <v>12</v>
      </c>
      <c r="C83" s="300">
        <f t="shared" si="33"/>
        <v>11</v>
      </c>
      <c r="D83" s="300">
        <f t="shared" si="33"/>
        <v>13</v>
      </c>
      <c r="E83" s="300">
        <f t="shared" si="33"/>
        <v>18</v>
      </c>
      <c r="F83" s="300">
        <f t="shared" si="33"/>
        <v>9</v>
      </c>
      <c r="G83" s="300">
        <f t="shared" si="33"/>
        <v>17</v>
      </c>
      <c r="H83" s="300">
        <f t="shared" si="33"/>
        <v>12</v>
      </c>
      <c r="I83" s="300">
        <f t="shared" si="33"/>
        <v>15</v>
      </c>
      <c r="J83" s="300">
        <f t="shared" si="33"/>
        <v>21</v>
      </c>
      <c r="K83" s="300">
        <f t="shared" si="33"/>
        <v>21</v>
      </c>
      <c r="L83" s="300">
        <f t="shared" si="33"/>
        <v>7</v>
      </c>
      <c r="M83" s="300">
        <f t="shared" si="33"/>
        <v>9</v>
      </c>
      <c r="N83" s="300">
        <f t="shared" si="33"/>
        <v>32</v>
      </c>
      <c r="O83" s="300">
        <f t="shared" si="33"/>
        <v>20</v>
      </c>
      <c r="P83" s="300">
        <f t="shared" si="33"/>
        <v>14</v>
      </c>
      <c r="Q83" s="300">
        <f t="shared" si="33"/>
        <v>11</v>
      </c>
      <c r="R83" s="300">
        <f t="shared" si="33"/>
        <v>13</v>
      </c>
      <c r="S83" s="300">
        <f t="shared" si="33"/>
        <v>15</v>
      </c>
      <c r="T83" s="300">
        <f t="shared" si="33"/>
        <v>7</v>
      </c>
      <c r="U83" s="300">
        <f t="shared" si="33"/>
        <v>16</v>
      </c>
      <c r="V83" s="300">
        <f t="shared" si="33"/>
        <v>10</v>
      </c>
      <c r="W83" s="300">
        <f t="shared" si="33"/>
        <v>12</v>
      </c>
      <c r="X83" s="300">
        <f t="shared" si="33"/>
        <v>12</v>
      </c>
      <c r="Y83" s="300">
        <f t="shared" si="33"/>
        <v>6</v>
      </c>
      <c r="Z83" s="300">
        <f t="shared" si="33"/>
        <v>13</v>
      </c>
      <c r="AA83" s="300">
        <f t="shared" si="33"/>
        <v>6</v>
      </c>
      <c r="AB83" s="300">
        <f t="shared" si="33"/>
        <v>8</v>
      </c>
      <c r="AC83" s="300">
        <f t="shared" si="33"/>
        <v>8</v>
      </c>
      <c r="AD83" s="300">
        <f t="shared" si="33"/>
        <v>17</v>
      </c>
      <c r="AE83" s="300">
        <f t="shared" si="33"/>
        <v>10</v>
      </c>
      <c r="AF83" s="300">
        <f t="shared" si="33"/>
        <v>9</v>
      </c>
      <c r="AG83" s="277">
        <f t="shared" si="30"/>
        <v>404</v>
      </c>
    </row>
    <row r="84">
      <c r="A84" s="292" t="s">
        <v>272</v>
      </c>
      <c r="B84" s="300">
        <f t="shared" ref="B84:AF84" si="34">B64-B101</f>
        <v>7</v>
      </c>
      <c r="C84" s="300">
        <f t="shared" si="34"/>
        <v>6</v>
      </c>
      <c r="D84" s="300">
        <f t="shared" si="34"/>
        <v>4</v>
      </c>
      <c r="E84" s="300">
        <f t="shared" si="34"/>
        <v>4</v>
      </c>
      <c r="F84" s="300">
        <f t="shared" si="34"/>
        <v>4</v>
      </c>
      <c r="G84" s="300">
        <f t="shared" si="34"/>
        <v>2</v>
      </c>
      <c r="H84" s="300">
        <f t="shared" si="34"/>
        <v>6</v>
      </c>
      <c r="I84" s="300">
        <f t="shared" si="34"/>
        <v>8</v>
      </c>
      <c r="J84" s="300">
        <f t="shared" si="34"/>
        <v>4</v>
      </c>
      <c r="K84" s="300">
        <f t="shared" si="34"/>
        <v>6</v>
      </c>
      <c r="L84" s="300">
        <f t="shared" si="34"/>
        <v>4</v>
      </c>
      <c r="M84" s="300">
        <f t="shared" si="34"/>
        <v>5</v>
      </c>
      <c r="N84" s="300">
        <f t="shared" si="34"/>
        <v>3</v>
      </c>
      <c r="O84" s="300">
        <f t="shared" si="34"/>
        <v>5</v>
      </c>
      <c r="P84" s="300">
        <f t="shared" si="34"/>
        <v>7</v>
      </c>
      <c r="Q84" s="300">
        <f t="shared" si="34"/>
        <v>6</v>
      </c>
      <c r="R84" s="300">
        <f t="shared" si="34"/>
        <v>3</v>
      </c>
      <c r="S84" s="300">
        <f t="shared" si="34"/>
        <v>5</v>
      </c>
      <c r="T84" s="300">
        <f t="shared" si="34"/>
        <v>2</v>
      </c>
      <c r="U84" s="300">
        <f t="shared" si="34"/>
        <v>5</v>
      </c>
      <c r="V84" s="300">
        <f t="shared" si="34"/>
        <v>5</v>
      </c>
      <c r="W84" s="300">
        <f t="shared" si="34"/>
        <v>4</v>
      </c>
      <c r="X84" s="300">
        <f t="shared" si="34"/>
        <v>5</v>
      </c>
      <c r="Y84" s="300">
        <f t="shared" si="34"/>
        <v>3</v>
      </c>
      <c r="Z84" s="300">
        <f t="shared" si="34"/>
        <v>4</v>
      </c>
      <c r="AA84" s="300">
        <f t="shared" si="34"/>
        <v>3</v>
      </c>
      <c r="AB84" s="300">
        <f t="shared" si="34"/>
        <v>1</v>
      </c>
      <c r="AC84" s="300">
        <f t="shared" si="34"/>
        <v>3</v>
      </c>
      <c r="AD84" s="300">
        <f t="shared" si="34"/>
        <v>3</v>
      </c>
      <c r="AE84" s="300">
        <f t="shared" si="34"/>
        <v>4</v>
      </c>
      <c r="AF84" s="300">
        <f t="shared" si="34"/>
        <v>3</v>
      </c>
      <c r="AG84" s="277">
        <f t="shared" si="30"/>
        <v>134</v>
      </c>
    </row>
    <row r="85">
      <c r="A85" s="292" t="s">
        <v>273</v>
      </c>
      <c r="B85" s="300">
        <f t="shared" ref="B85:AF85" si="35">B65-B102</f>
        <v>0</v>
      </c>
      <c r="C85" s="300">
        <f t="shared" si="35"/>
        <v>0</v>
      </c>
      <c r="D85" s="300">
        <f t="shared" si="35"/>
        <v>0</v>
      </c>
      <c r="E85" s="300">
        <f t="shared" si="35"/>
        <v>0</v>
      </c>
      <c r="F85" s="300">
        <f t="shared" si="35"/>
        <v>0</v>
      </c>
      <c r="G85" s="300">
        <f t="shared" si="35"/>
        <v>0</v>
      </c>
      <c r="H85" s="300">
        <f t="shared" si="35"/>
        <v>0</v>
      </c>
      <c r="I85" s="300">
        <f t="shared" si="35"/>
        <v>0</v>
      </c>
      <c r="J85" s="300">
        <f t="shared" si="35"/>
        <v>0</v>
      </c>
      <c r="K85" s="300">
        <f t="shared" si="35"/>
        <v>0</v>
      </c>
      <c r="L85" s="300">
        <f t="shared" si="35"/>
        <v>0</v>
      </c>
      <c r="M85" s="300">
        <f t="shared" si="35"/>
        <v>0</v>
      </c>
      <c r="N85" s="300">
        <f t="shared" si="35"/>
        <v>0</v>
      </c>
      <c r="O85" s="300">
        <f t="shared" si="35"/>
        <v>0</v>
      </c>
      <c r="P85" s="300">
        <f t="shared" si="35"/>
        <v>0</v>
      </c>
      <c r="Q85" s="300">
        <f t="shared" si="35"/>
        <v>0</v>
      </c>
      <c r="R85" s="300">
        <f t="shared" si="35"/>
        <v>0</v>
      </c>
      <c r="S85" s="300">
        <f t="shared" si="35"/>
        <v>0</v>
      </c>
      <c r="T85" s="300">
        <f t="shared" si="35"/>
        <v>0</v>
      </c>
      <c r="U85" s="300">
        <f t="shared" si="35"/>
        <v>0</v>
      </c>
      <c r="V85" s="300">
        <f t="shared" si="35"/>
        <v>0</v>
      </c>
      <c r="W85" s="300">
        <f t="shared" si="35"/>
        <v>0</v>
      </c>
      <c r="X85" s="300">
        <f t="shared" si="35"/>
        <v>0</v>
      </c>
      <c r="Y85" s="300">
        <f t="shared" si="35"/>
        <v>0</v>
      </c>
      <c r="Z85" s="300">
        <f t="shared" si="35"/>
        <v>0</v>
      </c>
      <c r="AA85" s="300">
        <f t="shared" si="35"/>
        <v>0</v>
      </c>
      <c r="AB85" s="300">
        <f t="shared" si="35"/>
        <v>0</v>
      </c>
      <c r="AC85" s="300">
        <f t="shared" si="35"/>
        <v>0</v>
      </c>
      <c r="AD85" s="300">
        <f t="shared" si="35"/>
        <v>0</v>
      </c>
      <c r="AE85" s="300">
        <f t="shared" si="35"/>
        <v>0</v>
      </c>
      <c r="AF85" s="300">
        <f t="shared" si="35"/>
        <v>0</v>
      </c>
      <c r="AG85" s="277">
        <f t="shared" si="30"/>
        <v>0</v>
      </c>
    </row>
    <row r="86">
      <c r="A86" s="292" t="s">
        <v>274</v>
      </c>
      <c r="B86" s="300">
        <f t="shared" ref="B86:AF86" si="36">B66-B103</f>
        <v>0</v>
      </c>
      <c r="C86" s="300">
        <f t="shared" si="36"/>
        <v>0</v>
      </c>
      <c r="D86" s="300">
        <f t="shared" si="36"/>
        <v>0</v>
      </c>
      <c r="E86" s="300">
        <f t="shared" si="36"/>
        <v>0</v>
      </c>
      <c r="F86" s="300">
        <f t="shared" si="36"/>
        <v>0</v>
      </c>
      <c r="G86" s="300">
        <f t="shared" si="36"/>
        <v>0</v>
      </c>
      <c r="H86" s="300">
        <f t="shared" si="36"/>
        <v>0</v>
      </c>
      <c r="I86" s="300">
        <f t="shared" si="36"/>
        <v>0</v>
      </c>
      <c r="J86" s="300">
        <f t="shared" si="36"/>
        <v>0</v>
      </c>
      <c r="K86" s="300">
        <f t="shared" si="36"/>
        <v>0</v>
      </c>
      <c r="L86" s="300">
        <f t="shared" si="36"/>
        <v>0</v>
      </c>
      <c r="M86" s="300">
        <f t="shared" si="36"/>
        <v>0</v>
      </c>
      <c r="N86" s="300">
        <f t="shared" si="36"/>
        <v>0</v>
      </c>
      <c r="O86" s="300">
        <f t="shared" si="36"/>
        <v>0</v>
      </c>
      <c r="P86" s="300">
        <f t="shared" si="36"/>
        <v>0</v>
      </c>
      <c r="Q86" s="300">
        <f t="shared" si="36"/>
        <v>0</v>
      </c>
      <c r="R86" s="300">
        <f t="shared" si="36"/>
        <v>0</v>
      </c>
      <c r="S86" s="300">
        <f t="shared" si="36"/>
        <v>0</v>
      </c>
      <c r="T86" s="300">
        <f t="shared" si="36"/>
        <v>0</v>
      </c>
      <c r="U86" s="300">
        <f t="shared" si="36"/>
        <v>0</v>
      </c>
      <c r="V86" s="300">
        <f t="shared" si="36"/>
        <v>0</v>
      </c>
      <c r="W86" s="300">
        <f t="shared" si="36"/>
        <v>0</v>
      </c>
      <c r="X86" s="300">
        <f t="shared" si="36"/>
        <v>0</v>
      </c>
      <c r="Y86" s="300">
        <f t="shared" si="36"/>
        <v>0</v>
      </c>
      <c r="Z86" s="300">
        <f t="shared" si="36"/>
        <v>0</v>
      </c>
      <c r="AA86" s="300">
        <f t="shared" si="36"/>
        <v>0</v>
      </c>
      <c r="AB86" s="300">
        <f t="shared" si="36"/>
        <v>0</v>
      </c>
      <c r="AC86" s="300">
        <f t="shared" si="36"/>
        <v>0</v>
      </c>
      <c r="AD86" s="300">
        <f t="shared" si="36"/>
        <v>0</v>
      </c>
      <c r="AE86" s="300">
        <f t="shared" si="36"/>
        <v>0</v>
      </c>
      <c r="AF86" s="300">
        <f t="shared" si="36"/>
        <v>0</v>
      </c>
      <c r="AG86" s="277">
        <f t="shared" si="30"/>
        <v>0</v>
      </c>
    </row>
    <row r="87">
      <c r="A87" s="296" t="s">
        <v>261</v>
      </c>
      <c r="B87" s="297">
        <f t="shared" ref="B87:AF87" si="37">SUM(B79:B86)</f>
        <v>134</v>
      </c>
      <c r="C87" s="297">
        <f t="shared" si="37"/>
        <v>149</v>
      </c>
      <c r="D87" s="297">
        <f t="shared" si="37"/>
        <v>93</v>
      </c>
      <c r="E87" s="297">
        <f t="shared" si="37"/>
        <v>118</v>
      </c>
      <c r="F87" s="297">
        <f t="shared" si="37"/>
        <v>101</v>
      </c>
      <c r="G87" s="297">
        <f t="shared" si="37"/>
        <v>107</v>
      </c>
      <c r="H87" s="297">
        <f t="shared" si="37"/>
        <v>101</v>
      </c>
      <c r="I87" s="297">
        <f t="shared" si="37"/>
        <v>165</v>
      </c>
      <c r="J87" s="297">
        <f t="shared" si="37"/>
        <v>160</v>
      </c>
      <c r="K87" s="297">
        <f t="shared" si="37"/>
        <v>154</v>
      </c>
      <c r="L87" s="297">
        <f t="shared" si="37"/>
        <v>117</v>
      </c>
      <c r="M87" s="297">
        <f t="shared" si="37"/>
        <v>113</v>
      </c>
      <c r="N87" s="297">
        <f t="shared" si="37"/>
        <v>216</v>
      </c>
      <c r="O87" s="297">
        <f t="shared" si="37"/>
        <v>183</v>
      </c>
      <c r="P87" s="297">
        <f t="shared" si="37"/>
        <v>191</v>
      </c>
      <c r="Q87" s="297">
        <f t="shared" si="37"/>
        <v>165</v>
      </c>
      <c r="R87" s="297">
        <f t="shared" si="37"/>
        <v>89</v>
      </c>
      <c r="S87" s="297">
        <f t="shared" si="37"/>
        <v>165</v>
      </c>
      <c r="T87" s="297">
        <f t="shared" si="37"/>
        <v>107</v>
      </c>
      <c r="U87" s="297">
        <f t="shared" si="37"/>
        <v>145</v>
      </c>
      <c r="V87" s="297">
        <f t="shared" si="37"/>
        <v>128</v>
      </c>
      <c r="W87" s="297">
        <f t="shared" si="37"/>
        <v>132</v>
      </c>
      <c r="X87" s="297">
        <f t="shared" si="37"/>
        <v>132</v>
      </c>
      <c r="Y87" s="297">
        <f t="shared" si="37"/>
        <v>79</v>
      </c>
      <c r="Z87" s="297">
        <f t="shared" si="37"/>
        <v>94</v>
      </c>
      <c r="AA87" s="297">
        <f t="shared" si="37"/>
        <v>81</v>
      </c>
      <c r="AB87" s="297">
        <f t="shared" si="37"/>
        <v>77</v>
      </c>
      <c r="AC87" s="297">
        <f t="shared" si="37"/>
        <v>74</v>
      </c>
      <c r="AD87" s="297">
        <f t="shared" si="37"/>
        <v>89</v>
      </c>
      <c r="AE87" s="297">
        <f t="shared" si="37"/>
        <v>94</v>
      </c>
      <c r="AF87" s="297">
        <f t="shared" si="37"/>
        <v>94</v>
      </c>
      <c r="AG87" s="277">
        <f t="shared" si="30"/>
        <v>3847</v>
      </c>
    </row>
    <row r="88">
      <c r="A88" s="35"/>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91"/>
    </row>
    <row r="89">
      <c r="A89" s="274" t="s">
        <v>275</v>
      </c>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91"/>
    </row>
    <row r="90">
      <c r="A90" s="292" t="s">
        <v>276</v>
      </c>
      <c r="B90" s="301">
        <v>0.0</v>
      </c>
      <c r="C90" s="301">
        <v>0.0</v>
      </c>
      <c r="D90" s="301">
        <v>0.0</v>
      </c>
      <c r="E90" s="301">
        <v>0.0</v>
      </c>
      <c r="F90" s="301">
        <v>0.0</v>
      </c>
      <c r="G90" s="301">
        <v>1.0</v>
      </c>
      <c r="H90" s="301">
        <v>0.0</v>
      </c>
      <c r="I90" s="301">
        <v>0.0</v>
      </c>
      <c r="J90" s="301">
        <v>0.0</v>
      </c>
      <c r="K90" s="301">
        <v>0.0</v>
      </c>
      <c r="L90" s="301">
        <v>0.0</v>
      </c>
      <c r="M90" s="301">
        <v>0.0</v>
      </c>
      <c r="N90" s="301">
        <v>1.0</v>
      </c>
      <c r="O90" s="301">
        <v>0.0</v>
      </c>
      <c r="P90" s="301">
        <v>1.0</v>
      </c>
      <c r="Q90" s="302">
        <v>0.0</v>
      </c>
      <c r="R90" s="301">
        <v>1.0</v>
      </c>
      <c r="S90" s="301">
        <v>1.0</v>
      </c>
      <c r="T90" s="301">
        <v>0.0</v>
      </c>
      <c r="U90" s="301">
        <v>0.0</v>
      </c>
      <c r="V90" s="301">
        <v>0.0</v>
      </c>
      <c r="W90" s="301">
        <v>0.0</v>
      </c>
      <c r="X90" s="301">
        <v>0.0</v>
      </c>
      <c r="Y90" s="301">
        <v>0.0</v>
      </c>
      <c r="Z90" s="301">
        <v>0.0</v>
      </c>
      <c r="AA90" s="301">
        <v>0.0</v>
      </c>
      <c r="AB90" s="301">
        <v>0.0</v>
      </c>
      <c r="AC90" s="301">
        <v>0.0</v>
      </c>
      <c r="AD90" s="301">
        <v>0.0</v>
      </c>
      <c r="AE90" s="301">
        <v>0.0</v>
      </c>
      <c r="AF90" s="301">
        <v>0.0</v>
      </c>
      <c r="AG90" s="277">
        <f t="shared" ref="AG90:AG94" si="38">sum(B90:AF90)</f>
        <v>5</v>
      </c>
    </row>
    <row r="91">
      <c r="A91" s="292" t="s">
        <v>277</v>
      </c>
      <c r="B91" s="301">
        <v>0.0</v>
      </c>
      <c r="C91" s="301">
        <v>1.0</v>
      </c>
      <c r="D91" s="301">
        <v>0.0</v>
      </c>
      <c r="E91" s="301">
        <v>0.0</v>
      </c>
      <c r="F91" s="301">
        <v>0.0</v>
      </c>
      <c r="G91" s="301">
        <v>1.0</v>
      </c>
      <c r="H91" s="301">
        <v>0.0</v>
      </c>
      <c r="I91" s="301">
        <v>0.0</v>
      </c>
      <c r="J91" s="301">
        <v>0.0</v>
      </c>
      <c r="K91" s="301">
        <v>2.0</v>
      </c>
      <c r="L91" s="301">
        <v>0.0</v>
      </c>
      <c r="M91" s="301">
        <v>0.0</v>
      </c>
      <c r="N91" s="301">
        <v>1.0</v>
      </c>
      <c r="O91" s="301">
        <v>0.0</v>
      </c>
      <c r="P91" s="301">
        <v>0.0</v>
      </c>
      <c r="Q91" s="302">
        <v>0.0</v>
      </c>
      <c r="R91" s="301">
        <v>0.0</v>
      </c>
      <c r="S91" s="302">
        <v>0.0</v>
      </c>
      <c r="T91" s="302">
        <v>0.0</v>
      </c>
      <c r="U91" s="301">
        <v>0.0</v>
      </c>
      <c r="V91" s="301">
        <v>1.0</v>
      </c>
      <c r="W91" s="301">
        <v>0.0</v>
      </c>
      <c r="X91" s="301">
        <v>1.0</v>
      </c>
      <c r="Y91" s="301">
        <v>0.0</v>
      </c>
      <c r="Z91" s="301">
        <v>1.0</v>
      </c>
      <c r="AA91" s="301">
        <v>0.0</v>
      </c>
      <c r="AB91" s="301">
        <v>0.0</v>
      </c>
      <c r="AC91" s="301">
        <v>2.0</v>
      </c>
      <c r="AD91" s="301">
        <v>1.0</v>
      </c>
      <c r="AE91" s="301">
        <v>0.0</v>
      </c>
      <c r="AF91" s="301">
        <v>2.0</v>
      </c>
      <c r="AG91" s="277">
        <f t="shared" si="38"/>
        <v>13</v>
      </c>
    </row>
    <row r="92">
      <c r="A92" s="292" t="s">
        <v>278</v>
      </c>
      <c r="B92" s="301">
        <v>0.0</v>
      </c>
      <c r="C92" s="301">
        <v>0.0</v>
      </c>
      <c r="D92" s="301">
        <v>0.0</v>
      </c>
      <c r="E92" s="301">
        <v>0.0</v>
      </c>
      <c r="F92" s="301">
        <v>1.0</v>
      </c>
      <c r="G92" s="301">
        <v>0.0</v>
      </c>
      <c r="H92" s="301">
        <v>0.0</v>
      </c>
      <c r="I92" s="301">
        <v>2.0</v>
      </c>
      <c r="J92" s="301">
        <v>0.0</v>
      </c>
      <c r="K92" s="301">
        <v>1.0</v>
      </c>
      <c r="L92" s="301">
        <v>0.0</v>
      </c>
      <c r="M92" s="301">
        <v>1.0</v>
      </c>
      <c r="N92" s="301">
        <v>1.0</v>
      </c>
      <c r="O92" s="301">
        <v>0.0</v>
      </c>
      <c r="P92" s="301">
        <v>2.0</v>
      </c>
      <c r="Q92" s="302">
        <v>4.0</v>
      </c>
      <c r="R92" s="301">
        <v>0.0</v>
      </c>
      <c r="S92" s="301">
        <v>1.0</v>
      </c>
      <c r="T92" s="301">
        <v>0.0</v>
      </c>
      <c r="U92" s="301">
        <v>2.0</v>
      </c>
      <c r="V92" s="301">
        <v>1.0</v>
      </c>
      <c r="W92" s="301">
        <v>0.0</v>
      </c>
      <c r="X92" s="301">
        <v>1.0</v>
      </c>
      <c r="Y92" s="301">
        <v>1.0</v>
      </c>
      <c r="Z92" s="301">
        <v>0.0</v>
      </c>
      <c r="AA92" s="301">
        <v>1.0</v>
      </c>
      <c r="AB92" s="301">
        <v>1.0</v>
      </c>
      <c r="AC92" s="301">
        <v>0.0</v>
      </c>
      <c r="AD92" s="301">
        <v>0.0</v>
      </c>
      <c r="AE92" s="301">
        <v>1.0</v>
      </c>
      <c r="AF92" s="301">
        <v>0.0</v>
      </c>
      <c r="AG92" s="277">
        <f t="shared" si="38"/>
        <v>21</v>
      </c>
    </row>
    <row r="93">
      <c r="A93" s="292" t="s">
        <v>279</v>
      </c>
      <c r="B93" s="301">
        <v>0.0</v>
      </c>
      <c r="C93" s="301">
        <v>0.0</v>
      </c>
      <c r="D93" s="301">
        <v>0.0</v>
      </c>
      <c r="E93" s="301">
        <v>1.0</v>
      </c>
      <c r="F93" s="301">
        <v>1.0</v>
      </c>
      <c r="G93" s="301">
        <v>1.0</v>
      </c>
      <c r="H93" s="301">
        <v>0.0</v>
      </c>
      <c r="I93" s="301">
        <v>1.0</v>
      </c>
      <c r="J93" s="301">
        <v>0.0</v>
      </c>
      <c r="K93" s="301">
        <v>0.0</v>
      </c>
      <c r="L93" s="301">
        <v>0.0</v>
      </c>
      <c r="M93" s="301">
        <v>1.0</v>
      </c>
      <c r="N93" s="301">
        <v>1.0</v>
      </c>
      <c r="O93" s="301">
        <v>1.0</v>
      </c>
      <c r="P93" s="301">
        <v>1.0</v>
      </c>
      <c r="Q93" s="302">
        <v>0.0</v>
      </c>
      <c r="R93" s="301">
        <v>0.0</v>
      </c>
      <c r="S93" s="302">
        <v>4.0</v>
      </c>
      <c r="T93" s="302">
        <v>0.0</v>
      </c>
      <c r="U93" s="301">
        <v>0.0</v>
      </c>
      <c r="V93" s="301">
        <v>1.0</v>
      </c>
      <c r="W93" s="301">
        <v>1.0</v>
      </c>
      <c r="X93" s="301">
        <v>1.0</v>
      </c>
      <c r="Y93" s="301">
        <v>0.0</v>
      </c>
      <c r="Z93" s="301">
        <v>1.0</v>
      </c>
      <c r="AA93" s="301">
        <v>0.0</v>
      </c>
      <c r="AB93" s="301">
        <v>0.0</v>
      </c>
      <c r="AC93" s="301">
        <v>0.0</v>
      </c>
      <c r="AD93" s="301">
        <v>0.0</v>
      </c>
      <c r="AE93" s="301">
        <v>0.0</v>
      </c>
      <c r="AF93" s="301">
        <v>0.0</v>
      </c>
      <c r="AG93" s="277">
        <f t="shared" si="38"/>
        <v>16</v>
      </c>
    </row>
    <row r="94">
      <c r="A94" s="296" t="s">
        <v>254</v>
      </c>
      <c r="B94" s="297">
        <f t="shared" ref="B94:AF94" si="39">SUM(B90:B93)</f>
        <v>0</v>
      </c>
      <c r="C94" s="297">
        <f t="shared" si="39"/>
        <v>1</v>
      </c>
      <c r="D94" s="297">
        <f t="shared" si="39"/>
        <v>0</v>
      </c>
      <c r="E94" s="297">
        <f t="shared" si="39"/>
        <v>1</v>
      </c>
      <c r="F94" s="297">
        <f t="shared" si="39"/>
        <v>2</v>
      </c>
      <c r="G94" s="297">
        <f t="shared" si="39"/>
        <v>3</v>
      </c>
      <c r="H94" s="297">
        <f t="shared" si="39"/>
        <v>0</v>
      </c>
      <c r="I94" s="297">
        <f t="shared" si="39"/>
        <v>3</v>
      </c>
      <c r="J94" s="297">
        <f t="shared" si="39"/>
        <v>0</v>
      </c>
      <c r="K94" s="297">
        <f t="shared" si="39"/>
        <v>3</v>
      </c>
      <c r="L94" s="297">
        <f t="shared" si="39"/>
        <v>0</v>
      </c>
      <c r="M94" s="297">
        <f t="shared" si="39"/>
        <v>2</v>
      </c>
      <c r="N94" s="297">
        <f t="shared" si="39"/>
        <v>4</v>
      </c>
      <c r="O94" s="297">
        <f t="shared" si="39"/>
        <v>1</v>
      </c>
      <c r="P94" s="297">
        <f t="shared" si="39"/>
        <v>4</v>
      </c>
      <c r="Q94" s="297">
        <f t="shared" si="39"/>
        <v>4</v>
      </c>
      <c r="R94" s="297">
        <f t="shared" si="39"/>
        <v>1</v>
      </c>
      <c r="S94" s="297">
        <f t="shared" si="39"/>
        <v>6</v>
      </c>
      <c r="T94" s="297">
        <f t="shared" si="39"/>
        <v>0</v>
      </c>
      <c r="U94" s="297">
        <f t="shared" si="39"/>
        <v>2</v>
      </c>
      <c r="V94" s="297">
        <f t="shared" si="39"/>
        <v>3</v>
      </c>
      <c r="W94" s="297">
        <f t="shared" si="39"/>
        <v>1</v>
      </c>
      <c r="X94" s="297">
        <f t="shared" si="39"/>
        <v>3</v>
      </c>
      <c r="Y94" s="297">
        <f t="shared" si="39"/>
        <v>1</v>
      </c>
      <c r="Z94" s="297">
        <f t="shared" si="39"/>
        <v>2</v>
      </c>
      <c r="AA94" s="297">
        <f t="shared" si="39"/>
        <v>1</v>
      </c>
      <c r="AB94" s="297">
        <f t="shared" si="39"/>
        <v>1</v>
      </c>
      <c r="AC94" s="297">
        <f t="shared" si="39"/>
        <v>2</v>
      </c>
      <c r="AD94" s="297">
        <f t="shared" si="39"/>
        <v>1</v>
      </c>
      <c r="AE94" s="297">
        <f t="shared" si="39"/>
        <v>1</v>
      </c>
      <c r="AF94" s="297">
        <f t="shared" si="39"/>
        <v>2</v>
      </c>
      <c r="AG94" s="277">
        <f t="shared" si="38"/>
        <v>55</v>
      </c>
    </row>
    <row r="95">
      <c r="A95" s="35"/>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91"/>
    </row>
    <row r="96">
      <c r="A96" s="292" t="s">
        <v>121</v>
      </c>
      <c r="B96" s="301">
        <v>0.0</v>
      </c>
      <c r="C96" s="301">
        <v>0.0</v>
      </c>
      <c r="D96" s="301">
        <v>0.0</v>
      </c>
      <c r="E96" s="301">
        <v>1.0</v>
      </c>
      <c r="F96" s="301">
        <v>1.0</v>
      </c>
      <c r="G96" s="301">
        <v>1.0</v>
      </c>
      <c r="H96" s="301">
        <v>0.0</v>
      </c>
      <c r="I96" s="301">
        <v>1.0</v>
      </c>
      <c r="J96" s="301">
        <v>0.0</v>
      </c>
      <c r="K96" s="301">
        <v>0.0</v>
      </c>
      <c r="L96" s="301">
        <v>0.0</v>
      </c>
      <c r="M96" s="301">
        <v>1.0</v>
      </c>
      <c r="N96" s="301">
        <v>0.0</v>
      </c>
      <c r="O96" s="301">
        <v>0.0</v>
      </c>
      <c r="P96" s="301">
        <v>2.0</v>
      </c>
      <c r="Q96" s="302">
        <v>4.0</v>
      </c>
      <c r="R96" s="301">
        <v>3.0</v>
      </c>
      <c r="S96" s="301">
        <v>1.0</v>
      </c>
      <c r="T96" s="301">
        <v>3.0</v>
      </c>
      <c r="U96" s="301">
        <v>0.0</v>
      </c>
      <c r="V96" s="301">
        <v>2.0</v>
      </c>
      <c r="W96" s="301">
        <v>1.0</v>
      </c>
      <c r="X96" s="301">
        <v>3.0</v>
      </c>
      <c r="Y96" s="301">
        <v>5.0</v>
      </c>
      <c r="Z96" s="301">
        <v>1.0</v>
      </c>
      <c r="AA96" s="301">
        <v>0.0</v>
      </c>
      <c r="AB96" s="301">
        <v>2.0</v>
      </c>
      <c r="AC96" s="301">
        <v>0.0</v>
      </c>
      <c r="AD96" s="301">
        <v>0.0</v>
      </c>
      <c r="AE96" s="301">
        <v>1.0</v>
      </c>
      <c r="AF96" s="301">
        <v>4.0</v>
      </c>
      <c r="AG96" s="277">
        <f t="shared" ref="AG96:AG104" si="40">sum(B96:AF96)</f>
        <v>37</v>
      </c>
    </row>
    <row r="97">
      <c r="A97" s="292" t="s">
        <v>137</v>
      </c>
      <c r="B97" s="301">
        <v>0.0</v>
      </c>
      <c r="C97" s="301">
        <v>0.0</v>
      </c>
      <c r="D97" s="301">
        <v>0.0</v>
      </c>
      <c r="E97" s="301">
        <v>1.0</v>
      </c>
      <c r="F97" s="301">
        <v>1.0</v>
      </c>
      <c r="G97" s="301">
        <v>0.0</v>
      </c>
      <c r="H97" s="301">
        <v>0.0</v>
      </c>
      <c r="I97" s="301">
        <v>0.0</v>
      </c>
      <c r="J97" s="301">
        <v>0.0</v>
      </c>
      <c r="K97" s="301">
        <v>0.0</v>
      </c>
      <c r="L97" s="301">
        <v>0.0</v>
      </c>
      <c r="M97" s="301">
        <v>0.0</v>
      </c>
      <c r="N97" s="301">
        <v>3.0</v>
      </c>
      <c r="O97" s="301">
        <v>0.0</v>
      </c>
      <c r="P97" s="301">
        <v>1.0</v>
      </c>
      <c r="Q97" s="302">
        <v>3.0</v>
      </c>
      <c r="R97" s="301">
        <v>0.0</v>
      </c>
      <c r="S97" s="301">
        <v>3.0</v>
      </c>
      <c r="T97" s="301">
        <v>4.0</v>
      </c>
      <c r="U97" s="301">
        <v>0.0</v>
      </c>
      <c r="V97" s="301">
        <v>0.0</v>
      </c>
      <c r="W97" s="301">
        <v>0.0</v>
      </c>
      <c r="X97" s="301">
        <v>0.0</v>
      </c>
      <c r="Y97" s="301">
        <v>4.0</v>
      </c>
      <c r="Z97" s="301">
        <v>0.0</v>
      </c>
      <c r="AA97" s="301">
        <v>0.0</v>
      </c>
      <c r="AB97" s="301">
        <v>0.0</v>
      </c>
      <c r="AC97" s="301">
        <v>0.0</v>
      </c>
      <c r="AD97" s="301">
        <v>0.0</v>
      </c>
      <c r="AE97" s="301">
        <v>2.0</v>
      </c>
      <c r="AF97" s="301">
        <v>0.0</v>
      </c>
      <c r="AG97" s="277">
        <f t="shared" si="40"/>
        <v>22</v>
      </c>
    </row>
    <row r="98">
      <c r="A98" s="292" t="s">
        <v>280</v>
      </c>
      <c r="B98" s="301">
        <v>0.0</v>
      </c>
      <c r="C98" s="301">
        <v>0.0</v>
      </c>
      <c r="D98" s="301">
        <v>0.0</v>
      </c>
      <c r="E98" s="301">
        <v>0.0</v>
      </c>
      <c r="F98" s="301">
        <v>1.0</v>
      </c>
      <c r="G98" s="301">
        <v>0.0</v>
      </c>
      <c r="H98" s="301">
        <v>0.0</v>
      </c>
      <c r="I98" s="301">
        <v>0.0</v>
      </c>
      <c r="J98" s="301">
        <v>0.0</v>
      </c>
      <c r="K98" s="301">
        <v>0.0</v>
      </c>
      <c r="L98" s="301">
        <v>0.0</v>
      </c>
      <c r="M98" s="301">
        <v>0.0</v>
      </c>
      <c r="N98" s="301">
        <v>1.0</v>
      </c>
      <c r="O98" s="301">
        <v>0.0</v>
      </c>
      <c r="P98" s="301">
        <v>1.0</v>
      </c>
      <c r="Q98" s="301">
        <v>2.0</v>
      </c>
      <c r="R98" s="301">
        <v>0.0</v>
      </c>
      <c r="S98" s="301">
        <v>0.0</v>
      </c>
      <c r="T98" s="301">
        <v>2.0</v>
      </c>
      <c r="U98" s="301">
        <v>0.0</v>
      </c>
      <c r="V98" s="301">
        <v>1.0</v>
      </c>
      <c r="W98" s="301">
        <v>0.0</v>
      </c>
      <c r="X98" s="301">
        <v>0.0</v>
      </c>
      <c r="Y98" s="301">
        <v>1.0</v>
      </c>
      <c r="Z98" s="301">
        <v>0.0</v>
      </c>
      <c r="AA98" s="301">
        <v>0.0</v>
      </c>
      <c r="AB98" s="301">
        <v>0.0</v>
      </c>
      <c r="AC98" s="301">
        <v>1.0</v>
      </c>
      <c r="AD98" s="301">
        <v>1.0</v>
      </c>
      <c r="AE98" s="301">
        <v>0.0</v>
      </c>
      <c r="AF98" s="301">
        <v>0.0</v>
      </c>
      <c r="AG98" s="277">
        <f t="shared" si="40"/>
        <v>11</v>
      </c>
    </row>
    <row r="99">
      <c r="A99" s="292" t="s">
        <v>281</v>
      </c>
      <c r="B99" s="301">
        <v>0.0</v>
      </c>
      <c r="C99" s="301">
        <v>0.0</v>
      </c>
      <c r="D99" s="301">
        <v>0.0</v>
      </c>
      <c r="E99" s="301">
        <v>1.0</v>
      </c>
      <c r="F99" s="301">
        <v>0.0</v>
      </c>
      <c r="G99" s="301">
        <v>1.0</v>
      </c>
      <c r="H99" s="301">
        <v>0.0</v>
      </c>
      <c r="I99" s="301">
        <v>0.0</v>
      </c>
      <c r="J99" s="301">
        <v>0.0</v>
      </c>
      <c r="K99" s="301">
        <v>0.0</v>
      </c>
      <c r="L99" s="301">
        <v>0.0</v>
      </c>
      <c r="M99" s="301">
        <v>0.0</v>
      </c>
      <c r="N99" s="301">
        <v>1.0</v>
      </c>
      <c r="O99" s="301">
        <v>0.0</v>
      </c>
      <c r="P99" s="301">
        <v>1.0</v>
      </c>
      <c r="Q99" s="302">
        <v>2.0</v>
      </c>
      <c r="R99" s="301">
        <v>0.0</v>
      </c>
      <c r="S99" s="302">
        <v>1.0</v>
      </c>
      <c r="T99" s="302">
        <v>3.0</v>
      </c>
      <c r="U99" s="301">
        <v>0.0</v>
      </c>
      <c r="V99" s="301">
        <v>0.0</v>
      </c>
      <c r="W99" s="301">
        <v>1.0</v>
      </c>
      <c r="X99" s="301">
        <v>0.0</v>
      </c>
      <c r="Y99" s="301">
        <v>1.0</v>
      </c>
      <c r="Z99" s="301">
        <v>0.0</v>
      </c>
      <c r="AA99" s="301">
        <v>0.0</v>
      </c>
      <c r="AB99" s="301">
        <v>0.0</v>
      </c>
      <c r="AC99" s="301">
        <v>0.0</v>
      </c>
      <c r="AD99" s="301">
        <v>0.0</v>
      </c>
      <c r="AE99" s="301">
        <v>0.0</v>
      </c>
      <c r="AF99" s="301">
        <v>0.0</v>
      </c>
      <c r="AG99" s="277">
        <f t="shared" si="40"/>
        <v>12</v>
      </c>
    </row>
    <row r="100">
      <c r="A100" s="292" t="s">
        <v>282</v>
      </c>
      <c r="B100" s="301">
        <v>0.0</v>
      </c>
      <c r="C100" s="301">
        <v>1.0</v>
      </c>
      <c r="D100" s="301">
        <v>1.0</v>
      </c>
      <c r="E100" s="301">
        <v>1.0</v>
      </c>
      <c r="F100" s="301">
        <v>0.0</v>
      </c>
      <c r="G100" s="301">
        <v>0.0</v>
      </c>
      <c r="H100" s="301">
        <v>0.0</v>
      </c>
      <c r="I100" s="301">
        <v>1.0</v>
      </c>
      <c r="J100" s="301">
        <v>0.0</v>
      </c>
      <c r="K100" s="301">
        <v>0.0</v>
      </c>
      <c r="L100" s="301">
        <v>1.0</v>
      </c>
      <c r="M100" s="301">
        <v>0.0</v>
      </c>
      <c r="N100" s="301">
        <v>0.0</v>
      </c>
      <c r="O100" s="301">
        <v>0.0</v>
      </c>
      <c r="P100" s="301">
        <v>0.0</v>
      </c>
      <c r="Q100" s="301">
        <v>0.0</v>
      </c>
      <c r="R100" s="301">
        <v>1.0</v>
      </c>
      <c r="S100" s="301">
        <v>0.0</v>
      </c>
      <c r="T100" s="301">
        <v>1.0</v>
      </c>
      <c r="U100" s="301">
        <v>0.0</v>
      </c>
      <c r="V100" s="301">
        <v>1.0</v>
      </c>
      <c r="W100" s="301">
        <v>1.0</v>
      </c>
      <c r="X100" s="301">
        <v>3.0</v>
      </c>
      <c r="Y100" s="301">
        <v>2.0</v>
      </c>
      <c r="Z100" s="301">
        <v>0.0</v>
      </c>
      <c r="AA100" s="301">
        <v>2.0</v>
      </c>
      <c r="AB100" s="301">
        <v>0.0</v>
      </c>
      <c r="AC100" s="301">
        <v>0.0</v>
      </c>
      <c r="AD100" s="301">
        <v>0.0</v>
      </c>
      <c r="AE100" s="301">
        <v>1.0</v>
      </c>
      <c r="AF100" s="301">
        <v>0.0</v>
      </c>
      <c r="AG100" s="277">
        <f t="shared" si="40"/>
        <v>17</v>
      </c>
    </row>
    <row r="101">
      <c r="A101" s="292" t="s">
        <v>283</v>
      </c>
      <c r="B101" s="301">
        <v>0.0</v>
      </c>
      <c r="C101" s="301">
        <v>0.0</v>
      </c>
      <c r="D101" s="301">
        <v>0.0</v>
      </c>
      <c r="E101" s="301">
        <v>0.0</v>
      </c>
      <c r="F101" s="301">
        <v>0.0</v>
      </c>
      <c r="G101" s="301">
        <v>0.0</v>
      </c>
      <c r="H101" s="301">
        <v>0.0</v>
      </c>
      <c r="I101" s="301">
        <v>0.0</v>
      </c>
      <c r="J101" s="301">
        <v>0.0</v>
      </c>
      <c r="K101" s="301">
        <v>0.0</v>
      </c>
      <c r="L101" s="301">
        <v>0.0</v>
      </c>
      <c r="M101" s="301">
        <v>0.0</v>
      </c>
      <c r="N101" s="301">
        <v>0.0</v>
      </c>
      <c r="O101" s="301">
        <v>0.0</v>
      </c>
      <c r="P101" s="301">
        <v>1.0</v>
      </c>
      <c r="Q101" s="302">
        <v>0.0</v>
      </c>
      <c r="R101" s="301">
        <v>0.0</v>
      </c>
      <c r="S101" s="302">
        <v>0.0</v>
      </c>
      <c r="T101" s="302">
        <v>0.0</v>
      </c>
      <c r="U101" s="301">
        <v>0.0</v>
      </c>
      <c r="V101" s="301">
        <v>0.0</v>
      </c>
      <c r="W101" s="301">
        <v>0.0</v>
      </c>
      <c r="X101" s="301">
        <v>0.0</v>
      </c>
      <c r="Y101" s="301">
        <v>0.0</v>
      </c>
      <c r="Z101" s="301">
        <v>0.0</v>
      </c>
      <c r="AA101" s="301">
        <v>0.0</v>
      </c>
      <c r="AB101" s="301">
        <v>1.0</v>
      </c>
      <c r="AC101" s="301">
        <v>0.0</v>
      </c>
      <c r="AD101" s="301">
        <v>0.0</v>
      </c>
      <c r="AE101" s="301">
        <v>1.0</v>
      </c>
      <c r="AF101" s="301">
        <v>0.0</v>
      </c>
      <c r="AG101" s="277">
        <f t="shared" si="40"/>
        <v>3</v>
      </c>
    </row>
    <row r="102">
      <c r="A102" s="292" t="s">
        <v>284</v>
      </c>
      <c r="B102" s="301">
        <v>0.0</v>
      </c>
      <c r="C102" s="301">
        <v>0.0</v>
      </c>
      <c r="D102" s="301">
        <v>0.0</v>
      </c>
      <c r="E102" s="301">
        <v>0.0</v>
      </c>
      <c r="F102" s="301">
        <v>0.0</v>
      </c>
      <c r="G102" s="301">
        <v>0.0</v>
      </c>
      <c r="H102" s="301">
        <v>0.0</v>
      </c>
      <c r="I102" s="301">
        <v>0.0</v>
      </c>
      <c r="J102" s="301">
        <v>0.0</v>
      </c>
      <c r="K102" s="301">
        <v>0.0</v>
      </c>
      <c r="L102" s="301">
        <v>0.0</v>
      </c>
      <c r="M102" s="301">
        <v>0.0</v>
      </c>
      <c r="N102" s="301">
        <v>0.0</v>
      </c>
      <c r="O102" s="301">
        <v>0.0</v>
      </c>
      <c r="P102" s="301">
        <v>0.0</v>
      </c>
      <c r="Q102" s="301">
        <v>0.0</v>
      </c>
      <c r="R102" s="301">
        <v>0.0</v>
      </c>
      <c r="S102" s="301">
        <v>0.0</v>
      </c>
      <c r="T102" s="301">
        <v>0.0</v>
      </c>
      <c r="U102" s="301">
        <v>0.0</v>
      </c>
      <c r="V102" s="301">
        <v>0.0</v>
      </c>
      <c r="W102" s="301">
        <v>0.0</v>
      </c>
      <c r="X102" s="301">
        <v>0.0</v>
      </c>
      <c r="Y102" s="301">
        <v>0.0</v>
      </c>
      <c r="Z102" s="301">
        <v>0.0</v>
      </c>
      <c r="AA102" s="301">
        <v>0.0</v>
      </c>
      <c r="AB102" s="301">
        <v>0.0</v>
      </c>
      <c r="AC102" s="301">
        <v>0.0</v>
      </c>
      <c r="AD102" s="301">
        <v>0.0</v>
      </c>
      <c r="AE102" s="301">
        <v>0.0</v>
      </c>
      <c r="AF102" s="301">
        <v>0.0</v>
      </c>
      <c r="AG102" s="277">
        <f t="shared" si="40"/>
        <v>0</v>
      </c>
    </row>
    <row r="103">
      <c r="A103" s="292" t="s">
        <v>285</v>
      </c>
      <c r="B103" s="301">
        <v>0.0</v>
      </c>
      <c r="C103" s="301">
        <v>0.0</v>
      </c>
      <c r="D103" s="301">
        <v>0.0</v>
      </c>
      <c r="E103" s="301">
        <v>0.0</v>
      </c>
      <c r="F103" s="301">
        <v>0.0</v>
      </c>
      <c r="G103" s="301">
        <v>0.0</v>
      </c>
      <c r="H103" s="301">
        <v>0.0</v>
      </c>
      <c r="I103" s="301">
        <v>0.0</v>
      </c>
      <c r="J103" s="301">
        <v>0.0</v>
      </c>
      <c r="K103" s="301">
        <v>0.0</v>
      </c>
      <c r="L103" s="301">
        <v>0.0</v>
      </c>
      <c r="M103" s="301">
        <v>0.0</v>
      </c>
      <c r="N103" s="301">
        <v>0.0</v>
      </c>
      <c r="O103" s="301">
        <v>0.0</v>
      </c>
      <c r="P103" s="301">
        <v>0.0</v>
      </c>
      <c r="Q103" s="301">
        <v>0.0</v>
      </c>
      <c r="R103" s="301">
        <v>0.0</v>
      </c>
      <c r="S103" s="302">
        <v>0.0</v>
      </c>
      <c r="T103" s="302">
        <v>0.0</v>
      </c>
      <c r="U103" s="301">
        <v>0.0</v>
      </c>
      <c r="V103" s="301">
        <v>0.0</v>
      </c>
      <c r="W103" s="301">
        <v>0.0</v>
      </c>
      <c r="X103" s="301">
        <v>0.0</v>
      </c>
      <c r="Y103" s="301">
        <v>0.0</v>
      </c>
      <c r="Z103" s="301">
        <v>0.0</v>
      </c>
      <c r="AA103" s="301">
        <v>0.0</v>
      </c>
      <c r="AB103" s="301">
        <v>0.0</v>
      </c>
      <c r="AC103" s="301">
        <v>0.0</v>
      </c>
      <c r="AD103" s="301">
        <v>0.0</v>
      </c>
      <c r="AE103" s="301">
        <v>0.0</v>
      </c>
      <c r="AF103" s="301">
        <v>0.0</v>
      </c>
      <c r="AG103" s="277">
        <f t="shared" si="40"/>
        <v>0</v>
      </c>
    </row>
    <row r="104">
      <c r="A104" s="296" t="s">
        <v>261</v>
      </c>
      <c r="B104" s="297">
        <f t="shared" ref="B104:AF104" si="41">SUM(B96:B103)</f>
        <v>0</v>
      </c>
      <c r="C104" s="297">
        <f t="shared" si="41"/>
        <v>1</v>
      </c>
      <c r="D104" s="297">
        <f t="shared" si="41"/>
        <v>1</v>
      </c>
      <c r="E104" s="297">
        <f t="shared" si="41"/>
        <v>4</v>
      </c>
      <c r="F104" s="297">
        <f t="shared" si="41"/>
        <v>3</v>
      </c>
      <c r="G104" s="297">
        <f t="shared" si="41"/>
        <v>2</v>
      </c>
      <c r="H104" s="297">
        <f t="shared" si="41"/>
        <v>0</v>
      </c>
      <c r="I104" s="297">
        <f t="shared" si="41"/>
        <v>2</v>
      </c>
      <c r="J104" s="297">
        <f t="shared" si="41"/>
        <v>0</v>
      </c>
      <c r="K104" s="297">
        <f t="shared" si="41"/>
        <v>0</v>
      </c>
      <c r="L104" s="297">
        <f t="shared" si="41"/>
        <v>1</v>
      </c>
      <c r="M104" s="297">
        <f t="shared" si="41"/>
        <v>1</v>
      </c>
      <c r="N104" s="297">
        <f t="shared" si="41"/>
        <v>5</v>
      </c>
      <c r="O104" s="297">
        <f t="shared" si="41"/>
        <v>0</v>
      </c>
      <c r="P104" s="297">
        <f t="shared" si="41"/>
        <v>6</v>
      </c>
      <c r="Q104" s="297">
        <f t="shared" si="41"/>
        <v>11</v>
      </c>
      <c r="R104" s="297">
        <f t="shared" si="41"/>
        <v>4</v>
      </c>
      <c r="S104" s="297">
        <f t="shared" si="41"/>
        <v>5</v>
      </c>
      <c r="T104" s="297">
        <f t="shared" si="41"/>
        <v>13</v>
      </c>
      <c r="U104" s="297">
        <f t="shared" si="41"/>
        <v>0</v>
      </c>
      <c r="V104" s="297">
        <f t="shared" si="41"/>
        <v>4</v>
      </c>
      <c r="W104" s="297">
        <f t="shared" si="41"/>
        <v>3</v>
      </c>
      <c r="X104" s="297">
        <f t="shared" si="41"/>
        <v>6</v>
      </c>
      <c r="Y104" s="297">
        <f t="shared" si="41"/>
        <v>13</v>
      </c>
      <c r="Z104" s="297">
        <f t="shared" si="41"/>
        <v>1</v>
      </c>
      <c r="AA104" s="297">
        <f t="shared" si="41"/>
        <v>2</v>
      </c>
      <c r="AB104" s="297">
        <f t="shared" si="41"/>
        <v>3</v>
      </c>
      <c r="AC104" s="297">
        <f t="shared" si="41"/>
        <v>1</v>
      </c>
      <c r="AD104" s="297">
        <f t="shared" si="41"/>
        <v>1</v>
      </c>
      <c r="AE104" s="297">
        <f t="shared" si="41"/>
        <v>5</v>
      </c>
      <c r="AF104" s="297">
        <f t="shared" si="41"/>
        <v>4</v>
      </c>
      <c r="AG104" s="277">
        <f t="shared" si="40"/>
        <v>102</v>
      </c>
    </row>
    <row r="105">
      <c r="A105" s="35"/>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91"/>
    </row>
    <row r="106">
      <c r="A106" s="274" t="s">
        <v>286</v>
      </c>
      <c r="B106" s="290"/>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91"/>
    </row>
    <row r="107">
      <c r="A107" s="292" t="s">
        <v>287</v>
      </c>
      <c r="B107" s="300">
        <f t="shared" ref="B107:AF107" si="42">B53-(B200+B205+B246+B296+B305)</f>
        <v>16</v>
      </c>
      <c r="C107" s="300">
        <f t="shared" si="42"/>
        <v>29</v>
      </c>
      <c r="D107" s="300">
        <f t="shared" si="42"/>
        <v>12</v>
      </c>
      <c r="E107" s="300">
        <f t="shared" si="42"/>
        <v>9</v>
      </c>
      <c r="F107" s="300">
        <f t="shared" si="42"/>
        <v>12</v>
      </c>
      <c r="G107" s="300">
        <f t="shared" si="42"/>
        <v>24</v>
      </c>
      <c r="H107" s="300">
        <f t="shared" si="42"/>
        <v>15</v>
      </c>
      <c r="I107" s="300">
        <f t="shared" si="42"/>
        <v>21</v>
      </c>
      <c r="J107" s="300">
        <f t="shared" si="42"/>
        <v>13</v>
      </c>
      <c r="K107" s="300">
        <f t="shared" si="42"/>
        <v>23</v>
      </c>
      <c r="L107" s="300">
        <f t="shared" si="42"/>
        <v>37</v>
      </c>
      <c r="M107" s="300">
        <f t="shared" si="42"/>
        <v>49</v>
      </c>
      <c r="N107" s="300">
        <f t="shared" si="42"/>
        <v>48</v>
      </c>
      <c r="O107" s="303">
        <f t="shared" si="42"/>
        <v>57</v>
      </c>
      <c r="P107" s="300">
        <f t="shared" si="42"/>
        <v>50</v>
      </c>
      <c r="Q107" s="300">
        <f t="shared" si="42"/>
        <v>65</v>
      </c>
      <c r="R107" s="300">
        <f t="shared" si="42"/>
        <v>18</v>
      </c>
      <c r="S107" s="300">
        <f t="shared" si="42"/>
        <v>42</v>
      </c>
      <c r="T107" s="300">
        <f t="shared" si="42"/>
        <v>27</v>
      </c>
      <c r="U107" s="300">
        <f t="shared" si="42"/>
        <v>35</v>
      </c>
      <c r="V107" s="300">
        <f t="shared" si="42"/>
        <v>23</v>
      </c>
      <c r="W107" s="300">
        <f t="shared" si="42"/>
        <v>0</v>
      </c>
      <c r="X107" s="300">
        <f t="shared" si="42"/>
        <v>0</v>
      </c>
      <c r="Y107" s="300">
        <f t="shared" si="42"/>
        <v>-4</v>
      </c>
      <c r="Z107" s="303">
        <f t="shared" si="42"/>
        <v>-40</v>
      </c>
      <c r="AA107" s="300">
        <f t="shared" si="42"/>
        <v>-17</v>
      </c>
      <c r="AB107" s="300">
        <f t="shared" si="42"/>
        <v>-6</v>
      </c>
      <c r="AC107" s="303">
        <f t="shared" si="42"/>
        <v>-8</v>
      </c>
      <c r="AD107" s="303">
        <f t="shared" si="42"/>
        <v>-7</v>
      </c>
      <c r="AE107" s="303">
        <f t="shared" si="42"/>
        <v>8</v>
      </c>
      <c r="AF107" s="303">
        <f t="shared" si="42"/>
        <v>-1</v>
      </c>
      <c r="AG107" s="277">
        <f t="shared" ref="AG107:AG111" si="44">sum(B107:AF107)</f>
        <v>550</v>
      </c>
    </row>
    <row r="108">
      <c r="A108" s="292" t="s">
        <v>288</v>
      </c>
      <c r="B108" s="300">
        <f t="shared" ref="B108:AF108" si="43">B54-(B201+B206+B247+B297+B306)</f>
        <v>30</v>
      </c>
      <c r="C108" s="300">
        <f t="shared" si="43"/>
        <v>28</v>
      </c>
      <c r="D108" s="300">
        <f t="shared" si="43"/>
        <v>32</v>
      </c>
      <c r="E108" s="300">
        <f t="shared" si="43"/>
        <v>30</v>
      </c>
      <c r="F108" s="300">
        <f t="shared" si="43"/>
        <v>36</v>
      </c>
      <c r="G108" s="300">
        <f t="shared" si="43"/>
        <v>24</v>
      </c>
      <c r="H108" s="300">
        <f t="shared" si="43"/>
        <v>48</v>
      </c>
      <c r="I108" s="300">
        <f t="shared" si="43"/>
        <v>34</v>
      </c>
      <c r="J108" s="300">
        <f t="shared" si="43"/>
        <v>39</v>
      </c>
      <c r="K108" s="300">
        <f t="shared" si="43"/>
        <v>39</v>
      </c>
      <c r="L108" s="300">
        <f t="shared" si="43"/>
        <v>16</v>
      </c>
      <c r="M108" s="300">
        <f t="shared" si="43"/>
        <v>9</v>
      </c>
      <c r="N108" s="300">
        <f t="shared" si="43"/>
        <v>13</v>
      </c>
      <c r="O108" s="303">
        <f t="shared" si="43"/>
        <v>12</v>
      </c>
      <c r="P108" s="300">
        <f t="shared" si="43"/>
        <v>14</v>
      </c>
      <c r="Q108" s="300">
        <f t="shared" si="43"/>
        <v>7</v>
      </c>
      <c r="R108" s="300">
        <f t="shared" si="43"/>
        <v>11</v>
      </c>
      <c r="S108" s="300">
        <f t="shared" si="43"/>
        <v>15</v>
      </c>
      <c r="T108" s="300">
        <f t="shared" si="43"/>
        <v>11</v>
      </c>
      <c r="U108" s="300">
        <f t="shared" si="43"/>
        <v>9</v>
      </c>
      <c r="V108" s="300">
        <f t="shared" si="43"/>
        <v>23</v>
      </c>
      <c r="W108" s="300">
        <f t="shared" si="43"/>
        <v>30</v>
      </c>
      <c r="X108" s="300">
        <f t="shared" si="43"/>
        <v>29</v>
      </c>
      <c r="Y108" s="300">
        <f t="shared" si="43"/>
        <v>19</v>
      </c>
      <c r="Z108" s="303">
        <f t="shared" si="43"/>
        <v>7</v>
      </c>
      <c r="AA108" s="300">
        <f t="shared" si="43"/>
        <v>20</v>
      </c>
      <c r="AB108" s="300">
        <f t="shared" si="43"/>
        <v>33</v>
      </c>
      <c r="AC108" s="303">
        <f t="shared" si="43"/>
        <v>17</v>
      </c>
      <c r="AD108" s="303">
        <f t="shared" si="43"/>
        <v>12</v>
      </c>
      <c r="AE108" s="303">
        <f t="shared" si="43"/>
        <v>10</v>
      </c>
      <c r="AF108" s="303">
        <f t="shared" si="43"/>
        <v>18</v>
      </c>
      <c r="AG108" s="277">
        <f t="shared" si="44"/>
        <v>675</v>
      </c>
    </row>
    <row r="109">
      <c r="A109" s="292" t="s">
        <v>289</v>
      </c>
      <c r="B109" s="300">
        <f t="shared" ref="B109:AF109" si="45">B55-(B202+B207+B248+B298+B307)</f>
        <v>57</v>
      </c>
      <c r="C109" s="300">
        <f t="shared" si="45"/>
        <v>51</v>
      </c>
      <c r="D109" s="300">
        <f t="shared" si="45"/>
        <v>44</v>
      </c>
      <c r="E109" s="300">
        <f t="shared" si="45"/>
        <v>46</v>
      </c>
      <c r="F109" s="300">
        <f t="shared" si="45"/>
        <v>38</v>
      </c>
      <c r="G109" s="300">
        <f t="shared" si="45"/>
        <v>40</v>
      </c>
      <c r="H109" s="300">
        <f t="shared" si="45"/>
        <v>50</v>
      </c>
      <c r="I109" s="300">
        <f t="shared" si="45"/>
        <v>58</v>
      </c>
      <c r="J109" s="300">
        <f t="shared" si="45"/>
        <v>54</v>
      </c>
      <c r="K109" s="300">
        <f t="shared" si="45"/>
        <v>69</v>
      </c>
      <c r="L109" s="300">
        <f t="shared" si="45"/>
        <v>104</v>
      </c>
      <c r="M109" s="300">
        <f t="shared" si="45"/>
        <v>96</v>
      </c>
      <c r="N109" s="300">
        <f t="shared" si="45"/>
        <v>173</v>
      </c>
      <c r="O109" s="303">
        <f t="shared" si="45"/>
        <v>133</v>
      </c>
      <c r="P109" s="300">
        <f t="shared" si="45"/>
        <v>120</v>
      </c>
      <c r="Q109" s="300">
        <f t="shared" si="45"/>
        <v>125</v>
      </c>
      <c r="R109" s="300">
        <f t="shared" si="45"/>
        <v>64</v>
      </c>
      <c r="S109" s="300">
        <f t="shared" si="45"/>
        <v>116</v>
      </c>
      <c r="T109" s="300">
        <f t="shared" si="45"/>
        <v>88</v>
      </c>
      <c r="U109" s="300">
        <f t="shared" si="45"/>
        <v>93</v>
      </c>
      <c r="V109" s="300">
        <f t="shared" si="45"/>
        <v>84</v>
      </c>
      <c r="W109" s="300">
        <f t="shared" si="45"/>
        <v>92</v>
      </c>
      <c r="X109" s="300">
        <f t="shared" si="45"/>
        <v>75</v>
      </c>
      <c r="Y109" s="300">
        <f t="shared" si="45"/>
        <v>59</v>
      </c>
      <c r="Z109" s="300">
        <f t="shared" si="45"/>
        <v>48</v>
      </c>
      <c r="AA109" s="300">
        <f t="shared" si="45"/>
        <v>44</v>
      </c>
      <c r="AB109" s="300">
        <f t="shared" si="45"/>
        <v>61</v>
      </c>
      <c r="AC109" s="300">
        <f t="shared" si="45"/>
        <v>34</v>
      </c>
      <c r="AD109" s="300">
        <f t="shared" si="45"/>
        <v>56</v>
      </c>
      <c r="AE109" s="300">
        <f t="shared" si="45"/>
        <v>44</v>
      </c>
      <c r="AF109" s="300">
        <f t="shared" si="45"/>
        <v>64</v>
      </c>
      <c r="AG109" s="277">
        <f t="shared" si="44"/>
        <v>2280</v>
      </c>
    </row>
    <row r="110">
      <c r="A110" s="292" t="s">
        <v>290</v>
      </c>
      <c r="B110" s="300">
        <f t="shared" ref="B110:AF110" si="46">B56-(B203+B208+B249+B299+B308)</f>
        <v>48</v>
      </c>
      <c r="C110" s="300">
        <f t="shared" si="46"/>
        <v>41</v>
      </c>
      <c r="D110" s="300">
        <f t="shared" si="46"/>
        <v>45</v>
      </c>
      <c r="E110" s="300">
        <f t="shared" si="46"/>
        <v>60</v>
      </c>
      <c r="F110" s="300">
        <f t="shared" si="46"/>
        <v>55</v>
      </c>
      <c r="G110" s="300">
        <f t="shared" si="46"/>
        <v>64</v>
      </c>
      <c r="H110" s="300">
        <f t="shared" si="46"/>
        <v>56</v>
      </c>
      <c r="I110" s="300">
        <f t="shared" si="46"/>
        <v>76</v>
      </c>
      <c r="J110" s="300">
        <f t="shared" si="46"/>
        <v>72</v>
      </c>
      <c r="K110" s="300">
        <f t="shared" si="46"/>
        <v>40</v>
      </c>
      <c r="L110" s="300">
        <f t="shared" si="46"/>
        <v>21</v>
      </c>
      <c r="M110" s="303">
        <f t="shared" si="46"/>
        <v>28</v>
      </c>
      <c r="N110" s="300">
        <f t="shared" si="46"/>
        <v>52</v>
      </c>
      <c r="O110" s="303">
        <f t="shared" si="46"/>
        <v>55</v>
      </c>
      <c r="P110" s="300">
        <f t="shared" si="46"/>
        <v>33</v>
      </c>
      <c r="Q110" s="300">
        <f t="shared" si="46"/>
        <v>24</v>
      </c>
      <c r="R110" s="300">
        <f t="shared" si="46"/>
        <v>26</v>
      </c>
      <c r="S110" s="300">
        <f t="shared" si="46"/>
        <v>38</v>
      </c>
      <c r="T110" s="300">
        <f t="shared" si="46"/>
        <v>21</v>
      </c>
      <c r="U110" s="300">
        <f t="shared" si="46"/>
        <v>30</v>
      </c>
      <c r="V110" s="300">
        <f t="shared" si="46"/>
        <v>22</v>
      </c>
      <c r="W110" s="300">
        <f t="shared" si="46"/>
        <v>24</v>
      </c>
      <c r="X110" s="300">
        <f t="shared" si="46"/>
        <v>20</v>
      </c>
      <c r="Y110" s="300">
        <f t="shared" si="46"/>
        <v>18</v>
      </c>
      <c r="Z110" s="300">
        <f t="shared" si="46"/>
        <v>17</v>
      </c>
      <c r="AA110" s="300">
        <f t="shared" si="46"/>
        <v>13</v>
      </c>
      <c r="AB110" s="300">
        <f t="shared" si="46"/>
        <v>14</v>
      </c>
      <c r="AC110" s="300">
        <f t="shared" si="46"/>
        <v>1</v>
      </c>
      <c r="AD110" s="300">
        <f t="shared" si="46"/>
        <v>16</v>
      </c>
      <c r="AE110" s="300">
        <f t="shared" si="46"/>
        <v>13</v>
      </c>
      <c r="AF110" s="300">
        <f t="shared" si="46"/>
        <v>22</v>
      </c>
      <c r="AG110" s="277">
        <f t="shared" si="44"/>
        <v>1065</v>
      </c>
    </row>
    <row r="111">
      <c r="A111" s="296" t="s">
        <v>254</v>
      </c>
      <c r="B111" s="297">
        <f t="shared" ref="B111:AF111" si="47">SUM(B107:B110)</f>
        <v>151</v>
      </c>
      <c r="C111" s="297">
        <f t="shared" si="47"/>
        <v>149</v>
      </c>
      <c r="D111" s="297">
        <f t="shared" si="47"/>
        <v>133</v>
      </c>
      <c r="E111" s="297">
        <f t="shared" si="47"/>
        <v>145</v>
      </c>
      <c r="F111" s="297">
        <f t="shared" si="47"/>
        <v>141</v>
      </c>
      <c r="G111" s="297">
        <f t="shared" si="47"/>
        <v>152</v>
      </c>
      <c r="H111" s="297">
        <f t="shared" si="47"/>
        <v>169</v>
      </c>
      <c r="I111" s="297">
        <f t="shared" si="47"/>
        <v>189</v>
      </c>
      <c r="J111" s="297">
        <f t="shared" si="47"/>
        <v>178</v>
      </c>
      <c r="K111" s="297">
        <f t="shared" si="47"/>
        <v>171</v>
      </c>
      <c r="L111" s="297">
        <f t="shared" si="47"/>
        <v>178</v>
      </c>
      <c r="M111" s="297">
        <f t="shared" si="47"/>
        <v>182</v>
      </c>
      <c r="N111" s="297">
        <f t="shared" si="47"/>
        <v>286</v>
      </c>
      <c r="O111" s="297">
        <f t="shared" si="47"/>
        <v>257</v>
      </c>
      <c r="P111" s="297">
        <f t="shared" si="47"/>
        <v>217</v>
      </c>
      <c r="Q111" s="297">
        <f t="shared" si="47"/>
        <v>221</v>
      </c>
      <c r="R111" s="297">
        <f t="shared" si="47"/>
        <v>119</v>
      </c>
      <c r="S111" s="297">
        <f t="shared" si="47"/>
        <v>211</v>
      </c>
      <c r="T111" s="297">
        <f t="shared" si="47"/>
        <v>147</v>
      </c>
      <c r="U111" s="297">
        <f t="shared" si="47"/>
        <v>167</v>
      </c>
      <c r="V111" s="297">
        <f t="shared" si="47"/>
        <v>152</v>
      </c>
      <c r="W111" s="297">
        <f t="shared" si="47"/>
        <v>146</v>
      </c>
      <c r="X111" s="297">
        <f t="shared" si="47"/>
        <v>124</v>
      </c>
      <c r="Y111" s="297">
        <f t="shared" si="47"/>
        <v>92</v>
      </c>
      <c r="Z111" s="297">
        <f t="shared" si="47"/>
        <v>32</v>
      </c>
      <c r="AA111" s="297">
        <f t="shared" si="47"/>
        <v>60</v>
      </c>
      <c r="AB111" s="297">
        <f t="shared" si="47"/>
        <v>102</v>
      </c>
      <c r="AC111" s="297">
        <f t="shared" si="47"/>
        <v>44</v>
      </c>
      <c r="AD111" s="297">
        <f t="shared" si="47"/>
        <v>77</v>
      </c>
      <c r="AE111" s="297">
        <f t="shared" si="47"/>
        <v>75</v>
      </c>
      <c r="AF111" s="297">
        <f t="shared" si="47"/>
        <v>103</v>
      </c>
      <c r="AG111" s="277">
        <f t="shared" si="44"/>
        <v>4570</v>
      </c>
    </row>
    <row r="112">
      <c r="A112" s="35"/>
      <c r="B112" s="290"/>
      <c r="C112" s="290"/>
      <c r="D112" s="290"/>
      <c r="E112" s="290"/>
      <c r="F112" s="290"/>
      <c r="G112" s="290"/>
      <c r="H112" s="290"/>
      <c r="I112" s="290"/>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91"/>
    </row>
    <row r="113">
      <c r="A113" s="292" t="s">
        <v>121</v>
      </c>
      <c r="B113" s="300">
        <f t="shared" ref="B113:AF113" si="48">B59-(B213+B224+B259+B317+B328)</f>
        <v>53</v>
      </c>
      <c r="C113" s="300">
        <f t="shared" si="48"/>
        <v>52</v>
      </c>
      <c r="D113" s="300">
        <f t="shared" si="48"/>
        <v>32</v>
      </c>
      <c r="E113" s="300">
        <f t="shared" si="48"/>
        <v>37</v>
      </c>
      <c r="F113" s="300">
        <f t="shared" si="48"/>
        <v>41</v>
      </c>
      <c r="G113" s="300">
        <f t="shared" si="48"/>
        <v>42</v>
      </c>
      <c r="H113" s="300">
        <f t="shared" si="48"/>
        <v>48</v>
      </c>
      <c r="I113" s="300">
        <f t="shared" si="48"/>
        <v>71</v>
      </c>
      <c r="J113" s="300">
        <f t="shared" si="48"/>
        <v>72</v>
      </c>
      <c r="K113" s="300">
        <f t="shared" si="48"/>
        <v>62</v>
      </c>
      <c r="L113" s="300">
        <f t="shared" si="48"/>
        <v>56</v>
      </c>
      <c r="M113" s="300">
        <f t="shared" si="48"/>
        <v>46</v>
      </c>
      <c r="N113" s="300">
        <f t="shared" si="48"/>
        <v>84</v>
      </c>
      <c r="O113" s="300">
        <f t="shared" si="48"/>
        <v>66</v>
      </c>
      <c r="P113" s="300">
        <f t="shared" si="48"/>
        <v>86</v>
      </c>
      <c r="Q113" s="300">
        <f t="shared" si="48"/>
        <v>82</v>
      </c>
      <c r="R113" s="300">
        <f t="shared" si="48"/>
        <v>33</v>
      </c>
      <c r="S113" s="300">
        <f t="shared" si="48"/>
        <v>76</v>
      </c>
      <c r="T113" s="300">
        <f t="shared" si="48"/>
        <v>45</v>
      </c>
      <c r="U113" s="300">
        <f t="shared" si="48"/>
        <v>58</v>
      </c>
      <c r="V113" s="300">
        <f t="shared" si="48"/>
        <v>49</v>
      </c>
      <c r="W113" s="300">
        <f t="shared" si="48"/>
        <v>62</v>
      </c>
      <c r="X113" s="300">
        <f t="shared" si="48"/>
        <v>56</v>
      </c>
      <c r="Y113" s="300">
        <f t="shared" si="48"/>
        <v>30</v>
      </c>
      <c r="Z113" s="300">
        <f t="shared" si="48"/>
        <v>23</v>
      </c>
      <c r="AA113" s="300">
        <f t="shared" si="48"/>
        <v>6</v>
      </c>
      <c r="AB113" s="300">
        <f t="shared" si="48"/>
        <v>33</v>
      </c>
      <c r="AC113" s="300">
        <f t="shared" si="48"/>
        <v>-1</v>
      </c>
      <c r="AD113" s="300">
        <f t="shared" si="48"/>
        <v>27</v>
      </c>
      <c r="AE113" s="300">
        <f t="shared" si="48"/>
        <v>20</v>
      </c>
      <c r="AF113" s="300">
        <f t="shared" si="48"/>
        <v>31</v>
      </c>
      <c r="AG113" s="277">
        <f t="shared" ref="AG113:AG121" si="50">sum(B113:AF113)</f>
        <v>1478</v>
      </c>
    </row>
    <row r="114">
      <c r="A114" s="292" t="s">
        <v>137</v>
      </c>
      <c r="B114" s="300">
        <f t="shared" ref="B114:AF114" si="49">B60-(B214+B225+B260+B318+B329)</f>
        <v>26</v>
      </c>
      <c r="C114" s="300">
        <f t="shared" si="49"/>
        <v>37</v>
      </c>
      <c r="D114" s="300">
        <f t="shared" si="49"/>
        <v>22</v>
      </c>
      <c r="E114" s="300">
        <f t="shared" si="49"/>
        <v>28</v>
      </c>
      <c r="F114" s="300">
        <f t="shared" si="49"/>
        <v>23</v>
      </c>
      <c r="G114" s="300">
        <f t="shared" si="49"/>
        <v>19</v>
      </c>
      <c r="H114" s="300">
        <f t="shared" si="49"/>
        <v>16</v>
      </c>
      <c r="I114" s="300">
        <f t="shared" si="49"/>
        <v>33</v>
      </c>
      <c r="J114" s="300">
        <f t="shared" si="49"/>
        <v>25</v>
      </c>
      <c r="K114" s="300">
        <f t="shared" si="49"/>
        <v>28</v>
      </c>
      <c r="L114" s="300">
        <f t="shared" si="49"/>
        <v>23</v>
      </c>
      <c r="M114" s="300">
        <f t="shared" si="49"/>
        <v>26</v>
      </c>
      <c r="N114" s="300">
        <f t="shared" si="49"/>
        <v>47</v>
      </c>
      <c r="O114" s="300">
        <f t="shared" si="49"/>
        <v>40</v>
      </c>
      <c r="P114" s="300">
        <f t="shared" si="49"/>
        <v>40</v>
      </c>
      <c r="Q114" s="300">
        <f t="shared" si="49"/>
        <v>38</v>
      </c>
      <c r="R114" s="300">
        <f t="shared" si="49"/>
        <v>23</v>
      </c>
      <c r="S114" s="300">
        <f t="shared" si="49"/>
        <v>35</v>
      </c>
      <c r="T114" s="300">
        <f t="shared" si="49"/>
        <v>32</v>
      </c>
      <c r="U114" s="300">
        <f t="shared" si="49"/>
        <v>31</v>
      </c>
      <c r="V114" s="300">
        <f t="shared" si="49"/>
        <v>26</v>
      </c>
      <c r="W114" s="300">
        <f t="shared" si="49"/>
        <v>27</v>
      </c>
      <c r="X114" s="300">
        <f t="shared" si="49"/>
        <v>26</v>
      </c>
      <c r="Y114" s="300">
        <f t="shared" si="49"/>
        <v>20</v>
      </c>
      <c r="Z114" s="300">
        <f t="shared" si="49"/>
        <v>-17</v>
      </c>
      <c r="AA114" s="300">
        <f t="shared" si="49"/>
        <v>-2</v>
      </c>
      <c r="AB114" s="300">
        <f t="shared" si="49"/>
        <v>5</v>
      </c>
      <c r="AC114" s="300">
        <f t="shared" si="49"/>
        <v>-9</v>
      </c>
      <c r="AD114" s="300">
        <f t="shared" si="49"/>
        <v>9</v>
      </c>
      <c r="AE114" s="300">
        <f t="shared" si="49"/>
        <v>13</v>
      </c>
      <c r="AF114" s="300">
        <f t="shared" si="49"/>
        <v>14</v>
      </c>
      <c r="AG114" s="277">
        <f t="shared" si="50"/>
        <v>704</v>
      </c>
    </row>
    <row r="115">
      <c r="A115" s="292" t="s">
        <v>291</v>
      </c>
      <c r="B115" s="300">
        <f t="shared" ref="B115:AF115" si="51">B61-(B215+B226+B261+B319+B330)</f>
        <v>26</v>
      </c>
      <c r="C115" s="300">
        <f t="shared" si="51"/>
        <v>31</v>
      </c>
      <c r="D115" s="300">
        <f t="shared" si="51"/>
        <v>13</v>
      </c>
      <c r="E115" s="300">
        <f t="shared" si="51"/>
        <v>24</v>
      </c>
      <c r="F115" s="300">
        <f t="shared" si="51"/>
        <v>14</v>
      </c>
      <c r="G115" s="300">
        <f t="shared" si="51"/>
        <v>14</v>
      </c>
      <c r="H115" s="300">
        <f t="shared" si="51"/>
        <v>11</v>
      </c>
      <c r="I115" s="300">
        <f t="shared" si="51"/>
        <v>22</v>
      </c>
      <c r="J115" s="300">
        <f t="shared" si="51"/>
        <v>27</v>
      </c>
      <c r="K115" s="300">
        <f t="shared" si="51"/>
        <v>23</v>
      </c>
      <c r="L115" s="300">
        <f t="shared" si="51"/>
        <v>21</v>
      </c>
      <c r="M115" s="300">
        <f t="shared" si="51"/>
        <v>23</v>
      </c>
      <c r="N115" s="300">
        <f t="shared" si="51"/>
        <v>41</v>
      </c>
      <c r="O115" s="300">
        <f t="shared" si="51"/>
        <v>41</v>
      </c>
      <c r="P115" s="300">
        <f t="shared" si="51"/>
        <v>38</v>
      </c>
      <c r="Q115" s="300">
        <f t="shared" si="51"/>
        <v>30</v>
      </c>
      <c r="R115" s="300">
        <f t="shared" si="51"/>
        <v>13</v>
      </c>
      <c r="S115" s="300">
        <f t="shared" si="51"/>
        <v>27</v>
      </c>
      <c r="T115" s="300">
        <f t="shared" si="51"/>
        <v>23</v>
      </c>
      <c r="U115" s="300">
        <f t="shared" si="51"/>
        <v>23</v>
      </c>
      <c r="V115" s="300">
        <f t="shared" si="51"/>
        <v>29</v>
      </c>
      <c r="W115" s="300">
        <f t="shared" si="51"/>
        <v>16</v>
      </c>
      <c r="X115" s="300">
        <f t="shared" si="51"/>
        <v>28</v>
      </c>
      <c r="Y115" s="300">
        <f t="shared" si="51"/>
        <v>13</v>
      </c>
      <c r="Z115" s="300">
        <f t="shared" si="51"/>
        <v>11</v>
      </c>
      <c r="AA115" s="300">
        <f t="shared" si="51"/>
        <v>4</v>
      </c>
      <c r="AB115" s="300">
        <f t="shared" si="51"/>
        <v>6</v>
      </c>
      <c r="AC115" s="300">
        <f t="shared" si="51"/>
        <v>2</v>
      </c>
      <c r="AD115" s="300">
        <f t="shared" si="51"/>
        <v>4</v>
      </c>
      <c r="AE115" s="300">
        <f t="shared" si="51"/>
        <v>9</v>
      </c>
      <c r="AF115" s="300">
        <f t="shared" si="51"/>
        <v>8</v>
      </c>
      <c r="AG115" s="277">
        <f t="shared" si="50"/>
        <v>615</v>
      </c>
    </row>
    <row r="116">
      <c r="A116" s="292" t="s">
        <v>292</v>
      </c>
      <c r="B116" s="300">
        <f t="shared" ref="B116:AF116" si="52">B62-(B216+B227+B262+B320+B331)</f>
        <v>10</v>
      </c>
      <c r="C116" s="300">
        <f t="shared" si="52"/>
        <v>12</v>
      </c>
      <c r="D116" s="300">
        <f t="shared" si="52"/>
        <v>9</v>
      </c>
      <c r="E116" s="300">
        <f t="shared" si="52"/>
        <v>10</v>
      </c>
      <c r="F116" s="300">
        <f t="shared" si="52"/>
        <v>8</v>
      </c>
      <c r="G116" s="300">
        <f t="shared" si="52"/>
        <v>14</v>
      </c>
      <c r="H116" s="300">
        <f t="shared" si="52"/>
        <v>8</v>
      </c>
      <c r="I116" s="300">
        <f t="shared" si="52"/>
        <v>17</v>
      </c>
      <c r="J116" s="300">
        <f t="shared" si="52"/>
        <v>11</v>
      </c>
      <c r="K116" s="300">
        <f t="shared" si="52"/>
        <v>13</v>
      </c>
      <c r="L116" s="300">
        <f t="shared" si="52"/>
        <v>5</v>
      </c>
      <c r="M116" s="300">
        <f t="shared" si="52"/>
        <v>5</v>
      </c>
      <c r="N116" s="300">
        <f t="shared" si="52"/>
        <v>14</v>
      </c>
      <c r="O116" s="300">
        <f t="shared" si="52"/>
        <v>8</v>
      </c>
      <c r="P116" s="300">
        <f t="shared" si="52"/>
        <v>11</v>
      </c>
      <c r="Q116" s="300">
        <f t="shared" si="52"/>
        <v>8</v>
      </c>
      <c r="R116" s="300">
        <f t="shared" si="52"/>
        <v>5</v>
      </c>
      <c r="S116" s="300">
        <f t="shared" si="52"/>
        <v>7</v>
      </c>
      <c r="T116" s="300">
        <f t="shared" si="52"/>
        <v>7</v>
      </c>
      <c r="U116" s="300">
        <f t="shared" si="52"/>
        <v>10</v>
      </c>
      <c r="V116" s="300">
        <f t="shared" si="52"/>
        <v>9</v>
      </c>
      <c r="W116" s="300">
        <f t="shared" si="52"/>
        <v>12</v>
      </c>
      <c r="X116" s="300">
        <f t="shared" si="52"/>
        <v>8</v>
      </c>
      <c r="Y116" s="300">
        <f t="shared" si="52"/>
        <v>7</v>
      </c>
      <c r="Z116" s="300">
        <f t="shared" si="52"/>
        <v>2</v>
      </c>
      <c r="AA116" s="300">
        <f t="shared" si="52"/>
        <v>9</v>
      </c>
      <c r="AB116" s="300">
        <f t="shared" si="52"/>
        <v>4</v>
      </c>
      <c r="AC116" s="300">
        <f t="shared" si="52"/>
        <v>4</v>
      </c>
      <c r="AD116" s="300">
        <f t="shared" si="52"/>
        <v>3</v>
      </c>
      <c r="AE116" s="300">
        <f t="shared" si="52"/>
        <v>4</v>
      </c>
      <c r="AF116" s="300">
        <f t="shared" si="52"/>
        <v>7</v>
      </c>
      <c r="AG116" s="277">
        <f t="shared" si="50"/>
        <v>261</v>
      </c>
    </row>
    <row r="117">
      <c r="A117" s="292" t="s">
        <v>293</v>
      </c>
      <c r="B117" s="300">
        <f t="shared" ref="B117:AF117" si="53">B63-(B217+B228+B263+B321+B332)</f>
        <v>12</v>
      </c>
      <c r="C117" s="300">
        <f t="shared" si="53"/>
        <v>12</v>
      </c>
      <c r="D117" s="300">
        <f t="shared" si="53"/>
        <v>14</v>
      </c>
      <c r="E117" s="300">
        <f t="shared" si="53"/>
        <v>19</v>
      </c>
      <c r="F117" s="300">
        <f t="shared" si="53"/>
        <v>7</v>
      </c>
      <c r="G117" s="300">
        <f t="shared" si="53"/>
        <v>16</v>
      </c>
      <c r="H117" s="300">
        <f t="shared" si="53"/>
        <v>12</v>
      </c>
      <c r="I117" s="300">
        <f t="shared" si="53"/>
        <v>16</v>
      </c>
      <c r="J117" s="300">
        <f t="shared" si="53"/>
        <v>21</v>
      </c>
      <c r="K117" s="300">
        <f t="shared" si="53"/>
        <v>21</v>
      </c>
      <c r="L117" s="300">
        <f t="shared" si="53"/>
        <v>8</v>
      </c>
      <c r="M117" s="300">
        <f t="shared" si="53"/>
        <v>9</v>
      </c>
      <c r="N117" s="300">
        <f t="shared" si="53"/>
        <v>32</v>
      </c>
      <c r="O117" s="300">
        <f t="shared" si="53"/>
        <v>20</v>
      </c>
      <c r="P117" s="300">
        <f t="shared" si="53"/>
        <v>14</v>
      </c>
      <c r="Q117" s="300">
        <f t="shared" si="53"/>
        <v>11</v>
      </c>
      <c r="R117" s="300">
        <f t="shared" si="53"/>
        <v>13</v>
      </c>
      <c r="S117" s="300">
        <f t="shared" si="53"/>
        <v>15</v>
      </c>
      <c r="T117" s="300">
        <f t="shared" si="53"/>
        <v>8</v>
      </c>
      <c r="U117" s="300">
        <f t="shared" si="53"/>
        <v>15</v>
      </c>
      <c r="V117" s="300">
        <f t="shared" si="53"/>
        <v>11</v>
      </c>
      <c r="W117" s="300">
        <f t="shared" si="53"/>
        <v>13</v>
      </c>
      <c r="X117" s="300">
        <f t="shared" si="53"/>
        <v>15</v>
      </c>
      <c r="Y117" s="300">
        <f t="shared" si="53"/>
        <v>5</v>
      </c>
      <c r="Z117" s="300">
        <f t="shared" si="53"/>
        <v>0</v>
      </c>
      <c r="AA117" s="300">
        <f t="shared" si="53"/>
        <v>4</v>
      </c>
      <c r="AB117" s="300">
        <f t="shared" si="53"/>
        <v>8</v>
      </c>
      <c r="AC117" s="300">
        <f t="shared" si="53"/>
        <v>-5</v>
      </c>
      <c r="AD117" s="300">
        <f t="shared" si="53"/>
        <v>14</v>
      </c>
      <c r="AE117" s="300">
        <f t="shared" si="53"/>
        <v>4</v>
      </c>
      <c r="AF117" s="300">
        <f t="shared" si="53"/>
        <v>5</v>
      </c>
      <c r="AG117" s="277">
        <f t="shared" si="50"/>
        <v>369</v>
      </c>
    </row>
    <row r="118">
      <c r="A118" s="292" t="s">
        <v>294</v>
      </c>
      <c r="B118" s="300">
        <f t="shared" ref="B118:AF118" si="54">B64-(B218+B229+B264+B322+B333)</f>
        <v>7</v>
      </c>
      <c r="C118" s="300">
        <f t="shared" si="54"/>
        <v>6</v>
      </c>
      <c r="D118" s="300">
        <f t="shared" si="54"/>
        <v>4</v>
      </c>
      <c r="E118" s="300">
        <f t="shared" si="54"/>
        <v>4</v>
      </c>
      <c r="F118" s="300">
        <f t="shared" si="54"/>
        <v>4</v>
      </c>
      <c r="G118" s="300">
        <f t="shared" si="54"/>
        <v>2</v>
      </c>
      <c r="H118" s="300">
        <f t="shared" si="54"/>
        <v>6</v>
      </c>
      <c r="I118" s="300">
        <f t="shared" si="54"/>
        <v>8</v>
      </c>
      <c r="J118" s="300">
        <f t="shared" si="54"/>
        <v>4</v>
      </c>
      <c r="K118" s="300">
        <f t="shared" si="54"/>
        <v>6</v>
      </c>
      <c r="L118" s="300">
        <f t="shared" si="54"/>
        <v>4</v>
      </c>
      <c r="M118" s="300">
        <f t="shared" si="54"/>
        <v>5</v>
      </c>
      <c r="N118" s="300">
        <f t="shared" si="54"/>
        <v>3</v>
      </c>
      <c r="O118" s="300">
        <f t="shared" si="54"/>
        <v>5</v>
      </c>
      <c r="P118" s="300">
        <f t="shared" si="54"/>
        <v>8</v>
      </c>
      <c r="Q118" s="300">
        <f t="shared" si="54"/>
        <v>6</v>
      </c>
      <c r="R118" s="300">
        <f t="shared" si="54"/>
        <v>3</v>
      </c>
      <c r="S118" s="300">
        <f t="shared" si="54"/>
        <v>5</v>
      </c>
      <c r="T118" s="300">
        <f t="shared" si="54"/>
        <v>2</v>
      </c>
      <c r="U118" s="300">
        <f t="shared" si="54"/>
        <v>5</v>
      </c>
      <c r="V118" s="300">
        <f t="shared" si="54"/>
        <v>5</v>
      </c>
      <c r="W118" s="300">
        <f t="shared" si="54"/>
        <v>4</v>
      </c>
      <c r="X118" s="300">
        <f t="shared" si="54"/>
        <v>5</v>
      </c>
      <c r="Y118" s="300">
        <f t="shared" si="54"/>
        <v>3</v>
      </c>
      <c r="Z118" s="300">
        <f t="shared" si="54"/>
        <v>4</v>
      </c>
      <c r="AA118" s="300">
        <f t="shared" si="54"/>
        <v>3</v>
      </c>
      <c r="AB118" s="300">
        <f t="shared" si="54"/>
        <v>2</v>
      </c>
      <c r="AC118" s="300">
        <f t="shared" si="54"/>
        <v>3</v>
      </c>
      <c r="AD118" s="300">
        <f t="shared" si="54"/>
        <v>3</v>
      </c>
      <c r="AE118" s="300">
        <f t="shared" si="54"/>
        <v>5</v>
      </c>
      <c r="AF118" s="300">
        <f t="shared" si="54"/>
        <v>3</v>
      </c>
      <c r="AG118" s="277">
        <f t="shared" si="50"/>
        <v>137</v>
      </c>
    </row>
    <row r="119">
      <c r="A119" s="292" t="s">
        <v>295</v>
      </c>
      <c r="B119" s="300">
        <f t="shared" ref="B119:AF119" si="55">B65-(B219+B230+B265+B323+B334)</f>
        <v>0</v>
      </c>
      <c r="C119" s="300">
        <f t="shared" si="55"/>
        <v>0</v>
      </c>
      <c r="D119" s="300">
        <f t="shared" si="55"/>
        <v>0</v>
      </c>
      <c r="E119" s="300">
        <f t="shared" si="55"/>
        <v>0</v>
      </c>
      <c r="F119" s="300">
        <f t="shared" si="55"/>
        <v>0</v>
      </c>
      <c r="G119" s="300">
        <f t="shared" si="55"/>
        <v>0</v>
      </c>
      <c r="H119" s="300">
        <f t="shared" si="55"/>
        <v>0</v>
      </c>
      <c r="I119" s="300">
        <f t="shared" si="55"/>
        <v>0</v>
      </c>
      <c r="J119" s="300">
        <f t="shared" si="55"/>
        <v>0</v>
      </c>
      <c r="K119" s="300">
        <f t="shared" si="55"/>
        <v>0</v>
      </c>
      <c r="L119" s="300">
        <f t="shared" si="55"/>
        <v>0</v>
      </c>
      <c r="M119" s="300">
        <f t="shared" si="55"/>
        <v>0</v>
      </c>
      <c r="N119" s="300">
        <f t="shared" si="55"/>
        <v>0</v>
      </c>
      <c r="O119" s="300">
        <f t="shared" si="55"/>
        <v>0</v>
      </c>
      <c r="P119" s="300">
        <f t="shared" si="55"/>
        <v>0</v>
      </c>
      <c r="Q119" s="300">
        <f t="shared" si="55"/>
        <v>0</v>
      </c>
      <c r="R119" s="300">
        <f t="shared" si="55"/>
        <v>0</v>
      </c>
      <c r="S119" s="300">
        <f t="shared" si="55"/>
        <v>0</v>
      </c>
      <c r="T119" s="300">
        <f t="shared" si="55"/>
        <v>0</v>
      </c>
      <c r="U119" s="300">
        <f t="shared" si="55"/>
        <v>0</v>
      </c>
      <c r="V119" s="300">
        <f t="shared" si="55"/>
        <v>0</v>
      </c>
      <c r="W119" s="300">
        <f t="shared" si="55"/>
        <v>0</v>
      </c>
      <c r="X119" s="300">
        <f t="shared" si="55"/>
        <v>0</v>
      </c>
      <c r="Y119" s="300">
        <f t="shared" si="55"/>
        <v>0</v>
      </c>
      <c r="Z119" s="300">
        <f t="shared" si="55"/>
        <v>0</v>
      </c>
      <c r="AA119" s="300">
        <f t="shared" si="55"/>
        <v>0</v>
      </c>
      <c r="AB119" s="300">
        <f t="shared" si="55"/>
        <v>0</v>
      </c>
      <c r="AC119" s="300">
        <f t="shared" si="55"/>
        <v>0</v>
      </c>
      <c r="AD119" s="300">
        <f t="shared" si="55"/>
        <v>0</v>
      </c>
      <c r="AE119" s="300">
        <f t="shared" si="55"/>
        <v>0</v>
      </c>
      <c r="AF119" s="300">
        <f t="shared" si="55"/>
        <v>0</v>
      </c>
      <c r="AG119" s="277">
        <f t="shared" si="50"/>
        <v>0</v>
      </c>
    </row>
    <row r="120">
      <c r="A120" s="292" t="s">
        <v>296</v>
      </c>
      <c r="B120" s="300">
        <f t="shared" ref="B120:AF120" si="56">B66-(B220+B231+B266+B324+B335)</f>
        <v>0</v>
      </c>
      <c r="C120" s="300">
        <f t="shared" si="56"/>
        <v>0</v>
      </c>
      <c r="D120" s="300">
        <f t="shared" si="56"/>
        <v>0</v>
      </c>
      <c r="E120" s="300">
        <f t="shared" si="56"/>
        <v>0</v>
      </c>
      <c r="F120" s="300">
        <f t="shared" si="56"/>
        <v>0</v>
      </c>
      <c r="G120" s="300">
        <f t="shared" si="56"/>
        <v>0</v>
      </c>
      <c r="H120" s="300">
        <f t="shared" si="56"/>
        <v>0</v>
      </c>
      <c r="I120" s="300">
        <f t="shared" si="56"/>
        <v>0</v>
      </c>
      <c r="J120" s="300">
        <f t="shared" si="56"/>
        <v>0</v>
      </c>
      <c r="K120" s="300">
        <f t="shared" si="56"/>
        <v>0</v>
      </c>
      <c r="L120" s="300">
        <f t="shared" si="56"/>
        <v>0</v>
      </c>
      <c r="M120" s="300">
        <f t="shared" si="56"/>
        <v>0</v>
      </c>
      <c r="N120" s="300">
        <f t="shared" si="56"/>
        <v>0</v>
      </c>
      <c r="O120" s="300">
        <f t="shared" si="56"/>
        <v>0</v>
      </c>
      <c r="P120" s="300">
        <f t="shared" si="56"/>
        <v>0</v>
      </c>
      <c r="Q120" s="300">
        <f t="shared" si="56"/>
        <v>0</v>
      </c>
      <c r="R120" s="300">
        <f t="shared" si="56"/>
        <v>0</v>
      </c>
      <c r="S120" s="300">
        <f t="shared" si="56"/>
        <v>0</v>
      </c>
      <c r="T120" s="300">
        <f t="shared" si="56"/>
        <v>0</v>
      </c>
      <c r="U120" s="300">
        <f t="shared" si="56"/>
        <v>0</v>
      </c>
      <c r="V120" s="300">
        <f t="shared" si="56"/>
        <v>0</v>
      </c>
      <c r="W120" s="300">
        <f t="shared" si="56"/>
        <v>0</v>
      </c>
      <c r="X120" s="300">
        <f t="shared" si="56"/>
        <v>0</v>
      </c>
      <c r="Y120" s="300">
        <f t="shared" si="56"/>
        <v>0</v>
      </c>
      <c r="Z120" s="300">
        <f t="shared" si="56"/>
        <v>0</v>
      </c>
      <c r="AA120" s="300">
        <f t="shared" si="56"/>
        <v>0</v>
      </c>
      <c r="AB120" s="300">
        <f t="shared" si="56"/>
        <v>0</v>
      </c>
      <c r="AC120" s="300">
        <f t="shared" si="56"/>
        <v>0</v>
      </c>
      <c r="AD120" s="300">
        <f t="shared" si="56"/>
        <v>0</v>
      </c>
      <c r="AE120" s="300">
        <f t="shared" si="56"/>
        <v>0</v>
      </c>
      <c r="AF120" s="300">
        <f t="shared" si="56"/>
        <v>0</v>
      </c>
      <c r="AG120" s="277">
        <f t="shared" si="50"/>
        <v>0</v>
      </c>
    </row>
    <row r="121">
      <c r="A121" s="296" t="s">
        <v>261</v>
      </c>
      <c r="B121" s="297">
        <f t="shared" ref="B121:AF121" si="57">SUM(B113:B120)</f>
        <v>134</v>
      </c>
      <c r="C121" s="297">
        <f t="shared" si="57"/>
        <v>150</v>
      </c>
      <c r="D121" s="297">
        <f t="shared" si="57"/>
        <v>94</v>
      </c>
      <c r="E121" s="297">
        <f t="shared" si="57"/>
        <v>122</v>
      </c>
      <c r="F121" s="297">
        <f t="shared" si="57"/>
        <v>97</v>
      </c>
      <c r="G121" s="297">
        <f t="shared" si="57"/>
        <v>107</v>
      </c>
      <c r="H121" s="297">
        <f t="shared" si="57"/>
        <v>101</v>
      </c>
      <c r="I121" s="297">
        <f t="shared" si="57"/>
        <v>167</v>
      </c>
      <c r="J121" s="297">
        <f t="shared" si="57"/>
        <v>160</v>
      </c>
      <c r="K121" s="297">
        <f t="shared" si="57"/>
        <v>153</v>
      </c>
      <c r="L121" s="297">
        <f t="shared" si="57"/>
        <v>117</v>
      </c>
      <c r="M121" s="297">
        <f t="shared" si="57"/>
        <v>114</v>
      </c>
      <c r="N121" s="297">
        <f t="shared" si="57"/>
        <v>221</v>
      </c>
      <c r="O121" s="297">
        <f t="shared" si="57"/>
        <v>180</v>
      </c>
      <c r="P121" s="297">
        <f t="shared" si="57"/>
        <v>197</v>
      </c>
      <c r="Q121" s="297">
        <f t="shared" si="57"/>
        <v>175</v>
      </c>
      <c r="R121" s="297">
        <f t="shared" si="57"/>
        <v>90</v>
      </c>
      <c r="S121" s="297">
        <f t="shared" si="57"/>
        <v>165</v>
      </c>
      <c r="T121" s="297">
        <f t="shared" si="57"/>
        <v>117</v>
      </c>
      <c r="U121" s="297">
        <f t="shared" si="57"/>
        <v>142</v>
      </c>
      <c r="V121" s="297">
        <f t="shared" si="57"/>
        <v>129</v>
      </c>
      <c r="W121" s="297">
        <f t="shared" si="57"/>
        <v>134</v>
      </c>
      <c r="X121" s="297">
        <f t="shared" si="57"/>
        <v>138</v>
      </c>
      <c r="Y121" s="297">
        <f t="shared" si="57"/>
        <v>78</v>
      </c>
      <c r="Z121" s="297">
        <f t="shared" si="57"/>
        <v>23</v>
      </c>
      <c r="AA121" s="297">
        <f t="shared" si="57"/>
        <v>24</v>
      </c>
      <c r="AB121" s="297">
        <f t="shared" si="57"/>
        <v>58</v>
      </c>
      <c r="AC121" s="297">
        <f t="shared" si="57"/>
        <v>-6</v>
      </c>
      <c r="AD121" s="297">
        <f t="shared" si="57"/>
        <v>60</v>
      </c>
      <c r="AE121" s="297">
        <f t="shared" si="57"/>
        <v>55</v>
      </c>
      <c r="AF121" s="297">
        <f t="shared" si="57"/>
        <v>68</v>
      </c>
      <c r="AG121" s="277">
        <f t="shared" si="50"/>
        <v>3564</v>
      </c>
    </row>
    <row r="122">
      <c r="A122" s="35"/>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91"/>
    </row>
    <row r="123">
      <c r="A123" s="304" t="s">
        <v>297</v>
      </c>
      <c r="B123" s="255"/>
      <c r="C123" s="255"/>
      <c r="D123" s="255"/>
      <c r="E123" s="255"/>
      <c r="F123" s="255"/>
      <c r="G123" s="255"/>
      <c r="H123" s="255"/>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91"/>
    </row>
    <row r="124">
      <c r="A124" s="305" t="s">
        <v>298</v>
      </c>
      <c r="B124" s="306"/>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6"/>
      <c r="Y124" s="306"/>
      <c r="Z124" s="306"/>
      <c r="AA124" s="306"/>
      <c r="AB124" s="306"/>
      <c r="AC124" s="306"/>
      <c r="AD124" s="306"/>
      <c r="AE124" s="306"/>
      <c r="AF124" s="306"/>
      <c r="AG124" s="291"/>
    </row>
    <row r="125" outlineLevel="1">
      <c r="A125" s="305" t="s">
        <v>299</v>
      </c>
      <c r="B125" s="301">
        <v>14.0</v>
      </c>
      <c r="C125" s="301">
        <v>28.0</v>
      </c>
      <c r="D125" s="301">
        <v>13.0</v>
      </c>
      <c r="E125" s="301">
        <v>9.0</v>
      </c>
      <c r="F125" s="301">
        <v>13.0</v>
      </c>
      <c r="G125" s="301">
        <v>22.0</v>
      </c>
      <c r="H125" s="301">
        <v>15.0</v>
      </c>
      <c r="I125" s="301">
        <v>19.0</v>
      </c>
      <c r="J125" s="301">
        <v>13.0</v>
      </c>
      <c r="K125" s="301">
        <v>25.0</v>
      </c>
      <c r="L125" s="301">
        <v>39.0</v>
      </c>
      <c r="M125" s="301">
        <v>48.0</v>
      </c>
      <c r="N125" s="301">
        <v>46.0</v>
      </c>
      <c r="O125" s="301">
        <v>54.0</v>
      </c>
      <c r="P125" s="301">
        <v>49.0</v>
      </c>
      <c r="Q125" s="301">
        <v>62.0</v>
      </c>
      <c r="R125" s="301">
        <v>19.0</v>
      </c>
      <c r="S125" s="301">
        <v>42.0</v>
      </c>
      <c r="T125" s="301">
        <v>32.0</v>
      </c>
      <c r="U125" s="301">
        <v>35.0</v>
      </c>
      <c r="V125" s="301">
        <v>23.0</v>
      </c>
      <c r="W125" s="301">
        <v>0.0</v>
      </c>
      <c r="X125" s="301">
        <v>0.0</v>
      </c>
      <c r="Y125" s="301">
        <v>0.0</v>
      </c>
      <c r="Z125" s="301">
        <v>0.0</v>
      </c>
      <c r="AA125" s="301">
        <v>0.0</v>
      </c>
      <c r="AB125" s="301">
        <v>0.0</v>
      </c>
      <c r="AC125" s="301">
        <v>8.0</v>
      </c>
      <c r="AD125" s="301">
        <v>3.0</v>
      </c>
      <c r="AE125" s="301">
        <v>16.0</v>
      </c>
      <c r="AF125" s="301">
        <v>9.0</v>
      </c>
      <c r="AG125" s="277">
        <f t="shared" ref="AG125:AG128" si="58">sum(B125:AF125)</f>
        <v>656</v>
      </c>
    </row>
    <row r="126" outlineLevel="1">
      <c r="A126" s="305" t="s">
        <v>300</v>
      </c>
      <c r="B126" s="301">
        <v>29.0</v>
      </c>
      <c r="C126" s="301">
        <v>26.0</v>
      </c>
      <c r="D126" s="301">
        <v>27.0</v>
      </c>
      <c r="E126" s="301">
        <v>29.0</v>
      </c>
      <c r="F126" s="301">
        <v>34.0</v>
      </c>
      <c r="G126" s="301">
        <v>23.0</v>
      </c>
      <c r="H126" s="301">
        <v>48.0</v>
      </c>
      <c r="I126" s="301">
        <v>32.0</v>
      </c>
      <c r="J126" s="301">
        <v>36.0</v>
      </c>
      <c r="K126" s="301">
        <v>37.0</v>
      </c>
      <c r="L126" s="301">
        <v>16.0</v>
      </c>
      <c r="M126" s="301">
        <v>9.0</v>
      </c>
      <c r="N126" s="301">
        <v>12.0</v>
      </c>
      <c r="O126" s="301">
        <v>12.0</v>
      </c>
      <c r="P126" s="301">
        <v>14.0</v>
      </c>
      <c r="Q126" s="301">
        <v>7.0</v>
      </c>
      <c r="R126" s="301">
        <v>11.0</v>
      </c>
      <c r="S126" s="302">
        <v>16.0</v>
      </c>
      <c r="T126" s="302">
        <v>12.0</v>
      </c>
      <c r="U126" s="301">
        <v>9.0</v>
      </c>
      <c r="V126" s="301">
        <v>22.0</v>
      </c>
      <c r="W126" s="301">
        <v>29.0</v>
      </c>
      <c r="X126" s="301">
        <v>28.0</v>
      </c>
      <c r="Y126" s="301">
        <v>19.0</v>
      </c>
      <c r="Z126" s="301">
        <v>25.0</v>
      </c>
      <c r="AA126" s="301">
        <v>23.0</v>
      </c>
      <c r="AB126" s="301">
        <v>33.0</v>
      </c>
      <c r="AC126" s="301">
        <v>17.0</v>
      </c>
      <c r="AD126" s="301">
        <v>14.0</v>
      </c>
      <c r="AE126" s="301">
        <v>13.0</v>
      </c>
      <c r="AF126" s="301">
        <v>17.0</v>
      </c>
      <c r="AG126" s="277">
        <f t="shared" si="58"/>
        <v>679</v>
      </c>
    </row>
    <row r="127" outlineLevel="1">
      <c r="A127" s="305" t="s">
        <v>301</v>
      </c>
      <c r="B127" s="301">
        <v>54.0</v>
      </c>
      <c r="C127" s="301">
        <v>50.0</v>
      </c>
      <c r="D127" s="301">
        <v>41.0</v>
      </c>
      <c r="E127" s="301">
        <v>45.0</v>
      </c>
      <c r="F127" s="301">
        <v>40.0</v>
      </c>
      <c r="G127" s="301">
        <v>40.0</v>
      </c>
      <c r="H127" s="301">
        <v>47.0</v>
      </c>
      <c r="I127" s="301">
        <v>56.0</v>
      </c>
      <c r="J127" s="301">
        <v>54.0</v>
      </c>
      <c r="K127" s="301">
        <v>67.0</v>
      </c>
      <c r="L127" s="301">
        <v>100.0</v>
      </c>
      <c r="M127" s="301">
        <v>89.0</v>
      </c>
      <c r="N127" s="301">
        <v>168.0</v>
      </c>
      <c r="O127" s="301">
        <v>131.0</v>
      </c>
      <c r="P127" s="301">
        <v>116.0</v>
      </c>
      <c r="Q127" s="301">
        <v>118.0</v>
      </c>
      <c r="R127" s="301">
        <v>62.0</v>
      </c>
      <c r="S127" s="301">
        <v>112.0</v>
      </c>
      <c r="T127" s="301">
        <v>88.0</v>
      </c>
      <c r="U127" s="301">
        <v>90.0</v>
      </c>
      <c r="V127" s="301">
        <v>81.0</v>
      </c>
      <c r="W127" s="301">
        <v>90.0</v>
      </c>
      <c r="X127" s="301">
        <v>73.0</v>
      </c>
      <c r="Y127" s="301">
        <v>63.0</v>
      </c>
      <c r="Z127" s="301">
        <v>62.0</v>
      </c>
      <c r="AA127" s="301">
        <v>62.0</v>
      </c>
      <c r="AB127" s="301">
        <v>67.0</v>
      </c>
      <c r="AC127" s="301">
        <v>63.0</v>
      </c>
      <c r="AD127" s="301">
        <v>63.0</v>
      </c>
      <c r="AE127" s="301">
        <v>58.0</v>
      </c>
      <c r="AF127" s="301">
        <v>68.0</v>
      </c>
      <c r="AG127" s="277">
        <f t="shared" si="58"/>
        <v>2318</v>
      </c>
    </row>
    <row r="128" outlineLevel="1">
      <c r="A128" s="305" t="s">
        <v>302</v>
      </c>
      <c r="B128" s="301">
        <v>47.0</v>
      </c>
      <c r="C128" s="301">
        <v>39.0</v>
      </c>
      <c r="D128" s="301">
        <v>44.0</v>
      </c>
      <c r="E128" s="301">
        <v>56.0</v>
      </c>
      <c r="F128" s="301">
        <v>52.0</v>
      </c>
      <c r="G128" s="301">
        <v>61.0</v>
      </c>
      <c r="H128" s="301">
        <v>55.0</v>
      </c>
      <c r="I128" s="301">
        <v>74.0</v>
      </c>
      <c r="J128" s="301">
        <v>68.0</v>
      </c>
      <c r="K128" s="301">
        <v>38.0</v>
      </c>
      <c r="L128" s="301">
        <v>21.0</v>
      </c>
      <c r="M128" s="301">
        <v>27.0</v>
      </c>
      <c r="N128" s="301">
        <v>52.0</v>
      </c>
      <c r="O128" s="301">
        <v>54.0</v>
      </c>
      <c r="P128" s="301">
        <v>32.0</v>
      </c>
      <c r="Q128" s="301">
        <v>24.0</v>
      </c>
      <c r="R128" s="301">
        <v>25.0</v>
      </c>
      <c r="S128" s="302">
        <v>37.0</v>
      </c>
      <c r="T128" s="302">
        <v>20.0</v>
      </c>
      <c r="U128" s="301">
        <v>29.0</v>
      </c>
      <c r="V128" s="301">
        <v>22.0</v>
      </c>
      <c r="W128" s="301">
        <v>22.0</v>
      </c>
      <c r="X128" s="301">
        <v>20.0</v>
      </c>
      <c r="Y128" s="301">
        <v>16.0</v>
      </c>
      <c r="Z128" s="301">
        <v>18.0</v>
      </c>
      <c r="AA128" s="301">
        <v>17.0</v>
      </c>
      <c r="AB128" s="301">
        <v>14.0</v>
      </c>
      <c r="AC128" s="301">
        <v>9.0</v>
      </c>
      <c r="AD128" s="301">
        <v>18.0</v>
      </c>
      <c r="AE128" s="301">
        <v>17.0</v>
      </c>
      <c r="AF128" s="301">
        <v>21.0</v>
      </c>
      <c r="AG128" s="277">
        <f t="shared" si="58"/>
        <v>1049</v>
      </c>
    </row>
    <row r="129">
      <c r="A129" s="305" t="s">
        <v>303</v>
      </c>
      <c r="B129" s="306"/>
      <c r="C129" s="306"/>
      <c r="D129" s="306"/>
      <c r="E129" s="306"/>
      <c r="F129" s="306"/>
      <c r="G129" s="306"/>
      <c r="H129" s="306"/>
      <c r="I129" s="306"/>
      <c r="J129" s="306"/>
      <c r="K129" s="306"/>
      <c r="L129" s="306"/>
      <c r="M129" s="306"/>
      <c r="N129" s="306"/>
      <c r="O129" s="306"/>
      <c r="P129" s="306"/>
      <c r="Q129" s="306"/>
      <c r="R129" s="306"/>
      <c r="S129" s="306"/>
      <c r="T129" s="306"/>
      <c r="U129" s="306"/>
      <c r="V129" s="306"/>
      <c r="W129" s="306"/>
      <c r="X129" s="306"/>
      <c r="Y129" s="306"/>
      <c r="Z129" s="306"/>
      <c r="AA129" s="306"/>
      <c r="AB129" s="306"/>
      <c r="AC129" s="306"/>
      <c r="AD129" s="306"/>
      <c r="AE129" s="306"/>
      <c r="AF129" s="306"/>
      <c r="AG129" s="277"/>
    </row>
    <row r="130" outlineLevel="1">
      <c r="A130" s="305" t="s">
        <v>304</v>
      </c>
      <c r="B130" s="301">
        <v>2.0</v>
      </c>
      <c r="C130" s="301">
        <v>1.0</v>
      </c>
      <c r="D130" s="301">
        <v>0.0</v>
      </c>
      <c r="E130" s="301">
        <v>1.0</v>
      </c>
      <c r="F130" s="301">
        <v>2.0</v>
      </c>
      <c r="G130" s="301">
        <v>2.0</v>
      </c>
      <c r="H130" s="301">
        <v>1.0</v>
      </c>
      <c r="I130" s="301">
        <v>2.0</v>
      </c>
      <c r="J130" s="301">
        <v>0.0</v>
      </c>
      <c r="K130" s="301">
        <v>0.0</v>
      </c>
      <c r="L130" s="301">
        <v>1.0</v>
      </c>
      <c r="M130" s="301">
        <v>1.0</v>
      </c>
      <c r="N130" s="301">
        <v>3.0</v>
      </c>
      <c r="O130" s="301">
        <v>5.0</v>
      </c>
      <c r="P130" s="301">
        <v>1.0</v>
      </c>
      <c r="Q130" s="301">
        <v>4.0</v>
      </c>
      <c r="R130" s="301">
        <v>2.0</v>
      </c>
      <c r="S130" s="301">
        <v>0.0</v>
      </c>
      <c r="T130" s="301">
        <v>0.0</v>
      </c>
      <c r="U130" s="301">
        <v>3.0</v>
      </c>
      <c r="V130" s="301">
        <v>1.0</v>
      </c>
      <c r="W130" s="301">
        <v>0.0</v>
      </c>
      <c r="X130" s="301">
        <v>0.0</v>
      </c>
      <c r="Y130" s="301">
        <v>0.0</v>
      </c>
      <c r="Z130" s="301">
        <v>0.0</v>
      </c>
      <c r="AA130" s="301">
        <v>0.0</v>
      </c>
      <c r="AB130" s="301">
        <v>0.0</v>
      </c>
      <c r="AC130" s="301">
        <v>3.0</v>
      </c>
      <c r="AD130" s="301">
        <v>0.0</v>
      </c>
      <c r="AE130" s="301">
        <v>1.0</v>
      </c>
      <c r="AF130" s="301">
        <v>0.0</v>
      </c>
      <c r="AG130" s="277">
        <f t="shared" ref="AG130:AG135" si="59">sum(B130:AF130)</f>
        <v>36</v>
      </c>
    </row>
    <row r="131" outlineLevel="1">
      <c r="A131" s="305" t="s">
        <v>305</v>
      </c>
      <c r="B131" s="301">
        <v>1.0</v>
      </c>
      <c r="C131" s="301">
        <v>2.0</v>
      </c>
      <c r="D131" s="301">
        <v>5.0</v>
      </c>
      <c r="E131" s="301">
        <v>1.0</v>
      </c>
      <c r="F131" s="301">
        <v>2.0</v>
      </c>
      <c r="G131" s="301">
        <v>1.0</v>
      </c>
      <c r="H131" s="301">
        <v>0.0</v>
      </c>
      <c r="I131" s="301">
        <v>2.0</v>
      </c>
      <c r="J131" s="301">
        <v>3.0</v>
      </c>
      <c r="K131" s="301">
        <v>2.0</v>
      </c>
      <c r="L131" s="301">
        <v>0.0</v>
      </c>
      <c r="M131" s="301">
        <v>0.0</v>
      </c>
      <c r="N131" s="301">
        <v>1.0</v>
      </c>
      <c r="O131" s="301">
        <v>1.0</v>
      </c>
      <c r="P131" s="301">
        <v>0.0</v>
      </c>
      <c r="Q131" s="301">
        <v>0.0</v>
      </c>
      <c r="R131" s="301">
        <v>0.0</v>
      </c>
      <c r="S131" s="302">
        <v>0.0</v>
      </c>
      <c r="T131" s="302">
        <v>0.0</v>
      </c>
      <c r="U131" s="301">
        <v>0.0</v>
      </c>
      <c r="V131" s="301">
        <v>2.0</v>
      </c>
      <c r="W131" s="301">
        <v>1.0</v>
      </c>
      <c r="X131" s="301">
        <v>1.0</v>
      </c>
      <c r="Y131" s="301">
        <v>1.0</v>
      </c>
      <c r="Z131" s="301">
        <v>1.0</v>
      </c>
      <c r="AA131" s="301">
        <v>3.0</v>
      </c>
      <c r="AB131" s="301">
        <v>2.0</v>
      </c>
      <c r="AC131" s="301">
        <v>8.0</v>
      </c>
      <c r="AD131" s="301">
        <v>0.0</v>
      </c>
      <c r="AE131" s="301">
        <v>0.0</v>
      </c>
      <c r="AF131" s="301">
        <v>2.0</v>
      </c>
      <c r="AG131" s="277">
        <f t="shared" si="59"/>
        <v>42</v>
      </c>
    </row>
    <row r="132" outlineLevel="1">
      <c r="A132" s="305" t="s">
        <v>306</v>
      </c>
      <c r="B132" s="301">
        <v>3.0</v>
      </c>
      <c r="C132" s="301">
        <v>1.0</v>
      </c>
      <c r="D132" s="301">
        <v>3.0</v>
      </c>
      <c r="E132" s="301">
        <v>1.0</v>
      </c>
      <c r="F132" s="301">
        <v>1.0</v>
      </c>
      <c r="G132" s="301">
        <v>2.0</v>
      </c>
      <c r="H132" s="301">
        <v>3.0</v>
      </c>
      <c r="I132" s="301">
        <v>2.0</v>
      </c>
      <c r="J132" s="301">
        <v>0.0</v>
      </c>
      <c r="K132" s="301">
        <v>3.0</v>
      </c>
      <c r="L132" s="301">
        <v>4.0</v>
      </c>
      <c r="M132" s="301">
        <v>7.0</v>
      </c>
      <c r="N132" s="301">
        <v>5.0</v>
      </c>
      <c r="O132" s="301">
        <v>5.0</v>
      </c>
      <c r="P132" s="301">
        <v>4.0</v>
      </c>
      <c r="Q132" s="301">
        <v>7.0</v>
      </c>
      <c r="R132" s="301">
        <v>2.0</v>
      </c>
      <c r="S132" s="301">
        <v>5.0</v>
      </c>
      <c r="T132" s="301">
        <v>1.0</v>
      </c>
      <c r="U132" s="301">
        <v>4.0</v>
      </c>
      <c r="V132" s="301">
        <v>3.0</v>
      </c>
      <c r="W132" s="301">
        <v>2.0</v>
      </c>
      <c r="X132" s="301">
        <v>3.0</v>
      </c>
      <c r="Y132" s="301">
        <v>2.0</v>
      </c>
      <c r="Z132" s="301">
        <v>5.0</v>
      </c>
      <c r="AA132" s="301">
        <v>1.0</v>
      </c>
      <c r="AB132" s="301">
        <v>2.0</v>
      </c>
      <c r="AC132" s="301">
        <v>3.0</v>
      </c>
      <c r="AD132" s="301">
        <v>4.0</v>
      </c>
      <c r="AE132" s="301">
        <v>1.0</v>
      </c>
      <c r="AF132" s="301">
        <v>4.0</v>
      </c>
      <c r="AG132" s="277">
        <f t="shared" si="59"/>
        <v>93</v>
      </c>
    </row>
    <row r="133" outlineLevel="1">
      <c r="A133" s="305" t="s">
        <v>307</v>
      </c>
      <c r="B133" s="301">
        <v>1.0</v>
      </c>
      <c r="C133" s="301">
        <v>2.0</v>
      </c>
      <c r="D133" s="301">
        <v>1.0</v>
      </c>
      <c r="E133" s="301">
        <v>4.0</v>
      </c>
      <c r="F133" s="301">
        <v>3.0</v>
      </c>
      <c r="G133" s="301">
        <v>3.0</v>
      </c>
      <c r="H133" s="301">
        <v>1.0</v>
      </c>
      <c r="I133" s="301">
        <v>2.0</v>
      </c>
      <c r="J133" s="301">
        <v>4.0</v>
      </c>
      <c r="K133" s="301">
        <v>2.0</v>
      </c>
      <c r="L133" s="301">
        <v>0.0</v>
      </c>
      <c r="M133" s="301">
        <v>1.0</v>
      </c>
      <c r="N133" s="301">
        <v>0.0</v>
      </c>
      <c r="O133" s="301">
        <v>1.0</v>
      </c>
      <c r="P133" s="301">
        <v>1.0</v>
      </c>
      <c r="Q133" s="301">
        <v>0.0</v>
      </c>
      <c r="R133" s="301">
        <v>1.0</v>
      </c>
      <c r="S133" s="302">
        <v>1.0</v>
      </c>
      <c r="T133" s="302">
        <v>1.0</v>
      </c>
      <c r="U133" s="301">
        <v>1.0</v>
      </c>
      <c r="V133" s="301">
        <v>0.0</v>
      </c>
      <c r="W133" s="301">
        <v>2.0</v>
      </c>
      <c r="X133" s="301">
        <v>0.0</v>
      </c>
      <c r="Y133" s="301">
        <v>3.0</v>
      </c>
      <c r="Z133" s="301">
        <v>1.0</v>
      </c>
      <c r="AA133" s="301">
        <v>0.0</v>
      </c>
      <c r="AB133" s="301">
        <v>1.0</v>
      </c>
      <c r="AC133" s="301">
        <v>1.0</v>
      </c>
      <c r="AD133" s="301">
        <v>1.0</v>
      </c>
      <c r="AE133" s="301">
        <v>0.0</v>
      </c>
      <c r="AF133" s="301">
        <v>1.0</v>
      </c>
      <c r="AG133" s="277">
        <f t="shared" si="59"/>
        <v>40</v>
      </c>
    </row>
    <row r="134">
      <c r="A134" s="307" t="s">
        <v>308</v>
      </c>
      <c r="B134" s="308">
        <f t="shared" ref="B134:AF134" si="60">B125+B130+B126+B131</f>
        <v>46</v>
      </c>
      <c r="C134" s="308">
        <f t="shared" si="60"/>
        <v>57</v>
      </c>
      <c r="D134" s="308">
        <f t="shared" si="60"/>
        <v>45</v>
      </c>
      <c r="E134" s="308">
        <f t="shared" si="60"/>
        <v>40</v>
      </c>
      <c r="F134" s="308">
        <f t="shared" si="60"/>
        <v>51</v>
      </c>
      <c r="G134" s="308">
        <f t="shared" si="60"/>
        <v>48</v>
      </c>
      <c r="H134" s="308">
        <f t="shared" si="60"/>
        <v>64</v>
      </c>
      <c r="I134" s="308">
        <f t="shared" si="60"/>
        <v>55</v>
      </c>
      <c r="J134" s="308">
        <f t="shared" si="60"/>
        <v>52</v>
      </c>
      <c r="K134" s="308">
        <f t="shared" si="60"/>
        <v>64</v>
      </c>
      <c r="L134" s="308">
        <f t="shared" si="60"/>
        <v>56</v>
      </c>
      <c r="M134" s="308">
        <f t="shared" si="60"/>
        <v>58</v>
      </c>
      <c r="N134" s="308">
        <f t="shared" si="60"/>
        <v>62</v>
      </c>
      <c r="O134" s="308">
        <f t="shared" si="60"/>
        <v>72</v>
      </c>
      <c r="P134" s="308">
        <f t="shared" si="60"/>
        <v>64</v>
      </c>
      <c r="Q134" s="308">
        <f t="shared" si="60"/>
        <v>73</v>
      </c>
      <c r="R134" s="308">
        <f t="shared" si="60"/>
        <v>32</v>
      </c>
      <c r="S134" s="308">
        <f t="shared" si="60"/>
        <v>58</v>
      </c>
      <c r="T134" s="308">
        <f t="shared" si="60"/>
        <v>44</v>
      </c>
      <c r="U134" s="308">
        <f t="shared" si="60"/>
        <v>47</v>
      </c>
      <c r="V134" s="308">
        <f t="shared" si="60"/>
        <v>48</v>
      </c>
      <c r="W134" s="308">
        <f t="shared" si="60"/>
        <v>30</v>
      </c>
      <c r="X134" s="308">
        <f t="shared" si="60"/>
        <v>29</v>
      </c>
      <c r="Y134" s="308">
        <f t="shared" si="60"/>
        <v>20</v>
      </c>
      <c r="Z134" s="308">
        <f t="shared" si="60"/>
        <v>26</v>
      </c>
      <c r="AA134" s="308">
        <f t="shared" si="60"/>
        <v>26</v>
      </c>
      <c r="AB134" s="308">
        <f t="shared" si="60"/>
        <v>35</v>
      </c>
      <c r="AC134" s="308">
        <f t="shared" si="60"/>
        <v>36</v>
      </c>
      <c r="AD134" s="308">
        <f t="shared" si="60"/>
        <v>17</v>
      </c>
      <c r="AE134" s="308">
        <f t="shared" si="60"/>
        <v>30</v>
      </c>
      <c r="AF134" s="308">
        <f t="shared" si="60"/>
        <v>28</v>
      </c>
      <c r="AG134" s="277">
        <f t="shared" si="59"/>
        <v>1413</v>
      </c>
    </row>
    <row r="135">
      <c r="A135" s="307" t="s">
        <v>309</v>
      </c>
      <c r="B135" s="308">
        <f t="shared" ref="B135:AF135" si="61">B127+B132+B128+B133</f>
        <v>105</v>
      </c>
      <c r="C135" s="308">
        <f t="shared" si="61"/>
        <v>92</v>
      </c>
      <c r="D135" s="308">
        <f t="shared" si="61"/>
        <v>89</v>
      </c>
      <c r="E135" s="308">
        <f t="shared" si="61"/>
        <v>106</v>
      </c>
      <c r="F135" s="308">
        <f t="shared" si="61"/>
        <v>96</v>
      </c>
      <c r="G135" s="308">
        <f t="shared" si="61"/>
        <v>106</v>
      </c>
      <c r="H135" s="308">
        <f t="shared" si="61"/>
        <v>106</v>
      </c>
      <c r="I135" s="308">
        <f t="shared" si="61"/>
        <v>134</v>
      </c>
      <c r="J135" s="308">
        <f t="shared" si="61"/>
        <v>126</v>
      </c>
      <c r="K135" s="308">
        <f t="shared" si="61"/>
        <v>110</v>
      </c>
      <c r="L135" s="308">
        <f t="shared" si="61"/>
        <v>125</v>
      </c>
      <c r="M135" s="308">
        <f t="shared" si="61"/>
        <v>124</v>
      </c>
      <c r="N135" s="308">
        <f t="shared" si="61"/>
        <v>225</v>
      </c>
      <c r="O135" s="308">
        <f t="shared" si="61"/>
        <v>191</v>
      </c>
      <c r="P135" s="308">
        <f t="shared" si="61"/>
        <v>153</v>
      </c>
      <c r="Q135" s="308">
        <f t="shared" si="61"/>
        <v>149</v>
      </c>
      <c r="R135" s="308">
        <f t="shared" si="61"/>
        <v>90</v>
      </c>
      <c r="S135" s="308">
        <f t="shared" si="61"/>
        <v>155</v>
      </c>
      <c r="T135" s="308">
        <f t="shared" si="61"/>
        <v>110</v>
      </c>
      <c r="U135" s="308">
        <f t="shared" si="61"/>
        <v>124</v>
      </c>
      <c r="V135" s="308">
        <f t="shared" si="61"/>
        <v>106</v>
      </c>
      <c r="W135" s="308">
        <f t="shared" si="61"/>
        <v>116</v>
      </c>
      <c r="X135" s="308">
        <f t="shared" si="61"/>
        <v>96</v>
      </c>
      <c r="Y135" s="308">
        <f t="shared" si="61"/>
        <v>84</v>
      </c>
      <c r="Z135" s="308">
        <f t="shared" si="61"/>
        <v>86</v>
      </c>
      <c r="AA135" s="308">
        <f t="shared" si="61"/>
        <v>80</v>
      </c>
      <c r="AB135" s="308">
        <f t="shared" si="61"/>
        <v>84</v>
      </c>
      <c r="AC135" s="308">
        <f t="shared" si="61"/>
        <v>76</v>
      </c>
      <c r="AD135" s="308">
        <f t="shared" si="61"/>
        <v>86</v>
      </c>
      <c r="AE135" s="308">
        <f t="shared" si="61"/>
        <v>76</v>
      </c>
      <c r="AF135" s="308">
        <f t="shared" si="61"/>
        <v>94</v>
      </c>
      <c r="AG135" s="277">
        <f t="shared" si="59"/>
        <v>3500</v>
      </c>
    </row>
    <row r="136">
      <c r="A136" s="35"/>
      <c r="B136" s="255"/>
      <c r="C136" s="255"/>
      <c r="D136" s="255"/>
      <c r="E136" s="255"/>
      <c r="F136" s="255"/>
      <c r="G136" s="255"/>
      <c r="H136" s="255"/>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91"/>
    </row>
    <row r="137">
      <c r="A137" s="305" t="s">
        <v>310</v>
      </c>
      <c r="B137" s="306"/>
      <c r="C137" s="306"/>
      <c r="D137" s="306"/>
      <c r="E137" s="306"/>
      <c r="F137" s="306"/>
      <c r="G137" s="306"/>
      <c r="H137" s="306"/>
      <c r="I137" s="306"/>
      <c r="J137" s="306"/>
      <c r="K137" s="306"/>
      <c r="L137" s="306"/>
      <c r="M137" s="306"/>
      <c r="N137" s="306"/>
      <c r="O137" s="306"/>
      <c r="P137" s="306"/>
      <c r="Q137" s="306"/>
      <c r="R137" s="306"/>
      <c r="S137" s="306"/>
      <c r="T137" s="306"/>
      <c r="U137" s="306"/>
      <c r="V137" s="306"/>
      <c r="W137" s="306"/>
      <c r="X137" s="306"/>
      <c r="Y137" s="306"/>
      <c r="Z137" s="306"/>
      <c r="AA137" s="306"/>
      <c r="AB137" s="306"/>
      <c r="AC137" s="306"/>
      <c r="AD137" s="306"/>
      <c r="AE137" s="306"/>
      <c r="AF137" s="306"/>
      <c r="AG137" s="291"/>
    </row>
    <row r="138" outlineLevel="1">
      <c r="A138" s="305" t="s">
        <v>311</v>
      </c>
      <c r="B138" s="301">
        <v>49.0</v>
      </c>
      <c r="C138" s="301">
        <v>51.0</v>
      </c>
      <c r="D138" s="301">
        <v>31.0</v>
      </c>
      <c r="E138" s="301">
        <v>36.0</v>
      </c>
      <c r="F138" s="301">
        <v>39.0</v>
      </c>
      <c r="G138" s="301">
        <v>37.0</v>
      </c>
      <c r="H138" s="301">
        <v>48.0</v>
      </c>
      <c r="I138" s="301">
        <v>67.0</v>
      </c>
      <c r="J138" s="301">
        <v>71.0</v>
      </c>
      <c r="K138" s="301">
        <v>58.0</v>
      </c>
      <c r="L138" s="301">
        <v>53.0</v>
      </c>
      <c r="M138" s="301">
        <v>40.0</v>
      </c>
      <c r="N138" s="301">
        <v>82.0</v>
      </c>
      <c r="O138" s="301">
        <v>61.0</v>
      </c>
      <c r="P138" s="301">
        <v>84.0</v>
      </c>
      <c r="Q138" s="301">
        <v>75.0</v>
      </c>
      <c r="R138" s="301">
        <v>32.0</v>
      </c>
      <c r="S138" s="301">
        <v>75.0</v>
      </c>
      <c r="T138" s="301">
        <v>46.0</v>
      </c>
      <c r="U138" s="302">
        <v>54.0</v>
      </c>
      <c r="V138" s="302">
        <v>45.0</v>
      </c>
      <c r="W138" s="302">
        <v>56.0</v>
      </c>
      <c r="X138" s="302">
        <v>55.0</v>
      </c>
      <c r="Y138" s="301">
        <v>34.0</v>
      </c>
      <c r="Z138" s="301">
        <v>38.0</v>
      </c>
      <c r="AA138" s="301">
        <v>23.0</v>
      </c>
      <c r="AB138" s="301">
        <v>37.0</v>
      </c>
      <c r="AC138" s="301">
        <v>28.0</v>
      </c>
      <c r="AD138" s="301">
        <v>38.0</v>
      </c>
      <c r="AE138" s="301">
        <v>36.0</v>
      </c>
      <c r="AF138" s="301">
        <v>44.0</v>
      </c>
      <c r="AG138" s="277">
        <f t="shared" ref="AG138:AG146" si="62">sum(B138:AF138)</f>
        <v>1523</v>
      </c>
    </row>
    <row r="139" outlineLevel="1">
      <c r="A139" s="305" t="s">
        <v>312</v>
      </c>
      <c r="B139" s="301">
        <v>24.0</v>
      </c>
      <c r="C139" s="301">
        <v>37.0</v>
      </c>
      <c r="D139" s="301">
        <v>21.0</v>
      </c>
      <c r="E139" s="301">
        <v>26.0</v>
      </c>
      <c r="F139" s="301">
        <v>21.0</v>
      </c>
      <c r="G139" s="301">
        <v>15.0</v>
      </c>
      <c r="H139" s="301">
        <v>16.0</v>
      </c>
      <c r="I139" s="301">
        <v>30.0</v>
      </c>
      <c r="J139" s="301">
        <v>25.0</v>
      </c>
      <c r="K139" s="301">
        <v>27.0</v>
      </c>
      <c r="L139" s="301">
        <v>21.0</v>
      </c>
      <c r="M139" s="301">
        <v>25.0</v>
      </c>
      <c r="N139" s="301">
        <v>46.0</v>
      </c>
      <c r="O139" s="301">
        <v>39.0</v>
      </c>
      <c r="P139" s="301">
        <v>36.0</v>
      </c>
      <c r="Q139" s="301">
        <v>37.0</v>
      </c>
      <c r="R139" s="301">
        <v>22.0</v>
      </c>
      <c r="S139" s="301">
        <v>35.0</v>
      </c>
      <c r="T139" s="301">
        <v>32.0</v>
      </c>
      <c r="U139" s="302">
        <v>31.0</v>
      </c>
      <c r="V139" s="302">
        <v>25.0</v>
      </c>
      <c r="W139" s="302">
        <v>26.0</v>
      </c>
      <c r="X139" s="302">
        <v>23.0</v>
      </c>
      <c r="Y139" s="301">
        <v>23.0</v>
      </c>
      <c r="Z139" s="301">
        <v>17.0</v>
      </c>
      <c r="AA139" s="301">
        <v>19.0</v>
      </c>
      <c r="AB139" s="301">
        <v>14.0</v>
      </c>
      <c r="AC139" s="301">
        <v>14.0</v>
      </c>
      <c r="AD139" s="301">
        <v>17.0</v>
      </c>
      <c r="AE139" s="301">
        <v>22.0</v>
      </c>
      <c r="AF139" s="301">
        <v>17.0</v>
      </c>
      <c r="AG139" s="277">
        <f t="shared" si="62"/>
        <v>783</v>
      </c>
    </row>
    <row r="140" outlineLevel="1">
      <c r="A140" s="305" t="s">
        <v>313</v>
      </c>
      <c r="B140" s="301">
        <v>23.0</v>
      </c>
      <c r="C140" s="301">
        <v>29.0</v>
      </c>
      <c r="D140" s="301">
        <v>13.0</v>
      </c>
      <c r="E140" s="301">
        <v>23.0</v>
      </c>
      <c r="F140" s="301">
        <v>13.0</v>
      </c>
      <c r="G140" s="301">
        <v>12.0</v>
      </c>
      <c r="H140" s="301">
        <v>10.0</v>
      </c>
      <c r="I140" s="301">
        <v>20.0</v>
      </c>
      <c r="J140" s="301">
        <v>27.0</v>
      </c>
      <c r="K140" s="301">
        <v>22.0</v>
      </c>
      <c r="L140" s="301">
        <v>19.0</v>
      </c>
      <c r="M140" s="301">
        <v>20.0</v>
      </c>
      <c r="N140" s="301">
        <v>41.0</v>
      </c>
      <c r="O140" s="301">
        <v>40.0</v>
      </c>
      <c r="P140" s="301">
        <v>35.0</v>
      </c>
      <c r="Q140" s="301">
        <v>27.0</v>
      </c>
      <c r="R140" s="301">
        <v>12.0</v>
      </c>
      <c r="S140" s="301">
        <v>28.0</v>
      </c>
      <c r="T140" s="301">
        <v>23.0</v>
      </c>
      <c r="U140" s="301">
        <v>22.0</v>
      </c>
      <c r="V140" s="301">
        <v>27.0</v>
      </c>
      <c r="W140" s="301">
        <v>16.0</v>
      </c>
      <c r="X140" s="301">
        <v>28.0</v>
      </c>
      <c r="Y140" s="301">
        <v>12.0</v>
      </c>
      <c r="Z140" s="302">
        <v>13.0</v>
      </c>
      <c r="AA140" s="301">
        <v>14.0</v>
      </c>
      <c r="AB140" s="301">
        <v>10.0</v>
      </c>
      <c r="AC140" s="301">
        <v>12.0</v>
      </c>
      <c r="AD140" s="301">
        <v>8.0</v>
      </c>
      <c r="AE140" s="301">
        <v>19.0</v>
      </c>
      <c r="AF140" s="301">
        <v>12.0</v>
      </c>
      <c r="AG140" s="277">
        <f t="shared" si="62"/>
        <v>630</v>
      </c>
    </row>
    <row r="141" outlineLevel="1">
      <c r="A141" s="305" t="s">
        <v>314</v>
      </c>
      <c r="B141" s="301">
        <v>10.0</v>
      </c>
      <c r="C141" s="301">
        <v>12.0</v>
      </c>
      <c r="D141" s="301">
        <v>9.0</v>
      </c>
      <c r="E141" s="301">
        <v>8.0</v>
      </c>
      <c r="F141" s="301">
        <v>5.0</v>
      </c>
      <c r="G141" s="301">
        <v>12.0</v>
      </c>
      <c r="H141" s="301">
        <v>8.0</v>
      </c>
      <c r="I141" s="301">
        <v>17.0</v>
      </c>
      <c r="J141" s="301">
        <v>11.0</v>
      </c>
      <c r="K141" s="301">
        <v>11.0</v>
      </c>
      <c r="L141" s="301">
        <v>5.0</v>
      </c>
      <c r="M141" s="301">
        <v>4.0</v>
      </c>
      <c r="N141" s="301">
        <v>14.0</v>
      </c>
      <c r="O141" s="301">
        <v>8.0</v>
      </c>
      <c r="P141" s="301">
        <v>10.0</v>
      </c>
      <c r="Q141" s="301">
        <v>8.0</v>
      </c>
      <c r="R141" s="301">
        <v>5.0</v>
      </c>
      <c r="S141" s="302">
        <v>7.0</v>
      </c>
      <c r="T141" s="302">
        <v>7.0</v>
      </c>
      <c r="U141" s="302">
        <v>10.0</v>
      </c>
      <c r="V141" s="301">
        <v>9.0</v>
      </c>
      <c r="W141" s="301">
        <v>12.0</v>
      </c>
      <c r="X141" s="301">
        <v>7.0</v>
      </c>
      <c r="Y141" s="301">
        <v>7.0</v>
      </c>
      <c r="Z141" s="302">
        <v>2.0</v>
      </c>
      <c r="AA141" s="301">
        <v>9.0</v>
      </c>
      <c r="AB141" s="301">
        <v>4.0</v>
      </c>
      <c r="AC141" s="301">
        <v>3.0</v>
      </c>
      <c r="AD141" s="301">
        <v>3.0</v>
      </c>
      <c r="AE141" s="301">
        <v>4.0</v>
      </c>
      <c r="AF141" s="301">
        <v>7.0</v>
      </c>
      <c r="AG141" s="277">
        <f t="shared" si="62"/>
        <v>248</v>
      </c>
    </row>
    <row r="142" outlineLevel="1">
      <c r="A142" s="305" t="s">
        <v>315</v>
      </c>
      <c r="B142" s="301">
        <v>11.0</v>
      </c>
      <c r="C142" s="301">
        <v>12.0</v>
      </c>
      <c r="D142" s="301">
        <v>11.0</v>
      </c>
      <c r="E142" s="301">
        <v>17.0</v>
      </c>
      <c r="F142" s="301">
        <v>9.0</v>
      </c>
      <c r="G142" s="301">
        <v>17.0</v>
      </c>
      <c r="H142" s="301">
        <v>11.0</v>
      </c>
      <c r="I142" s="301">
        <v>10.0</v>
      </c>
      <c r="J142" s="301">
        <v>19.0</v>
      </c>
      <c r="K142" s="301">
        <v>19.0</v>
      </c>
      <c r="L142" s="301">
        <v>6.0</v>
      </c>
      <c r="M142" s="301">
        <v>6.0</v>
      </c>
      <c r="N142" s="301">
        <v>32.0</v>
      </c>
      <c r="O142" s="301">
        <v>19.0</v>
      </c>
      <c r="P142" s="301">
        <v>13.0</v>
      </c>
      <c r="Q142" s="301">
        <v>10.0</v>
      </c>
      <c r="R142" s="301">
        <v>14.0</v>
      </c>
      <c r="S142" s="301">
        <v>14.0</v>
      </c>
      <c r="T142" s="301">
        <v>7.0</v>
      </c>
      <c r="U142" s="301">
        <v>14.0</v>
      </c>
      <c r="V142" s="301">
        <v>10.0</v>
      </c>
      <c r="W142" s="301">
        <v>11.0</v>
      </c>
      <c r="X142" s="301">
        <v>15.0</v>
      </c>
      <c r="Y142" s="301">
        <v>8.0</v>
      </c>
      <c r="Z142" s="301">
        <v>10.0</v>
      </c>
      <c r="AA142" s="301">
        <v>8.0</v>
      </c>
      <c r="AB142" s="301">
        <v>8.0</v>
      </c>
      <c r="AC142" s="301">
        <v>6.0</v>
      </c>
      <c r="AD142" s="301">
        <v>13.0</v>
      </c>
      <c r="AE142" s="301">
        <v>10.0</v>
      </c>
      <c r="AF142" s="301">
        <v>9.0</v>
      </c>
      <c r="AG142" s="277">
        <f t="shared" si="62"/>
        <v>379</v>
      </c>
    </row>
    <row r="143" outlineLevel="1">
      <c r="A143" s="305" t="s">
        <v>316</v>
      </c>
      <c r="B143" s="301">
        <v>7.0</v>
      </c>
      <c r="C143" s="301">
        <v>5.0</v>
      </c>
      <c r="D143" s="301">
        <v>3.0</v>
      </c>
      <c r="E143" s="301">
        <v>3.0</v>
      </c>
      <c r="F143" s="301">
        <v>4.0</v>
      </c>
      <c r="G143" s="301">
        <v>2.0</v>
      </c>
      <c r="H143" s="301">
        <v>6.0</v>
      </c>
      <c r="I143" s="301">
        <v>8.0</v>
      </c>
      <c r="J143" s="301">
        <v>3.0</v>
      </c>
      <c r="K143" s="301">
        <v>6.0</v>
      </c>
      <c r="L143" s="301">
        <v>4.0</v>
      </c>
      <c r="M143" s="301">
        <v>3.0</v>
      </c>
      <c r="N143" s="301">
        <v>3.0</v>
      </c>
      <c r="O143" s="301">
        <v>5.0</v>
      </c>
      <c r="P143" s="301">
        <v>8.0</v>
      </c>
      <c r="Q143" s="301">
        <v>6.0</v>
      </c>
      <c r="R143" s="301">
        <v>3.0</v>
      </c>
      <c r="S143" s="302">
        <v>5.0</v>
      </c>
      <c r="T143" s="302">
        <v>2.0</v>
      </c>
      <c r="U143" s="301">
        <v>4.0</v>
      </c>
      <c r="V143" s="301">
        <v>5.0</v>
      </c>
      <c r="W143" s="301">
        <v>3.0</v>
      </c>
      <c r="X143" s="301">
        <v>5.0</v>
      </c>
      <c r="Y143" s="301">
        <v>3.0</v>
      </c>
      <c r="Z143" s="301">
        <v>3.0</v>
      </c>
      <c r="AA143" s="301">
        <v>3.0</v>
      </c>
      <c r="AB143" s="301">
        <v>2.0</v>
      </c>
      <c r="AC143" s="301">
        <v>3.0</v>
      </c>
      <c r="AD143" s="301">
        <v>3.0</v>
      </c>
      <c r="AE143" s="301">
        <v>5.0</v>
      </c>
      <c r="AF143" s="301">
        <v>1.0</v>
      </c>
      <c r="AG143" s="277">
        <f t="shared" si="62"/>
        <v>126</v>
      </c>
    </row>
    <row r="144" outlineLevel="1">
      <c r="A144" s="305" t="s">
        <v>317</v>
      </c>
      <c r="B144" s="301">
        <v>0.0</v>
      </c>
      <c r="C144" s="301">
        <v>0.0</v>
      </c>
      <c r="D144" s="301">
        <v>0.0</v>
      </c>
      <c r="E144" s="301">
        <v>0.0</v>
      </c>
      <c r="F144" s="301">
        <v>0.0</v>
      </c>
      <c r="G144" s="301">
        <v>0.0</v>
      </c>
      <c r="H144" s="301">
        <v>0.0</v>
      </c>
      <c r="I144" s="301">
        <v>0.0</v>
      </c>
      <c r="J144" s="301">
        <v>0.0</v>
      </c>
      <c r="K144" s="301">
        <v>0.0</v>
      </c>
      <c r="L144" s="301">
        <v>0.0</v>
      </c>
      <c r="M144" s="301">
        <v>0.0</v>
      </c>
      <c r="N144" s="301">
        <v>0.0</v>
      </c>
      <c r="O144" s="301">
        <v>0.0</v>
      </c>
      <c r="P144" s="301">
        <v>0.0</v>
      </c>
      <c r="Q144" s="301">
        <v>0.0</v>
      </c>
      <c r="R144" s="301">
        <v>0.0</v>
      </c>
      <c r="S144" s="301">
        <v>0.0</v>
      </c>
      <c r="T144" s="301">
        <v>0.0</v>
      </c>
      <c r="U144" s="301">
        <v>0.0</v>
      </c>
      <c r="V144" s="301">
        <v>0.0</v>
      </c>
      <c r="W144" s="301">
        <v>0.0</v>
      </c>
      <c r="X144" s="301">
        <v>0.0</v>
      </c>
      <c r="Y144" s="301">
        <v>0.0</v>
      </c>
      <c r="Z144" s="301">
        <v>0.0</v>
      </c>
      <c r="AA144" s="301">
        <v>0.0</v>
      </c>
      <c r="AB144" s="301">
        <v>0.0</v>
      </c>
      <c r="AC144" s="301">
        <v>0.0</v>
      </c>
      <c r="AD144" s="301">
        <v>0.0</v>
      </c>
      <c r="AE144" s="301">
        <v>0.0</v>
      </c>
      <c r="AF144" s="301">
        <v>0.0</v>
      </c>
      <c r="AG144" s="277">
        <f t="shared" si="62"/>
        <v>0</v>
      </c>
    </row>
    <row r="145" outlineLevel="1">
      <c r="A145" s="305" t="s">
        <v>318</v>
      </c>
      <c r="B145" s="301">
        <v>0.0</v>
      </c>
      <c r="C145" s="301">
        <v>0.0</v>
      </c>
      <c r="D145" s="301">
        <v>0.0</v>
      </c>
      <c r="E145" s="301">
        <v>0.0</v>
      </c>
      <c r="F145" s="301">
        <v>0.0</v>
      </c>
      <c r="G145" s="301">
        <v>0.0</v>
      </c>
      <c r="H145" s="301">
        <v>0.0</v>
      </c>
      <c r="I145" s="301">
        <v>0.0</v>
      </c>
      <c r="J145" s="301">
        <v>0.0</v>
      </c>
      <c r="K145" s="301">
        <v>0.0</v>
      </c>
      <c r="L145" s="301">
        <v>0.0</v>
      </c>
      <c r="M145" s="301">
        <v>0.0</v>
      </c>
      <c r="N145" s="301">
        <v>0.0</v>
      </c>
      <c r="O145" s="301">
        <v>0.0</v>
      </c>
      <c r="P145" s="301">
        <v>0.0</v>
      </c>
      <c r="Q145" s="301">
        <v>0.0</v>
      </c>
      <c r="R145" s="301">
        <v>0.0</v>
      </c>
      <c r="S145" s="301">
        <v>0.0</v>
      </c>
      <c r="T145" s="301">
        <v>0.0</v>
      </c>
      <c r="U145" s="301">
        <v>0.0</v>
      </c>
      <c r="V145" s="301">
        <v>0.0</v>
      </c>
      <c r="W145" s="301">
        <v>0.0</v>
      </c>
      <c r="X145" s="301">
        <v>0.0</v>
      </c>
      <c r="Y145" s="301">
        <v>0.0</v>
      </c>
      <c r="Z145" s="301">
        <v>0.0</v>
      </c>
      <c r="AA145" s="301">
        <v>0.0</v>
      </c>
      <c r="AB145" s="301">
        <v>0.0</v>
      </c>
      <c r="AC145" s="301">
        <v>0.0</v>
      </c>
      <c r="AD145" s="301">
        <v>0.0</v>
      </c>
      <c r="AE145" s="301">
        <v>0.0</v>
      </c>
      <c r="AF145" s="301">
        <v>0.0</v>
      </c>
      <c r="AG145" s="277">
        <f t="shared" si="62"/>
        <v>0</v>
      </c>
    </row>
    <row r="146">
      <c r="A146" s="307" t="s">
        <v>261</v>
      </c>
      <c r="B146" s="308">
        <f t="shared" ref="B146:AF146" si="63">SUM(B138:B145)</f>
        <v>124</v>
      </c>
      <c r="C146" s="308">
        <f t="shared" si="63"/>
        <v>146</v>
      </c>
      <c r="D146" s="308">
        <f t="shared" si="63"/>
        <v>88</v>
      </c>
      <c r="E146" s="308">
        <f t="shared" si="63"/>
        <v>113</v>
      </c>
      <c r="F146" s="308">
        <f t="shared" si="63"/>
        <v>91</v>
      </c>
      <c r="G146" s="308">
        <f t="shared" si="63"/>
        <v>95</v>
      </c>
      <c r="H146" s="308">
        <f t="shared" si="63"/>
        <v>99</v>
      </c>
      <c r="I146" s="308">
        <f t="shared" si="63"/>
        <v>152</v>
      </c>
      <c r="J146" s="308">
        <f t="shared" si="63"/>
        <v>156</v>
      </c>
      <c r="K146" s="308">
        <f t="shared" si="63"/>
        <v>143</v>
      </c>
      <c r="L146" s="308">
        <f t="shared" si="63"/>
        <v>108</v>
      </c>
      <c r="M146" s="308">
        <f t="shared" si="63"/>
        <v>98</v>
      </c>
      <c r="N146" s="308">
        <f t="shared" si="63"/>
        <v>218</v>
      </c>
      <c r="O146" s="308">
        <f t="shared" si="63"/>
        <v>172</v>
      </c>
      <c r="P146" s="308">
        <f t="shared" si="63"/>
        <v>186</v>
      </c>
      <c r="Q146" s="308">
        <f t="shared" si="63"/>
        <v>163</v>
      </c>
      <c r="R146" s="308">
        <f t="shared" si="63"/>
        <v>88</v>
      </c>
      <c r="S146" s="308">
        <f t="shared" si="63"/>
        <v>164</v>
      </c>
      <c r="T146" s="308">
        <f t="shared" si="63"/>
        <v>117</v>
      </c>
      <c r="U146" s="308">
        <f t="shared" si="63"/>
        <v>135</v>
      </c>
      <c r="V146" s="308">
        <f t="shared" si="63"/>
        <v>121</v>
      </c>
      <c r="W146" s="308">
        <f t="shared" si="63"/>
        <v>124</v>
      </c>
      <c r="X146" s="308">
        <f t="shared" si="63"/>
        <v>133</v>
      </c>
      <c r="Y146" s="308">
        <f t="shared" si="63"/>
        <v>87</v>
      </c>
      <c r="Z146" s="308">
        <f t="shared" si="63"/>
        <v>83</v>
      </c>
      <c r="AA146" s="308">
        <f t="shared" si="63"/>
        <v>76</v>
      </c>
      <c r="AB146" s="308">
        <f t="shared" si="63"/>
        <v>75</v>
      </c>
      <c r="AC146" s="308">
        <f t="shared" si="63"/>
        <v>66</v>
      </c>
      <c r="AD146" s="308">
        <f t="shared" si="63"/>
        <v>82</v>
      </c>
      <c r="AE146" s="308">
        <f t="shared" si="63"/>
        <v>96</v>
      </c>
      <c r="AF146" s="308">
        <f t="shared" si="63"/>
        <v>90</v>
      </c>
      <c r="AG146" s="277">
        <f t="shared" si="62"/>
        <v>3689</v>
      </c>
    </row>
    <row r="147">
      <c r="A147" s="35"/>
      <c r="B147" s="255"/>
      <c r="C147" s="255"/>
      <c r="D147" s="255"/>
      <c r="E147" s="255"/>
      <c r="F147" s="255"/>
      <c r="G147" s="255"/>
      <c r="H147" s="255"/>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91"/>
    </row>
    <row r="148">
      <c r="A148" s="305" t="s">
        <v>319</v>
      </c>
      <c r="B148" s="306"/>
      <c r="C148" s="306"/>
      <c r="D148" s="306"/>
      <c r="E148" s="306"/>
      <c r="F148" s="306"/>
      <c r="G148" s="306"/>
      <c r="H148" s="306"/>
      <c r="I148" s="306"/>
      <c r="J148" s="306"/>
      <c r="K148" s="306"/>
      <c r="L148" s="306"/>
      <c r="M148" s="306"/>
      <c r="N148" s="306"/>
      <c r="O148" s="306"/>
      <c r="P148" s="306"/>
      <c r="Q148" s="306"/>
      <c r="R148" s="306"/>
      <c r="S148" s="306"/>
      <c r="T148" s="306"/>
      <c r="U148" s="306"/>
      <c r="V148" s="306"/>
      <c r="W148" s="306"/>
      <c r="X148" s="306"/>
      <c r="Y148" s="306"/>
      <c r="Z148" s="306"/>
      <c r="AA148" s="306"/>
      <c r="AB148" s="306"/>
      <c r="AC148" s="306"/>
      <c r="AD148" s="306"/>
      <c r="AE148" s="306"/>
      <c r="AF148" s="306"/>
      <c r="AG148" s="291"/>
    </row>
    <row r="149" outlineLevel="1">
      <c r="A149" s="305" t="s">
        <v>311</v>
      </c>
      <c r="B149" s="301">
        <v>4.0</v>
      </c>
      <c r="C149" s="301">
        <v>1.0</v>
      </c>
      <c r="D149" s="301">
        <v>1.0</v>
      </c>
      <c r="E149" s="301">
        <v>1.0</v>
      </c>
      <c r="F149" s="301">
        <v>5.0</v>
      </c>
      <c r="G149" s="301">
        <v>6.0</v>
      </c>
      <c r="H149" s="301">
        <v>0.0</v>
      </c>
      <c r="I149" s="301">
        <v>4.0</v>
      </c>
      <c r="J149" s="301">
        <v>1.0</v>
      </c>
      <c r="K149" s="301">
        <v>4.0</v>
      </c>
      <c r="L149" s="301">
        <v>3.0</v>
      </c>
      <c r="M149" s="301">
        <v>6.0</v>
      </c>
      <c r="N149" s="301">
        <v>2.0</v>
      </c>
      <c r="O149" s="301">
        <v>8.0</v>
      </c>
      <c r="P149" s="301">
        <v>2.0</v>
      </c>
      <c r="Q149" s="301">
        <v>7.0</v>
      </c>
      <c r="R149" s="301">
        <v>2.0</v>
      </c>
      <c r="S149" s="301">
        <v>4.0</v>
      </c>
      <c r="T149" s="302">
        <v>1.0</v>
      </c>
      <c r="U149" s="301">
        <v>5.0</v>
      </c>
      <c r="V149" s="301">
        <v>5.0</v>
      </c>
      <c r="W149" s="301">
        <v>6.0</v>
      </c>
      <c r="X149" s="301">
        <v>1.0</v>
      </c>
      <c r="Y149" s="301">
        <v>3.0</v>
      </c>
      <c r="Z149" s="301">
        <v>4.0</v>
      </c>
      <c r="AA149" s="301">
        <v>4.0</v>
      </c>
      <c r="AB149" s="301">
        <v>4.0</v>
      </c>
      <c r="AC149" s="301">
        <v>4.0</v>
      </c>
      <c r="AD149" s="301">
        <v>3.0</v>
      </c>
      <c r="AE149" s="301">
        <v>1.0</v>
      </c>
      <c r="AF149" s="301">
        <v>4.0</v>
      </c>
      <c r="AG149" s="277">
        <f t="shared" ref="AG149:AG157" si="64">sum(B149:AF149)</f>
        <v>106</v>
      </c>
    </row>
    <row r="150" outlineLevel="1">
      <c r="A150" s="305" t="s">
        <v>312</v>
      </c>
      <c r="B150" s="301">
        <v>2.0</v>
      </c>
      <c r="C150" s="301">
        <v>0.0</v>
      </c>
      <c r="D150" s="301">
        <v>1.0</v>
      </c>
      <c r="E150" s="301">
        <v>2.0</v>
      </c>
      <c r="F150" s="301">
        <v>3.0</v>
      </c>
      <c r="G150" s="301">
        <v>4.0</v>
      </c>
      <c r="H150" s="301">
        <v>0.0</v>
      </c>
      <c r="I150" s="301">
        <v>3.0</v>
      </c>
      <c r="J150" s="301">
        <v>0.0</v>
      </c>
      <c r="K150" s="301">
        <v>2.0</v>
      </c>
      <c r="L150" s="301">
        <v>3.0</v>
      </c>
      <c r="M150" s="301">
        <v>1.0</v>
      </c>
      <c r="N150" s="301">
        <v>1.0</v>
      </c>
      <c r="O150" s="301">
        <v>1.0</v>
      </c>
      <c r="P150" s="301">
        <v>4.0</v>
      </c>
      <c r="Q150" s="301">
        <v>2.0</v>
      </c>
      <c r="R150" s="301">
        <v>2.0</v>
      </c>
      <c r="S150" s="301">
        <v>1.0</v>
      </c>
      <c r="T150" s="301">
        <v>1.0</v>
      </c>
      <c r="U150" s="301">
        <v>1.0</v>
      </c>
      <c r="V150" s="301">
        <v>2.0</v>
      </c>
      <c r="W150" s="301">
        <v>1.0</v>
      </c>
      <c r="X150" s="301">
        <v>3.0</v>
      </c>
      <c r="Y150" s="301">
        <v>1.0</v>
      </c>
      <c r="Z150" s="301">
        <v>2.0</v>
      </c>
      <c r="AA150" s="301">
        <v>2.0</v>
      </c>
      <c r="AB150" s="301">
        <v>0.0</v>
      </c>
      <c r="AC150" s="301">
        <v>1.0</v>
      </c>
      <c r="AD150" s="301">
        <v>1.0</v>
      </c>
      <c r="AE150" s="301">
        <v>1.0</v>
      </c>
      <c r="AF150" s="301">
        <v>2.0</v>
      </c>
      <c r="AG150" s="277">
        <f t="shared" si="64"/>
        <v>50</v>
      </c>
    </row>
    <row r="151" outlineLevel="1">
      <c r="A151" s="305" t="s">
        <v>320</v>
      </c>
      <c r="B151" s="301">
        <v>3.0</v>
      </c>
      <c r="C151" s="301">
        <v>2.0</v>
      </c>
      <c r="D151" s="301">
        <v>0.0</v>
      </c>
      <c r="E151" s="301">
        <v>1.0</v>
      </c>
      <c r="F151" s="301">
        <v>2.0</v>
      </c>
      <c r="G151" s="301">
        <v>2.0</v>
      </c>
      <c r="H151" s="301">
        <v>1.0</v>
      </c>
      <c r="I151" s="301">
        <v>2.0</v>
      </c>
      <c r="J151" s="301">
        <v>0.0</v>
      </c>
      <c r="K151" s="301">
        <v>1.0</v>
      </c>
      <c r="L151" s="301">
        <v>2.0</v>
      </c>
      <c r="M151" s="301">
        <v>3.0</v>
      </c>
      <c r="N151" s="301">
        <v>0.0</v>
      </c>
      <c r="O151" s="301">
        <v>1.0</v>
      </c>
      <c r="P151" s="301">
        <v>3.0</v>
      </c>
      <c r="Q151" s="301">
        <v>3.0</v>
      </c>
      <c r="R151" s="301">
        <v>1.0</v>
      </c>
      <c r="S151" s="301">
        <v>0.0</v>
      </c>
      <c r="T151" s="301">
        <v>0.0</v>
      </c>
      <c r="U151" s="301">
        <v>1.0</v>
      </c>
      <c r="V151" s="301">
        <v>3.0</v>
      </c>
      <c r="W151" s="301">
        <v>1.0</v>
      </c>
      <c r="X151" s="301">
        <v>0.0</v>
      </c>
      <c r="Y151" s="301">
        <v>1.0</v>
      </c>
      <c r="Z151" s="301">
        <v>2.0</v>
      </c>
      <c r="AA151" s="301">
        <v>1.0</v>
      </c>
      <c r="AB151" s="301">
        <v>1.0</v>
      </c>
      <c r="AC151" s="301">
        <v>1.0</v>
      </c>
      <c r="AD151" s="301">
        <v>0.0</v>
      </c>
      <c r="AE151" s="301">
        <v>0.0</v>
      </c>
      <c r="AF151" s="301">
        <v>0.0</v>
      </c>
      <c r="AG151" s="277">
        <f t="shared" si="64"/>
        <v>38</v>
      </c>
    </row>
    <row r="152" outlineLevel="1">
      <c r="A152" s="305" t="s">
        <v>321</v>
      </c>
      <c r="B152" s="301">
        <v>0.0</v>
      </c>
      <c r="C152" s="301">
        <v>0.0</v>
      </c>
      <c r="D152" s="301">
        <v>0.0</v>
      </c>
      <c r="E152" s="301">
        <v>2.0</v>
      </c>
      <c r="F152" s="301">
        <v>3.0</v>
      </c>
      <c r="G152" s="301">
        <v>2.0</v>
      </c>
      <c r="H152" s="301">
        <v>0.0</v>
      </c>
      <c r="I152" s="301">
        <v>0.0</v>
      </c>
      <c r="J152" s="301">
        <v>0.0</v>
      </c>
      <c r="K152" s="301">
        <v>2.0</v>
      </c>
      <c r="L152" s="301">
        <v>0.0</v>
      </c>
      <c r="M152" s="301">
        <v>1.0</v>
      </c>
      <c r="N152" s="301">
        <v>0.0</v>
      </c>
      <c r="O152" s="301">
        <v>0.0</v>
      </c>
      <c r="P152" s="301">
        <v>1.0</v>
      </c>
      <c r="Q152" s="301">
        <v>0.0</v>
      </c>
      <c r="R152" s="301">
        <v>0.0</v>
      </c>
      <c r="S152" s="302">
        <v>0.0</v>
      </c>
      <c r="T152" s="302">
        <v>0.0</v>
      </c>
      <c r="U152" s="301">
        <v>0.0</v>
      </c>
      <c r="V152" s="301">
        <v>0.0</v>
      </c>
      <c r="W152" s="301">
        <v>0.0</v>
      </c>
      <c r="X152" s="301">
        <v>1.0</v>
      </c>
      <c r="Y152" s="301">
        <v>0.0</v>
      </c>
      <c r="Z152" s="301">
        <v>0.0</v>
      </c>
      <c r="AA152" s="301">
        <v>0.0</v>
      </c>
      <c r="AB152" s="301">
        <v>0.0</v>
      </c>
      <c r="AC152" s="301">
        <v>1.0</v>
      </c>
      <c r="AD152" s="301">
        <v>0.0</v>
      </c>
      <c r="AE152" s="301">
        <v>0.0</v>
      </c>
      <c r="AF152" s="301">
        <v>0.0</v>
      </c>
      <c r="AG152" s="277">
        <f t="shared" si="64"/>
        <v>13</v>
      </c>
    </row>
    <row r="153" outlineLevel="1">
      <c r="A153" s="305" t="s">
        <v>322</v>
      </c>
      <c r="B153" s="301">
        <v>1.0</v>
      </c>
      <c r="C153" s="301">
        <v>0.0</v>
      </c>
      <c r="D153" s="301">
        <v>3.0</v>
      </c>
      <c r="E153" s="301">
        <v>2.0</v>
      </c>
      <c r="F153" s="301">
        <v>0.0</v>
      </c>
      <c r="G153" s="301">
        <v>0.0</v>
      </c>
      <c r="H153" s="301">
        <v>1.0</v>
      </c>
      <c r="I153" s="301">
        <v>6.0</v>
      </c>
      <c r="J153" s="301">
        <v>2.0</v>
      </c>
      <c r="K153" s="301">
        <v>2.0</v>
      </c>
      <c r="L153" s="301">
        <v>2.0</v>
      </c>
      <c r="M153" s="301">
        <v>3.0</v>
      </c>
      <c r="N153" s="301">
        <v>0.0</v>
      </c>
      <c r="O153" s="301">
        <v>1.0</v>
      </c>
      <c r="P153" s="301">
        <v>1.0</v>
      </c>
      <c r="Q153" s="301">
        <v>1.0</v>
      </c>
      <c r="R153" s="301">
        <v>0.0</v>
      </c>
      <c r="S153" s="301">
        <v>1.0</v>
      </c>
      <c r="T153" s="301">
        <v>1.0</v>
      </c>
      <c r="U153" s="301">
        <v>2.0</v>
      </c>
      <c r="V153" s="301">
        <v>1.0</v>
      </c>
      <c r="W153" s="301">
        <v>2.0</v>
      </c>
      <c r="X153" s="301">
        <v>0.0</v>
      </c>
      <c r="Y153" s="301">
        <v>0.0</v>
      </c>
      <c r="Z153" s="302">
        <v>3.0</v>
      </c>
      <c r="AA153" s="301">
        <v>0.0</v>
      </c>
      <c r="AB153" s="301">
        <v>0.0</v>
      </c>
      <c r="AC153" s="301">
        <v>2.0</v>
      </c>
      <c r="AD153" s="301">
        <v>4.0</v>
      </c>
      <c r="AE153" s="301">
        <v>1.0</v>
      </c>
      <c r="AF153" s="301">
        <v>0.0</v>
      </c>
      <c r="AG153" s="277">
        <f t="shared" si="64"/>
        <v>42</v>
      </c>
    </row>
    <row r="154" outlineLevel="1">
      <c r="A154" s="305" t="s">
        <v>323</v>
      </c>
      <c r="B154" s="301">
        <v>0.0</v>
      </c>
      <c r="C154" s="301">
        <v>1.0</v>
      </c>
      <c r="D154" s="301">
        <v>1.0</v>
      </c>
      <c r="E154" s="301">
        <v>1.0</v>
      </c>
      <c r="F154" s="301">
        <v>0.0</v>
      </c>
      <c r="G154" s="301">
        <v>0.0</v>
      </c>
      <c r="H154" s="301">
        <v>0.0</v>
      </c>
      <c r="I154" s="301">
        <v>0.0</v>
      </c>
      <c r="J154" s="301">
        <v>1.0</v>
      </c>
      <c r="K154" s="301">
        <v>0.0</v>
      </c>
      <c r="L154" s="301">
        <v>0.0</v>
      </c>
      <c r="M154" s="301">
        <v>2.0</v>
      </c>
      <c r="N154" s="301">
        <v>0.0</v>
      </c>
      <c r="O154" s="301">
        <v>0.0</v>
      </c>
      <c r="P154" s="301">
        <v>0.0</v>
      </c>
      <c r="Q154" s="301">
        <v>0.0</v>
      </c>
      <c r="R154" s="301">
        <v>0.0</v>
      </c>
      <c r="S154" s="302">
        <v>0.0</v>
      </c>
      <c r="T154" s="302">
        <v>0.0</v>
      </c>
      <c r="U154" s="301">
        <v>1.0</v>
      </c>
      <c r="V154" s="301">
        <v>0.0</v>
      </c>
      <c r="W154" s="301">
        <v>1.0</v>
      </c>
      <c r="X154" s="301">
        <v>0.0</v>
      </c>
      <c r="Y154" s="301">
        <v>0.0</v>
      </c>
      <c r="Z154" s="301">
        <v>1.0</v>
      </c>
      <c r="AA154" s="301">
        <v>0.0</v>
      </c>
      <c r="AB154" s="301">
        <v>0.0</v>
      </c>
      <c r="AC154" s="301">
        <v>0.0</v>
      </c>
      <c r="AD154" s="301">
        <v>0.0</v>
      </c>
      <c r="AE154" s="301">
        <v>0.0</v>
      </c>
      <c r="AF154" s="301">
        <v>2.0</v>
      </c>
      <c r="AG154" s="277">
        <f t="shared" si="64"/>
        <v>11</v>
      </c>
    </row>
    <row r="155" outlineLevel="1">
      <c r="A155" s="305" t="s">
        <v>324</v>
      </c>
      <c r="B155" s="301">
        <v>0.0</v>
      </c>
      <c r="C155" s="301">
        <v>0.0</v>
      </c>
      <c r="D155" s="301">
        <v>0.0</v>
      </c>
      <c r="E155" s="301">
        <v>0.0</v>
      </c>
      <c r="F155" s="301">
        <v>0.0</v>
      </c>
      <c r="G155" s="301">
        <v>0.0</v>
      </c>
      <c r="H155" s="301">
        <v>0.0</v>
      </c>
      <c r="I155" s="301">
        <v>0.0</v>
      </c>
      <c r="J155" s="301">
        <v>0.0</v>
      </c>
      <c r="K155" s="301">
        <v>0.0</v>
      </c>
      <c r="L155" s="301">
        <v>0.0</v>
      </c>
      <c r="M155" s="301">
        <v>0.0</v>
      </c>
      <c r="N155" s="301">
        <v>0.0</v>
      </c>
      <c r="O155" s="301">
        <v>0.0</v>
      </c>
      <c r="P155" s="301">
        <v>0.0</v>
      </c>
      <c r="Q155" s="301">
        <v>0.0</v>
      </c>
      <c r="R155" s="301">
        <v>0.0</v>
      </c>
      <c r="S155" s="301">
        <v>0.0</v>
      </c>
      <c r="T155" s="301">
        <v>0.0</v>
      </c>
      <c r="U155" s="301">
        <v>0.0</v>
      </c>
      <c r="V155" s="301">
        <v>0.0</v>
      </c>
      <c r="W155" s="301">
        <v>0.0</v>
      </c>
      <c r="X155" s="301">
        <v>0.0</v>
      </c>
      <c r="Y155" s="301">
        <v>0.0</v>
      </c>
      <c r="Z155" s="301">
        <v>0.0</v>
      </c>
      <c r="AA155" s="301">
        <v>0.0</v>
      </c>
      <c r="AB155" s="301">
        <v>0.0</v>
      </c>
      <c r="AC155" s="301">
        <v>0.0</v>
      </c>
      <c r="AD155" s="301">
        <v>0.0</v>
      </c>
      <c r="AE155" s="301">
        <v>0.0</v>
      </c>
      <c r="AF155" s="301">
        <v>0.0</v>
      </c>
      <c r="AG155" s="277">
        <f t="shared" si="64"/>
        <v>0</v>
      </c>
    </row>
    <row r="156" outlineLevel="1">
      <c r="A156" s="305" t="s">
        <v>325</v>
      </c>
      <c r="B156" s="301">
        <v>0.0</v>
      </c>
      <c r="C156" s="301">
        <v>0.0</v>
      </c>
      <c r="D156" s="301">
        <v>0.0</v>
      </c>
      <c r="E156" s="301">
        <v>0.0</v>
      </c>
      <c r="F156" s="301">
        <v>0.0</v>
      </c>
      <c r="G156" s="301">
        <v>0.0</v>
      </c>
      <c r="H156" s="301">
        <v>0.0</v>
      </c>
      <c r="I156" s="301">
        <v>0.0</v>
      </c>
      <c r="J156" s="301">
        <v>0.0</v>
      </c>
      <c r="K156" s="301">
        <v>0.0</v>
      </c>
      <c r="L156" s="301">
        <v>0.0</v>
      </c>
      <c r="M156" s="301">
        <v>0.0</v>
      </c>
      <c r="N156" s="301">
        <v>0.0</v>
      </c>
      <c r="O156" s="301">
        <v>0.0</v>
      </c>
      <c r="P156" s="301">
        <v>0.0</v>
      </c>
      <c r="Q156" s="301">
        <v>0.0</v>
      </c>
      <c r="R156" s="301">
        <v>0.0</v>
      </c>
      <c r="S156" s="301">
        <v>0.0</v>
      </c>
      <c r="T156" s="301">
        <v>0.0</v>
      </c>
      <c r="U156" s="301">
        <v>0.0</v>
      </c>
      <c r="V156" s="301">
        <v>0.0</v>
      </c>
      <c r="W156" s="301">
        <v>0.0</v>
      </c>
      <c r="X156" s="301">
        <v>0.0</v>
      </c>
      <c r="Y156" s="301">
        <v>0.0</v>
      </c>
      <c r="Z156" s="301">
        <v>0.0</v>
      </c>
      <c r="AA156" s="301">
        <v>0.0</v>
      </c>
      <c r="AB156" s="301">
        <v>0.0</v>
      </c>
      <c r="AC156" s="301">
        <v>0.0</v>
      </c>
      <c r="AD156" s="301">
        <v>0.0</v>
      </c>
      <c r="AE156" s="301">
        <v>0.0</v>
      </c>
      <c r="AF156" s="301">
        <v>0.0</v>
      </c>
      <c r="AG156" s="277">
        <f t="shared" si="64"/>
        <v>0</v>
      </c>
    </row>
    <row r="157">
      <c r="A157" s="307" t="s">
        <v>261</v>
      </c>
      <c r="B157" s="308">
        <f t="shared" ref="B157:AF157" si="65">SUM(B149:B156)</f>
        <v>10</v>
      </c>
      <c r="C157" s="308">
        <f t="shared" si="65"/>
        <v>4</v>
      </c>
      <c r="D157" s="308">
        <f t="shared" si="65"/>
        <v>6</v>
      </c>
      <c r="E157" s="308">
        <f t="shared" si="65"/>
        <v>9</v>
      </c>
      <c r="F157" s="308">
        <f t="shared" si="65"/>
        <v>13</v>
      </c>
      <c r="G157" s="308">
        <f t="shared" si="65"/>
        <v>14</v>
      </c>
      <c r="H157" s="308">
        <f t="shared" si="65"/>
        <v>2</v>
      </c>
      <c r="I157" s="308">
        <f t="shared" si="65"/>
        <v>15</v>
      </c>
      <c r="J157" s="308">
        <f t="shared" si="65"/>
        <v>4</v>
      </c>
      <c r="K157" s="308">
        <f t="shared" si="65"/>
        <v>11</v>
      </c>
      <c r="L157" s="308">
        <f t="shared" si="65"/>
        <v>10</v>
      </c>
      <c r="M157" s="308">
        <f t="shared" si="65"/>
        <v>16</v>
      </c>
      <c r="N157" s="308">
        <f t="shared" si="65"/>
        <v>3</v>
      </c>
      <c r="O157" s="308">
        <f t="shared" si="65"/>
        <v>11</v>
      </c>
      <c r="P157" s="308">
        <f t="shared" si="65"/>
        <v>11</v>
      </c>
      <c r="Q157" s="308">
        <f t="shared" si="65"/>
        <v>13</v>
      </c>
      <c r="R157" s="308">
        <f t="shared" si="65"/>
        <v>5</v>
      </c>
      <c r="S157" s="308">
        <f t="shared" si="65"/>
        <v>6</v>
      </c>
      <c r="T157" s="308">
        <f t="shared" si="65"/>
        <v>3</v>
      </c>
      <c r="U157" s="308">
        <f t="shared" si="65"/>
        <v>10</v>
      </c>
      <c r="V157" s="308">
        <f t="shared" si="65"/>
        <v>11</v>
      </c>
      <c r="W157" s="308">
        <f t="shared" si="65"/>
        <v>11</v>
      </c>
      <c r="X157" s="308">
        <f t="shared" si="65"/>
        <v>5</v>
      </c>
      <c r="Y157" s="308">
        <f t="shared" si="65"/>
        <v>5</v>
      </c>
      <c r="Z157" s="308">
        <f t="shared" si="65"/>
        <v>12</v>
      </c>
      <c r="AA157" s="308">
        <f t="shared" si="65"/>
        <v>7</v>
      </c>
      <c r="AB157" s="308">
        <f t="shared" si="65"/>
        <v>5</v>
      </c>
      <c r="AC157" s="308">
        <f t="shared" si="65"/>
        <v>9</v>
      </c>
      <c r="AD157" s="308">
        <f t="shared" si="65"/>
        <v>8</v>
      </c>
      <c r="AE157" s="308">
        <f t="shared" si="65"/>
        <v>3</v>
      </c>
      <c r="AF157" s="308">
        <f t="shared" si="65"/>
        <v>8</v>
      </c>
      <c r="AG157" s="277">
        <f t="shared" si="64"/>
        <v>260</v>
      </c>
    </row>
    <row r="158">
      <c r="A158" s="35"/>
      <c r="B158" s="255"/>
      <c r="C158" s="255"/>
      <c r="D158" s="255"/>
      <c r="E158" s="255"/>
      <c r="F158" s="255"/>
      <c r="G158" s="255"/>
      <c r="H158" s="255"/>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91"/>
    </row>
    <row r="159">
      <c r="A159" s="304" t="s">
        <v>326</v>
      </c>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291"/>
    </row>
    <row r="160">
      <c r="A160" s="305" t="s">
        <v>298</v>
      </c>
      <c r="B160" s="306"/>
      <c r="C160" s="306"/>
      <c r="D160" s="306"/>
      <c r="E160" s="306"/>
      <c r="F160" s="306"/>
      <c r="G160" s="306"/>
      <c r="H160" s="306"/>
      <c r="I160" s="306"/>
      <c r="J160" s="306"/>
      <c r="K160" s="306"/>
      <c r="L160" s="306"/>
      <c r="M160" s="306"/>
      <c r="N160" s="306"/>
      <c r="O160" s="306"/>
      <c r="P160" s="306"/>
      <c r="Q160" s="306"/>
      <c r="R160" s="306"/>
      <c r="S160" s="306"/>
      <c r="T160" s="306"/>
      <c r="U160" s="306"/>
      <c r="V160" s="306"/>
      <c r="W160" s="306"/>
      <c r="X160" s="306"/>
      <c r="Y160" s="306"/>
      <c r="Z160" s="306"/>
      <c r="AA160" s="306"/>
      <c r="AB160" s="306"/>
      <c r="AC160" s="306"/>
      <c r="AD160" s="306"/>
      <c r="AE160" s="306"/>
      <c r="AF160" s="306"/>
      <c r="AG160" s="309"/>
    </row>
    <row r="161" outlineLevel="1">
      <c r="A161" s="305" t="s">
        <v>327</v>
      </c>
      <c r="B161" s="310">
        <v>2967.11</v>
      </c>
      <c r="C161" s="310">
        <v>5992.74</v>
      </c>
      <c r="D161" s="310">
        <v>2728.77</v>
      </c>
      <c r="E161" s="310">
        <v>1922.13</v>
      </c>
      <c r="F161" s="310">
        <v>2742.59</v>
      </c>
      <c r="G161" s="310">
        <v>4660.93</v>
      </c>
      <c r="H161" s="310">
        <v>3171.11</v>
      </c>
      <c r="I161" s="310">
        <v>4023.91</v>
      </c>
      <c r="J161" s="310">
        <v>2712.21</v>
      </c>
      <c r="K161" s="310">
        <v>5052.43</v>
      </c>
      <c r="L161" s="310">
        <v>7602.53</v>
      </c>
      <c r="M161" s="310">
        <v>9508.52</v>
      </c>
      <c r="N161" s="310">
        <v>8372.95</v>
      </c>
      <c r="O161" s="310">
        <v>10026.7</v>
      </c>
      <c r="P161" s="310">
        <v>9138.64</v>
      </c>
      <c r="Q161" s="310">
        <v>11747.78</v>
      </c>
      <c r="R161" s="310">
        <v>3627.78</v>
      </c>
      <c r="S161" s="310">
        <v>8135.08</v>
      </c>
      <c r="T161" s="310">
        <v>6312.15</v>
      </c>
      <c r="U161" s="310">
        <v>6870.38</v>
      </c>
      <c r="V161" s="310">
        <v>4584.3</v>
      </c>
      <c r="W161" s="310">
        <v>0.0</v>
      </c>
      <c r="X161" s="310">
        <v>0.0</v>
      </c>
      <c r="Y161" s="310">
        <v>0.0</v>
      </c>
      <c r="Z161" s="310">
        <v>0.0</v>
      </c>
      <c r="AA161" s="310">
        <v>0.0</v>
      </c>
      <c r="AB161" s="310">
        <v>0.0</v>
      </c>
      <c r="AC161" s="310">
        <v>1625.04</v>
      </c>
      <c r="AD161" s="310">
        <v>640.28</v>
      </c>
      <c r="AE161" s="310">
        <v>3330.39</v>
      </c>
      <c r="AF161" s="310">
        <v>1903.44</v>
      </c>
      <c r="AG161" s="136">
        <f t="shared" ref="AG161:AG164" si="66">SUM(B161:AF161)</f>
        <v>129399.89</v>
      </c>
    </row>
    <row r="162" outlineLevel="1">
      <c r="A162" s="305" t="s">
        <v>328</v>
      </c>
      <c r="B162" s="310">
        <v>5798.8</v>
      </c>
      <c r="C162" s="310">
        <v>5272.08</v>
      </c>
      <c r="D162" s="310">
        <v>5286.04</v>
      </c>
      <c r="E162" s="310">
        <v>5480.43</v>
      </c>
      <c r="F162" s="310">
        <v>6449.47</v>
      </c>
      <c r="G162" s="310">
        <v>4409.2</v>
      </c>
      <c r="H162" s="310">
        <v>9148.27</v>
      </c>
      <c r="I162" s="310">
        <v>6093.04</v>
      </c>
      <c r="J162" s="310">
        <v>6813.72</v>
      </c>
      <c r="K162" s="310">
        <v>7046.59</v>
      </c>
      <c r="L162" s="310">
        <v>3045.63</v>
      </c>
      <c r="M162" s="310">
        <v>1704.84</v>
      </c>
      <c r="N162" s="310">
        <v>2200.84</v>
      </c>
      <c r="O162" s="310">
        <v>2040.67</v>
      </c>
      <c r="P162" s="310">
        <v>2601.72</v>
      </c>
      <c r="Q162" s="310">
        <v>1346.19</v>
      </c>
      <c r="R162" s="310">
        <v>2136.86</v>
      </c>
      <c r="S162" s="310">
        <v>3101.34</v>
      </c>
      <c r="T162" s="310">
        <v>2317.89</v>
      </c>
      <c r="U162" s="310">
        <v>1829.9</v>
      </c>
      <c r="V162" s="310">
        <v>4459.05</v>
      </c>
      <c r="W162" s="310">
        <v>5956.29</v>
      </c>
      <c r="X162" s="310">
        <v>5804.21</v>
      </c>
      <c r="Y162" s="310">
        <v>4010.36</v>
      </c>
      <c r="Z162" s="310">
        <v>5255.57</v>
      </c>
      <c r="AA162" s="310">
        <v>4675.79</v>
      </c>
      <c r="AB162" s="310">
        <v>6939.74</v>
      </c>
      <c r="AC162" s="310">
        <v>3494.65</v>
      </c>
      <c r="AD162" s="310">
        <v>2930.66</v>
      </c>
      <c r="AE162" s="310">
        <v>2655.81</v>
      </c>
      <c r="AF162" s="310">
        <v>3498.03</v>
      </c>
      <c r="AG162" s="136">
        <f t="shared" si="66"/>
        <v>133803.68</v>
      </c>
    </row>
    <row r="163" outlineLevel="1">
      <c r="A163" s="305" t="s">
        <v>329</v>
      </c>
      <c r="B163" s="310">
        <v>15102.14</v>
      </c>
      <c r="C163" s="310">
        <v>14381.47</v>
      </c>
      <c r="D163" s="310">
        <v>11719.12</v>
      </c>
      <c r="E163" s="310">
        <v>12667.16</v>
      </c>
      <c r="F163" s="310">
        <v>11198.42</v>
      </c>
      <c r="G163" s="310">
        <v>11386.44</v>
      </c>
      <c r="H163" s="310">
        <v>12792.62</v>
      </c>
      <c r="I163" s="310">
        <v>16065.92</v>
      </c>
      <c r="J163" s="310">
        <v>15416.41</v>
      </c>
      <c r="K163" s="310">
        <v>18399.16</v>
      </c>
      <c r="L163" s="310">
        <v>26105.75</v>
      </c>
      <c r="M163" s="310">
        <v>23479.89</v>
      </c>
      <c r="N163" s="310">
        <v>42032.57</v>
      </c>
      <c r="O163" s="310">
        <v>32814.07</v>
      </c>
      <c r="P163" s="310">
        <v>29552.61</v>
      </c>
      <c r="Q163" s="310">
        <v>30597.27</v>
      </c>
      <c r="R163" s="310">
        <v>15790.11</v>
      </c>
      <c r="S163" s="310">
        <v>28895.96</v>
      </c>
      <c r="T163" s="310">
        <v>23067.28</v>
      </c>
      <c r="U163" s="310">
        <v>24137.54</v>
      </c>
      <c r="V163" s="310">
        <v>22481.63</v>
      </c>
      <c r="W163" s="310">
        <v>25516.77</v>
      </c>
      <c r="X163" s="310">
        <v>20345.72</v>
      </c>
      <c r="Y163" s="310">
        <v>17912.13</v>
      </c>
      <c r="Z163" s="310">
        <v>17324.88</v>
      </c>
      <c r="AA163" s="310">
        <v>17241.64</v>
      </c>
      <c r="AB163" s="310">
        <v>18536.47</v>
      </c>
      <c r="AC163" s="310">
        <v>17642.33</v>
      </c>
      <c r="AD163" s="310">
        <v>16838.88</v>
      </c>
      <c r="AE163" s="310">
        <v>15870.64</v>
      </c>
      <c r="AF163" s="310">
        <v>18673.72</v>
      </c>
      <c r="AG163" s="136">
        <f t="shared" si="66"/>
        <v>623986.72</v>
      </c>
    </row>
    <row r="164" outlineLevel="1">
      <c r="A164" s="305" t="s">
        <v>330</v>
      </c>
      <c r="B164" s="310">
        <v>13093.35</v>
      </c>
      <c r="C164" s="310">
        <v>10805.69</v>
      </c>
      <c r="D164" s="310">
        <v>11783.47</v>
      </c>
      <c r="E164" s="310">
        <v>14379.6</v>
      </c>
      <c r="F164" s="310">
        <v>13418.49</v>
      </c>
      <c r="G164" s="310">
        <v>15818.71</v>
      </c>
      <c r="H164" s="310">
        <v>14185.54</v>
      </c>
      <c r="I164" s="310">
        <v>18783.24</v>
      </c>
      <c r="J164" s="310">
        <v>17535.87</v>
      </c>
      <c r="K164" s="310">
        <v>9530.32</v>
      </c>
      <c r="L164" s="310">
        <v>5423.95</v>
      </c>
      <c r="M164" s="310">
        <v>6944.75</v>
      </c>
      <c r="N164" s="310">
        <v>12471.36</v>
      </c>
      <c r="O164" s="310">
        <v>13154.41</v>
      </c>
      <c r="P164" s="310">
        <v>7958.05</v>
      </c>
      <c r="Q164" s="310">
        <v>5822.44</v>
      </c>
      <c r="R164" s="310">
        <v>6170.59</v>
      </c>
      <c r="S164" s="310">
        <v>9531.79</v>
      </c>
      <c r="T164" s="310">
        <v>5240.7</v>
      </c>
      <c r="U164" s="310">
        <v>7684.99</v>
      </c>
      <c r="V164" s="310">
        <v>5936.07</v>
      </c>
      <c r="W164" s="310">
        <v>6184.27</v>
      </c>
      <c r="X164" s="310">
        <v>5719.23</v>
      </c>
      <c r="Y164" s="310">
        <v>4547.21</v>
      </c>
      <c r="Z164" s="310">
        <v>4844.29</v>
      </c>
      <c r="AA164" s="310">
        <v>4448.43</v>
      </c>
      <c r="AB164" s="310">
        <v>4012.41</v>
      </c>
      <c r="AC164" s="310">
        <v>2478.58</v>
      </c>
      <c r="AD164" s="310">
        <v>5139.79</v>
      </c>
      <c r="AE164" s="310">
        <v>4707.0</v>
      </c>
      <c r="AF164" s="310">
        <v>5966.87</v>
      </c>
      <c r="AG164" s="136">
        <f t="shared" si="66"/>
        <v>273721.46</v>
      </c>
    </row>
    <row r="165">
      <c r="A165" s="305" t="s">
        <v>303</v>
      </c>
      <c r="B165" s="306"/>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c r="AA165" s="306"/>
      <c r="AB165" s="306"/>
      <c r="AC165" s="306"/>
      <c r="AD165" s="306"/>
      <c r="AE165" s="306"/>
      <c r="AF165" s="306"/>
      <c r="AG165" s="309"/>
    </row>
    <row r="166" outlineLevel="1">
      <c r="A166" s="305" t="s">
        <v>331</v>
      </c>
      <c r="B166" s="311">
        <v>398.0</v>
      </c>
      <c r="C166" s="311">
        <v>199.0</v>
      </c>
      <c r="D166" s="311">
        <v>0.0</v>
      </c>
      <c r="E166" s="311">
        <v>199.0</v>
      </c>
      <c r="F166" s="311">
        <v>398.0</v>
      </c>
      <c r="G166" s="311">
        <v>398.0</v>
      </c>
      <c r="H166" s="311">
        <v>199.0</v>
      </c>
      <c r="I166" s="311">
        <v>398.0</v>
      </c>
      <c r="J166" s="311">
        <v>0.0</v>
      </c>
      <c r="K166" s="311">
        <v>0.0</v>
      </c>
      <c r="L166" s="311">
        <v>199.0</v>
      </c>
      <c r="M166" s="311">
        <v>179.1</v>
      </c>
      <c r="N166" s="311">
        <v>537.3</v>
      </c>
      <c r="O166" s="311">
        <v>935.3</v>
      </c>
      <c r="P166" s="311">
        <v>179.1</v>
      </c>
      <c r="Q166" s="311">
        <v>736.3</v>
      </c>
      <c r="R166" s="311">
        <v>179.1</v>
      </c>
      <c r="S166" s="311">
        <v>0.0</v>
      </c>
      <c r="T166" s="311">
        <v>0.0</v>
      </c>
      <c r="U166" s="311">
        <v>552.2</v>
      </c>
      <c r="V166" s="311">
        <v>179.1</v>
      </c>
      <c r="W166" s="311">
        <v>0.0</v>
      </c>
      <c r="X166" s="311">
        <v>0.0</v>
      </c>
      <c r="Y166" s="311">
        <v>0.0</v>
      </c>
      <c r="Z166" s="311">
        <v>0.0</v>
      </c>
      <c r="AA166" s="311">
        <v>0.0</v>
      </c>
      <c r="AB166" s="311">
        <v>0.0</v>
      </c>
      <c r="AC166" s="311">
        <v>537.0</v>
      </c>
      <c r="AD166" s="311">
        <v>0.0</v>
      </c>
      <c r="AE166" s="311">
        <v>199.0</v>
      </c>
      <c r="AF166" s="311">
        <v>0.0</v>
      </c>
      <c r="AG166" s="136">
        <f t="shared" ref="AG166:AG171" si="67">SUM(B166:AF166)</f>
        <v>6601.5</v>
      </c>
    </row>
    <row r="167" outlineLevel="1">
      <c r="A167" s="305" t="s">
        <v>332</v>
      </c>
      <c r="B167" s="311">
        <v>189.0</v>
      </c>
      <c r="C167" s="311">
        <v>378.0</v>
      </c>
      <c r="D167" s="311">
        <v>925.2</v>
      </c>
      <c r="E167" s="311">
        <v>179.1</v>
      </c>
      <c r="F167" s="311">
        <v>358.2</v>
      </c>
      <c r="G167" s="311">
        <v>179.1</v>
      </c>
      <c r="H167" s="311">
        <v>0.0</v>
      </c>
      <c r="I167" s="311">
        <v>358.2</v>
      </c>
      <c r="J167" s="311">
        <v>537.3</v>
      </c>
      <c r="K167" s="311">
        <v>358.2</v>
      </c>
      <c r="L167" s="311">
        <v>0.0</v>
      </c>
      <c r="M167" s="311">
        <v>0.0</v>
      </c>
      <c r="N167" s="311">
        <v>179.1</v>
      </c>
      <c r="O167" s="311">
        <v>179.1</v>
      </c>
      <c r="P167" s="311">
        <v>0.0</v>
      </c>
      <c r="Q167" s="311">
        <v>0.0</v>
      </c>
      <c r="R167" s="311">
        <v>0.0</v>
      </c>
      <c r="S167" s="311">
        <v>0.0</v>
      </c>
      <c r="T167" s="311">
        <v>0.0</v>
      </c>
      <c r="U167" s="311">
        <v>0.0</v>
      </c>
      <c r="V167" s="311">
        <v>378.1</v>
      </c>
      <c r="W167" s="311">
        <v>199.0</v>
      </c>
      <c r="X167" s="311">
        <v>199.0</v>
      </c>
      <c r="Y167" s="311">
        <v>199.0</v>
      </c>
      <c r="Z167" s="311">
        <v>199.0</v>
      </c>
      <c r="AA167" s="311">
        <v>592.0</v>
      </c>
      <c r="AB167" s="311">
        <v>398.0</v>
      </c>
      <c r="AC167" s="311">
        <v>1094.0</v>
      </c>
      <c r="AD167" s="311">
        <v>0.0</v>
      </c>
      <c r="AE167" s="311">
        <v>0.0</v>
      </c>
      <c r="AF167" s="311">
        <v>388.0</v>
      </c>
      <c r="AG167" s="136">
        <f t="shared" si="67"/>
        <v>7466.6</v>
      </c>
    </row>
    <row r="168" outlineLevel="1">
      <c r="A168" s="305" t="s">
        <v>333</v>
      </c>
      <c r="B168" s="311">
        <v>807.0</v>
      </c>
      <c r="C168" s="311">
        <v>269.0</v>
      </c>
      <c r="D168" s="311">
        <v>807.0</v>
      </c>
      <c r="E168" s="311">
        <v>259.0</v>
      </c>
      <c r="F168" s="311">
        <v>269.0</v>
      </c>
      <c r="G168" s="311">
        <v>538.0</v>
      </c>
      <c r="H168" s="311">
        <v>807.0</v>
      </c>
      <c r="I168" s="311">
        <v>538.0</v>
      </c>
      <c r="J168" s="311">
        <v>0.0</v>
      </c>
      <c r="K168" s="311">
        <v>780.1</v>
      </c>
      <c r="L168" s="311">
        <v>995.3</v>
      </c>
      <c r="M168" s="311">
        <v>1721.6</v>
      </c>
      <c r="N168" s="311">
        <v>1237.4</v>
      </c>
      <c r="O168" s="311">
        <v>1268.1</v>
      </c>
      <c r="P168" s="311">
        <v>995.3</v>
      </c>
      <c r="Q168" s="311">
        <v>1775.4</v>
      </c>
      <c r="R168" s="311">
        <v>484.2</v>
      </c>
      <c r="S168" s="311">
        <v>1264.3</v>
      </c>
      <c r="T168" s="311">
        <v>242.1</v>
      </c>
      <c r="U168" s="311">
        <v>968.4</v>
      </c>
      <c r="V168" s="311">
        <v>699.4</v>
      </c>
      <c r="W168" s="311">
        <v>538.0</v>
      </c>
      <c r="X168" s="311">
        <v>760.1</v>
      </c>
      <c r="Y168" s="311">
        <v>538.0</v>
      </c>
      <c r="Z168" s="311">
        <v>1345.0</v>
      </c>
      <c r="AA168" s="311">
        <v>269.0</v>
      </c>
      <c r="AB168" s="311">
        <v>538.0</v>
      </c>
      <c r="AC168" s="311">
        <v>807.0</v>
      </c>
      <c r="AD168" s="311">
        <v>1019.07</v>
      </c>
      <c r="AE168" s="311">
        <v>269.0</v>
      </c>
      <c r="AF168" s="311">
        <v>851.0</v>
      </c>
      <c r="AG168" s="136">
        <f t="shared" si="67"/>
        <v>23659.77</v>
      </c>
    </row>
    <row r="169" outlineLevel="1">
      <c r="A169" s="305" t="s">
        <v>334</v>
      </c>
      <c r="B169" s="311">
        <v>259.0</v>
      </c>
      <c r="C169" s="311">
        <v>518.0</v>
      </c>
      <c r="D169" s="311">
        <v>259.0</v>
      </c>
      <c r="E169" s="311">
        <v>968.4</v>
      </c>
      <c r="F169" s="311">
        <v>726.3</v>
      </c>
      <c r="G169" s="311">
        <v>726.3</v>
      </c>
      <c r="H169" s="311">
        <v>242.1</v>
      </c>
      <c r="I169" s="311">
        <v>242.1</v>
      </c>
      <c r="J169" s="311">
        <v>941.5</v>
      </c>
      <c r="K169" s="311">
        <v>484.2</v>
      </c>
      <c r="L169" s="311">
        <v>0.0</v>
      </c>
      <c r="M169" s="311">
        <v>238.76</v>
      </c>
      <c r="N169" s="311">
        <v>0.0</v>
      </c>
      <c r="O169" s="311">
        <v>242.1</v>
      </c>
      <c r="P169" s="311">
        <v>219.0</v>
      </c>
      <c r="Q169" s="311">
        <v>0.0</v>
      </c>
      <c r="R169" s="311">
        <v>242.1</v>
      </c>
      <c r="S169" s="311">
        <v>242.1</v>
      </c>
      <c r="T169" s="311">
        <v>242.1</v>
      </c>
      <c r="U169" s="311">
        <v>242.1</v>
      </c>
      <c r="V169" s="311">
        <v>0.0</v>
      </c>
      <c r="W169" s="311">
        <v>538.0</v>
      </c>
      <c r="X169" s="311">
        <v>0.0</v>
      </c>
      <c r="Y169" s="311">
        <v>807.0</v>
      </c>
      <c r="Z169" s="311">
        <v>259.0</v>
      </c>
      <c r="AA169" s="311">
        <v>0.0</v>
      </c>
      <c r="AB169" s="311">
        <v>269.0</v>
      </c>
      <c r="AC169" s="311">
        <v>269.0</v>
      </c>
      <c r="AD169" s="311">
        <v>265.66</v>
      </c>
      <c r="AE169" s="311">
        <v>0.0</v>
      </c>
      <c r="AF169" s="311">
        <v>269.0</v>
      </c>
      <c r="AG169" s="136">
        <f t="shared" si="67"/>
        <v>9711.82</v>
      </c>
    </row>
    <row r="170">
      <c r="A170" s="307" t="s">
        <v>308</v>
      </c>
      <c r="B170" s="312">
        <f t="shared" ref="B170:AF170" si="68">B161+B166+B162+B167</f>
        <v>9352.91</v>
      </c>
      <c r="C170" s="312">
        <f t="shared" si="68"/>
        <v>11841.82</v>
      </c>
      <c r="D170" s="312">
        <f t="shared" si="68"/>
        <v>8940.01</v>
      </c>
      <c r="E170" s="312">
        <f t="shared" si="68"/>
        <v>7780.66</v>
      </c>
      <c r="F170" s="312">
        <f t="shared" si="68"/>
        <v>9948.26</v>
      </c>
      <c r="G170" s="312">
        <f t="shared" si="68"/>
        <v>9647.23</v>
      </c>
      <c r="H170" s="312">
        <f t="shared" si="68"/>
        <v>12518.38</v>
      </c>
      <c r="I170" s="312">
        <f t="shared" si="68"/>
        <v>10873.15</v>
      </c>
      <c r="J170" s="312">
        <f t="shared" si="68"/>
        <v>10063.23</v>
      </c>
      <c r="K170" s="312">
        <f t="shared" si="68"/>
        <v>12457.22</v>
      </c>
      <c r="L170" s="312">
        <f t="shared" si="68"/>
        <v>10847.16</v>
      </c>
      <c r="M170" s="312">
        <f t="shared" si="68"/>
        <v>11392.46</v>
      </c>
      <c r="N170" s="312">
        <f t="shared" si="68"/>
        <v>11290.19</v>
      </c>
      <c r="O170" s="312">
        <f t="shared" si="68"/>
        <v>13181.77</v>
      </c>
      <c r="P170" s="312">
        <f t="shared" si="68"/>
        <v>11919.46</v>
      </c>
      <c r="Q170" s="312">
        <f t="shared" si="68"/>
        <v>13830.27</v>
      </c>
      <c r="R170" s="312">
        <f t="shared" si="68"/>
        <v>5943.74</v>
      </c>
      <c r="S170" s="312">
        <f t="shared" si="68"/>
        <v>11236.42</v>
      </c>
      <c r="T170" s="312">
        <f t="shared" si="68"/>
        <v>8630.04</v>
      </c>
      <c r="U170" s="312">
        <f t="shared" si="68"/>
        <v>9252.48</v>
      </c>
      <c r="V170" s="312">
        <f t="shared" si="68"/>
        <v>9600.55</v>
      </c>
      <c r="W170" s="312">
        <f t="shared" si="68"/>
        <v>6155.29</v>
      </c>
      <c r="X170" s="312">
        <f t="shared" si="68"/>
        <v>6003.21</v>
      </c>
      <c r="Y170" s="312">
        <f t="shared" si="68"/>
        <v>4209.36</v>
      </c>
      <c r="Z170" s="312">
        <f t="shared" si="68"/>
        <v>5454.57</v>
      </c>
      <c r="AA170" s="312">
        <f t="shared" si="68"/>
        <v>5267.79</v>
      </c>
      <c r="AB170" s="312">
        <f t="shared" si="68"/>
        <v>7337.74</v>
      </c>
      <c r="AC170" s="312">
        <f t="shared" si="68"/>
        <v>6750.69</v>
      </c>
      <c r="AD170" s="312">
        <f t="shared" si="68"/>
        <v>3570.94</v>
      </c>
      <c r="AE170" s="312">
        <f t="shared" si="68"/>
        <v>6185.2</v>
      </c>
      <c r="AF170" s="312">
        <f t="shared" si="68"/>
        <v>5789.47</v>
      </c>
      <c r="AG170" s="136">
        <f t="shared" si="67"/>
        <v>277271.67</v>
      </c>
    </row>
    <row r="171">
      <c r="A171" s="307" t="s">
        <v>309</v>
      </c>
      <c r="B171" s="312">
        <f t="shared" ref="B171:AF171" si="69">B163+B168+B164+B169</f>
        <v>29261.49</v>
      </c>
      <c r="C171" s="312">
        <f t="shared" si="69"/>
        <v>25974.16</v>
      </c>
      <c r="D171" s="312">
        <f t="shared" si="69"/>
        <v>24568.59</v>
      </c>
      <c r="E171" s="312">
        <f t="shared" si="69"/>
        <v>28274.16</v>
      </c>
      <c r="F171" s="312">
        <f t="shared" si="69"/>
        <v>25612.21</v>
      </c>
      <c r="G171" s="312">
        <f t="shared" si="69"/>
        <v>28469.45</v>
      </c>
      <c r="H171" s="312">
        <f t="shared" si="69"/>
        <v>28027.26</v>
      </c>
      <c r="I171" s="312">
        <f t="shared" si="69"/>
        <v>35629.26</v>
      </c>
      <c r="J171" s="312">
        <f t="shared" si="69"/>
        <v>33893.78</v>
      </c>
      <c r="K171" s="312">
        <f t="shared" si="69"/>
        <v>29193.78</v>
      </c>
      <c r="L171" s="312">
        <f t="shared" si="69"/>
        <v>32525</v>
      </c>
      <c r="M171" s="312">
        <f t="shared" si="69"/>
        <v>32385</v>
      </c>
      <c r="N171" s="312">
        <f t="shared" si="69"/>
        <v>55741.33</v>
      </c>
      <c r="O171" s="312">
        <f t="shared" si="69"/>
        <v>47478.68</v>
      </c>
      <c r="P171" s="312">
        <f t="shared" si="69"/>
        <v>38724.96</v>
      </c>
      <c r="Q171" s="312">
        <f t="shared" si="69"/>
        <v>38195.11</v>
      </c>
      <c r="R171" s="312">
        <f t="shared" si="69"/>
        <v>22687</v>
      </c>
      <c r="S171" s="312">
        <f t="shared" si="69"/>
        <v>39934.15</v>
      </c>
      <c r="T171" s="312">
        <f t="shared" si="69"/>
        <v>28792.18</v>
      </c>
      <c r="U171" s="312">
        <f t="shared" si="69"/>
        <v>33033.03</v>
      </c>
      <c r="V171" s="312">
        <f t="shared" si="69"/>
        <v>29117.1</v>
      </c>
      <c r="W171" s="312">
        <f t="shared" si="69"/>
        <v>32777.04</v>
      </c>
      <c r="X171" s="312">
        <f t="shared" si="69"/>
        <v>26825.05</v>
      </c>
      <c r="Y171" s="312">
        <f t="shared" si="69"/>
        <v>23804.34</v>
      </c>
      <c r="Z171" s="312">
        <f t="shared" si="69"/>
        <v>23773.17</v>
      </c>
      <c r="AA171" s="312">
        <f t="shared" si="69"/>
        <v>21959.07</v>
      </c>
      <c r="AB171" s="312">
        <f t="shared" si="69"/>
        <v>23355.88</v>
      </c>
      <c r="AC171" s="312">
        <f t="shared" si="69"/>
        <v>21196.91</v>
      </c>
      <c r="AD171" s="312">
        <f t="shared" si="69"/>
        <v>23263.4</v>
      </c>
      <c r="AE171" s="312">
        <f t="shared" si="69"/>
        <v>20846.64</v>
      </c>
      <c r="AF171" s="312">
        <f t="shared" si="69"/>
        <v>25760.59</v>
      </c>
      <c r="AG171" s="136">
        <f t="shared" si="67"/>
        <v>931079.77</v>
      </c>
    </row>
    <row r="172">
      <c r="A172" s="35"/>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309"/>
    </row>
    <row r="173">
      <c r="A173" s="305" t="s">
        <v>310</v>
      </c>
      <c r="B173" s="306"/>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c r="AA173" s="306"/>
      <c r="AB173" s="306"/>
      <c r="AC173" s="306"/>
      <c r="AD173" s="306"/>
      <c r="AE173" s="306"/>
      <c r="AF173" s="306"/>
      <c r="AG173" s="309"/>
    </row>
    <row r="174" outlineLevel="1">
      <c r="A174" s="305" t="s">
        <v>311</v>
      </c>
      <c r="B174" s="310">
        <v>1242.77</v>
      </c>
      <c r="C174" s="310">
        <v>1311.44</v>
      </c>
      <c r="D174" s="310">
        <v>776.11</v>
      </c>
      <c r="E174" s="310">
        <v>912.47</v>
      </c>
      <c r="F174" s="310">
        <v>970.11</v>
      </c>
      <c r="G174" s="310">
        <v>924.97</v>
      </c>
      <c r="H174" s="310">
        <v>1199.42</v>
      </c>
      <c r="I174" s="310">
        <v>1694.65</v>
      </c>
      <c r="J174" s="310">
        <v>1794.78</v>
      </c>
      <c r="K174" s="310">
        <v>1474.24</v>
      </c>
      <c r="L174" s="310">
        <v>1323.46</v>
      </c>
      <c r="M174" s="310">
        <v>1012.58</v>
      </c>
      <c r="N174" s="310">
        <v>2052.65</v>
      </c>
      <c r="O174" s="310">
        <v>1545.6</v>
      </c>
      <c r="P174" s="310">
        <v>2121.52</v>
      </c>
      <c r="Q174" s="310">
        <v>1902.24</v>
      </c>
      <c r="R174" s="310">
        <v>805.59</v>
      </c>
      <c r="S174" s="310">
        <v>1869.71</v>
      </c>
      <c r="T174" s="310">
        <v>1167.81</v>
      </c>
      <c r="U174" s="310">
        <v>1362.89</v>
      </c>
      <c r="V174" s="310">
        <v>1136.59</v>
      </c>
      <c r="W174" s="310">
        <v>1398.52</v>
      </c>
      <c r="X174" s="310">
        <v>1367.21</v>
      </c>
      <c r="Y174" s="310">
        <v>847.52</v>
      </c>
      <c r="Z174" s="310">
        <v>938.02</v>
      </c>
      <c r="AA174" s="310">
        <v>550.96</v>
      </c>
      <c r="AB174" s="310">
        <v>916.21</v>
      </c>
      <c r="AC174" s="310">
        <v>676.69</v>
      </c>
      <c r="AD174" s="310">
        <v>920.87</v>
      </c>
      <c r="AE174" s="310">
        <v>891.56</v>
      </c>
      <c r="AF174" s="310">
        <v>1074.82</v>
      </c>
      <c r="AG174" s="136">
        <f t="shared" ref="AG174:AG182" si="70">SUM(B174:AF174)</f>
        <v>38183.98</v>
      </c>
    </row>
    <row r="175" outlineLevel="1">
      <c r="A175" s="305" t="s">
        <v>312</v>
      </c>
      <c r="B175" s="310">
        <v>353.32</v>
      </c>
      <c r="C175" s="310">
        <v>557.49</v>
      </c>
      <c r="D175" s="310">
        <v>316.47</v>
      </c>
      <c r="E175" s="310">
        <v>386.35</v>
      </c>
      <c r="F175" s="310">
        <v>299.82</v>
      </c>
      <c r="G175" s="310">
        <v>222.95</v>
      </c>
      <c r="H175" s="310">
        <v>239.34</v>
      </c>
      <c r="I175" s="310">
        <v>444.7</v>
      </c>
      <c r="J175" s="310">
        <v>374.64</v>
      </c>
      <c r="K175" s="310">
        <v>396.85</v>
      </c>
      <c r="L175" s="310">
        <v>313.06</v>
      </c>
      <c r="M175" s="310">
        <v>359.46</v>
      </c>
      <c r="N175" s="310">
        <v>682.41</v>
      </c>
      <c r="O175" s="310">
        <v>576.22</v>
      </c>
      <c r="P175" s="310">
        <v>525.83</v>
      </c>
      <c r="Q175" s="310">
        <v>545.6</v>
      </c>
      <c r="R175" s="310">
        <v>318.17</v>
      </c>
      <c r="S175" s="310">
        <v>515.69</v>
      </c>
      <c r="T175" s="310">
        <v>473.59</v>
      </c>
      <c r="U175" s="310">
        <v>450.69</v>
      </c>
      <c r="V175" s="310">
        <v>367.44</v>
      </c>
      <c r="W175" s="310">
        <v>374.08</v>
      </c>
      <c r="X175" s="310">
        <v>332.24</v>
      </c>
      <c r="Y175" s="310">
        <v>328.74</v>
      </c>
      <c r="Z175" s="310">
        <v>242.4</v>
      </c>
      <c r="AA175" s="310">
        <v>260.38</v>
      </c>
      <c r="AB175" s="310">
        <v>200.95</v>
      </c>
      <c r="AC175" s="310">
        <v>195.26</v>
      </c>
      <c r="AD175" s="310">
        <v>232.94</v>
      </c>
      <c r="AE175" s="310">
        <v>322.29</v>
      </c>
      <c r="AF175" s="310">
        <v>241.86</v>
      </c>
      <c r="AG175" s="136">
        <f t="shared" si="70"/>
        <v>11451.23</v>
      </c>
    </row>
    <row r="176" outlineLevel="1">
      <c r="A176" s="305" t="s">
        <v>335</v>
      </c>
      <c r="B176" s="310">
        <v>703.06</v>
      </c>
      <c r="C176" s="310">
        <v>897.12</v>
      </c>
      <c r="D176" s="310">
        <v>403.56</v>
      </c>
      <c r="E176" s="310">
        <v>697.68</v>
      </c>
      <c r="F176" s="310">
        <v>395.28</v>
      </c>
      <c r="G176" s="310">
        <v>368.94</v>
      </c>
      <c r="H176" s="310">
        <v>306.61</v>
      </c>
      <c r="I176" s="310">
        <v>599.37</v>
      </c>
      <c r="J176" s="310">
        <v>833.37</v>
      </c>
      <c r="K176" s="310">
        <v>673.45</v>
      </c>
      <c r="L176" s="310">
        <v>585.84</v>
      </c>
      <c r="M176" s="310">
        <v>619.06</v>
      </c>
      <c r="N176" s="310">
        <v>1244.65</v>
      </c>
      <c r="O176" s="310">
        <v>1225.5</v>
      </c>
      <c r="P176" s="310">
        <v>1082.25</v>
      </c>
      <c r="Q176" s="310">
        <v>833.39</v>
      </c>
      <c r="R176" s="310">
        <v>356.51</v>
      </c>
      <c r="S176" s="310">
        <v>859.73</v>
      </c>
      <c r="T176" s="310">
        <v>708.3</v>
      </c>
      <c r="U176" s="310">
        <v>678.45</v>
      </c>
      <c r="V176" s="310">
        <v>835.76</v>
      </c>
      <c r="W176" s="310">
        <v>491.54</v>
      </c>
      <c r="X176" s="310">
        <v>863.6</v>
      </c>
      <c r="Y176" s="310">
        <v>364.36</v>
      </c>
      <c r="Z176" s="310">
        <v>390.62</v>
      </c>
      <c r="AA176" s="310">
        <v>412.47</v>
      </c>
      <c r="AB176" s="310">
        <v>310.69</v>
      </c>
      <c r="AC176" s="310">
        <v>367.73</v>
      </c>
      <c r="AD176" s="310">
        <v>247.28</v>
      </c>
      <c r="AE176" s="310">
        <v>571.97</v>
      </c>
      <c r="AF176" s="310">
        <v>343.69</v>
      </c>
      <c r="AG176" s="136">
        <f t="shared" si="70"/>
        <v>19271.83</v>
      </c>
    </row>
    <row r="177" outlineLevel="1">
      <c r="A177" s="305" t="s">
        <v>336</v>
      </c>
      <c r="B177" s="310">
        <v>304.62</v>
      </c>
      <c r="C177" s="310">
        <v>371.84</v>
      </c>
      <c r="D177" s="310">
        <v>278.09</v>
      </c>
      <c r="E177" s="310">
        <v>246.28</v>
      </c>
      <c r="F177" s="310">
        <v>155.94</v>
      </c>
      <c r="G177" s="310">
        <v>367.63</v>
      </c>
      <c r="H177" s="310">
        <v>248.16</v>
      </c>
      <c r="I177" s="310">
        <v>527.09</v>
      </c>
      <c r="J177" s="310">
        <v>342.49</v>
      </c>
      <c r="K177" s="310">
        <v>341.21</v>
      </c>
      <c r="L177" s="310">
        <v>153.01</v>
      </c>
      <c r="M177" s="310">
        <v>120.71</v>
      </c>
      <c r="N177" s="310">
        <v>435.38</v>
      </c>
      <c r="O177" s="310">
        <v>247.19</v>
      </c>
      <c r="P177" s="310">
        <v>294.6</v>
      </c>
      <c r="Q177" s="310">
        <v>248.94</v>
      </c>
      <c r="R177" s="310">
        <v>146.05</v>
      </c>
      <c r="S177" s="310">
        <v>217.51</v>
      </c>
      <c r="T177" s="310">
        <v>216.0</v>
      </c>
      <c r="U177" s="310">
        <v>309.49</v>
      </c>
      <c r="V177" s="310">
        <v>277.13</v>
      </c>
      <c r="W177" s="310">
        <v>347.87</v>
      </c>
      <c r="X177" s="310">
        <v>210.16</v>
      </c>
      <c r="Y177" s="310">
        <v>211.53</v>
      </c>
      <c r="Z177" s="310">
        <v>62.44</v>
      </c>
      <c r="AA177" s="310">
        <v>248.13</v>
      </c>
      <c r="AB177" s="310">
        <v>114.68</v>
      </c>
      <c r="AC177" s="310">
        <v>89.67</v>
      </c>
      <c r="AD177" s="310">
        <v>93.29</v>
      </c>
      <c r="AE177" s="310">
        <v>124.27</v>
      </c>
      <c r="AF177" s="310">
        <v>202.18</v>
      </c>
      <c r="AG177" s="136">
        <f t="shared" si="70"/>
        <v>7553.58</v>
      </c>
    </row>
    <row r="178" outlineLevel="1">
      <c r="A178" s="305" t="s">
        <v>337</v>
      </c>
      <c r="B178" s="310">
        <v>812.45</v>
      </c>
      <c r="C178" s="310">
        <v>891.93</v>
      </c>
      <c r="D178" s="310">
        <v>767.47</v>
      </c>
      <c r="E178" s="310">
        <v>1141.85</v>
      </c>
      <c r="F178" s="310">
        <v>627.0</v>
      </c>
      <c r="G178" s="310">
        <v>1250.43</v>
      </c>
      <c r="H178" s="310">
        <v>740.57</v>
      </c>
      <c r="I178" s="310">
        <v>722.78</v>
      </c>
      <c r="J178" s="310">
        <v>1383.28</v>
      </c>
      <c r="K178" s="310">
        <v>1303.51</v>
      </c>
      <c r="L178" s="310">
        <v>404.57</v>
      </c>
      <c r="M178" s="310">
        <v>428.87</v>
      </c>
      <c r="N178" s="310">
        <v>2246.2</v>
      </c>
      <c r="O178" s="310">
        <v>1384.29</v>
      </c>
      <c r="P178" s="310">
        <v>913.13</v>
      </c>
      <c r="Q178" s="310">
        <v>736.44</v>
      </c>
      <c r="R178" s="310">
        <v>1023.43</v>
      </c>
      <c r="S178" s="310">
        <v>1038.69</v>
      </c>
      <c r="T178" s="310">
        <v>505.21</v>
      </c>
      <c r="U178" s="310">
        <v>1002.94</v>
      </c>
      <c r="V178" s="310">
        <v>679.04</v>
      </c>
      <c r="W178" s="310">
        <v>764.32</v>
      </c>
      <c r="X178" s="310">
        <v>1066.38</v>
      </c>
      <c r="Y178" s="310">
        <v>560.77</v>
      </c>
      <c r="Z178" s="310">
        <v>708.04</v>
      </c>
      <c r="AA178" s="310">
        <v>577.74</v>
      </c>
      <c r="AB178" s="310">
        <v>470.55</v>
      </c>
      <c r="AC178" s="310">
        <v>421.07</v>
      </c>
      <c r="AD178" s="310">
        <v>928.5</v>
      </c>
      <c r="AE178" s="310">
        <v>698.65</v>
      </c>
      <c r="AF178" s="310">
        <v>658.15</v>
      </c>
      <c r="AG178" s="136">
        <f t="shared" si="70"/>
        <v>26858.25</v>
      </c>
    </row>
    <row r="179" outlineLevel="1">
      <c r="A179" s="305" t="s">
        <v>338</v>
      </c>
      <c r="B179" s="310">
        <v>522.99</v>
      </c>
      <c r="C179" s="310">
        <v>371.72</v>
      </c>
      <c r="D179" s="310">
        <v>223.83</v>
      </c>
      <c r="E179" s="310">
        <v>197.68</v>
      </c>
      <c r="F179" s="310">
        <v>290.61</v>
      </c>
      <c r="G179" s="310">
        <v>149.81</v>
      </c>
      <c r="H179" s="310">
        <v>447.63</v>
      </c>
      <c r="I179" s="310">
        <v>578.79</v>
      </c>
      <c r="J179" s="310">
        <v>226.55</v>
      </c>
      <c r="K179" s="310">
        <v>441.6</v>
      </c>
      <c r="L179" s="310">
        <v>284.52</v>
      </c>
      <c r="M179" s="310">
        <v>200.56</v>
      </c>
      <c r="N179" s="310">
        <v>216.3</v>
      </c>
      <c r="O179" s="310">
        <v>346.35</v>
      </c>
      <c r="P179" s="310">
        <v>571.77</v>
      </c>
      <c r="Q179" s="310">
        <v>428.98</v>
      </c>
      <c r="R179" s="310">
        <v>225.76</v>
      </c>
      <c r="S179" s="310">
        <v>352.87</v>
      </c>
      <c r="T179" s="310">
        <v>149.17</v>
      </c>
      <c r="U179" s="310">
        <v>304.42</v>
      </c>
      <c r="V179" s="310">
        <v>354.48</v>
      </c>
      <c r="W179" s="310">
        <v>214.9</v>
      </c>
      <c r="X179" s="310">
        <v>350.38</v>
      </c>
      <c r="Y179" s="310">
        <v>222.81</v>
      </c>
      <c r="Z179" s="310">
        <v>223.03</v>
      </c>
      <c r="AA179" s="310">
        <v>223.13</v>
      </c>
      <c r="AB179" s="310">
        <v>134.52</v>
      </c>
      <c r="AC179" s="310">
        <v>207.76</v>
      </c>
      <c r="AD179" s="310">
        <v>225.4</v>
      </c>
      <c r="AE179" s="310">
        <v>359.14</v>
      </c>
      <c r="AF179" s="310">
        <v>74.9</v>
      </c>
      <c r="AG179" s="136">
        <f t="shared" si="70"/>
        <v>9122.36</v>
      </c>
    </row>
    <row r="180" outlineLevel="1">
      <c r="A180" s="305" t="s">
        <v>339</v>
      </c>
      <c r="B180" s="310">
        <v>0.0</v>
      </c>
      <c r="C180" s="310">
        <v>0.0</v>
      </c>
      <c r="D180" s="310">
        <v>0.0</v>
      </c>
      <c r="E180" s="310">
        <v>0.0</v>
      </c>
      <c r="F180" s="310">
        <v>0.0</v>
      </c>
      <c r="G180" s="310">
        <v>0.0</v>
      </c>
      <c r="H180" s="310">
        <v>0.0</v>
      </c>
      <c r="I180" s="310">
        <v>0.0</v>
      </c>
      <c r="J180" s="310">
        <v>0.0</v>
      </c>
      <c r="K180" s="310">
        <v>0.0</v>
      </c>
      <c r="L180" s="310">
        <v>0.0</v>
      </c>
      <c r="M180" s="310">
        <v>0.0</v>
      </c>
      <c r="N180" s="310">
        <v>0.0</v>
      </c>
      <c r="O180" s="310">
        <v>0.0</v>
      </c>
      <c r="P180" s="310">
        <v>0.0</v>
      </c>
      <c r="Q180" s="310">
        <v>0.0</v>
      </c>
      <c r="R180" s="310">
        <v>0.0</v>
      </c>
      <c r="S180" s="310">
        <v>0.0</v>
      </c>
      <c r="T180" s="310">
        <v>0.0</v>
      </c>
      <c r="U180" s="310">
        <v>0.0</v>
      </c>
      <c r="V180" s="310">
        <v>0.0</v>
      </c>
      <c r="W180" s="310">
        <v>0.0</v>
      </c>
      <c r="X180" s="310">
        <v>0.0</v>
      </c>
      <c r="Y180" s="310">
        <v>0.0</v>
      </c>
      <c r="Z180" s="310">
        <v>0.0</v>
      </c>
      <c r="AA180" s="310">
        <v>0.0</v>
      </c>
      <c r="AB180" s="310">
        <v>0.0</v>
      </c>
      <c r="AC180" s="310">
        <v>0.0</v>
      </c>
      <c r="AD180" s="310">
        <v>0.0</v>
      </c>
      <c r="AE180" s="310">
        <v>0.0</v>
      </c>
      <c r="AF180" s="310">
        <v>0.0</v>
      </c>
      <c r="AG180" s="136">
        <f t="shared" si="70"/>
        <v>0</v>
      </c>
    </row>
    <row r="181" outlineLevel="1">
      <c r="A181" s="305" t="s">
        <v>340</v>
      </c>
      <c r="B181" s="310">
        <v>0.0</v>
      </c>
      <c r="C181" s="310">
        <v>0.0</v>
      </c>
      <c r="D181" s="310">
        <v>0.0</v>
      </c>
      <c r="E181" s="310">
        <v>0.0</v>
      </c>
      <c r="F181" s="310">
        <v>0.0</v>
      </c>
      <c r="G181" s="310">
        <v>0.0</v>
      </c>
      <c r="H181" s="310">
        <v>0.0</v>
      </c>
      <c r="I181" s="310">
        <v>0.0</v>
      </c>
      <c r="J181" s="310">
        <v>0.0</v>
      </c>
      <c r="K181" s="310">
        <v>0.0</v>
      </c>
      <c r="L181" s="310">
        <v>0.0</v>
      </c>
      <c r="M181" s="310">
        <v>0.0</v>
      </c>
      <c r="N181" s="310">
        <v>0.0</v>
      </c>
      <c r="O181" s="310">
        <v>0.0</v>
      </c>
      <c r="P181" s="310">
        <v>0.0</v>
      </c>
      <c r="Q181" s="310">
        <v>0.0</v>
      </c>
      <c r="R181" s="310">
        <v>0.0</v>
      </c>
      <c r="S181" s="310">
        <v>0.0</v>
      </c>
      <c r="T181" s="310">
        <v>0.0</v>
      </c>
      <c r="U181" s="310">
        <v>0.0</v>
      </c>
      <c r="V181" s="310">
        <v>0.0</v>
      </c>
      <c r="W181" s="310">
        <v>0.0</v>
      </c>
      <c r="X181" s="310">
        <v>0.0</v>
      </c>
      <c r="Y181" s="310">
        <v>0.0</v>
      </c>
      <c r="Z181" s="310">
        <v>0.0</v>
      </c>
      <c r="AA181" s="310">
        <v>0.0</v>
      </c>
      <c r="AB181" s="310">
        <v>0.0</v>
      </c>
      <c r="AC181" s="310">
        <v>0.0</v>
      </c>
      <c r="AD181" s="310">
        <v>0.0</v>
      </c>
      <c r="AE181" s="310">
        <v>0.0</v>
      </c>
      <c r="AF181" s="310">
        <v>0.0</v>
      </c>
      <c r="AG181" s="136">
        <f t="shared" si="70"/>
        <v>0</v>
      </c>
    </row>
    <row r="182">
      <c r="A182" s="307" t="s">
        <v>261</v>
      </c>
      <c r="B182" s="312">
        <f t="shared" ref="B182:AF182" si="71">SUM(B174:B181)</f>
        <v>3939.21</v>
      </c>
      <c r="C182" s="312">
        <f t="shared" si="71"/>
        <v>4401.54</v>
      </c>
      <c r="D182" s="312">
        <f t="shared" si="71"/>
        <v>2765.53</v>
      </c>
      <c r="E182" s="312">
        <f t="shared" si="71"/>
        <v>3582.31</v>
      </c>
      <c r="F182" s="312">
        <f t="shared" si="71"/>
        <v>2738.76</v>
      </c>
      <c r="G182" s="312">
        <f t="shared" si="71"/>
        <v>3284.73</v>
      </c>
      <c r="H182" s="312">
        <f t="shared" si="71"/>
        <v>3181.73</v>
      </c>
      <c r="I182" s="312">
        <f t="shared" si="71"/>
        <v>4567.38</v>
      </c>
      <c r="J182" s="312">
        <f t="shared" si="71"/>
        <v>4955.11</v>
      </c>
      <c r="K182" s="312">
        <f t="shared" si="71"/>
        <v>4630.86</v>
      </c>
      <c r="L182" s="312">
        <f t="shared" si="71"/>
        <v>3064.46</v>
      </c>
      <c r="M182" s="312">
        <f t="shared" si="71"/>
        <v>2741.24</v>
      </c>
      <c r="N182" s="312">
        <f t="shared" si="71"/>
        <v>6877.59</v>
      </c>
      <c r="O182" s="312">
        <f t="shared" si="71"/>
        <v>5325.15</v>
      </c>
      <c r="P182" s="312">
        <f t="shared" si="71"/>
        <v>5509.1</v>
      </c>
      <c r="Q182" s="312">
        <f t="shared" si="71"/>
        <v>4695.59</v>
      </c>
      <c r="R182" s="312">
        <f t="shared" si="71"/>
        <v>2875.51</v>
      </c>
      <c r="S182" s="312">
        <f t="shared" si="71"/>
        <v>4854.2</v>
      </c>
      <c r="T182" s="312">
        <f t="shared" si="71"/>
        <v>3220.08</v>
      </c>
      <c r="U182" s="312">
        <f t="shared" si="71"/>
        <v>4108.88</v>
      </c>
      <c r="V182" s="312">
        <f t="shared" si="71"/>
        <v>3650.44</v>
      </c>
      <c r="W182" s="312">
        <f t="shared" si="71"/>
        <v>3591.23</v>
      </c>
      <c r="X182" s="312">
        <f t="shared" si="71"/>
        <v>4189.97</v>
      </c>
      <c r="Y182" s="312">
        <f t="shared" si="71"/>
        <v>2535.73</v>
      </c>
      <c r="Z182" s="312">
        <f t="shared" si="71"/>
        <v>2564.55</v>
      </c>
      <c r="AA182" s="312">
        <f t="shared" si="71"/>
        <v>2272.81</v>
      </c>
      <c r="AB182" s="312">
        <f t="shared" si="71"/>
        <v>2147.6</v>
      </c>
      <c r="AC182" s="312">
        <f t="shared" si="71"/>
        <v>1958.18</v>
      </c>
      <c r="AD182" s="312">
        <f t="shared" si="71"/>
        <v>2648.28</v>
      </c>
      <c r="AE182" s="312">
        <f t="shared" si="71"/>
        <v>2967.88</v>
      </c>
      <c r="AF182" s="312">
        <f t="shared" si="71"/>
        <v>2595.6</v>
      </c>
      <c r="AG182" s="136">
        <f t="shared" si="70"/>
        <v>112441.23</v>
      </c>
    </row>
    <row r="183">
      <c r="A183" s="35"/>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309"/>
    </row>
    <row r="184">
      <c r="A184" s="305" t="s">
        <v>341</v>
      </c>
      <c r="B184" s="306"/>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c r="AA184" s="306"/>
      <c r="AB184" s="306"/>
      <c r="AC184" s="306"/>
      <c r="AD184" s="306"/>
      <c r="AE184" s="306"/>
      <c r="AF184" s="306"/>
      <c r="AG184" s="309"/>
    </row>
    <row r="185" outlineLevel="1">
      <c r="A185" s="305" t="s">
        <v>311</v>
      </c>
      <c r="B185" s="311">
        <v>96.0</v>
      </c>
      <c r="C185" s="311">
        <v>24.0</v>
      </c>
      <c r="D185" s="311">
        <v>24.0</v>
      </c>
      <c r="E185" s="311">
        <v>24.0</v>
      </c>
      <c r="F185" s="311">
        <v>120.0</v>
      </c>
      <c r="G185" s="311">
        <v>120.0</v>
      </c>
      <c r="H185" s="311">
        <v>0.0</v>
      </c>
      <c r="I185" s="311">
        <v>96.0</v>
      </c>
      <c r="J185" s="311">
        <v>19.2</v>
      </c>
      <c r="K185" s="311">
        <v>96.0</v>
      </c>
      <c r="L185" s="311">
        <v>72.0</v>
      </c>
      <c r="M185" s="311">
        <v>144.0</v>
      </c>
      <c r="N185" s="311">
        <v>48.0</v>
      </c>
      <c r="O185" s="311">
        <v>192.0</v>
      </c>
      <c r="P185" s="311">
        <v>48.0</v>
      </c>
      <c r="Q185" s="311">
        <v>168.0</v>
      </c>
      <c r="R185" s="311">
        <v>24.0</v>
      </c>
      <c r="S185" s="311">
        <v>96.0</v>
      </c>
      <c r="T185" s="313">
        <v>24.0</v>
      </c>
      <c r="U185" s="311">
        <v>115.0</v>
      </c>
      <c r="V185" s="311">
        <v>110.0</v>
      </c>
      <c r="W185" s="311">
        <v>144.0</v>
      </c>
      <c r="X185" s="311">
        <v>24.0</v>
      </c>
      <c r="Y185" s="311">
        <v>72.0</v>
      </c>
      <c r="Z185" s="311">
        <v>96.0</v>
      </c>
      <c r="AA185" s="311">
        <v>91.0</v>
      </c>
      <c r="AB185" s="311">
        <v>96.0</v>
      </c>
      <c r="AC185" s="311">
        <v>91.0</v>
      </c>
      <c r="AD185" s="311">
        <v>62.0</v>
      </c>
      <c r="AE185" s="311">
        <v>24.0</v>
      </c>
      <c r="AF185" s="311">
        <v>96.0</v>
      </c>
      <c r="AG185" s="136">
        <f t="shared" ref="AG185:AG193" si="72">SUM(B185:AF185)</f>
        <v>2456.2</v>
      </c>
    </row>
    <row r="186" outlineLevel="1">
      <c r="A186" s="305" t="s">
        <v>312</v>
      </c>
      <c r="B186" s="311">
        <v>28.0</v>
      </c>
      <c r="C186" s="311">
        <v>0.0</v>
      </c>
      <c r="D186" s="311">
        <v>14.0</v>
      </c>
      <c r="E186" s="311">
        <v>28.0</v>
      </c>
      <c r="F186" s="311">
        <v>42.0</v>
      </c>
      <c r="G186" s="311">
        <v>56.0</v>
      </c>
      <c r="H186" s="311">
        <v>0.0</v>
      </c>
      <c r="I186" s="311">
        <v>42.0</v>
      </c>
      <c r="J186" s="311">
        <v>0.0</v>
      </c>
      <c r="K186" s="311">
        <v>28.0</v>
      </c>
      <c r="L186" s="311">
        <v>42.0</v>
      </c>
      <c r="M186" s="311">
        <v>10.67</v>
      </c>
      <c r="N186" s="311">
        <v>14.0</v>
      </c>
      <c r="O186" s="311">
        <v>14.0</v>
      </c>
      <c r="P186" s="311">
        <v>56.0</v>
      </c>
      <c r="Q186" s="311">
        <v>28.0</v>
      </c>
      <c r="R186" s="311">
        <v>28.0</v>
      </c>
      <c r="S186" s="311">
        <v>14.0</v>
      </c>
      <c r="T186" s="311">
        <v>14.0</v>
      </c>
      <c r="U186" s="311">
        <v>14.0</v>
      </c>
      <c r="V186" s="311">
        <v>28.0</v>
      </c>
      <c r="W186" s="311">
        <v>14.0</v>
      </c>
      <c r="X186" s="311">
        <v>42.0</v>
      </c>
      <c r="Y186" s="311">
        <v>14.0</v>
      </c>
      <c r="Z186" s="311">
        <v>28.0</v>
      </c>
      <c r="AA186" s="311">
        <v>28.0</v>
      </c>
      <c r="AB186" s="311">
        <v>0.0</v>
      </c>
      <c r="AC186" s="311">
        <v>14.0</v>
      </c>
      <c r="AD186" s="311">
        <v>10.67</v>
      </c>
      <c r="AE186" s="311">
        <v>14.0</v>
      </c>
      <c r="AF186" s="311">
        <v>28.0</v>
      </c>
      <c r="AG186" s="136">
        <f t="shared" si="72"/>
        <v>693.34</v>
      </c>
    </row>
    <row r="187" outlineLevel="1">
      <c r="A187" s="305" t="s">
        <v>342</v>
      </c>
      <c r="B187" s="311">
        <v>87.0</v>
      </c>
      <c r="C187" s="311">
        <v>58.0</v>
      </c>
      <c r="D187" s="311">
        <v>0.0</v>
      </c>
      <c r="E187" s="311">
        <v>29.0</v>
      </c>
      <c r="F187" s="311">
        <v>58.0</v>
      </c>
      <c r="G187" s="311">
        <v>58.0</v>
      </c>
      <c r="H187" s="311">
        <v>29.0</v>
      </c>
      <c r="I187" s="311">
        <v>58.0</v>
      </c>
      <c r="J187" s="311">
        <v>0.0</v>
      </c>
      <c r="K187" s="311">
        <v>29.0</v>
      </c>
      <c r="L187" s="311">
        <v>58.0</v>
      </c>
      <c r="M187" s="311">
        <v>87.0</v>
      </c>
      <c r="N187" s="311">
        <v>0.0</v>
      </c>
      <c r="O187" s="311">
        <v>29.0</v>
      </c>
      <c r="P187" s="311">
        <v>87.0</v>
      </c>
      <c r="Q187" s="311">
        <v>87.0</v>
      </c>
      <c r="R187" s="311">
        <v>29.0</v>
      </c>
      <c r="S187" s="311">
        <v>0.0</v>
      </c>
      <c r="T187" s="311">
        <v>0.0</v>
      </c>
      <c r="U187" s="311">
        <v>29.0</v>
      </c>
      <c r="V187" s="311">
        <v>62.0</v>
      </c>
      <c r="W187" s="311">
        <v>29.0</v>
      </c>
      <c r="X187" s="311">
        <v>0.0</v>
      </c>
      <c r="Y187" s="311">
        <v>29.0</v>
      </c>
      <c r="Z187" s="311">
        <v>58.0</v>
      </c>
      <c r="AA187" s="311">
        <v>29.0</v>
      </c>
      <c r="AB187" s="311">
        <v>29.0</v>
      </c>
      <c r="AC187" s="311">
        <v>24.0</v>
      </c>
      <c r="AD187" s="311">
        <v>0.0</v>
      </c>
      <c r="AE187" s="311">
        <v>0.0</v>
      </c>
      <c r="AF187" s="311">
        <v>0.0</v>
      </c>
      <c r="AG187" s="136">
        <f t="shared" si="72"/>
        <v>1072</v>
      </c>
    </row>
    <row r="188" outlineLevel="1">
      <c r="A188" s="305" t="s">
        <v>343</v>
      </c>
      <c r="B188" s="311">
        <v>0.0</v>
      </c>
      <c r="C188" s="311">
        <v>0.0</v>
      </c>
      <c r="D188" s="311">
        <v>0.0</v>
      </c>
      <c r="E188" s="311">
        <v>58.0</v>
      </c>
      <c r="F188" s="311">
        <v>87.0</v>
      </c>
      <c r="G188" s="311">
        <v>58.0</v>
      </c>
      <c r="H188" s="311">
        <v>0.0</v>
      </c>
      <c r="I188" s="311">
        <v>0.0</v>
      </c>
      <c r="J188" s="311">
        <v>0.0</v>
      </c>
      <c r="K188" s="311">
        <v>58.0</v>
      </c>
      <c r="L188" s="311">
        <v>0.0</v>
      </c>
      <c r="M188" s="311">
        <v>25.67</v>
      </c>
      <c r="N188" s="311">
        <v>0.0</v>
      </c>
      <c r="O188" s="311">
        <v>0.0</v>
      </c>
      <c r="P188" s="311">
        <v>29.0</v>
      </c>
      <c r="Q188" s="311">
        <v>0.0</v>
      </c>
      <c r="R188" s="311">
        <v>0.0</v>
      </c>
      <c r="S188" s="311">
        <v>0.0</v>
      </c>
      <c r="T188" s="311">
        <v>0.0</v>
      </c>
      <c r="U188" s="311">
        <v>0.0</v>
      </c>
      <c r="V188" s="311">
        <v>0.0</v>
      </c>
      <c r="W188" s="311">
        <v>0.0</v>
      </c>
      <c r="X188" s="311">
        <v>29.0</v>
      </c>
      <c r="Y188" s="311">
        <v>0.0</v>
      </c>
      <c r="Z188" s="311">
        <v>0.0</v>
      </c>
      <c r="AA188" s="311">
        <v>0.0</v>
      </c>
      <c r="AB188" s="311">
        <v>0.0</v>
      </c>
      <c r="AC188" s="311">
        <v>29.0</v>
      </c>
      <c r="AD188" s="311">
        <v>0.0</v>
      </c>
      <c r="AE188" s="311">
        <v>0.0</v>
      </c>
      <c r="AF188" s="311">
        <v>0.0</v>
      </c>
      <c r="AG188" s="136">
        <f t="shared" si="72"/>
        <v>373.67</v>
      </c>
    </row>
    <row r="189" outlineLevel="1">
      <c r="A189" s="305" t="s">
        <v>344</v>
      </c>
      <c r="B189" s="311">
        <v>70.0</v>
      </c>
      <c r="C189" s="311">
        <v>0.0</v>
      </c>
      <c r="D189" s="311">
        <v>210.0</v>
      </c>
      <c r="E189" s="311">
        <v>119.0</v>
      </c>
      <c r="F189" s="311">
        <v>0.0</v>
      </c>
      <c r="G189" s="311">
        <v>0.0</v>
      </c>
      <c r="H189" s="311">
        <v>70.0</v>
      </c>
      <c r="I189" s="311">
        <v>399.0</v>
      </c>
      <c r="J189" s="311">
        <v>140.0</v>
      </c>
      <c r="K189" s="311">
        <v>140.0</v>
      </c>
      <c r="L189" s="311">
        <v>140.0</v>
      </c>
      <c r="M189" s="311">
        <v>210.0</v>
      </c>
      <c r="N189" s="311">
        <v>0.0</v>
      </c>
      <c r="O189" s="311">
        <v>70.0</v>
      </c>
      <c r="P189" s="311">
        <v>60.0</v>
      </c>
      <c r="Q189" s="311">
        <v>70.0</v>
      </c>
      <c r="R189" s="311">
        <v>0.0</v>
      </c>
      <c r="S189" s="311">
        <v>70.0</v>
      </c>
      <c r="T189" s="311">
        <v>70.0</v>
      </c>
      <c r="U189" s="311">
        <v>140.0</v>
      </c>
      <c r="V189" s="311">
        <v>70.0</v>
      </c>
      <c r="W189" s="311">
        <v>140.0</v>
      </c>
      <c r="X189" s="311">
        <v>0.0</v>
      </c>
      <c r="Y189" s="311">
        <v>0.0</v>
      </c>
      <c r="Z189" s="311">
        <v>210.0</v>
      </c>
      <c r="AA189" s="311">
        <v>0.0</v>
      </c>
      <c r="AB189" s="311">
        <v>0.0</v>
      </c>
      <c r="AC189" s="311">
        <v>140.0</v>
      </c>
      <c r="AD189" s="311">
        <v>280.0</v>
      </c>
      <c r="AE189" s="311">
        <v>70.0</v>
      </c>
      <c r="AF189" s="311">
        <v>0.0</v>
      </c>
      <c r="AG189" s="136">
        <f t="shared" si="72"/>
        <v>2888</v>
      </c>
    </row>
    <row r="190" outlineLevel="1">
      <c r="A190" s="305" t="s">
        <v>345</v>
      </c>
      <c r="B190" s="311">
        <v>0.0</v>
      </c>
      <c r="C190" s="311">
        <v>70.0</v>
      </c>
      <c r="D190" s="311">
        <v>70.0</v>
      </c>
      <c r="E190" s="311">
        <v>70.0</v>
      </c>
      <c r="F190" s="311">
        <v>0.0</v>
      </c>
      <c r="G190" s="311">
        <v>0.0</v>
      </c>
      <c r="H190" s="311">
        <v>0.0</v>
      </c>
      <c r="I190" s="311">
        <v>0.0</v>
      </c>
      <c r="J190" s="311">
        <v>70.0</v>
      </c>
      <c r="K190" s="311">
        <v>0.0</v>
      </c>
      <c r="L190" s="311">
        <v>0.0</v>
      </c>
      <c r="M190" s="311">
        <v>140.0</v>
      </c>
      <c r="N190" s="311">
        <v>0.0</v>
      </c>
      <c r="O190" s="311">
        <v>0.0</v>
      </c>
      <c r="P190" s="311">
        <v>0.0</v>
      </c>
      <c r="Q190" s="311">
        <v>0.0</v>
      </c>
      <c r="R190" s="311">
        <v>0.0</v>
      </c>
      <c r="S190" s="311">
        <v>0.0</v>
      </c>
      <c r="T190" s="311">
        <v>0.0</v>
      </c>
      <c r="U190" s="311">
        <v>49.0</v>
      </c>
      <c r="V190" s="311">
        <v>0.0</v>
      </c>
      <c r="W190" s="311">
        <v>70.0</v>
      </c>
      <c r="X190" s="311">
        <v>0.0</v>
      </c>
      <c r="Y190" s="311">
        <v>0.0</v>
      </c>
      <c r="Z190" s="311">
        <v>70.0</v>
      </c>
      <c r="AA190" s="311">
        <v>0.0</v>
      </c>
      <c r="AB190" s="311">
        <v>0.0</v>
      </c>
      <c r="AC190" s="311">
        <v>0.0</v>
      </c>
      <c r="AD190" s="311">
        <v>0.0</v>
      </c>
      <c r="AE190" s="311">
        <v>0.0</v>
      </c>
      <c r="AF190" s="311">
        <v>140.0</v>
      </c>
      <c r="AG190" s="136">
        <f t="shared" si="72"/>
        <v>749</v>
      </c>
    </row>
    <row r="191" outlineLevel="1">
      <c r="A191" s="305" t="s">
        <v>346</v>
      </c>
      <c r="B191" s="311">
        <v>0.0</v>
      </c>
      <c r="C191" s="311">
        <v>0.0</v>
      </c>
      <c r="D191" s="311">
        <v>0.0</v>
      </c>
      <c r="E191" s="311">
        <v>0.0</v>
      </c>
      <c r="F191" s="311">
        <v>0.0</v>
      </c>
      <c r="G191" s="311">
        <v>0.0</v>
      </c>
      <c r="H191" s="311">
        <v>0.0</v>
      </c>
      <c r="I191" s="311">
        <v>0.0</v>
      </c>
      <c r="J191" s="311">
        <v>0.0</v>
      </c>
      <c r="K191" s="311">
        <v>0.0</v>
      </c>
      <c r="L191" s="311">
        <v>0.0</v>
      </c>
      <c r="M191" s="311">
        <v>0.0</v>
      </c>
      <c r="N191" s="311">
        <v>0.0</v>
      </c>
      <c r="O191" s="311">
        <v>0.0</v>
      </c>
      <c r="P191" s="311">
        <v>0.0</v>
      </c>
      <c r="Q191" s="311">
        <v>0.0</v>
      </c>
      <c r="R191" s="311">
        <v>0.0</v>
      </c>
      <c r="S191" s="311">
        <v>0.0</v>
      </c>
      <c r="T191" s="311">
        <v>0.0</v>
      </c>
      <c r="U191" s="311">
        <v>0.0</v>
      </c>
      <c r="V191" s="311">
        <v>0.0</v>
      </c>
      <c r="W191" s="311">
        <v>0.0</v>
      </c>
      <c r="X191" s="311">
        <v>0.0</v>
      </c>
      <c r="Y191" s="311">
        <v>0.0</v>
      </c>
      <c r="Z191" s="311">
        <v>0.0</v>
      </c>
      <c r="AA191" s="311">
        <v>0.0</v>
      </c>
      <c r="AB191" s="311">
        <v>0.0</v>
      </c>
      <c r="AC191" s="311">
        <v>0.0</v>
      </c>
      <c r="AD191" s="311">
        <v>0.0</v>
      </c>
      <c r="AE191" s="311">
        <v>0.0</v>
      </c>
      <c r="AF191" s="311">
        <v>0.0</v>
      </c>
      <c r="AG191" s="136">
        <f t="shared" si="72"/>
        <v>0</v>
      </c>
    </row>
    <row r="192" outlineLevel="1">
      <c r="A192" s="305" t="s">
        <v>347</v>
      </c>
      <c r="B192" s="311">
        <v>0.0</v>
      </c>
      <c r="C192" s="311">
        <v>0.0</v>
      </c>
      <c r="D192" s="311">
        <v>0.0</v>
      </c>
      <c r="E192" s="311">
        <v>0.0</v>
      </c>
      <c r="F192" s="311">
        <v>0.0</v>
      </c>
      <c r="G192" s="311">
        <v>0.0</v>
      </c>
      <c r="H192" s="311">
        <v>0.0</v>
      </c>
      <c r="I192" s="311">
        <v>0.0</v>
      </c>
      <c r="J192" s="311">
        <v>0.0</v>
      </c>
      <c r="K192" s="311">
        <v>0.0</v>
      </c>
      <c r="L192" s="311">
        <v>0.0</v>
      </c>
      <c r="M192" s="311">
        <v>0.0</v>
      </c>
      <c r="N192" s="311">
        <v>0.0</v>
      </c>
      <c r="O192" s="311">
        <v>0.0</v>
      </c>
      <c r="P192" s="311">
        <v>0.0</v>
      </c>
      <c r="Q192" s="311">
        <v>0.0</v>
      </c>
      <c r="R192" s="311">
        <v>0.0</v>
      </c>
      <c r="S192" s="311">
        <v>0.0</v>
      </c>
      <c r="T192" s="311">
        <v>0.0</v>
      </c>
      <c r="U192" s="311">
        <v>0.0</v>
      </c>
      <c r="V192" s="311">
        <v>0.0</v>
      </c>
      <c r="W192" s="311">
        <v>0.0</v>
      </c>
      <c r="X192" s="311">
        <v>0.0</v>
      </c>
      <c r="Y192" s="311">
        <v>0.0</v>
      </c>
      <c r="Z192" s="311">
        <v>0.0</v>
      </c>
      <c r="AA192" s="311">
        <v>0.0</v>
      </c>
      <c r="AB192" s="311">
        <v>0.0</v>
      </c>
      <c r="AC192" s="311">
        <v>0.0</v>
      </c>
      <c r="AD192" s="311">
        <v>0.0</v>
      </c>
      <c r="AE192" s="311">
        <v>0.0</v>
      </c>
      <c r="AF192" s="311">
        <v>0.0</v>
      </c>
      <c r="AG192" s="136">
        <f t="shared" si="72"/>
        <v>0</v>
      </c>
    </row>
    <row r="193">
      <c r="A193" s="307" t="s">
        <v>261</v>
      </c>
      <c r="B193" s="312">
        <f t="shared" ref="B193:AF193" si="73">SUM(B185:B192)</f>
        <v>281</v>
      </c>
      <c r="C193" s="312">
        <f t="shared" si="73"/>
        <v>152</v>
      </c>
      <c r="D193" s="312">
        <f t="shared" si="73"/>
        <v>318</v>
      </c>
      <c r="E193" s="312">
        <f t="shared" si="73"/>
        <v>328</v>
      </c>
      <c r="F193" s="312">
        <f t="shared" si="73"/>
        <v>307</v>
      </c>
      <c r="G193" s="312">
        <f t="shared" si="73"/>
        <v>292</v>
      </c>
      <c r="H193" s="312">
        <f t="shared" si="73"/>
        <v>99</v>
      </c>
      <c r="I193" s="312">
        <f t="shared" si="73"/>
        <v>595</v>
      </c>
      <c r="J193" s="312">
        <f t="shared" si="73"/>
        <v>229.2</v>
      </c>
      <c r="K193" s="312">
        <f t="shared" si="73"/>
        <v>351</v>
      </c>
      <c r="L193" s="312">
        <f t="shared" si="73"/>
        <v>312</v>
      </c>
      <c r="M193" s="312">
        <f t="shared" si="73"/>
        <v>617.34</v>
      </c>
      <c r="N193" s="312">
        <f t="shared" si="73"/>
        <v>62</v>
      </c>
      <c r="O193" s="312">
        <f t="shared" si="73"/>
        <v>305</v>
      </c>
      <c r="P193" s="312">
        <f t="shared" si="73"/>
        <v>280</v>
      </c>
      <c r="Q193" s="312">
        <f t="shared" si="73"/>
        <v>353</v>
      </c>
      <c r="R193" s="312">
        <f t="shared" si="73"/>
        <v>81</v>
      </c>
      <c r="S193" s="312">
        <f t="shared" si="73"/>
        <v>180</v>
      </c>
      <c r="T193" s="312">
        <f t="shared" si="73"/>
        <v>108</v>
      </c>
      <c r="U193" s="312">
        <f t="shared" si="73"/>
        <v>347</v>
      </c>
      <c r="V193" s="312">
        <f t="shared" si="73"/>
        <v>270</v>
      </c>
      <c r="W193" s="312">
        <f t="shared" si="73"/>
        <v>397</v>
      </c>
      <c r="X193" s="312">
        <f t="shared" si="73"/>
        <v>95</v>
      </c>
      <c r="Y193" s="312">
        <f t="shared" si="73"/>
        <v>115</v>
      </c>
      <c r="Z193" s="312">
        <f t="shared" si="73"/>
        <v>462</v>
      </c>
      <c r="AA193" s="312">
        <f t="shared" si="73"/>
        <v>148</v>
      </c>
      <c r="AB193" s="312">
        <f t="shared" si="73"/>
        <v>125</v>
      </c>
      <c r="AC193" s="312">
        <f t="shared" si="73"/>
        <v>298</v>
      </c>
      <c r="AD193" s="312">
        <f t="shared" si="73"/>
        <v>352.67</v>
      </c>
      <c r="AE193" s="312">
        <f t="shared" si="73"/>
        <v>108</v>
      </c>
      <c r="AF193" s="312">
        <f t="shared" si="73"/>
        <v>264</v>
      </c>
      <c r="AG193" s="136">
        <f t="shared" si="72"/>
        <v>8232.21</v>
      </c>
    </row>
    <row r="194">
      <c r="A194" s="35"/>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0"/>
    </row>
    <row r="195">
      <c r="A195" s="314" t="s">
        <v>348</v>
      </c>
      <c r="B195" s="315"/>
      <c r="C195" s="315"/>
      <c r="D195" s="315"/>
      <c r="E195" s="315"/>
      <c r="F195" s="315"/>
      <c r="G195" s="315"/>
      <c r="H195" s="315"/>
      <c r="I195" s="315"/>
      <c r="J195" s="315"/>
      <c r="K195" s="315"/>
      <c r="L195" s="315"/>
      <c r="M195" s="315"/>
      <c r="N195" s="315"/>
      <c r="O195" s="315"/>
      <c r="P195" s="315"/>
      <c r="Q195" s="315"/>
      <c r="R195" s="315"/>
      <c r="S195" s="315"/>
      <c r="T195" s="315"/>
      <c r="U195" s="315"/>
      <c r="V195" s="315"/>
      <c r="W195" s="315"/>
      <c r="X195" s="315"/>
      <c r="Y195" s="315"/>
      <c r="Z195" s="315"/>
      <c r="AA195" s="315"/>
      <c r="AB195" s="315"/>
      <c r="AC195" s="315"/>
      <c r="AD195" s="315"/>
      <c r="AE195" s="315"/>
      <c r="AF195" s="315"/>
      <c r="AG195" s="20"/>
    </row>
    <row r="196">
      <c r="A196" s="316" t="s">
        <v>245</v>
      </c>
      <c r="B196" s="317"/>
      <c r="C196" s="317"/>
      <c r="D196" s="317"/>
      <c r="E196" s="317"/>
      <c r="F196" s="317"/>
      <c r="G196" s="317"/>
      <c r="H196" s="317"/>
      <c r="I196" s="317"/>
      <c r="J196" s="317"/>
      <c r="K196" s="317"/>
      <c r="L196" s="317"/>
      <c r="M196" s="317"/>
      <c r="N196" s="317"/>
      <c r="O196" s="317"/>
      <c r="P196" s="317"/>
      <c r="Q196" s="317"/>
      <c r="R196" s="317"/>
      <c r="S196" s="317"/>
      <c r="T196" s="317"/>
      <c r="U196" s="317"/>
      <c r="V196" s="317"/>
      <c r="W196" s="317"/>
      <c r="X196" s="317"/>
      <c r="Y196" s="317"/>
      <c r="Z196" s="317"/>
      <c r="AA196" s="317"/>
      <c r="AB196" s="317"/>
      <c r="AC196" s="317"/>
      <c r="AD196" s="317"/>
      <c r="AE196" s="317"/>
      <c r="AF196" s="317"/>
      <c r="AG196" s="136"/>
    </row>
    <row r="197">
      <c r="A197" s="35"/>
      <c r="B197" s="24"/>
      <c r="C197" s="24"/>
      <c r="D197" s="24"/>
      <c r="E197" s="24"/>
      <c r="F197" s="24"/>
      <c r="G197" s="24"/>
      <c r="H197" s="24"/>
      <c r="I197" s="24"/>
      <c r="J197" s="24" t="s">
        <v>236</v>
      </c>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0"/>
    </row>
    <row r="198">
      <c r="A198" s="318" t="s">
        <v>349</v>
      </c>
      <c r="B198" s="319"/>
      <c r="C198" s="319"/>
      <c r="D198" s="319"/>
      <c r="E198" s="319"/>
      <c r="F198" s="319"/>
      <c r="G198" s="319"/>
      <c r="H198" s="319"/>
      <c r="I198" s="320"/>
      <c r="J198" s="320"/>
      <c r="K198" s="320"/>
      <c r="L198" s="320"/>
      <c r="M198" s="320"/>
      <c r="N198" s="320"/>
      <c r="O198" s="320"/>
      <c r="P198" s="320"/>
      <c r="Q198" s="320"/>
      <c r="R198" s="320"/>
      <c r="S198" s="320"/>
      <c r="T198" s="320"/>
      <c r="U198" s="320"/>
      <c r="V198" s="320"/>
      <c r="W198" s="320"/>
      <c r="X198" s="320"/>
      <c r="Y198" s="320"/>
      <c r="Z198" s="320"/>
      <c r="AA198" s="320"/>
      <c r="AB198" s="320"/>
      <c r="AC198" s="320"/>
      <c r="AD198" s="320"/>
      <c r="AE198" s="320"/>
      <c r="AF198" s="320"/>
      <c r="AG198" s="20"/>
    </row>
    <row r="199">
      <c r="A199" s="321" t="s">
        <v>298</v>
      </c>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c r="AG199" s="291"/>
    </row>
    <row r="200" outlineLevel="1">
      <c r="A200" s="321" t="s">
        <v>350</v>
      </c>
      <c r="B200" s="301">
        <v>0.0</v>
      </c>
      <c r="C200" s="301">
        <v>0.0</v>
      </c>
      <c r="D200" s="301">
        <v>0.0</v>
      </c>
      <c r="E200" s="301">
        <v>0.0</v>
      </c>
      <c r="F200" s="301">
        <v>3.0</v>
      </c>
      <c r="G200" s="301">
        <v>0.0</v>
      </c>
      <c r="H200" s="301">
        <v>0.0</v>
      </c>
      <c r="I200" s="301">
        <v>0.0</v>
      </c>
      <c r="J200" s="301">
        <v>0.0</v>
      </c>
      <c r="K200" s="301">
        <v>1.0</v>
      </c>
      <c r="L200" s="301">
        <v>1.0</v>
      </c>
      <c r="M200" s="301">
        <v>0.0</v>
      </c>
      <c r="N200" s="301">
        <v>0.0</v>
      </c>
      <c r="O200" s="301">
        <v>0.0</v>
      </c>
      <c r="P200" s="301">
        <v>0.0</v>
      </c>
      <c r="Q200" s="301">
        <v>0.0</v>
      </c>
      <c r="R200" s="301">
        <v>2.0</v>
      </c>
      <c r="S200" s="301">
        <v>0.0</v>
      </c>
      <c r="T200" s="301">
        <v>0.0</v>
      </c>
      <c r="U200" s="301">
        <v>0.0</v>
      </c>
      <c r="V200" s="301">
        <v>0.0</v>
      </c>
      <c r="W200" s="301">
        <v>0.0</v>
      </c>
      <c r="X200" s="301">
        <v>0.0</v>
      </c>
      <c r="Y200" s="301">
        <v>2.0</v>
      </c>
      <c r="Z200" s="301">
        <v>2.0</v>
      </c>
      <c r="AA200" s="301">
        <v>0.0</v>
      </c>
      <c r="AB200" s="301">
        <v>0.0</v>
      </c>
      <c r="AC200" s="301">
        <v>1.0</v>
      </c>
      <c r="AD200" s="301">
        <v>0.0</v>
      </c>
      <c r="AE200" s="301">
        <v>1.0</v>
      </c>
      <c r="AF200" s="301">
        <v>3.0</v>
      </c>
      <c r="AG200" s="277">
        <f t="shared" ref="AG200:AG203" si="74">SUM(B200:AF200)</f>
        <v>16</v>
      </c>
    </row>
    <row r="201" outlineLevel="1">
      <c r="A201" s="321" t="s">
        <v>351</v>
      </c>
      <c r="B201" s="301">
        <v>0.0</v>
      </c>
      <c r="C201" s="301">
        <v>0.0</v>
      </c>
      <c r="D201" s="301">
        <v>0.0</v>
      </c>
      <c r="E201" s="301">
        <v>0.0</v>
      </c>
      <c r="F201" s="301">
        <v>0.0</v>
      </c>
      <c r="G201" s="301">
        <v>0.0</v>
      </c>
      <c r="H201" s="301">
        <v>0.0</v>
      </c>
      <c r="I201" s="301">
        <v>0.0</v>
      </c>
      <c r="J201" s="301">
        <v>0.0</v>
      </c>
      <c r="K201" s="301">
        <v>0.0</v>
      </c>
      <c r="L201" s="301">
        <v>0.0</v>
      </c>
      <c r="M201" s="301">
        <v>0.0</v>
      </c>
      <c r="N201" s="301">
        <v>0.0</v>
      </c>
      <c r="O201" s="301">
        <v>0.0</v>
      </c>
      <c r="P201" s="301">
        <v>0.0</v>
      </c>
      <c r="Q201" s="301">
        <v>0.0</v>
      </c>
      <c r="R201" s="301">
        <v>0.0</v>
      </c>
      <c r="S201" s="301">
        <v>1.0</v>
      </c>
      <c r="T201" s="301">
        <v>0.0</v>
      </c>
      <c r="U201" s="301">
        <v>0.0</v>
      </c>
      <c r="V201" s="301">
        <v>1.0</v>
      </c>
      <c r="W201" s="301">
        <v>0.0</v>
      </c>
      <c r="X201" s="301">
        <v>0.0</v>
      </c>
      <c r="Y201" s="301">
        <v>0.0</v>
      </c>
      <c r="Z201" s="301">
        <v>0.0</v>
      </c>
      <c r="AA201" s="301">
        <v>0.0</v>
      </c>
      <c r="AB201" s="301">
        <v>0.0</v>
      </c>
      <c r="AC201" s="301">
        <v>0.0</v>
      </c>
      <c r="AD201" s="301">
        <v>0.0</v>
      </c>
      <c r="AE201" s="301">
        <v>0.0</v>
      </c>
      <c r="AF201" s="301">
        <v>0.0</v>
      </c>
      <c r="AG201" s="277">
        <f t="shared" si="74"/>
        <v>2</v>
      </c>
    </row>
    <row r="202" outlineLevel="1">
      <c r="A202" s="321" t="s">
        <v>352</v>
      </c>
      <c r="B202" s="302">
        <v>0.0</v>
      </c>
      <c r="C202" s="302">
        <v>0.0</v>
      </c>
      <c r="D202" s="302">
        <v>0.0</v>
      </c>
      <c r="E202" s="302">
        <v>0.0</v>
      </c>
      <c r="F202" s="302">
        <v>2.0</v>
      </c>
      <c r="G202" s="301">
        <v>1.0</v>
      </c>
      <c r="H202" s="301">
        <v>0.0</v>
      </c>
      <c r="I202" s="301">
        <v>0.0</v>
      </c>
      <c r="J202" s="301">
        <v>0.0</v>
      </c>
      <c r="K202" s="301">
        <v>1.0</v>
      </c>
      <c r="L202" s="301">
        <v>0.0</v>
      </c>
      <c r="M202" s="301">
        <v>0.0</v>
      </c>
      <c r="N202" s="301">
        <v>0.0</v>
      </c>
      <c r="O202" s="301">
        <v>0.0</v>
      </c>
      <c r="P202" s="301">
        <v>0.0</v>
      </c>
      <c r="Q202" s="301">
        <v>0.0</v>
      </c>
      <c r="R202" s="301">
        <v>0.0</v>
      </c>
      <c r="S202" s="301">
        <v>0.0</v>
      </c>
      <c r="T202" s="301">
        <v>0.0</v>
      </c>
      <c r="U202" s="301">
        <v>1.0</v>
      </c>
      <c r="V202" s="301">
        <v>0.0</v>
      </c>
      <c r="W202" s="301">
        <v>0.0</v>
      </c>
      <c r="X202" s="301">
        <v>1.0</v>
      </c>
      <c r="Y202" s="301">
        <v>3.0</v>
      </c>
      <c r="Z202" s="301">
        <v>0.0</v>
      </c>
      <c r="AA202" s="301">
        <v>1.0</v>
      </c>
      <c r="AB202" s="301">
        <v>1.0</v>
      </c>
      <c r="AC202" s="301">
        <v>2.0</v>
      </c>
      <c r="AD202" s="301">
        <v>0.0</v>
      </c>
      <c r="AE202" s="301">
        <v>1.0</v>
      </c>
      <c r="AF202" s="301">
        <v>2.0</v>
      </c>
      <c r="AG202" s="277">
        <f t="shared" si="74"/>
        <v>16</v>
      </c>
    </row>
    <row r="203" outlineLevel="1">
      <c r="A203" s="321" t="s">
        <v>353</v>
      </c>
      <c r="B203" s="302">
        <v>0.0</v>
      </c>
      <c r="C203" s="302">
        <v>0.0</v>
      </c>
      <c r="D203" s="302">
        <v>0.0</v>
      </c>
      <c r="E203" s="302">
        <v>0.0</v>
      </c>
      <c r="F203" s="302">
        <v>0.0</v>
      </c>
      <c r="G203" s="301">
        <v>0.0</v>
      </c>
      <c r="H203" s="301">
        <v>0.0</v>
      </c>
      <c r="I203" s="301">
        <v>0.0</v>
      </c>
      <c r="J203" s="301">
        <v>0.0</v>
      </c>
      <c r="K203" s="301">
        <v>0.0</v>
      </c>
      <c r="L203" s="301">
        <v>0.0</v>
      </c>
      <c r="M203" s="301">
        <v>0.0</v>
      </c>
      <c r="N203" s="301">
        <v>0.0</v>
      </c>
      <c r="O203" s="301">
        <v>0.0</v>
      </c>
      <c r="P203" s="301">
        <v>0.0</v>
      </c>
      <c r="Q203" s="301">
        <v>0.0</v>
      </c>
      <c r="R203" s="301">
        <v>0.0</v>
      </c>
      <c r="S203" s="301">
        <v>0.0</v>
      </c>
      <c r="T203" s="301">
        <v>0.0</v>
      </c>
      <c r="U203" s="301">
        <v>0.0</v>
      </c>
      <c r="V203" s="301">
        <v>0.0</v>
      </c>
      <c r="W203" s="301">
        <v>0.0</v>
      </c>
      <c r="X203" s="301">
        <v>0.0</v>
      </c>
      <c r="Y203" s="301">
        <v>0.0</v>
      </c>
      <c r="Z203" s="301">
        <v>0.0</v>
      </c>
      <c r="AA203" s="301">
        <v>0.0</v>
      </c>
      <c r="AB203" s="301">
        <v>0.0</v>
      </c>
      <c r="AC203" s="301">
        <v>0.0</v>
      </c>
      <c r="AD203" s="301">
        <v>0.0</v>
      </c>
      <c r="AE203" s="301">
        <v>0.0</v>
      </c>
      <c r="AF203" s="301">
        <v>0.0</v>
      </c>
      <c r="AG203" s="277">
        <f t="shared" si="74"/>
        <v>0</v>
      </c>
    </row>
    <row r="204">
      <c r="A204" s="321" t="s">
        <v>303</v>
      </c>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291"/>
    </row>
    <row r="205" outlineLevel="1">
      <c r="A205" s="321" t="s">
        <v>354</v>
      </c>
      <c r="B205" s="301">
        <v>0.0</v>
      </c>
      <c r="C205" s="301">
        <v>0.0</v>
      </c>
      <c r="D205" s="301">
        <v>0.0</v>
      </c>
      <c r="E205" s="301">
        <v>0.0</v>
      </c>
      <c r="F205" s="301">
        <v>0.0</v>
      </c>
      <c r="G205" s="301">
        <v>0.0</v>
      </c>
      <c r="H205" s="301">
        <v>0.0</v>
      </c>
      <c r="I205" s="301">
        <v>0.0</v>
      </c>
      <c r="J205" s="301">
        <v>0.0</v>
      </c>
      <c r="K205" s="301">
        <v>0.0</v>
      </c>
      <c r="L205" s="301">
        <v>0.0</v>
      </c>
      <c r="M205" s="301">
        <v>0.0</v>
      </c>
      <c r="N205" s="301">
        <v>0.0</v>
      </c>
      <c r="O205" s="301">
        <v>0.0</v>
      </c>
      <c r="P205" s="301">
        <v>0.0</v>
      </c>
      <c r="Q205" s="301">
        <v>0.0</v>
      </c>
      <c r="R205" s="301">
        <v>0.0</v>
      </c>
      <c r="S205" s="301">
        <v>0.0</v>
      </c>
      <c r="T205" s="301">
        <v>0.0</v>
      </c>
      <c r="U205" s="301">
        <v>0.0</v>
      </c>
      <c r="V205" s="301">
        <v>0.0</v>
      </c>
      <c r="W205" s="301">
        <v>0.0</v>
      </c>
      <c r="X205" s="301">
        <v>0.0</v>
      </c>
      <c r="Y205" s="301">
        <v>0.0</v>
      </c>
      <c r="Z205" s="301">
        <v>0.0</v>
      </c>
      <c r="AA205" s="301">
        <v>0.0</v>
      </c>
      <c r="AB205" s="301">
        <v>0.0</v>
      </c>
      <c r="AC205" s="301">
        <v>0.0</v>
      </c>
      <c r="AD205" s="301">
        <v>0.0</v>
      </c>
      <c r="AE205" s="301">
        <v>0.0</v>
      </c>
      <c r="AF205" s="301">
        <v>0.0</v>
      </c>
      <c r="AG205" s="277">
        <f t="shared" ref="AG205:AG210" si="75">SUM(B205:AF205)</f>
        <v>0</v>
      </c>
    </row>
    <row r="206" outlineLevel="1">
      <c r="A206" s="321" t="s">
        <v>355</v>
      </c>
      <c r="B206" s="301">
        <v>0.0</v>
      </c>
      <c r="C206" s="301">
        <v>0.0</v>
      </c>
      <c r="D206" s="301">
        <v>0.0</v>
      </c>
      <c r="E206" s="301">
        <v>0.0</v>
      </c>
      <c r="F206" s="301">
        <v>0.0</v>
      </c>
      <c r="G206" s="301">
        <v>0.0</v>
      </c>
      <c r="H206" s="301">
        <v>0.0</v>
      </c>
      <c r="I206" s="301">
        <v>0.0</v>
      </c>
      <c r="J206" s="301">
        <v>0.0</v>
      </c>
      <c r="K206" s="301">
        <v>0.0</v>
      </c>
      <c r="L206" s="301">
        <v>0.0</v>
      </c>
      <c r="M206" s="301">
        <v>0.0</v>
      </c>
      <c r="N206" s="301">
        <v>0.0</v>
      </c>
      <c r="O206" s="301">
        <v>0.0</v>
      </c>
      <c r="P206" s="301">
        <v>0.0</v>
      </c>
      <c r="Q206" s="301">
        <v>0.0</v>
      </c>
      <c r="R206" s="301">
        <v>0.0</v>
      </c>
      <c r="S206" s="301">
        <v>0.0</v>
      </c>
      <c r="T206" s="301">
        <v>0.0</v>
      </c>
      <c r="U206" s="301">
        <v>0.0</v>
      </c>
      <c r="V206" s="301">
        <v>0.0</v>
      </c>
      <c r="W206" s="301">
        <v>0.0</v>
      </c>
      <c r="X206" s="301">
        <v>0.0</v>
      </c>
      <c r="Y206" s="301">
        <v>0.0</v>
      </c>
      <c r="Z206" s="301">
        <v>0.0</v>
      </c>
      <c r="AA206" s="301">
        <v>0.0</v>
      </c>
      <c r="AB206" s="301">
        <v>0.0</v>
      </c>
      <c r="AC206" s="301">
        <v>0.0</v>
      </c>
      <c r="AD206" s="301">
        <v>0.0</v>
      </c>
      <c r="AE206" s="301">
        <v>0.0</v>
      </c>
      <c r="AF206" s="301">
        <v>0.0</v>
      </c>
      <c r="AG206" s="277">
        <f t="shared" si="75"/>
        <v>0</v>
      </c>
    </row>
    <row r="207" outlineLevel="1">
      <c r="A207" s="321" t="s">
        <v>356</v>
      </c>
      <c r="B207" s="302">
        <v>0.0</v>
      </c>
      <c r="C207" s="302">
        <v>0.0</v>
      </c>
      <c r="D207" s="302">
        <v>0.0</v>
      </c>
      <c r="E207" s="302">
        <v>0.0</v>
      </c>
      <c r="F207" s="301">
        <v>0.0</v>
      </c>
      <c r="G207" s="301">
        <v>1.0</v>
      </c>
      <c r="H207" s="301">
        <v>0.0</v>
      </c>
      <c r="I207" s="301">
        <v>0.0</v>
      </c>
      <c r="J207" s="301">
        <v>0.0</v>
      </c>
      <c r="K207" s="301">
        <v>0.0</v>
      </c>
      <c r="L207" s="301">
        <v>0.0</v>
      </c>
      <c r="M207" s="301">
        <v>0.0</v>
      </c>
      <c r="N207" s="301">
        <v>0.0</v>
      </c>
      <c r="O207" s="301">
        <v>0.0</v>
      </c>
      <c r="P207" s="301">
        <v>0.0</v>
      </c>
      <c r="Q207" s="301">
        <v>0.0</v>
      </c>
      <c r="R207" s="301">
        <v>0.0</v>
      </c>
      <c r="S207" s="301">
        <v>1.0</v>
      </c>
      <c r="T207" s="301">
        <v>0.0</v>
      </c>
      <c r="U207" s="301">
        <v>0.0</v>
      </c>
      <c r="V207" s="301">
        <v>0.0</v>
      </c>
      <c r="W207" s="301">
        <v>0.0</v>
      </c>
      <c r="X207" s="301">
        <v>0.0</v>
      </c>
      <c r="Y207" s="301">
        <v>0.0</v>
      </c>
      <c r="Z207" s="301">
        <v>0.0</v>
      </c>
      <c r="AA207" s="301">
        <v>0.0</v>
      </c>
      <c r="AB207" s="301">
        <v>0.0</v>
      </c>
      <c r="AC207" s="301">
        <v>0.0</v>
      </c>
      <c r="AD207" s="301">
        <v>0.0</v>
      </c>
      <c r="AE207" s="301">
        <v>0.0</v>
      </c>
      <c r="AF207" s="301">
        <v>0.0</v>
      </c>
      <c r="AG207" s="277">
        <f t="shared" si="75"/>
        <v>2</v>
      </c>
    </row>
    <row r="208" outlineLevel="1">
      <c r="A208" s="321" t="s">
        <v>357</v>
      </c>
      <c r="B208" s="302">
        <v>0.0</v>
      </c>
      <c r="C208" s="302">
        <v>0.0</v>
      </c>
      <c r="D208" s="302">
        <v>0.0</v>
      </c>
      <c r="E208" s="302">
        <v>0.0</v>
      </c>
      <c r="F208" s="301">
        <v>0.0</v>
      </c>
      <c r="G208" s="301">
        <v>0.0</v>
      </c>
      <c r="H208" s="301">
        <v>0.0</v>
      </c>
      <c r="I208" s="301">
        <v>0.0</v>
      </c>
      <c r="J208" s="301">
        <v>0.0</v>
      </c>
      <c r="K208" s="301">
        <v>0.0</v>
      </c>
      <c r="L208" s="301">
        <v>0.0</v>
      </c>
      <c r="M208" s="301">
        <v>0.0</v>
      </c>
      <c r="N208" s="301">
        <v>0.0</v>
      </c>
      <c r="O208" s="301">
        <v>0.0</v>
      </c>
      <c r="P208" s="301">
        <v>0.0</v>
      </c>
      <c r="Q208" s="301">
        <v>0.0</v>
      </c>
      <c r="R208" s="301">
        <v>0.0</v>
      </c>
      <c r="S208" s="301">
        <v>0.0</v>
      </c>
      <c r="T208" s="301">
        <v>0.0</v>
      </c>
      <c r="U208" s="301">
        <v>0.0</v>
      </c>
      <c r="V208" s="301">
        <v>0.0</v>
      </c>
      <c r="W208" s="301">
        <v>0.0</v>
      </c>
      <c r="X208" s="301">
        <v>0.0</v>
      </c>
      <c r="Y208" s="301">
        <v>0.0</v>
      </c>
      <c r="Z208" s="301">
        <v>0.0</v>
      </c>
      <c r="AA208" s="301">
        <v>0.0</v>
      </c>
      <c r="AB208" s="301">
        <v>0.0</v>
      </c>
      <c r="AC208" s="301">
        <v>0.0</v>
      </c>
      <c r="AD208" s="301">
        <v>0.0</v>
      </c>
      <c r="AE208" s="301">
        <v>0.0</v>
      </c>
      <c r="AF208" s="301">
        <v>0.0</v>
      </c>
      <c r="AG208" s="277">
        <f t="shared" si="75"/>
        <v>0</v>
      </c>
    </row>
    <row r="209">
      <c r="A209" s="322" t="s">
        <v>308</v>
      </c>
      <c r="B209" s="323">
        <f t="shared" ref="B209:AF209" si="76">SUM(B200,B201,B205,B206)</f>
        <v>0</v>
      </c>
      <c r="C209" s="323">
        <f t="shared" si="76"/>
        <v>0</v>
      </c>
      <c r="D209" s="323">
        <f t="shared" si="76"/>
        <v>0</v>
      </c>
      <c r="E209" s="323">
        <f t="shared" si="76"/>
        <v>0</v>
      </c>
      <c r="F209" s="323">
        <f t="shared" si="76"/>
        <v>3</v>
      </c>
      <c r="G209" s="323">
        <f t="shared" si="76"/>
        <v>0</v>
      </c>
      <c r="H209" s="323">
        <f t="shared" si="76"/>
        <v>0</v>
      </c>
      <c r="I209" s="323">
        <f t="shared" si="76"/>
        <v>0</v>
      </c>
      <c r="J209" s="323">
        <f t="shared" si="76"/>
        <v>0</v>
      </c>
      <c r="K209" s="323">
        <f t="shared" si="76"/>
        <v>1</v>
      </c>
      <c r="L209" s="323">
        <f t="shared" si="76"/>
        <v>1</v>
      </c>
      <c r="M209" s="323">
        <f t="shared" si="76"/>
        <v>0</v>
      </c>
      <c r="N209" s="323">
        <f t="shared" si="76"/>
        <v>0</v>
      </c>
      <c r="O209" s="323">
        <f t="shared" si="76"/>
        <v>0</v>
      </c>
      <c r="P209" s="323">
        <f t="shared" si="76"/>
        <v>0</v>
      </c>
      <c r="Q209" s="323">
        <f t="shared" si="76"/>
        <v>0</v>
      </c>
      <c r="R209" s="323">
        <f t="shared" si="76"/>
        <v>2</v>
      </c>
      <c r="S209" s="323">
        <f t="shared" si="76"/>
        <v>1</v>
      </c>
      <c r="T209" s="323">
        <f t="shared" si="76"/>
        <v>0</v>
      </c>
      <c r="U209" s="323">
        <f t="shared" si="76"/>
        <v>0</v>
      </c>
      <c r="V209" s="323">
        <f t="shared" si="76"/>
        <v>1</v>
      </c>
      <c r="W209" s="323">
        <f t="shared" si="76"/>
        <v>0</v>
      </c>
      <c r="X209" s="323">
        <f t="shared" si="76"/>
        <v>0</v>
      </c>
      <c r="Y209" s="323">
        <f t="shared" si="76"/>
        <v>2</v>
      </c>
      <c r="Z209" s="323">
        <f t="shared" si="76"/>
        <v>2</v>
      </c>
      <c r="AA209" s="323">
        <f t="shared" si="76"/>
        <v>0</v>
      </c>
      <c r="AB209" s="323">
        <f t="shared" si="76"/>
        <v>0</v>
      </c>
      <c r="AC209" s="323">
        <f t="shared" si="76"/>
        <v>1</v>
      </c>
      <c r="AD209" s="323">
        <f t="shared" si="76"/>
        <v>0</v>
      </c>
      <c r="AE209" s="323">
        <f t="shared" si="76"/>
        <v>1</v>
      </c>
      <c r="AF209" s="323">
        <f t="shared" si="76"/>
        <v>3</v>
      </c>
      <c r="AG209" s="277">
        <f t="shared" si="75"/>
        <v>18</v>
      </c>
    </row>
    <row r="210">
      <c r="A210" s="322" t="s">
        <v>309</v>
      </c>
      <c r="B210" s="323">
        <f t="shared" ref="B210:AF210" si="77">SUM(B202,B203,B207,B208)</f>
        <v>0</v>
      </c>
      <c r="C210" s="323">
        <f t="shared" si="77"/>
        <v>0</v>
      </c>
      <c r="D210" s="323">
        <f t="shared" si="77"/>
        <v>0</v>
      </c>
      <c r="E210" s="323">
        <f t="shared" si="77"/>
        <v>0</v>
      </c>
      <c r="F210" s="323">
        <f t="shared" si="77"/>
        <v>2</v>
      </c>
      <c r="G210" s="323">
        <f t="shared" si="77"/>
        <v>2</v>
      </c>
      <c r="H210" s="323">
        <f t="shared" si="77"/>
        <v>0</v>
      </c>
      <c r="I210" s="323">
        <f t="shared" si="77"/>
        <v>0</v>
      </c>
      <c r="J210" s="323">
        <f t="shared" si="77"/>
        <v>0</v>
      </c>
      <c r="K210" s="323">
        <f t="shared" si="77"/>
        <v>1</v>
      </c>
      <c r="L210" s="323">
        <f t="shared" si="77"/>
        <v>0</v>
      </c>
      <c r="M210" s="323">
        <f t="shared" si="77"/>
        <v>0</v>
      </c>
      <c r="N210" s="323">
        <f t="shared" si="77"/>
        <v>0</v>
      </c>
      <c r="O210" s="323">
        <f t="shared" si="77"/>
        <v>0</v>
      </c>
      <c r="P210" s="323">
        <f t="shared" si="77"/>
        <v>0</v>
      </c>
      <c r="Q210" s="323">
        <f t="shared" si="77"/>
        <v>0</v>
      </c>
      <c r="R210" s="323">
        <f t="shared" si="77"/>
        <v>0</v>
      </c>
      <c r="S210" s="323">
        <f t="shared" si="77"/>
        <v>1</v>
      </c>
      <c r="T210" s="323">
        <f t="shared" si="77"/>
        <v>0</v>
      </c>
      <c r="U210" s="323">
        <f t="shared" si="77"/>
        <v>1</v>
      </c>
      <c r="V210" s="323">
        <f t="shared" si="77"/>
        <v>0</v>
      </c>
      <c r="W210" s="323">
        <f t="shared" si="77"/>
        <v>0</v>
      </c>
      <c r="X210" s="323">
        <f t="shared" si="77"/>
        <v>1</v>
      </c>
      <c r="Y210" s="323">
        <f t="shared" si="77"/>
        <v>3</v>
      </c>
      <c r="Z210" s="323">
        <f t="shared" si="77"/>
        <v>0</v>
      </c>
      <c r="AA210" s="323">
        <f t="shared" si="77"/>
        <v>1</v>
      </c>
      <c r="AB210" s="323">
        <f t="shared" si="77"/>
        <v>1</v>
      </c>
      <c r="AC210" s="323">
        <f t="shared" si="77"/>
        <v>2</v>
      </c>
      <c r="AD210" s="323">
        <f t="shared" si="77"/>
        <v>0</v>
      </c>
      <c r="AE210" s="323">
        <f t="shared" si="77"/>
        <v>1</v>
      </c>
      <c r="AF210" s="323">
        <f t="shared" si="77"/>
        <v>2</v>
      </c>
      <c r="AG210" s="277">
        <f t="shared" si="75"/>
        <v>18</v>
      </c>
    </row>
    <row r="211">
      <c r="A211" s="35"/>
      <c r="B211" s="255"/>
      <c r="C211" s="255"/>
      <c r="D211" s="255"/>
      <c r="E211" s="255"/>
      <c r="F211" s="255"/>
      <c r="G211" s="255"/>
      <c r="H211" s="255"/>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91"/>
    </row>
    <row r="212">
      <c r="A212" s="321" t="s">
        <v>310</v>
      </c>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c r="AF212" s="89"/>
      <c r="AG212" s="291"/>
    </row>
    <row r="213" outlineLevel="1">
      <c r="A213" s="321" t="s">
        <v>311</v>
      </c>
      <c r="B213" s="301">
        <v>0.0</v>
      </c>
      <c r="C213" s="301">
        <v>0.0</v>
      </c>
      <c r="D213" s="301">
        <v>0.0</v>
      </c>
      <c r="E213" s="301">
        <v>0.0</v>
      </c>
      <c r="F213" s="301">
        <v>2.0</v>
      </c>
      <c r="G213" s="301">
        <v>1.0</v>
      </c>
      <c r="H213" s="301">
        <v>0.0</v>
      </c>
      <c r="I213" s="301">
        <v>0.0</v>
      </c>
      <c r="J213" s="301">
        <v>0.0</v>
      </c>
      <c r="K213" s="301">
        <v>0.0</v>
      </c>
      <c r="L213" s="301">
        <v>0.0</v>
      </c>
      <c r="M213" s="301">
        <v>0.0</v>
      </c>
      <c r="N213" s="301">
        <v>0.0</v>
      </c>
      <c r="O213" s="301">
        <v>0.0</v>
      </c>
      <c r="P213" s="301">
        <v>0.0</v>
      </c>
      <c r="Q213" s="301">
        <v>0.0</v>
      </c>
      <c r="R213" s="301">
        <v>0.0</v>
      </c>
      <c r="S213" s="301">
        <v>1.0</v>
      </c>
      <c r="T213" s="301">
        <v>1.0</v>
      </c>
      <c r="U213" s="301">
        <v>0.0</v>
      </c>
      <c r="V213" s="301">
        <v>1.0</v>
      </c>
      <c r="W213" s="301">
        <v>0.0</v>
      </c>
      <c r="X213" s="301">
        <v>0.0</v>
      </c>
      <c r="Y213" s="301">
        <v>1.0</v>
      </c>
      <c r="Z213" s="301">
        <v>0.0</v>
      </c>
      <c r="AA213" s="301">
        <v>2.0</v>
      </c>
      <c r="AB213" s="301">
        <v>0.0</v>
      </c>
      <c r="AC213" s="301">
        <v>4.0</v>
      </c>
      <c r="AD213" s="301">
        <v>3.0</v>
      </c>
      <c r="AE213" s="301">
        <v>4.0</v>
      </c>
      <c r="AF213" s="301">
        <v>14.0</v>
      </c>
      <c r="AG213" s="277">
        <f t="shared" ref="AG213:AG221" si="78">SUM(B213:AF213)</f>
        <v>34</v>
      </c>
    </row>
    <row r="214" outlineLevel="1">
      <c r="A214" s="321" t="s">
        <v>312</v>
      </c>
      <c r="B214" s="301">
        <v>0.0</v>
      </c>
      <c r="C214" s="301">
        <v>0.0</v>
      </c>
      <c r="D214" s="301">
        <v>0.0</v>
      </c>
      <c r="E214" s="301">
        <v>0.0</v>
      </c>
      <c r="F214" s="301">
        <v>0.0</v>
      </c>
      <c r="G214" s="301">
        <v>0.0</v>
      </c>
      <c r="H214" s="301">
        <v>0.0</v>
      </c>
      <c r="I214" s="301">
        <v>0.0</v>
      </c>
      <c r="J214" s="301">
        <v>0.0</v>
      </c>
      <c r="K214" s="301">
        <v>1.0</v>
      </c>
      <c r="L214" s="301">
        <v>0.0</v>
      </c>
      <c r="M214" s="301">
        <v>0.0</v>
      </c>
      <c r="N214" s="301">
        <v>0.0</v>
      </c>
      <c r="O214" s="301">
        <v>0.0</v>
      </c>
      <c r="P214" s="301">
        <v>0.0</v>
      </c>
      <c r="Q214" s="301">
        <v>0.0</v>
      </c>
      <c r="R214" s="301">
        <v>0.0</v>
      </c>
      <c r="S214" s="301">
        <v>1.0</v>
      </c>
      <c r="T214" s="301">
        <v>0.0</v>
      </c>
      <c r="U214" s="301">
        <v>0.0</v>
      </c>
      <c r="V214" s="301">
        <v>1.0</v>
      </c>
      <c r="W214" s="301">
        <v>0.0</v>
      </c>
      <c r="X214" s="301">
        <v>0.0</v>
      </c>
      <c r="Y214" s="301">
        <v>1.0</v>
      </c>
      <c r="Z214" s="301">
        <v>1.0</v>
      </c>
      <c r="AA214" s="301">
        <v>1.0</v>
      </c>
      <c r="AB214" s="301">
        <v>0.0</v>
      </c>
      <c r="AC214" s="301">
        <v>0.0</v>
      </c>
      <c r="AD214" s="301">
        <v>2.0</v>
      </c>
      <c r="AE214" s="301">
        <v>0.0</v>
      </c>
      <c r="AF214" s="301">
        <v>2.0</v>
      </c>
      <c r="AG214" s="277">
        <f t="shared" si="78"/>
        <v>10</v>
      </c>
    </row>
    <row r="215" outlineLevel="1">
      <c r="A215" s="321" t="s">
        <v>358</v>
      </c>
      <c r="B215" s="302">
        <v>0.0</v>
      </c>
      <c r="C215" s="302">
        <v>0.0</v>
      </c>
      <c r="D215" s="302">
        <v>0.0</v>
      </c>
      <c r="E215" s="302">
        <v>0.0</v>
      </c>
      <c r="F215" s="301">
        <v>1.0</v>
      </c>
      <c r="G215" s="301">
        <v>0.0</v>
      </c>
      <c r="H215" s="301">
        <v>0.0</v>
      </c>
      <c r="I215" s="301">
        <v>0.0</v>
      </c>
      <c r="J215" s="301">
        <v>0.0</v>
      </c>
      <c r="K215" s="301">
        <v>0.0</v>
      </c>
      <c r="L215" s="301">
        <v>0.0</v>
      </c>
      <c r="M215" s="301">
        <v>0.0</v>
      </c>
      <c r="N215" s="301">
        <v>0.0</v>
      </c>
      <c r="O215" s="301">
        <v>0.0</v>
      </c>
      <c r="P215" s="301">
        <v>0.0</v>
      </c>
      <c r="Q215" s="301">
        <v>0.0</v>
      </c>
      <c r="R215" s="301">
        <v>0.0</v>
      </c>
      <c r="S215" s="301">
        <v>1.0</v>
      </c>
      <c r="T215" s="301">
        <v>0.0</v>
      </c>
      <c r="U215" s="301">
        <v>0.0</v>
      </c>
      <c r="V215" s="301">
        <v>1.0</v>
      </c>
      <c r="W215" s="301">
        <v>1.0</v>
      </c>
      <c r="X215" s="301">
        <v>0.0</v>
      </c>
      <c r="Y215" s="301">
        <v>0.0</v>
      </c>
      <c r="Z215" s="301">
        <v>1.0</v>
      </c>
      <c r="AA215" s="301">
        <v>2.0</v>
      </c>
      <c r="AB215" s="301">
        <v>0.0</v>
      </c>
      <c r="AC215" s="301">
        <v>2.0</v>
      </c>
      <c r="AD215" s="301">
        <v>1.0</v>
      </c>
      <c r="AE215" s="301">
        <v>1.0</v>
      </c>
      <c r="AF215" s="301">
        <v>3.0</v>
      </c>
      <c r="AG215" s="277">
        <f t="shared" si="78"/>
        <v>14</v>
      </c>
    </row>
    <row r="216" outlineLevel="1">
      <c r="A216" s="321" t="s">
        <v>359</v>
      </c>
      <c r="B216" s="302">
        <v>0.0</v>
      </c>
      <c r="C216" s="302">
        <v>0.0</v>
      </c>
      <c r="D216" s="302">
        <v>0.0</v>
      </c>
      <c r="E216" s="302">
        <v>0.0</v>
      </c>
      <c r="F216" s="301">
        <v>0.0</v>
      </c>
      <c r="G216" s="301">
        <v>0.0</v>
      </c>
      <c r="H216" s="301">
        <v>0.0</v>
      </c>
      <c r="I216" s="301">
        <v>0.0</v>
      </c>
      <c r="J216" s="301">
        <v>0.0</v>
      </c>
      <c r="K216" s="301">
        <v>0.0</v>
      </c>
      <c r="L216" s="301">
        <v>0.0</v>
      </c>
      <c r="M216" s="301">
        <v>0.0</v>
      </c>
      <c r="N216" s="301">
        <v>0.0</v>
      </c>
      <c r="O216" s="301">
        <v>0.0</v>
      </c>
      <c r="P216" s="301">
        <v>0.0</v>
      </c>
      <c r="Q216" s="301">
        <v>0.0</v>
      </c>
      <c r="R216" s="301">
        <v>0.0</v>
      </c>
      <c r="S216" s="301">
        <v>0.0</v>
      </c>
      <c r="T216" s="301">
        <v>0.0</v>
      </c>
      <c r="U216" s="301">
        <v>0.0</v>
      </c>
      <c r="V216" s="301">
        <v>0.0</v>
      </c>
      <c r="W216" s="301">
        <v>0.0</v>
      </c>
      <c r="X216" s="301">
        <v>0.0</v>
      </c>
      <c r="Y216" s="301">
        <v>0.0</v>
      </c>
      <c r="Z216" s="301">
        <v>0.0</v>
      </c>
      <c r="AA216" s="301">
        <v>0.0</v>
      </c>
      <c r="AB216" s="301">
        <v>0.0</v>
      </c>
      <c r="AC216" s="301">
        <v>0.0</v>
      </c>
      <c r="AD216" s="301">
        <v>0.0</v>
      </c>
      <c r="AE216" s="301">
        <v>0.0</v>
      </c>
      <c r="AF216" s="301">
        <v>0.0</v>
      </c>
      <c r="AG216" s="277">
        <f t="shared" si="78"/>
        <v>0</v>
      </c>
    </row>
    <row r="217" outlineLevel="1">
      <c r="A217" s="321" t="s">
        <v>360</v>
      </c>
      <c r="B217" s="301">
        <v>0.0</v>
      </c>
      <c r="C217" s="301">
        <v>0.0</v>
      </c>
      <c r="D217" s="301">
        <v>0.0</v>
      </c>
      <c r="E217" s="301">
        <v>0.0</v>
      </c>
      <c r="F217" s="301">
        <v>2.0</v>
      </c>
      <c r="G217" s="301">
        <v>1.0</v>
      </c>
      <c r="H217" s="301">
        <v>0.0</v>
      </c>
      <c r="I217" s="301">
        <v>0.0</v>
      </c>
      <c r="J217" s="301">
        <v>0.0</v>
      </c>
      <c r="K217" s="301">
        <v>0.0</v>
      </c>
      <c r="L217" s="301">
        <v>0.0</v>
      </c>
      <c r="M217" s="301">
        <v>0.0</v>
      </c>
      <c r="N217" s="301">
        <v>0.0</v>
      </c>
      <c r="O217" s="301">
        <v>0.0</v>
      </c>
      <c r="P217" s="301">
        <v>0.0</v>
      </c>
      <c r="Q217" s="301">
        <v>0.0</v>
      </c>
      <c r="R217" s="301">
        <v>1.0</v>
      </c>
      <c r="S217" s="301">
        <v>0.0</v>
      </c>
      <c r="T217" s="301">
        <v>0.0</v>
      </c>
      <c r="U217" s="301">
        <v>0.0</v>
      </c>
      <c r="V217" s="301">
        <v>0.0</v>
      </c>
      <c r="W217" s="301">
        <v>0.0</v>
      </c>
      <c r="X217" s="301">
        <v>0.0</v>
      </c>
      <c r="Y217" s="301">
        <v>1.0</v>
      </c>
      <c r="Z217" s="301">
        <v>0.0</v>
      </c>
      <c r="AA217" s="301">
        <v>0.0</v>
      </c>
      <c r="AB217" s="301">
        <v>0.0</v>
      </c>
      <c r="AC217" s="301">
        <v>0.0</v>
      </c>
      <c r="AD217" s="301">
        <v>0.0</v>
      </c>
      <c r="AE217" s="301">
        <v>2.0</v>
      </c>
      <c r="AF217" s="301">
        <v>2.0</v>
      </c>
      <c r="AG217" s="277">
        <f t="shared" si="78"/>
        <v>9</v>
      </c>
    </row>
    <row r="218" outlineLevel="1">
      <c r="A218" s="321" t="s">
        <v>361</v>
      </c>
      <c r="B218" s="301">
        <v>0.0</v>
      </c>
      <c r="C218" s="301">
        <v>0.0</v>
      </c>
      <c r="D218" s="301">
        <v>0.0</v>
      </c>
      <c r="E218" s="301">
        <v>0.0</v>
      </c>
      <c r="F218" s="301">
        <v>0.0</v>
      </c>
      <c r="G218" s="301">
        <v>0.0</v>
      </c>
      <c r="H218" s="301">
        <v>0.0</v>
      </c>
      <c r="I218" s="301">
        <v>0.0</v>
      </c>
      <c r="J218" s="301">
        <v>0.0</v>
      </c>
      <c r="K218" s="301">
        <v>0.0</v>
      </c>
      <c r="L218" s="301">
        <v>0.0</v>
      </c>
      <c r="M218" s="301">
        <v>0.0</v>
      </c>
      <c r="N218" s="301">
        <v>0.0</v>
      </c>
      <c r="O218" s="301">
        <v>0.0</v>
      </c>
      <c r="P218" s="301">
        <v>0.0</v>
      </c>
      <c r="Q218" s="301">
        <v>0.0</v>
      </c>
      <c r="R218" s="301">
        <v>0.0</v>
      </c>
      <c r="S218" s="301">
        <v>0.0</v>
      </c>
      <c r="T218" s="301">
        <v>0.0</v>
      </c>
      <c r="U218" s="301">
        <v>0.0</v>
      </c>
      <c r="V218" s="301">
        <v>0.0</v>
      </c>
      <c r="W218" s="301">
        <v>0.0</v>
      </c>
      <c r="X218" s="301">
        <v>0.0</v>
      </c>
      <c r="Y218" s="301">
        <v>0.0</v>
      </c>
      <c r="Z218" s="301">
        <v>0.0</v>
      </c>
      <c r="AA218" s="301">
        <v>0.0</v>
      </c>
      <c r="AB218" s="301">
        <v>0.0</v>
      </c>
      <c r="AC218" s="301">
        <v>0.0</v>
      </c>
      <c r="AD218" s="301">
        <v>0.0</v>
      </c>
      <c r="AE218" s="301">
        <v>0.0</v>
      </c>
      <c r="AF218" s="301">
        <v>0.0</v>
      </c>
      <c r="AG218" s="277">
        <f t="shared" si="78"/>
        <v>0</v>
      </c>
    </row>
    <row r="219" outlineLevel="1">
      <c r="A219" s="321" t="s">
        <v>362</v>
      </c>
      <c r="B219" s="302">
        <v>0.0</v>
      </c>
      <c r="C219" s="302">
        <v>0.0</v>
      </c>
      <c r="D219" s="302">
        <v>0.0</v>
      </c>
      <c r="E219" s="302">
        <v>0.0</v>
      </c>
      <c r="F219" s="301">
        <v>0.0</v>
      </c>
      <c r="G219" s="301">
        <v>0.0</v>
      </c>
      <c r="H219" s="301">
        <v>0.0</v>
      </c>
      <c r="I219" s="301">
        <v>0.0</v>
      </c>
      <c r="J219" s="301">
        <v>0.0</v>
      </c>
      <c r="K219" s="301">
        <v>0.0</v>
      </c>
      <c r="L219" s="301">
        <v>0.0</v>
      </c>
      <c r="M219" s="301">
        <v>0.0</v>
      </c>
      <c r="N219" s="301">
        <v>0.0</v>
      </c>
      <c r="O219" s="301">
        <v>0.0</v>
      </c>
      <c r="P219" s="301">
        <v>0.0</v>
      </c>
      <c r="Q219" s="301">
        <v>0.0</v>
      </c>
      <c r="R219" s="301">
        <v>0.0</v>
      </c>
      <c r="S219" s="301">
        <v>0.0</v>
      </c>
      <c r="T219" s="301">
        <v>0.0</v>
      </c>
      <c r="U219" s="301">
        <v>0.0</v>
      </c>
      <c r="V219" s="301">
        <v>0.0</v>
      </c>
      <c r="W219" s="301">
        <v>0.0</v>
      </c>
      <c r="X219" s="301">
        <v>0.0</v>
      </c>
      <c r="Y219" s="301">
        <v>0.0</v>
      </c>
      <c r="Z219" s="301">
        <v>0.0</v>
      </c>
      <c r="AA219" s="301">
        <v>0.0</v>
      </c>
      <c r="AB219" s="301">
        <v>0.0</v>
      </c>
      <c r="AC219" s="301">
        <v>0.0</v>
      </c>
      <c r="AD219" s="301">
        <v>0.0</v>
      </c>
      <c r="AE219" s="301">
        <v>0.0</v>
      </c>
      <c r="AF219" s="301">
        <v>0.0</v>
      </c>
      <c r="AG219" s="277">
        <f t="shared" si="78"/>
        <v>0</v>
      </c>
    </row>
    <row r="220" outlineLevel="1">
      <c r="A220" s="321" t="s">
        <v>363</v>
      </c>
      <c r="B220" s="302">
        <v>0.0</v>
      </c>
      <c r="C220" s="302">
        <v>0.0</v>
      </c>
      <c r="D220" s="302">
        <v>0.0</v>
      </c>
      <c r="E220" s="302">
        <v>0.0</v>
      </c>
      <c r="F220" s="301">
        <v>0.0</v>
      </c>
      <c r="G220" s="301">
        <v>0.0</v>
      </c>
      <c r="H220" s="301">
        <v>0.0</v>
      </c>
      <c r="I220" s="301">
        <v>0.0</v>
      </c>
      <c r="J220" s="301">
        <v>0.0</v>
      </c>
      <c r="K220" s="301">
        <v>0.0</v>
      </c>
      <c r="L220" s="301">
        <v>0.0</v>
      </c>
      <c r="M220" s="301">
        <v>0.0</v>
      </c>
      <c r="N220" s="301">
        <v>0.0</v>
      </c>
      <c r="O220" s="301">
        <v>0.0</v>
      </c>
      <c r="P220" s="301">
        <v>0.0</v>
      </c>
      <c r="Q220" s="301">
        <v>0.0</v>
      </c>
      <c r="R220" s="301">
        <v>0.0</v>
      </c>
      <c r="S220" s="301">
        <v>0.0</v>
      </c>
      <c r="T220" s="301">
        <v>0.0</v>
      </c>
      <c r="U220" s="301">
        <v>0.0</v>
      </c>
      <c r="V220" s="301">
        <v>0.0</v>
      </c>
      <c r="W220" s="301">
        <v>0.0</v>
      </c>
      <c r="X220" s="301">
        <v>0.0</v>
      </c>
      <c r="Y220" s="301">
        <v>0.0</v>
      </c>
      <c r="Z220" s="301">
        <v>0.0</v>
      </c>
      <c r="AA220" s="301">
        <v>0.0</v>
      </c>
      <c r="AB220" s="301">
        <v>0.0</v>
      </c>
      <c r="AC220" s="301">
        <v>0.0</v>
      </c>
      <c r="AD220" s="301">
        <v>0.0</v>
      </c>
      <c r="AE220" s="301">
        <v>0.0</v>
      </c>
      <c r="AF220" s="301">
        <v>0.0</v>
      </c>
      <c r="AG220" s="277">
        <f t="shared" si="78"/>
        <v>0</v>
      </c>
    </row>
    <row r="221">
      <c r="A221" s="322" t="s">
        <v>261</v>
      </c>
      <c r="B221" s="323">
        <f t="shared" ref="B221:AF221" si="79">SUM(B213:B220)</f>
        <v>0</v>
      </c>
      <c r="C221" s="323">
        <f t="shared" si="79"/>
        <v>0</v>
      </c>
      <c r="D221" s="323">
        <f t="shared" si="79"/>
        <v>0</v>
      </c>
      <c r="E221" s="323">
        <f t="shared" si="79"/>
        <v>0</v>
      </c>
      <c r="F221" s="323">
        <f t="shared" si="79"/>
        <v>5</v>
      </c>
      <c r="G221" s="323">
        <f t="shared" si="79"/>
        <v>2</v>
      </c>
      <c r="H221" s="323">
        <f t="shared" si="79"/>
        <v>0</v>
      </c>
      <c r="I221" s="323">
        <f t="shared" si="79"/>
        <v>0</v>
      </c>
      <c r="J221" s="323">
        <f t="shared" si="79"/>
        <v>0</v>
      </c>
      <c r="K221" s="323">
        <f t="shared" si="79"/>
        <v>1</v>
      </c>
      <c r="L221" s="323">
        <f t="shared" si="79"/>
        <v>0</v>
      </c>
      <c r="M221" s="323">
        <f t="shared" si="79"/>
        <v>0</v>
      </c>
      <c r="N221" s="323">
        <f t="shared" si="79"/>
        <v>0</v>
      </c>
      <c r="O221" s="323">
        <f t="shared" si="79"/>
        <v>0</v>
      </c>
      <c r="P221" s="323">
        <f t="shared" si="79"/>
        <v>0</v>
      </c>
      <c r="Q221" s="323">
        <f t="shared" si="79"/>
        <v>0</v>
      </c>
      <c r="R221" s="323">
        <f t="shared" si="79"/>
        <v>1</v>
      </c>
      <c r="S221" s="323">
        <f t="shared" si="79"/>
        <v>3</v>
      </c>
      <c r="T221" s="323">
        <f t="shared" si="79"/>
        <v>1</v>
      </c>
      <c r="U221" s="323">
        <f t="shared" si="79"/>
        <v>0</v>
      </c>
      <c r="V221" s="323">
        <f t="shared" si="79"/>
        <v>3</v>
      </c>
      <c r="W221" s="323">
        <f t="shared" si="79"/>
        <v>1</v>
      </c>
      <c r="X221" s="323">
        <f t="shared" si="79"/>
        <v>0</v>
      </c>
      <c r="Y221" s="323">
        <f t="shared" si="79"/>
        <v>3</v>
      </c>
      <c r="Z221" s="323">
        <f t="shared" si="79"/>
        <v>2</v>
      </c>
      <c r="AA221" s="323">
        <f t="shared" si="79"/>
        <v>5</v>
      </c>
      <c r="AB221" s="323">
        <f t="shared" si="79"/>
        <v>0</v>
      </c>
      <c r="AC221" s="323">
        <f t="shared" si="79"/>
        <v>6</v>
      </c>
      <c r="AD221" s="323">
        <f t="shared" si="79"/>
        <v>6</v>
      </c>
      <c r="AE221" s="323">
        <f t="shared" si="79"/>
        <v>7</v>
      </c>
      <c r="AF221" s="323">
        <f t="shared" si="79"/>
        <v>21</v>
      </c>
      <c r="AG221" s="277">
        <f t="shared" si="78"/>
        <v>67</v>
      </c>
    </row>
    <row r="222">
      <c r="A222" s="35"/>
      <c r="B222" s="255"/>
      <c r="C222" s="255"/>
      <c r="D222" s="255"/>
      <c r="E222" s="255"/>
      <c r="F222" s="255"/>
      <c r="G222" s="255"/>
      <c r="H222" s="255"/>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91"/>
    </row>
    <row r="223">
      <c r="A223" s="321" t="s">
        <v>364</v>
      </c>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c r="AD223" s="89"/>
      <c r="AE223" s="89"/>
      <c r="AF223" s="89"/>
      <c r="AG223" s="291"/>
    </row>
    <row r="224" outlineLevel="1">
      <c r="A224" s="321" t="s">
        <v>311</v>
      </c>
      <c r="B224" s="301">
        <v>0.0</v>
      </c>
      <c r="C224" s="301">
        <v>0.0</v>
      </c>
      <c r="D224" s="301">
        <v>0.0</v>
      </c>
      <c r="E224" s="301">
        <v>0.0</v>
      </c>
      <c r="F224" s="301">
        <v>0.0</v>
      </c>
      <c r="G224" s="301">
        <v>0.0</v>
      </c>
      <c r="H224" s="301">
        <v>0.0</v>
      </c>
      <c r="I224" s="301">
        <v>0.0</v>
      </c>
      <c r="J224" s="301">
        <v>0.0</v>
      </c>
      <c r="K224" s="301">
        <v>0.0</v>
      </c>
      <c r="L224" s="301">
        <v>0.0</v>
      </c>
      <c r="M224" s="301">
        <v>0.0</v>
      </c>
      <c r="N224" s="301">
        <v>0.0</v>
      </c>
      <c r="O224" s="301">
        <v>0.0</v>
      </c>
      <c r="P224" s="301">
        <v>0.0</v>
      </c>
      <c r="Q224" s="301">
        <v>0.0</v>
      </c>
      <c r="R224" s="301">
        <v>0.0</v>
      </c>
      <c r="S224" s="301">
        <v>2.0</v>
      </c>
      <c r="T224" s="301">
        <v>0.0</v>
      </c>
      <c r="U224" s="301">
        <v>0.0</v>
      </c>
      <c r="V224" s="301">
        <v>0.0</v>
      </c>
      <c r="W224" s="301">
        <v>0.0</v>
      </c>
      <c r="X224" s="301">
        <v>0.0</v>
      </c>
      <c r="Y224" s="301">
        <v>0.0</v>
      </c>
      <c r="Z224" s="301">
        <v>0.0</v>
      </c>
      <c r="AA224" s="301">
        <v>0.0</v>
      </c>
      <c r="AB224" s="301">
        <v>0.0</v>
      </c>
      <c r="AC224" s="301">
        <v>0.0</v>
      </c>
      <c r="AD224" s="301">
        <v>0.0</v>
      </c>
      <c r="AE224" s="301">
        <v>1.0</v>
      </c>
      <c r="AF224" s="301">
        <v>0.0</v>
      </c>
      <c r="AG224" s="277">
        <f t="shared" ref="AG224:AG232" si="80">SUM(B224:AF224)</f>
        <v>3</v>
      </c>
    </row>
    <row r="225" outlineLevel="1">
      <c r="A225" s="321" t="s">
        <v>312</v>
      </c>
      <c r="B225" s="301">
        <v>0.0</v>
      </c>
      <c r="C225" s="301">
        <v>0.0</v>
      </c>
      <c r="D225" s="301">
        <v>0.0</v>
      </c>
      <c r="E225" s="301">
        <v>0.0</v>
      </c>
      <c r="F225" s="301">
        <v>0.0</v>
      </c>
      <c r="G225" s="301">
        <v>0.0</v>
      </c>
      <c r="H225" s="301">
        <v>0.0</v>
      </c>
      <c r="I225" s="301">
        <v>0.0</v>
      </c>
      <c r="J225" s="301">
        <v>0.0</v>
      </c>
      <c r="K225" s="301">
        <v>0.0</v>
      </c>
      <c r="L225" s="301">
        <v>0.0</v>
      </c>
      <c r="M225" s="301">
        <v>0.0</v>
      </c>
      <c r="N225" s="301">
        <v>0.0</v>
      </c>
      <c r="O225" s="301">
        <v>0.0</v>
      </c>
      <c r="P225" s="301">
        <v>0.0</v>
      </c>
      <c r="Q225" s="301">
        <v>0.0</v>
      </c>
      <c r="R225" s="301">
        <v>0.0</v>
      </c>
      <c r="S225" s="301">
        <v>0.0</v>
      </c>
      <c r="T225" s="301">
        <v>0.0</v>
      </c>
      <c r="U225" s="301">
        <v>0.0</v>
      </c>
      <c r="V225" s="301">
        <v>0.0</v>
      </c>
      <c r="W225" s="301">
        <v>0.0</v>
      </c>
      <c r="X225" s="301">
        <v>0.0</v>
      </c>
      <c r="Y225" s="301">
        <v>0.0</v>
      </c>
      <c r="Z225" s="301">
        <v>0.0</v>
      </c>
      <c r="AA225" s="301">
        <v>0.0</v>
      </c>
      <c r="AB225" s="301">
        <v>0.0</v>
      </c>
      <c r="AC225" s="301">
        <v>0.0</v>
      </c>
      <c r="AD225" s="301">
        <v>0.0</v>
      </c>
      <c r="AE225" s="301">
        <v>0.0</v>
      </c>
      <c r="AF225" s="301">
        <v>0.0</v>
      </c>
      <c r="AG225" s="277">
        <f t="shared" si="80"/>
        <v>0</v>
      </c>
    </row>
    <row r="226" outlineLevel="1">
      <c r="A226" s="321" t="s">
        <v>365</v>
      </c>
      <c r="B226" s="302">
        <v>0.0</v>
      </c>
      <c r="C226" s="302">
        <v>0.0</v>
      </c>
      <c r="D226" s="302">
        <v>0.0</v>
      </c>
      <c r="E226" s="302">
        <v>0.0</v>
      </c>
      <c r="F226" s="302">
        <v>0.0</v>
      </c>
      <c r="G226" s="302">
        <v>0.0</v>
      </c>
      <c r="H226" s="301">
        <v>0.0</v>
      </c>
      <c r="I226" s="301">
        <v>0.0</v>
      </c>
      <c r="J226" s="301">
        <v>0.0</v>
      </c>
      <c r="K226" s="301">
        <v>0.0</v>
      </c>
      <c r="L226" s="301">
        <v>0.0</v>
      </c>
      <c r="M226" s="301">
        <v>0.0</v>
      </c>
      <c r="N226" s="301">
        <v>0.0</v>
      </c>
      <c r="O226" s="301">
        <v>0.0</v>
      </c>
      <c r="P226" s="301">
        <v>0.0</v>
      </c>
      <c r="Q226" s="301">
        <v>0.0</v>
      </c>
      <c r="R226" s="301">
        <v>0.0</v>
      </c>
      <c r="S226" s="301">
        <v>0.0</v>
      </c>
      <c r="T226" s="301">
        <v>0.0</v>
      </c>
      <c r="U226" s="301">
        <v>0.0</v>
      </c>
      <c r="V226" s="301">
        <v>0.0</v>
      </c>
      <c r="W226" s="301">
        <v>0.0</v>
      </c>
      <c r="X226" s="301">
        <v>0.0</v>
      </c>
      <c r="Y226" s="301">
        <v>0.0</v>
      </c>
      <c r="Z226" s="301">
        <v>0.0</v>
      </c>
      <c r="AA226" s="301">
        <v>0.0</v>
      </c>
      <c r="AB226" s="301">
        <v>0.0</v>
      </c>
      <c r="AC226" s="301">
        <v>0.0</v>
      </c>
      <c r="AD226" s="301">
        <v>0.0</v>
      </c>
      <c r="AE226" s="301">
        <v>1.0</v>
      </c>
      <c r="AF226" s="301">
        <v>0.0</v>
      </c>
      <c r="AG226" s="277">
        <f t="shared" si="80"/>
        <v>1</v>
      </c>
    </row>
    <row r="227" outlineLevel="1">
      <c r="A227" s="321" t="s">
        <v>366</v>
      </c>
      <c r="B227" s="302">
        <v>0.0</v>
      </c>
      <c r="C227" s="302">
        <v>0.0</v>
      </c>
      <c r="D227" s="302">
        <v>0.0</v>
      </c>
      <c r="E227" s="302">
        <v>0.0</v>
      </c>
      <c r="F227" s="302">
        <v>0.0</v>
      </c>
      <c r="G227" s="302">
        <v>0.0</v>
      </c>
      <c r="H227" s="301">
        <v>0.0</v>
      </c>
      <c r="I227" s="301">
        <v>0.0</v>
      </c>
      <c r="J227" s="301">
        <v>0.0</v>
      </c>
      <c r="K227" s="301">
        <v>0.0</v>
      </c>
      <c r="L227" s="301">
        <v>0.0</v>
      </c>
      <c r="M227" s="301">
        <v>0.0</v>
      </c>
      <c r="N227" s="301">
        <v>0.0</v>
      </c>
      <c r="O227" s="301">
        <v>0.0</v>
      </c>
      <c r="P227" s="301">
        <v>0.0</v>
      </c>
      <c r="Q227" s="301">
        <v>0.0</v>
      </c>
      <c r="R227" s="301">
        <v>0.0</v>
      </c>
      <c r="S227" s="301">
        <v>0.0</v>
      </c>
      <c r="T227" s="301">
        <v>0.0</v>
      </c>
      <c r="U227" s="301">
        <v>0.0</v>
      </c>
      <c r="V227" s="301">
        <v>0.0</v>
      </c>
      <c r="W227" s="301">
        <v>0.0</v>
      </c>
      <c r="X227" s="301">
        <v>0.0</v>
      </c>
      <c r="Y227" s="301">
        <v>0.0</v>
      </c>
      <c r="Z227" s="301">
        <v>0.0</v>
      </c>
      <c r="AA227" s="301">
        <v>0.0</v>
      </c>
      <c r="AB227" s="301">
        <v>0.0</v>
      </c>
      <c r="AC227" s="301">
        <v>0.0</v>
      </c>
      <c r="AD227" s="301">
        <v>0.0</v>
      </c>
      <c r="AE227" s="301">
        <v>0.0</v>
      </c>
      <c r="AF227" s="301">
        <v>0.0</v>
      </c>
      <c r="AG227" s="277">
        <f t="shared" si="80"/>
        <v>0</v>
      </c>
    </row>
    <row r="228" outlineLevel="1">
      <c r="A228" s="321" t="s">
        <v>367</v>
      </c>
      <c r="B228" s="301">
        <v>0.0</v>
      </c>
      <c r="C228" s="301">
        <v>0.0</v>
      </c>
      <c r="D228" s="301">
        <v>0.0</v>
      </c>
      <c r="E228" s="301">
        <v>0.0</v>
      </c>
      <c r="F228" s="301">
        <v>0.0</v>
      </c>
      <c r="G228" s="301">
        <v>0.0</v>
      </c>
      <c r="H228" s="301">
        <v>0.0</v>
      </c>
      <c r="I228" s="301">
        <v>0.0</v>
      </c>
      <c r="J228" s="301">
        <v>0.0</v>
      </c>
      <c r="K228" s="301">
        <v>0.0</v>
      </c>
      <c r="L228" s="301">
        <v>0.0</v>
      </c>
      <c r="M228" s="301">
        <v>0.0</v>
      </c>
      <c r="N228" s="301">
        <v>0.0</v>
      </c>
      <c r="O228" s="301">
        <v>0.0</v>
      </c>
      <c r="P228" s="301">
        <v>0.0</v>
      </c>
      <c r="Q228" s="301">
        <v>0.0</v>
      </c>
      <c r="R228" s="301">
        <v>0.0</v>
      </c>
      <c r="S228" s="301">
        <v>0.0</v>
      </c>
      <c r="T228" s="301">
        <v>0.0</v>
      </c>
      <c r="U228" s="301">
        <v>0.0</v>
      </c>
      <c r="V228" s="301">
        <v>0.0</v>
      </c>
      <c r="W228" s="301">
        <v>0.0</v>
      </c>
      <c r="X228" s="301">
        <v>0.0</v>
      </c>
      <c r="Y228" s="301">
        <v>0.0</v>
      </c>
      <c r="Z228" s="301">
        <v>0.0</v>
      </c>
      <c r="AA228" s="301">
        <v>0.0</v>
      </c>
      <c r="AB228" s="301">
        <v>0.0</v>
      </c>
      <c r="AC228" s="301">
        <v>0.0</v>
      </c>
      <c r="AD228" s="301">
        <v>0.0</v>
      </c>
      <c r="AE228" s="301">
        <v>0.0</v>
      </c>
      <c r="AF228" s="301">
        <v>0.0</v>
      </c>
      <c r="AG228" s="277">
        <f t="shared" si="80"/>
        <v>0</v>
      </c>
    </row>
    <row r="229" outlineLevel="1">
      <c r="A229" s="321" t="s">
        <v>368</v>
      </c>
      <c r="B229" s="301">
        <v>0.0</v>
      </c>
      <c r="C229" s="301">
        <v>0.0</v>
      </c>
      <c r="D229" s="301">
        <v>0.0</v>
      </c>
      <c r="E229" s="301">
        <v>0.0</v>
      </c>
      <c r="F229" s="301">
        <v>0.0</v>
      </c>
      <c r="G229" s="301">
        <v>0.0</v>
      </c>
      <c r="H229" s="301">
        <v>0.0</v>
      </c>
      <c r="I229" s="301">
        <v>0.0</v>
      </c>
      <c r="J229" s="301">
        <v>0.0</v>
      </c>
      <c r="K229" s="301">
        <v>0.0</v>
      </c>
      <c r="L229" s="301">
        <v>0.0</v>
      </c>
      <c r="M229" s="301">
        <v>0.0</v>
      </c>
      <c r="N229" s="301">
        <v>0.0</v>
      </c>
      <c r="O229" s="301">
        <v>0.0</v>
      </c>
      <c r="P229" s="301">
        <v>0.0</v>
      </c>
      <c r="Q229" s="301">
        <v>0.0</v>
      </c>
      <c r="R229" s="301">
        <v>0.0</v>
      </c>
      <c r="S229" s="301">
        <v>0.0</v>
      </c>
      <c r="T229" s="301">
        <v>0.0</v>
      </c>
      <c r="U229" s="301">
        <v>0.0</v>
      </c>
      <c r="V229" s="301">
        <v>0.0</v>
      </c>
      <c r="W229" s="301">
        <v>0.0</v>
      </c>
      <c r="X229" s="301">
        <v>0.0</v>
      </c>
      <c r="Y229" s="301">
        <v>0.0</v>
      </c>
      <c r="Z229" s="301">
        <v>0.0</v>
      </c>
      <c r="AA229" s="301">
        <v>0.0</v>
      </c>
      <c r="AB229" s="301">
        <v>0.0</v>
      </c>
      <c r="AC229" s="301">
        <v>0.0</v>
      </c>
      <c r="AD229" s="301">
        <v>0.0</v>
      </c>
      <c r="AE229" s="301">
        <v>0.0</v>
      </c>
      <c r="AF229" s="301">
        <v>0.0</v>
      </c>
      <c r="AG229" s="277">
        <f t="shared" si="80"/>
        <v>0</v>
      </c>
    </row>
    <row r="230" outlineLevel="1">
      <c r="A230" s="321" t="s">
        <v>369</v>
      </c>
      <c r="B230" s="302">
        <v>0.0</v>
      </c>
      <c r="C230" s="302">
        <v>0.0</v>
      </c>
      <c r="D230" s="302">
        <v>0.0</v>
      </c>
      <c r="E230" s="302">
        <v>0.0</v>
      </c>
      <c r="F230" s="302">
        <v>0.0</v>
      </c>
      <c r="G230" s="302">
        <v>0.0</v>
      </c>
      <c r="H230" s="301">
        <v>0.0</v>
      </c>
      <c r="I230" s="301">
        <v>0.0</v>
      </c>
      <c r="J230" s="301">
        <v>0.0</v>
      </c>
      <c r="K230" s="301">
        <v>0.0</v>
      </c>
      <c r="L230" s="301">
        <v>0.0</v>
      </c>
      <c r="M230" s="301">
        <v>0.0</v>
      </c>
      <c r="N230" s="301">
        <v>0.0</v>
      </c>
      <c r="O230" s="301">
        <v>0.0</v>
      </c>
      <c r="P230" s="301">
        <v>0.0</v>
      </c>
      <c r="Q230" s="301">
        <v>0.0</v>
      </c>
      <c r="R230" s="301">
        <v>0.0</v>
      </c>
      <c r="S230" s="301">
        <v>0.0</v>
      </c>
      <c r="T230" s="301">
        <v>0.0</v>
      </c>
      <c r="U230" s="301">
        <v>0.0</v>
      </c>
      <c r="V230" s="301">
        <v>0.0</v>
      </c>
      <c r="W230" s="301">
        <v>0.0</v>
      </c>
      <c r="X230" s="301">
        <v>0.0</v>
      </c>
      <c r="Y230" s="301">
        <v>0.0</v>
      </c>
      <c r="Z230" s="301">
        <v>0.0</v>
      </c>
      <c r="AA230" s="301">
        <v>0.0</v>
      </c>
      <c r="AB230" s="301">
        <v>0.0</v>
      </c>
      <c r="AC230" s="301">
        <v>0.0</v>
      </c>
      <c r="AD230" s="301">
        <v>0.0</v>
      </c>
      <c r="AE230" s="301">
        <v>0.0</v>
      </c>
      <c r="AF230" s="301">
        <v>0.0</v>
      </c>
      <c r="AG230" s="277">
        <f t="shared" si="80"/>
        <v>0</v>
      </c>
    </row>
    <row r="231" outlineLevel="1">
      <c r="A231" s="321" t="s">
        <v>370</v>
      </c>
      <c r="B231" s="302">
        <v>0.0</v>
      </c>
      <c r="C231" s="302">
        <v>0.0</v>
      </c>
      <c r="D231" s="302">
        <v>0.0</v>
      </c>
      <c r="E231" s="302">
        <v>0.0</v>
      </c>
      <c r="F231" s="302">
        <v>0.0</v>
      </c>
      <c r="G231" s="302">
        <v>0.0</v>
      </c>
      <c r="H231" s="301">
        <v>0.0</v>
      </c>
      <c r="I231" s="301">
        <v>0.0</v>
      </c>
      <c r="J231" s="301">
        <v>0.0</v>
      </c>
      <c r="K231" s="301">
        <v>0.0</v>
      </c>
      <c r="L231" s="301">
        <v>0.0</v>
      </c>
      <c r="M231" s="301">
        <v>0.0</v>
      </c>
      <c r="N231" s="301">
        <v>0.0</v>
      </c>
      <c r="O231" s="301">
        <v>0.0</v>
      </c>
      <c r="P231" s="301">
        <v>0.0</v>
      </c>
      <c r="Q231" s="301">
        <v>0.0</v>
      </c>
      <c r="R231" s="301">
        <v>0.0</v>
      </c>
      <c r="S231" s="301">
        <v>0.0</v>
      </c>
      <c r="T231" s="301">
        <v>0.0</v>
      </c>
      <c r="U231" s="301">
        <v>0.0</v>
      </c>
      <c r="V231" s="301">
        <v>0.0</v>
      </c>
      <c r="W231" s="301">
        <v>0.0</v>
      </c>
      <c r="X231" s="301">
        <v>0.0</v>
      </c>
      <c r="Y231" s="301">
        <v>0.0</v>
      </c>
      <c r="Z231" s="301">
        <v>0.0</v>
      </c>
      <c r="AA231" s="301">
        <v>0.0</v>
      </c>
      <c r="AB231" s="301">
        <v>0.0</v>
      </c>
      <c r="AC231" s="301">
        <v>0.0</v>
      </c>
      <c r="AD231" s="301">
        <v>0.0</v>
      </c>
      <c r="AE231" s="301">
        <v>0.0</v>
      </c>
      <c r="AF231" s="301">
        <v>0.0</v>
      </c>
      <c r="AG231" s="277">
        <f t="shared" si="80"/>
        <v>0</v>
      </c>
    </row>
    <row r="232">
      <c r="A232" s="322" t="s">
        <v>261</v>
      </c>
      <c r="B232" s="323">
        <f t="shared" ref="B232:AF232" si="81">SUM(B224:B231)</f>
        <v>0</v>
      </c>
      <c r="C232" s="323">
        <f t="shared" si="81"/>
        <v>0</v>
      </c>
      <c r="D232" s="323">
        <f t="shared" si="81"/>
        <v>0</v>
      </c>
      <c r="E232" s="323">
        <f t="shared" si="81"/>
        <v>0</v>
      </c>
      <c r="F232" s="323">
        <f t="shared" si="81"/>
        <v>0</v>
      </c>
      <c r="G232" s="323">
        <f t="shared" si="81"/>
        <v>0</v>
      </c>
      <c r="H232" s="323">
        <f t="shared" si="81"/>
        <v>0</v>
      </c>
      <c r="I232" s="323">
        <f t="shared" si="81"/>
        <v>0</v>
      </c>
      <c r="J232" s="323">
        <f t="shared" si="81"/>
        <v>0</v>
      </c>
      <c r="K232" s="323">
        <f t="shared" si="81"/>
        <v>0</v>
      </c>
      <c r="L232" s="323">
        <f t="shared" si="81"/>
        <v>0</v>
      </c>
      <c r="M232" s="323">
        <f t="shared" si="81"/>
        <v>0</v>
      </c>
      <c r="N232" s="323">
        <f t="shared" si="81"/>
        <v>0</v>
      </c>
      <c r="O232" s="323">
        <f t="shared" si="81"/>
        <v>0</v>
      </c>
      <c r="P232" s="323">
        <f t="shared" si="81"/>
        <v>0</v>
      </c>
      <c r="Q232" s="323">
        <f t="shared" si="81"/>
        <v>0</v>
      </c>
      <c r="R232" s="323">
        <f t="shared" si="81"/>
        <v>0</v>
      </c>
      <c r="S232" s="323">
        <f t="shared" si="81"/>
        <v>2</v>
      </c>
      <c r="T232" s="323">
        <f t="shared" si="81"/>
        <v>0</v>
      </c>
      <c r="U232" s="323">
        <f t="shared" si="81"/>
        <v>0</v>
      </c>
      <c r="V232" s="323">
        <f t="shared" si="81"/>
        <v>0</v>
      </c>
      <c r="W232" s="323">
        <f t="shared" si="81"/>
        <v>0</v>
      </c>
      <c r="X232" s="323">
        <f t="shared" si="81"/>
        <v>0</v>
      </c>
      <c r="Y232" s="323">
        <f t="shared" si="81"/>
        <v>0</v>
      </c>
      <c r="Z232" s="323">
        <f t="shared" si="81"/>
        <v>0</v>
      </c>
      <c r="AA232" s="323">
        <f t="shared" si="81"/>
        <v>0</v>
      </c>
      <c r="AB232" s="323">
        <f t="shared" si="81"/>
        <v>0</v>
      </c>
      <c r="AC232" s="323">
        <f t="shared" si="81"/>
        <v>0</v>
      </c>
      <c r="AD232" s="323">
        <f t="shared" si="81"/>
        <v>0</v>
      </c>
      <c r="AE232" s="323">
        <f t="shared" si="81"/>
        <v>2</v>
      </c>
      <c r="AF232" s="323">
        <f t="shared" si="81"/>
        <v>0</v>
      </c>
      <c r="AG232" s="277">
        <f t="shared" si="80"/>
        <v>4</v>
      </c>
    </row>
    <row r="233">
      <c r="A233" s="35"/>
      <c r="B233" s="255"/>
      <c r="C233" s="255"/>
      <c r="D233" s="255"/>
      <c r="E233" s="255"/>
      <c r="F233" s="255"/>
      <c r="G233" s="255"/>
      <c r="H233" s="255"/>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91"/>
    </row>
    <row r="234">
      <c r="A234" s="274" t="s">
        <v>371</v>
      </c>
      <c r="B234" s="255"/>
      <c r="C234" s="255"/>
      <c r="D234" s="255"/>
      <c r="E234" s="255"/>
      <c r="F234" s="255"/>
      <c r="G234" s="84"/>
      <c r="H234" s="255"/>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0"/>
    </row>
    <row r="235">
      <c r="A235" s="321" t="s">
        <v>372</v>
      </c>
      <c r="B235" s="311">
        <v>0.0</v>
      </c>
      <c r="C235" s="311">
        <v>0.0</v>
      </c>
      <c r="D235" s="311">
        <v>0.0</v>
      </c>
      <c r="E235" s="311">
        <v>0.0</v>
      </c>
      <c r="F235" s="311">
        <v>1672.0</v>
      </c>
      <c r="G235" s="311">
        <v>528.99</v>
      </c>
      <c r="H235" s="311">
        <v>0.0</v>
      </c>
      <c r="I235" s="311">
        <v>0.0</v>
      </c>
      <c r="J235" s="311">
        <v>0.0</v>
      </c>
      <c r="K235" s="311">
        <v>544.44</v>
      </c>
      <c r="L235" s="311">
        <v>220.94</v>
      </c>
      <c r="M235" s="311">
        <v>0.0</v>
      </c>
      <c r="N235" s="311">
        <v>0.0</v>
      </c>
      <c r="O235" s="311">
        <v>0.0</v>
      </c>
      <c r="P235" s="311">
        <v>0.0</v>
      </c>
      <c r="Q235" s="311">
        <v>0.0</v>
      </c>
      <c r="R235" s="311">
        <v>494.2</v>
      </c>
      <c r="S235" s="311">
        <v>383.06</v>
      </c>
      <c r="T235" s="311">
        <v>35.98</v>
      </c>
      <c r="U235" s="311">
        <v>266.62</v>
      </c>
      <c r="V235" s="311">
        <v>386.16</v>
      </c>
      <c r="W235" s="311">
        <v>35.23</v>
      </c>
      <c r="X235" s="311">
        <v>279.0</v>
      </c>
      <c r="Y235" s="311">
        <v>1444.51</v>
      </c>
      <c r="Z235" s="311">
        <v>587.33</v>
      </c>
      <c r="AA235" s="311">
        <v>446.54</v>
      </c>
      <c r="AB235" s="311">
        <v>284.54</v>
      </c>
      <c r="AC235" s="311">
        <v>953.51</v>
      </c>
      <c r="AD235" s="311">
        <v>162.29</v>
      </c>
      <c r="AE235" s="311">
        <v>794.57</v>
      </c>
      <c r="AF235" s="311">
        <v>1921.11</v>
      </c>
      <c r="AG235" s="136">
        <f t="shared" ref="AG235:AG236" si="83">SUM(B235:AF235)</f>
        <v>11441.02</v>
      </c>
    </row>
    <row r="236">
      <c r="A236" s="324" t="s">
        <v>373</v>
      </c>
      <c r="B236" s="325">
        <f t="shared" ref="B236:AF236" si="82">SUM(B235)</f>
        <v>0</v>
      </c>
      <c r="C236" s="325">
        <f t="shared" si="82"/>
        <v>0</v>
      </c>
      <c r="D236" s="325">
        <f t="shared" si="82"/>
        <v>0</v>
      </c>
      <c r="E236" s="325">
        <f t="shared" si="82"/>
        <v>0</v>
      </c>
      <c r="F236" s="325">
        <f t="shared" si="82"/>
        <v>1672</v>
      </c>
      <c r="G236" s="325">
        <f t="shared" si="82"/>
        <v>528.99</v>
      </c>
      <c r="H236" s="325">
        <f t="shared" si="82"/>
        <v>0</v>
      </c>
      <c r="I236" s="325">
        <f t="shared" si="82"/>
        <v>0</v>
      </c>
      <c r="J236" s="325">
        <f t="shared" si="82"/>
        <v>0</v>
      </c>
      <c r="K236" s="325">
        <f t="shared" si="82"/>
        <v>544.44</v>
      </c>
      <c r="L236" s="325">
        <f t="shared" si="82"/>
        <v>220.94</v>
      </c>
      <c r="M236" s="325">
        <f t="shared" si="82"/>
        <v>0</v>
      </c>
      <c r="N236" s="325">
        <f t="shared" si="82"/>
        <v>0</v>
      </c>
      <c r="O236" s="325">
        <f t="shared" si="82"/>
        <v>0</v>
      </c>
      <c r="P236" s="325">
        <f t="shared" si="82"/>
        <v>0</v>
      </c>
      <c r="Q236" s="325">
        <f t="shared" si="82"/>
        <v>0</v>
      </c>
      <c r="R236" s="325">
        <f t="shared" si="82"/>
        <v>494.2</v>
      </c>
      <c r="S236" s="325">
        <f t="shared" si="82"/>
        <v>383.06</v>
      </c>
      <c r="T236" s="325">
        <f t="shared" si="82"/>
        <v>35.98</v>
      </c>
      <c r="U236" s="325">
        <f t="shared" si="82"/>
        <v>266.62</v>
      </c>
      <c r="V236" s="325">
        <f t="shared" si="82"/>
        <v>386.16</v>
      </c>
      <c r="W236" s="325">
        <f t="shared" si="82"/>
        <v>35.23</v>
      </c>
      <c r="X236" s="325">
        <f t="shared" si="82"/>
        <v>279</v>
      </c>
      <c r="Y236" s="325">
        <f t="shared" si="82"/>
        <v>1444.51</v>
      </c>
      <c r="Z236" s="325">
        <f t="shared" si="82"/>
        <v>587.33</v>
      </c>
      <c r="AA236" s="325">
        <f t="shared" si="82"/>
        <v>446.54</v>
      </c>
      <c r="AB236" s="325">
        <f t="shared" si="82"/>
        <v>284.54</v>
      </c>
      <c r="AC236" s="325">
        <f t="shared" si="82"/>
        <v>953.51</v>
      </c>
      <c r="AD236" s="325">
        <f t="shared" si="82"/>
        <v>162.29</v>
      </c>
      <c r="AE236" s="325">
        <f t="shared" si="82"/>
        <v>794.57</v>
      </c>
      <c r="AF236" s="325">
        <f t="shared" si="82"/>
        <v>1921.11</v>
      </c>
      <c r="AG236" s="136">
        <f t="shared" si="83"/>
        <v>11441.02</v>
      </c>
    </row>
    <row r="237">
      <c r="A237" s="35"/>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309"/>
    </row>
    <row r="238">
      <c r="A238" s="321" t="s">
        <v>374</v>
      </c>
      <c r="B238" s="311">
        <v>0.0</v>
      </c>
      <c r="C238" s="311">
        <v>0.0</v>
      </c>
      <c r="D238" s="311">
        <v>0.0</v>
      </c>
      <c r="E238" s="311">
        <v>0.0</v>
      </c>
      <c r="F238" s="311">
        <v>0.0</v>
      </c>
      <c r="G238" s="326">
        <v>269.0</v>
      </c>
      <c r="H238" s="311">
        <v>0.0</v>
      </c>
      <c r="I238" s="311">
        <v>0.0</v>
      </c>
      <c r="J238" s="311">
        <v>0.0</v>
      </c>
      <c r="K238" s="311">
        <v>0.0</v>
      </c>
      <c r="L238" s="311">
        <v>0.0</v>
      </c>
      <c r="M238" s="311">
        <v>0.0</v>
      </c>
      <c r="N238" s="311">
        <v>0.0</v>
      </c>
      <c r="O238" s="311">
        <v>0.0</v>
      </c>
      <c r="P238" s="311">
        <v>0.0</v>
      </c>
      <c r="Q238" s="311">
        <v>0.0</v>
      </c>
      <c r="R238" s="311">
        <v>0.0</v>
      </c>
      <c r="S238" s="326">
        <f>319.1-35</f>
        <v>284.1</v>
      </c>
      <c r="T238" s="311">
        <v>0.0</v>
      </c>
      <c r="U238" s="311">
        <v>0.0</v>
      </c>
      <c r="V238" s="311">
        <v>0.0</v>
      </c>
      <c r="W238" s="311">
        <v>0.0</v>
      </c>
      <c r="X238" s="311">
        <v>0.0</v>
      </c>
      <c r="Y238" s="311">
        <v>0.0</v>
      </c>
      <c r="Z238" s="311">
        <v>0.0</v>
      </c>
      <c r="AA238" s="311">
        <v>0.0</v>
      </c>
      <c r="AB238" s="311">
        <v>0.0</v>
      </c>
      <c r="AC238" s="311">
        <v>0.0</v>
      </c>
      <c r="AD238" s="311">
        <v>0.0</v>
      </c>
      <c r="AE238" s="326">
        <f>63-35</f>
        <v>28</v>
      </c>
      <c r="AF238" s="311">
        <v>0.0</v>
      </c>
      <c r="AG238" s="136">
        <f t="shared" ref="AG238:AG241" si="84">SUM(B238:AF238)</f>
        <v>581.1</v>
      </c>
    </row>
    <row r="239">
      <c r="A239" s="321" t="s">
        <v>375</v>
      </c>
      <c r="B239" s="311">
        <v>0.0</v>
      </c>
      <c r="C239" s="311">
        <v>0.0</v>
      </c>
      <c r="D239" s="311">
        <v>0.0</v>
      </c>
      <c r="E239" s="311">
        <v>0.0</v>
      </c>
      <c r="F239" s="311">
        <v>0.0</v>
      </c>
      <c r="G239" s="311">
        <v>35.0</v>
      </c>
      <c r="H239" s="311">
        <v>0.0</v>
      </c>
      <c r="I239" s="311">
        <v>0.0</v>
      </c>
      <c r="J239" s="311">
        <v>0.0</v>
      </c>
      <c r="K239" s="311">
        <v>0.0</v>
      </c>
      <c r="L239" s="311">
        <v>0.0</v>
      </c>
      <c r="M239" s="311">
        <v>0.0</v>
      </c>
      <c r="N239" s="311">
        <v>0.0</v>
      </c>
      <c r="O239" s="311">
        <v>0.0</v>
      </c>
      <c r="P239" s="311">
        <v>0.0</v>
      </c>
      <c r="Q239" s="311">
        <v>0.0</v>
      </c>
      <c r="R239" s="311">
        <v>0.0</v>
      </c>
      <c r="S239" s="311">
        <v>35.0</v>
      </c>
      <c r="T239" s="311">
        <v>0.0</v>
      </c>
      <c r="U239" s="311">
        <v>0.0</v>
      </c>
      <c r="V239" s="311">
        <v>0.0</v>
      </c>
      <c r="W239" s="311">
        <v>0.0</v>
      </c>
      <c r="X239" s="311">
        <v>0.0</v>
      </c>
      <c r="Y239" s="311">
        <v>0.0</v>
      </c>
      <c r="Z239" s="311">
        <v>0.0</v>
      </c>
      <c r="AA239" s="311">
        <v>0.0</v>
      </c>
      <c r="AB239" s="311">
        <v>0.0</v>
      </c>
      <c r="AC239" s="311">
        <v>0.0</v>
      </c>
      <c r="AD239" s="311">
        <v>0.0</v>
      </c>
      <c r="AE239" s="311">
        <v>35.0</v>
      </c>
      <c r="AF239" s="311">
        <v>0.0</v>
      </c>
      <c r="AG239" s="136">
        <f t="shared" si="84"/>
        <v>105</v>
      </c>
    </row>
    <row r="240">
      <c r="A240" s="321" t="s">
        <v>376</v>
      </c>
      <c r="B240" s="326">
        <f t="shared" ref="B240:AF240" si="85">B238*0.22</f>
        <v>0</v>
      </c>
      <c r="C240" s="326">
        <f t="shared" si="85"/>
        <v>0</v>
      </c>
      <c r="D240" s="326">
        <f t="shared" si="85"/>
        <v>0</v>
      </c>
      <c r="E240" s="326">
        <f t="shared" si="85"/>
        <v>0</v>
      </c>
      <c r="F240" s="326">
        <f t="shared" si="85"/>
        <v>0</v>
      </c>
      <c r="G240" s="326">
        <f t="shared" si="85"/>
        <v>59.18</v>
      </c>
      <c r="H240" s="326">
        <f t="shared" si="85"/>
        <v>0</v>
      </c>
      <c r="I240" s="326">
        <f t="shared" si="85"/>
        <v>0</v>
      </c>
      <c r="J240" s="326">
        <f t="shared" si="85"/>
        <v>0</v>
      </c>
      <c r="K240" s="326">
        <f t="shared" si="85"/>
        <v>0</v>
      </c>
      <c r="L240" s="326">
        <f t="shared" si="85"/>
        <v>0</v>
      </c>
      <c r="M240" s="326">
        <f t="shared" si="85"/>
        <v>0</v>
      </c>
      <c r="N240" s="326">
        <f t="shared" si="85"/>
        <v>0</v>
      </c>
      <c r="O240" s="326">
        <f t="shared" si="85"/>
        <v>0</v>
      </c>
      <c r="P240" s="326">
        <f t="shared" si="85"/>
        <v>0</v>
      </c>
      <c r="Q240" s="326">
        <f t="shared" si="85"/>
        <v>0</v>
      </c>
      <c r="R240" s="326">
        <f t="shared" si="85"/>
        <v>0</v>
      </c>
      <c r="S240" s="326">
        <f t="shared" si="85"/>
        <v>62.502</v>
      </c>
      <c r="T240" s="326">
        <f t="shared" si="85"/>
        <v>0</v>
      </c>
      <c r="U240" s="326">
        <f t="shared" si="85"/>
        <v>0</v>
      </c>
      <c r="V240" s="326">
        <f t="shared" si="85"/>
        <v>0</v>
      </c>
      <c r="W240" s="326">
        <f t="shared" si="85"/>
        <v>0</v>
      </c>
      <c r="X240" s="326">
        <f t="shared" si="85"/>
        <v>0</v>
      </c>
      <c r="Y240" s="326">
        <f t="shared" si="85"/>
        <v>0</v>
      </c>
      <c r="Z240" s="326">
        <f t="shared" si="85"/>
        <v>0</v>
      </c>
      <c r="AA240" s="326">
        <f t="shared" si="85"/>
        <v>0</v>
      </c>
      <c r="AB240" s="326">
        <f t="shared" si="85"/>
        <v>0</v>
      </c>
      <c r="AC240" s="326">
        <f t="shared" si="85"/>
        <v>0</v>
      </c>
      <c r="AD240" s="326">
        <f t="shared" si="85"/>
        <v>0</v>
      </c>
      <c r="AE240" s="326">
        <f t="shared" si="85"/>
        <v>6.16</v>
      </c>
      <c r="AF240" s="326">
        <f t="shared" si="85"/>
        <v>0</v>
      </c>
      <c r="AG240" s="136">
        <f t="shared" si="84"/>
        <v>127.842</v>
      </c>
    </row>
    <row r="241">
      <c r="A241" s="324" t="s">
        <v>377</v>
      </c>
      <c r="B241" s="325">
        <f t="shared" ref="B241:AF241" si="86">B238+B239</f>
        <v>0</v>
      </c>
      <c r="C241" s="325">
        <f t="shared" si="86"/>
        <v>0</v>
      </c>
      <c r="D241" s="325">
        <f t="shared" si="86"/>
        <v>0</v>
      </c>
      <c r="E241" s="325">
        <f t="shared" si="86"/>
        <v>0</v>
      </c>
      <c r="F241" s="325">
        <f t="shared" si="86"/>
        <v>0</v>
      </c>
      <c r="G241" s="325">
        <f t="shared" si="86"/>
        <v>304</v>
      </c>
      <c r="H241" s="325">
        <f t="shared" si="86"/>
        <v>0</v>
      </c>
      <c r="I241" s="325">
        <f t="shared" si="86"/>
        <v>0</v>
      </c>
      <c r="J241" s="325">
        <f t="shared" si="86"/>
        <v>0</v>
      </c>
      <c r="K241" s="325">
        <f t="shared" si="86"/>
        <v>0</v>
      </c>
      <c r="L241" s="325">
        <f t="shared" si="86"/>
        <v>0</v>
      </c>
      <c r="M241" s="325">
        <f t="shared" si="86"/>
        <v>0</v>
      </c>
      <c r="N241" s="325">
        <f t="shared" si="86"/>
        <v>0</v>
      </c>
      <c r="O241" s="325">
        <f t="shared" si="86"/>
        <v>0</v>
      </c>
      <c r="P241" s="325">
        <f t="shared" si="86"/>
        <v>0</v>
      </c>
      <c r="Q241" s="325">
        <f t="shared" si="86"/>
        <v>0</v>
      </c>
      <c r="R241" s="325">
        <f t="shared" si="86"/>
        <v>0</v>
      </c>
      <c r="S241" s="325">
        <f t="shared" si="86"/>
        <v>319.1</v>
      </c>
      <c r="T241" s="325">
        <f t="shared" si="86"/>
        <v>0</v>
      </c>
      <c r="U241" s="325">
        <f t="shared" si="86"/>
        <v>0</v>
      </c>
      <c r="V241" s="325">
        <f t="shared" si="86"/>
        <v>0</v>
      </c>
      <c r="W241" s="325">
        <f t="shared" si="86"/>
        <v>0</v>
      </c>
      <c r="X241" s="325">
        <f t="shared" si="86"/>
        <v>0</v>
      </c>
      <c r="Y241" s="325">
        <f t="shared" si="86"/>
        <v>0</v>
      </c>
      <c r="Z241" s="325">
        <f t="shared" si="86"/>
        <v>0</v>
      </c>
      <c r="AA241" s="325">
        <f t="shared" si="86"/>
        <v>0</v>
      </c>
      <c r="AB241" s="325">
        <f t="shared" si="86"/>
        <v>0</v>
      </c>
      <c r="AC241" s="325">
        <f t="shared" si="86"/>
        <v>0</v>
      </c>
      <c r="AD241" s="325">
        <f t="shared" si="86"/>
        <v>0</v>
      </c>
      <c r="AE241" s="325">
        <f t="shared" si="86"/>
        <v>63</v>
      </c>
      <c r="AF241" s="325">
        <f t="shared" si="86"/>
        <v>0</v>
      </c>
      <c r="AG241" s="136">
        <f t="shared" si="84"/>
        <v>686.1</v>
      </c>
    </row>
    <row r="242">
      <c r="A242" s="35"/>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0"/>
    </row>
    <row r="243">
      <c r="A243" s="35"/>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0"/>
    </row>
    <row r="244">
      <c r="A244" s="318" t="s">
        <v>378</v>
      </c>
      <c r="B244" s="320"/>
      <c r="C244" s="320"/>
      <c r="D244" s="320"/>
      <c r="E244" s="320"/>
      <c r="F244" s="320"/>
      <c r="G244" s="320"/>
      <c r="H244" s="320"/>
      <c r="I244" s="320"/>
      <c r="J244" s="320"/>
      <c r="K244" s="320"/>
      <c r="L244" s="320"/>
      <c r="M244" s="320"/>
      <c r="N244" s="320"/>
      <c r="O244" s="320"/>
      <c r="P244" s="320"/>
      <c r="Q244" s="320"/>
      <c r="R244" s="320"/>
      <c r="S244" s="320"/>
      <c r="T244" s="320"/>
      <c r="U244" s="320"/>
      <c r="V244" s="320"/>
      <c r="W244" s="320"/>
      <c r="X244" s="320"/>
      <c r="Y244" s="320"/>
      <c r="Z244" s="320"/>
      <c r="AA244" s="320"/>
      <c r="AB244" s="320"/>
      <c r="AC244" s="320"/>
      <c r="AD244" s="320"/>
      <c r="AE244" s="320"/>
      <c r="AF244" s="320"/>
      <c r="AG244" s="20"/>
    </row>
    <row r="245">
      <c r="A245" s="321" t="s">
        <v>298</v>
      </c>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291"/>
    </row>
    <row r="246" outlineLevel="1">
      <c r="A246" s="321" t="s">
        <v>379</v>
      </c>
      <c r="B246" s="301">
        <v>0.0</v>
      </c>
      <c r="C246" s="301">
        <v>0.0</v>
      </c>
      <c r="D246" s="301">
        <v>0.0</v>
      </c>
      <c r="E246" s="301">
        <v>0.0</v>
      </c>
      <c r="F246" s="301">
        <v>0.0</v>
      </c>
      <c r="G246" s="301">
        <v>0.0</v>
      </c>
      <c r="H246" s="301">
        <v>1.0</v>
      </c>
      <c r="I246" s="301">
        <v>0.0</v>
      </c>
      <c r="J246" s="301">
        <v>0.0</v>
      </c>
      <c r="K246" s="301">
        <v>1.0</v>
      </c>
      <c r="L246" s="301">
        <v>2.0</v>
      </c>
      <c r="M246" s="301">
        <v>0.0</v>
      </c>
      <c r="N246" s="301">
        <v>1.0</v>
      </c>
      <c r="O246" s="301">
        <v>2.0</v>
      </c>
      <c r="P246" s="301">
        <v>0.0</v>
      </c>
      <c r="Q246" s="301">
        <v>1.0</v>
      </c>
      <c r="R246" s="301">
        <v>1.0</v>
      </c>
      <c r="S246" s="301">
        <v>0.0</v>
      </c>
      <c r="T246" s="301">
        <v>0.0</v>
      </c>
      <c r="U246" s="301">
        <v>1.0</v>
      </c>
      <c r="V246" s="301">
        <v>0.0</v>
      </c>
      <c r="W246" s="301">
        <v>0.0</v>
      </c>
      <c r="X246" s="301">
        <v>0.0</v>
      </c>
      <c r="Y246" s="301">
        <v>2.0</v>
      </c>
      <c r="Z246" s="301">
        <v>32.0</v>
      </c>
      <c r="AA246" s="301">
        <v>17.0</v>
      </c>
      <c r="AB246" s="301">
        <v>6.0</v>
      </c>
      <c r="AC246" s="301">
        <v>15.0</v>
      </c>
      <c r="AD246" s="301">
        <v>10.0</v>
      </c>
      <c r="AE246" s="301">
        <v>8.0</v>
      </c>
      <c r="AF246" s="301">
        <v>7.0</v>
      </c>
      <c r="AG246" s="277">
        <f t="shared" ref="AG246:AG249" si="87">SUM(B246:AF246)</f>
        <v>107</v>
      </c>
    </row>
    <row r="247" outlineLevel="1">
      <c r="A247" s="321" t="s">
        <v>380</v>
      </c>
      <c r="B247" s="301">
        <v>0.0</v>
      </c>
      <c r="C247" s="301">
        <v>0.0</v>
      </c>
      <c r="D247" s="301">
        <v>0.0</v>
      </c>
      <c r="E247" s="301">
        <v>0.0</v>
      </c>
      <c r="F247" s="301">
        <v>0.0</v>
      </c>
      <c r="G247" s="301">
        <v>0.0</v>
      </c>
      <c r="H247" s="301">
        <v>0.0</v>
      </c>
      <c r="I247" s="301">
        <v>0.0</v>
      </c>
      <c r="J247" s="301">
        <v>0.0</v>
      </c>
      <c r="K247" s="301">
        <v>0.0</v>
      </c>
      <c r="L247" s="301">
        <v>0.0</v>
      </c>
      <c r="M247" s="301">
        <v>0.0</v>
      </c>
      <c r="N247" s="301">
        <v>0.0</v>
      </c>
      <c r="O247" s="301">
        <v>1.0</v>
      </c>
      <c r="P247" s="301">
        <v>0.0</v>
      </c>
      <c r="Q247" s="301">
        <v>0.0</v>
      </c>
      <c r="R247" s="301">
        <v>0.0</v>
      </c>
      <c r="S247" s="301">
        <v>0.0</v>
      </c>
      <c r="T247" s="301">
        <v>0.0</v>
      </c>
      <c r="U247" s="301">
        <v>0.0</v>
      </c>
      <c r="V247" s="301">
        <v>0.0</v>
      </c>
      <c r="W247" s="301">
        <v>0.0</v>
      </c>
      <c r="X247" s="301">
        <v>0.0</v>
      </c>
      <c r="Y247" s="301">
        <v>1.0</v>
      </c>
      <c r="Z247" s="301">
        <v>18.0</v>
      </c>
      <c r="AA247" s="301">
        <v>6.0</v>
      </c>
      <c r="AB247" s="301">
        <v>2.0</v>
      </c>
      <c r="AC247" s="301">
        <v>5.0</v>
      </c>
      <c r="AD247" s="301">
        <v>2.0</v>
      </c>
      <c r="AE247" s="301">
        <v>3.0</v>
      </c>
      <c r="AF247" s="301">
        <v>1.0</v>
      </c>
      <c r="AG247" s="277">
        <f t="shared" si="87"/>
        <v>39</v>
      </c>
    </row>
    <row r="248" outlineLevel="1">
      <c r="A248" s="321" t="s">
        <v>381</v>
      </c>
      <c r="B248" s="301">
        <v>0.0</v>
      </c>
      <c r="C248" s="302">
        <v>0.0</v>
      </c>
      <c r="D248" s="302">
        <v>0.0</v>
      </c>
      <c r="E248" s="301">
        <v>0.0</v>
      </c>
      <c r="F248" s="301">
        <v>0.0</v>
      </c>
      <c r="G248" s="301">
        <v>0.0</v>
      </c>
      <c r="H248" s="301">
        <v>0.0</v>
      </c>
      <c r="I248" s="301">
        <v>0.0</v>
      </c>
      <c r="J248" s="301">
        <v>0.0</v>
      </c>
      <c r="K248" s="301">
        <v>0.0</v>
      </c>
      <c r="L248" s="301">
        <v>0.0</v>
      </c>
      <c r="M248" s="301">
        <v>0.0</v>
      </c>
      <c r="N248" s="301">
        <v>0.0</v>
      </c>
      <c r="O248" s="301">
        <v>3.0</v>
      </c>
      <c r="P248" s="301">
        <v>0.0</v>
      </c>
      <c r="Q248" s="301">
        <v>0.0</v>
      </c>
      <c r="R248" s="301">
        <v>0.0</v>
      </c>
      <c r="S248" s="301">
        <v>0.0</v>
      </c>
      <c r="T248" s="301">
        <v>1.0</v>
      </c>
      <c r="U248" s="301">
        <v>0.0</v>
      </c>
      <c r="V248" s="301">
        <v>0.0</v>
      </c>
      <c r="W248" s="301">
        <v>0.0</v>
      </c>
      <c r="X248" s="301">
        <v>0.0</v>
      </c>
      <c r="Y248" s="301">
        <v>3.0</v>
      </c>
      <c r="Z248" s="301">
        <v>5.0</v>
      </c>
      <c r="AA248" s="301">
        <v>18.0</v>
      </c>
      <c r="AB248" s="301">
        <v>7.0</v>
      </c>
      <c r="AC248" s="301">
        <v>30.0</v>
      </c>
      <c r="AD248" s="301">
        <v>11.0</v>
      </c>
      <c r="AE248" s="301">
        <v>14.0</v>
      </c>
      <c r="AF248" s="301">
        <v>6.0</v>
      </c>
      <c r="AG248" s="277">
        <f t="shared" si="87"/>
        <v>98</v>
      </c>
    </row>
    <row r="249" outlineLevel="1">
      <c r="A249" s="321" t="s">
        <v>382</v>
      </c>
      <c r="B249" s="301">
        <v>0.0</v>
      </c>
      <c r="C249" s="302">
        <v>0.0</v>
      </c>
      <c r="D249" s="302">
        <v>0.0</v>
      </c>
      <c r="E249" s="301">
        <v>0.0</v>
      </c>
      <c r="F249" s="301">
        <v>0.0</v>
      </c>
      <c r="G249" s="301">
        <v>0.0</v>
      </c>
      <c r="H249" s="301">
        <v>0.0</v>
      </c>
      <c r="I249" s="301">
        <v>0.0</v>
      </c>
      <c r="J249" s="301">
        <v>0.0</v>
      </c>
      <c r="K249" s="301">
        <v>0.0</v>
      </c>
      <c r="L249" s="301">
        <v>0.0</v>
      </c>
      <c r="M249" s="301">
        <v>0.0</v>
      </c>
      <c r="N249" s="301">
        <v>0.0</v>
      </c>
      <c r="O249" s="301">
        <v>0.0</v>
      </c>
      <c r="P249" s="301">
        <v>0.0</v>
      </c>
      <c r="Q249" s="301">
        <v>0.0</v>
      </c>
      <c r="R249" s="301">
        <v>0.0</v>
      </c>
      <c r="S249" s="301">
        <v>0.0</v>
      </c>
      <c r="T249" s="301">
        <v>0.0</v>
      </c>
      <c r="U249" s="301">
        <v>0.0</v>
      </c>
      <c r="V249" s="301">
        <v>0.0</v>
      </c>
      <c r="W249" s="301">
        <v>0.0</v>
      </c>
      <c r="X249" s="301">
        <v>0.0</v>
      </c>
      <c r="Y249" s="301">
        <v>1.0</v>
      </c>
      <c r="Z249" s="301">
        <v>1.0</v>
      </c>
      <c r="AA249" s="301">
        <v>4.0</v>
      </c>
      <c r="AB249" s="301">
        <v>1.0</v>
      </c>
      <c r="AC249" s="301">
        <v>7.0</v>
      </c>
      <c r="AD249" s="301">
        <v>3.0</v>
      </c>
      <c r="AE249" s="301">
        <v>4.0</v>
      </c>
      <c r="AF249" s="301">
        <v>0.0</v>
      </c>
      <c r="AG249" s="277">
        <f t="shared" si="87"/>
        <v>21</v>
      </c>
    </row>
    <row r="250">
      <c r="A250" s="321" t="s">
        <v>303</v>
      </c>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89"/>
      <c r="AC250" s="89"/>
      <c r="AD250" s="89"/>
      <c r="AE250" s="89"/>
      <c r="AF250" s="89"/>
      <c r="AG250" s="291"/>
    </row>
    <row r="251" outlineLevel="1">
      <c r="A251" s="321" t="s">
        <v>383</v>
      </c>
      <c r="B251" s="301">
        <v>0.0</v>
      </c>
      <c r="C251" s="301">
        <v>0.0</v>
      </c>
      <c r="D251" s="301">
        <v>0.0</v>
      </c>
      <c r="E251" s="301">
        <v>0.0</v>
      </c>
      <c r="F251" s="301">
        <v>0.0</v>
      </c>
      <c r="G251" s="301">
        <v>0.0</v>
      </c>
      <c r="H251" s="301">
        <v>0.0</v>
      </c>
      <c r="I251" s="301">
        <v>0.0</v>
      </c>
      <c r="J251" s="301">
        <v>0.0</v>
      </c>
      <c r="K251" s="301">
        <v>0.0</v>
      </c>
      <c r="L251" s="301">
        <v>0.0</v>
      </c>
      <c r="M251" s="301">
        <v>0.0</v>
      </c>
      <c r="N251" s="301">
        <v>0.0</v>
      </c>
      <c r="O251" s="301">
        <v>0.0</v>
      </c>
      <c r="P251" s="301">
        <v>0.0</v>
      </c>
      <c r="Q251" s="301">
        <v>0.0</v>
      </c>
      <c r="R251" s="301">
        <v>0.0</v>
      </c>
      <c r="S251" s="301">
        <v>0.0</v>
      </c>
      <c r="T251" s="301">
        <v>0.0</v>
      </c>
      <c r="U251" s="301">
        <v>0.0</v>
      </c>
      <c r="V251" s="301">
        <v>0.0</v>
      </c>
      <c r="W251" s="301">
        <v>0.0</v>
      </c>
      <c r="X251" s="301">
        <v>0.0</v>
      </c>
      <c r="Y251" s="301">
        <v>1.0</v>
      </c>
      <c r="Z251" s="301">
        <v>0.0</v>
      </c>
      <c r="AA251" s="301">
        <v>0.0</v>
      </c>
      <c r="AB251" s="301">
        <v>0.0</v>
      </c>
      <c r="AC251" s="301">
        <v>0.0</v>
      </c>
      <c r="AD251" s="301">
        <v>0.0</v>
      </c>
      <c r="AE251" s="301">
        <v>0.0</v>
      </c>
      <c r="AF251" s="301">
        <v>0.0</v>
      </c>
      <c r="AG251" s="277">
        <f t="shared" ref="AG251:AG256" si="88">SUM(B251:AF251)</f>
        <v>1</v>
      </c>
    </row>
    <row r="252" outlineLevel="1">
      <c r="A252" s="321" t="s">
        <v>384</v>
      </c>
      <c r="B252" s="301">
        <v>0.0</v>
      </c>
      <c r="C252" s="301">
        <v>0.0</v>
      </c>
      <c r="D252" s="301">
        <v>0.0</v>
      </c>
      <c r="E252" s="301">
        <v>0.0</v>
      </c>
      <c r="F252" s="301">
        <v>0.0</v>
      </c>
      <c r="G252" s="301">
        <v>0.0</v>
      </c>
      <c r="H252" s="301">
        <v>0.0</v>
      </c>
      <c r="I252" s="301">
        <v>0.0</v>
      </c>
      <c r="J252" s="301">
        <v>0.0</v>
      </c>
      <c r="K252" s="301">
        <v>0.0</v>
      </c>
      <c r="L252" s="301">
        <v>0.0</v>
      </c>
      <c r="M252" s="301">
        <v>0.0</v>
      </c>
      <c r="N252" s="301">
        <v>0.0</v>
      </c>
      <c r="O252" s="301">
        <v>0.0</v>
      </c>
      <c r="P252" s="301">
        <v>0.0</v>
      </c>
      <c r="Q252" s="301">
        <v>0.0</v>
      </c>
      <c r="R252" s="301">
        <v>0.0</v>
      </c>
      <c r="S252" s="301">
        <v>0.0</v>
      </c>
      <c r="T252" s="301">
        <v>0.0</v>
      </c>
      <c r="U252" s="301">
        <v>0.0</v>
      </c>
      <c r="V252" s="301">
        <v>0.0</v>
      </c>
      <c r="W252" s="301">
        <v>0.0</v>
      </c>
      <c r="X252" s="301">
        <v>0.0</v>
      </c>
      <c r="Y252" s="301">
        <v>0.0</v>
      </c>
      <c r="Z252" s="301">
        <v>0.0</v>
      </c>
      <c r="AA252" s="301">
        <v>0.0</v>
      </c>
      <c r="AB252" s="301">
        <v>0.0</v>
      </c>
      <c r="AC252" s="301">
        <v>0.0</v>
      </c>
      <c r="AD252" s="301">
        <v>0.0</v>
      </c>
      <c r="AE252" s="301">
        <v>0.0</v>
      </c>
      <c r="AF252" s="301">
        <v>0.0</v>
      </c>
      <c r="AG252" s="277">
        <f t="shared" si="88"/>
        <v>0</v>
      </c>
    </row>
    <row r="253" outlineLevel="1">
      <c r="A253" s="321" t="s">
        <v>385</v>
      </c>
      <c r="B253" s="301">
        <v>0.0</v>
      </c>
      <c r="C253" s="302">
        <v>0.0</v>
      </c>
      <c r="D253" s="302">
        <v>0.0</v>
      </c>
      <c r="E253" s="301">
        <v>0.0</v>
      </c>
      <c r="F253" s="301">
        <v>0.0</v>
      </c>
      <c r="G253" s="301">
        <v>0.0</v>
      </c>
      <c r="H253" s="301">
        <v>0.0</v>
      </c>
      <c r="I253" s="301">
        <v>0.0</v>
      </c>
      <c r="J253" s="301">
        <v>0.0</v>
      </c>
      <c r="K253" s="301">
        <v>0.0</v>
      </c>
      <c r="L253" s="301">
        <v>0.0</v>
      </c>
      <c r="M253" s="301">
        <v>0.0</v>
      </c>
      <c r="N253" s="301">
        <v>0.0</v>
      </c>
      <c r="O253" s="301">
        <v>0.0</v>
      </c>
      <c r="P253" s="301">
        <v>0.0</v>
      </c>
      <c r="Q253" s="301">
        <v>0.0</v>
      </c>
      <c r="R253" s="301">
        <v>0.0</v>
      </c>
      <c r="S253" s="301">
        <v>0.0</v>
      </c>
      <c r="T253" s="301">
        <v>0.0</v>
      </c>
      <c r="U253" s="301">
        <v>0.0</v>
      </c>
      <c r="V253" s="301">
        <v>0.0</v>
      </c>
      <c r="W253" s="301">
        <v>0.0</v>
      </c>
      <c r="X253" s="301">
        <v>0.0</v>
      </c>
      <c r="Y253" s="301">
        <v>0.0</v>
      </c>
      <c r="Z253" s="301">
        <v>0.0</v>
      </c>
      <c r="AA253" s="301">
        <v>0.0</v>
      </c>
      <c r="AB253" s="301">
        <v>0.0</v>
      </c>
      <c r="AC253" s="301">
        <v>0.0</v>
      </c>
      <c r="AD253" s="301">
        <v>0.0</v>
      </c>
      <c r="AE253" s="301">
        <v>0.0</v>
      </c>
      <c r="AF253" s="301">
        <v>0.0</v>
      </c>
      <c r="AG253" s="277">
        <f t="shared" si="88"/>
        <v>0</v>
      </c>
    </row>
    <row r="254" outlineLevel="1">
      <c r="A254" s="321" t="s">
        <v>386</v>
      </c>
      <c r="B254" s="301">
        <v>0.0</v>
      </c>
      <c r="C254" s="302">
        <v>0.0</v>
      </c>
      <c r="D254" s="302">
        <v>0.0</v>
      </c>
      <c r="E254" s="301">
        <v>0.0</v>
      </c>
      <c r="F254" s="301">
        <v>0.0</v>
      </c>
      <c r="G254" s="301">
        <v>0.0</v>
      </c>
      <c r="H254" s="301">
        <v>0.0</v>
      </c>
      <c r="I254" s="301">
        <v>0.0</v>
      </c>
      <c r="J254" s="301">
        <v>0.0</v>
      </c>
      <c r="K254" s="301">
        <v>0.0</v>
      </c>
      <c r="L254" s="301">
        <v>0.0</v>
      </c>
      <c r="M254" s="301">
        <v>0.0</v>
      </c>
      <c r="N254" s="301">
        <v>0.0</v>
      </c>
      <c r="O254" s="301">
        <v>0.0</v>
      </c>
      <c r="P254" s="301">
        <v>0.0</v>
      </c>
      <c r="Q254" s="301">
        <v>0.0</v>
      </c>
      <c r="R254" s="301">
        <v>0.0</v>
      </c>
      <c r="S254" s="301">
        <v>0.0</v>
      </c>
      <c r="T254" s="301">
        <v>0.0</v>
      </c>
      <c r="U254" s="301">
        <v>0.0</v>
      </c>
      <c r="V254" s="301">
        <v>0.0</v>
      </c>
      <c r="W254" s="301">
        <v>0.0</v>
      </c>
      <c r="X254" s="301">
        <v>0.0</v>
      </c>
      <c r="Y254" s="301">
        <v>0.0</v>
      </c>
      <c r="Z254" s="301">
        <v>0.0</v>
      </c>
      <c r="AA254" s="301">
        <v>0.0</v>
      </c>
      <c r="AB254" s="301">
        <v>0.0</v>
      </c>
      <c r="AC254" s="301">
        <v>0.0</v>
      </c>
      <c r="AD254" s="301">
        <v>0.0</v>
      </c>
      <c r="AE254" s="301">
        <v>0.0</v>
      </c>
      <c r="AF254" s="301">
        <v>0.0</v>
      </c>
      <c r="AG254" s="277">
        <f t="shared" si="88"/>
        <v>0</v>
      </c>
    </row>
    <row r="255">
      <c r="A255" s="322" t="s">
        <v>308</v>
      </c>
      <c r="B255" s="323">
        <f t="shared" ref="B255:AF255" si="89">SUM(B246,B247,B251,B252,)</f>
        <v>0</v>
      </c>
      <c r="C255" s="323">
        <f t="shared" si="89"/>
        <v>0</v>
      </c>
      <c r="D255" s="323">
        <f t="shared" si="89"/>
        <v>0</v>
      </c>
      <c r="E255" s="323">
        <f t="shared" si="89"/>
        <v>0</v>
      </c>
      <c r="F255" s="323">
        <f t="shared" si="89"/>
        <v>0</v>
      </c>
      <c r="G255" s="323">
        <f t="shared" si="89"/>
        <v>0</v>
      </c>
      <c r="H255" s="323">
        <f t="shared" si="89"/>
        <v>1</v>
      </c>
      <c r="I255" s="323">
        <f t="shared" si="89"/>
        <v>0</v>
      </c>
      <c r="J255" s="323">
        <f t="shared" si="89"/>
        <v>0</v>
      </c>
      <c r="K255" s="323">
        <f t="shared" si="89"/>
        <v>1</v>
      </c>
      <c r="L255" s="323">
        <f t="shared" si="89"/>
        <v>2</v>
      </c>
      <c r="M255" s="323">
        <f t="shared" si="89"/>
        <v>0</v>
      </c>
      <c r="N255" s="323">
        <f t="shared" si="89"/>
        <v>1</v>
      </c>
      <c r="O255" s="323">
        <f t="shared" si="89"/>
        <v>3</v>
      </c>
      <c r="P255" s="323">
        <f t="shared" si="89"/>
        <v>0</v>
      </c>
      <c r="Q255" s="323">
        <f t="shared" si="89"/>
        <v>1</v>
      </c>
      <c r="R255" s="323">
        <f t="shared" si="89"/>
        <v>1</v>
      </c>
      <c r="S255" s="323">
        <f t="shared" si="89"/>
        <v>0</v>
      </c>
      <c r="T255" s="323">
        <f t="shared" si="89"/>
        <v>0</v>
      </c>
      <c r="U255" s="323">
        <f t="shared" si="89"/>
        <v>1</v>
      </c>
      <c r="V255" s="323">
        <f t="shared" si="89"/>
        <v>0</v>
      </c>
      <c r="W255" s="323">
        <f t="shared" si="89"/>
        <v>0</v>
      </c>
      <c r="X255" s="323">
        <f t="shared" si="89"/>
        <v>0</v>
      </c>
      <c r="Y255" s="323">
        <f t="shared" si="89"/>
        <v>4</v>
      </c>
      <c r="Z255" s="323">
        <f t="shared" si="89"/>
        <v>50</v>
      </c>
      <c r="AA255" s="323">
        <f t="shared" si="89"/>
        <v>23</v>
      </c>
      <c r="AB255" s="323">
        <f t="shared" si="89"/>
        <v>8</v>
      </c>
      <c r="AC255" s="323">
        <f t="shared" si="89"/>
        <v>20</v>
      </c>
      <c r="AD255" s="323">
        <f t="shared" si="89"/>
        <v>12</v>
      </c>
      <c r="AE255" s="323">
        <f t="shared" si="89"/>
        <v>11</v>
      </c>
      <c r="AF255" s="323">
        <f t="shared" si="89"/>
        <v>8</v>
      </c>
      <c r="AG255" s="277">
        <f t="shared" si="88"/>
        <v>147</v>
      </c>
    </row>
    <row r="256">
      <c r="A256" s="322" t="s">
        <v>309</v>
      </c>
      <c r="B256" s="323">
        <f t="shared" ref="B256:AF256" si="90">SUM(B248,B249,B253,B254,)</f>
        <v>0</v>
      </c>
      <c r="C256" s="323">
        <f t="shared" si="90"/>
        <v>0</v>
      </c>
      <c r="D256" s="323">
        <f t="shared" si="90"/>
        <v>0</v>
      </c>
      <c r="E256" s="323">
        <f t="shared" si="90"/>
        <v>0</v>
      </c>
      <c r="F256" s="323">
        <f t="shared" si="90"/>
        <v>0</v>
      </c>
      <c r="G256" s="323">
        <f t="shared" si="90"/>
        <v>0</v>
      </c>
      <c r="H256" s="323">
        <f t="shared" si="90"/>
        <v>0</v>
      </c>
      <c r="I256" s="323">
        <f t="shared" si="90"/>
        <v>0</v>
      </c>
      <c r="J256" s="323">
        <f t="shared" si="90"/>
        <v>0</v>
      </c>
      <c r="K256" s="323">
        <f t="shared" si="90"/>
        <v>0</v>
      </c>
      <c r="L256" s="323">
        <f t="shared" si="90"/>
        <v>0</v>
      </c>
      <c r="M256" s="323">
        <f t="shared" si="90"/>
        <v>0</v>
      </c>
      <c r="N256" s="323">
        <f t="shared" si="90"/>
        <v>0</v>
      </c>
      <c r="O256" s="323">
        <f t="shared" si="90"/>
        <v>3</v>
      </c>
      <c r="P256" s="323">
        <f t="shared" si="90"/>
        <v>0</v>
      </c>
      <c r="Q256" s="323">
        <f t="shared" si="90"/>
        <v>0</v>
      </c>
      <c r="R256" s="323">
        <f t="shared" si="90"/>
        <v>0</v>
      </c>
      <c r="S256" s="323">
        <f t="shared" si="90"/>
        <v>0</v>
      </c>
      <c r="T256" s="323">
        <f t="shared" si="90"/>
        <v>1</v>
      </c>
      <c r="U256" s="323">
        <f t="shared" si="90"/>
        <v>0</v>
      </c>
      <c r="V256" s="323">
        <f t="shared" si="90"/>
        <v>0</v>
      </c>
      <c r="W256" s="323">
        <f t="shared" si="90"/>
        <v>0</v>
      </c>
      <c r="X256" s="323">
        <f t="shared" si="90"/>
        <v>0</v>
      </c>
      <c r="Y256" s="323">
        <f t="shared" si="90"/>
        <v>4</v>
      </c>
      <c r="Z256" s="323">
        <f t="shared" si="90"/>
        <v>6</v>
      </c>
      <c r="AA256" s="323">
        <f t="shared" si="90"/>
        <v>22</v>
      </c>
      <c r="AB256" s="323">
        <f t="shared" si="90"/>
        <v>8</v>
      </c>
      <c r="AC256" s="323">
        <f t="shared" si="90"/>
        <v>37</v>
      </c>
      <c r="AD256" s="323">
        <f t="shared" si="90"/>
        <v>14</v>
      </c>
      <c r="AE256" s="323">
        <f t="shared" si="90"/>
        <v>18</v>
      </c>
      <c r="AF256" s="323">
        <f t="shared" si="90"/>
        <v>6</v>
      </c>
      <c r="AG256" s="277">
        <f t="shared" si="88"/>
        <v>119</v>
      </c>
    </row>
    <row r="257">
      <c r="A257" s="35"/>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0"/>
    </row>
    <row r="258">
      <c r="A258" s="321" t="s">
        <v>310</v>
      </c>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c r="AD258" s="89"/>
      <c r="AE258" s="89"/>
      <c r="AF258" s="89"/>
      <c r="AG258" s="291"/>
    </row>
    <row r="259" outlineLevel="1">
      <c r="A259" s="321" t="s">
        <v>311</v>
      </c>
      <c r="B259" s="301">
        <v>0.0</v>
      </c>
      <c r="C259" s="301">
        <v>0.0</v>
      </c>
      <c r="D259" s="301">
        <v>0.0</v>
      </c>
      <c r="E259" s="301">
        <v>0.0</v>
      </c>
      <c r="F259" s="301">
        <v>0.0</v>
      </c>
      <c r="G259" s="301">
        <v>0.0</v>
      </c>
      <c r="H259" s="301">
        <v>0.0</v>
      </c>
      <c r="I259" s="301">
        <v>0.0</v>
      </c>
      <c r="J259" s="301">
        <v>0.0</v>
      </c>
      <c r="K259" s="301">
        <v>0.0</v>
      </c>
      <c r="L259" s="301">
        <v>0.0</v>
      </c>
      <c r="M259" s="301">
        <v>0.0</v>
      </c>
      <c r="N259" s="301">
        <v>0.0</v>
      </c>
      <c r="O259" s="301">
        <v>3.0</v>
      </c>
      <c r="P259" s="301">
        <v>0.0</v>
      </c>
      <c r="Q259" s="301">
        <v>0.0</v>
      </c>
      <c r="R259" s="301">
        <v>1.0</v>
      </c>
      <c r="S259" s="301">
        <v>0.0</v>
      </c>
      <c r="T259" s="301">
        <v>1.0</v>
      </c>
      <c r="U259" s="301">
        <v>1.0</v>
      </c>
      <c r="V259" s="301">
        <v>0.0</v>
      </c>
      <c r="W259" s="301">
        <v>0.0</v>
      </c>
      <c r="X259" s="301">
        <v>0.0</v>
      </c>
      <c r="Y259" s="301">
        <v>6.0</v>
      </c>
      <c r="Z259" s="301">
        <v>15.0</v>
      </c>
      <c r="AA259" s="301">
        <v>19.0</v>
      </c>
      <c r="AB259" s="301">
        <v>7.0</v>
      </c>
      <c r="AC259" s="301">
        <v>25.0</v>
      </c>
      <c r="AD259" s="301">
        <v>11.0</v>
      </c>
      <c r="AE259" s="301">
        <v>12.0</v>
      </c>
      <c r="AF259" s="301">
        <v>3.0</v>
      </c>
      <c r="AG259" s="277">
        <f t="shared" ref="AG259:AG267" si="91">SUM(B259:AF259)</f>
        <v>104</v>
      </c>
    </row>
    <row r="260" outlineLevel="1">
      <c r="A260" s="321" t="s">
        <v>312</v>
      </c>
      <c r="B260" s="301">
        <v>0.0</v>
      </c>
      <c r="C260" s="301">
        <v>0.0</v>
      </c>
      <c r="D260" s="301">
        <v>0.0</v>
      </c>
      <c r="E260" s="301">
        <v>0.0</v>
      </c>
      <c r="F260" s="301">
        <v>0.0</v>
      </c>
      <c r="G260" s="301">
        <v>0.0</v>
      </c>
      <c r="H260" s="301">
        <v>0.0</v>
      </c>
      <c r="I260" s="301">
        <v>0.0</v>
      </c>
      <c r="J260" s="301">
        <v>0.0</v>
      </c>
      <c r="K260" s="301">
        <v>0.0</v>
      </c>
      <c r="L260" s="301">
        <v>1.0</v>
      </c>
      <c r="M260" s="301">
        <v>0.0</v>
      </c>
      <c r="N260" s="301">
        <v>0.0</v>
      </c>
      <c r="O260" s="301">
        <v>0.0</v>
      </c>
      <c r="P260" s="301">
        <v>0.0</v>
      </c>
      <c r="Q260" s="301">
        <v>1.0</v>
      </c>
      <c r="R260" s="301">
        <v>1.0</v>
      </c>
      <c r="S260" s="301">
        <v>0.0</v>
      </c>
      <c r="T260" s="301">
        <v>1.0</v>
      </c>
      <c r="U260" s="301">
        <v>1.0</v>
      </c>
      <c r="V260" s="301">
        <v>0.0</v>
      </c>
      <c r="W260" s="301">
        <v>0.0</v>
      </c>
      <c r="X260" s="301">
        <v>0.0</v>
      </c>
      <c r="Y260" s="301">
        <v>3.0</v>
      </c>
      <c r="Z260" s="301">
        <v>30.0</v>
      </c>
      <c r="AA260" s="301">
        <v>22.0</v>
      </c>
      <c r="AB260" s="301">
        <v>9.0</v>
      </c>
      <c r="AC260" s="301">
        <v>24.0</v>
      </c>
      <c r="AD260" s="301">
        <v>7.0</v>
      </c>
      <c r="AE260" s="301">
        <v>10.0</v>
      </c>
      <c r="AF260" s="301">
        <v>3.0</v>
      </c>
      <c r="AG260" s="277">
        <f t="shared" si="91"/>
        <v>113</v>
      </c>
    </row>
    <row r="261" outlineLevel="1">
      <c r="A261" s="321" t="s">
        <v>387</v>
      </c>
      <c r="B261" s="301">
        <v>0.0</v>
      </c>
      <c r="C261" s="302">
        <v>0.0</v>
      </c>
      <c r="D261" s="302">
        <v>0.0</v>
      </c>
      <c r="E261" s="301">
        <v>0.0</v>
      </c>
      <c r="F261" s="301">
        <v>0.0</v>
      </c>
      <c r="G261" s="301">
        <v>0.0</v>
      </c>
      <c r="H261" s="301">
        <v>0.0</v>
      </c>
      <c r="I261" s="301">
        <v>0.0</v>
      </c>
      <c r="J261" s="301">
        <v>0.0</v>
      </c>
      <c r="K261" s="301">
        <v>0.0</v>
      </c>
      <c r="L261" s="301">
        <v>0.0</v>
      </c>
      <c r="M261" s="301">
        <v>0.0</v>
      </c>
      <c r="N261" s="301">
        <v>0.0</v>
      </c>
      <c r="O261" s="301">
        <v>0.0</v>
      </c>
      <c r="P261" s="301">
        <v>0.0</v>
      </c>
      <c r="Q261" s="301">
        <v>0.0</v>
      </c>
      <c r="R261" s="301">
        <v>0.0</v>
      </c>
      <c r="S261" s="301">
        <v>0.0</v>
      </c>
      <c r="T261" s="301">
        <v>0.0</v>
      </c>
      <c r="U261" s="301">
        <v>0.0</v>
      </c>
      <c r="V261" s="301">
        <v>0.0</v>
      </c>
      <c r="W261" s="301">
        <v>0.0</v>
      </c>
      <c r="X261" s="301">
        <v>0.0</v>
      </c>
      <c r="Y261" s="301">
        <v>0.0</v>
      </c>
      <c r="Z261" s="301">
        <v>3.0</v>
      </c>
      <c r="AA261" s="301">
        <v>9.0</v>
      </c>
      <c r="AB261" s="301">
        <v>5.0</v>
      </c>
      <c r="AC261" s="301">
        <v>9.0</v>
      </c>
      <c r="AD261" s="301">
        <v>3.0</v>
      </c>
      <c r="AE261" s="301">
        <v>8.0</v>
      </c>
      <c r="AF261" s="301">
        <v>1.0</v>
      </c>
      <c r="AG261" s="277">
        <f t="shared" si="91"/>
        <v>38</v>
      </c>
    </row>
    <row r="262" outlineLevel="1">
      <c r="A262" s="321" t="s">
        <v>388</v>
      </c>
      <c r="B262" s="301">
        <v>0.0</v>
      </c>
      <c r="C262" s="302">
        <v>0.0</v>
      </c>
      <c r="D262" s="302">
        <v>0.0</v>
      </c>
      <c r="E262" s="301">
        <v>0.0</v>
      </c>
      <c r="F262" s="301">
        <v>0.0</v>
      </c>
      <c r="G262" s="301">
        <v>0.0</v>
      </c>
      <c r="H262" s="301">
        <v>0.0</v>
      </c>
      <c r="I262" s="301">
        <v>0.0</v>
      </c>
      <c r="J262" s="301">
        <v>0.0</v>
      </c>
      <c r="K262" s="301">
        <v>0.0</v>
      </c>
      <c r="L262" s="301">
        <v>0.0</v>
      </c>
      <c r="M262" s="301">
        <v>0.0</v>
      </c>
      <c r="N262" s="301">
        <v>0.0</v>
      </c>
      <c r="O262" s="301">
        <v>0.0</v>
      </c>
      <c r="P262" s="301">
        <v>0.0</v>
      </c>
      <c r="Q262" s="301">
        <v>0.0</v>
      </c>
      <c r="R262" s="301">
        <v>0.0</v>
      </c>
      <c r="S262" s="301">
        <v>0.0</v>
      </c>
      <c r="T262" s="301">
        <v>0.0</v>
      </c>
      <c r="U262" s="301">
        <v>0.0</v>
      </c>
      <c r="V262" s="301">
        <v>0.0</v>
      </c>
      <c r="W262" s="301">
        <v>0.0</v>
      </c>
      <c r="X262" s="301">
        <v>0.0</v>
      </c>
      <c r="Y262" s="301">
        <v>0.0</v>
      </c>
      <c r="Z262" s="301">
        <v>0.0</v>
      </c>
      <c r="AA262" s="301">
        <v>0.0</v>
      </c>
      <c r="AB262" s="301">
        <v>0.0</v>
      </c>
      <c r="AC262" s="301">
        <v>0.0</v>
      </c>
      <c r="AD262" s="301">
        <v>0.0</v>
      </c>
      <c r="AE262" s="301">
        <v>0.0</v>
      </c>
      <c r="AF262" s="301">
        <v>0.0</v>
      </c>
      <c r="AG262" s="277">
        <f t="shared" si="91"/>
        <v>0</v>
      </c>
    </row>
    <row r="263" outlineLevel="1">
      <c r="A263" s="321" t="s">
        <v>389</v>
      </c>
      <c r="B263" s="301">
        <v>0.0</v>
      </c>
      <c r="C263" s="301">
        <v>0.0</v>
      </c>
      <c r="D263" s="301">
        <v>0.0</v>
      </c>
      <c r="E263" s="301">
        <v>0.0</v>
      </c>
      <c r="F263" s="301">
        <v>0.0</v>
      </c>
      <c r="G263" s="301">
        <v>0.0</v>
      </c>
      <c r="H263" s="301">
        <v>0.0</v>
      </c>
      <c r="I263" s="301">
        <v>0.0</v>
      </c>
      <c r="J263" s="301">
        <v>0.0</v>
      </c>
      <c r="K263" s="301">
        <v>0.0</v>
      </c>
      <c r="L263" s="301">
        <v>0.0</v>
      </c>
      <c r="M263" s="301">
        <v>0.0</v>
      </c>
      <c r="N263" s="301">
        <v>0.0</v>
      </c>
      <c r="O263" s="301">
        <v>0.0</v>
      </c>
      <c r="P263" s="301">
        <v>0.0</v>
      </c>
      <c r="Q263" s="301">
        <v>0.0</v>
      </c>
      <c r="R263" s="301">
        <v>0.0</v>
      </c>
      <c r="S263" s="301">
        <v>0.0</v>
      </c>
      <c r="T263" s="301">
        <v>0.0</v>
      </c>
      <c r="U263" s="301">
        <v>1.0</v>
      </c>
      <c r="V263" s="301">
        <v>0.0</v>
      </c>
      <c r="W263" s="301">
        <v>0.0</v>
      </c>
      <c r="X263" s="301">
        <v>0.0</v>
      </c>
      <c r="Y263" s="301">
        <v>2.0</v>
      </c>
      <c r="Z263" s="301">
        <v>11.0</v>
      </c>
      <c r="AA263" s="301">
        <v>4.0</v>
      </c>
      <c r="AB263" s="301">
        <v>0.0</v>
      </c>
      <c r="AC263" s="301">
        <v>13.0</v>
      </c>
      <c r="AD263" s="301">
        <v>3.0</v>
      </c>
      <c r="AE263" s="301">
        <v>5.0</v>
      </c>
      <c r="AF263" s="301">
        <v>2.0</v>
      </c>
      <c r="AG263" s="277">
        <f t="shared" si="91"/>
        <v>41</v>
      </c>
    </row>
    <row r="264" outlineLevel="1">
      <c r="A264" s="321" t="s">
        <v>390</v>
      </c>
      <c r="B264" s="301">
        <v>0.0</v>
      </c>
      <c r="C264" s="301">
        <v>0.0</v>
      </c>
      <c r="D264" s="301">
        <v>0.0</v>
      </c>
      <c r="E264" s="301">
        <v>0.0</v>
      </c>
      <c r="F264" s="301">
        <v>0.0</v>
      </c>
      <c r="G264" s="301">
        <v>0.0</v>
      </c>
      <c r="H264" s="301">
        <v>0.0</v>
      </c>
      <c r="I264" s="301">
        <v>0.0</v>
      </c>
      <c r="J264" s="301">
        <v>0.0</v>
      </c>
      <c r="K264" s="301">
        <v>0.0</v>
      </c>
      <c r="L264" s="301">
        <v>0.0</v>
      </c>
      <c r="M264" s="301">
        <v>0.0</v>
      </c>
      <c r="N264" s="301">
        <v>0.0</v>
      </c>
      <c r="O264" s="301">
        <v>0.0</v>
      </c>
      <c r="P264" s="301">
        <v>0.0</v>
      </c>
      <c r="Q264" s="301">
        <v>0.0</v>
      </c>
      <c r="R264" s="301">
        <v>0.0</v>
      </c>
      <c r="S264" s="301">
        <v>0.0</v>
      </c>
      <c r="T264" s="301">
        <v>0.0</v>
      </c>
      <c r="U264" s="301">
        <v>0.0</v>
      </c>
      <c r="V264" s="301">
        <v>0.0</v>
      </c>
      <c r="W264" s="301">
        <v>0.0</v>
      </c>
      <c r="X264" s="301">
        <v>0.0</v>
      </c>
      <c r="Y264" s="301">
        <v>0.0</v>
      </c>
      <c r="Z264" s="301">
        <v>0.0</v>
      </c>
      <c r="AA264" s="301">
        <v>0.0</v>
      </c>
      <c r="AB264" s="301">
        <v>0.0</v>
      </c>
      <c r="AC264" s="301">
        <v>0.0</v>
      </c>
      <c r="AD264" s="301">
        <v>0.0</v>
      </c>
      <c r="AE264" s="301">
        <v>0.0</v>
      </c>
      <c r="AF264" s="301">
        <v>0.0</v>
      </c>
      <c r="AG264" s="277">
        <f t="shared" si="91"/>
        <v>0</v>
      </c>
    </row>
    <row r="265" outlineLevel="1">
      <c r="A265" s="321" t="s">
        <v>391</v>
      </c>
      <c r="B265" s="301">
        <v>0.0</v>
      </c>
      <c r="C265" s="302">
        <v>0.0</v>
      </c>
      <c r="D265" s="302">
        <v>0.0</v>
      </c>
      <c r="E265" s="301">
        <v>0.0</v>
      </c>
      <c r="F265" s="301">
        <v>0.0</v>
      </c>
      <c r="G265" s="301">
        <v>0.0</v>
      </c>
      <c r="H265" s="301">
        <v>0.0</v>
      </c>
      <c r="I265" s="301">
        <v>0.0</v>
      </c>
      <c r="J265" s="301">
        <v>0.0</v>
      </c>
      <c r="K265" s="301">
        <v>0.0</v>
      </c>
      <c r="L265" s="301">
        <v>0.0</v>
      </c>
      <c r="M265" s="301">
        <v>0.0</v>
      </c>
      <c r="N265" s="301">
        <v>0.0</v>
      </c>
      <c r="O265" s="301">
        <v>0.0</v>
      </c>
      <c r="P265" s="301">
        <v>0.0</v>
      </c>
      <c r="Q265" s="301">
        <v>0.0</v>
      </c>
      <c r="R265" s="301">
        <v>0.0</v>
      </c>
      <c r="S265" s="301">
        <v>0.0</v>
      </c>
      <c r="T265" s="301">
        <v>0.0</v>
      </c>
      <c r="U265" s="301">
        <v>0.0</v>
      </c>
      <c r="V265" s="301">
        <v>0.0</v>
      </c>
      <c r="W265" s="301">
        <v>0.0</v>
      </c>
      <c r="X265" s="301">
        <v>0.0</v>
      </c>
      <c r="Y265" s="301">
        <v>0.0</v>
      </c>
      <c r="Z265" s="301">
        <v>0.0</v>
      </c>
      <c r="AA265" s="301">
        <v>0.0</v>
      </c>
      <c r="AB265" s="301">
        <v>0.0</v>
      </c>
      <c r="AC265" s="301">
        <v>0.0</v>
      </c>
      <c r="AD265" s="301">
        <v>0.0</v>
      </c>
      <c r="AE265" s="301">
        <v>0.0</v>
      </c>
      <c r="AF265" s="301">
        <v>0.0</v>
      </c>
      <c r="AG265" s="277">
        <f t="shared" si="91"/>
        <v>0</v>
      </c>
    </row>
    <row r="266" outlineLevel="1">
      <c r="A266" s="321" t="s">
        <v>392</v>
      </c>
      <c r="B266" s="301">
        <v>0.0</v>
      </c>
      <c r="C266" s="302">
        <v>0.0</v>
      </c>
      <c r="D266" s="302">
        <v>0.0</v>
      </c>
      <c r="E266" s="301">
        <v>0.0</v>
      </c>
      <c r="F266" s="301">
        <v>0.0</v>
      </c>
      <c r="G266" s="301">
        <v>0.0</v>
      </c>
      <c r="H266" s="301">
        <v>0.0</v>
      </c>
      <c r="I266" s="301">
        <v>0.0</v>
      </c>
      <c r="J266" s="301">
        <v>0.0</v>
      </c>
      <c r="K266" s="301">
        <v>0.0</v>
      </c>
      <c r="L266" s="301">
        <v>0.0</v>
      </c>
      <c r="M266" s="301">
        <v>0.0</v>
      </c>
      <c r="N266" s="301">
        <v>0.0</v>
      </c>
      <c r="O266" s="301">
        <v>0.0</v>
      </c>
      <c r="P266" s="301">
        <v>0.0</v>
      </c>
      <c r="Q266" s="301">
        <v>0.0</v>
      </c>
      <c r="R266" s="301">
        <v>0.0</v>
      </c>
      <c r="S266" s="301">
        <v>0.0</v>
      </c>
      <c r="T266" s="301">
        <v>0.0</v>
      </c>
      <c r="U266" s="301">
        <v>0.0</v>
      </c>
      <c r="V266" s="301">
        <v>0.0</v>
      </c>
      <c r="W266" s="301">
        <v>0.0</v>
      </c>
      <c r="X266" s="301">
        <v>0.0</v>
      </c>
      <c r="Y266" s="301">
        <v>0.0</v>
      </c>
      <c r="Z266" s="301">
        <v>0.0</v>
      </c>
      <c r="AA266" s="301">
        <v>0.0</v>
      </c>
      <c r="AB266" s="301">
        <v>0.0</v>
      </c>
      <c r="AC266" s="301">
        <v>0.0</v>
      </c>
      <c r="AD266" s="301">
        <v>0.0</v>
      </c>
      <c r="AE266" s="301">
        <v>0.0</v>
      </c>
      <c r="AF266" s="301">
        <v>0.0</v>
      </c>
      <c r="AG266" s="277">
        <f t="shared" si="91"/>
        <v>0</v>
      </c>
    </row>
    <row r="267">
      <c r="A267" s="322" t="s">
        <v>261</v>
      </c>
      <c r="B267" s="323">
        <f t="shared" ref="B267:AF267" si="92">SUM(B259:B266)</f>
        <v>0</v>
      </c>
      <c r="C267" s="323">
        <f t="shared" si="92"/>
        <v>0</v>
      </c>
      <c r="D267" s="323">
        <f t="shared" si="92"/>
        <v>0</v>
      </c>
      <c r="E267" s="323">
        <f t="shared" si="92"/>
        <v>0</v>
      </c>
      <c r="F267" s="323">
        <f t="shared" si="92"/>
        <v>0</v>
      </c>
      <c r="G267" s="323">
        <f t="shared" si="92"/>
        <v>0</v>
      </c>
      <c r="H267" s="323">
        <f t="shared" si="92"/>
        <v>0</v>
      </c>
      <c r="I267" s="323">
        <f t="shared" si="92"/>
        <v>0</v>
      </c>
      <c r="J267" s="323">
        <f t="shared" si="92"/>
        <v>0</v>
      </c>
      <c r="K267" s="323">
        <f t="shared" si="92"/>
        <v>0</v>
      </c>
      <c r="L267" s="323">
        <f t="shared" si="92"/>
        <v>1</v>
      </c>
      <c r="M267" s="323">
        <f t="shared" si="92"/>
        <v>0</v>
      </c>
      <c r="N267" s="323">
        <f t="shared" si="92"/>
        <v>0</v>
      </c>
      <c r="O267" s="323">
        <f t="shared" si="92"/>
        <v>3</v>
      </c>
      <c r="P267" s="323">
        <f t="shared" si="92"/>
        <v>0</v>
      </c>
      <c r="Q267" s="323">
        <f t="shared" si="92"/>
        <v>1</v>
      </c>
      <c r="R267" s="323">
        <f t="shared" si="92"/>
        <v>2</v>
      </c>
      <c r="S267" s="323">
        <f t="shared" si="92"/>
        <v>0</v>
      </c>
      <c r="T267" s="323">
        <f t="shared" si="92"/>
        <v>2</v>
      </c>
      <c r="U267" s="323">
        <f t="shared" si="92"/>
        <v>3</v>
      </c>
      <c r="V267" s="323">
        <f t="shared" si="92"/>
        <v>0</v>
      </c>
      <c r="W267" s="323">
        <f t="shared" si="92"/>
        <v>0</v>
      </c>
      <c r="X267" s="323">
        <f t="shared" si="92"/>
        <v>0</v>
      </c>
      <c r="Y267" s="323">
        <f t="shared" si="92"/>
        <v>11</v>
      </c>
      <c r="Z267" s="323">
        <f t="shared" si="92"/>
        <v>59</v>
      </c>
      <c r="AA267" s="323">
        <f t="shared" si="92"/>
        <v>54</v>
      </c>
      <c r="AB267" s="323">
        <f t="shared" si="92"/>
        <v>21</v>
      </c>
      <c r="AC267" s="323">
        <f t="shared" si="92"/>
        <v>71</v>
      </c>
      <c r="AD267" s="323">
        <f t="shared" si="92"/>
        <v>24</v>
      </c>
      <c r="AE267" s="323">
        <f t="shared" si="92"/>
        <v>35</v>
      </c>
      <c r="AF267" s="323">
        <f t="shared" si="92"/>
        <v>9</v>
      </c>
      <c r="AG267" s="277">
        <f t="shared" si="91"/>
        <v>296</v>
      </c>
    </row>
    <row r="268">
      <c r="A268" s="35"/>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327" t="s">
        <v>236</v>
      </c>
      <c r="AA268" s="24"/>
      <c r="AB268" s="24"/>
      <c r="AC268" s="24"/>
      <c r="AD268" s="24"/>
      <c r="AE268" s="24"/>
      <c r="AF268" s="24"/>
      <c r="AG268" s="20"/>
    </row>
    <row r="269">
      <c r="A269" s="321" t="s">
        <v>364</v>
      </c>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291"/>
    </row>
    <row r="270" outlineLevel="1">
      <c r="A270" s="321" t="s">
        <v>311</v>
      </c>
      <c r="B270" s="301">
        <v>0.0</v>
      </c>
      <c r="C270" s="301">
        <v>0.0</v>
      </c>
      <c r="D270" s="301">
        <v>0.0</v>
      </c>
      <c r="E270" s="301">
        <v>0.0</v>
      </c>
      <c r="F270" s="301">
        <v>0.0</v>
      </c>
      <c r="G270" s="301">
        <v>0.0</v>
      </c>
      <c r="H270" s="301">
        <v>0.0</v>
      </c>
      <c r="I270" s="301">
        <v>0.0</v>
      </c>
      <c r="J270" s="301">
        <v>0.0</v>
      </c>
      <c r="K270" s="301">
        <v>0.0</v>
      </c>
      <c r="L270" s="301">
        <v>0.0</v>
      </c>
      <c r="M270" s="301">
        <v>0.0</v>
      </c>
      <c r="N270" s="301">
        <v>0.0</v>
      </c>
      <c r="O270" s="301">
        <v>0.0</v>
      </c>
      <c r="P270" s="301">
        <v>0.0</v>
      </c>
      <c r="Q270" s="301">
        <v>0.0</v>
      </c>
      <c r="R270" s="301">
        <v>1.0</v>
      </c>
      <c r="S270" s="301">
        <v>0.0</v>
      </c>
      <c r="T270" s="301">
        <v>0.0</v>
      </c>
      <c r="U270" s="301">
        <v>0.0</v>
      </c>
      <c r="V270" s="301">
        <v>0.0</v>
      </c>
      <c r="W270" s="301">
        <v>0.0</v>
      </c>
      <c r="X270" s="301">
        <v>0.0</v>
      </c>
      <c r="Y270" s="301">
        <v>1.0</v>
      </c>
      <c r="Z270" s="301">
        <v>0.0</v>
      </c>
      <c r="AA270" s="301">
        <v>0.0</v>
      </c>
      <c r="AB270" s="301">
        <v>0.0</v>
      </c>
      <c r="AC270" s="301">
        <v>0.0</v>
      </c>
      <c r="AD270" s="301">
        <v>0.0</v>
      </c>
      <c r="AE270" s="301">
        <v>0.0</v>
      </c>
      <c r="AF270" s="301">
        <v>3.0</v>
      </c>
      <c r="AG270" s="277">
        <f t="shared" ref="AG270:AG278" si="93">SUM(B270:AF270)</f>
        <v>5</v>
      </c>
    </row>
    <row r="271" outlineLevel="1">
      <c r="A271" s="321" t="s">
        <v>312</v>
      </c>
      <c r="B271" s="301">
        <v>0.0</v>
      </c>
      <c r="C271" s="301">
        <v>0.0</v>
      </c>
      <c r="D271" s="301">
        <v>0.0</v>
      </c>
      <c r="E271" s="301">
        <v>0.0</v>
      </c>
      <c r="F271" s="301">
        <v>0.0</v>
      </c>
      <c r="G271" s="301">
        <v>0.0</v>
      </c>
      <c r="H271" s="301">
        <v>0.0</v>
      </c>
      <c r="I271" s="301">
        <v>0.0</v>
      </c>
      <c r="J271" s="301">
        <v>0.0</v>
      </c>
      <c r="K271" s="301">
        <v>0.0</v>
      </c>
      <c r="L271" s="301">
        <v>0.0</v>
      </c>
      <c r="M271" s="301">
        <v>0.0</v>
      </c>
      <c r="N271" s="301">
        <v>0.0</v>
      </c>
      <c r="O271" s="301">
        <v>0.0</v>
      </c>
      <c r="P271" s="301">
        <v>0.0</v>
      </c>
      <c r="Q271" s="301">
        <v>0.0</v>
      </c>
      <c r="R271" s="301">
        <v>0.0</v>
      </c>
      <c r="S271" s="301">
        <v>0.0</v>
      </c>
      <c r="T271" s="301">
        <v>0.0</v>
      </c>
      <c r="U271" s="301">
        <v>0.0</v>
      </c>
      <c r="V271" s="301">
        <v>0.0</v>
      </c>
      <c r="W271" s="301">
        <v>0.0</v>
      </c>
      <c r="X271" s="301">
        <v>0.0</v>
      </c>
      <c r="Y271" s="301">
        <v>1.0</v>
      </c>
      <c r="Z271" s="301">
        <v>0.0</v>
      </c>
      <c r="AA271" s="301">
        <v>0.0</v>
      </c>
      <c r="AB271" s="301">
        <v>0.0</v>
      </c>
      <c r="AC271" s="301">
        <v>0.0</v>
      </c>
      <c r="AD271" s="301">
        <v>0.0</v>
      </c>
      <c r="AE271" s="301">
        <v>0.0</v>
      </c>
      <c r="AF271" s="301">
        <v>0.0</v>
      </c>
      <c r="AG271" s="277">
        <f t="shared" si="93"/>
        <v>1</v>
      </c>
    </row>
    <row r="272" outlineLevel="1">
      <c r="A272" s="321" t="s">
        <v>393</v>
      </c>
      <c r="B272" s="301">
        <v>0.0</v>
      </c>
      <c r="C272" s="302">
        <v>0.0</v>
      </c>
      <c r="D272" s="302">
        <v>0.0</v>
      </c>
      <c r="E272" s="301">
        <v>0.0</v>
      </c>
      <c r="F272" s="301">
        <v>0.0</v>
      </c>
      <c r="G272" s="301">
        <v>0.0</v>
      </c>
      <c r="H272" s="301">
        <v>0.0</v>
      </c>
      <c r="I272" s="301">
        <v>0.0</v>
      </c>
      <c r="J272" s="301">
        <v>0.0</v>
      </c>
      <c r="K272" s="301">
        <v>0.0</v>
      </c>
      <c r="L272" s="301">
        <v>0.0</v>
      </c>
      <c r="M272" s="301">
        <v>0.0</v>
      </c>
      <c r="N272" s="301">
        <v>0.0</v>
      </c>
      <c r="O272" s="301">
        <v>0.0</v>
      </c>
      <c r="P272" s="301">
        <v>0.0</v>
      </c>
      <c r="Q272" s="301">
        <v>0.0</v>
      </c>
      <c r="R272" s="301">
        <v>0.0</v>
      </c>
      <c r="S272" s="301">
        <v>0.0</v>
      </c>
      <c r="T272" s="301">
        <v>0.0</v>
      </c>
      <c r="U272" s="301">
        <v>0.0</v>
      </c>
      <c r="V272" s="301">
        <v>0.0</v>
      </c>
      <c r="W272" s="301">
        <v>0.0</v>
      </c>
      <c r="X272" s="301">
        <v>0.0</v>
      </c>
      <c r="Y272" s="301">
        <v>1.0</v>
      </c>
      <c r="Z272" s="301">
        <v>0.0</v>
      </c>
      <c r="AA272" s="301">
        <v>0.0</v>
      </c>
      <c r="AB272" s="301">
        <v>0.0</v>
      </c>
      <c r="AC272" s="301">
        <v>0.0</v>
      </c>
      <c r="AD272" s="301">
        <v>0.0</v>
      </c>
      <c r="AE272" s="301">
        <v>0.0</v>
      </c>
      <c r="AF272" s="301">
        <v>0.0</v>
      </c>
      <c r="AG272" s="277">
        <f t="shared" si="93"/>
        <v>1</v>
      </c>
    </row>
    <row r="273" outlineLevel="1">
      <c r="A273" s="321" t="s">
        <v>394</v>
      </c>
      <c r="B273" s="301">
        <v>0.0</v>
      </c>
      <c r="C273" s="302">
        <v>0.0</v>
      </c>
      <c r="D273" s="302">
        <v>0.0</v>
      </c>
      <c r="E273" s="301">
        <v>0.0</v>
      </c>
      <c r="F273" s="301">
        <v>0.0</v>
      </c>
      <c r="G273" s="301">
        <v>0.0</v>
      </c>
      <c r="H273" s="301">
        <v>0.0</v>
      </c>
      <c r="I273" s="301">
        <v>0.0</v>
      </c>
      <c r="J273" s="301">
        <v>0.0</v>
      </c>
      <c r="K273" s="301">
        <v>0.0</v>
      </c>
      <c r="L273" s="301">
        <v>0.0</v>
      </c>
      <c r="M273" s="301">
        <v>0.0</v>
      </c>
      <c r="N273" s="301">
        <v>0.0</v>
      </c>
      <c r="O273" s="301">
        <v>0.0</v>
      </c>
      <c r="P273" s="301">
        <v>0.0</v>
      </c>
      <c r="Q273" s="301">
        <v>0.0</v>
      </c>
      <c r="R273" s="301">
        <v>0.0</v>
      </c>
      <c r="S273" s="301">
        <v>0.0</v>
      </c>
      <c r="T273" s="301">
        <v>0.0</v>
      </c>
      <c r="U273" s="301">
        <v>0.0</v>
      </c>
      <c r="V273" s="301">
        <v>0.0</v>
      </c>
      <c r="W273" s="301">
        <v>0.0</v>
      </c>
      <c r="X273" s="301">
        <v>0.0</v>
      </c>
      <c r="Y273" s="301">
        <v>0.0</v>
      </c>
      <c r="Z273" s="301">
        <v>0.0</v>
      </c>
      <c r="AA273" s="301">
        <v>0.0</v>
      </c>
      <c r="AB273" s="301">
        <v>0.0</v>
      </c>
      <c r="AC273" s="301">
        <v>0.0</v>
      </c>
      <c r="AD273" s="301">
        <v>0.0</v>
      </c>
      <c r="AE273" s="301">
        <v>0.0</v>
      </c>
      <c r="AF273" s="301">
        <v>0.0</v>
      </c>
      <c r="AG273" s="277">
        <f t="shared" si="93"/>
        <v>0</v>
      </c>
    </row>
    <row r="274" outlineLevel="1">
      <c r="A274" s="321" t="s">
        <v>395</v>
      </c>
      <c r="B274" s="301">
        <v>0.0</v>
      </c>
      <c r="C274" s="301">
        <v>0.0</v>
      </c>
      <c r="D274" s="301">
        <v>0.0</v>
      </c>
      <c r="E274" s="301">
        <v>0.0</v>
      </c>
      <c r="F274" s="301">
        <v>0.0</v>
      </c>
      <c r="G274" s="301">
        <v>0.0</v>
      </c>
      <c r="H274" s="301">
        <v>0.0</v>
      </c>
      <c r="I274" s="301">
        <v>0.0</v>
      </c>
      <c r="J274" s="301">
        <v>0.0</v>
      </c>
      <c r="K274" s="301">
        <v>0.0</v>
      </c>
      <c r="L274" s="301">
        <v>0.0</v>
      </c>
      <c r="M274" s="301">
        <v>0.0</v>
      </c>
      <c r="N274" s="301">
        <v>0.0</v>
      </c>
      <c r="O274" s="301">
        <v>0.0</v>
      </c>
      <c r="P274" s="301">
        <v>0.0</v>
      </c>
      <c r="Q274" s="301">
        <v>0.0</v>
      </c>
      <c r="R274" s="301">
        <v>0.0</v>
      </c>
      <c r="S274" s="301">
        <v>0.0</v>
      </c>
      <c r="T274" s="301">
        <v>0.0</v>
      </c>
      <c r="U274" s="301">
        <v>0.0</v>
      </c>
      <c r="V274" s="301">
        <v>0.0</v>
      </c>
      <c r="W274" s="301">
        <v>0.0</v>
      </c>
      <c r="X274" s="301">
        <v>0.0</v>
      </c>
      <c r="Y274" s="301">
        <v>0.0</v>
      </c>
      <c r="Z274" s="301">
        <v>0.0</v>
      </c>
      <c r="AA274" s="301">
        <v>0.0</v>
      </c>
      <c r="AB274" s="301">
        <v>0.0</v>
      </c>
      <c r="AC274" s="301">
        <v>0.0</v>
      </c>
      <c r="AD274" s="301">
        <v>0.0</v>
      </c>
      <c r="AE274" s="301">
        <v>0.0</v>
      </c>
      <c r="AF274" s="301">
        <v>0.0</v>
      </c>
      <c r="AG274" s="277">
        <f t="shared" si="93"/>
        <v>0</v>
      </c>
    </row>
    <row r="275" outlineLevel="1">
      <c r="A275" s="321" t="s">
        <v>396</v>
      </c>
      <c r="B275" s="301">
        <v>0.0</v>
      </c>
      <c r="C275" s="301">
        <v>0.0</v>
      </c>
      <c r="D275" s="301">
        <v>0.0</v>
      </c>
      <c r="E275" s="301">
        <v>0.0</v>
      </c>
      <c r="F275" s="301">
        <v>0.0</v>
      </c>
      <c r="G275" s="301">
        <v>0.0</v>
      </c>
      <c r="H275" s="301">
        <v>0.0</v>
      </c>
      <c r="I275" s="301">
        <v>0.0</v>
      </c>
      <c r="J275" s="301">
        <v>0.0</v>
      </c>
      <c r="K275" s="301">
        <v>0.0</v>
      </c>
      <c r="L275" s="301">
        <v>0.0</v>
      </c>
      <c r="M275" s="301">
        <v>0.0</v>
      </c>
      <c r="N275" s="301">
        <v>0.0</v>
      </c>
      <c r="O275" s="301">
        <v>0.0</v>
      </c>
      <c r="P275" s="301">
        <v>0.0</v>
      </c>
      <c r="Q275" s="301">
        <v>0.0</v>
      </c>
      <c r="R275" s="301">
        <v>0.0</v>
      </c>
      <c r="S275" s="301">
        <v>0.0</v>
      </c>
      <c r="T275" s="301">
        <v>0.0</v>
      </c>
      <c r="U275" s="301">
        <v>0.0</v>
      </c>
      <c r="V275" s="301">
        <v>0.0</v>
      </c>
      <c r="W275" s="301">
        <v>0.0</v>
      </c>
      <c r="X275" s="301">
        <v>0.0</v>
      </c>
      <c r="Y275" s="301">
        <v>0.0</v>
      </c>
      <c r="Z275" s="301">
        <v>0.0</v>
      </c>
      <c r="AA275" s="301">
        <v>0.0</v>
      </c>
      <c r="AB275" s="301">
        <v>0.0</v>
      </c>
      <c r="AC275" s="301">
        <v>0.0</v>
      </c>
      <c r="AD275" s="301">
        <v>0.0</v>
      </c>
      <c r="AE275" s="301">
        <v>0.0</v>
      </c>
      <c r="AF275" s="301">
        <v>0.0</v>
      </c>
      <c r="AG275" s="277">
        <f t="shared" si="93"/>
        <v>0</v>
      </c>
    </row>
    <row r="276" outlineLevel="1">
      <c r="A276" s="321" t="s">
        <v>397</v>
      </c>
      <c r="B276" s="301">
        <v>0.0</v>
      </c>
      <c r="C276" s="302">
        <v>0.0</v>
      </c>
      <c r="D276" s="302">
        <v>0.0</v>
      </c>
      <c r="E276" s="301">
        <v>0.0</v>
      </c>
      <c r="F276" s="301">
        <v>0.0</v>
      </c>
      <c r="G276" s="301">
        <v>0.0</v>
      </c>
      <c r="H276" s="301">
        <v>0.0</v>
      </c>
      <c r="I276" s="301">
        <v>0.0</v>
      </c>
      <c r="J276" s="301">
        <v>0.0</v>
      </c>
      <c r="K276" s="301">
        <v>0.0</v>
      </c>
      <c r="L276" s="301">
        <v>0.0</v>
      </c>
      <c r="M276" s="301">
        <v>0.0</v>
      </c>
      <c r="N276" s="301">
        <v>0.0</v>
      </c>
      <c r="O276" s="301">
        <v>0.0</v>
      </c>
      <c r="P276" s="301">
        <v>0.0</v>
      </c>
      <c r="Q276" s="301">
        <v>0.0</v>
      </c>
      <c r="R276" s="301">
        <v>0.0</v>
      </c>
      <c r="S276" s="301">
        <v>0.0</v>
      </c>
      <c r="T276" s="301">
        <v>0.0</v>
      </c>
      <c r="U276" s="301">
        <v>0.0</v>
      </c>
      <c r="V276" s="301">
        <v>0.0</v>
      </c>
      <c r="W276" s="301">
        <v>0.0</v>
      </c>
      <c r="X276" s="301">
        <v>0.0</v>
      </c>
      <c r="Y276" s="301">
        <v>0.0</v>
      </c>
      <c r="Z276" s="301">
        <v>0.0</v>
      </c>
      <c r="AA276" s="301">
        <v>0.0</v>
      </c>
      <c r="AB276" s="301">
        <v>0.0</v>
      </c>
      <c r="AC276" s="301">
        <v>0.0</v>
      </c>
      <c r="AD276" s="301">
        <v>0.0</v>
      </c>
      <c r="AE276" s="301">
        <v>0.0</v>
      </c>
      <c r="AF276" s="301">
        <v>0.0</v>
      </c>
      <c r="AG276" s="277">
        <f t="shared" si="93"/>
        <v>0</v>
      </c>
    </row>
    <row r="277" outlineLevel="1">
      <c r="A277" s="321" t="s">
        <v>398</v>
      </c>
      <c r="B277" s="301">
        <v>0.0</v>
      </c>
      <c r="C277" s="302">
        <v>0.0</v>
      </c>
      <c r="D277" s="302">
        <v>0.0</v>
      </c>
      <c r="E277" s="301">
        <v>0.0</v>
      </c>
      <c r="F277" s="301">
        <v>0.0</v>
      </c>
      <c r="G277" s="301">
        <v>0.0</v>
      </c>
      <c r="H277" s="301">
        <v>0.0</v>
      </c>
      <c r="I277" s="301">
        <v>0.0</v>
      </c>
      <c r="J277" s="301">
        <v>0.0</v>
      </c>
      <c r="K277" s="301">
        <v>0.0</v>
      </c>
      <c r="L277" s="301">
        <v>0.0</v>
      </c>
      <c r="M277" s="301">
        <v>0.0</v>
      </c>
      <c r="N277" s="301">
        <v>0.0</v>
      </c>
      <c r="O277" s="301">
        <v>0.0</v>
      </c>
      <c r="P277" s="301">
        <v>0.0</v>
      </c>
      <c r="Q277" s="301">
        <v>0.0</v>
      </c>
      <c r="R277" s="301">
        <v>0.0</v>
      </c>
      <c r="S277" s="301">
        <v>0.0</v>
      </c>
      <c r="T277" s="301">
        <v>0.0</v>
      </c>
      <c r="U277" s="301">
        <v>0.0</v>
      </c>
      <c r="V277" s="301">
        <v>0.0</v>
      </c>
      <c r="W277" s="301">
        <v>0.0</v>
      </c>
      <c r="X277" s="301">
        <v>0.0</v>
      </c>
      <c r="Y277" s="301">
        <v>0.0</v>
      </c>
      <c r="Z277" s="301">
        <v>0.0</v>
      </c>
      <c r="AA277" s="301">
        <v>0.0</v>
      </c>
      <c r="AB277" s="301">
        <v>0.0</v>
      </c>
      <c r="AC277" s="301">
        <v>0.0</v>
      </c>
      <c r="AD277" s="301">
        <v>0.0</v>
      </c>
      <c r="AE277" s="301">
        <v>0.0</v>
      </c>
      <c r="AF277" s="301">
        <v>0.0</v>
      </c>
      <c r="AG277" s="277">
        <f t="shared" si="93"/>
        <v>0</v>
      </c>
    </row>
    <row r="278">
      <c r="A278" s="322" t="s">
        <v>261</v>
      </c>
      <c r="B278" s="323">
        <f t="shared" ref="B278:AF278" si="94">SUM(B270:B277)</f>
        <v>0</v>
      </c>
      <c r="C278" s="323">
        <f t="shared" si="94"/>
        <v>0</v>
      </c>
      <c r="D278" s="323">
        <f t="shared" si="94"/>
        <v>0</v>
      </c>
      <c r="E278" s="323">
        <f t="shared" si="94"/>
        <v>0</v>
      </c>
      <c r="F278" s="323">
        <f t="shared" si="94"/>
        <v>0</v>
      </c>
      <c r="G278" s="323">
        <f t="shared" si="94"/>
        <v>0</v>
      </c>
      <c r="H278" s="323">
        <f t="shared" si="94"/>
        <v>0</v>
      </c>
      <c r="I278" s="323">
        <f t="shared" si="94"/>
        <v>0</v>
      </c>
      <c r="J278" s="323">
        <f t="shared" si="94"/>
        <v>0</v>
      </c>
      <c r="K278" s="323">
        <f t="shared" si="94"/>
        <v>0</v>
      </c>
      <c r="L278" s="323">
        <f t="shared" si="94"/>
        <v>0</v>
      </c>
      <c r="M278" s="323">
        <f t="shared" si="94"/>
        <v>0</v>
      </c>
      <c r="N278" s="323">
        <f t="shared" si="94"/>
        <v>0</v>
      </c>
      <c r="O278" s="323">
        <f t="shared" si="94"/>
        <v>0</v>
      </c>
      <c r="P278" s="323">
        <f t="shared" si="94"/>
        <v>0</v>
      </c>
      <c r="Q278" s="323">
        <f t="shared" si="94"/>
        <v>0</v>
      </c>
      <c r="R278" s="323">
        <f t="shared" si="94"/>
        <v>1</v>
      </c>
      <c r="S278" s="323">
        <f t="shared" si="94"/>
        <v>0</v>
      </c>
      <c r="T278" s="323">
        <f t="shared" si="94"/>
        <v>0</v>
      </c>
      <c r="U278" s="323">
        <f t="shared" si="94"/>
        <v>0</v>
      </c>
      <c r="V278" s="323">
        <f t="shared" si="94"/>
        <v>0</v>
      </c>
      <c r="W278" s="323">
        <f t="shared" si="94"/>
        <v>0</v>
      </c>
      <c r="X278" s="323">
        <f t="shared" si="94"/>
        <v>0</v>
      </c>
      <c r="Y278" s="323">
        <f t="shared" si="94"/>
        <v>3</v>
      </c>
      <c r="Z278" s="323">
        <f t="shared" si="94"/>
        <v>0</v>
      </c>
      <c r="AA278" s="323">
        <f t="shared" si="94"/>
        <v>0</v>
      </c>
      <c r="AB278" s="323">
        <f t="shared" si="94"/>
        <v>0</v>
      </c>
      <c r="AC278" s="323">
        <f t="shared" si="94"/>
        <v>0</v>
      </c>
      <c r="AD278" s="323">
        <f t="shared" si="94"/>
        <v>0</v>
      </c>
      <c r="AE278" s="323">
        <f t="shared" si="94"/>
        <v>0</v>
      </c>
      <c r="AF278" s="323">
        <f t="shared" si="94"/>
        <v>3</v>
      </c>
      <c r="AG278" s="277">
        <f t="shared" si="93"/>
        <v>7</v>
      </c>
    </row>
    <row r="279">
      <c r="A279" s="35"/>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0"/>
    </row>
    <row r="280">
      <c r="A280" s="321" t="s">
        <v>399</v>
      </c>
      <c r="B280" s="301">
        <v>0.0</v>
      </c>
      <c r="C280" s="302">
        <v>0.0</v>
      </c>
      <c r="D280" s="302">
        <v>0.0</v>
      </c>
      <c r="E280" s="301">
        <v>0.0</v>
      </c>
      <c r="F280" s="301">
        <v>0.0</v>
      </c>
      <c r="G280" s="301">
        <v>0.0</v>
      </c>
      <c r="H280" s="301">
        <v>1.0</v>
      </c>
      <c r="I280" s="301">
        <v>0.0</v>
      </c>
      <c r="J280" s="301">
        <v>0.0</v>
      </c>
      <c r="K280" s="301">
        <v>1.0</v>
      </c>
      <c r="L280" s="301">
        <v>2.0</v>
      </c>
      <c r="M280" s="301">
        <v>0.0</v>
      </c>
      <c r="N280" s="301">
        <v>1.0</v>
      </c>
      <c r="O280" s="301">
        <v>6.0</v>
      </c>
      <c r="P280" s="301">
        <v>0.0</v>
      </c>
      <c r="Q280" s="301">
        <v>1.0</v>
      </c>
      <c r="R280" s="301">
        <v>2.0</v>
      </c>
      <c r="S280" s="301">
        <v>0.0</v>
      </c>
      <c r="T280" s="301">
        <v>1.0</v>
      </c>
      <c r="U280" s="301">
        <v>1.0</v>
      </c>
      <c r="V280" s="301">
        <v>0.0</v>
      </c>
      <c r="W280" s="301">
        <v>0.0</v>
      </c>
      <c r="X280" s="301">
        <v>0.0</v>
      </c>
      <c r="Y280" s="301">
        <v>9.0</v>
      </c>
      <c r="Z280" s="301">
        <v>59.0</v>
      </c>
      <c r="AA280" s="301">
        <v>46.0</v>
      </c>
      <c r="AB280" s="301">
        <v>17.0</v>
      </c>
      <c r="AC280" s="301">
        <v>68.0</v>
      </c>
      <c r="AD280" s="301">
        <v>30.0</v>
      </c>
      <c r="AE280" s="301">
        <v>33.0</v>
      </c>
      <c r="AF280" s="301">
        <v>16.0</v>
      </c>
      <c r="AG280" s="277">
        <f t="shared" ref="AG280:AG282" si="95">SUM(B280:AF280)</f>
        <v>294</v>
      </c>
    </row>
    <row r="281">
      <c r="A281" s="321" t="s">
        <v>400</v>
      </c>
      <c r="B281" s="301">
        <v>0.0</v>
      </c>
      <c r="C281" s="302">
        <v>0.0</v>
      </c>
      <c r="D281" s="302">
        <v>0.0</v>
      </c>
      <c r="E281" s="301">
        <v>0.0</v>
      </c>
      <c r="F281" s="301">
        <v>0.0</v>
      </c>
      <c r="G281" s="301">
        <v>0.0</v>
      </c>
      <c r="H281" s="301">
        <v>0.0</v>
      </c>
      <c r="I281" s="301">
        <v>0.0</v>
      </c>
      <c r="J281" s="301">
        <v>0.0</v>
      </c>
      <c r="K281" s="301">
        <v>0.0</v>
      </c>
      <c r="L281" s="301">
        <v>0.0</v>
      </c>
      <c r="M281" s="301">
        <v>0.0</v>
      </c>
      <c r="N281" s="301">
        <v>0.0</v>
      </c>
      <c r="O281" s="301">
        <v>0.0</v>
      </c>
      <c r="P281" s="301">
        <v>0.0</v>
      </c>
      <c r="Q281" s="301">
        <v>0.0</v>
      </c>
      <c r="R281" s="301">
        <v>1.0</v>
      </c>
      <c r="S281" s="301">
        <v>0.0</v>
      </c>
      <c r="T281" s="301">
        <v>0.0</v>
      </c>
      <c r="U281" s="301">
        <v>0.0</v>
      </c>
      <c r="V281" s="301">
        <v>0.0</v>
      </c>
      <c r="W281" s="301">
        <v>0.0</v>
      </c>
      <c r="X281" s="301">
        <v>0.0</v>
      </c>
      <c r="Y281" s="301">
        <v>1.0</v>
      </c>
      <c r="Z281" s="301">
        <v>0.0</v>
      </c>
      <c r="AA281" s="301">
        <v>0.0</v>
      </c>
      <c r="AB281" s="301">
        <v>0.0</v>
      </c>
      <c r="AC281" s="301">
        <v>0.0</v>
      </c>
      <c r="AD281" s="301">
        <v>0.0</v>
      </c>
      <c r="AE281" s="301">
        <v>0.0</v>
      </c>
      <c r="AF281" s="301">
        <v>2.0</v>
      </c>
      <c r="AG281" s="277">
        <f t="shared" si="95"/>
        <v>4</v>
      </c>
    </row>
    <row r="282">
      <c r="A282" s="324" t="s">
        <v>245</v>
      </c>
      <c r="B282" s="323">
        <f t="shared" ref="B282:AF282" si="96">SUM(B280:B281)</f>
        <v>0</v>
      </c>
      <c r="C282" s="323">
        <f t="shared" si="96"/>
        <v>0</v>
      </c>
      <c r="D282" s="323">
        <f t="shared" si="96"/>
        <v>0</v>
      </c>
      <c r="E282" s="323">
        <f t="shared" si="96"/>
        <v>0</v>
      </c>
      <c r="F282" s="323">
        <f t="shared" si="96"/>
        <v>0</v>
      </c>
      <c r="G282" s="323">
        <f t="shared" si="96"/>
        <v>0</v>
      </c>
      <c r="H282" s="323">
        <f t="shared" si="96"/>
        <v>1</v>
      </c>
      <c r="I282" s="323">
        <f t="shared" si="96"/>
        <v>0</v>
      </c>
      <c r="J282" s="323">
        <f t="shared" si="96"/>
        <v>0</v>
      </c>
      <c r="K282" s="323">
        <f t="shared" si="96"/>
        <v>1</v>
      </c>
      <c r="L282" s="323">
        <f t="shared" si="96"/>
        <v>2</v>
      </c>
      <c r="M282" s="323">
        <f t="shared" si="96"/>
        <v>0</v>
      </c>
      <c r="N282" s="323">
        <f t="shared" si="96"/>
        <v>1</v>
      </c>
      <c r="O282" s="323">
        <f t="shared" si="96"/>
        <v>6</v>
      </c>
      <c r="P282" s="323">
        <f t="shared" si="96"/>
        <v>0</v>
      </c>
      <c r="Q282" s="323">
        <f t="shared" si="96"/>
        <v>1</v>
      </c>
      <c r="R282" s="323">
        <f t="shared" si="96"/>
        <v>3</v>
      </c>
      <c r="S282" s="323">
        <f t="shared" si="96"/>
        <v>0</v>
      </c>
      <c r="T282" s="323">
        <f t="shared" si="96"/>
        <v>1</v>
      </c>
      <c r="U282" s="323">
        <f t="shared" si="96"/>
        <v>1</v>
      </c>
      <c r="V282" s="323">
        <f t="shared" si="96"/>
        <v>0</v>
      </c>
      <c r="W282" s="323">
        <f t="shared" si="96"/>
        <v>0</v>
      </c>
      <c r="X282" s="323">
        <f t="shared" si="96"/>
        <v>0</v>
      </c>
      <c r="Y282" s="323">
        <f t="shared" si="96"/>
        <v>10</v>
      </c>
      <c r="Z282" s="323">
        <f t="shared" si="96"/>
        <v>59</v>
      </c>
      <c r="AA282" s="323">
        <f t="shared" si="96"/>
        <v>46</v>
      </c>
      <c r="AB282" s="323">
        <f t="shared" si="96"/>
        <v>17</v>
      </c>
      <c r="AC282" s="323">
        <f t="shared" si="96"/>
        <v>68</v>
      </c>
      <c r="AD282" s="323">
        <f t="shared" si="96"/>
        <v>30</v>
      </c>
      <c r="AE282" s="323">
        <f t="shared" si="96"/>
        <v>33</v>
      </c>
      <c r="AF282" s="323">
        <f t="shared" si="96"/>
        <v>18</v>
      </c>
      <c r="AG282" s="277">
        <f t="shared" si="95"/>
        <v>298</v>
      </c>
    </row>
    <row r="283">
      <c r="A283" s="35"/>
      <c r="B283" s="24"/>
      <c r="C283" s="24"/>
      <c r="D283" s="24"/>
      <c r="E283" s="24"/>
      <c r="F283" s="24"/>
      <c r="G283" s="24"/>
      <c r="H283" s="24"/>
      <c r="I283" s="327"/>
      <c r="J283" s="327"/>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0"/>
    </row>
    <row r="284">
      <c r="A284" s="274" t="s">
        <v>401</v>
      </c>
      <c r="B284" s="24"/>
      <c r="C284" s="24"/>
      <c r="D284" s="24"/>
      <c r="E284" s="24"/>
      <c r="F284" s="24"/>
      <c r="G284" s="24"/>
      <c r="H284" s="24"/>
      <c r="I284" s="327"/>
      <c r="J284" s="327"/>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0"/>
    </row>
    <row r="285">
      <c r="A285" s="321" t="s">
        <v>372</v>
      </c>
      <c r="B285" s="328">
        <v>0.0</v>
      </c>
      <c r="C285" s="328">
        <v>0.0</v>
      </c>
      <c r="D285" s="328">
        <v>0.0</v>
      </c>
      <c r="E285" s="328">
        <v>0.0</v>
      </c>
      <c r="F285" s="328">
        <v>0.0</v>
      </c>
      <c r="G285" s="328">
        <v>0.0</v>
      </c>
      <c r="H285" s="311">
        <v>210.94</v>
      </c>
      <c r="I285" s="311">
        <v>0.0</v>
      </c>
      <c r="J285" s="311">
        <v>0.0</v>
      </c>
      <c r="K285" s="311">
        <v>210.94</v>
      </c>
      <c r="L285" s="311">
        <v>430.0</v>
      </c>
      <c r="M285" s="311">
        <v>0.0</v>
      </c>
      <c r="N285" s="311">
        <v>225.72</v>
      </c>
      <c r="O285" s="311">
        <v>1387.33</v>
      </c>
      <c r="P285" s="311">
        <v>0.0</v>
      </c>
      <c r="Q285" s="311">
        <v>229.0</v>
      </c>
      <c r="R285" s="311">
        <v>443.77</v>
      </c>
      <c r="S285" s="311">
        <v>0.0</v>
      </c>
      <c r="T285" s="311">
        <v>369.15</v>
      </c>
      <c r="U285" s="329">
        <v>363.16</v>
      </c>
      <c r="V285" s="311">
        <v>0.0</v>
      </c>
      <c r="W285" s="311">
        <v>0.0</v>
      </c>
      <c r="X285" s="311">
        <v>0.0</v>
      </c>
      <c r="Y285" s="311">
        <v>2285.88</v>
      </c>
      <c r="Z285" s="311">
        <v>14217.31</v>
      </c>
      <c r="AA285" s="311">
        <v>12846.68</v>
      </c>
      <c r="AB285" s="311">
        <v>4715.43</v>
      </c>
      <c r="AC285" s="311">
        <v>17414.36</v>
      </c>
      <c r="AD285" s="311">
        <v>7410.97</v>
      </c>
      <c r="AE285" s="311">
        <v>8622.0</v>
      </c>
      <c r="AF285" s="311">
        <v>3708.39</v>
      </c>
      <c r="AG285" s="136">
        <f t="shared" ref="AG285:AG286" si="98">SUM(B285:AF285)</f>
        <v>75091.03</v>
      </c>
    </row>
    <row r="286">
      <c r="A286" s="324" t="s">
        <v>373</v>
      </c>
      <c r="B286" s="325">
        <f t="shared" ref="B286:AF286" si="97">sum(B285)</f>
        <v>0</v>
      </c>
      <c r="C286" s="325">
        <f t="shared" si="97"/>
        <v>0</v>
      </c>
      <c r="D286" s="325">
        <f t="shared" si="97"/>
        <v>0</v>
      </c>
      <c r="E286" s="325">
        <f t="shared" si="97"/>
        <v>0</v>
      </c>
      <c r="F286" s="325">
        <f t="shared" si="97"/>
        <v>0</v>
      </c>
      <c r="G286" s="325">
        <f t="shared" si="97"/>
        <v>0</v>
      </c>
      <c r="H286" s="325">
        <f t="shared" si="97"/>
        <v>210.94</v>
      </c>
      <c r="I286" s="325">
        <f t="shared" si="97"/>
        <v>0</v>
      </c>
      <c r="J286" s="325">
        <f t="shared" si="97"/>
        <v>0</v>
      </c>
      <c r="K286" s="325">
        <f t="shared" si="97"/>
        <v>210.94</v>
      </c>
      <c r="L286" s="325">
        <f t="shared" si="97"/>
        <v>430</v>
      </c>
      <c r="M286" s="325">
        <f t="shared" si="97"/>
        <v>0</v>
      </c>
      <c r="N286" s="325">
        <f t="shared" si="97"/>
        <v>225.72</v>
      </c>
      <c r="O286" s="325">
        <f t="shared" si="97"/>
        <v>1387.33</v>
      </c>
      <c r="P286" s="325">
        <f t="shared" si="97"/>
        <v>0</v>
      </c>
      <c r="Q286" s="325">
        <f t="shared" si="97"/>
        <v>229</v>
      </c>
      <c r="R286" s="325">
        <f t="shared" si="97"/>
        <v>443.77</v>
      </c>
      <c r="S286" s="325">
        <f t="shared" si="97"/>
        <v>0</v>
      </c>
      <c r="T286" s="325">
        <f t="shared" si="97"/>
        <v>369.15</v>
      </c>
      <c r="U286" s="325">
        <f t="shared" si="97"/>
        <v>363.16</v>
      </c>
      <c r="V286" s="325">
        <f t="shared" si="97"/>
        <v>0</v>
      </c>
      <c r="W286" s="325">
        <f t="shared" si="97"/>
        <v>0</v>
      </c>
      <c r="X286" s="325">
        <f t="shared" si="97"/>
        <v>0</v>
      </c>
      <c r="Y286" s="325">
        <f t="shared" si="97"/>
        <v>2285.88</v>
      </c>
      <c r="Z286" s="325">
        <f t="shared" si="97"/>
        <v>14217.31</v>
      </c>
      <c r="AA286" s="325">
        <f t="shared" si="97"/>
        <v>12846.68</v>
      </c>
      <c r="AB286" s="325">
        <f t="shared" si="97"/>
        <v>4715.43</v>
      </c>
      <c r="AC286" s="325">
        <f t="shared" si="97"/>
        <v>17414.36</v>
      </c>
      <c r="AD286" s="325">
        <f t="shared" si="97"/>
        <v>7410.97</v>
      </c>
      <c r="AE286" s="325">
        <f t="shared" si="97"/>
        <v>8622</v>
      </c>
      <c r="AF286" s="325">
        <f t="shared" si="97"/>
        <v>3708.39</v>
      </c>
      <c r="AG286" s="136">
        <f t="shared" si="98"/>
        <v>75091.03</v>
      </c>
    </row>
    <row r="287">
      <c r="A287" s="35"/>
      <c r="B287" s="24"/>
      <c r="C287" s="24"/>
      <c r="D287" s="24"/>
      <c r="E287" s="24"/>
      <c r="F287" s="24"/>
      <c r="G287" s="24"/>
      <c r="H287" s="24"/>
      <c r="I287" s="327"/>
      <c r="J287" s="327"/>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0"/>
    </row>
    <row r="288">
      <c r="A288" s="321" t="s">
        <v>374</v>
      </c>
      <c r="B288" s="328">
        <v>0.0</v>
      </c>
      <c r="C288" s="328">
        <v>0.0</v>
      </c>
      <c r="D288" s="328">
        <v>0.0</v>
      </c>
      <c r="E288" s="328">
        <v>0.0</v>
      </c>
      <c r="F288" s="328">
        <v>0.0</v>
      </c>
      <c r="G288" s="328">
        <v>0.0</v>
      </c>
      <c r="H288" s="328">
        <v>0.0</v>
      </c>
      <c r="I288" s="311">
        <v>0.0</v>
      </c>
      <c r="J288" s="311">
        <v>0.0</v>
      </c>
      <c r="K288" s="311">
        <v>0.0</v>
      </c>
      <c r="L288" s="311">
        <v>0.0</v>
      </c>
      <c r="M288" s="311">
        <v>0.0</v>
      </c>
      <c r="N288" s="311">
        <v>0.0</v>
      </c>
      <c r="O288" s="311">
        <v>0.0</v>
      </c>
      <c r="P288" s="311">
        <v>0.0</v>
      </c>
      <c r="Q288" s="311">
        <v>0.0</v>
      </c>
      <c r="R288" s="311">
        <v>18.2</v>
      </c>
      <c r="S288" s="311">
        <v>0.0</v>
      </c>
      <c r="T288" s="311">
        <v>0.0</v>
      </c>
      <c r="U288" s="311">
        <v>0.0</v>
      </c>
      <c r="V288" s="311">
        <v>0.0</v>
      </c>
      <c r="W288" s="311">
        <v>0.0</v>
      </c>
      <c r="X288" s="311">
        <v>0.0</v>
      </c>
      <c r="Y288" s="326">
        <v>245.0</v>
      </c>
      <c r="Z288" s="311">
        <v>0.0</v>
      </c>
      <c r="AA288" s="311">
        <v>0.0</v>
      </c>
      <c r="AB288" s="311">
        <v>0.0</v>
      </c>
      <c r="AC288" s="311">
        <v>0.0</v>
      </c>
      <c r="AD288" s="311">
        <v>0.0</v>
      </c>
      <c r="AE288" s="311">
        <v>0.0</v>
      </c>
      <c r="AF288" s="311">
        <f>102-20</f>
        <v>82</v>
      </c>
      <c r="AG288" s="136">
        <f t="shared" ref="AG288:AG291" si="99">SUM(B288:AF288)</f>
        <v>345.2</v>
      </c>
    </row>
    <row r="289">
      <c r="A289" s="321" t="s">
        <v>375</v>
      </c>
      <c r="B289" s="328">
        <v>0.0</v>
      </c>
      <c r="C289" s="328">
        <v>0.0</v>
      </c>
      <c r="D289" s="328">
        <v>0.0</v>
      </c>
      <c r="E289" s="328">
        <v>0.0</v>
      </c>
      <c r="F289" s="328">
        <v>0.0</v>
      </c>
      <c r="G289" s="328">
        <v>0.0</v>
      </c>
      <c r="H289" s="328">
        <v>0.0</v>
      </c>
      <c r="I289" s="311">
        <v>0.0</v>
      </c>
      <c r="J289" s="311">
        <v>0.0</v>
      </c>
      <c r="K289" s="311">
        <v>0.0</v>
      </c>
      <c r="L289" s="311">
        <v>0.0</v>
      </c>
      <c r="M289" s="311">
        <v>0.0</v>
      </c>
      <c r="N289" s="311">
        <v>0.0</v>
      </c>
      <c r="O289" s="311">
        <v>0.0</v>
      </c>
      <c r="P289" s="311">
        <v>0.0</v>
      </c>
      <c r="Q289" s="311">
        <v>0.0</v>
      </c>
      <c r="R289" s="311">
        <v>0.0</v>
      </c>
      <c r="S289" s="311">
        <v>0.0</v>
      </c>
      <c r="T289" s="311">
        <v>0.0</v>
      </c>
      <c r="U289" s="311">
        <v>0.0</v>
      </c>
      <c r="V289" s="311">
        <v>0.0</v>
      </c>
      <c r="W289" s="311">
        <v>0.0</v>
      </c>
      <c r="X289" s="311">
        <v>0.0</v>
      </c>
      <c r="Y289" s="311">
        <v>35.0</v>
      </c>
      <c r="Z289" s="311">
        <v>0.0</v>
      </c>
      <c r="AA289" s="311">
        <v>0.0</v>
      </c>
      <c r="AB289" s="311">
        <v>0.0</v>
      </c>
      <c r="AC289" s="311">
        <v>0.0</v>
      </c>
      <c r="AD289" s="311">
        <v>0.0</v>
      </c>
      <c r="AE289" s="311">
        <v>0.0</v>
      </c>
      <c r="AF289" s="311">
        <v>20.0</v>
      </c>
      <c r="AG289" s="136">
        <f t="shared" si="99"/>
        <v>55</v>
      </c>
    </row>
    <row r="290">
      <c r="A290" s="321" t="s">
        <v>376</v>
      </c>
      <c r="B290" s="328">
        <f t="shared" ref="B290:AF290" si="100">B288*0.22</f>
        <v>0</v>
      </c>
      <c r="C290" s="328">
        <f t="shared" si="100"/>
        <v>0</v>
      </c>
      <c r="D290" s="328">
        <f t="shared" si="100"/>
        <v>0</v>
      </c>
      <c r="E290" s="328">
        <f t="shared" si="100"/>
        <v>0</v>
      </c>
      <c r="F290" s="328">
        <f t="shared" si="100"/>
        <v>0</v>
      </c>
      <c r="G290" s="328">
        <f t="shared" si="100"/>
        <v>0</v>
      </c>
      <c r="H290" s="328">
        <f t="shared" si="100"/>
        <v>0</v>
      </c>
      <c r="I290" s="328">
        <f t="shared" si="100"/>
        <v>0</v>
      </c>
      <c r="J290" s="328">
        <f t="shared" si="100"/>
        <v>0</v>
      </c>
      <c r="K290" s="328">
        <f t="shared" si="100"/>
        <v>0</v>
      </c>
      <c r="L290" s="328">
        <f t="shared" si="100"/>
        <v>0</v>
      </c>
      <c r="M290" s="328">
        <f t="shared" si="100"/>
        <v>0</v>
      </c>
      <c r="N290" s="328">
        <f t="shared" si="100"/>
        <v>0</v>
      </c>
      <c r="O290" s="328">
        <f t="shared" si="100"/>
        <v>0</v>
      </c>
      <c r="P290" s="328">
        <f t="shared" si="100"/>
        <v>0</v>
      </c>
      <c r="Q290" s="328">
        <f t="shared" si="100"/>
        <v>0</v>
      </c>
      <c r="R290" s="328">
        <f t="shared" si="100"/>
        <v>4.004</v>
      </c>
      <c r="S290" s="328">
        <f t="shared" si="100"/>
        <v>0</v>
      </c>
      <c r="T290" s="328">
        <f t="shared" si="100"/>
        <v>0</v>
      </c>
      <c r="U290" s="328">
        <f t="shared" si="100"/>
        <v>0</v>
      </c>
      <c r="V290" s="328">
        <f t="shared" si="100"/>
        <v>0</v>
      </c>
      <c r="W290" s="328">
        <f t="shared" si="100"/>
        <v>0</v>
      </c>
      <c r="X290" s="328">
        <f t="shared" si="100"/>
        <v>0</v>
      </c>
      <c r="Y290" s="328">
        <f t="shared" si="100"/>
        <v>53.9</v>
      </c>
      <c r="Z290" s="328">
        <f t="shared" si="100"/>
        <v>0</v>
      </c>
      <c r="AA290" s="328">
        <f t="shared" si="100"/>
        <v>0</v>
      </c>
      <c r="AB290" s="328">
        <f t="shared" si="100"/>
        <v>0</v>
      </c>
      <c r="AC290" s="328">
        <f t="shared" si="100"/>
        <v>0</v>
      </c>
      <c r="AD290" s="328">
        <f t="shared" si="100"/>
        <v>0</v>
      </c>
      <c r="AE290" s="328">
        <f t="shared" si="100"/>
        <v>0</v>
      </c>
      <c r="AF290" s="328">
        <f t="shared" si="100"/>
        <v>18.04</v>
      </c>
      <c r="AG290" s="136">
        <f t="shared" si="99"/>
        <v>75.944</v>
      </c>
    </row>
    <row r="291">
      <c r="A291" s="324" t="s">
        <v>377</v>
      </c>
      <c r="B291" s="325">
        <f t="shared" ref="B291:AF291" si="101">SUM(B288+B289)</f>
        <v>0</v>
      </c>
      <c r="C291" s="325">
        <f t="shared" si="101"/>
        <v>0</v>
      </c>
      <c r="D291" s="325">
        <f t="shared" si="101"/>
        <v>0</v>
      </c>
      <c r="E291" s="325">
        <f t="shared" si="101"/>
        <v>0</v>
      </c>
      <c r="F291" s="325">
        <f t="shared" si="101"/>
        <v>0</v>
      </c>
      <c r="G291" s="325">
        <f t="shared" si="101"/>
        <v>0</v>
      </c>
      <c r="H291" s="325">
        <f t="shared" si="101"/>
        <v>0</v>
      </c>
      <c r="I291" s="325">
        <f t="shared" si="101"/>
        <v>0</v>
      </c>
      <c r="J291" s="325">
        <f t="shared" si="101"/>
        <v>0</v>
      </c>
      <c r="K291" s="325">
        <f t="shared" si="101"/>
        <v>0</v>
      </c>
      <c r="L291" s="325">
        <f t="shared" si="101"/>
        <v>0</v>
      </c>
      <c r="M291" s="325">
        <f t="shared" si="101"/>
        <v>0</v>
      </c>
      <c r="N291" s="325">
        <f t="shared" si="101"/>
        <v>0</v>
      </c>
      <c r="O291" s="325">
        <f t="shared" si="101"/>
        <v>0</v>
      </c>
      <c r="P291" s="325">
        <f t="shared" si="101"/>
        <v>0</v>
      </c>
      <c r="Q291" s="325">
        <f t="shared" si="101"/>
        <v>0</v>
      </c>
      <c r="R291" s="325">
        <f t="shared" si="101"/>
        <v>18.2</v>
      </c>
      <c r="S291" s="325">
        <f t="shared" si="101"/>
        <v>0</v>
      </c>
      <c r="T291" s="325">
        <f t="shared" si="101"/>
        <v>0</v>
      </c>
      <c r="U291" s="325">
        <f t="shared" si="101"/>
        <v>0</v>
      </c>
      <c r="V291" s="325">
        <f t="shared" si="101"/>
        <v>0</v>
      </c>
      <c r="W291" s="325">
        <f t="shared" si="101"/>
        <v>0</v>
      </c>
      <c r="X291" s="325">
        <f t="shared" si="101"/>
        <v>0</v>
      </c>
      <c r="Y291" s="325">
        <f t="shared" si="101"/>
        <v>280</v>
      </c>
      <c r="Z291" s="325">
        <f t="shared" si="101"/>
        <v>0</v>
      </c>
      <c r="AA291" s="325">
        <f t="shared" si="101"/>
        <v>0</v>
      </c>
      <c r="AB291" s="325">
        <f t="shared" si="101"/>
        <v>0</v>
      </c>
      <c r="AC291" s="325">
        <f t="shared" si="101"/>
        <v>0</v>
      </c>
      <c r="AD291" s="325">
        <f t="shared" si="101"/>
        <v>0</v>
      </c>
      <c r="AE291" s="325">
        <f t="shared" si="101"/>
        <v>0</v>
      </c>
      <c r="AF291" s="325">
        <f t="shared" si="101"/>
        <v>102</v>
      </c>
      <c r="AG291" s="136">
        <f t="shared" si="99"/>
        <v>400.2</v>
      </c>
    </row>
    <row r="292">
      <c r="A292" s="35"/>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0"/>
    </row>
    <row r="293">
      <c r="A293" s="35"/>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0"/>
    </row>
    <row r="294">
      <c r="A294" s="274" t="s">
        <v>403</v>
      </c>
      <c r="B294" s="320"/>
      <c r="C294" s="320"/>
      <c r="D294" s="320"/>
      <c r="E294" s="320"/>
      <c r="F294" s="320"/>
      <c r="G294" s="320"/>
      <c r="H294" s="320"/>
      <c r="I294" s="320"/>
      <c r="J294" s="320"/>
      <c r="K294" s="320"/>
      <c r="L294" s="320"/>
      <c r="M294" s="320"/>
      <c r="N294" s="320"/>
      <c r="O294" s="320"/>
      <c r="P294" s="320"/>
      <c r="Q294" s="320"/>
      <c r="R294" s="320"/>
      <c r="S294" s="320"/>
      <c r="T294" s="320"/>
      <c r="U294" s="320"/>
      <c r="V294" s="320"/>
      <c r="W294" s="320"/>
      <c r="X294" s="320"/>
      <c r="Y294" s="320"/>
      <c r="Z294" s="320"/>
      <c r="AA294" s="320"/>
      <c r="AB294" s="320"/>
      <c r="AC294" s="320"/>
      <c r="AD294" s="320"/>
      <c r="AE294" s="320"/>
      <c r="AF294" s="320"/>
      <c r="AG294" s="20"/>
    </row>
    <row r="295">
      <c r="A295" s="321" t="s">
        <v>298</v>
      </c>
      <c r="B295" s="335"/>
      <c r="C295" s="335"/>
      <c r="D295" s="335"/>
      <c r="E295" s="335"/>
      <c r="F295" s="335"/>
      <c r="G295" s="335"/>
      <c r="H295" s="335"/>
      <c r="I295" s="335"/>
      <c r="J295" s="335"/>
      <c r="K295" s="335"/>
      <c r="L295" s="335"/>
      <c r="M295" s="335"/>
      <c r="N295" s="335"/>
      <c r="O295" s="335"/>
      <c r="P295" s="335"/>
      <c r="Q295" s="335"/>
      <c r="R295" s="335"/>
      <c r="S295" s="335"/>
      <c r="T295" s="335"/>
      <c r="U295" s="335"/>
      <c r="V295" s="335"/>
      <c r="W295" s="335"/>
      <c r="X295" s="335"/>
      <c r="Y295" s="335"/>
      <c r="Z295" s="335"/>
      <c r="AA295" s="335"/>
      <c r="AB295" s="335"/>
      <c r="AC295" s="335"/>
      <c r="AD295" s="335"/>
      <c r="AE295" s="335"/>
      <c r="AF295" s="335"/>
      <c r="AG295" s="291"/>
    </row>
    <row r="296" outlineLevel="1">
      <c r="A296" s="321" t="s">
        <v>405</v>
      </c>
      <c r="B296" s="301">
        <v>0.0</v>
      </c>
      <c r="C296" s="301">
        <v>0.0</v>
      </c>
      <c r="D296" s="301">
        <v>1.0</v>
      </c>
      <c r="E296" s="301">
        <v>1.0</v>
      </c>
      <c r="F296" s="301">
        <v>0.0</v>
      </c>
      <c r="G296" s="301">
        <v>0.0</v>
      </c>
      <c r="H296" s="301">
        <v>0.0</v>
      </c>
      <c r="I296" s="301">
        <v>0.0</v>
      </c>
      <c r="J296" s="301">
        <v>0.0</v>
      </c>
      <c r="K296" s="301">
        <v>0.0</v>
      </c>
      <c r="L296" s="301">
        <v>0.0</v>
      </c>
      <c r="M296" s="301">
        <v>0.0</v>
      </c>
      <c r="N296" s="301">
        <v>0.0</v>
      </c>
      <c r="O296" s="301">
        <v>0.0</v>
      </c>
      <c r="P296" s="301">
        <v>0.0</v>
      </c>
      <c r="Q296" s="301">
        <v>0.0</v>
      </c>
      <c r="R296" s="301">
        <v>0.0</v>
      </c>
      <c r="S296" s="301">
        <v>0.0</v>
      </c>
      <c r="T296" s="301">
        <v>0.0</v>
      </c>
      <c r="U296" s="301">
        <v>2.0</v>
      </c>
      <c r="V296" s="301">
        <v>1.0</v>
      </c>
      <c r="W296" s="301">
        <v>0.0</v>
      </c>
      <c r="X296" s="301">
        <v>0.0</v>
      </c>
      <c r="Y296" s="301">
        <v>0.0</v>
      </c>
      <c r="Z296" s="301">
        <v>6.0</v>
      </c>
      <c r="AA296" s="301">
        <v>0.0</v>
      </c>
      <c r="AB296" s="301">
        <v>0.0</v>
      </c>
      <c r="AC296" s="301">
        <v>0.0</v>
      </c>
      <c r="AD296" s="301">
        <v>0.0</v>
      </c>
      <c r="AE296" s="301">
        <v>0.0</v>
      </c>
      <c r="AF296" s="301">
        <v>0.0</v>
      </c>
      <c r="AG296" s="277">
        <f t="shared" ref="AG296:AG299" si="102">SUM(B296:AF296)</f>
        <v>11</v>
      </c>
    </row>
    <row r="297" outlineLevel="1">
      <c r="A297" s="321" t="s">
        <v>406</v>
      </c>
      <c r="B297" s="301">
        <v>0.0</v>
      </c>
      <c r="C297" s="301">
        <v>0.0</v>
      </c>
      <c r="D297" s="301">
        <v>0.0</v>
      </c>
      <c r="E297" s="301">
        <v>0.0</v>
      </c>
      <c r="F297" s="301">
        <v>0.0</v>
      </c>
      <c r="G297" s="301">
        <v>0.0</v>
      </c>
      <c r="H297" s="301">
        <v>0.0</v>
      </c>
      <c r="I297" s="301">
        <v>0.0</v>
      </c>
      <c r="J297" s="301">
        <v>0.0</v>
      </c>
      <c r="K297" s="301">
        <v>0.0</v>
      </c>
      <c r="L297" s="301">
        <v>0.0</v>
      </c>
      <c r="M297" s="301">
        <v>0.0</v>
      </c>
      <c r="N297" s="301">
        <v>0.0</v>
      </c>
      <c r="O297" s="301">
        <v>0.0</v>
      </c>
      <c r="P297" s="301">
        <v>0.0</v>
      </c>
      <c r="Q297" s="301">
        <v>0.0</v>
      </c>
      <c r="R297" s="301">
        <v>0.0</v>
      </c>
      <c r="S297" s="301">
        <v>0.0</v>
      </c>
      <c r="T297" s="301">
        <v>0.0</v>
      </c>
      <c r="U297" s="301">
        <v>0.0</v>
      </c>
      <c r="V297" s="301">
        <v>0.0</v>
      </c>
      <c r="W297" s="301">
        <v>0.0</v>
      </c>
      <c r="X297" s="301">
        <v>0.0</v>
      </c>
      <c r="Y297" s="301">
        <v>0.0</v>
      </c>
      <c r="Z297" s="301">
        <v>1.0</v>
      </c>
      <c r="AA297" s="301">
        <v>0.0</v>
      </c>
      <c r="AB297" s="301">
        <v>0.0</v>
      </c>
      <c r="AC297" s="301">
        <v>0.0</v>
      </c>
      <c r="AD297" s="301">
        <v>0.0</v>
      </c>
      <c r="AE297" s="301">
        <v>0.0</v>
      </c>
      <c r="AF297" s="301">
        <v>0.0</v>
      </c>
      <c r="AG297" s="277">
        <f t="shared" si="102"/>
        <v>1</v>
      </c>
    </row>
    <row r="298" outlineLevel="1">
      <c r="A298" s="321" t="s">
        <v>407</v>
      </c>
      <c r="B298" s="301">
        <v>0.0</v>
      </c>
      <c r="C298" s="302">
        <v>0.0</v>
      </c>
      <c r="D298" s="302">
        <v>0.0</v>
      </c>
      <c r="E298" s="301">
        <v>0.0</v>
      </c>
      <c r="F298" s="301">
        <v>1.0</v>
      </c>
      <c r="G298" s="301">
        <v>0.0</v>
      </c>
      <c r="H298" s="301">
        <v>0.0</v>
      </c>
      <c r="I298" s="301">
        <v>0.0</v>
      </c>
      <c r="J298" s="301">
        <v>0.0</v>
      </c>
      <c r="K298" s="301">
        <v>0.0</v>
      </c>
      <c r="L298" s="301">
        <v>0.0</v>
      </c>
      <c r="M298" s="301">
        <v>0.0</v>
      </c>
      <c r="N298" s="301">
        <v>0.0</v>
      </c>
      <c r="O298" s="301">
        <v>0.0</v>
      </c>
      <c r="P298" s="301">
        <v>0.0</v>
      </c>
      <c r="Q298" s="301">
        <v>0.0</v>
      </c>
      <c r="R298" s="301">
        <v>0.0</v>
      </c>
      <c r="S298" s="301">
        <v>0.0</v>
      </c>
      <c r="T298" s="301">
        <v>0.0</v>
      </c>
      <c r="U298" s="301">
        <v>0.0</v>
      </c>
      <c r="V298" s="301">
        <v>0.0</v>
      </c>
      <c r="W298" s="301">
        <v>0.0</v>
      </c>
      <c r="X298" s="301">
        <v>0.0</v>
      </c>
      <c r="Y298" s="301">
        <v>0.0</v>
      </c>
      <c r="Z298" s="301">
        <v>14.0</v>
      </c>
      <c r="AA298" s="301">
        <v>0.0</v>
      </c>
      <c r="AB298" s="301">
        <v>0.0</v>
      </c>
      <c r="AC298" s="301">
        <v>0.0</v>
      </c>
      <c r="AD298" s="301">
        <v>0.0</v>
      </c>
      <c r="AE298" s="301">
        <v>0.0</v>
      </c>
      <c r="AF298" s="301">
        <v>0.0</v>
      </c>
      <c r="AG298" s="277">
        <f t="shared" si="102"/>
        <v>15</v>
      </c>
    </row>
    <row r="299" outlineLevel="1">
      <c r="A299" s="321" t="s">
        <v>408</v>
      </c>
      <c r="B299" s="301">
        <v>0.0</v>
      </c>
      <c r="C299" s="302">
        <v>0.0</v>
      </c>
      <c r="D299" s="302">
        <v>0.0</v>
      </c>
      <c r="E299" s="301">
        <v>0.0</v>
      </c>
      <c r="F299" s="301">
        <v>0.0</v>
      </c>
      <c r="G299" s="301">
        <v>0.0</v>
      </c>
      <c r="H299" s="301">
        <v>0.0</v>
      </c>
      <c r="I299" s="301">
        <v>0.0</v>
      </c>
      <c r="J299" s="301">
        <v>0.0</v>
      </c>
      <c r="K299" s="301">
        <v>0.0</v>
      </c>
      <c r="L299" s="301">
        <v>0.0</v>
      </c>
      <c r="M299" s="301">
        <v>0.0</v>
      </c>
      <c r="N299" s="301">
        <v>0.0</v>
      </c>
      <c r="O299" s="301">
        <v>0.0</v>
      </c>
      <c r="P299" s="301">
        <v>0.0</v>
      </c>
      <c r="Q299" s="301">
        <v>0.0</v>
      </c>
      <c r="R299" s="301">
        <v>0.0</v>
      </c>
      <c r="S299" s="301">
        <v>0.0</v>
      </c>
      <c r="T299" s="301">
        <v>0.0</v>
      </c>
      <c r="U299" s="301">
        <v>0.0</v>
      </c>
      <c r="V299" s="301">
        <v>0.0</v>
      </c>
      <c r="W299" s="301">
        <v>0.0</v>
      </c>
      <c r="X299" s="301">
        <v>0.0</v>
      </c>
      <c r="Y299" s="301">
        <v>0.0</v>
      </c>
      <c r="Z299" s="301">
        <v>1.0</v>
      </c>
      <c r="AA299" s="301">
        <v>0.0</v>
      </c>
      <c r="AB299" s="301">
        <v>0.0</v>
      </c>
      <c r="AC299" s="301">
        <v>0.0</v>
      </c>
      <c r="AD299" s="301">
        <v>0.0</v>
      </c>
      <c r="AE299" s="301">
        <v>0.0</v>
      </c>
      <c r="AF299" s="301">
        <v>0.0</v>
      </c>
      <c r="AG299" s="277">
        <f t="shared" si="102"/>
        <v>1</v>
      </c>
    </row>
    <row r="300">
      <c r="A300" s="321" t="s">
        <v>409</v>
      </c>
      <c r="B300" s="335"/>
      <c r="C300" s="335"/>
      <c r="D300" s="335"/>
      <c r="E300" s="335"/>
      <c r="F300" s="335"/>
      <c r="G300" s="335"/>
      <c r="H300" s="335"/>
      <c r="I300" s="335"/>
      <c r="J300" s="335"/>
      <c r="K300" s="335"/>
      <c r="L300" s="335"/>
      <c r="M300" s="335"/>
      <c r="N300" s="335"/>
      <c r="O300" s="335"/>
      <c r="P300" s="335"/>
      <c r="Q300" s="335"/>
      <c r="R300" s="335"/>
      <c r="S300" s="335"/>
      <c r="T300" s="335"/>
      <c r="U300" s="335"/>
      <c r="V300" s="335"/>
      <c r="W300" s="335"/>
      <c r="X300" s="335"/>
      <c r="Y300" s="335"/>
      <c r="Z300" s="335"/>
      <c r="AA300" s="335"/>
      <c r="AB300" s="335"/>
      <c r="AC300" s="335"/>
      <c r="AD300" s="335"/>
      <c r="AE300" s="335"/>
      <c r="AF300" s="335"/>
      <c r="AG300" s="277"/>
    </row>
    <row r="301" outlineLevel="1">
      <c r="A301" s="321" t="s">
        <v>411</v>
      </c>
      <c r="B301" s="301">
        <v>0.0</v>
      </c>
      <c r="C301" s="301">
        <v>0.0</v>
      </c>
      <c r="D301" s="301">
        <v>0.0</v>
      </c>
      <c r="E301" s="301">
        <v>0.0</v>
      </c>
      <c r="F301" s="301">
        <v>0.0</v>
      </c>
      <c r="G301" s="301">
        <v>0.0</v>
      </c>
      <c r="H301" s="301">
        <v>0.0</v>
      </c>
      <c r="I301" s="301">
        <v>0.0</v>
      </c>
      <c r="J301" s="301">
        <v>0.0</v>
      </c>
      <c r="K301" s="301">
        <v>0.0</v>
      </c>
      <c r="L301" s="301">
        <v>0.0</v>
      </c>
      <c r="M301" s="301">
        <v>0.0</v>
      </c>
      <c r="N301" s="301">
        <v>0.0</v>
      </c>
      <c r="O301" s="301">
        <v>0.0</v>
      </c>
      <c r="P301" s="301">
        <v>0.0</v>
      </c>
      <c r="Q301" s="301">
        <v>0.0</v>
      </c>
      <c r="R301" s="301">
        <v>0.0</v>
      </c>
      <c r="S301" s="301">
        <v>0.0</v>
      </c>
      <c r="T301" s="301">
        <v>0.0</v>
      </c>
      <c r="U301" s="301">
        <v>0.0</v>
      </c>
      <c r="V301" s="301">
        <v>0.0</v>
      </c>
      <c r="W301" s="301">
        <v>0.0</v>
      </c>
      <c r="X301" s="301">
        <v>0.0</v>
      </c>
      <c r="Y301" s="301">
        <v>0.0</v>
      </c>
      <c r="Z301" s="301">
        <v>0.0</v>
      </c>
      <c r="AA301" s="301">
        <v>0.0</v>
      </c>
      <c r="AB301" s="301">
        <v>0.0</v>
      </c>
      <c r="AC301" s="301">
        <v>0.0</v>
      </c>
      <c r="AD301" s="301">
        <v>0.0</v>
      </c>
      <c r="AE301" s="301">
        <v>0.0</v>
      </c>
      <c r="AF301" s="301">
        <v>0.0</v>
      </c>
      <c r="AG301" s="277">
        <f t="shared" ref="AG301:AG303" si="103">SUM(B301:AF301)</f>
        <v>0</v>
      </c>
    </row>
    <row r="302" outlineLevel="1">
      <c r="A302" s="321" t="s">
        <v>412</v>
      </c>
      <c r="B302" s="301">
        <v>0.0</v>
      </c>
      <c r="C302" s="301">
        <v>0.0</v>
      </c>
      <c r="D302" s="301">
        <v>0.0</v>
      </c>
      <c r="E302" s="301">
        <v>0.0</v>
      </c>
      <c r="F302" s="301">
        <v>0.0</v>
      </c>
      <c r="G302" s="301">
        <v>0.0</v>
      </c>
      <c r="H302" s="301">
        <v>0.0</v>
      </c>
      <c r="I302" s="301">
        <v>0.0</v>
      </c>
      <c r="J302" s="301">
        <v>0.0</v>
      </c>
      <c r="K302" s="301">
        <v>0.0</v>
      </c>
      <c r="L302" s="301">
        <v>0.0</v>
      </c>
      <c r="M302" s="301">
        <v>0.0</v>
      </c>
      <c r="N302" s="301">
        <v>0.0</v>
      </c>
      <c r="O302" s="301">
        <v>0.0</v>
      </c>
      <c r="P302" s="301">
        <v>0.0</v>
      </c>
      <c r="Q302" s="301">
        <v>0.0</v>
      </c>
      <c r="R302" s="301">
        <v>0.0</v>
      </c>
      <c r="S302" s="301">
        <v>0.0</v>
      </c>
      <c r="T302" s="301">
        <v>0.0</v>
      </c>
      <c r="U302" s="301">
        <v>0.0</v>
      </c>
      <c r="V302" s="301">
        <v>0.0</v>
      </c>
      <c r="W302" s="301">
        <v>0.0</v>
      </c>
      <c r="X302" s="301">
        <v>0.0</v>
      </c>
      <c r="Y302" s="301">
        <v>0.0</v>
      </c>
      <c r="Z302" s="301">
        <v>0.0</v>
      </c>
      <c r="AA302" s="301">
        <v>0.0</v>
      </c>
      <c r="AB302" s="301">
        <v>0.0</v>
      </c>
      <c r="AC302" s="301">
        <v>0.0</v>
      </c>
      <c r="AD302" s="301">
        <v>0.0</v>
      </c>
      <c r="AE302" s="301">
        <v>0.0</v>
      </c>
      <c r="AF302" s="301">
        <v>0.0</v>
      </c>
      <c r="AG302" s="277">
        <f t="shared" si="103"/>
        <v>0</v>
      </c>
    </row>
    <row r="303" outlineLevel="1">
      <c r="A303" s="321" t="s">
        <v>414</v>
      </c>
      <c r="B303" s="301">
        <v>0.0</v>
      </c>
      <c r="C303" s="302">
        <v>0.0</v>
      </c>
      <c r="D303" s="301">
        <v>0.0</v>
      </c>
      <c r="E303" s="302">
        <v>0.0</v>
      </c>
      <c r="F303" s="301">
        <v>0.0</v>
      </c>
      <c r="G303" s="302">
        <v>0.0</v>
      </c>
      <c r="H303" s="301">
        <v>0.0</v>
      </c>
      <c r="I303" s="302">
        <v>0.0</v>
      </c>
      <c r="J303" s="301">
        <v>0.0</v>
      </c>
      <c r="K303" s="302">
        <v>0.0</v>
      </c>
      <c r="L303" s="301">
        <v>0.0</v>
      </c>
      <c r="M303" s="302">
        <v>0.0</v>
      </c>
      <c r="N303" s="301">
        <v>0.0</v>
      </c>
      <c r="O303" s="302">
        <v>0.0</v>
      </c>
      <c r="P303" s="301">
        <v>0.0</v>
      </c>
      <c r="Q303" s="302">
        <v>0.0</v>
      </c>
      <c r="R303" s="301">
        <v>0.0</v>
      </c>
      <c r="S303" s="302">
        <v>0.0</v>
      </c>
      <c r="T303" s="301">
        <v>0.0</v>
      </c>
      <c r="U303" s="302">
        <v>0.0</v>
      </c>
      <c r="V303" s="301">
        <v>0.0</v>
      </c>
      <c r="W303" s="302">
        <v>0.0</v>
      </c>
      <c r="X303" s="301">
        <v>0.0</v>
      </c>
      <c r="Y303" s="302">
        <v>0.0</v>
      </c>
      <c r="Z303" s="301">
        <v>0.0</v>
      </c>
      <c r="AA303" s="302">
        <v>0.0</v>
      </c>
      <c r="AB303" s="301">
        <v>0.0</v>
      </c>
      <c r="AC303" s="302">
        <v>0.0</v>
      </c>
      <c r="AD303" s="301">
        <v>0.0</v>
      </c>
      <c r="AE303" s="302">
        <v>0.0</v>
      </c>
      <c r="AF303" s="301">
        <v>0.0</v>
      </c>
      <c r="AG303" s="277">
        <f t="shared" si="103"/>
        <v>0</v>
      </c>
    </row>
    <row r="304">
      <c r="A304" s="321" t="s">
        <v>303</v>
      </c>
      <c r="B304" s="335"/>
      <c r="C304" s="335"/>
      <c r="D304" s="335"/>
      <c r="E304" s="335"/>
      <c r="F304" s="335"/>
      <c r="G304" s="335"/>
      <c r="H304" s="335"/>
      <c r="I304" s="335"/>
      <c r="J304" s="335"/>
      <c r="K304" s="335"/>
      <c r="L304" s="335"/>
      <c r="M304" s="335"/>
      <c r="N304" s="335"/>
      <c r="O304" s="335"/>
      <c r="P304" s="335"/>
      <c r="Q304" s="335"/>
      <c r="R304" s="335"/>
      <c r="S304" s="335"/>
      <c r="T304" s="335"/>
      <c r="U304" s="335"/>
      <c r="V304" s="335"/>
      <c r="W304" s="335"/>
      <c r="X304" s="335"/>
      <c r="Y304" s="335"/>
      <c r="Z304" s="335"/>
      <c r="AA304" s="335"/>
      <c r="AB304" s="335"/>
      <c r="AC304" s="335"/>
      <c r="AD304" s="335"/>
      <c r="AE304" s="335"/>
      <c r="AF304" s="335"/>
      <c r="AG304" s="277"/>
    </row>
    <row r="305" outlineLevel="1">
      <c r="A305" s="321" t="s">
        <v>416</v>
      </c>
      <c r="B305" s="301">
        <v>0.0</v>
      </c>
      <c r="C305" s="301">
        <v>0.0</v>
      </c>
      <c r="D305" s="301">
        <v>0.0</v>
      </c>
      <c r="E305" s="301">
        <v>0.0</v>
      </c>
      <c r="F305" s="301">
        <v>0.0</v>
      </c>
      <c r="G305" s="301">
        <v>0.0</v>
      </c>
      <c r="H305" s="301">
        <v>0.0</v>
      </c>
      <c r="I305" s="301">
        <v>0.0</v>
      </c>
      <c r="J305" s="301">
        <v>0.0</v>
      </c>
      <c r="K305" s="301">
        <v>0.0</v>
      </c>
      <c r="L305" s="301">
        <v>0.0</v>
      </c>
      <c r="M305" s="301">
        <v>0.0</v>
      </c>
      <c r="N305" s="301">
        <v>0.0</v>
      </c>
      <c r="O305" s="301">
        <v>0.0</v>
      </c>
      <c r="P305" s="301">
        <v>0.0</v>
      </c>
      <c r="Q305" s="301">
        <v>0.0</v>
      </c>
      <c r="R305" s="301">
        <v>0.0</v>
      </c>
      <c r="S305" s="301">
        <v>0.0</v>
      </c>
      <c r="T305" s="301">
        <v>5.0</v>
      </c>
      <c r="U305" s="301">
        <v>0.0</v>
      </c>
      <c r="V305" s="301">
        <v>0.0</v>
      </c>
      <c r="W305" s="301">
        <v>0.0</v>
      </c>
      <c r="X305" s="301">
        <v>0.0</v>
      </c>
      <c r="Y305" s="301">
        <v>0.0</v>
      </c>
      <c r="Z305" s="301">
        <v>0.0</v>
      </c>
      <c r="AA305" s="301">
        <v>0.0</v>
      </c>
      <c r="AB305" s="301">
        <v>0.0</v>
      </c>
      <c r="AC305" s="301">
        <v>3.0</v>
      </c>
      <c r="AD305" s="301">
        <v>0.0</v>
      </c>
      <c r="AE305" s="301">
        <v>0.0</v>
      </c>
      <c r="AF305" s="301">
        <v>0.0</v>
      </c>
      <c r="AG305" s="277">
        <f t="shared" ref="AG305:AG308" si="104">SUM(B305:AF305)</f>
        <v>8</v>
      </c>
    </row>
    <row r="306" outlineLevel="1">
      <c r="A306" s="321" t="s">
        <v>417</v>
      </c>
      <c r="B306" s="301">
        <v>0.0</v>
      </c>
      <c r="C306" s="301">
        <v>0.0</v>
      </c>
      <c r="D306" s="301">
        <v>0.0</v>
      </c>
      <c r="E306" s="301">
        <v>0.0</v>
      </c>
      <c r="F306" s="301">
        <v>0.0</v>
      </c>
      <c r="G306" s="301">
        <v>0.0</v>
      </c>
      <c r="H306" s="301">
        <v>0.0</v>
      </c>
      <c r="I306" s="301">
        <v>0.0</v>
      </c>
      <c r="J306" s="301">
        <v>0.0</v>
      </c>
      <c r="K306" s="301">
        <v>0.0</v>
      </c>
      <c r="L306" s="301">
        <v>0.0</v>
      </c>
      <c r="M306" s="301">
        <v>0.0</v>
      </c>
      <c r="N306" s="301">
        <v>0.0</v>
      </c>
      <c r="O306" s="301">
        <v>0.0</v>
      </c>
      <c r="P306" s="301">
        <v>0.0</v>
      </c>
      <c r="Q306" s="301">
        <v>0.0</v>
      </c>
      <c r="R306" s="301">
        <v>0.0</v>
      </c>
      <c r="S306" s="301">
        <v>0.0</v>
      </c>
      <c r="T306" s="301">
        <v>1.0</v>
      </c>
      <c r="U306" s="301">
        <v>0.0</v>
      </c>
      <c r="V306" s="301">
        <v>0.0</v>
      </c>
      <c r="W306" s="301">
        <v>0.0</v>
      </c>
      <c r="X306" s="301">
        <v>0.0</v>
      </c>
      <c r="Y306" s="301">
        <v>0.0</v>
      </c>
      <c r="Z306" s="301">
        <v>0.0</v>
      </c>
      <c r="AA306" s="301">
        <v>0.0</v>
      </c>
      <c r="AB306" s="301">
        <v>0.0</v>
      </c>
      <c r="AC306" s="301">
        <v>3.0</v>
      </c>
      <c r="AD306" s="301">
        <v>0.0</v>
      </c>
      <c r="AE306" s="301">
        <v>0.0</v>
      </c>
      <c r="AF306" s="301">
        <v>0.0</v>
      </c>
      <c r="AG306" s="277">
        <f t="shared" si="104"/>
        <v>4</v>
      </c>
    </row>
    <row r="307" outlineLevel="1">
      <c r="A307" s="321" t="s">
        <v>418</v>
      </c>
      <c r="B307" s="301">
        <v>0.0</v>
      </c>
      <c r="C307" s="302">
        <v>0.0</v>
      </c>
      <c r="D307" s="302">
        <v>0.0</v>
      </c>
      <c r="E307" s="301">
        <v>0.0</v>
      </c>
      <c r="F307" s="301">
        <v>0.0</v>
      </c>
      <c r="G307" s="301">
        <v>0.0</v>
      </c>
      <c r="H307" s="301">
        <v>0.0</v>
      </c>
      <c r="I307" s="301">
        <v>0.0</v>
      </c>
      <c r="J307" s="301">
        <v>0.0</v>
      </c>
      <c r="K307" s="301">
        <v>0.0</v>
      </c>
      <c r="L307" s="301">
        <v>0.0</v>
      </c>
      <c r="M307" s="301">
        <v>0.0</v>
      </c>
      <c r="N307" s="301">
        <v>0.0</v>
      </c>
      <c r="O307" s="301">
        <v>0.0</v>
      </c>
      <c r="P307" s="301">
        <v>0.0</v>
      </c>
      <c r="Q307" s="301">
        <v>0.0</v>
      </c>
      <c r="R307" s="301">
        <v>0.0</v>
      </c>
      <c r="S307" s="301">
        <v>0.0</v>
      </c>
      <c r="T307" s="301">
        <v>0.0</v>
      </c>
      <c r="U307" s="301">
        <v>0.0</v>
      </c>
      <c r="V307" s="301">
        <v>0.0</v>
      </c>
      <c r="W307" s="301">
        <v>0.0</v>
      </c>
      <c r="X307" s="301">
        <v>0.0</v>
      </c>
      <c r="Y307" s="301">
        <v>0.0</v>
      </c>
      <c r="Z307" s="301">
        <v>0.0</v>
      </c>
      <c r="AA307" s="301">
        <v>0.0</v>
      </c>
      <c r="AB307" s="301">
        <v>0.0</v>
      </c>
      <c r="AC307" s="301">
        <v>0.0</v>
      </c>
      <c r="AD307" s="301">
        <v>0.0</v>
      </c>
      <c r="AE307" s="301">
        <v>0.0</v>
      </c>
      <c r="AF307" s="301">
        <v>0.0</v>
      </c>
      <c r="AG307" s="277">
        <f t="shared" si="104"/>
        <v>0</v>
      </c>
    </row>
    <row r="308" outlineLevel="1">
      <c r="A308" s="321" t="s">
        <v>419</v>
      </c>
      <c r="B308" s="301">
        <v>0.0</v>
      </c>
      <c r="C308" s="302">
        <v>0.0</v>
      </c>
      <c r="D308" s="302">
        <v>0.0</v>
      </c>
      <c r="E308" s="301">
        <v>0.0</v>
      </c>
      <c r="F308" s="301">
        <v>0.0</v>
      </c>
      <c r="G308" s="301">
        <v>0.0</v>
      </c>
      <c r="H308" s="301">
        <v>0.0</v>
      </c>
      <c r="I308" s="301">
        <v>0.0</v>
      </c>
      <c r="J308" s="301">
        <v>0.0</v>
      </c>
      <c r="K308" s="301">
        <v>0.0</v>
      </c>
      <c r="L308" s="301">
        <v>0.0</v>
      </c>
      <c r="M308" s="301">
        <v>0.0</v>
      </c>
      <c r="N308" s="301">
        <v>0.0</v>
      </c>
      <c r="O308" s="301">
        <v>0.0</v>
      </c>
      <c r="P308" s="301">
        <v>0.0</v>
      </c>
      <c r="Q308" s="301">
        <v>0.0</v>
      </c>
      <c r="R308" s="301">
        <v>0.0</v>
      </c>
      <c r="S308" s="301">
        <v>0.0</v>
      </c>
      <c r="T308" s="301">
        <v>0.0</v>
      </c>
      <c r="U308" s="301">
        <v>0.0</v>
      </c>
      <c r="V308" s="301">
        <v>0.0</v>
      </c>
      <c r="W308" s="301">
        <v>0.0</v>
      </c>
      <c r="X308" s="301">
        <v>0.0</v>
      </c>
      <c r="Y308" s="301">
        <v>0.0</v>
      </c>
      <c r="Z308" s="301">
        <v>0.0</v>
      </c>
      <c r="AA308" s="301">
        <v>0.0</v>
      </c>
      <c r="AB308" s="301">
        <v>0.0</v>
      </c>
      <c r="AC308" s="301">
        <v>2.0</v>
      </c>
      <c r="AD308" s="301">
        <v>0.0</v>
      </c>
      <c r="AE308" s="301">
        <v>0.0</v>
      </c>
      <c r="AF308" s="301">
        <v>0.0</v>
      </c>
      <c r="AG308" s="277">
        <f t="shared" si="104"/>
        <v>2</v>
      </c>
    </row>
    <row r="309">
      <c r="A309" s="321" t="s">
        <v>420</v>
      </c>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c r="AD309" s="89"/>
      <c r="AE309" s="89"/>
      <c r="AF309" s="89"/>
      <c r="AG309" s="277"/>
    </row>
    <row r="310" outlineLevel="1">
      <c r="A310" s="321" t="s">
        <v>421</v>
      </c>
      <c r="B310" s="301">
        <v>0.0</v>
      </c>
      <c r="C310" s="301">
        <v>0.0</v>
      </c>
      <c r="D310" s="301">
        <v>0.0</v>
      </c>
      <c r="E310" s="301">
        <v>0.0</v>
      </c>
      <c r="F310" s="301">
        <v>0.0</v>
      </c>
      <c r="G310" s="301">
        <v>0.0</v>
      </c>
      <c r="H310" s="301">
        <v>0.0</v>
      </c>
      <c r="I310" s="301">
        <v>0.0</v>
      </c>
      <c r="J310" s="301">
        <v>0.0</v>
      </c>
      <c r="K310" s="301">
        <v>0.0</v>
      </c>
      <c r="L310" s="301">
        <v>0.0</v>
      </c>
      <c r="M310" s="301">
        <v>0.0</v>
      </c>
      <c r="N310" s="301">
        <v>0.0</v>
      </c>
      <c r="O310" s="301">
        <v>0.0</v>
      </c>
      <c r="P310" s="301">
        <v>0.0</v>
      </c>
      <c r="Q310" s="301">
        <v>0.0</v>
      </c>
      <c r="R310" s="301">
        <v>0.0</v>
      </c>
      <c r="S310" s="301">
        <v>0.0</v>
      </c>
      <c r="T310" s="301">
        <v>0.0</v>
      </c>
      <c r="U310" s="301">
        <v>0.0</v>
      </c>
      <c r="V310" s="301">
        <v>0.0</v>
      </c>
      <c r="W310" s="301">
        <v>0.0</v>
      </c>
      <c r="X310" s="301">
        <v>0.0</v>
      </c>
      <c r="Y310" s="301">
        <v>0.0</v>
      </c>
      <c r="Z310" s="301">
        <v>0.0</v>
      </c>
      <c r="AA310" s="301">
        <v>0.0</v>
      </c>
      <c r="AB310" s="301">
        <v>0.0</v>
      </c>
      <c r="AC310" s="301">
        <v>0.0</v>
      </c>
      <c r="AD310" s="301">
        <v>0.0</v>
      </c>
      <c r="AE310" s="301">
        <v>0.0</v>
      </c>
      <c r="AF310" s="301">
        <v>0.0</v>
      </c>
      <c r="AG310" s="277">
        <f t="shared" ref="AG310:AG314" si="105">SUM(B310:AF310)</f>
        <v>0</v>
      </c>
    </row>
    <row r="311" outlineLevel="1">
      <c r="A311" s="321" t="s">
        <v>422</v>
      </c>
      <c r="B311" s="301">
        <v>0.0</v>
      </c>
      <c r="C311" s="301">
        <v>0.0</v>
      </c>
      <c r="D311" s="301">
        <v>0.0</v>
      </c>
      <c r="E311" s="301">
        <v>0.0</v>
      </c>
      <c r="F311" s="301">
        <v>0.0</v>
      </c>
      <c r="G311" s="301">
        <v>0.0</v>
      </c>
      <c r="H311" s="301">
        <v>0.0</v>
      </c>
      <c r="I311" s="301">
        <v>0.0</v>
      </c>
      <c r="J311" s="301">
        <v>0.0</v>
      </c>
      <c r="K311" s="301">
        <v>0.0</v>
      </c>
      <c r="L311" s="301">
        <v>0.0</v>
      </c>
      <c r="M311" s="301">
        <v>0.0</v>
      </c>
      <c r="N311" s="301">
        <v>0.0</v>
      </c>
      <c r="O311" s="301">
        <v>0.0</v>
      </c>
      <c r="P311" s="301">
        <v>0.0</v>
      </c>
      <c r="Q311" s="301">
        <v>0.0</v>
      </c>
      <c r="R311" s="301">
        <v>0.0</v>
      </c>
      <c r="S311" s="301">
        <v>0.0</v>
      </c>
      <c r="T311" s="301">
        <v>0.0</v>
      </c>
      <c r="U311" s="301">
        <v>0.0</v>
      </c>
      <c r="V311" s="301">
        <v>0.0</v>
      </c>
      <c r="W311" s="301">
        <v>0.0</v>
      </c>
      <c r="X311" s="301">
        <v>0.0</v>
      </c>
      <c r="Y311" s="301">
        <v>0.0</v>
      </c>
      <c r="Z311" s="301">
        <v>0.0</v>
      </c>
      <c r="AA311" s="301">
        <v>0.0</v>
      </c>
      <c r="AB311" s="301">
        <v>0.0</v>
      </c>
      <c r="AC311" s="301">
        <v>0.0</v>
      </c>
      <c r="AD311" s="301">
        <v>0.0</v>
      </c>
      <c r="AE311" s="301">
        <v>0.0</v>
      </c>
      <c r="AF311" s="301">
        <v>0.0</v>
      </c>
      <c r="AG311" s="277">
        <f t="shared" si="105"/>
        <v>0</v>
      </c>
    </row>
    <row r="312" outlineLevel="1">
      <c r="A312" s="321" t="s">
        <v>414</v>
      </c>
      <c r="B312" s="301">
        <v>0.0</v>
      </c>
      <c r="C312" s="302">
        <v>0.0</v>
      </c>
      <c r="D312" s="301">
        <v>0.0</v>
      </c>
      <c r="E312" s="302">
        <v>0.0</v>
      </c>
      <c r="F312" s="301">
        <v>0.0</v>
      </c>
      <c r="G312" s="302">
        <v>0.0</v>
      </c>
      <c r="H312" s="301">
        <v>0.0</v>
      </c>
      <c r="I312" s="302">
        <v>0.0</v>
      </c>
      <c r="J312" s="301">
        <v>0.0</v>
      </c>
      <c r="K312" s="302">
        <v>0.0</v>
      </c>
      <c r="L312" s="301">
        <v>0.0</v>
      </c>
      <c r="M312" s="302">
        <v>0.0</v>
      </c>
      <c r="N312" s="301">
        <v>0.0</v>
      </c>
      <c r="O312" s="302">
        <v>0.0</v>
      </c>
      <c r="P312" s="301">
        <v>0.0</v>
      </c>
      <c r="Q312" s="302">
        <v>0.0</v>
      </c>
      <c r="R312" s="301">
        <v>0.0</v>
      </c>
      <c r="S312" s="302">
        <v>0.0</v>
      </c>
      <c r="T312" s="301">
        <v>0.0</v>
      </c>
      <c r="U312" s="302">
        <v>0.0</v>
      </c>
      <c r="V312" s="301">
        <v>0.0</v>
      </c>
      <c r="W312" s="302">
        <v>0.0</v>
      </c>
      <c r="X312" s="301">
        <v>0.0</v>
      </c>
      <c r="Y312" s="302">
        <v>0.0</v>
      </c>
      <c r="Z312" s="301">
        <v>0.0</v>
      </c>
      <c r="AA312" s="302">
        <v>0.0</v>
      </c>
      <c r="AB312" s="301">
        <v>0.0</v>
      </c>
      <c r="AC312" s="302">
        <v>0.0</v>
      </c>
      <c r="AD312" s="301">
        <v>0.0</v>
      </c>
      <c r="AE312" s="302">
        <v>0.0</v>
      </c>
      <c r="AF312" s="301">
        <v>0.0</v>
      </c>
      <c r="AG312" s="277">
        <f t="shared" si="105"/>
        <v>0</v>
      </c>
    </row>
    <row r="313">
      <c r="A313" s="322" t="s">
        <v>308</v>
      </c>
      <c r="B313" s="323">
        <f t="shared" ref="B313:AF313" si="106">B296+B297+B305+B306</f>
        <v>0</v>
      </c>
      <c r="C313" s="323">
        <f t="shared" si="106"/>
        <v>0</v>
      </c>
      <c r="D313" s="323">
        <f t="shared" si="106"/>
        <v>1</v>
      </c>
      <c r="E313" s="323">
        <f t="shared" si="106"/>
        <v>1</v>
      </c>
      <c r="F313" s="323">
        <f t="shared" si="106"/>
        <v>0</v>
      </c>
      <c r="G313" s="323">
        <f t="shared" si="106"/>
        <v>0</v>
      </c>
      <c r="H313" s="323">
        <f t="shared" si="106"/>
        <v>0</v>
      </c>
      <c r="I313" s="323">
        <f t="shared" si="106"/>
        <v>0</v>
      </c>
      <c r="J313" s="323">
        <f t="shared" si="106"/>
        <v>0</v>
      </c>
      <c r="K313" s="323">
        <f t="shared" si="106"/>
        <v>0</v>
      </c>
      <c r="L313" s="323">
        <f t="shared" si="106"/>
        <v>0</v>
      </c>
      <c r="M313" s="323">
        <f t="shared" si="106"/>
        <v>0</v>
      </c>
      <c r="N313" s="323">
        <f t="shared" si="106"/>
        <v>0</v>
      </c>
      <c r="O313" s="323">
        <f t="shared" si="106"/>
        <v>0</v>
      </c>
      <c r="P313" s="323">
        <f t="shared" si="106"/>
        <v>0</v>
      </c>
      <c r="Q313" s="323">
        <f t="shared" si="106"/>
        <v>0</v>
      </c>
      <c r="R313" s="323">
        <f t="shared" si="106"/>
        <v>0</v>
      </c>
      <c r="S313" s="323">
        <f t="shared" si="106"/>
        <v>0</v>
      </c>
      <c r="T313" s="323">
        <f t="shared" si="106"/>
        <v>6</v>
      </c>
      <c r="U313" s="323">
        <f t="shared" si="106"/>
        <v>2</v>
      </c>
      <c r="V313" s="323">
        <f t="shared" si="106"/>
        <v>1</v>
      </c>
      <c r="W313" s="323">
        <f t="shared" si="106"/>
        <v>0</v>
      </c>
      <c r="X313" s="323">
        <f t="shared" si="106"/>
        <v>0</v>
      </c>
      <c r="Y313" s="323">
        <f t="shared" si="106"/>
        <v>0</v>
      </c>
      <c r="Z313" s="323">
        <f t="shared" si="106"/>
        <v>7</v>
      </c>
      <c r="AA313" s="323">
        <f t="shared" si="106"/>
        <v>0</v>
      </c>
      <c r="AB313" s="323">
        <f t="shared" si="106"/>
        <v>0</v>
      </c>
      <c r="AC313" s="323">
        <f t="shared" si="106"/>
        <v>6</v>
      </c>
      <c r="AD313" s="323">
        <f t="shared" si="106"/>
        <v>0</v>
      </c>
      <c r="AE313" s="323">
        <f t="shared" si="106"/>
        <v>0</v>
      </c>
      <c r="AF313" s="323">
        <f t="shared" si="106"/>
        <v>0</v>
      </c>
      <c r="AG313" s="277">
        <f t="shared" si="105"/>
        <v>24</v>
      </c>
    </row>
    <row r="314">
      <c r="A314" s="322" t="s">
        <v>309</v>
      </c>
      <c r="B314" s="323">
        <f t="shared" ref="B314:AF314" si="107">+B298+B299+B307+B308</f>
        <v>0</v>
      </c>
      <c r="C314" s="323">
        <f t="shared" si="107"/>
        <v>0</v>
      </c>
      <c r="D314" s="323">
        <f t="shared" si="107"/>
        <v>0</v>
      </c>
      <c r="E314" s="323">
        <f t="shared" si="107"/>
        <v>0</v>
      </c>
      <c r="F314" s="323">
        <f t="shared" si="107"/>
        <v>1</v>
      </c>
      <c r="G314" s="323">
        <f t="shared" si="107"/>
        <v>0</v>
      </c>
      <c r="H314" s="323">
        <f t="shared" si="107"/>
        <v>0</v>
      </c>
      <c r="I314" s="323">
        <f t="shared" si="107"/>
        <v>0</v>
      </c>
      <c r="J314" s="323">
        <f t="shared" si="107"/>
        <v>0</v>
      </c>
      <c r="K314" s="323">
        <f t="shared" si="107"/>
        <v>0</v>
      </c>
      <c r="L314" s="323">
        <f t="shared" si="107"/>
        <v>0</v>
      </c>
      <c r="M314" s="323">
        <f t="shared" si="107"/>
        <v>0</v>
      </c>
      <c r="N314" s="323">
        <f t="shared" si="107"/>
        <v>0</v>
      </c>
      <c r="O314" s="323">
        <f t="shared" si="107"/>
        <v>0</v>
      </c>
      <c r="P314" s="323">
        <f t="shared" si="107"/>
        <v>0</v>
      </c>
      <c r="Q314" s="323">
        <f t="shared" si="107"/>
        <v>0</v>
      </c>
      <c r="R314" s="323">
        <f t="shared" si="107"/>
        <v>0</v>
      </c>
      <c r="S314" s="323">
        <f t="shared" si="107"/>
        <v>0</v>
      </c>
      <c r="T314" s="323">
        <f t="shared" si="107"/>
        <v>0</v>
      </c>
      <c r="U314" s="323">
        <f t="shared" si="107"/>
        <v>0</v>
      </c>
      <c r="V314" s="323">
        <f t="shared" si="107"/>
        <v>0</v>
      </c>
      <c r="W314" s="323">
        <f t="shared" si="107"/>
        <v>0</v>
      </c>
      <c r="X314" s="323">
        <f t="shared" si="107"/>
        <v>0</v>
      </c>
      <c r="Y314" s="323">
        <f t="shared" si="107"/>
        <v>0</v>
      </c>
      <c r="Z314" s="323">
        <f t="shared" si="107"/>
        <v>15</v>
      </c>
      <c r="AA314" s="323">
        <f t="shared" si="107"/>
        <v>0</v>
      </c>
      <c r="AB314" s="323">
        <f t="shared" si="107"/>
        <v>0</v>
      </c>
      <c r="AC314" s="323">
        <f t="shared" si="107"/>
        <v>2</v>
      </c>
      <c r="AD314" s="323">
        <f t="shared" si="107"/>
        <v>0</v>
      </c>
      <c r="AE314" s="323">
        <f t="shared" si="107"/>
        <v>0</v>
      </c>
      <c r="AF314" s="323">
        <f t="shared" si="107"/>
        <v>0</v>
      </c>
      <c r="AG314" s="277">
        <f t="shared" si="105"/>
        <v>18</v>
      </c>
    </row>
    <row r="315">
      <c r="A315" s="35"/>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0"/>
    </row>
    <row r="316">
      <c r="A316" s="321" t="s">
        <v>310</v>
      </c>
      <c r="B316" s="335"/>
      <c r="C316" s="335"/>
      <c r="D316" s="335"/>
      <c r="E316" s="335"/>
      <c r="F316" s="335"/>
      <c r="G316" s="335"/>
      <c r="H316" s="335"/>
      <c r="I316" s="335"/>
      <c r="J316" s="335"/>
      <c r="K316" s="335"/>
      <c r="L316" s="335"/>
      <c r="M316" s="335"/>
      <c r="N316" s="335"/>
      <c r="O316" s="335"/>
      <c r="P316" s="335"/>
      <c r="Q316" s="335"/>
      <c r="R316" s="335"/>
      <c r="S316" s="335"/>
      <c r="T316" s="335"/>
      <c r="U316" s="335"/>
      <c r="V316" s="335"/>
      <c r="W316" s="335"/>
      <c r="X316" s="335"/>
      <c r="Y316" s="335"/>
      <c r="Z316" s="335"/>
      <c r="AA316" s="335"/>
      <c r="AB316" s="335"/>
      <c r="AC316" s="335"/>
      <c r="AD316" s="335"/>
      <c r="AE316" s="335"/>
      <c r="AF316" s="335"/>
      <c r="AG316" s="291"/>
    </row>
    <row r="317" outlineLevel="1">
      <c r="A317" s="321" t="s">
        <v>311</v>
      </c>
      <c r="B317" s="301">
        <v>0.0</v>
      </c>
      <c r="C317" s="301">
        <v>0.0</v>
      </c>
      <c r="D317" s="301">
        <v>0.0</v>
      </c>
      <c r="E317" s="301">
        <v>0.0</v>
      </c>
      <c r="F317" s="301">
        <v>1.0</v>
      </c>
      <c r="G317" s="301">
        <v>0.0</v>
      </c>
      <c r="H317" s="301">
        <v>0.0</v>
      </c>
      <c r="I317" s="301">
        <v>0.0</v>
      </c>
      <c r="J317" s="301">
        <v>0.0</v>
      </c>
      <c r="K317" s="301">
        <v>0.0</v>
      </c>
      <c r="L317" s="301">
        <v>0.0</v>
      </c>
      <c r="M317" s="301">
        <v>0.0</v>
      </c>
      <c r="N317" s="301">
        <v>0.0</v>
      </c>
      <c r="O317" s="301">
        <v>0.0</v>
      </c>
      <c r="P317" s="301">
        <v>0.0</v>
      </c>
      <c r="Q317" s="301">
        <v>0.0</v>
      </c>
      <c r="R317" s="301">
        <v>0.0</v>
      </c>
      <c r="S317" s="301">
        <v>0.0</v>
      </c>
      <c r="T317" s="301">
        <v>0.0</v>
      </c>
      <c r="U317" s="301">
        <v>0.0</v>
      </c>
      <c r="V317" s="301">
        <v>0.0</v>
      </c>
      <c r="W317" s="301">
        <v>0.0</v>
      </c>
      <c r="X317" s="301">
        <v>0.0</v>
      </c>
      <c r="Y317" s="301">
        <v>0.0</v>
      </c>
      <c r="Z317" s="301">
        <v>4.0</v>
      </c>
      <c r="AA317" s="301">
        <v>0.0</v>
      </c>
      <c r="AB317" s="301">
        <v>0.0</v>
      </c>
      <c r="AC317" s="301">
        <v>0.0</v>
      </c>
      <c r="AD317" s="301">
        <v>0.0</v>
      </c>
      <c r="AE317" s="301">
        <v>0.0</v>
      </c>
      <c r="AF317" s="301">
        <v>0.0</v>
      </c>
      <c r="AG317" s="277">
        <f t="shared" ref="AG317:AG325" si="108">SUM(B317:AF317)</f>
        <v>5</v>
      </c>
    </row>
    <row r="318" outlineLevel="1">
      <c r="A318" s="321" t="s">
        <v>312</v>
      </c>
      <c r="B318" s="301">
        <v>0.0</v>
      </c>
      <c r="C318" s="301">
        <v>0.0</v>
      </c>
      <c r="D318" s="301">
        <v>0.0</v>
      </c>
      <c r="E318" s="301">
        <v>0.0</v>
      </c>
      <c r="F318" s="301">
        <v>1.0</v>
      </c>
      <c r="G318" s="301">
        <v>0.0</v>
      </c>
      <c r="H318" s="301">
        <v>0.0</v>
      </c>
      <c r="I318" s="301">
        <v>0.0</v>
      </c>
      <c r="J318" s="301">
        <v>0.0</v>
      </c>
      <c r="K318" s="301">
        <v>0.0</v>
      </c>
      <c r="L318" s="301">
        <v>0.0</v>
      </c>
      <c r="M318" s="301">
        <v>0.0</v>
      </c>
      <c r="N318" s="301">
        <v>0.0</v>
      </c>
      <c r="O318" s="301">
        <v>0.0</v>
      </c>
      <c r="P318" s="301">
        <v>0.0</v>
      </c>
      <c r="Q318" s="301">
        <v>0.0</v>
      </c>
      <c r="R318" s="301">
        <v>0.0</v>
      </c>
      <c r="S318" s="301">
        <v>0.0</v>
      </c>
      <c r="T318" s="301">
        <v>0.0</v>
      </c>
      <c r="U318" s="301">
        <v>0.0</v>
      </c>
      <c r="V318" s="301">
        <v>0.0</v>
      </c>
      <c r="W318" s="301">
        <v>0.0</v>
      </c>
      <c r="X318" s="301">
        <v>0.0</v>
      </c>
      <c r="Y318" s="301">
        <v>0.0</v>
      </c>
      <c r="Z318" s="301">
        <v>5.0</v>
      </c>
      <c r="AA318" s="301">
        <v>0.0</v>
      </c>
      <c r="AB318" s="301">
        <v>0.0</v>
      </c>
      <c r="AC318" s="301">
        <v>0.0</v>
      </c>
      <c r="AD318" s="301">
        <v>0.0</v>
      </c>
      <c r="AE318" s="301">
        <v>0.0</v>
      </c>
      <c r="AF318" s="301">
        <v>0.0</v>
      </c>
      <c r="AG318" s="277">
        <f t="shared" si="108"/>
        <v>6</v>
      </c>
    </row>
    <row r="319" outlineLevel="1">
      <c r="A319" s="321" t="s">
        <v>423</v>
      </c>
      <c r="B319" s="301">
        <v>0.0</v>
      </c>
      <c r="C319" s="301">
        <v>0.0</v>
      </c>
      <c r="D319" s="301">
        <v>0.0</v>
      </c>
      <c r="E319" s="301">
        <v>0.0</v>
      </c>
      <c r="F319" s="301">
        <v>0.0</v>
      </c>
      <c r="G319" s="301">
        <v>0.0</v>
      </c>
      <c r="H319" s="301">
        <v>0.0</v>
      </c>
      <c r="I319" s="301">
        <v>0.0</v>
      </c>
      <c r="J319" s="301">
        <v>0.0</v>
      </c>
      <c r="K319" s="301">
        <v>0.0</v>
      </c>
      <c r="L319" s="301">
        <v>0.0</v>
      </c>
      <c r="M319" s="301">
        <v>0.0</v>
      </c>
      <c r="N319" s="301">
        <v>0.0</v>
      </c>
      <c r="O319" s="301">
        <v>0.0</v>
      </c>
      <c r="P319" s="301">
        <v>0.0</v>
      </c>
      <c r="Q319" s="301">
        <v>0.0</v>
      </c>
      <c r="R319" s="301">
        <v>0.0</v>
      </c>
      <c r="S319" s="301">
        <v>0.0</v>
      </c>
      <c r="T319" s="301">
        <v>0.0</v>
      </c>
      <c r="U319" s="301">
        <v>0.0</v>
      </c>
      <c r="V319" s="301">
        <v>0.0</v>
      </c>
      <c r="W319" s="301">
        <v>0.0</v>
      </c>
      <c r="X319" s="301">
        <v>0.0</v>
      </c>
      <c r="Y319" s="301">
        <v>0.0</v>
      </c>
      <c r="Z319" s="301">
        <v>0.0</v>
      </c>
      <c r="AA319" s="301">
        <v>0.0</v>
      </c>
      <c r="AB319" s="301">
        <v>0.0</v>
      </c>
      <c r="AC319" s="301">
        <v>0.0</v>
      </c>
      <c r="AD319" s="301">
        <v>0.0</v>
      </c>
      <c r="AE319" s="301">
        <v>0.0</v>
      </c>
      <c r="AF319" s="301">
        <v>0.0</v>
      </c>
      <c r="AG319" s="277">
        <f t="shared" si="108"/>
        <v>0</v>
      </c>
    </row>
    <row r="320" outlineLevel="1">
      <c r="A320" s="321" t="s">
        <v>424</v>
      </c>
      <c r="B320" s="301">
        <v>0.0</v>
      </c>
      <c r="C320" s="301">
        <v>0.0</v>
      </c>
      <c r="D320" s="301">
        <v>0.0</v>
      </c>
      <c r="E320" s="301">
        <v>0.0</v>
      </c>
      <c r="F320" s="301">
        <v>0.0</v>
      </c>
      <c r="G320" s="301">
        <v>0.0</v>
      </c>
      <c r="H320" s="301">
        <v>0.0</v>
      </c>
      <c r="I320" s="301">
        <v>0.0</v>
      </c>
      <c r="J320" s="301">
        <v>0.0</v>
      </c>
      <c r="K320" s="301">
        <v>0.0</v>
      </c>
      <c r="L320" s="301">
        <v>0.0</v>
      </c>
      <c r="M320" s="301">
        <v>0.0</v>
      </c>
      <c r="N320" s="301">
        <v>0.0</v>
      </c>
      <c r="O320" s="301">
        <v>0.0</v>
      </c>
      <c r="P320" s="301">
        <v>0.0</v>
      </c>
      <c r="Q320" s="301">
        <v>0.0</v>
      </c>
      <c r="R320" s="301">
        <v>0.0</v>
      </c>
      <c r="S320" s="301">
        <v>0.0</v>
      </c>
      <c r="T320" s="301">
        <v>0.0</v>
      </c>
      <c r="U320" s="301">
        <v>0.0</v>
      </c>
      <c r="V320" s="301">
        <v>0.0</v>
      </c>
      <c r="W320" s="301">
        <v>0.0</v>
      </c>
      <c r="X320" s="301">
        <v>0.0</v>
      </c>
      <c r="Y320" s="301">
        <v>0.0</v>
      </c>
      <c r="Z320" s="301">
        <v>0.0</v>
      </c>
      <c r="AA320" s="301">
        <v>0.0</v>
      </c>
      <c r="AB320" s="301">
        <v>0.0</v>
      </c>
      <c r="AC320" s="301">
        <v>0.0</v>
      </c>
      <c r="AD320" s="301">
        <v>0.0</v>
      </c>
      <c r="AE320" s="301">
        <v>0.0</v>
      </c>
      <c r="AF320" s="301">
        <v>0.0</v>
      </c>
      <c r="AG320" s="277">
        <f t="shared" si="108"/>
        <v>0</v>
      </c>
    </row>
    <row r="321" outlineLevel="1">
      <c r="A321" s="321" t="s">
        <v>425</v>
      </c>
      <c r="B321" s="301">
        <v>0.0</v>
      </c>
      <c r="C321" s="301">
        <v>0.0</v>
      </c>
      <c r="D321" s="301">
        <v>0.0</v>
      </c>
      <c r="E321" s="301">
        <v>0.0</v>
      </c>
      <c r="F321" s="301">
        <v>0.0</v>
      </c>
      <c r="G321" s="301">
        <v>0.0</v>
      </c>
      <c r="H321" s="301">
        <v>0.0</v>
      </c>
      <c r="I321" s="301">
        <v>0.0</v>
      </c>
      <c r="J321" s="301">
        <v>0.0</v>
      </c>
      <c r="K321" s="301">
        <v>0.0</v>
      </c>
      <c r="L321" s="301">
        <v>0.0</v>
      </c>
      <c r="M321" s="301">
        <v>0.0</v>
      </c>
      <c r="N321" s="301">
        <v>0.0</v>
      </c>
      <c r="O321" s="301">
        <v>0.0</v>
      </c>
      <c r="P321" s="301">
        <v>0.0</v>
      </c>
      <c r="Q321" s="301">
        <v>0.0</v>
      </c>
      <c r="R321" s="301">
        <v>0.0</v>
      </c>
      <c r="S321" s="301">
        <v>0.0</v>
      </c>
      <c r="T321" s="301">
        <v>0.0</v>
      </c>
      <c r="U321" s="301">
        <v>0.0</v>
      </c>
      <c r="V321" s="301">
        <v>0.0</v>
      </c>
      <c r="W321" s="301">
        <v>0.0</v>
      </c>
      <c r="X321" s="301">
        <v>0.0</v>
      </c>
      <c r="Y321" s="301">
        <v>0.0</v>
      </c>
      <c r="Z321" s="301">
        <v>2.0</v>
      </c>
      <c r="AA321" s="301">
        <v>0.0</v>
      </c>
      <c r="AB321" s="301">
        <v>0.0</v>
      </c>
      <c r="AC321" s="301">
        <v>0.0</v>
      </c>
      <c r="AD321" s="301">
        <v>0.0</v>
      </c>
      <c r="AE321" s="301">
        <v>0.0</v>
      </c>
      <c r="AF321" s="301">
        <v>0.0</v>
      </c>
      <c r="AG321" s="277">
        <f t="shared" si="108"/>
        <v>2</v>
      </c>
    </row>
    <row r="322" outlineLevel="1">
      <c r="A322" s="321" t="s">
        <v>426</v>
      </c>
      <c r="B322" s="301">
        <v>0.0</v>
      </c>
      <c r="C322" s="301">
        <v>0.0</v>
      </c>
      <c r="D322" s="301">
        <v>0.0</v>
      </c>
      <c r="E322" s="301">
        <v>0.0</v>
      </c>
      <c r="F322" s="301">
        <v>0.0</v>
      </c>
      <c r="G322" s="301">
        <v>0.0</v>
      </c>
      <c r="H322" s="301">
        <v>0.0</v>
      </c>
      <c r="I322" s="301">
        <v>0.0</v>
      </c>
      <c r="J322" s="301">
        <v>0.0</v>
      </c>
      <c r="K322" s="301">
        <v>0.0</v>
      </c>
      <c r="L322" s="301">
        <v>0.0</v>
      </c>
      <c r="M322" s="301">
        <v>0.0</v>
      </c>
      <c r="N322" s="301">
        <v>0.0</v>
      </c>
      <c r="O322" s="301">
        <v>0.0</v>
      </c>
      <c r="P322" s="301">
        <v>0.0</v>
      </c>
      <c r="Q322" s="301">
        <v>0.0</v>
      </c>
      <c r="R322" s="301">
        <v>0.0</v>
      </c>
      <c r="S322" s="301">
        <v>0.0</v>
      </c>
      <c r="T322" s="301">
        <v>0.0</v>
      </c>
      <c r="U322" s="301">
        <v>0.0</v>
      </c>
      <c r="V322" s="301">
        <v>0.0</v>
      </c>
      <c r="W322" s="301">
        <v>0.0</v>
      </c>
      <c r="X322" s="301">
        <v>0.0</v>
      </c>
      <c r="Y322" s="301">
        <v>0.0</v>
      </c>
      <c r="Z322" s="301">
        <v>0.0</v>
      </c>
      <c r="AA322" s="301">
        <v>0.0</v>
      </c>
      <c r="AB322" s="301">
        <v>0.0</v>
      </c>
      <c r="AC322" s="301">
        <v>0.0</v>
      </c>
      <c r="AD322" s="301">
        <v>0.0</v>
      </c>
      <c r="AE322" s="301">
        <v>0.0</v>
      </c>
      <c r="AF322" s="301">
        <v>0.0</v>
      </c>
      <c r="AG322" s="277">
        <f t="shared" si="108"/>
        <v>0</v>
      </c>
    </row>
    <row r="323" outlineLevel="1">
      <c r="A323" s="321" t="s">
        <v>428</v>
      </c>
      <c r="B323" s="301">
        <v>0.0</v>
      </c>
      <c r="C323" s="301">
        <v>0.0</v>
      </c>
      <c r="D323" s="301">
        <v>0.0</v>
      </c>
      <c r="E323" s="301">
        <v>0.0</v>
      </c>
      <c r="F323" s="301">
        <v>0.0</v>
      </c>
      <c r="G323" s="301">
        <v>0.0</v>
      </c>
      <c r="H323" s="301">
        <v>0.0</v>
      </c>
      <c r="I323" s="301">
        <v>0.0</v>
      </c>
      <c r="J323" s="301">
        <v>0.0</v>
      </c>
      <c r="K323" s="301">
        <v>0.0</v>
      </c>
      <c r="L323" s="301">
        <v>0.0</v>
      </c>
      <c r="M323" s="301">
        <v>0.0</v>
      </c>
      <c r="N323" s="301">
        <v>0.0</v>
      </c>
      <c r="O323" s="301">
        <v>0.0</v>
      </c>
      <c r="P323" s="301">
        <v>0.0</v>
      </c>
      <c r="Q323" s="301">
        <v>0.0</v>
      </c>
      <c r="R323" s="301">
        <v>0.0</v>
      </c>
      <c r="S323" s="301">
        <v>0.0</v>
      </c>
      <c r="T323" s="301">
        <v>0.0</v>
      </c>
      <c r="U323" s="301">
        <v>0.0</v>
      </c>
      <c r="V323" s="301">
        <v>0.0</v>
      </c>
      <c r="W323" s="301">
        <v>0.0</v>
      </c>
      <c r="X323" s="301">
        <v>0.0</v>
      </c>
      <c r="Y323" s="301">
        <v>0.0</v>
      </c>
      <c r="Z323" s="301">
        <v>0.0</v>
      </c>
      <c r="AA323" s="301">
        <v>0.0</v>
      </c>
      <c r="AB323" s="301">
        <v>0.0</v>
      </c>
      <c r="AC323" s="301">
        <v>0.0</v>
      </c>
      <c r="AD323" s="301">
        <v>0.0</v>
      </c>
      <c r="AE323" s="301">
        <v>0.0</v>
      </c>
      <c r="AF323" s="301">
        <v>0.0</v>
      </c>
      <c r="AG323" s="277">
        <f t="shared" si="108"/>
        <v>0</v>
      </c>
    </row>
    <row r="324" outlineLevel="1">
      <c r="A324" s="321" t="s">
        <v>429</v>
      </c>
      <c r="B324" s="301">
        <v>0.0</v>
      </c>
      <c r="C324" s="301">
        <v>0.0</v>
      </c>
      <c r="D324" s="301">
        <v>0.0</v>
      </c>
      <c r="E324" s="301">
        <v>0.0</v>
      </c>
      <c r="F324" s="301">
        <v>0.0</v>
      </c>
      <c r="G324" s="301">
        <v>0.0</v>
      </c>
      <c r="H324" s="301">
        <v>0.0</v>
      </c>
      <c r="I324" s="301">
        <v>0.0</v>
      </c>
      <c r="J324" s="301">
        <v>0.0</v>
      </c>
      <c r="K324" s="301">
        <v>0.0</v>
      </c>
      <c r="L324" s="301">
        <v>0.0</v>
      </c>
      <c r="M324" s="301">
        <v>0.0</v>
      </c>
      <c r="N324" s="301">
        <v>0.0</v>
      </c>
      <c r="O324" s="301">
        <v>0.0</v>
      </c>
      <c r="P324" s="301">
        <v>0.0</v>
      </c>
      <c r="Q324" s="301">
        <v>0.0</v>
      </c>
      <c r="R324" s="301">
        <v>0.0</v>
      </c>
      <c r="S324" s="301">
        <v>0.0</v>
      </c>
      <c r="T324" s="301">
        <v>0.0</v>
      </c>
      <c r="U324" s="301">
        <v>0.0</v>
      </c>
      <c r="V324" s="301">
        <v>0.0</v>
      </c>
      <c r="W324" s="301">
        <v>0.0</v>
      </c>
      <c r="X324" s="301">
        <v>0.0</v>
      </c>
      <c r="Y324" s="301">
        <v>0.0</v>
      </c>
      <c r="Z324" s="301">
        <v>0.0</v>
      </c>
      <c r="AA324" s="301">
        <v>0.0</v>
      </c>
      <c r="AB324" s="301">
        <v>0.0</v>
      </c>
      <c r="AC324" s="301">
        <v>0.0</v>
      </c>
      <c r="AD324" s="301">
        <v>0.0</v>
      </c>
      <c r="AE324" s="301">
        <v>0.0</v>
      </c>
      <c r="AF324" s="301">
        <v>0.0</v>
      </c>
      <c r="AG324" s="277">
        <f t="shared" si="108"/>
        <v>0</v>
      </c>
    </row>
    <row r="325">
      <c r="A325" s="322" t="s">
        <v>261</v>
      </c>
      <c r="B325" s="323">
        <f t="shared" ref="B325:AF325" si="109">SUM(B317:B324)</f>
        <v>0</v>
      </c>
      <c r="C325" s="323">
        <f t="shared" si="109"/>
        <v>0</v>
      </c>
      <c r="D325" s="323">
        <f t="shared" si="109"/>
        <v>0</v>
      </c>
      <c r="E325" s="323">
        <f t="shared" si="109"/>
        <v>0</v>
      </c>
      <c r="F325" s="323">
        <f t="shared" si="109"/>
        <v>2</v>
      </c>
      <c r="G325" s="323">
        <f t="shared" si="109"/>
        <v>0</v>
      </c>
      <c r="H325" s="323">
        <f t="shared" si="109"/>
        <v>0</v>
      </c>
      <c r="I325" s="323">
        <f t="shared" si="109"/>
        <v>0</v>
      </c>
      <c r="J325" s="323">
        <f t="shared" si="109"/>
        <v>0</v>
      </c>
      <c r="K325" s="323">
        <f t="shared" si="109"/>
        <v>0</v>
      </c>
      <c r="L325" s="323">
        <f t="shared" si="109"/>
        <v>0</v>
      </c>
      <c r="M325" s="323">
        <f t="shared" si="109"/>
        <v>0</v>
      </c>
      <c r="N325" s="323">
        <f t="shared" si="109"/>
        <v>0</v>
      </c>
      <c r="O325" s="323">
        <f t="shared" si="109"/>
        <v>0</v>
      </c>
      <c r="P325" s="323">
        <f t="shared" si="109"/>
        <v>0</v>
      </c>
      <c r="Q325" s="323">
        <f t="shared" si="109"/>
        <v>0</v>
      </c>
      <c r="R325" s="323">
        <f t="shared" si="109"/>
        <v>0</v>
      </c>
      <c r="S325" s="323">
        <f t="shared" si="109"/>
        <v>0</v>
      </c>
      <c r="T325" s="323">
        <f t="shared" si="109"/>
        <v>0</v>
      </c>
      <c r="U325" s="323">
        <f t="shared" si="109"/>
        <v>0</v>
      </c>
      <c r="V325" s="323">
        <f t="shared" si="109"/>
        <v>0</v>
      </c>
      <c r="W325" s="323">
        <f t="shared" si="109"/>
        <v>0</v>
      </c>
      <c r="X325" s="323">
        <f t="shared" si="109"/>
        <v>0</v>
      </c>
      <c r="Y325" s="323">
        <f t="shared" si="109"/>
        <v>0</v>
      </c>
      <c r="Z325" s="323">
        <f t="shared" si="109"/>
        <v>11</v>
      </c>
      <c r="AA325" s="323">
        <f t="shared" si="109"/>
        <v>0</v>
      </c>
      <c r="AB325" s="323">
        <f t="shared" si="109"/>
        <v>0</v>
      </c>
      <c r="AC325" s="323">
        <f t="shared" si="109"/>
        <v>0</v>
      </c>
      <c r="AD325" s="323">
        <f t="shared" si="109"/>
        <v>0</v>
      </c>
      <c r="AE325" s="323">
        <f t="shared" si="109"/>
        <v>0</v>
      </c>
      <c r="AF325" s="323">
        <f t="shared" si="109"/>
        <v>0</v>
      </c>
      <c r="AG325" s="277">
        <f t="shared" si="108"/>
        <v>13</v>
      </c>
    </row>
    <row r="326">
      <c r="A326" s="35"/>
      <c r="B326" s="290"/>
      <c r="C326" s="290"/>
      <c r="D326" s="290"/>
      <c r="E326" s="290"/>
      <c r="F326" s="290"/>
      <c r="G326" s="290"/>
      <c r="H326" s="290"/>
      <c r="I326" s="290"/>
      <c r="J326" s="290"/>
      <c r="K326" s="290"/>
      <c r="L326" s="290"/>
      <c r="M326" s="290"/>
      <c r="N326" s="290"/>
      <c r="O326" s="290"/>
      <c r="P326" s="290"/>
      <c r="Q326" s="290"/>
      <c r="R326" s="290"/>
      <c r="S326" s="290"/>
      <c r="T326" s="290"/>
      <c r="U326" s="290"/>
      <c r="V326" s="290"/>
      <c r="W326" s="290"/>
      <c r="X326" s="290"/>
      <c r="Y326" s="290"/>
      <c r="Z326" s="290"/>
      <c r="AA326" s="290"/>
      <c r="AB326" s="290"/>
      <c r="AC326" s="290"/>
      <c r="AD326" s="290"/>
      <c r="AE326" s="290"/>
      <c r="AF326" s="290"/>
      <c r="AG326" s="291"/>
    </row>
    <row r="327">
      <c r="A327" s="321" t="s">
        <v>364</v>
      </c>
      <c r="B327" s="335"/>
      <c r="C327" s="335"/>
      <c r="D327" s="335"/>
      <c r="E327" s="335"/>
      <c r="F327" s="335"/>
      <c r="G327" s="335"/>
      <c r="H327" s="335"/>
      <c r="I327" s="335"/>
      <c r="J327" s="335"/>
      <c r="K327" s="335"/>
      <c r="L327" s="335"/>
      <c r="M327" s="335"/>
      <c r="N327" s="335"/>
      <c r="O327" s="335"/>
      <c r="P327" s="335"/>
      <c r="Q327" s="335"/>
      <c r="R327" s="335"/>
      <c r="S327" s="335"/>
      <c r="T327" s="335"/>
      <c r="U327" s="335"/>
      <c r="V327" s="335"/>
      <c r="W327" s="335"/>
      <c r="X327" s="335"/>
      <c r="Y327" s="335"/>
      <c r="Z327" s="335"/>
      <c r="AA327" s="335"/>
      <c r="AB327" s="335"/>
      <c r="AC327" s="335"/>
      <c r="AD327" s="335"/>
      <c r="AE327" s="335"/>
      <c r="AF327" s="335"/>
      <c r="AG327" s="291"/>
    </row>
    <row r="328" outlineLevel="1">
      <c r="A328" s="321" t="s">
        <v>311</v>
      </c>
      <c r="B328" s="301">
        <v>0.0</v>
      </c>
      <c r="C328" s="301">
        <v>0.0</v>
      </c>
      <c r="D328" s="301">
        <v>0.0</v>
      </c>
      <c r="E328" s="301">
        <v>0.0</v>
      </c>
      <c r="F328" s="301">
        <v>0.0</v>
      </c>
      <c r="G328" s="301">
        <v>0.0</v>
      </c>
      <c r="H328" s="301">
        <v>0.0</v>
      </c>
      <c r="I328" s="301">
        <v>0.0</v>
      </c>
      <c r="J328" s="301">
        <v>0.0</v>
      </c>
      <c r="K328" s="301">
        <v>0.0</v>
      </c>
      <c r="L328" s="301">
        <v>0.0</v>
      </c>
      <c r="M328" s="301">
        <v>0.0</v>
      </c>
      <c r="N328" s="301">
        <v>0.0</v>
      </c>
      <c r="O328" s="301">
        <v>0.0</v>
      </c>
      <c r="P328" s="301">
        <v>0.0</v>
      </c>
      <c r="Q328" s="301">
        <v>0.0</v>
      </c>
      <c r="R328" s="301">
        <v>0.0</v>
      </c>
      <c r="S328" s="301">
        <v>0.0</v>
      </c>
      <c r="T328" s="301">
        <v>0.0</v>
      </c>
      <c r="U328" s="301">
        <v>0.0</v>
      </c>
      <c r="V328" s="301">
        <v>0.0</v>
      </c>
      <c r="W328" s="301">
        <v>0.0</v>
      </c>
      <c r="X328" s="301">
        <v>0.0</v>
      </c>
      <c r="Y328" s="301">
        <v>0.0</v>
      </c>
      <c r="Z328" s="301">
        <v>0.0</v>
      </c>
      <c r="AA328" s="301">
        <v>0.0</v>
      </c>
      <c r="AB328" s="301">
        <v>1.0</v>
      </c>
      <c r="AC328" s="301">
        <v>4.0</v>
      </c>
      <c r="AD328" s="301">
        <v>0.0</v>
      </c>
      <c r="AE328" s="301">
        <v>0.0</v>
      </c>
      <c r="AF328" s="301">
        <v>0.0</v>
      </c>
      <c r="AG328" s="277">
        <f t="shared" ref="AG328:AG336" si="110">SUM(B328:AF328)</f>
        <v>5</v>
      </c>
    </row>
    <row r="329" outlineLevel="1">
      <c r="A329" s="321" t="s">
        <v>312</v>
      </c>
      <c r="B329" s="301">
        <v>0.0</v>
      </c>
      <c r="C329" s="301">
        <v>0.0</v>
      </c>
      <c r="D329" s="301">
        <v>0.0</v>
      </c>
      <c r="E329" s="301">
        <v>0.0</v>
      </c>
      <c r="F329" s="301">
        <v>0.0</v>
      </c>
      <c r="G329" s="301">
        <v>0.0</v>
      </c>
      <c r="H329" s="301">
        <v>0.0</v>
      </c>
      <c r="I329" s="301">
        <v>0.0</v>
      </c>
      <c r="J329" s="301">
        <v>0.0</v>
      </c>
      <c r="K329" s="301">
        <v>0.0</v>
      </c>
      <c r="L329" s="301">
        <v>0.0</v>
      </c>
      <c r="M329" s="301">
        <v>0.0</v>
      </c>
      <c r="N329" s="301">
        <v>0.0</v>
      </c>
      <c r="O329" s="301">
        <v>0.0</v>
      </c>
      <c r="P329" s="301">
        <v>0.0</v>
      </c>
      <c r="Q329" s="301">
        <v>0.0</v>
      </c>
      <c r="R329" s="301">
        <v>0.0</v>
      </c>
      <c r="S329" s="301">
        <v>0.0</v>
      </c>
      <c r="T329" s="301">
        <v>0.0</v>
      </c>
      <c r="U329" s="301">
        <v>0.0</v>
      </c>
      <c r="V329" s="301">
        <v>0.0</v>
      </c>
      <c r="W329" s="301">
        <v>0.0</v>
      </c>
      <c r="X329" s="301">
        <v>0.0</v>
      </c>
      <c r="Y329" s="301">
        <v>0.0</v>
      </c>
      <c r="Z329" s="301">
        <v>0.0</v>
      </c>
      <c r="AA329" s="301">
        <v>0.0</v>
      </c>
      <c r="AB329" s="301">
        <v>0.0</v>
      </c>
      <c r="AC329" s="301">
        <v>0.0</v>
      </c>
      <c r="AD329" s="301">
        <v>0.0</v>
      </c>
      <c r="AE329" s="301">
        <v>0.0</v>
      </c>
      <c r="AF329" s="301">
        <v>0.0</v>
      </c>
      <c r="AG329" s="277">
        <f t="shared" si="110"/>
        <v>0</v>
      </c>
    </row>
    <row r="330" outlineLevel="1">
      <c r="A330" s="321" t="s">
        <v>430</v>
      </c>
      <c r="B330" s="301">
        <v>0.0</v>
      </c>
      <c r="C330" s="301">
        <v>0.0</v>
      </c>
      <c r="D330" s="301">
        <v>0.0</v>
      </c>
      <c r="E330" s="301">
        <v>0.0</v>
      </c>
      <c r="F330" s="301">
        <v>0.0</v>
      </c>
      <c r="G330" s="301">
        <v>0.0</v>
      </c>
      <c r="H330" s="301">
        <v>0.0</v>
      </c>
      <c r="I330" s="301">
        <v>0.0</v>
      </c>
      <c r="J330" s="301">
        <v>0.0</v>
      </c>
      <c r="K330" s="301">
        <v>0.0</v>
      </c>
      <c r="L330" s="301">
        <v>0.0</v>
      </c>
      <c r="M330" s="301">
        <v>0.0</v>
      </c>
      <c r="N330" s="301">
        <v>0.0</v>
      </c>
      <c r="O330" s="301">
        <v>0.0</v>
      </c>
      <c r="P330" s="301">
        <v>0.0</v>
      </c>
      <c r="Q330" s="301">
        <v>0.0</v>
      </c>
      <c r="R330" s="301">
        <v>0.0</v>
      </c>
      <c r="S330" s="301">
        <v>0.0</v>
      </c>
      <c r="T330" s="301">
        <v>0.0</v>
      </c>
      <c r="U330" s="301">
        <v>0.0</v>
      </c>
      <c r="V330" s="301">
        <v>0.0</v>
      </c>
      <c r="W330" s="301">
        <v>0.0</v>
      </c>
      <c r="X330" s="301">
        <v>0.0</v>
      </c>
      <c r="Y330" s="301">
        <v>0.0</v>
      </c>
      <c r="Z330" s="301">
        <v>0.0</v>
      </c>
      <c r="AA330" s="301">
        <v>0.0</v>
      </c>
      <c r="AB330" s="301">
        <v>0.0</v>
      </c>
      <c r="AC330" s="301">
        <v>0.0</v>
      </c>
      <c r="AD330" s="301">
        <v>0.0</v>
      </c>
      <c r="AE330" s="301">
        <v>0.0</v>
      </c>
      <c r="AF330" s="301">
        <v>0.0</v>
      </c>
      <c r="AG330" s="277">
        <f t="shared" si="110"/>
        <v>0</v>
      </c>
    </row>
    <row r="331" outlineLevel="1">
      <c r="A331" s="321" t="s">
        <v>431</v>
      </c>
      <c r="B331" s="301">
        <v>0.0</v>
      </c>
      <c r="C331" s="301">
        <v>0.0</v>
      </c>
      <c r="D331" s="301">
        <v>0.0</v>
      </c>
      <c r="E331" s="301">
        <v>0.0</v>
      </c>
      <c r="F331" s="301">
        <v>0.0</v>
      </c>
      <c r="G331" s="301">
        <v>0.0</v>
      </c>
      <c r="H331" s="301">
        <v>0.0</v>
      </c>
      <c r="I331" s="301">
        <v>0.0</v>
      </c>
      <c r="J331" s="301">
        <v>0.0</v>
      </c>
      <c r="K331" s="301">
        <v>0.0</v>
      </c>
      <c r="L331" s="301">
        <v>0.0</v>
      </c>
      <c r="M331" s="301">
        <v>0.0</v>
      </c>
      <c r="N331" s="301">
        <v>0.0</v>
      </c>
      <c r="O331" s="301">
        <v>0.0</v>
      </c>
      <c r="P331" s="301">
        <v>0.0</v>
      </c>
      <c r="Q331" s="301">
        <v>0.0</v>
      </c>
      <c r="R331" s="301">
        <v>0.0</v>
      </c>
      <c r="S331" s="301">
        <v>0.0</v>
      </c>
      <c r="T331" s="301">
        <v>0.0</v>
      </c>
      <c r="U331" s="301">
        <v>0.0</v>
      </c>
      <c r="V331" s="301">
        <v>0.0</v>
      </c>
      <c r="W331" s="301">
        <v>0.0</v>
      </c>
      <c r="X331" s="301">
        <v>0.0</v>
      </c>
      <c r="Y331" s="301">
        <v>0.0</v>
      </c>
      <c r="Z331" s="301">
        <v>0.0</v>
      </c>
      <c r="AA331" s="301">
        <v>0.0</v>
      </c>
      <c r="AB331" s="301">
        <v>0.0</v>
      </c>
      <c r="AC331" s="301">
        <v>0.0</v>
      </c>
      <c r="AD331" s="301">
        <v>0.0</v>
      </c>
      <c r="AE331" s="301">
        <v>0.0</v>
      </c>
      <c r="AF331" s="301">
        <v>0.0</v>
      </c>
      <c r="AG331" s="277">
        <f t="shared" si="110"/>
        <v>0</v>
      </c>
    </row>
    <row r="332" outlineLevel="1">
      <c r="A332" s="321" t="s">
        <v>432</v>
      </c>
      <c r="B332" s="301">
        <v>0.0</v>
      </c>
      <c r="C332" s="301">
        <v>0.0</v>
      </c>
      <c r="D332" s="301">
        <v>0.0</v>
      </c>
      <c r="E332" s="301">
        <v>0.0</v>
      </c>
      <c r="F332" s="301">
        <v>0.0</v>
      </c>
      <c r="G332" s="301">
        <v>0.0</v>
      </c>
      <c r="H332" s="301">
        <v>0.0</v>
      </c>
      <c r="I332" s="301">
        <v>0.0</v>
      </c>
      <c r="J332" s="301">
        <v>0.0</v>
      </c>
      <c r="K332" s="301">
        <v>0.0</v>
      </c>
      <c r="L332" s="301">
        <v>0.0</v>
      </c>
      <c r="M332" s="301">
        <v>0.0</v>
      </c>
      <c r="N332" s="301">
        <v>0.0</v>
      </c>
      <c r="O332" s="301">
        <v>0.0</v>
      </c>
      <c r="P332" s="301">
        <v>0.0</v>
      </c>
      <c r="Q332" s="301">
        <v>0.0</v>
      </c>
      <c r="R332" s="301">
        <v>0.0</v>
      </c>
      <c r="S332" s="301">
        <v>0.0</v>
      </c>
      <c r="T332" s="301">
        <v>0.0</v>
      </c>
      <c r="U332" s="301">
        <v>0.0</v>
      </c>
      <c r="V332" s="301">
        <v>0.0</v>
      </c>
      <c r="W332" s="301">
        <v>0.0</v>
      </c>
      <c r="X332" s="301">
        <v>0.0</v>
      </c>
      <c r="Y332" s="301">
        <v>0.0</v>
      </c>
      <c r="Z332" s="301">
        <v>0.0</v>
      </c>
      <c r="AA332" s="301">
        <v>0.0</v>
      </c>
      <c r="AB332" s="301">
        <v>0.0</v>
      </c>
      <c r="AC332" s="301">
        <v>0.0</v>
      </c>
      <c r="AD332" s="301">
        <v>0.0</v>
      </c>
      <c r="AE332" s="301">
        <v>0.0</v>
      </c>
      <c r="AF332" s="301">
        <v>0.0</v>
      </c>
      <c r="AG332" s="277">
        <f t="shared" si="110"/>
        <v>0</v>
      </c>
    </row>
    <row r="333" outlineLevel="1">
      <c r="A333" s="321" t="s">
        <v>433</v>
      </c>
      <c r="B333" s="301">
        <v>0.0</v>
      </c>
      <c r="C333" s="301">
        <v>0.0</v>
      </c>
      <c r="D333" s="301">
        <v>0.0</v>
      </c>
      <c r="E333" s="301">
        <v>0.0</v>
      </c>
      <c r="F333" s="301">
        <v>0.0</v>
      </c>
      <c r="G333" s="301">
        <v>0.0</v>
      </c>
      <c r="H333" s="301">
        <v>0.0</v>
      </c>
      <c r="I333" s="301">
        <v>0.0</v>
      </c>
      <c r="J333" s="301">
        <v>0.0</v>
      </c>
      <c r="K333" s="301">
        <v>0.0</v>
      </c>
      <c r="L333" s="301">
        <v>0.0</v>
      </c>
      <c r="M333" s="301">
        <v>0.0</v>
      </c>
      <c r="N333" s="301">
        <v>0.0</v>
      </c>
      <c r="O333" s="301">
        <v>0.0</v>
      </c>
      <c r="P333" s="301">
        <v>0.0</v>
      </c>
      <c r="Q333" s="301">
        <v>0.0</v>
      </c>
      <c r="R333" s="301">
        <v>0.0</v>
      </c>
      <c r="S333" s="301">
        <v>0.0</v>
      </c>
      <c r="T333" s="301">
        <v>0.0</v>
      </c>
      <c r="U333" s="301">
        <v>0.0</v>
      </c>
      <c r="V333" s="301">
        <v>0.0</v>
      </c>
      <c r="W333" s="301">
        <v>0.0</v>
      </c>
      <c r="X333" s="301">
        <v>0.0</v>
      </c>
      <c r="Y333" s="301">
        <v>0.0</v>
      </c>
      <c r="Z333" s="301">
        <v>0.0</v>
      </c>
      <c r="AA333" s="301">
        <v>0.0</v>
      </c>
      <c r="AB333" s="301">
        <v>0.0</v>
      </c>
      <c r="AC333" s="301">
        <v>0.0</v>
      </c>
      <c r="AD333" s="301">
        <v>0.0</v>
      </c>
      <c r="AE333" s="301">
        <v>0.0</v>
      </c>
      <c r="AF333" s="301">
        <v>0.0</v>
      </c>
      <c r="AG333" s="277">
        <f t="shared" si="110"/>
        <v>0</v>
      </c>
    </row>
    <row r="334" outlineLevel="1">
      <c r="A334" s="321" t="s">
        <v>434</v>
      </c>
      <c r="B334" s="301">
        <v>0.0</v>
      </c>
      <c r="C334" s="301">
        <v>0.0</v>
      </c>
      <c r="D334" s="301">
        <v>0.0</v>
      </c>
      <c r="E334" s="301">
        <v>0.0</v>
      </c>
      <c r="F334" s="301">
        <v>0.0</v>
      </c>
      <c r="G334" s="301">
        <v>0.0</v>
      </c>
      <c r="H334" s="301">
        <v>0.0</v>
      </c>
      <c r="I334" s="301">
        <v>0.0</v>
      </c>
      <c r="J334" s="301">
        <v>0.0</v>
      </c>
      <c r="K334" s="301">
        <v>0.0</v>
      </c>
      <c r="L334" s="301">
        <v>0.0</v>
      </c>
      <c r="M334" s="301">
        <v>0.0</v>
      </c>
      <c r="N334" s="301">
        <v>0.0</v>
      </c>
      <c r="O334" s="301">
        <v>0.0</v>
      </c>
      <c r="P334" s="301">
        <v>0.0</v>
      </c>
      <c r="Q334" s="301">
        <v>0.0</v>
      </c>
      <c r="R334" s="301">
        <v>0.0</v>
      </c>
      <c r="S334" s="301">
        <v>0.0</v>
      </c>
      <c r="T334" s="301">
        <v>0.0</v>
      </c>
      <c r="U334" s="301">
        <v>0.0</v>
      </c>
      <c r="V334" s="301">
        <v>0.0</v>
      </c>
      <c r="W334" s="301">
        <v>0.0</v>
      </c>
      <c r="X334" s="301">
        <v>0.0</v>
      </c>
      <c r="Y334" s="301">
        <v>0.0</v>
      </c>
      <c r="Z334" s="301">
        <v>0.0</v>
      </c>
      <c r="AA334" s="301">
        <v>0.0</v>
      </c>
      <c r="AB334" s="301">
        <v>0.0</v>
      </c>
      <c r="AC334" s="301">
        <v>0.0</v>
      </c>
      <c r="AD334" s="301">
        <v>0.0</v>
      </c>
      <c r="AE334" s="301">
        <v>0.0</v>
      </c>
      <c r="AF334" s="301">
        <v>0.0</v>
      </c>
      <c r="AG334" s="277">
        <f t="shared" si="110"/>
        <v>0</v>
      </c>
    </row>
    <row r="335" outlineLevel="1">
      <c r="A335" s="321" t="s">
        <v>435</v>
      </c>
      <c r="B335" s="301">
        <v>0.0</v>
      </c>
      <c r="C335" s="301">
        <v>0.0</v>
      </c>
      <c r="D335" s="301">
        <v>0.0</v>
      </c>
      <c r="E335" s="301">
        <v>0.0</v>
      </c>
      <c r="F335" s="301">
        <v>0.0</v>
      </c>
      <c r="G335" s="301">
        <v>0.0</v>
      </c>
      <c r="H335" s="301">
        <v>0.0</v>
      </c>
      <c r="I335" s="301">
        <v>0.0</v>
      </c>
      <c r="J335" s="301">
        <v>0.0</v>
      </c>
      <c r="K335" s="301">
        <v>0.0</v>
      </c>
      <c r="L335" s="301">
        <v>0.0</v>
      </c>
      <c r="M335" s="301">
        <v>0.0</v>
      </c>
      <c r="N335" s="301">
        <v>0.0</v>
      </c>
      <c r="O335" s="301">
        <v>0.0</v>
      </c>
      <c r="P335" s="301">
        <v>0.0</v>
      </c>
      <c r="Q335" s="301">
        <v>0.0</v>
      </c>
      <c r="R335" s="301">
        <v>0.0</v>
      </c>
      <c r="S335" s="301">
        <v>0.0</v>
      </c>
      <c r="T335" s="301">
        <v>0.0</v>
      </c>
      <c r="U335" s="301">
        <v>0.0</v>
      </c>
      <c r="V335" s="301">
        <v>0.0</v>
      </c>
      <c r="W335" s="301">
        <v>0.0</v>
      </c>
      <c r="X335" s="301">
        <v>0.0</v>
      </c>
      <c r="Y335" s="301">
        <v>0.0</v>
      </c>
      <c r="Z335" s="301">
        <v>0.0</v>
      </c>
      <c r="AA335" s="301">
        <v>0.0</v>
      </c>
      <c r="AB335" s="301">
        <v>0.0</v>
      </c>
      <c r="AC335" s="301">
        <v>0.0</v>
      </c>
      <c r="AD335" s="301">
        <v>0.0</v>
      </c>
      <c r="AE335" s="301">
        <v>0.0</v>
      </c>
      <c r="AF335" s="301">
        <v>0.0</v>
      </c>
      <c r="AG335" s="277">
        <f t="shared" si="110"/>
        <v>0</v>
      </c>
    </row>
    <row r="336">
      <c r="A336" s="322" t="s">
        <v>261</v>
      </c>
      <c r="B336" s="323">
        <f t="shared" ref="B336:AF336" si="111">SUM(B328:B335)</f>
        <v>0</v>
      </c>
      <c r="C336" s="323">
        <f t="shared" si="111"/>
        <v>0</v>
      </c>
      <c r="D336" s="323">
        <f t="shared" si="111"/>
        <v>0</v>
      </c>
      <c r="E336" s="323">
        <f t="shared" si="111"/>
        <v>0</v>
      </c>
      <c r="F336" s="323">
        <f t="shared" si="111"/>
        <v>0</v>
      </c>
      <c r="G336" s="323">
        <f t="shared" si="111"/>
        <v>0</v>
      </c>
      <c r="H336" s="323">
        <f t="shared" si="111"/>
        <v>0</v>
      </c>
      <c r="I336" s="323">
        <f t="shared" si="111"/>
        <v>0</v>
      </c>
      <c r="J336" s="323">
        <f t="shared" si="111"/>
        <v>0</v>
      </c>
      <c r="K336" s="323">
        <f t="shared" si="111"/>
        <v>0</v>
      </c>
      <c r="L336" s="323">
        <f t="shared" si="111"/>
        <v>0</v>
      </c>
      <c r="M336" s="323">
        <f t="shared" si="111"/>
        <v>0</v>
      </c>
      <c r="N336" s="323">
        <f t="shared" si="111"/>
        <v>0</v>
      </c>
      <c r="O336" s="323">
        <f t="shared" si="111"/>
        <v>0</v>
      </c>
      <c r="P336" s="323">
        <f t="shared" si="111"/>
        <v>0</v>
      </c>
      <c r="Q336" s="323">
        <f t="shared" si="111"/>
        <v>0</v>
      </c>
      <c r="R336" s="323">
        <f t="shared" si="111"/>
        <v>0</v>
      </c>
      <c r="S336" s="323">
        <f t="shared" si="111"/>
        <v>0</v>
      </c>
      <c r="T336" s="323">
        <f t="shared" si="111"/>
        <v>0</v>
      </c>
      <c r="U336" s="323">
        <f t="shared" si="111"/>
        <v>0</v>
      </c>
      <c r="V336" s="323">
        <f t="shared" si="111"/>
        <v>0</v>
      </c>
      <c r="W336" s="323">
        <f t="shared" si="111"/>
        <v>0</v>
      </c>
      <c r="X336" s="323">
        <f t="shared" si="111"/>
        <v>0</v>
      </c>
      <c r="Y336" s="323">
        <f t="shared" si="111"/>
        <v>0</v>
      </c>
      <c r="Z336" s="323">
        <f t="shared" si="111"/>
        <v>0</v>
      </c>
      <c r="AA336" s="323">
        <f t="shared" si="111"/>
        <v>0</v>
      </c>
      <c r="AB336" s="323">
        <f t="shared" si="111"/>
        <v>1</v>
      </c>
      <c r="AC336" s="323">
        <f t="shared" si="111"/>
        <v>4</v>
      </c>
      <c r="AD336" s="323">
        <f t="shared" si="111"/>
        <v>0</v>
      </c>
      <c r="AE336" s="323">
        <f t="shared" si="111"/>
        <v>0</v>
      </c>
      <c r="AF336" s="323">
        <f t="shared" si="111"/>
        <v>0</v>
      </c>
      <c r="AG336" s="277">
        <f t="shared" si="110"/>
        <v>5</v>
      </c>
    </row>
    <row r="337">
      <c r="A337" s="363"/>
      <c r="B337" s="290"/>
      <c r="C337" s="290"/>
      <c r="D337" s="290"/>
      <c r="E337" s="290"/>
      <c r="F337" s="290"/>
      <c r="G337" s="290"/>
      <c r="H337" s="290"/>
      <c r="I337" s="290"/>
      <c r="J337" s="290"/>
      <c r="K337" s="290"/>
      <c r="L337" s="290"/>
      <c r="M337" s="290"/>
      <c r="N337" s="290"/>
      <c r="O337" s="290"/>
      <c r="P337" s="290"/>
      <c r="Q337" s="290"/>
      <c r="R337" s="290"/>
      <c r="S337" s="290"/>
      <c r="T337" s="290"/>
      <c r="U337" s="290"/>
      <c r="V337" s="290"/>
      <c r="W337" s="290"/>
      <c r="X337" s="290"/>
      <c r="Y337" s="290"/>
      <c r="Z337" s="290"/>
      <c r="AA337" s="290"/>
      <c r="AB337" s="290"/>
      <c r="AC337" s="290"/>
      <c r="AD337" s="290"/>
      <c r="AE337" s="290"/>
      <c r="AF337" s="290"/>
      <c r="AG337" s="291"/>
    </row>
    <row r="338">
      <c r="A338" s="364" t="s">
        <v>436</v>
      </c>
      <c r="B338" s="365">
        <v>0.0</v>
      </c>
      <c r="C338" s="365">
        <v>0.0</v>
      </c>
      <c r="D338" s="365">
        <v>1.0</v>
      </c>
      <c r="E338" s="365">
        <v>1.0</v>
      </c>
      <c r="F338" s="365">
        <v>1.0</v>
      </c>
      <c r="G338" s="365">
        <v>0.0</v>
      </c>
      <c r="H338" s="365">
        <v>0.0</v>
      </c>
      <c r="I338" s="365">
        <v>0.0</v>
      </c>
      <c r="J338" s="365">
        <v>0.0</v>
      </c>
      <c r="K338" s="365">
        <v>0.0</v>
      </c>
      <c r="L338" s="365">
        <v>0.0</v>
      </c>
      <c r="M338" s="365">
        <v>0.0</v>
      </c>
      <c r="N338" s="365">
        <v>0.0</v>
      </c>
      <c r="O338" s="365">
        <v>0.0</v>
      </c>
      <c r="P338" s="365">
        <v>0.0</v>
      </c>
      <c r="Q338" s="365">
        <v>0.0</v>
      </c>
      <c r="R338" s="365">
        <v>0.0</v>
      </c>
      <c r="S338" s="365">
        <v>0.0</v>
      </c>
      <c r="T338" s="365">
        <v>0.0</v>
      </c>
      <c r="U338" s="365">
        <v>2.0</v>
      </c>
      <c r="V338" s="365">
        <v>1.0</v>
      </c>
      <c r="W338" s="365">
        <v>0.0</v>
      </c>
      <c r="X338" s="365">
        <v>0.0</v>
      </c>
      <c r="Y338" s="365">
        <v>0.0</v>
      </c>
      <c r="Z338" s="365">
        <v>24.0</v>
      </c>
      <c r="AA338" s="365">
        <v>0.0</v>
      </c>
      <c r="AB338" s="365">
        <v>0.0</v>
      </c>
      <c r="AC338" s="365">
        <v>0.0</v>
      </c>
      <c r="AD338" s="365">
        <v>0.0</v>
      </c>
      <c r="AE338" s="365">
        <v>0.0</v>
      </c>
      <c r="AF338" s="365">
        <v>0.0</v>
      </c>
      <c r="AG338" s="277">
        <f t="shared" ref="AG338:AG339" si="112">SUM(B338:AF338)</f>
        <v>30</v>
      </c>
    </row>
    <row r="339">
      <c r="A339" s="364" t="s">
        <v>437</v>
      </c>
      <c r="B339" s="365">
        <v>0.0</v>
      </c>
      <c r="C339" s="365">
        <v>0.0</v>
      </c>
      <c r="D339" s="365">
        <v>0.0</v>
      </c>
      <c r="E339" s="365">
        <v>0.0</v>
      </c>
      <c r="F339" s="365">
        <v>0.0</v>
      </c>
      <c r="G339" s="365">
        <v>0.0</v>
      </c>
      <c r="H339" s="365">
        <v>0.0</v>
      </c>
      <c r="I339" s="365">
        <v>0.0</v>
      </c>
      <c r="J339" s="365">
        <v>0.0</v>
      </c>
      <c r="K339" s="365">
        <v>0.0</v>
      </c>
      <c r="L339" s="365">
        <v>0.0</v>
      </c>
      <c r="M339" s="365">
        <v>0.0</v>
      </c>
      <c r="N339" s="365">
        <v>0.0</v>
      </c>
      <c r="O339" s="365">
        <v>0.0</v>
      </c>
      <c r="P339" s="365">
        <v>0.0</v>
      </c>
      <c r="Q339" s="365">
        <v>0.0</v>
      </c>
      <c r="R339" s="365">
        <v>0.0</v>
      </c>
      <c r="S339" s="365">
        <v>0.0</v>
      </c>
      <c r="T339" s="365">
        <v>5.0</v>
      </c>
      <c r="U339" s="365">
        <v>0.0</v>
      </c>
      <c r="V339" s="365">
        <v>0.0</v>
      </c>
      <c r="W339" s="365">
        <v>0.0</v>
      </c>
      <c r="X339" s="365">
        <v>0.0</v>
      </c>
      <c r="Y339" s="365">
        <v>0.0</v>
      </c>
      <c r="Z339" s="365">
        <v>0.0</v>
      </c>
      <c r="AA339" s="365">
        <v>0.0</v>
      </c>
      <c r="AB339" s="365">
        <v>1.0</v>
      </c>
      <c r="AC339" s="365">
        <v>10.0</v>
      </c>
      <c r="AD339" s="365">
        <v>0.0</v>
      </c>
      <c r="AE339" s="365">
        <v>0.0</v>
      </c>
      <c r="AF339" s="365">
        <v>5.0</v>
      </c>
      <c r="AG339" s="277">
        <f t="shared" si="112"/>
        <v>21</v>
      </c>
    </row>
    <row r="340">
      <c r="A340" s="35"/>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0"/>
    </row>
    <row r="341">
      <c r="A341" s="274" t="s">
        <v>438</v>
      </c>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0"/>
    </row>
    <row r="342">
      <c r="A342" s="324" t="s">
        <v>439</v>
      </c>
      <c r="B342" s="367">
        <v>0.0</v>
      </c>
      <c r="C342" s="367">
        <v>0.0</v>
      </c>
      <c r="D342" s="367">
        <v>0.0</v>
      </c>
      <c r="E342" s="367">
        <v>0.0</v>
      </c>
      <c r="F342" s="367">
        <v>0.0</v>
      </c>
      <c r="G342" s="367">
        <v>0.0</v>
      </c>
      <c r="H342" s="367">
        <v>0.0</v>
      </c>
      <c r="I342" s="367">
        <v>0.0</v>
      </c>
      <c r="J342" s="367">
        <v>0.0</v>
      </c>
      <c r="K342" s="367">
        <v>0.0</v>
      </c>
      <c r="L342" s="367">
        <v>0.0</v>
      </c>
      <c r="M342" s="367">
        <v>0.0</v>
      </c>
      <c r="N342" s="367">
        <v>0.0</v>
      </c>
      <c r="O342" s="367">
        <v>0.0</v>
      </c>
      <c r="P342" s="367">
        <v>0.0</v>
      </c>
      <c r="Q342" s="367">
        <v>0.0</v>
      </c>
      <c r="R342" s="367">
        <v>0.0</v>
      </c>
      <c r="S342" s="367">
        <v>0.0</v>
      </c>
      <c r="T342" s="367">
        <v>0.0</v>
      </c>
      <c r="U342" s="367">
        <v>0.0</v>
      </c>
      <c r="V342" s="367">
        <v>0.0</v>
      </c>
      <c r="W342" s="367">
        <v>0.0</v>
      </c>
      <c r="X342" s="367">
        <v>0.0</v>
      </c>
      <c r="Y342" s="367">
        <v>0.0</v>
      </c>
      <c r="Z342" s="367">
        <v>0.0</v>
      </c>
      <c r="AA342" s="367">
        <v>0.0</v>
      </c>
      <c r="AB342" s="367">
        <v>0.0</v>
      </c>
      <c r="AC342" s="367">
        <v>0.0</v>
      </c>
      <c r="AD342" s="367">
        <v>0.0</v>
      </c>
      <c r="AE342" s="367">
        <v>0.0</v>
      </c>
      <c r="AF342" s="368">
        <v>0.0</v>
      </c>
      <c r="AG342" s="277">
        <f t="shared" ref="AG342:AG343" si="113">SUM(B342:AF342)</f>
        <v>0</v>
      </c>
    </row>
    <row r="343">
      <c r="A343" s="324" t="s">
        <v>440</v>
      </c>
      <c r="B343" s="367">
        <v>0.0</v>
      </c>
      <c r="C343" s="367">
        <v>0.0</v>
      </c>
      <c r="D343" s="367">
        <v>0.0</v>
      </c>
      <c r="E343" s="367">
        <v>0.0</v>
      </c>
      <c r="F343" s="367">
        <v>0.0</v>
      </c>
      <c r="G343" s="367">
        <v>0.0</v>
      </c>
      <c r="H343" s="367">
        <v>0.0</v>
      </c>
      <c r="I343" s="367">
        <v>0.0</v>
      </c>
      <c r="J343" s="367">
        <v>0.0</v>
      </c>
      <c r="K343" s="367">
        <v>0.0</v>
      </c>
      <c r="L343" s="367">
        <v>0.0</v>
      </c>
      <c r="M343" s="367">
        <v>0.0</v>
      </c>
      <c r="N343" s="367">
        <v>0.0</v>
      </c>
      <c r="O343" s="367">
        <v>0.0</v>
      </c>
      <c r="P343" s="367">
        <v>0.0</v>
      </c>
      <c r="Q343" s="367">
        <v>0.0</v>
      </c>
      <c r="R343" s="367">
        <v>0.0</v>
      </c>
      <c r="S343" s="367">
        <v>0.0</v>
      </c>
      <c r="T343" s="367">
        <v>0.0</v>
      </c>
      <c r="U343" s="367">
        <v>0.0</v>
      </c>
      <c r="V343" s="367">
        <v>0.0</v>
      </c>
      <c r="W343" s="367">
        <v>0.0</v>
      </c>
      <c r="X343" s="367">
        <v>0.0</v>
      </c>
      <c r="Y343" s="367">
        <v>0.0</v>
      </c>
      <c r="Z343" s="367">
        <v>0.0</v>
      </c>
      <c r="AA343" s="367">
        <v>0.0</v>
      </c>
      <c r="AB343" s="367">
        <v>0.0</v>
      </c>
      <c r="AC343" s="367">
        <v>0.0</v>
      </c>
      <c r="AD343" s="367">
        <v>0.0</v>
      </c>
      <c r="AE343" s="367">
        <v>0.0</v>
      </c>
      <c r="AF343" s="368">
        <v>0.0</v>
      </c>
      <c r="AG343" s="277">
        <f t="shared" si="113"/>
        <v>0</v>
      </c>
    </row>
    <row r="344">
      <c r="A344" s="35"/>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0"/>
    </row>
    <row r="345">
      <c r="A345" s="274" t="s">
        <v>442</v>
      </c>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0"/>
    </row>
    <row r="346">
      <c r="A346" s="322" t="s">
        <v>443</v>
      </c>
      <c r="B346" s="369">
        <v>0.0</v>
      </c>
      <c r="C346" s="369">
        <v>0.0</v>
      </c>
      <c r="D346" s="369">
        <v>0.0</v>
      </c>
      <c r="E346" s="369">
        <v>0.0</v>
      </c>
      <c r="F346" s="369">
        <v>0.0</v>
      </c>
      <c r="G346" s="369">
        <v>0.0</v>
      </c>
      <c r="H346" s="369">
        <v>0.0</v>
      </c>
      <c r="I346" s="369">
        <v>0.0</v>
      </c>
      <c r="J346" s="369">
        <v>0.0</v>
      </c>
      <c r="K346" s="369">
        <v>0.0</v>
      </c>
      <c r="L346" s="369">
        <v>0.0</v>
      </c>
      <c r="M346" s="369">
        <v>0.0</v>
      </c>
      <c r="N346" s="369">
        <v>0.0</v>
      </c>
      <c r="O346" s="369">
        <v>0.0</v>
      </c>
      <c r="P346" s="369">
        <v>0.0</v>
      </c>
      <c r="Q346" s="369">
        <v>1.0</v>
      </c>
      <c r="R346" s="369">
        <v>1.0</v>
      </c>
      <c r="S346" s="369">
        <v>2.0</v>
      </c>
      <c r="T346" s="369">
        <v>0.0</v>
      </c>
      <c r="U346" s="369">
        <v>2.0</v>
      </c>
      <c r="V346" s="369">
        <v>0.0</v>
      </c>
      <c r="W346" s="369">
        <v>0.0</v>
      </c>
      <c r="X346" s="369">
        <v>0.0</v>
      </c>
      <c r="Y346" s="369">
        <v>0.0</v>
      </c>
      <c r="Z346" s="369">
        <v>0.0</v>
      </c>
      <c r="AA346" s="369">
        <v>1.0</v>
      </c>
      <c r="AB346" s="369">
        <v>0.0</v>
      </c>
      <c r="AC346" s="369">
        <v>1.0</v>
      </c>
      <c r="AD346" s="369">
        <v>0.0</v>
      </c>
      <c r="AE346" s="369">
        <v>1.0</v>
      </c>
      <c r="AF346" s="369">
        <v>0.0</v>
      </c>
      <c r="AG346" s="53">
        <f>SUM(B346:AF346)</f>
        <v>9</v>
      </c>
    </row>
    <row r="347">
      <c r="A347" s="35"/>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0"/>
    </row>
    <row r="348">
      <c r="A348" s="371" t="s">
        <v>445</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c r="AA348" s="93"/>
      <c r="AB348" s="93"/>
      <c r="AC348" s="93"/>
      <c r="AD348" s="93"/>
      <c r="AE348" s="93"/>
      <c r="AF348" s="93"/>
      <c r="AG348" s="374"/>
    </row>
    <row r="349">
      <c r="A349" s="375" t="s">
        <v>447</v>
      </c>
      <c r="B349" s="376">
        <f t="shared" ref="B349:AF349" si="114">SUM(B25:B29)</f>
        <v>11552.14825</v>
      </c>
      <c r="C349" s="376">
        <f t="shared" si="114"/>
        <v>13807.1164</v>
      </c>
      <c r="D349" s="378">
        <f t="shared" si="114"/>
        <v>15566.91163</v>
      </c>
      <c r="E349" s="379">
        <f t="shared" si="114"/>
        <v>17796.46558</v>
      </c>
      <c r="F349" s="381">
        <f t="shared" si="114"/>
        <v>17026.47725</v>
      </c>
      <c r="G349" s="382">
        <f t="shared" si="114"/>
        <v>17104.11108</v>
      </c>
      <c r="H349" s="383">
        <f t="shared" si="114"/>
        <v>17419.94611</v>
      </c>
      <c r="I349" s="384">
        <f t="shared" si="114"/>
        <v>18071.70367</v>
      </c>
      <c r="J349" s="385">
        <f t="shared" si="114"/>
        <v>21450.95892</v>
      </c>
      <c r="K349" s="386">
        <f t="shared" si="114"/>
        <v>20479.63081</v>
      </c>
      <c r="L349" s="387">
        <f t="shared" si="114"/>
        <v>18841.3319</v>
      </c>
      <c r="M349" s="388">
        <f t="shared" si="114"/>
        <v>13541.39655</v>
      </c>
      <c r="N349" s="389">
        <f t="shared" si="114"/>
        <v>13794.47181</v>
      </c>
      <c r="O349" s="390">
        <f t="shared" si="114"/>
        <v>17806.39495</v>
      </c>
      <c r="P349" s="391">
        <f t="shared" si="114"/>
        <v>23126.3704</v>
      </c>
      <c r="Q349" s="391">
        <f t="shared" si="114"/>
        <v>26312.79596</v>
      </c>
      <c r="R349" s="391">
        <f t="shared" si="114"/>
        <v>19570.22826</v>
      </c>
      <c r="S349" s="391">
        <f t="shared" si="114"/>
        <v>20940.0485</v>
      </c>
      <c r="T349" s="391">
        <f t="shared" si="114"/>
        <v>20539.34667</v>
      </c>
      <c r="U349" s="391">
        <f t="shared" si="114"/>
        <v>20662.60255</v>
      </c>
      <c r="V349" s="391">
        <f t="shared" si="114"/>
        <v>21667.35469</v>
      </c>
      <c r="W349" s="391">
        <f t="shared" si="114"/>
        <v>23771.22882</v>
      </c>
      <c r="X349" s="391">
        <f t="shared" si="114"/>
        <v>26237.85988</v>
      </c>
      <c r="Y349" s="391">
        <f t="shared" si="114"/>
        <v>19156.71531</v>
      </c>
      <c r="Z349" s="391">
        <f t="shared" si="114"/>
        <v>16751.03753</v>
      </c>
      <c r="AA349" s="391">
        <f t="shared" si="114"/>
        <v>16193.89579</v>
      </c>
      <c r="AB349" s="391">
        <f t="shared" si="114"/>
        <v>14426.30584</v>
      </c>
      <c r="AC349" s="391">
        <f t="shared" si="114"/>
        <v>13944.58068</v>
      </c>
      <c r="AD349" s="391">
        <f t="shared" si="114"/>
        <v>12952.91501</v>
      </c>
      <c r="AE349" s="391">
        <f t="shared" si="114"/>
        <v>12356.04668</v>
      </c>
      <c r="AF349" s="391">
        <f t="shared" si="114"/>
        <v>10587.08431</v>
      </c>
      <c r="AG349" s="167">
        <f t="shared" ref="AG349:AG367" si="116">SUM(B349:AF349)</f>
        <v>553455.4818</v>
      </c>
    </row>
    <row r="350">
      <c r="A350" s="392" t="s">
        <v>450</v>
      </c>
      <c r="B350" s="393">
        <f t="shared" ref="B350:AF350" si="115">B30</f>
        <v>0</v>
      </c>
      <c r="C350" s="393">
        <f t="shared" si="115"/>
        <v>0</v>
      </c>
      <c r="D350" s="393">
        <f t="shared" si="115"/>
        <v>0</v>
      </c>
      <c r="E350" s="393">
        <f t="shared" si="115"/>
        <v>0</v>
      </c>
      <c r="F350" s="393">
        <f t="shared" si="115"/>
        <v>0</v>
      </c>
      <c r="G350" s="393">
        <f t="shared" si="115"/>
        <v>0</v>
      </c>
      <c r="H350" s="393">
        <f t="shared" si="115"/>
        <v>0</v>
      </c>
      <c r="I350" s="393">
        <f t="shared" si="115"/>
        <v>0</v>
      </c>
      <c r="J350" s="393">
        <f t="shared" si="115"/>
        <v>0</v>
      </c>
      <c r="K350" s="393">
        <f t="shared" si="115"/>
        <v>0</v>
      </c>
      <c r="L350" s="393">
        <f t="shared" si="115"/>
        <v>0</v>
      </c>
      <c r="M350" s="393">
        <f t="shared" si="115"/>
        <v>0</v>
      </c>
      <c r="N350" s="393">
        <f t="shared" si="115"/>
        <v>0</v>
      </c>
      <c r="O350" s="393">
        <f t="shared" si="115"/>
        <v>0</v>
      </c>
      <c r="P350" s="393">
        <f t="shared" si="115"/>
        <v>0</v>
      </c>
      <c r="Q350" s="393">
        <f t="shared" si="115"/>
        <v>0</v>
      </c>
      <c r="R350" s="393">
        <f t="shared" si="115"/>
        <v>0</v>
      </c>
      <c r="S350" s="393">
        <f t="shared" si="115"/>
        <v>156.16</v>
      </c>
      <c r="T350" s="393">
        <f t="shared" si="115"/>
        <v>131.12</v>
      </c>
      <c r="U350" s="393">
        <f t="shared" si="115"/>
        <v>215.27</v>
      </c>
      <c r="V350" s="393">
        <f t="shared" si="115"/>
        <v>264.81</v>
      </c>
      <c r="W350" s="393">
        <f t="shared" si="115"/>
        <v>122.94</v>
      </c>
      <c r="X350" s="393">
        <f t="shared" si="115"/>
        <v>187.67</v>
      </c>
      <c r="Y350" s="393">
        <f t="shared" si="115"/>
        <v>229.7</v>
      </c>
      <c r="Z350" s="393">
        <f t="shared" si="115"/>
        <v>157.02</v>
      </c>
      <c r="AA350" s="393">
        <f t="shared" si="115"/>
        <v>108.61</v>
      </c>
      <c r="AB350" s="393">
        <f t="shared" si="115"/>
        <v>196.05</v>
      </c>
      <c r="AC350" s="393">
        <f t="shared" si="115"/>
        <v>49.05</v>
      </c>
      <c r="AD350" s="393">
        <f t="shared" si="115"/>
        <v>0</v>
      </c>
      <c r="AE350" s="393">
        <f t="shared" si="115"/>
        <v>136.42</v>
      </c>
      <c r="AF350" s="393">
        <f t="shared" si="115"/>
        <v>0</v>
      </c>
      <c r="AG350" s="395">
        <f t="shared" si="116"/>
        <v>1954.82</v>
      </c>
    </row>
    <row r="351">
      <c r="A351" s="375" t="s">
        <v>454</v>
      </c>
      <c r="B351" s="276">
        <f>(B53+B54)*'DATA - P&amp;L'!$C$3</f>
        <v>3997.4</v>
      </c>
      <c r="C351" s="276">
        <f>(C53+C54)*'DATA - P&amp;L'!$C$3</f>
        <v>4953.3</v>
      </c>
      <c r="D351" s="276">
        <f>(D53+D54)*'DATA - P&amp;L'!$C$3</f>
        <v>3910.5</v>
      </c>
      <c r="E351" s="276">
        <f>(E53+E54)*'DATA - P&amp;L'!$C$3</f>
        <v>3476</v>
      </c>
      <c r="F351" s="276">
        <f>(F53+F54)*'DATA - P&amp;L'!$C$3</f>
        <v>4431.9</v>
      </c>
      <c r="G351" s="276">
        <f>(G53+G54)*'DATA - P&amp;L'!$C$3</f>
        <v>4171.2</v>
      </c>
      <c r="H351" s="276">
        <f>(H53+H54)*'DATA - P&amp;L'!$C$3</f>
        <v>5561.6</v>
      </c>
      <c r="I351" s="276">
        <f>(I53+I54)*'DATA - P&amp;L'!$C$3</f>
        <v>4779.5</v>
      </c>
      <c r="J351" s="276">
        <f>(J53+J54)*'DATA - P&amp;L'!$C$3</f>
        <v>4518.8</v>
      </c>
      <c r="K351" s="276">
        <f>(K53+K54)*'DATA - P&amp;L'!$C$3</f>
        <v>5561.6</v>
      </c>
      <c r="L351" s="276">
        <f>(L53+L54)*'DATA - P&amp;L'!$C$3</f>
        <v>4866.4</v>
      </c>
      <c r="M351" s="276">
        <f>(M53+M54)*'DATA - P&amp;L'!$C$3</f>
        <v>5040.2</v>
      </c>
      <c r="N351" s="276">
        <f>(N53+N54)*'DATA - P&amp;L'!$C$3</f>
        <v>5387.8</v>
      </c>
      <c r="O351" s="276">
        <f>(O53+O54)*'DATA - P&amp;L'!$C$3</f>
        <v>6256.8</v>
      </c>
      <c r="P351" s="276">
        <f>(P53+P54)*'DATA - P&amp;L'!$C$3</f>
        <v>5561.6</v>
      </c>
      <c r="Q351" s="276">
        <f>(Q53+Q54)*'DATA - P&amp;L'!$C$3</f>
        <v>6343.7</v>
      </c>
      <c r="R351" s="276">
        <f>(R53+R54)*'DATA - P&amp;L'!$C$3</f>
        <v>2780.8</v>
      </c>
      <c r="S351" s="276">
        <f>(S53+S54)*'DATA - P&amp;L'!$C$3</f>
        <v>5040.2</v>
      </c>
      <c r="T351" s="276">
        <f>(T53+T54)*'DATA - P&amp;L'!$C$3</f>
        <v>3823.6</v>
      </c>
      <c r="U351" s="276">
        <f>(U53+U54)*'DATA - P&amp;L'!$C$3</f>
        <v>4084.3</v>
      </c>
      <c r="V351" s="276">
        <f>(V53+V54)*'DATA - P&amp;L'!$C$3</f>
        <v>4171.2</v>
      </c>
      <c r="W351" s="276">
        <f>(W53+W54)*'DATA - P&amp;L'!$C$3</f>
        <v>2607</v>
      </c>
      <c r="X351" s="276">
        <f>(X53+X54)*'DATA - P&amp;L'!$C$3</f>
        <v>2520.1</v>
      </c>
      <c r="Y351" s="276">
        <f>(Y53+Y54)*'DATA - P&amp;L'!$C$3</f>
        <v>1738</v>
      </c>
      <c r="Z351" s="276">
        <f>(Z53+Z54)*'DATA - P&amp;L'!$C$3</f>
        <v>2259.4</v>
      </c>
      <c r="AA351" s="276">
        <f>(AA53+AA54)*'DATA - P&amp;L'!$C$3</f>
        <v>2259.4</v>
      </c>
      <c r="AB351" s="276">
        <f>(AB53+AB54)*'DATA - P&amp;L'!$C$3</f>
        <v>3041.5</v>
      </c>
      <c r="AC351" s="276">
        <f>(AC53+AC54)*'DATA - P&amp;L'!$C$3</f>
        <v>3128.4</v>
      </c>
      <c r="AD351" s="276">
        <f>(AD53+AD54)*'DATA - P&amp;L'!$C$3</f>
        <v>1477.3</v>
      </c>
      <c r="AE351" s="276">
        <f>(AE53+AE54)*'DATA - P&amp;L'!$C$3</f>
        <v>2607</v>
      </c>
      <c r="AF351" s="276">
        <f>(AF53+AF54)*'DATA - P&amp;L'!$C$3</f>
        <v>2433.2</v>
      </c>
      <c r="AG351" s="167">
        <f t="shared" si="116"/>
        <v>122789.7</v>
      </c>
    </row>
    <row r="352">
      <c r="A352" s="375" t="s">
        <v>457</v>
      </c>
      <c r="B352" s="276">
        <f>(B55+B56)*'DATA - P&amp;L'!$C$4</f>
        <v>10249.05</v>
      </c>
      <c r="C352" s="276">
        <f>(C55+C56)*'DATA - P&amp;L'!$C$4</f>
        <v>8980.12</v>
      </c>
      <c r="D352" s="276">
        <f>(D55+D56)*'DATA - P&amp;L'!$C$4</f>
        <v>8687.29</v>
      </c>
      <c r="E352" s="276">
        <f>(E55+E56)*'DATA - P&amp;L'!$C$4</f>
        <v>10346.66</v>
      </c>
      <c r="F352" s="276">
        <f>(F55+F56)*'DATA - P&amp;L'!$C$4</f>
        <v>9370.56</v>
      </c>
      <c r="G352" s="276">
        <f>(G55+G56)*'DATA - P&amp;L'!$C$4</f>
        <v>10346.66</v>
      </c>
      <c r="H352" s="276">
        <f>(H55+H56)*'DATA - P&amp;L'!$C$4</f>
        <v>10346.66</v>
      </c>
      <c r="I352" s="276">
        <f>(I55+I56)*'DATA - P&amp;L'!$C$4</f>
        <v>13079.74</v>
      </c>
      <c r="J352" s="276">
        <f>(J55+J56)*'DATA - P&amp;L'!$C$4</f>
        <v>12298.86</v>
      </c>
      <c r="K352" s="276">
        <f>(K55+K56)*'DATA - P&amp;L'!$C$4</f>
        <v>10737.1</v>
      </c>
      <c r="L352" s="276">
        <f>(L55+L56)*'DATA - P&amp;L'!$C$4</f>
        <v>12201.25</v>
      </c>
      <c r="M352" s="276">
        <f>(M55+M56)*'DATA - P&amp;L'!$C$4</f>
        <v>12103.64</v>
      </c>
      <c r="N352" s="276">
        <f>(N55+N56)*'DATA - P&amp;L'!$C$4</f>
        <v>21962.25</v>
      </c>
      <c r="O352" s="276">
        <f>(O55+O56)*'DATA - P&amp;L'!$C$4</f>
        <v>18643.51</v>
      </c>
      <c r="P352" s="276">
        <f>(P55+P56)*'DATA - P&amp;L'!$C$4</f>
        <v>14934.33</v>
      </c>
      <c r="Q352" s="276">
        <f>(Q55+Q56)*'DATA - P&amp;L'!$C$4</f>
        <v>14543.89</v>
      </c>
      <c r="R352" s="276">
        <f>(R55+R56)*'DATA - P&amp;L'!$C$4</f>
        <v>8784.9</v>
      </c>
      <c r="S352" s="276">
        <f>(S55+S56)*'DATA - P&amp;L'!$C$4</f>
        <v>15129.55</v>
      </c>
      <c r="T352" s="276">
        <f>(T55+T56)*'DATA - P&amp;L'!$C$4</f>
        <v>10737.1</v>
      </c>
      <c r="U352" s="276">
        <f>(U55+U56)*'DATA - P&amp;L'!$C$4</f>
        <v>12103.64</v>
      </c>
      <c r="V352" s="276">
        <f>(V55+V56)*'DATA - P&amp;L'!$C$4</f>
        <v>10346.66</v>
      </c>
      <c r="W352" s="276">
        <f>(W55+W56)*'DATA - P&amp;L'!$C$4</f>
        <v>11322.76</v>
      </c>
      <c r="X352" s="276">
        <f>(X55+X56)*'DATA - P&amp;L'!$C$4</f>
        <v>9370.56</v>
      </c>
      <c r="Y352" s="276">
        <f>(Y55+Y56)*'DATA - P&amp;L'!$C$4</f>
        <v>8199.24</v>
      </c>
      <c r="Z352" s="276">
        <f>(Z55+Z56)*'DATA - P&amp;L'!$C$4</f>
        <v>8394.46</v>
      </c>
      <c r="AA352" s="276">
        <f>(AA55+AA56)*'DATA - P&amp;L'!$C$4</f>
        <v>7808.8</v>
      </c>
      <c r="AB352" s="276">
        <f>(AB55+AB56)*'DATA - P&amp;L'!$C$4</f>
        <v>8199.24</v>
      </c>
      <c r="AC352" s="276">
        <f>(AC55+AC56)*'DATA - P&amp;L'!$C$4</f>
        <v>7418.36</v>
      </c>
      <c r="AD352" s="276">
        <f>(AD55+AD56)*'DATA - P&amp;L'!$C$4</f>
        <v>8394.46</v>
      </c>
      <c r="AE352" s="276">
        <f>(AE55+AE56)*'DATA - P&amp;L'!$C$4</f>
        <v>7418.36</v>
      </c>
      <c r="AF352" s="276">
        <f>(AF55+AF56)*'DATA - P&amp;L'!$C$4</f>
        <v>9175.34</v>
      </c>
      <c r="AG352" s="167">
        <f t="shared" si="116"/>
        <v>341635</v>
      </c>
    </row>
    <row r="353">
      <c r="A353" s="375" t="s">
        <v>459</v>
      </c>
      <c r="B353" s="276">
        <f>B59*'DATA - P&amp;L'!$C$6</f>
        <v>290.97</v>
      </c>
      <c r="C353" s="276">
        <f>C59*'DATA - P&amp;L'!$C$6</f>
        <v>285.48</v>
      </c>
      <c r="D353" s="276">
        <f>D59*'DATA - P&amp;L'!$C$6</f>
        <v>175.68</v>
      </c>
      <c r="E353" s="276">
        <f>E59*'DATA - P&amp;L'!$C$6</f>
        <v>203.13</v>
      </c>
      <c r="F353" s="276">
        <f>F59*'DATA - P&amp;L'!$C$6</f>
        <v>241.56</v>
      </c>
      <c r="G353" s="276">
        <f>G59*'DATA - P&amp;L'!$C$6</f>
        <v>236.07</v>
      </c>
      <c r="H353" s="276">
        <f>H59*'DATA - P&amp;L'!$C$6</f>
        <v>263.52</v>
      </c>
      <c r="I353" s="276">
        <f>I59*'DATA - P&amp;L'!$C$6</f>
        <v>389.79</v>
      </c>
      <c r="J353" s="276">
        <f>J59*'DATA - P&amp;L'!$C$6</f>
        <v>395.28</v>
      </c>
      <c r="K353" s="276">
        <f>K59*'DATA - P&amp;L'!$C$6</f>
        <v>340.38</v>
      </c>
      <c r="L353" s="276">
        <f>L59*'DATA - P&amp;L'!$C$6</f>
        <v>307.44</v>
      </c>
      <c r="M353" s="276">
        <f>M59*'DATA - P&amp;L'!$C$6</f>
        <v>252.54</v>
      </c>
      <c r="N353" s="276">
        <f>N59*'DATA - P&amp;L'!$C$6</f>
        <v>461.16</v>
      </c>
      <c r="O353" s="276">
        <f>O59*'DATA - P&amp;L'!$C$6</f>
        <v>378.81</v>
      </c>
      <c r="P353" s="276">
        <f>P59*'DATA - P&amp;L'!$C$6</f>
        <v>472.14</v>
      </c>
      <c r="Q353" s="276">
        <f>Q59*'DATA - P&amp;L'!$C$6</f>
        <v>450.18</v>
      </c>
      <c r="R353" s="276">
        <f>R59*'DATA - P&amp;L'!$C$6</f>
        <v>186.66</v>
      </c>
      <c r="S353" s="276">
        <f>S59*'DATA - P&amp;L'!$C$6</f>
        <v>433.71</v>
      </c>
      <c r="T353" s="276">
        <f>T59*'DATA - P&amp;L'!$C$6</f>
        <v>258.03</v>
      </c>
      <c r="U353" s="276">
        <f>U59*'DATA - P&amp;L'!$C$6</f>
        <v>323.91</v>
      </c>
      <c r="V353" s="276">
        <f>V59*'DATA - P&amp;L'!$C$6</f>
        <v>274.5</v>
      </c>
      <c r="W353" s="276">
        <f>W59*'DATA - P&amp;L'!$C$6</f>
        <v>340.38</v>
      </c>
      <c r="X353" s="276">
        <f>X59*'DATA - P&amp;L'!$C$6</f>
        <v>307.44</v>
      </c>
      <c r="Y353" s="276">
        <f>Y59*'DATA - P&amp;L'!$C$6</f>
        <v>203.13</v>
      </c>
      <c r="Z353" s="276">
        <f>Z59*'DATA - P&amp;L'!$C$6</f>
        <v>230.58</v>
      </c>
      <c r="AA353" s="276">
        <f>AA59*'DATA - P&amp;L'!$C$6</f>
        <v>148.23</v>
      </c>
      <c r="AB353" s="276">
        <f>AB59*'DATA - P&amp;L'!$C$6</f>
        <v>225.09</v>
      </c>
      <c r="AC353" s="276">
        <f>AC59*'DATA - P&amp;L'!$C$6</f>
        <v>175.68</v>
      </c>
      <c r="AD353" s="276">
        <f>AD59*'DATA - P&amp;L'!$C$6</f>
        <v>225.09</v>
      </c>
      <c r="AE353" s="276">
        <f>AE59*'DATA - P&amp;L'!$C$6</f>
        <v>203.13</v>
      </c>
      <c r="AF353" s="276">
        <f>AF59*'DATA - P&amp;L'!$C$6</f>
        <v>263.52</v>
      </c>
      <c r="AG353" s="167">
        <f t="shared" si="116"/>
        <v>8943.21</v>
      </c>
    </row>
    <row r="354">
      <c r="A354" s="375" t="s">
        <v>468</v>
      </c>
      <c r="B354" s="276">
        <f>B60*'DATA - P&amp;L'!$C$8</f>
        <v>30.94</v>
      </c>
      <c r="C354" s="276">
        <f>C60*'DATA - P&amp;L'!$C$8</f>
        <v>44.03</v>
      </c>
      <c r="D354" s="276">
        <f>D60*'DATA - P&amp;L'!$C$8</f>
        <v>26.18</v>
      </c>
      <c r="E354" s="276">
        <f>E60*'DATA - P&amp;L'!$C$8</f>
        <v>33.32</v>
      </c>
      <c r="F354" s="276">
        <f>F60*'DATA - P&amp;L'!$C$8</f>
        <v>28.56</v>
      </c>
      <c r="G354" s="276">
        <f>G60*'DATA - P&amp;L'!$C$8</f>
        <v>22.61</v>
      </c>
      <c r="H354" s="276">
        <f>H60*'DATA - P&amp;L'!$C$8</f>
        <v>19.04</v>
      </c>
      <c r="I354" s="276">
        <f>I60*'DATA - P&amp;L'!$C$8</f>
        <v>39.27</v>
      </c>
      <c r="J354" s="276">
        <f>J60*'DATA - P&amp;L'!$C$8</f>
        <v>29.75</v>
      </c>
      <c r="K354" s="276">
        <f>K60*'DATA - P&amp;L'!$C$8</f>
        <v>34.51</v>
      </c>
      <c r="L354" s="276">
        <f>L60*'DATA - P&amp;L'!$C$8</f>
        <v>28.56</v>
      </c>
      <c r="M354" s="276">
        <f>M60*'DATA - P&amp;L'!$C$8</f>
        <v>30.94</v>
      </c>
      <c r="N354" s="276">
        <f>N60*'DATA - P&amp;L'!$C$8</f>
        <v>55.93</v>
      </c>
      <c r="O354" s="276">
        <f>O60*'DATA - P&amp;L'!$C$8</f>
        <v>47.6</v>
      </c>
      <c r="P354" s="276">
        <f>P60*'DATA - P&amp;L'!$C$8</f>
        <v>47.6</v>
      </c>
      <c r="Q354" s="276">
        <f>Q60*'DATA - P&amp;L'!$C$8</f>
        <v>46.41</v>
      </c>
      <c r="R354" s="276">
        <f>R60*'DATA - P&amp;L'!$C$8</f>
        <v>28.56</v>
      </c>
      <c r="S354" s="276">
        <f>S60*'DATA - P&amp;L'!$C$8</f>
        <v>42.84</v>
      </c>
      <c r="T354" s="276">
        <f>T60*'DATA - P&amp;L'!$C$8</f>
        <v>39.27</v>
      </c>
      <c r="U354" s="276">
        <f>U60*'DATA - P&amp;L'!$C$8</f>
        <v>38.08</v>
      </c>
      <c r="V354" s="276">
        <f>V60*'DATA - P&amp;L'!$C$8</f>
        <v>32.13</v>
      </c>
      <c r="W354" s="276">
        <f>W60*'DATA - P&amp;L'!$C$8</f>
        <v>32.13</v>
      </c>
      <c r="X354" s="276">
        <f>X60*'DATA - P&amp;L'!$C$8</f>
        <v>30.94</v>
      </c>
      <c r="Y354" s="276">
        <f>Y60*'DATA - P&amp;L'!$C$8</f>
        <v>28.56</v>
      </c>
      <c r="Z354" s="276">
        <f>Z60*'DATA - P&amp;L'!$C$8</f>
        <v>22.61</v>
      </c>
      <c r="AA354" s="276">
        <f>AA60*'DATA - P&amp;L'!$C$8</f>
        <v>24.99</v>
      </c>
      <c r="AB354" s="276">
        <f>AB60*'DATA - P&amp;L'!$C$8</f>
        <v>16.66</v>
      </c>
      <c r="AC354" s="276">
        <f>AC60*'DATA - P&amp;L'!$C$8</f>
        <v>17.85</v>
      </c>
      <c r="AD354" s="276">
        <f>AD60*'DATA - P&amp;L'!$C$8</f>
        <v>21.42</v>
      </c>
      <c r="AE354" s="276">
        <f>AE60*'DATA - P&amp;L'!$C$8</f>
        <v>27.37</v>
      </c>
      <c r="AF354" s="276">
        <f>AF60*'DATA - P&amp;L'!$C$8</f>
        <v>22.61</v>
      </c>
      <c r="AG354" s="167">
        <f t="shared" si="116"/>
        <v>991.27</v>
      </c>
    </row>
    <row r="355">
      <c r="A355" s="375" t="s">
        <v>477</v>
      </c>
      <c r="B355" s="276">
        <f>(B61+B62)*'DATA - P&amp;L'!$C$9</f>
        <v>239.76</v>
      </c>
      <c r="C355" s="276">
        <f>(C61+C62)*'DATA - P&amp;L'!$C$9</f>
        <v>286.38</v>
      </c>
      <c r="D355" s="276">
        <f>(D61+D62)*'DATA - P&amp;L'!$C$9</f>
        <v>146.52</v>
      </c>
      <c r="E355" s="276">
        <f>(E61+E62)*'DATA - P&amp;L'!$C$9</f>
        <v>226.44</v>
      </c>
      <c r="F355" s="276">
        <f>(F61+F62)*'DATA - P&amp;L'!$C$9</f>
        <v>153.18</v>
      </c>
      <c r="G355" s="276">
        <f>(G61+G62)*'DATA - P&amp;L'!$C$9</f>
        <v>186.48</v>
      </c>
      <c r="H355" s="276">
        <f>(H61+H62)*'DATA - P&amp;L'!$C$9</f>
        <v>126.54</v>
      </c>
      <c r="I355" s="276">
        <f>(I61+I62)*'DATA - P&amp;L'!$C$9</f>
        <v>259.74</v>
      </c>
      <c r="J355" s="276">
        <f>(J61+J62)*'DATA - P&amp;L'!$C$9</f>
        <v>253.08</v>
      </c>
      <c r="K355" s="276">
        <f>(K61+K62)*'DATA - P&amp;L'!$C$9</f>
        <v>239.76</v>
      </c>
      <c r="L355" s="276">
        <f>(L61+L62)*'DATA - P&amp;L'!$C$9</f>
        <v>173.16</v>
      </c>
      <c r="M355" s="276">
        <f>(M61+M62)*'DATA - P&amp;L'!$C$9</f>
        <v>186.48</v>
      </c>
      <c r="N355" s="276">
        <f>(N61+N62)*'DATA - P&amp;L'!$C$9</f>
        <v>366.3</v>
      </c>
      <c r="O355" s="276">
        <f>(O61+O62)*'DATA - P&amp;L'!$C$9</f>
        <v>326.34</v>
      </c>
      <c r="P355" s="276">
        <f>(P61+P62)*'DATA - P&amp;L'!$C$9</f>
        <v>326.34</v>
      </c>
      <c r="Q355" s="276">
        <f>(Q61+Q62)*'DATA - P&amp;L'!$C$9</f>
        <v>253.08</v>
      </c>
      <c r="R355" s="276">
        <f>(R61+R62)*'DATA - P&amp;L'!$C$9</f>
        <v>119.88</v>
      </c>
      <c r="S355" s="276">
        <f>(S61+S62)*'DATA - P&amp;L'!$C$9</f>
        <v>233.1</v>
      </c>
      <c r="T355" s="276">
        <f>(T61+T62)*'DATA - P&amp;L'!$C$9</f>
        <v>199.8</v>
      </c>
      <c r="U355" s="276">
        <f>(U61+U62)*'DATA - P&amp;L'!$C$9</f>
        <v>219.78</v>
      </c>
      <c r="V355" s="276">
        <f>(V61+V62)*'DATA - P&amp;L'!$C$9</f>
        <v>259.74</v>
      </c>
      <c r="W355" s="276">
        <f>(W61+W62)*'DATA - P&amp;L'!$C$9</f>
        <v>193.14</v>
      </c>
      <c r="X355" s="276">
        <f>(X61+X62)*'DATA - P&amp;L'!$C$9</f>
        <v>239.76</v>
      </c>
      <c r="Y355" s="276">
        <f>(Y61+Y62)*'DATA - P&amp;L'!$C$9</f>
        <v>133.2</v>
      </c>
      <c r="Z355" s="276">
        <f>(Z61+Z62)*'DATA - P&amp;L'!$C$9</f>
        <v>113.22</v>
      </c>
      <c r="AA355" s="276">
        <f>(AA61+AA62)*'DATA - P&amp;L'!$C$9</f>
        <v>159.84</v>
      </c>
      <c r="AB355" s="276">
        <f>(AB61+AB62)*'DATA - P&amp;L'!$C$9</f>
        <v>99.9</v>
      </c>
      <c r="AC355" s="276">
        <f>(AC61+AC62)*'DATA - P&amp;L'!$C$9</f>
        <v>113.22</v>
      </c>
      <c r="AD355" s="276">
        <f>(AD61+AD62)*'DATA - P&amp;L'!$C$9</f>
        <v>73.26</v>
      </c>
      <c r="AE355" s="276">
        <f>(AE61+AE62)*'DATA - P&amp;L'!$C$9</f>
        <v>153.18</v>
      </c>
      <c r="AF355" s="276">
        <f>(AF61+AF62)*'DATA - P&amp;L'!$C$9</f>
        <v>126.54</v>
      </c>
      <c r="AG355" s="167">
        <f t="shared" si="116"/>
        <v>6187.14</v>
      </c>
    </row>
    <row r="356">
      <c r="A356" s="375" t="s">
        <v>480</v>
      </c>
      <c r="B356" s="276">
        <f>(B63+B64)*'DATA - P&amp;L'!$C$5</f>
        <v>255.36</v>
      </c>
      <c r="C356" s="276">
        <f>(C63+C64)*'DATA - P&amp;L'!$C$5</f>
        <v>241.92</v>
      </c>
      <c r="D356" s="276">
        <f>(D63+D64)*'DATA - P&amp;L'!$C$5</f>
        <v>241.92</v>
      </c>
      <c r="E356" s="276">
        <f>(E63+E64)*'DATA - P&amp;L'!$C$5</f>
        <v>309.12</v>
      </c>
      <c r="F356" s="276">
        <f>(F63+F64)*'DATA - P&amp;L'!$C$5</f>
        <v>174.72</v>
      </c>
      <c r="G356" s="276">
        <f>(G63+G64)*'DATA - P&amp;L'!$C$5</f>
        <v>255.36</v>
      </c>
      <c r="H356" s="276">
        <f>(H63+H64)*'DATA - P&amp;L'!$C$5</f>
        <v>241.92</v>
      </c>
      <c r="I356" s="276">
        <f>(I63+I64)*'DATA - P&amp;L'!$C$5</f>
        <v>322.56</v>
      </c>
      <c r="J356" s="276">
        <f>(J63+J64)*'DATA - P&amp;L'!$C$5</f>
        <v>336</v>
      </c>
      <c r="K356" s="276">
        <f>(K63+K64)*'DATA - P&amp;L'!$C$5</f>
        <v>362.88</v>
      </c>
      <c r="L356" s="276">
        <f>(L63+L64)*'DATA - P&amp;L'!$C$5</f>
        <v>161.28</v>
      </c>
      <c r="M356" s="276">
        <f>(M63+M64)*'DATA - P&amp;L'!$C$5</f>
        <v>188.16</v>
      </c>
      <c r="N356" s="276">
        <f>(N63+N64)*'DATA - P&amp;L'!$C$5</f>
        <v>470.4</v>
      </c>
      <c r="O356" s="276">
        <f>(O63+O64)*'DATA - P&amp;L'!$C$5</f>
        <v>336</v>
      </c>
      <c r="P356" s="276">
        <f>(P63+P64)*'DATA - P&amp;L'!$C$5</f>
        <v>295.68</v>
      </c>
      <c r="Q356" s="276">
        <f>(Q63+Q64)*'DATA - P&amp;L'!$C$5</f>
        <v>228.48</v>
      </c>
      <c r="R356" s="276">
        <f>(R63+R64)*'DATA - P&amp;L'!$C$5</f>
        <v>228.48</v>
      </c>
      <c r="S356" s="276">
        <f>(S63+S64)*'DATA - P&amp;L'!$C$5</f>
        <v>268.8</v>
      </c>
      <c r="T356" s="276">
        <f>(T63+T64)*'DATA - P&amp;L'!$C$5</f>
        <v>134.4</v>
      </c>
      <c r="U356" s="276">
        <f>(U63+U64)*'DATA - P&amp;L'!$C$5</f>
        <v>282.24</v>
      </c>
      <c r="V356" s="276">
        <f>(V63+V64)*'DATA - P&amp;L'!$C$5</f>
        <v>215.04</v>
      </c>
      <c r="W356" s="276">
        <f>(W63+W64)*'DATA - P&amp;L'!$C$5</f>
        <v>228.48</v>
      </c>
      <c r="X356" s="276">
        <f>(X63+X64)*'DATA - P&amp;L'!$C$5</f>
        <v>268.8</v>
      </c>
      <c r="Y356" s="276">
        <f>(Y63+Y64)*'DATA - P&amp;L'!$C$5</f>
        <v>147.84</v>
      </c>
      <c r="Z356" s="276">
        <f>(Z63+Z64)*'DATA - P&amp;L'!$C$5</f>
        <v>228.48</v>
      </c>
      <c r="AA356" s="276">
        <f>(AA63+AA64)*'DATA - P&amp;L'!$C$5</f>
        <v>147.84</v>
      </c>
      <c r="AB356" s="276">
        <f>(AB63+AB64)*'DATA - P&amp;L'!$C$5</f>
        <v>134.4</v>
      </c>
      <c r="AC356" s="276">
        <f>(AC63+AC64)*'DATA - P&amp;L'!$C$5</f>
        <v>147.84</v>
      </c>
      <c r="AD356" s="276">
        <f>(AD63+AD64)*'DATA - P&amp;L'!$C$5</f>
        <v>268.8</v>
      </c>
      <c r="AE356" s="276">
        <f>(AE63+AE64)*'DATA - P&amp;L'!$C$5</f>
        <v>215.04</v>
      </c>
      <c r="AF356" s="276">
        <f>(AF63+AF64)*'DATA - P&amp;L'!$C$5</f>
        <v>161.28</v>
      </c>
      <c r="AG356" s="167">
        <f t="shared" si="116"/>
        <v>7499.52</v>
      </c>
    </row>
    <row r="357">
      <c r="A357" s="375" t="s">
        <v>482</v>
      </c>
      <c r="B357" s="440">
        <f>(B65+B66)*'DATA - P&amp;L'!$C$10</f>
        <v>0</v>
      </c>
      <c r="C357" s="440">
        <f>(C65+C66)*'DATA - P&amp;L'!$C$10</f>
        <v>0</v>
      </c>
      <c r="D357" s="440">
        <f>(D65+D66)*'DATA - P&amp;L'!$C$10</f>
        <v>0</v>
      </c>
      <c r="E357" s="440">
        <f>(E65+E66)*'DATA - P&amp;L'!$C$10</f>
        <v>0</v>
      </c>
      <c r="F357" s="440">
        <f>(F65+F66)*'DATA - P&amp;L'!$C$10</f>
        <v>0</v>
      </c>
      <c r="G357" s="440">
        <f>(G65+G66)*'DATA - P&amp;L'!$C$10</f>
        <v>0</v>
      </c>
      <c r="H357" s="440">
        <f>(H65+H66)*'DATA - P&amp;L'!$C$10</f>
        <v>0</v>
      </c>
      <c r="I357" s="440">
        <f>(I65+I66)*'DATA - P&amp;L'!$C$10</f>
        <v>0</v>
      </c>
      <c r="J357" s="440">
        <f>(J65+J66)*'DATA - P&amp;L'!$C$10</f>
        <v>0</v>
      </c>
      <c r="K357" s="440">
        <f>(K65+K66)*'DATA - P&amp;L'!$C$10</f>
        <v>0</v>
      </c>
      <c r="L357" s="440">
        <f>(L65+L66)*'DATA - P&amp;L'!$C$10</f>
        <v>0</v>
      </c>
      <c r="M357" s="440">
        <f>(M65+M66)*'DATA - P&amp;L'!$C$10</f>
        <v>0</v>
      </c>
      <c r="N357" s="440">
        <f>(N65+N66)*'DATA - P&amp;L'!$C$10</f>
        <v>0</v>
      </c>
      <c r="O357" s="440">
        <f>(O65+O66)*'DATA - P&amp;L'!$C$10</f>
        <v>0</v>
      </c>
      <c r="P357" s="440">
        <f>(P65+P66)*'DATA - P&amp;L'!$C$10</f>
        <v>0</v>
      </c>
      <c r="Q357" s="440">
        <f>(Q65+Q66)*'DATA - P&amp;L'!$C$10</f>
        <v>0</v>
      </c>
      <c r="R357" s="440">
        <f>(R65+R66)*'DATA - P&amp;L'!$C$10</f>
        <v>0</v>
      </c>
      <c r="S357" s="440">
        <f>(S65+S66)*'DATA - P&amp;L'!$C$10</f>
        <v>0</v>
      </c>
      <c r="T357" s="440">
        <f>(T65+T66)*'DATA - P&amp;L'!$C$10</f>
        <v>0</v>
      </c>
      <c r="U357" s="440">
        <f>(U65+U66)*'DATA - P&amp;L'!$C$10</f>
        <v>0</v>
      </c>
      <c r="V357" s="440">
        <f>(V65+V66)*'DATA - P&amp;L'!$C$10</f>
        <v>0</v>
      </c>
      <c r="W357" s="440">
        <f>(W65+W66)*'DATA - P&amp;L'!$C$10</f>
        <v>0</v>
      </c>
      <c r="X357" s="440">
        <f>(X65+X66)*'DATA - P&amp;L'!$C$10</f>
        <v>0</v>
      </c>
      <c r="Y357" s="440">
        <f>(Y65+Y66)*'DATA - P&amp;L'!$C$10</f>
        <v>0</v>
      </c>
      <c r="Z357" s="440">
        <f>(Z65+Z66)*'DATA - P&amp;L'!$C$10</f>
        <v>0</v>
      </c>
      <c r="AA357" s="440">
        <f>(AA65+AA66)*'DATA - P&amp;L'!$C$10</f>
        <v>0</v>
      </c>
      <c r="AB357" s="440">
        <f>(AB65+AB66)*'DATA - P&amp;L'!$C$10</f>
        <v>0</v>
      </c>
      <c r="AC357" s="440">
        <f>(AC65+AC66)*'DATA - P&amp;L'!$C$10</f>
        <v>0</v>
      </c>
      <c r="AD357" s="440">
        <f>(AD65+AD66)*'DATA - P&amp;L'!$C$10</f>
        <v>0</v>
      </c>
      <c r="AE357" s="440">
        <f>(AE65+AE66)*'DATA - P&amp;L'!$C$10</f>
        <v>0</v>
      </c>
      <c r="AF357" s="440">
        <f>(AF65+AF66)*'DATA - P&amp;L'!$C$10</f>
        <v>0</v>
      </c>
      <c r="AG357" s="167">
        <f t="shared" si="116"/>
        <v>0</v>
      </c>
    </row>
    <row r="358">
      <c r="A358" s="392" t="s">
        <v>484</v>
      </c>
      <c r="B358" s="449">
        <f>B70*'DATA - P&amp;L'!$C$11</f>
        <v>0</v>
      </c>
      <c r="C358" s="449">
        <f>C70*'DATA - P&amp;L'!$C$11</f>
        <v>0</v>
      </c>
      <c r="D358" s="449">
        <f>D70*'DATA - P&amp;L'!$C$11</f>
        <v>0</v>
      </c>
      <c r="E358" s="449">
        <f>E70*'DATA - P&amp;L'!$C$11</f>
        <v>0</v>
      </c>
      <c r="F358" s="449">
        <f>F70*'DATA - P&amp;L'!$C$11</f>
        <v>0</v>
      </c>
      <c r="G358" s="449">
        <f>G70*'DATA - P&amp;L'!$C$11</f>
        <v>0</v>
      </c>
      <c r="H358" s="449">
        <f>H70*'DATA - P&amp;L'!$C$11</f>
        <v>0</v>
      </c>
      <c r="I358" s="449">
        <f>I70*'DATA - P&amp;L'!$C$11</f>
        <v>0</v>
      </c>
      <c r="J358" s="449">
        <f>J70*'DATA - P&amp;L'!$C$11</f>
        <v>0</v>
      </c>
      <c r="K358" s="449">
        <f>K70*'DATA - P&amp;L'!$C$11</f>
        <v>0</v>
      </c>
      <c r="L358" s="449">
        <f>L70*'DATA - P&amp;L'!$C$11</f>
        <v>0</v>
      </c>
      <c r="M358" s="449">
        <f>M70*'DATA - P&amp;L'!$C$11</f>
        <v>0</v>
      </c>
      <c r="N358" s="449">
        <f>N70*'DATA - P&amp;L'!$C$11</f>
        <v>0</v>
      </c>
      <c r="O358" s="449">
        <f>O70*'DATA - P&amp;L'!$C$11</f>
        <v>0</v>
      </c>
      <c r="P358" s="449">
        <f>P70*'DATA - P&amp;L'!$C$11</f>
        <v>0</v>
      </c>
      <c r="Q358" s="449">
        <f>Q70*'DATA - P&amp;L'!$C$11</f>
        <v>0</v>
      </c>
      <c r="R358" s="449">
        <f>R70*'DATA - P&amp;L'!$C$11</f>
        <v>0</v>
      </c>
      <c r="S358" s="449">
        <f>S70*'DATA - P&amp;L'!$C$11</f>
        <v>0</v>
      </c>
      <c r="T358" s="449">
        <f>T70*'DATA - P&amp;L'!$C$11</f>
        <v>0</v>
      </c>
      <c r="U358" s="449">
        <f>U70*'DATA - P&amp;L'!$C$11</f>
        <v>0</v>
      </c>
      <c r="V358" s="449">
        <f>V70*'DATA - P&amp;L'!$C$11</f>
        <v>0</v>
      </c>
      <c r="W358" s="449">
        <f>W70*'DATA - P&amp;L'!$C$11</f>
        <v>0</v>
      </c>
      <c r="X358" s="449">
        <f>X70*'DATA - P&amp;L'!$C$11</f>
        <v>0</v>
      </c>
      <c r="Y358" s="449">
        <f>Y70*'DATA - P&amp;L'!$C$11</f>
        <v>0</v>
      </c>
      <c r="Z358" s="449">
        <f>Z70*'DATA - P&amp;L'!$C$11</f>
        <v>0</v>
      </c>
      <c r="AA358" s="449">
        <f>AA70*'DATA - P&amp;L'!$C$11</f>
        <v>0</v>
      </c>
      <c r="AB358" s="449">
        <f>AB70*'DATA - P&amp;L'!$C$11</f>
        <v>0</v>
      </c>
      <c r="AC358" s="449">
        <f>AC70*'DATA - P&amp;L'!$C$11</f>
        <v>0</v>
      </c>
      <c r="AD358" s="449">
        <f>AD70*'DATA - P&amp;L'!$C$11</f>
        <v>0</v>
      </c>
      <c r="AE358" s="449">
        <f>AE70*'DATA - P&amp;L'!$C$11</f>
        <v>0</v>
      </c>
      <c r="AF358" s="449">
        <f>AF70*'DATA - P&amp;L'!$C$11</f>
        <v>0</v>
      </c>
      <c r="AG358" s="167">
        <f t="shared" si="116"/>
        <v>0</v>
      </c>
    </row>
    <row r="359">
      <c r="A359" s="375" t="s">
        <v>489</v>
      </c>
      <c r="B359" s="276">
        <f>(B50*'DATA - P&amp;L'!$L$12*'DATA - P&amp;L'!$L$3)+(B50*'DATA - P&amp;L'!$L$13*'DATA - P&amp;L'!$L$14)</f>
        <v>1389.614226</v>
      </c>
      <c r="C359" s="276">
        <f>(C50*'DATA - P&amp;L'!$L$12*'DATA - P&amp;L'!$L$3)+(C50*'DATA - P&amp;L'!$L$13*'DATA - P&amp;L'!$L$14)</f>
        <v>1372.260881</v>
      </c>
      <c r="D359" s="276">
        <f>(D50*'DATA - P&amp;L'!$L$12*'DATA - P&amp;L'!$L$3)+(D50*'DATA - P&amp;L'!$L$13*'DATA - P&amp;L'!$L$14)</f>
        <v>1185.179705</v>
      </c>
      <c r="E359" s="276">
        <f>(E50*'DATA - P&amp;L'!$L$12*'DATA - P&amp;L'!$L$3)+(E50*'DATA - P&amp;L'!$L$13*'DATA - P&amp;L'!$L$14)</f>
        <v>1297.685244</v>
      </c>
      <c r="F359" s="276">
        <f>(F50*'DATA - P&amp;L'!$L$12*'DATA - P&amp;L'!$L$3)+(F50*'DATA - P&amp;L'!$L$13*'DATA - P&amp;L'!$L$14)</f>
        <v>1249.857976</v>
      </c>
      <c r="G359" s="276">
        <f>(G50*'DATA - P&amp;L'!$L$12*'DATA - P&amp;L'!$L$3)+(G50*'DATA - P&amp;L'!$L$13*'DATA - P&amp;L'!$L$14)</f>
        <v>1343.813377</v>
      </c>
      <c r="H359" s="276">
        <f>(H50*'DATA - P&amp;L'!$L$12*'DATA - P&amp;L'!$L$3)+(H50*'DATA - P&amp;L'!$L$13*'DATA - P&amp;L'!$L$14)</f>
        <v>1413.928212</v>
      </c>
      <c r="I359" s="276">
        <f>(I50*'DATA - P&amp;L'!$L$12*'DATA - P&amp;L'!$L$3)+(I50*'DATA - P&amp;L'!$L$13*'DATA - P&amp;L'!$L$14)</f>
        <v>1669.140427</v>
      </c>
      <c r="J359" s="276">
        <f>(J50*'DATA - P&amp;L'!$L$12*'DATA - P&amp;L'!$L$3)+(J50*'DATA - P&amp;L'!$L$13*'DATA - P&amp;L'!$L$14)</f>
        <v>1590.536308</v>
      </c>
      <c r="K359" s="276">
        <f>(K50*'DATA - P&amp;L'!$L$12*'DATA - P&amp;L'!$L$3)+(K50*'DATA - P&amp;L'!$L$13*'DATA - P&amp;L'!$L$14)</f>
        <v>1513.817953</v>
      </c>
      <c r="L359" s="276">
        <f>(L50*'DATA - P&amp;L'!$L$12*'DATA - P&amp;L'!$L$3)+(L50*'DATA - P&amp;L'!$L$13*'DATA - P&amp;L'!$L$14)</f>
        <v>1505.384688</v>
      </c>
      <c r="M359" s="276">
        <f>(M50*'DATA - P&amp;L'!$L$12*'DATA - P&amp;L'!$L$3)+(M50*'DATA - P&amp;L'!$L$13*'DATA - P&amp;L'!$L$14)</f>
        <v>1520.115501</v>
      </c>
      <c r="N359" s="276">
        <f>(N50*'DATA - P&amp;L'!$L$12*'DATA - P&amp;L'!$L$3)+(N50*'DATA - P&amp;L'!$L$13*'DATA - P&amp;L'!$L$14)</f>
        <v>2390.097207</v>
      </c>
      <c r="O359" s="276">
        <f>(O50*'DATA - P&amp;L'!$L$12*'DATA - P&amp;L'!$L$3)+(O50*'DATA - P&amp;L'!$L$13*'DATA - P&amp;L'!$L$14)</f>
        <v>2142.502332</v>
      </c>
      <c r="P359" s="276">
        <f>(P50*'DATA - P&amp;L'!$L$12*'DATA - P&amp;L'!$L$3)+(P50*'DATA - P&amp;L'!$L$13*'DATA - P&amp;L'!$L$14)</f>
        <v>1827.8152</v>
      </c>
      <c r="Q359" s="276">
        <f>(Q50*'DATA - P&amp;L'!$L$12*'DATA - P&amp;L'!$L$3)+(Q50*'DATA - P&amp;L'!$L$13*'DATA - P&amp;L'!$L$14)</f>
        <v>1849.797708</v>
      </c>
      <c r="R359" s="276">
        <f>(R50*'DATA - P&amp;L'!$L$12*'DATA - P&amp;L'!$L$3)+(R50*'DATA - P&amp;L'!$L$13*'DATA - P&amp;L'!$L$14)</f>
        <v>1023.496357</v>
      </c>
      <c r="S359" s="276">
        <f>(S50*'DATA - P&amp;L'!$L$12*'DATA - P&amp;L'!$L$3)+(S50*'DATA - P&amp;L'!$L$13*'DATA - P&amp;L'!$L$14)</f>
        <v>1813.114832</v>
      </c>
      <c r="T359" s="276">
        <f>(T50*'DATA - P&amp;L'!$L$12*'DATA - P&amp;L'!$L$3)+(T50*'DATA - P&amp;L'!$L$13*'DATA - P&amp;L'!$L$14)</f>
        <v>1318.543114</v>
      </c>
      <c r="U359" s="276">
        <f>(U50*'DATA - P&amp;L'!$L$12*'DATA - P&amp;L'!$L$3)+(U50*'DATA - P&amp;L'!$L$13*'DATA - P&amp;L'!$L$14)</f>
        <v>1507.610826</v>
      </c>
      <c r="V359" s="276">
        <f>(V50*'DATA - P&amp;L'!$L$12*'DATA - P&amp;L'!$L$3)+(V50*'DATA - P&amp;L'!$L$13*'DATA - P&amp;L'!$L$14)</f>
        <v>1379.686112</v>
      </c>
      <c r="W359" s="276">
        <f>(W50*'DATA - P&amp;L'!$L$12*'DATA - P&amp;L'!$L$3)+(W50*'DATA - P&amp;L'!$L$13*'DATA - P&amp;L'!$L$14)</f>
        <v>1384.282089</v>
      </c>
      <c r="X359" s="276">
        <f>(X50*'DATA - P&amp;L'!$L$12*'DATA - P&amp;L'!$L$3)+(X50*'DATA - P&amp;L'!$L$13*'DATA - P&amp;L'!$L$14)</f>
        <v>1203.010428</v>
      </c>
      <c r="Y359" s="276">
        <f>(Y50*'DATA - P&amp;L'!$L$12*'DATA - P&amp;L'!$L$3)+(Y50*'DATA - P&amp;L'!$L$13*'DATA - P&amp;L'!$L$14)</f>
        <v>991.9081469</v>
      </c>
      <c r="Z359" s="276">
        <f>(Z50*'DATA - P&amp;L'!$L$12*'DATA - P&amp;L'!$L$3)+(Z50*'DATA - P&amp;L'!$L$13*'DATA - P&amp;L'!$L$14)</f>
        <v>1040.955651</v>
      </c>
      <c r="AA359" s="276">
        <f>(AA50*'DATA - P&amp;L'!$L$12*'DATA - P&amp;L'!$L$3)+(AA50*'DATA - P&amp;L'!$L$13*'DATA - P&amp;L'!$L$14)</f>
        <v>957.7902621</v>
      </c>
      <c r="AB359" s="276">
        <f>(AB50*'DATA - P&amp;L'!$L$12*'DATA - P&amp;L'!$L$3)+(AB50*'DATA - P&amp;L'!$L$13*'DATA - P&amp;L'!$L$14)</f>
        <v>1061.01921</v>
      </c>
      <c r="AC359" s="276">
        <f>(AC50*'DATA - P&amp;L'!$L$12*'DATA - P&amp;L'!$L$3)+(AC50*'DATA - P&amp;L'!$L$13*'DATA - P&amp;L'!$L$14)</f>
        <v>980.6051362</v>
      </c>
      <c r="AD359" s="276">
        <f>(AD50*'DATA - P&amp;L'!$L$12*'DATA - P&amp;L'!$L$3)+(AD50*'DATA - P&amp;L'!$L$13*'DATA - P&amp;L'!$L$14)</f>
        <v>963.9438055</v>
      </c>
      <c r="AE359" s="276">
        <f>(AE50*'DATA - P&amp;L'!$L$12*'DATA - P&amp;L'!$L$3)+(AE50*'DATA - P&amp;L'!$L$13*'DATA - P&amp;L'!$L$14)</f>
        <v>975.2681277</v>
      </c>
      <c r="AF359" s="276">
        <f>(AF50*'DATA - P&amp;L'!$L$12*'DATA - P&amp;L'!$L$3)+(AF50*'DATA - P&amp;L'!$L$13*'DATA - P&amp;L'!$L$14)</f>
        <v>1110.572406</v>
      </c>
      <c r="AG359" s="167">
        <f t="shared" si="116"/>
        <v>42973.35345</v>
      </c>
    </row>
    <row r="360">
      <c r="A360" s="392" t="s">
        <v>492</v>
      </c>
      <c r="B360" s="462">
        <f>(B42*'DATA - P&amp;L'!$L$12*'DATA - P&amp;L'!$I$10)+(B42*'DATA - P&amp;L'!$L$13*'DATA - P&amp;L'!$L$15)</f>
        <v>58.8</v>
      </c>
      <c r="C360" s="462">
        <f>(C42*'DATA - P&amp;L'!$L$12*'DATA - P&amp;L'!$I$10)+(C42*'DATA - P&amp;L'!$L$13*'DATA - P&amp;L'!$L$15)</f>
        <v>54.3</v>
      </c>
      <c r="D360" s="462">
        <f>(D42*'DATA - P&amp;L'!$L$12*'DATA - P&amp;L'!$I$10)+(D42*'DATA - P&amp;L'!$L$13*'DATA - P&amp;L'!$L$15)</f>
        <v>47.7</v>
      </c>
      <c r="E360" s="462">
        <f>(E42*'DATA - P&amp;L'!$L$12*'DATA - P&amp;L'!$I$10)+(E42*'DATA - P&amp;L'!$L$13*'DATA - P&amp;L'!$L$15)</f>
        <v>56.1</v>
      </c>
      <c r="F360" s="462">
        <f>(F42*'DATA - P&amp;L'!$L$12*'DATA - P&amp;L'!$I$10)+(F42*'DATA - P&amp;L'!$L$13*'DATA - P&amp;L'!$L$15)</f>
        <v>52.2</v>
      </c>
      <c r="G360" s="462">
        <f>(G42*'DATA - P&amp;L'!$L$12*'DATA - P&amp;L'!$I$10)+(G42*'DATA - P&amp;L'!$L$13*'DATA - P&amp;L'!$L$15)</f>
        <v>55.8</v>
      </c>
      <c r="H360" s="462">
        <f>(H42*'DATA - P&amp;L'!$L$12*'DATA - P&amp;L'!$I$10)+(H42*'DATA - P&amp;L'!$L$13*'DATA - P&amp;L'!$L$15)</f>
        <v>59.1</v>
      </c>
      <c r="I360" s="462">
        <f>(I42*'DATA - P&amp;L'!$L$12*'DATA - P&amp;L'!$I$10)+(I42*'DATA - P&amp;L'!$L$13*'DATA - P&amp;L'!$L$15)</f>
        <v>71.7</v>
      </c>
      <c r="J360" s="462">
        <f>(J42*'DATA - P&amp;L'!$L$12*'DATA - P&amp;L'!$I$10)+(J42*'DATA - P&amp;L'!$L$13*'DATA - P&amp;L'!$L$15)</f>
        <v>66.3</v>
      </c>
      <c r="K360" s="462">
        <f>(K42*'DATA - P&amp;L'!$L$12*'DATA - P&amp;L'!$I$10)+(K42*'DATA - P&amp;L'!$L$13*'DATA - P&amp;L'!$L$15)</f>
        <v>65.7</v>
      </c>
      <c r="L360" s="462">
        <f>(L42*'DATA - P&amp;L'!$L$12*'DATA - P&amp;L'!$I$10)+(L42*'DATA - P&amp;L'!$L$13*'DATA - P&amp;L'!$L$15)</f>
        <v>63</v>
      </c>
      <c r="M360" s="462">
        <f>(M42*'DATA - P&amp;L'!$L$12*'DATA - P&amp;L'!$I$10)+(M42*'DATA - P&amp;L'!$L$13*'DATA - P&amp;L'!$L$15)</f>
        <v>60</v>
      </c>
      <c r="N360" s="462">
        <f>(N42*'DATA - P&amp;L'!$L$12*'DATA - P&amp;L'!$I$10)+(N42*'DATA - P&amp;L'!$L$13*'DATA - P&amp;L'!$L$15)</f>
        <v>99.9</v>
      </c>
      <c r="O360" s="462">
        <f>(O42*'DATA - P&amp;L'!$L$12*'DATA - P&amp;L'!$I$10)+(O42*'DATA - P&amp;L'!$L$13*'DATA - P&amp;L'!$L$15)</f>
        <v>88.2</v>
      </c>
      <c r="P360" s="462">
        <f>(P42*'DATA - P&amp;L'!$L$12*'DATA - P&amp;L'!$I$10)+(P42*'DATA - P&amp;L'!$L$13*'DATA - P&amp;L'!$L$15)</f>
        <v>76.5</v>
      </c>
      <c r="Q360" s="462">
        <f>(Q42*'DATA - P&amp;L'!$L$12*'DATA - P&amp;L'!$I$10)+(Q42*'DATA - P&amp;L'!$L$13*'DATA - P&amp;L'!$L$15)</f>
        <v>76.8</v>
      </c>
      <c r="R360" s="462">
        <f>(R42*'DATA - P&amp;L'!$L$12*'DATA - P&amp;L'!$I$10)+(R42*'DATA - P&amp;L'!$L$13*'DATA - P&amp;L'!$L$15)</f>
        <v>45.9</v>
      </c>
      <c r="S360" s="462">
        <f>(S42*'DATA - P&amp;L'!$L$12*'DATA - P&amp;L'!$I$10)+(S42*'DATA - P&amp;L'!$L$13*'DATA - P&amp;L'!$L$15)</f>
        <v>72</v>
      </c>
      <c r="T360" s="462">
        <f>(T42*'DATA - P&amp;L'!$L$12*'DATA - P&amp;L'!$I$10)+(T42*'DATA - P&amp;L'!$L$13*'DATA - P&amp;L'!$L$15)</f>
        <v>53.1</v>
      </c>
      <c r="U360" s="462">
        <f>(U42*'DATA - P&amp;L'!$L$12*'DATA - P&amp;L'!$I$10)+(U42*'DATA - P&amp;L'!$L$13*'DATA - P&amp;L'!$L$15)</f>
        <v>60</v>
      </c>
      <c r="V360" s="462">
        <f>(V42*'DATA - P&amp;L'!$L$12*'DATA - P&amp;L'!$I$10)+(V42*'DATA - P&amp;L'!$L$13*'DATA - P&amp;L'!$L$15)</f>
        <v>57.6</v>
      </c>
      <c r="W360" s="462">
        <f>(W42*'DATA - P&amp;L'!$L$12*'DATA - P&amp;L'!$I$10)+(W42*'DATA - P&amp;L'!$L$13*'DATA - P&amp;L'!$L$15)</f>
        <v>57.3</v>
      </c>
      <c r="X360" s="462">
        <f>(X42*'DATA - P&amp;L'!$L$12*'DATA - P&amp;L'!$I$10)+(X42*'DATA - P&amp;L'!$L$13*'DATA - P&amp;L'!$L$15)</f>
        <v>51.9</v>
      </c>
      <c r="Y360" s="462">
        <f>(Y42*'DATA - P&amp;L'!$L$12*'DATA - P&amp;L'!$I$10)+(Y42*'DATA - P&amp;L'!$L$13*'DATA - P&amp;L'!$L$15)</f>
        <v>39</v>
      </c>
      <c r="Z360" s="462">
        <f>(Z42*'DATA - P&amp;L'!$L$12*'DATA - P&amp;L'!$I$10)+(Z42*'DATA - P&amp;L'!$L$13*'DATA - P&amp;L'!$L$15)</f>
        <v>40.5</v>
      </c>
      <c r="AA360" s="462">
        <f>(AA42*'DATA - P&amp;L'!$L$12*'DATA - P&amp;L'!$I$10)+(AA42*'DATA - P&amp;L'!$L$13*'DATA - P&amp;L'!$L$15)</f>
        <v>35.7</v>
      </c>
      <c r="AB360" s="462">
        <f>(AB42*'DATA - P&amp;L'!$L$12*'DATA - P&amp;L'!$I$10)+(AB42*'DATA - P&amp;L'!$L$13*'DATA - P&amp;L'!$L$15)</f>
        <v>39</v>
      </c>
      <c r="AC360" s="462">
        <f>(AC42*'DATA - P&amp;L'!$L$12*'DATA - P&amp;L'!$I$10)+(AC42*'DATA - P&amp;L'!$L$13*'DATA - P&amp;L'!$L$15)</f>
        <v>39.9</v>
      </c>
      <c r="AD360" s="462">
        <f>(AD42*'DATA - P&amp;L'!$L$12*'DATA - P&amp;L'!$I$10)+(AD42*'DATA - P&amp;L'!$L$13*'DATA - P&amp;L'!$L$15)</f>
        <v>39.3</v>
      </c>
      <c r="AE360" s="462">
        <f>(AE42*'DATA - P&amp;L'!$L$12*'DATA - P&amp;L'!$I$10)+(AE42*'DATA - P&amp;L'!$L$13*'DATA - P&amp;L'!$L$15)</f>
        <v>39.6</v>
      </c>
      <c r="AF360" s="462">
        <f>(AF42*'DATA - P&amp;L'!$L$12*'DATA - P&amp;L'!$I$10)+(AF42*'DATA - P&amp;L'!$L$13*'DATA - P&amp;L'!$L$15)</f>
        <v>42.3</v>
      </c>
      <c r="AG360" s="167">
        <f t="shared" si="116"/>
        <v>1765.2</v>
      </c>
    </row>
    <row r="361">
      <c r="A361" s="375" t="s">
        <v>495</v>
      </c>
      <c r="B361" s="276">
        <f>((SUM(B125:B128))*'DATA - P&amp;L'!$C$38)+((SUM(B130:B133))*'DATA - P&amp;L'!$C$39)</f>
        <v>1802.94</v>
      </c>
      <c r="C361" s="276">
        <f>((SUM(C125:C128))*'DATA - P&amp;L'!$C$38)+((SUM(C130:C133))*'DATA - P&amp;L'!$C$39)</f>
        <v>1779.06</v>
      </c>
      <c r="D361" s="276">
        <f>((SUM(D125:D128))*'DATA - P&amp;L'!$C$38)+((SUM(D130:D133))*'DATA - P&amp;L'!$C$39)</f>
        <v>1599.96</v>
      </c>
      <c r="E361" s="276">
        <f>((SUM(E125:E128))*'DATA - P&amp;L'!$C$38)+((SUM(E130:E133))*'DATA - P&amp;L'!$C$39)</f>
        <v>1743.24</v>
      </c>
      <c r="F361" s="276">
        <f>((SUM(F125:F128))*'DATA - P&amp;L'!$C$38)+((SUM(F130:F133))*'DATA - P&amp;L'!$C$39)</f>
        <v>1755.18</v>
      </c>
      <c r="G361" s="276">
        <f>((SUM(G125:G128))*'DATA - P&amp;L'!$C$38)+((SUM(G130:G133))*'DATA - P&amp;L'!$C$39)</f>
        <v>1838.76</v>
      </c>
      <c r="H361" s="276">
        <f>((SUM(H125:H128))*'DATA - P&amp;L'!$C$38)+((SUM(H130:H133))*'DATA - P&amp;L'!$C$39)</f>
        <v>2029.8</v>
      </c>
      <c r="I361" s="276">
        <f>((SUM(I125:I128))*'DATA - P&amp;L'!$C$38)+((SUM(I130:I133))*'DATA - P&amp;L'!$C$39)</f>
        <v>2256.66</v>
      </c>
      <c r="J361" s="276">
        <f>((SUM(J125:J128))*'DATA - P&amp;L'!$C$38)+((SUM(J130:J133))*'DATA - P&amp;L'!$C$39)</f>
        <v>2125.32</v>
      </c>
      <c r="K361" s="276">
        <f>((SUM(K125:K128))*'DATA - P&amp;L'!$C$38)+((SUM(K130:K133))*'DATA - P&amp;L'!$C$39)</f>
        <v>2077.56</v>
      </c>
      <c r="L361" s="276">
        <f>((SUM(L125:L128))*'DATA - P&amp;L'!$C$38)+((SUM(L130:L133))*'DATA - P&amp;L'!$C$39)</f>
        <v>2161.14</v>
      </c>
      <c r="M361" s="276">
        <f>((SUM(M125:M128))*'DATA - P&amp;L'!$C$38)+((SUM(M130:M133))*'DATA - P&amp;L'!$C$39)</f>
        <v>2173.08</v>
      </c>
      <c r="N361" s="276">
        <f>((SUM(N125:N128))*'DATA - P&amp;L'!$C$38)+((SUM(N130:N133))*'DATA - P&amp;L'!$C$39)</f>
        <v>3426.78</v>
      </c>
      <c r="O361" s="276">
        <f>((SUM(O125:O128))*'DATA - P&amp;L'!$C$38)+((SUM(O130:O133))*'DATA - P&amp;L'!$C$39)</f>
        <v>3140.22</v>
      </c>
      <c r="P361" s="276">
        <f>((SUM(P125:P128))*'DATA - P&amp;L'!$C$38)+((SUM(P130:P133))*'DATA - P&amp;L'!$C$39)</f>
        <v>2590.98</v>
      </c>
      <c r="Q361" s="276">
        <f>((SUM(Q125:Q128))*'DATA - P&amp;L'!$C$38)+((SUM(Q130:Q133))*'DATA - P&amp;L'!$C$39)</f>
        <v>2650.68</v>
      </c>
      <c r="R361" s="276">
        <f>((SUM(R125:R128))*'DATA - P&amp;L'!$C$38)+((SUM(R130:R133))*'DATA - P&amp;L'!$C$39)</f>
        <v>1456.68</v>
      </c>
      <c r="S361" s="276">
        <f>((SUM(S125:S128))*'DATA - P&amp;L'!$C$38)+((SUM(S130:S133))*'DATA - P&amp;L'!$C$39)</f>
        <v>2543.22</v>
      </c>
      <c r="T361" s="276">
        <f>((SUM(T125:T128))*'DATA - P&amp;L'!$C$38)+((SUM(T130:T133))*'DATA - P&amp;L'!$C$39)</f>
        <v>1838.76</v>
      </c>
      <c r="U361" s="276">
        <f>((SUM(U125:U128))*'DATA - P&amp;L'!$C$38)+((SUM(U130:U133))*'DATA - P&amp;L'!$C$39)</f>
        <v>2041.74</v>
      </c>
      <c r="V361" s="276">
        <f>((SUM(V125:V128))*'DATA - P&amp;L'!$C$38)+((SUM(V130:V133))*'DATA - P&amp;L'!$C$39)</f>
        <v>1838.76</v>
      </c>
      <c r="W361" s="276">
        <f>((SUM(W125:W128))*'DATA - P&amp;L'!$C$38)+((SUM(W130:W133))*'DATA - P&amp;L'!$C$39)</f>
        <v>1743.24</v>
      </c>
      <c r="X361" s="276">
        <f>((SUM(X125:X128))*'DATA - P&amp;L'!$C$38)+((SUM(X130:X133))*'DATA - P&amp;L'!$C$39)</f>
        <v>1492.5</v>
      </c>
      <c r="Y361" s="276">
        <f>((SUM(Y125:Y128))*'DATA - P&amp;L'!$C$38)+((SUM(Y130:Y133))*'DATA - P&amp;L'!$C$39)</f>
        <v>1241.76</v>
      </c>
      <c r="Z361" s="276">
        <f>((SUM(Z125:Z128))*'DATA - P&amp;L'!$C$38)+((SUM(Z130:Z133))*'DATA - P&amp;L'!$C$39)</f>
        <v>1337.28</v>
      </c>
      <c r="AA361" s="276">
        <f>((SUM(AA125:AA128))*'DATA - P&amp;L'!$C$38)+((SUM(AA130:AA133))*'DATA - P&amp;L'!$C$39)</f>
        <v>1265.64</v>
      </c>
      <c r="AB361" s="276">
        <f>((SUM(AB125:AB128))*'DATA - P&amp;L'!$C$38)+((SUM(AB130:AB133))*'DATA - P&amp;L'!$C$39)</f>
        <v>1420.86</v>
      </c>
      <c r="AC361" s="276">
        <f>((SUM(AC125:AC128))*'DATA - P&amp;L'!$C$38)+((SUM(AC130:AC133))*'DATA - P&amp;L'!$C$39)</f>
        <v>1337.28</v>
      </c>
      <c r="AD361" s="276">
        <f>((SUM(AD125:AD128))*'DATA - P&amp;L'!$C$38)+((SUM(AD130:AD133))*'DATA - P&amp;L'!$C$39)</f>
        <v>1229.82</v>
      </c>
      <c r="AE361" s="276">
        <f>((SUM(AE125:AE128))*'DATA - P&amp;L'!$C$38)+((SUM(AE130:AE133))*'DATA - P&amp;L'!$C$39)</f>
        <v>1265.64</v>
      </c>
      <c r="AF361" s="276">
        <f>((SUM(AF125:AF128))*'DATA - P&amp;L'!$C$38)+((SUM(AF130:AF133))*'DATA - P&amp;L'!$C$39)</f>
        <v>1456.68</v>
      </c>
      <c r="AG361" s="167">
        <f t="shared" si="116"/>
        <v>58661.22</v>
      </c>
    </row>
    <row r="362">
      <c r="A362" s="375" t="s">
        <v>504</v>
      </c>
      <c r="B362" s="440">
        <f>((SUM(B125:B128))*'DATA - P&amp;L'!$C$34)+((SUM(B130:B133))*'DATA - P&amp;L'!$C$35)</f>
        <v>1824.78</v>
      </c>
      <c r="C362" s="440">
        <f>((SUM(C125:C128))*'DATA - P&amp;L'!$C$34)+((SUM(C130:C133))*'DATA - P&amp;L'!$C$35)</f>
        <v>1797.78</v>
      </c>
      <c r="D362" s="440">
        <f>((SUM(D125:D128))*'DATA - P&amp;L'!$C$34)+((SUM(D130:D133))*'DATA - P&amp;L'!$C$35)</f>
        <v>1628.04</v>
      </c>
      <c r="E362" s="440">
        <f>((SUM(E125:E128))*'DATA - P&amp;L'!$C$34)+((SUM(E130:E133))*'DATA - P&amp;L'!$C$35)</f>
        <v>1765.08</v>
      </c>
      <c r="F362" s="440">
        <f>((SUM(F125:F128))*'DATA - P&amp;L'!$C$34)+((SUM(F130:F133))*'DATA - P&amp;L'!$C$35)</f>
        <v>1780.14</v>
      </c>
      <c r="G362" s="440">
        <f>((SUM(G125:G128))*'DATA - P&amp;L'!$C$34)+((SUM(G130:G133))*'DATA - P&amp;L'!$C$35)</f>
        <v>1863.72</v>
      </c>
      <c r="H362" s="440">
        <f>((SUM(H125:H128))*'DATA - P&amp;L'!$C$34)+((SUM(H130:H133))*'DATA - P&amp;L'!$C$35)</f>
        <v>2045.4</v>
      </c>
      <c r="I362" s="440">
        <f>((SUM(I125:I128))*'DATA - P&amp;L'!$C$34)+((SUM(I130:I133))*'DATA - P&amp;L'!$C$35)</f>
        <v>2281.62</v>
      </c>
      <c r="J362" s="440">
        <f>((SUM(J125:J128))*'DATA - P&amp;L'!$C$34)+((SUM(J130:J133))*'DATA - P&amp;L'!$C$35)</f>
        <v>2147.16</v>
      </c>
      <c r="K362" s="440">
        <f>((SUM(K125:K128))*'DATA - P&amp;L'!$C$34)+((SUM(K130:K133))*'DATA - P&amp;L'!$C$35)</f>
        <v>2099.4</v>
      </c>
      <c r="L362" s="440">
        <f>((SUM(L125:L128))*'DATA - P&amp;L'!$C$34)+((SUM(L130:L133))*'DATA - P&amp;L'!$C$35)</f>
        <v>2176.74</v>
      </c>
      <c r="M362" s="440">
        <f>((SUM(M125:M128))*'DATA - P&amp;L'!$C$34)+((SUM(M130:M133))*'DATA - P&amp;L'!$C$35)</f>
        <v>2201.16</v>
      </c>
      <c r="N362" s="440">
        <f>((SUM(N125:N128))*'DATA - P&amp;L'!$C$34)+((SUM(N130:N133))*'DATA - P&amp;L'!$C$35)</f>
        <v>3454.86</v>
      </c>
      <c r="O362" s="440">
        <f>((SUM(O125:O128))*'DATA - P&amp;L'!$C$34)+((SUM(O130:O133))*'DATA - P&amp;L'!$C$35)</f>
        <v>3177.66</v>
      </c>
      <c r="P362" s="440">
        <f>((SUM(P125:P128))*'DATA - P&amp;L'!$C$34)+((SUM(P130:P133))*'DATA - P&amp;L'!$C$35)</f>
        <v>2609.7</v>
      </c>
      <c r="Q362" s="440">
        <f>((SUM(Q125:Q128))*'DATA - P&amp;L'!$C$34)+((SUM(Q130:Q133))*'DATA - P&amp;L'!$C$35)</f>
        <v>2685</v>
      </c>
      <c r="R362" s="440">
        <f>((SUM(R125:R128))*'DATA - P&amp;L'!$C$34)+((SUM(R130:R133))*'DATA - P&amp;L'!$C$35)</f>
        <v>1472.28</v>
      </c>
      <c r="S362" s="440">
        <f>((SUM(S125:S128))*'DATA - P&amp;L'!$C$34)+((SUM(S130:S133))*'DATA - P&amp;L'!$C$35)</f>
        <v>2561.94</v>
      </c>
      <c r="T362" s="440">
        <f>((SUM(T125:T128))*'DATA - P&amp;L'!$C$34)+((SUM(T130:T133))*'DATA - P&amp;L'!$C$35)</f>
        <v>1845</v>
      </c>
      <c r="U362" s="440">
        <f>((SUM(U125:U128))*'DATA - P&amp;L'!$C$34)+((SUM(U130:U133))*'DATA - P&amp;L'!$C$35)</f>
        <v>2066.7</v>
      </c>
      <c r="V362" s="440">
        <f>((SUM(V125:V128))*'DATA - P&amp;L'!$C$34)+((SUM(V130:V133))*'DATA - P&amp;L'!$C$35)</f>
        <v>1857.48</v>
      </c>
      <c r="W362" s="440">
        <f>((SUM(W125:W128))*'DATA - P&amp;L'!$C$34)+((SUM(W130:W133))*'DATA - P&amp;L'!$C$35)</f>
        <v>1758.84</v>
      </c>
      <c r="X362" s="440">
        <f>((SUM(X125:X128))*'DATA - P&amp;L'!$C$34)+((SUM(X130:X133))*'DATA - P&amp;L'!$C$35)</f>
        <v>1504.98</v>
      </c>
      <c r="Y362" s="440">
        <f>((SUM(Y125:Y128))*'DATA - P&amp;L'!$C$34)+((SUM(Y130:Y133))*'DATA - P&amp;L'!$C$35)</f>
        <v>1260.48</v>
      </c>
      <c r="Z362" s="440">
        <f>((SUM(Z125:Z128))*'DATA - P&amp;L'!$C$34)+((SUM(Z130:Z133))*'DATA - P&amp;L'!$C$35)</f>
        <v>1359.12</v>
      </c>
      <c r="AA362" s="440">
        <f>((SUM(AA125:AA128))*'DATA - P&amp;L'!$C$34)+((SUM(AA130:AA133))*'DATA - P&amp;L'!$C$35)</f>
        <v>1278.12</v>
      </c>
      <c r="AB362" s="440">
        <f>((SUM(AB125:AB128))*'DATA - P&amp;L'!$C$34)+((SUM(AB130:AB133))*'DATA - P&amp;L'!$C$35)</f>
        <v>1436.46</v>
      </c>
      <c r="AC362" s="440">
        <f>((SUM(AC125:AC128))*'DATA - P&amp;L'!$C$34)+((SUM(AC130:AC133))*'DATA - P&amp;L'!$C$35)</f>
        <v>1384.08</v>
      </c>
      <c r="AD362" s="440">
        <f>((SUM(AD125:AD128))*'DATA - P&amp;L'!$C$34)+((SUM(AD130:AD133))*'DATA - P&amp;L'!$C$35)</f>
        <v>1245.42</v>
      </c>
      <c r="AE362" s="440">
        <f>((SUM(AE125:AE128))*'DATA - P&amp;L'!$C$34)+((SUM(AE130:AE133))*'DATA - P&amp;L'!$C$35)</f>
        <v>1271.88</v>
      </c>
      <c r="AF362" s="440">
        <f>((SUM(AF125:AF128))*'DATA - P&amp;L'!$C$34)+((SUM(AF130:AF133))*'DATA - P&amp;L'!$C$35)</f>
        <v>1478.52</v>
      </c>
      <c r="AG362" s="167">
        <f t="shared" si="116"/>
        <v>59319.54</v>
      </c>
    </row>
    <row r="363">
      <c r="A363" s="375" t="s">
        <v>513</v>
      </c>
      <c r="B363" s="276">
        <f>((SUM(B138:B145))*'DATA - P&amp;L'!$D$38)+((SUM(B149:B156))*'DATA - P&amp;L'!$D$39)</f>
        <v>192.34</v>
      </c>
      <c r="C363" s="276">
        <f>((SUM(C138:C145))*'DATA - P&amp;L'!$D$38)+((SUM(C149:C156))*'DATA - P&amp;L'!$D$39)</f>
        <v>215.27</v>
      </c>
      <c r="D363" s="276">
        <f>((SUM(D138:D145))*'DATA - P&amp;L'!$D$38)+((SUM(D149:D156))*'DATA - P&amp;L'!$D$39)</f>
        <v>134.92</v>
      </c>
      <c r="E363" s="276">
        <f>((SUM(E138:E145))*'DATA - P&amp;L'!$D$38)+((SUM(E149:E156))*'DATA - P&amp;L'!$D$39)</f>
        <v>175.115</v>
      </c>
      <c r="F363" s="276">
        <f>((SUM(F138:F145))*'DATA - P&amp;L'!$D$38)+((SUM(F149:F156))*'DATA - P&amp;L'!$D$39)</f>
        <v>149.305</v>
      </c>
      <c r="G363" s="276">
        <f>((SUM(G138:G145))*'DATA - P&amp;L'!$D$38)+((SUM(G149:G156))*'DATA - P&amp;L'!$D$39)</f>
        <v>156.485</v>
      </c>
      <c r="H363" s="276">
        <f>((SUM(H138:H145))*'DATA - P&amp;L'!$D$38)+((SUM(H149:H156))*'DATA - P&amp;L'!$D$39)</f>
        <v>144.945</v>
      </c>
      <c r="I363" s="276">
        <f>((SUM(I138:I145))*'DATA - P&amp;L'!$D$38)+((SUM(I149:I156))*'DATA - P&amp;L'!$D$39)</f>
        <v>239.72</v>
      </c>
      <c r="J363" s="276">
        <f>((SUM(J138:J145))*'DATA - P&amp;L'!$D$38)+((SUM(J149:J156))*'DATA - P&amp;L'!$D$39)</f>
        <v>229.62</v>
      </c>
      <c r="K363" s="276">
        <f>((SUM(K138:K145))*'DATA - P&amp;L'!$D$38)+((SUM(K149:K156))*'DATA - P&amp;L'!$D$39)</f>
        <v>221.045</v>
      </c>
      <c r="L363" s="276">
        <f>((SUM(L138:L145))*'DATA - P&amp;L'!$D$38)+((SUM(L149:L156))*'DATA - P&amp;L'!$D$39)</f>
        <v>169.38</v>
      </c>
      <c r="M363" s="276">
        <f>((SUM(M138:M145))*'DATA - P&amp;L'!$D$38)+((SUM(M149:M156))*'DATA - P&amp;L'!$D$39)</f>
        <v>163.67</v>
      </c>
      <c r="N363" s="276">
        <f>((SUM(N138:N145))*'DATA - P&amp;L'!$D$38)+((SUM(N149:N156))*'DATA - P&amp;L'!$D$39)</f>
        <v>317.15</v>
      </c>
      <c r="O363" s="276">
        <f>((SUM(O138:O145))*'DATA - P&amp;L'!$D$38)+((SUM(O149:O156))*'DATA - P&amp;L'!$D$39)</f>
        <v>262.66</v>
      </c>
      <c r="P363" s="276">
        <f>((SUM(P138:P145))*'DATA - P&amp;L'!$D$38)+((SUM(P149:P156))*'DATA - P&amp;L'!$D$39)</f>
        <v>282.75</v>
      </c>
      <c r="Q363" s="276">
        <f>((SUM(Q138:Q145))*'DATA - P&amp;L'!$D$38)+((SUM(Q149:Q156))*'DATA - P&amp;L'!$D$39)</f>
        <v>252.625</v>
      </c>
      <c r="R363" s="276">
        <f>((SUM(R138:R145))*'DATA - P&amp;L'!$D$38)+((SUM(R149:R156))*'DATA - P&amp;L'!$D$39)</f>
        <v>133.48</v>
      </c>
      <c r="S363" s="276">
        <f>((SUM(S138:S145))*'DATA - P&amp;L'!$D$38)+((SUM(S149:S156))*'DATA - P&amp;L'!$D$39)</f>
        <v>243.98</v>
      </c>
      <c r="T363" s="276">
        <f>((SUM(T138:T145))*'DATA - P&amp;L'!$D$38)+((SUM(T149:T156))*'DATA - P&amp;L'!$D$39)</f>
        <v>172.215</v>
      </c>
      <c r="U363" s="276">
        <f>((SUM(U138:U145))*'DATA - P&amp;L'!$D$38)+((SUM(U149:U156))*'DATA - P&amp;L'!$D$39)</f>
        <v>208.125</v>
      </c>
      <c r="V363" s="276">
        <f>((SUM(V138:V145))*'DATA - P&amp;L'!$D$38)+((SUM(V149:V156))*'DATA - P&amp;L'!$D$39)</f>
        <v>189.475</v>
      </c>
      <c r="W363" s="276">
        <f>((SUM(W138:W145))*'DATA - P&amp;L'!$D$38)+((SUM(W149:W156))*'DATA - P&amp;L'!$D$39)</f>
        <v>193.78</v>
      </c>
      <c r="X363" s="276">
        <f>((SUM(X138:X145))*'DATA - P&amp;L'!$D$38)+((SUM(X149:X156))*'DATA - P&amp;L'!$D$39)</f>
        <v>198.055</v>
      </c>
      <c r="Y363" s="276">
        <f>((SUM(Y138:Y145))*'DATA - P&amp;L'!$D$38)+((SUM(Y149:Y156))*'DATA - P&amp;L'!$D$39)</f>
        <v>132.045</v>
      </c>
      <c r="Z363" s="276">
        <f>((SUM(Z138:Z145))*'DATA - P&amp;L'!$D$38)+((SUM(Z149:Z156))*'DATA - P&amp;L'!$D$39)</f>
        <v>136.385</v>
      </c>
      <c r="AA363" s="276">
        <f>((SUM(AA138:AA145))*'DATA - P&amp;L'!$D$38)+((SUM(AA149:AA156))*'DATA - P&amp;L'!$D$39)</f>
        <v>119.14</v>
      </c>
      <c r="AB363" s="276">
        <f>((SUM(AB138:AB145))*'DATA - P&amp;L'!$D$38)+((SUM(AB149:AB156))*'DATA - P&amp;L'!$D$39)</f>
        <v>114.825</v>
      </c>
      <c r="AC363" s="276">
        <f>((SUM(AC138:AC145))*'DATA - P&amp;L'!$D$38)+((SUM(AC149:AC156))*'DATA - P&amp;L'!$D$39)</f>
        <v>107.67</v>
      </c>
      <c r="AD363" s="276">
        <f>((SUM(AD138:AD145))*'DATA - P&amp;L'!$D$38)+((SUM(AD149:AD156))*'DATA - P&amp;L'!$D$39)</f>
        <v>129.19</v>
      </c>
      <c r="AE363" s="276">
        <f>((SUM(AE138:AE145))*'DATA - P&amp;L'!$D$38)+((SUM(AE149:AE156))*'DATA - P&amp;L'!$D$39)</f>
        <v>142.08</v>
      </c>
      <c r="AF363" s="276">
        <f>((SUM(AF138:AF145))*'DATA - P&amp;L'!$D$38)+((SUM(AF149:AF156))*'DATA - P&amp;L'!$D$39)</f>
        <v>140.67</v>
      </c>
      <c r="AG363" s="167">
        <f t="shared" si="116"/>
        <v>5668.115</v>
      </c>
    </row>
    <row r="364">
      <c r="A364" s="375" t="s">
        <v>556</v>
      </c>
      <c r="B364" s="276">
        <f>(B146*'DATA - P&amp;L'!$D$34)+(B157*'DATA - P&amp;L'!$D$35)</f>
        <v>824.82</v>
      </c>
      <c r="C364" s="276">
        <f>(C146*'DATA - P&amp;L'!$D$34)+(C157*'DATA - P&amp;L'!$D$35)</f>
        <v>923.27</v>
      </c>
      <c r="D364" s="276">
        <f>(D146*'DATA - P&amp;L'!$D$34)+(D157*'DATA - P&amp;L'!$D$35)</f>
        <v>578.6</v>
      </c>
      <c r="E364" s="276">
        <f>(E146*'DATA - P&amp;L'!$D$34)+(E157*'DATA - P&amp;L'!$D$35)</f>
        <v>750.955</v>
      </c>
      <c r="F364" s="276">
        <f>(F146*'DATA - P&amp;L'!$D$34)+(F157*'DATA - P&amp;L'!$D$35)</f>
        <v>640.185</v>
      </c>
      <c r="G364" s="276">
        <f>(G146*'DATA - P&amp;L'!$D$34)+(G157*'DATA - P&amp;L'!$D$35)</f>
        <v>670.965</v>
      </c>
      <c r="H364" s="276">
        <f>(H146*'DATA - P&amp;L'!$D$34)+(H157*'DATA - P&amp;L'!$D$35)</f>
        <v>621.665</v>
      </c>
      <c r="I364" s="276">
        <f>(I146*'DATA - P&amp;L'!$D$34)+(I157*'DATA - P&amp;L'!$D$35)</f>
        <v>1027.96</v>
      </c>
      <c r="J364" s="276">
        <f>(J146*'DATA - P&amp;L'!$D$34)+(J157*'DATA - P&amp;L'!$D$35)</f>
        <v>984.82</v>
      </c>
      <c r="K364" s="276">
        <f>(K146*'DATA - P&amp;L'!$D$34)+(K157*'DATA - P&amp;L'!$D$35)</f>
        <v>947.925</v>
      </c>
      <c r="L364" s="276">
        <f>(L146*'DATA - P&amp;L'!$D$34)+(L157*'DATA - P&amp;L'!$D$35)</f>
        <v>726.34</v>
      </c>
      <c r="M364" s="276">
        <f>(M146*'DATA - P&amp;L'!$D$34)+(M157*'DATA - P&amp;L'!$D$35)</f>
        <v>701.75</v>
      </c>
      <c r="N364" s="276">
        <f>(N146*'DATA - P&amp;L'!$D$34)+(N157*'DATA - P&amp;L'!$D$35)</f>
        <v>1360.27</v>
      </c>
      <c r="O364" s="276">
        <f>(O146*'DATA - P&amp;L'!$D$34)+(O157*'DATA - P&amp;L'!$D$35)</f>
        <v>1126.42</v>
      </c>
      <c r="P364" s="276">
        <f>(P146*'DATA - P&amp;L'!$D$34)+(P157*'DATA - P&amp;L'!$D$35)</f>
        <v>1212.59</v>
      </c>
      <c r="Q364" s="276">
        <f>(Q146*'DATA - P&amp;L'!$D$34)+(Q157*'DATA - P&amp;L'!$D$35)</f>
        <v>1083.345</v>
      </c>
      <c r="R364" s="276">
        <f>(R146*'DATA - P&amp;L'!$D$34)+(R157*'DATA - P&amp;L'!$D$35)</f>
        <v>572.44</v>
      </c>
      <c r="S364" s="276">
        <f>(S146*'DATA - P&amp;L'!$D$34)+(S157*'DATA - P&amp;L'!$D$35)</f>
        <v>1046.38</v>
      </c>
      <c r="T364" s="276">
        <f>(T146*'DATA - P&amp;L'!$D$34)+(T157*'DATA - P&amp;L'!$D$35)</f>
        <v>738.615</v>
      </c>
      <c r="U364" s="276">
        <f>(U146*'DATA - P&amp;L'!$D$34)+(U157*'DATA - P&amp;L'!$D$35)</f>
        <v>892.525</v>
      </c>
      <c r="V364" s="276">
        <f>(V146*'DATA - P&amp;L'!$D$34)+(V157*'DATA - P&amp;L'!$D$35)</f>
        <v>812.515</v>
      </c>
      <c r="W364" s="276">
        <f>(W146*'DATA - P&amp;L'!$D$34)+(W157*'DATA - P&amp;L'!$D$35)</f>
        <v>830.98</v>
      </c>
      <c r="X364" s="276">
        <f>(X146*'DATA - P&amp;L'!$D$34)+(X157*'DATA - P&amp;L'!$D$35)</f>
        <v>849.415</v>
      </c>
      <c r="Y364" s="276">
        <f>(Y146*'DATA - P&amp;L'!$D$34)+(Y157*'DATA - P&amp;L'!$D$35)</f>
        <v>566.285</v>
      </c>
      <c r="Z364" s="276">
        <f>(Z146*'DATA - P&amp;L'!$D$34)+(Z157*'DATA - P&amp;L'!$D$35)</f>
        <v>584.785</v>
      </c>
      <c r="AA364" s="276">
        <f>(AA146*'DATA - P&amp;L'!$D$34)+(AA157*'DATA - P&amp;L'!$D$35)</f>
        <v>510.9</v>
      </c>
      <c r="AB364" s="276">
        <f>(AB146*'DATA - P&amp;L'!$D$34)+(AB157*'DATA - P&amp;L'!$D$35)</f>
        <v>492.425</v>
      </c>
      <c r="AC364" s="276">
        <f>(AC146*'DATA - P&amp;L'!$D$34)+(AC157*'DATA - P&amp;L'!$D$35)</f>
        <v>461.67</v>
      </c>
      <c r="AD364" s="276">
        <f>(AD146*'DATA - P&amp;L'!$D$34)+(AD157*'DATA - P&amp;L'!$D$35)</f>
        <v>553.99</v>
      </c>
      <c r="AE364" s="276">
        <f>(AE146*'DATA - P&amp;L'!$D$34)+(AE157*'DATA - P&amp;L'!$D$35)</f>
        <v>609.36</v>
      </c>
      <c r="AF364" s="276">
        <f>(AF146*'DATA - P&amp;L'!$D$34)+(AF157*'DATA - P&amp;L'!$D$35)</f>
        <v>603.23</v>
      </c>
      <c r="AG364" s="167">
        <f t="shared" si="116"/>
        <v>24307.395</v>
      </c>
    </row>
    <row r="365">
      <c r="A365" s="392" t="s">
        <v>565</v>
      </c>
      <c r="B365" s="462">
        <f>B70*'DATA - P&amp;L'!$E$23</f>
        <v>0</v>
      </c>
      <c r="C365" s="462">
        <f>C70*'DATA - P&amp;L'!$E$23</f>
        <v>0</v>
      </c>
      <c r="D365" s="462">
        <f>D70*'DATA - P&amp;L'!$E$23</f>
        <v>0</v>
      </c>
      <c r="E365" s="462">
        <f>E70*'DATA - P&amp;L'!$E$23</f>
        <v>0</v>
      </c>
      <c r="F365" s="462">
        <f>F70*'DATA - P&amp;L'!$E$23</f>
        <v>0</v>
      </c>
      <c r="G365" s="462">
        <f>G70*'DATA - P&amp;L'!$E$23</f>
        <v>0</v>
      </c>
      <c r="H365" s="462">
        <f>H70*'DATA - P&amp;L'!$E$23</f>
        <v>0</v>
      </c>
      <c r="I365" s="462">
        <f>I70*'DATA - P&amp;L'!$E$23</f>
        <v>0</v>
      </c>
      <c r="J365" s="462">
        <f>J70*'DATA - P&amp;L'!$E$23</f>
        <v>0</v>
      </c>
      <c r="K365" s="462">
        <f>K70*'DATA - P&amp;L'!$E$23</f>
        <v>0</v>
      </c>
      <c r="L365" s="462">
        <f>L70*'DATA - P&amp;L'!$E$23</f>
        <v>0</v>
      </c>
      <c r="M365" s="462">
        <f>M70*'DATA - P&amp;L'!$E$23</f>
        <v>0</v>
      </c>
      <c r="N365" s="462">
        <f>N70*'DATA - P&amp;L'!$E$23</f>
        <v>0</v>
      </c>
      <c r="O365" s="462">
        <f>O70*'DATA - P&amp;L'!$E$23</f>
        <v>0</v>
      </c>
      <c r="P365" s="462">
        <f>P70*'DATA - P&amp;L'!$E$23</f>
        <v>0</v>
      </c>
      <c r="Q365" s="462">
        <f>Q70*'DATA - P&amp;L'!$E$23</f>
        <v>0</v>
      </c>
      <c r="R365" s="462">
        <f>R70*'DATA - P&amp;L'!$E$23</f>
        <v>0</v>
      </c>
      <c r="S365" s="462">
        <f>S70*'DATA - P&amp;L'!$E$23</f>
        <v>0</v>
      </c>
      <c r="T365" s="462">
        <f>T70*'DATA - P&amp;L'!$E$23</f>
        <v>0</v>
      </c>
      <c r="U365" s="462">
        <f>U70*'DATA - P&amp;L'!$E$23</f>
        <v>0</v>
      </c>
      <c r="V365" s="462">
        <f>V70*'DATA - P&amp;L'!$E$23</f>
        <v>0</v>
      </c>
      <c r="W365" s="462">
        <f>W70*'DATA - P&amp;L'!$E$23</f>
        <v>0</v>
      </c>
      <c r="X365" s="462">
        <f>X70*'DATA - P&amp;L'!$E$23</f>
        <v>0</v>
      </c>
      <c r="Y365" s="462">
        <f>Y70*'DATA - P&amp;L'!$E$23</f>
        <v>0</v>
      </c>
      <c r="Z365" s="462">
        <f>Z70*'DATA - P&amp;L'!$E$23</f>
        <v>0</v>
      </c>
      <c r="AA365" s="462">
        <f>AA70*'DATA - P&amp;L'!$E$23</f>
        <v>0</v>
      </c>
      <c r="AB365" s="462">
        <f>AB70*'DATA - P&amp;L'!$E$23</f>
        <v>0</v>
      </c>
      <c r="AC365" s="462">
        <f>AC70*'DATA - P&amp;L'!$E$23</f>
        <v>0</v>
      </c>
      <c r="AD365" s="462">
        <f>AD70*'DATA - P&amp;L'!$E$23</f>
        <v>0</v>
      </c>
      <c r="AE365" s="462">
        <f>AE70*'DATA - P&amp;L'!$E$23</f>
        <v>0</v>
      </c>
      <c r="AF365" s="462">
        <f>AF70*'DATA - P&amp;L'!$E$23</f>
        <v>0</v>
      </c>
      <c r="AG365" s="167">
        <f t="shared" si="116"/>
        <v>0</v>
      </c>
    </row>
    <row r="366">
      <c r="A366" s="375" t="s">
        <v>590</v>
      </c>
      <c r="B366" s="465">
        <f t="shared" ref="B366:AF366" si="117">B48</f>
        <v>2609.23</v>
      </c>
      <c r="C366" s="465">
        <f t="shared" si="117"/>
        <v>2794.44</v>
      </c>
      <c r="D366" s="465">
        <f t="shared" si="117"/>
        <v>2179.75</v>
      </c>
      <c r="E366" s="465">
        <f t="shared" si="117"/>
        <v>2264.52</v>
      </c>
      <c r="F366" s="465">
        <f t="shared" si="117"/>
        <v>2326.88</v>
      </c>
      <c r="G366" s="465">
        <f t="shared" si="117"/>
        <v>2594.15</v>
      </c>
      <c r="H366" s="465">
        <f t="shared" si="117"/>
        <v>2622.65</v>
      </c>
      <c r="I366" s="465">
        <f t="shared" si="117"/>
        <v>3158.98</v>
      </c>
      <c r="J366" s="465">
        <f t="shared" si="117"/>
        <v>2956.54</v>
      </c>
      <c r="K366" s="465">
        <f t="shared" si="117"/>
        <v>2753.74</v>
      </c>
      <c r="L366" s="465">
        <f t="shared" si="117"/>
        <v>2970.74</v>
      </c>
      <c r="M366" s="465">
        <f t="shared" si="117"/>
        <v>2809.39</v>
      </c>
      <c r="N366" s="465">
        <f t="shared" si="117"/>
        <v>4513.51</v>
      </c>
      <c r="O366" s="465">
        <f t="shared" si="117"/>
        <v>4143.08</v>
      </c>
      <c r="P366" s="465">
        <f t="shared" si="117"/>
        <v>3461.03</v>
      </c>
      <c r="Q366" s="465">
        <f t="shared" si="117"/>
        <v>3387.67</v>
      </c>
      <c r="R366" s="465">
        <f t="shared" si="117"/>
        <v>1939.38</v>
      </c>
      <c r="S366" s="465">
        <f t="shared" si="117"/>
        <v>3498.68</v>
      </c>
      <c r="T366" s="465">
        <f t="shared" si="117"/>
        <v>2561.62</v>
      </c>
      <c r="U366" s="465">
        <f t="shared" si="117"/>
        <v>2827.76</v>
      </c>
      <c r="V366" s="465">
        <f t="shared" si="117"/>
        <v>2666.73</v>
      </c>
      <c r="W366" s="465">
        <f t="shared" si="117"/>
        <v>2596.99</v>
      </c>
      <c r="X366" s="465">
        <f t="shared" si="117"/>
        <v>2267.02</v>
      </c>
      <c r="Y366" s="465">
        <f t="shared" si="117"/>
        <v>1868.93</v>
      </c>
      <c r="Z366" s="465">
        <f t="shared" si="117"/>
        <v>1873.95</v>
      </c>
      <c r="AA366" s="465">
        <f t="shared" si="117"/>
        <v>1777.49</v>
      </c>
      <c r="AB366" s="465">
        <f t="shared" si="117"/>
        <v>1878.56</v>
      </c>
      <c r="AC366" s="465">
        <f t="shared" si="117"/>
        <v>1670.07</v>
      </c>
      <c r="AD366" s="465">
        <f t="shared" si="117"/>
        <v>1808.81</v>
      </c>
      <c r="AE366" s="465">
        <f t="shared" si="117"/>
        <v>1886.17</v>
      </c>
      <c r="AF366" s="465">
        <f t="shared" si="117"/>
        <v>1967.39</v>
      </c>
      <c r="AG366" s="167">
        <f t="shared" si="116"/>
        <v>80635.85</v>
      </c>
    </row>
    <row r="367">
      <c r="A367" s="392" t="s">
        <v>598</v>
      </c>
      <c r="B367" s="462">
        <f>((SUM(B166:B169))+B193)*'DATA - P&amp;L'!$O$3</f>
        <v>425.48</v>
      </c>
      <c r="C367" s="462">
        <f>((SUM(C166:C169))+C193)*'DATA - P&amp;L'!$O$3</f>
        <v>333.52</v>
      </c>
      <c r="D367" s="462">
        <f>((SUM(D166:D169))+D193)*'DATA - P&amp;L'!$O$3</f>
        <v>508.024</v>
      </c>
      <c r="E367" s="462">
        <f>((SUM(E166:E169))+E193)*'DATA - P&amp;L'!$O$3</f>
        <v>425.37</v>
      </c>
      <c r="F367" s="462">
        <f>((SUM(F166:F169))+F193)*'DATA - P&amp;L'!$O$3</f>
        <v>452.87</v>
      </c>
      <c r="G367" s="462">
        <f>((SUM(G166:G169))+G193)*'DATA - P&amp;L'!$O$3</f>
        <v>469.348</v>
      </c>
      <c r="H367" s="462">
        <f>((SUM(H166:H169))+H193)*'DATA - P&amp;L'!$O$3</f>
        <v>296.362</v>
      </c>
      <c r="I367" s="462">
        <f>((SUM(I166:I169))+I193)*'DATA - P&amp;L'!$O$3</f>
        <v>468.886</v>
      </c>
      <c r="J367" s="462">
        <f>((SUM(J166:J169))+J193)*'DATA - P&amp;L'!$O$3</f>
        <v>375.76</v>
      </c>
      <c r="K367" s="462">
        <f>((SUM(K166:K169))+K193)*'DATA - P&amp;L'!$O$3</f>
        <v>434.17</v>
      </c>
      <c r="L367" s="462">
        <f>((SUM(L166:L169))+L193)*'DATA - P&amp;L'!$O$3</f>
        <v>331.386</v>
      </c>
      <c r="M367" s="462">
        <f>((SUM(M166:M169))+M193)*'DATA - P&amp;L'!$O$3</f>
        <v>606.496</v>
      </c>
      <c r="N367" s="462">
        <f>((SUM(N166:N169))+N193)*'DATA - P&amp;L'!$O$3</f>
        <v>443.476</v>
      </c>
      <c r="O367" s="462">
        <f>((SUM(O166:O169))+O193)*'DATA - P&amp;L'!$O$3</f>
        <v>644.512</v>
      </c>
      <c r="P367" s="462">
        <f>((SUM(P166:P169))+P193)*'DATA - P&amp;L'!$O$3</f>
        <v>368.148</v>
      </c>
      <c r="Q367" s="462">
        <f>((SUM(Q166:Q169))+Q193)*'DATA - P&amp;L'!$O$3</f>
        <v>630.234</v>
      </c>
      <c r="R367" s="462">
        <f>((SUM(R166:R169))+R193)*'DATA - P&amp;L'!$O$3</f>
        <v>217.008</v>
      </c>
      <c r="S367" s="462">
        <f>((SUM(S166:S169))+S193)*'DATA - P&amp;L'!$O$3</f>
        <v>371.008</v>
      </c>
      <c r="T367" s="462">
        <f>((SUM(T166:T169))+T193)*'DATA - P&amp;L'!$O$3</f>
        <v>130.284</v>
      </c>
      <c r="U367" s="462">
        <f>((SUM(U166:U169))+U193)*'DATA - P&amp;L'!$O$3</f>
        <v>464.134</v>
      </c>
      <c r="V367" s="462">
        <f>((SUM(V166:V169))+V193)*'DATA - P&amp;L'!$O$3</f>
        <v>335.852</v>
      </c>
      <c r="W367" s="462">
        <f>((SUM(W166:W169))+W193)*'DATA - P&amp;L'!$O$3</f>
        <v>367.84</v>
      </c>
      <c r="X367" s="462">
        <f>((SUM(X166:X169))+X193)*'DATA - P&amp;L'!$O$3</f>
        <v>231.902</v>
      </c>
      <c r="Y367" s="462">
        <f>((SUM(Y166:Y169))+Y193)*'DATA - P&amp;L'!$O$3</f>
        <v>364.98</v>
      </c>
      <c r="Z367" s="462">
        <f>((SUM(Z166:Z169))+Z193)*'DATA - P&amp;L'!$O$3</f>
        <v>498.3</v>
      </c>
      <c r="AA367" s="462">
        <f>((SUM(AA166:AA169))+AA193)*'DATA - P&amp;L'!$O$3</f>
        <v>221.98</v>
      </c>
      <c r="AB367" s="462">
        <f>((SUM(AB166:AB169))+AB193)*'DATA - P&amp;L'!$O$3</f>
        <v>292.6</v>
      </c>
      <c r="AC367" s="462">
        <f>((SUM(AC166:AC169))+AC193)*'DATA - P&amp;L'!$O$3</f>
        <v>661.1</v>
      </c>
      <c r="AD367" s="462">
        <f>((SUM(AD166:AD169))+AD193)*'DATA - P&amp;L'!$O$3</f>
        <v>360.228</v>
      </c>
      <c r="AE367" s="462">
        <f>((SUM(AE166:AE169))+AE193)*'DATA - P&amp;L'!$O$3</f>
        <v>126.72</v>
      </c>
      <c r="AF367" s="462">
        <f>((SUM(AF166:AF169))+AF193)*'DATA - P&amp;L'!$O$3</f>
        <v>389.84</v>
      </c>
      <c r="AG367" s="167">
        <f t="shared" si="116"/>
        <v>12247.818</v>
      </c>
    </row>
    <row r="368">
      <c r="A368" s="35"/>
      <c r="B368" s="528"/>
      <c r="C368" s="528"/>
      <c r="D368" s="528"/>
      <c r="E368" s="528"/>
      <c r="F368" s="528"/>
      <c r="G368" s="528"/>
      <c r="H368" s="528"/>
      <c r="I368" s="528"/>
      <c r="J368" s="528"/>
      <c r="K368" s="528"/>
      <c r="L368" s="528"/>
      <c r="M368" s="528"/>
      <c r="N368" s="528"/>
      <c r="O368" s="528"/>
      <c r="P368" s="528"/>
      <c r="Q368" s="528"/>
      <c r="R368" s="528"/>
      <c r="S368" s="528"/>
      <c r="T368" s="528"/>
      <c r="U368" s="528"/>
      <c r="V368" s="528"/>
      <c r="W368" s="528"/>
      <c r="X368" s="528"/>
      <c r="Y368" s="528"/>
      <c r="Z368" s="528"/>
      <c r="AA368" s="528"/>
      <c r="AB368" s="528"/>
      <c r="AC368" s="528"/>
      <c r="AD368" s="528"/>
      <c r="AE368" s="528"/>
      <c r="AF368" s="528"/>
      <c r="AG368" s="270"/>
    </row>
    <row r="369">
      <c r="A369" s="322" t="s">
        <v>592</v>
      </c>
      <c r="B369" s="529">
        <f t="shared" ref="B369:AF369" si="118">SUM(B349:B367)</f>
        <v>35743.63247</v>
      </c>
      <c r="C369" s="529">
        <f t="shared" si="118"/>
        <v>37868.24728</v>
      </c>
      <c r="D369" s="529">
        <f t="shared" si="118"/>
        <v>36617.17534</v>
      </c>
      <c r="E369" s="529">
        <f t="shared" si="118"/>
        <v>40869.20082</v>
      </c>
      <c r="F369" s="529">
        <f t="shared" si="118"/>
        <v>39833.57522</v>
      </c>
      <c r="G369" s="529">
        <f t="shared" si="118"/>
        <v>41315.53245</v>
      </c>
      <c r="H369" s="529">
        <f t="shared" si="118"/>
        <v>43213.07633</v>
      </c>
      <c r="I369" s="529">
        <f t="shared" si="118"/>
        <v>48116.9701</v>
      </c>
      <c r="J369" s="529">
        <f t="shared" si="118"/>
        <v>49758.78522</v>
      </c>
      <c r="K369" s="529">
        <f t="shared" si="118"/>
        <v>47869.21876</v>
      </c>
      <c r="L369" s="529">
        <f t="shared" si="118"/>
        <v>46683.53259</v>
      </c>
      <c r="M369" s="529">
        <f t="shared" si="118"/>
        <v>41579.01805</v>
      </c>
      <c r="N369" s="529">
        <f t="shared" si="118"/>
        <v>58504.35501</v>
      </c>
      <c r="O369" s="529">
        <f t="shared" si="118"/>
        <v>58520.70928</v>
      </c>
      <c r="P369" s="529">
        <f t="shared" si="118"/>
        <v>57193.5736</v>
      </c>
      <c r="Q369" s="529">
        <f t="shared" si="118"/>
        <v>60794.68766</v>
      </c>
      <c r="R369" s="529">
        <f t="shared" si="118"/>
        <v>38560.17262</v>
      </c>
      <c r="S369" s="529">
        <f t="shared" si="118"/>
        <v>54394.73133</v>
      </c>
      <c r="T369" s="529">
        <f t="shared" si="118"/>
        <v>44520.80378</v>
      </c>
      <c r="U369" s="529">
        <f t="shared" si="118"/>
        <v>47998.41737</v>
      </c>
      <c r="V369" s="529">
        <f t="shared" si="118"/>
        <v>46369.5328</v>
      </c>
      <c r="W369" s="529">
        <f t="shared" si="118"/>
        <v>47551.31091</v>
      </c>
      <c r="X369" s="529">
        <f t="shared" si="118"/>
        <v>46961.9123</v>
      </c>
      <c r="Y369" s="529">
        <f t="shared" si="118"/>
        <v>36301.77346</v>
      </c>
      <c r="Z369" s="529">
        <f t="shared" si="118"/>
        <v>35028.08318</v>
      </c>
      <c r="AA369" s="529">
        <f t="shared" si="118"/>
        <v>33018.36605</v>
      </c>
      <c r="AB369" s="529">
        <f t="shared" si="118"/>
        <v>33074.89505</v>
      </c>
      <c r="AC369" s="529">
        <f t="shared" si="118"/>
        <v>31637.35582</v>
      </c>
      <c r="AD369" s="529">
        <f t="shared" si="118"/>
        <v>29743.94681</v>
      </c>
      <c r="AE369" s="529">
        <f t="shared" si="118"/>
        <v>29433.2648</v>
      </c>
      <c r="AF369" s="529">
        <f t="shared" si="118"/>
        <v>29958.77672</v>
      </c>
      <c r="AG369" s="530">
        <f>SUM(B369:AF369)</f>
        <v>1329034.633</v>
      </c>
    </row>
    <row r="370">
      <c r="A370" s="35"/>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0"/>
    </row>
    <row r="371">
      <c r="A371" s="35"/>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0"/>
    </row>
    <row r="372">
      <c r="A372" s="531"/>
      <c r="B372" s="532"/>
      <c r="C372" s="532"/>
      <c r="D372" s="532"/>
      <c r="E372" s="532"/>
      <c r="F372" s="532"/>
      <c r="G372" s="532"/>
      <c r="H372" s="532"/>
      <c r="I372" s="532"/>
      <c r="J372" s="532"/>
      <c r="K372" s="532"/>
      <c r="L372" s="532"/>
      <c r="M372" s="532"/>
      <c r="N372" s="532"/>
      <c r="O372" s="532"/>
      <c r="P372" s="532"/>
      <c r="Q372" s="532"/>
      <c r="R372" s="532"/>
      <c r="S372" s="532"/>
      <c r="T372" s="532"/>
      <c r="U372" s="532"/>
      <c r="V372" s="532"/>
      <c r="W372" s="532"/>
      <c r="X372" s="532"/>
      <c r="Y372" s="532"/>
      <c r="Z372" s="532"/>
      <c r="AA372" s="532"/>
      <c r="AB372" s="532"/>
      <c r="AC372" s="532"/>
      <c r="AD372" s="532"/>
      <c r="AE372" s="532"/>
      <c r="AF372" s="532"/>
      <c r="AG372" s="533"/>
    </row>
    <row r="373">
      <c r="A373" s="534" t="s">
        <v>619</v>
      </c>
      <c r="B373" s="528"/>
      <c r="C373" s="528"/>
      <c r="D373" s="528"/>
      <c r="E373" s="528"/>
      <c r="F373" s="528"/>
      <c r="G373" s="528"/>
      <c r="H373" s="528"/>
      <c r="I373" s="528"/>
      <c r="J373" s="528"/>
      <c r="K373" s="528"/>
      <c r="L373" s="528"/>
      <c r="M373" s="528"/>
      <c r="N373" s="528"/>
      <c r="O373" s="528"/>
      <c r="P373" s="528"/>
      <c r="Q373" s="528"/>
      <c r="R373" s="528"/>
      <c r="S373" s="528"/>
      <c r="T373" s="528"/>
      <c r="U373" s="528"/>
      <c r="V373" s="528"/>
      <c r="W373" s="528"/>
      <c r="X373" s="528"/>
      <c r="Y373" s="528"/>
      <c r="Z373" s="528"/>
      <c r="AA373" s="528"/>
      <c r="AB373" s="528"/>
      <c r="AC373" s="528"/>
      <c r="AD373" s="528"/>
      <c r="AE373" s="528"/>
      <c r="AF373" s="528"/>
      <c r="AG373" s="270"/>
    </row>
    <row r="374">
      <c r="A374" s="535">
        <f>SUM(B50:AE50)</f>
        <v>1375029.76</v>
      </c>
      <c r="B374" s="528"/>
      <c r="C374" s="528"/>
      <c r="D374" s="528"/>
      <c r="E374" s="528"/>
      <c r="F374" s="528"/>
      <c r="G374" s="528"/>
      <c r="H374" s="528"/>
      <c r="I374" s="528"/>
      <c r="J374" s="528"/>
      <c r="K374" s="528"/>
      <c r="L374" s="528"/>
      <c r="M374" s="528"/>
      <c r="N374" s="528"/>
      <c r="O374" s="528"/>
      <c r="P374" s="528"/>
      <c r="Q374" s="528"/>
      <c r="R374" s="528"/>
      <c r="S374" s="528"/>
      <c r="T374" s="528"/>
      <c r="U374" s="528"/>
      <c r="V374" s="528"/>
      <c r="W374" s="528"/>
      <c r="X374" s="528"/>
      <c r="Y374" s="528"/>
      <c r="Z374" s="528"/>
      <c r="AA374" s="528"/>
      <c r="AB374" s="528"/>
      <c r="AC374" s="528"/>
      <c r="AD374" s="528"/>
      <c r="AE374" s="528"/>
      <c r="AF374" s="528"/>
      <c r="AG374" s="270"/>
    </row>
    <row r="375">
      <c r="A375" s="534" t="s">
        <v>620</v>
      </c>
      <c r="B375" s="536">
        <f t="shared" ref="B375:AF375" si="119">B50-B369</f>
        <v>9899.797528</v>
      </c>
      <c r="C375" s="537">
        <f t="shared" si="119"/>
        <v>7205.192723</v>
      </c>
      <c r="D375" s="538">
        <f t="shared" si="119"/>
        <v>2311.374663</v>
      </c>
      <c r="E375" s="539">
        <f t="shared" si="119"/>
        <v>1754.71918</v>
      </c>
      <c r="F375" s="541">
        <f t="shared" si="119"/>
        <v>1219.404776</v>
      </c>
      <c r="G375" s="543">
        <f t="shared" si="119"/>
        <v>2823.517547</v>
      </c>
      <c r="H375" s="544">
        <f t="shared" si="119"/>
        <v>3228.973673</v>
      </c>
      <c r="I375" s="545">
        <f t="shared" si="119"/>
        <v>6707.809903</v>
      </c>
      <c r="J375" s="546">
        <f t="shared" si="119"/>
        <v>2484.154777</v>
      </c>
      <c r="K375" s="547">
        <f t="shared" si="119"/>
        <v>1853.821242</v>
      </c>
      <c r="L375" s="548">
        <f t="shared" si="119"/>
        <v>2762.507412</v>
      </c>
      <c r="M375" s="549">
        <f t="shared" si="119"/>
        <v>8350.871949</v>
      </c>
      <c r="N375" s="551">
        <f t="shared" si="119"/>
        <v>20001.05499</v>
      </c>
      <c r="O375" s="546">
        <f t="shared" si="119"/>
        <v>11852.17072</v>
      </c>
      <c r="P375" s="552">
        <f t="shared" si="119"/>
        <v>2843.056398</v>
      </c>
      <c r="Q375" s="553">
        <f t="shared" si="119"/>
        <v>-36.0176641</v>
      </c>
      <c r="R375" s="554">
        <f t="shared" si="119"/>
        <v>-4942.29262</v>
      </c>
      <c r="S375" s="555">
        <f t="shared" si="119"/>
        <v>5159.048671</v>
      </c>
      <c r="T375" s="556">
        <f t="shared" si="119"/>
        <v>-1211.78378</v>
      </c>
      <c r="U375" s="557">
        <f t="shared" si="119"/>
        <v>1520.742629</v>
      </c>
      <c r="V375" s="391">
        <f t="shared" si="119"/>
        <v>-1052.202798</v>
      </c>
      <c r="W375" s="558">
        <f t="shared" si="119"/>
        <v>-2083.020911</v>
      </c>
      <c r="X375" s="558">
        <f t="shared" si="119"/>
        <v>-7447.692303</v>
      </c>
      <c r="Y375" s="559">
        <f t="shared" si="119"/>
        <v>-3721.443461</v>
      </c>
      <c r="Z375" s="560">
        <f t="shared" si="119"/>
        <v>-836.7331781</v>
      </c>
      <c r="AA375" s="561">
        <f t="shared" si="119"/>
        <v>-1558.676055</v>
      </c>
      <c r="AB375" s="562">
        <f t="shared" si="119"/>
        <v>1775.464951</v>
      </c>
      <c r="AC375" s="563">
        <f t="shared" si="119"/>
        <v>571.7141792</v>
      </c>
      <c r="AD375" s="561">
        <f t="shared" si="119"/>
        <v>1917.863185</v>
      </c>
      <c r="AE375" s="564">
        <f t="shared" si="119"/>
        <v>2600.505196</v>
      </c>
      <c r="AF375" s="564">
        <f t="shared" si="119"/>
        <v>6519.213282</v>
      </c>
      <c r="AG375" s="167">
        <f>SUM(B375:AF375)</f>
        <v>82473.1168</v>
      </c>
    </row>
    <row r="376">
      <c r="A376" s="535">
        <f>SUM(B375:AE375)</f>
        <v>75953.90352</v>
      </c>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c r="AA376" s="156"/>
      <c r="AB376" s="156"/>
      <c r="AC376" s="156"/>
      <c r="AD376" s="156"/>
      <c r="AE376" s="156"/>
      <c r="AF376" s="156"/>
      <c r="AG376" s="270"/>
    </row>
    <row r="377">
      <c r="A377" s="534" t="s">
        <v>622</v>
      </c>
      <c r="B377" s="565">
        <f t="shared" ref="B377:AF377" si="120">B375/B50</f>
        <v>0.2168942502</v>
      </c>
      <c r="C377" s="566">
        <f t="shared" si="120"/>
        <v>0.1598545113</v>
      </c>
      <c r="D377" s="567">
        <f t="shared" si="120"/>
        <v>0.05937479468</v>
      </c>
      <c r="E377" s="568">
        <f t="shared" si="120"/>
        <v>0.04116747546</v>
      </c>
      <c r="F377" s="570">
        <f t="shared" si="120"/>
        <v>0.02970319757</v>
      </c>
      <c r="G377" s="571">
        <f t="shared" si="120"/>
        <v>0.06396869772</v>
      </c>
      <c r="H377" s="573">
        <f t="shared" si="120"/>
        <v>0.06952694107</v>
      </c>
      <c r="I377" s="574">
        <f t="shared" si="120"/>
        <v>0.1223499648</v>
      </c>
      <c r="J377" s="576">
        <f t="shared" si="120"/>
        <v>0.04755005704</v>
      </c>
      <c r="K377" s="577">
        <f t="shared" si="120"/>
        <v>0.03728294251</v>
      </c>
      <c r="L377" s="578">
        <f t="shared" si="120"/>
        <v>0.05586913354</v>
      </c>
      <c r="M377" s="579">
        <f t="shared" si="120"/>
        <v>0.1672519597</v>
      </c>
      <c r="N377" s="580">
        <f t="shared" si="120"/>
        <v>0.2547729512</v>
      </c>
      <c r="O377" s="581">
        <f t="shared" si="120"/>
        <v>0.1684195775</v>
      </c>
      <c r="P377" s="582">
        <f t="shared" si="120"/>
        <v>0.04735536285</v>
      </c>
      <c r="Q377" s="583">
        <f t="shared" si="120"/>
        <v>-0.0005927987578</v>
      </c>
      <c r="R377" s="579">
        <f t="shared" si="120"/>
        <v>-0.1470138099</v>
      </c>
      <c r="S377" s="584">
        <f t="shared" si="120"/>
        <v>0.08662839993</v>
      </c>
      <c r="T377" s="577">
        <f t="shared" si="120"/>
        <v>-0.02797993998</v>
      </c>
      <c r="U377" s="585">
        <f t="shared" si="120"/>
        <v>0.0307101863</v>
      </c>
      <c r="V377" s="586">
        <f t="shared" si="120"/>
        <v>-0.02321855234</v>
      </c>
      <c r="W377" s="587">
        <f t="shared" si="120"/>
        <v>-0.04581260723</v>
      </c>
      <c r="X377" s="588">
        <f t="shared" si="120"/>
        <v>-0.188481319</v>
      </c>
      <c r="Y377" s="589">
        <f t="shared" si="120"/>
        <v>-0.114223627</v>
      </c>
      <c r="Z377" s="590">
        <f t="shared" si="120"/>
        <v>-0.02447207198</v>
      </c>
      <c r="AA377" s="582">
        <f t="shared" si="120"/>
        <v>-0.04954518161</v>
      </c>
      <c r="AB377" s="591">
        <f t="shared" si="120"/>
        <v>0.05094538338</v>
      </c>
      <c r="AC377" s="592">
        <f t="shared" si="120"/>
        <v>0.01775009894</v>
      </c>
      <c r="AD377" s="593">
        <f t="shared" si="120"/>
        <v>0.06057339063</v>
      </c>
      <c r="AE377" s="594">
        <f t="shared" si="120"/>
        <v>0.081180117</v>
      </c>
      <c r="AF377" s="594">
        <f t="shared" si="120"/>
        <v>0.1787163515</v>
      </c>
      <c r="AG377" s="270"/>
    </row>
    <row r="378">
      <c r="A378" s="595">
        <f>A376/A374</f>
        <v>0.05523800701</v>
      </c>
      <c r="B378" s="528"/>
      <c r="C378" s="528"/>
      <c r="D378" s="528"/>
      <c r="E378" s="528"/>
      <c r="F378" s="528"/>
      <c r="G378" s="528"/>
      <c r="H378" s="528"/>
      <c r="I378" s="528"/>
      <c r="J378" s="528"/>
      <c r="K378" s="528"/>
      <c r="L378" s="528"/>
      <c r="M378" s="528"/>
      <c r="N378" s="528"/>
      <c r="O378" s="528"/>
      <c r="P378" s="528"/>
      <c r="Q378" s="528"/>
      <c r="R378" s="528"/>
      <c r="S378" s="528"/>
      <c r="T378" s="528"/>
      <c r="U378" s="528"/>
      <c r="V378" s="528"/>
      <c r="W378" s="528"/>
      <c r="X378" s="528"/>
      <c r="Y378" s="528"/>
      <c r="Z378" s="528"/>
      <c r="AA378" s="528"/>
      <c r="AB378" s="528"/>
      <c r="AC378" s="528"/>
      <c r="AD378" s="528"/>
      <c r="AE378" s="528"/>
      <c r="AF378" s="596"/>
      <c r="AG378" s="597"/>
    </row>
    <row r="379">
      <c r="A379" s="598" t="s">
        <v>627</v>
      </c>
      <c r="B379" s="603">
        <f>Summary!B32</f>
        <v>3.95107724</v>
      </c>
      <c r="C379" s="603">
        <f>Summary!C32</f>
        <v>3.26450786</v>
      </c>
      <c r="D379" s="603">
        <f>Summary!D32</f>
        <v>2.500724031</v>
      </c>
      <c r="E379" s="603">
        <f>Summary!E32</f>
        <v>2.395077821</v>
      </c>
      <c r="F379" s="603">
        <f>Summary!F32</f>
        <v>2.411125884</v>
      </c>
      <c r="G379" s="603">
        <f>Summary!G32</f>
        <v>2.58061058</v>
      </c>
      <c r="H379" s="603">
        <f>Summary!H32</f>
        <v>2.666027191</v>
      </c>
      <c r="I379" s="603">
        <f>Summary!I32</f>
        <v>3.03373611</v>
      </c>
      <c r="J379" s="603">
        <f>Summary!J32</f>
        <v>2.435459422</v>
      </c>
      <c r="K379" s="603">
        <f>Summary!K32</f>
        <v>2.427926581</v>
      </c>
      <c r="L379" s="603">
        <f>Summary!L32</f>
        <v>2.624338888</v>
      </c>
      <c r="M379" s="603">
        <f>Summary!M32</f>
        <v>3.687203887</v>
      </c>
      <c r="N379" s="603">
        <f>Summary!N32</f>
        <v>5.691077637</v>
      </c>
      <c r="O379" s="603">
        <f>Summary!O32</f>
        <v>3.952112721</v>
      </c>
      <c r="P379" s="603">
        <f>Summary!P32</f>
        <v>2.596024753</v>
      </c>
      <c r="Q379" s="603">
        <f>Summary!Q32</f>
        <v>2.309092128</v>
      </c>
      <c r="R379" s="603">
        <f>Summary!R32</f>
        <v>1.71780725</v>
      </c>
      <c r="S379" s="603">
        <f>Summary!S32</f>
        <v>2.822961292</v>
      </c>
      <c r="T379" s="603">
        <f>Summary!T32</f>
        <v>2.095212493</v>
      </c>
      <c r="U379" s="603">
        <f>Summary!U32</f>
        <v>2.371848946</v>
      </c>
      <c r="V379" s="603">
        <f>Summary!V32</f>
        <v>2.066249759</v>
      </c>
      <c r="W379" s="603">
        <f>Summary!W32</f>
        <v>1.902903187</v>
      </c>
      <c r="X379" s="603">
        <f>Summary!X32</f>
        <v>1.495304737</v>
      </c>
      <c r="Y379" s="603">
        <f>Summary!Y32</f>
        <v>1.680575262</v>
      </c>
      <c r="Z379" s="603">
        <f>Summary!Z32</f>
        <v>2.02219267</v>
      </c>
      <c r="AA379" s="603">
        <f>Summary!AA32</f>
        <v>1.929745672</v>
      </c>
      <c r="AB379" s="603">
        <f>Summary!AB32</f>
        <v>2.383361504</v>
      </c>
      <c r="AC379" s="603">
        <f>Summary!AC32</f>
        <v>2.301695016</v>
      </c>
      <c r="AD379" s="603">
        <f>Summary!AD32</f>
        <v>2.444377191</v>
      </c>
      <c r="AE379" s="603">
        <f>Summary!AE32</f>
        <v>2.564246984</v>
      </c>
      <c r="AF379" s="603">
        <f>Summary!AF32</f>
        <v>3.445518041</v>
      </c>
      <c r="AG379" s="533"/>
    </row>
    <row r="380">
      <c r="A380" s="35"/>
      <c r="B380" s="528"/>
      <c r="C380" s="528"/>
      <c r="D380" s="528"/>
      <c r="E380" s="528"/>
      <c r="F380" s="528"/>
      <c r="G380" s="528"/>
      <c r="H380" s="528"/>
      <c r="I380" s="528"/>
      <c r="J380" s="528"/>
      <c r="K380" s="528"/>
      <c r="L380" s="528"/>
      <c r="M380" s="528"/>
      <c r="N380" s="528"/>
      <c r="O380" s="528"/>
      <c r="P380" s="528"/>
      <c r="Q380" s="528"/>
      <c r="R380" s="528"/>
      <c r="S380" s="528"/>
      <c r="T380" s="528"/>
      <c r="U380" s="528"/>
      <c r="V380" s="528"/>
      <c r="W380" s="528"/>
      <c r="X380" s="528"/>
      <c r="Y380" s="528"/>
      <c r="Z380" s="528"/>
      <c r="AA380" s="528"/>
      <c r="AB380" s="528"/>
      <c r="AC380" s="528"/>
      <c r="AD380" s="528"/>
      <c r="AE380" s="528"/>
      <c r="AF380" s="528"/>
      <c r="AG380" s="270"/>
    </row>
    <row r="381">
      <c r="A381" s="35"/>
      <c r="B381" s="528"/>
      <c r="C381" s="528"/>
      <c r="D381" s="528"/>
      <c r="E381" s="528"/>
      <c r="F381" s="528"/>
      <c r="G381" s="528"/>
      <c r="H381" s="528"/>
      <c r="I381" s="528"/>
      <c r="J381" s="528"/>
      <c r="K381" s="528"/>
      <c r="L381" s="528"/>
      <c r="M381" s="528"/>
      <c r="N381" s="528"/>
      <c r="O381" s="528"/>
      <c r="P381" s="528"/>
      <c r="Q381" s="528"/>
      <c r="R381" s="528"/>
      <c r="S381" s="528"/>
      <c r="T381" s="528"/>
      <c r="U381" s="528"/>
      <c r="V381" s="528"/>
      <c r="W381" s="528"/>
      <c r="X381" s="528"/>
      <c r="Y381" s="528"/>
      <c r="Z381" s="528"/>
      <c r="AA381" s="528"/>
      <c r="AB381" s="528"/>
      <c r="AC381" s="528"/>
      <c r="AD381" s="528"/>
      <c r="AE381" s="528"/>
      <c r="AF381" s="528"/>
      <c r="AG381" s="270"/>
    </row>
    <row r="382">
      <c r="A382" s="662" t="s">
        <v>664</v>
      </c>
      <c r="B382" s="462" t="str">
        <f t="shared" ref="B382:AE382" si="121">iferror(#REF!+#REF!+#REF!+#REF!+#REF!,"")</f>
        <v/>
      </c>
      <c r="C382" s="462" t="str">
        <f t="shared" si="121"/>
        <v/>
      </c>
      <c r="D382" s="462" t="str">
        <f t="shared" si="121"/>
        <v/>
      </c>
      <c r="E382" s="462" t="str">
        <f t="shared" si="121"/>
        <v/>
      </c>
      <c r="F382" s="462" t="str">
        <f t="shared" si="121"/>
        <v/>
      </c>
      <c r="G382" s="462" t="str">
        <f t="shared" si="121"/>
        <v/>
      </c>
      <c r="H382" s="462" t="str">
        <f t="shared" si="121"/>
        <v/>
      </c>
      <c r="I382" s="462" t="str">
        <f t="shared" si="121"/>
        <v/>
      </c>
      <c r="J382" s="462" t="str">
        <f t="shared" si="121"/>
        <v/>
      </c>
      <c r="K382" s="462" t="str">
        <f t="shared" si="121"/>
        <v/>
      </c>
      <c r="L382" s="462" t="str">
        <f t="shared" si="121"/>
        <v/>
      </c>
      <c r="M382" s="462" t="str">
        <f t="shared" si="121"/>
        <v/>
      </c>
      <c r="N382" s="462" t="str">
        <f t="shared" si="121"/>
        <v/>
      </c>
      <c r="O382" s="462" t="str">
        <f t="shared" si="121"/>
        <v/>
      </c>
      <c r="P382" s="462" t="str">
        <f t="shared" si="121"/>
        <v/>
      </c>
      <c r="Q382" s="462" t="str">
        <f t="shared" si="121"/>
        <v/>
      </c>
      <c r="R382" s="462" t="str">
        <f t="shared" si="121"/>
        <v/>
      </c>
      <c r="S382" s="462" t="str">
        <f t="shared" si="121"/>
        <v/>
      </c>
      <c r="T382" s="462" t="str">
        <f t="shared" si="121"/>
        <v/>
      </c>
      <c r="U382" s="462" t="str">
        <f t="shared" si="121"/>
        <v/>
      </c>
      <c r="V382" s="462" t="str">
        <f t="shared" si="121"/>
        <v/>
      </c>
      <c r="W382" s="462" t="str">
        <f t="shared" si="121"/>
        <v/>
      </c>
      <c r="X382" s="462" t="str">
        <f t="shared" si="121"/>
        <v/>
      </c>
      <c r="Y382" s="462" t="str">
        <f t="shared" si="121"/>
        <v/>
      </c>
      <c r="Z382" s="462" t="str">
        <f t="shared" si="121"/>
        <v/>
      </c>
      <c r="AA382" s="462" t="str">
        <f t="shared" si="121"/>
        <v/>
      </c>
      <c r="AB382" s="462" t="str">
        <f t="shared" si="121"/>
        <v/>
      </c>
      <c r="AC382" s="462" t="str">
        <f t="shared" si="121"/>
        <v/>
      </c>
      <c r="AD382" s="462" t="str">
        <f t="shared" si="121"/>
        <v/>
      </c>
      <c r="AE382" s="462" t="str">
        <f t="shared" si="121"/>
        <v/>
      </c>
      <c r="AF382" s="668"/>
      <c r="AG382" s="167"/>
    </row>
    <row r="383">
      <c r="A383" s="375" t="s">
        <v>668</v>
      </c>
      <c r="B383" s="670">
        <f t="shared" ref="B383:AF383" si="122">SUM(B384:B394)-B395</f>
        <v>0</v>
      </c>
      <c r="C383" s="670">
        <f t="shared" si="122"/>
        <v>0</v>
      </c>
      <c r="D383" s="670">
        <f t="shared" si="122"/>
        <v>0</v>
      </c>
      <c r="E383" s="670">
        <f t="shared" si="122"/>
        <v>0</v>
      </c>
      <c r="F383" s="670">
        <f t="shared" si="122"/>
        <v>-1014.21</v>
      </c>
      <c r="G383" s="670">
        <f t="shared" si="122"/>
        <v>-552.78</v>
      </c>
      <c r="H383" s="670">
        <f t="shared" si="122"/>
        <v>0</v>
      </c>
      <c r="I383" s="670">
        <f t="shared" si="122"/>
        <v>0</v>
      </c>
      <c r="J383" s="670">
        <f t="shared" si="122"/>
        <v>0</v>
      </c>
      <c r="K383" s="670">
        <f t="shared" si="122"/>
        <v>-303.39</v>
      </c>
      <c r="L383" s="670">
        <f t="shared" si="122"/>
        <v>-110.16</v>
      </c>
      <c r="M383" s="670">
        <f t="shared" si="122"/>
        <v>0</v>
      </c>
      <c r="N383" s="670">
        <f t="shared" si="122"/>
        <v>0</v>
      </c>
      <c r="O383" s="670">
        <f t="shared" si="122"/>
        <v>0</v>
      </c>
      <c r="P383" s="670">
        <f t="shared" si="122"/>
        <v>0</v>
      </c>
      <c r="Q383" s="670">
        <f t="shared" si="122"/>
        <v>0</v>
      </c>
      <c r="R383" s="670">
        <f t="shared" si="122"/>
        <v>-251.61</v>
      </c>
      <c r="S383" s="670">
        <f t="shared" si="122"/>
        <v>-404.48</v>
      </c>
      <c r="T383" s="670">
        <f t="shared" si="122"/>
        <v>-22.9</v>
      </c>
      <c r="U383" s="670">
        <f t="shared" si="122"/>
        <v>-145.13</v>
      </c>
      <c r="V383" s="670">
        <f t="shared" si="122"/>
        <v>-239.27</v>
      </c>
      <c r="W383" s="670">
        <f t="shared" si="122"/>
        <v>-20.98</v>
      </c>
      <c r="X383" s="670">
        <f t="shared" si="122"/>
        <v>-157.51</v>
      </c>
      <c r="Y383" s="670">
        <f t="shared" si="122"/>
        <v>-815.59</v>
      </c>
      <c r="Z383" s="670">
        <f t="shared" si="122"/>
        <v>-342.74</v>
      </c>
      <c r="AA383" s="670">
        <f t="shared" si="122"/>
        <v>-261.61</v>
      </c>
      <c r="AB383" s="670">
        <f t="shared" si="122"/>
        <v>-163.05</v>
      </c>
      <c r="AC383" s="670">
        <f t="shared" si="122"/>
        <v>-518.93</v>
      </c>
      <c r="AD383" s="670">
        <f t="shared" si="122"/>
        <v>-91.24</v>
      </c>
      <c r="AE383" s="670">
        <f t="shared" si="122"/>
        <v>-489.32</v>
      </c>
      <c r="AF383" s="670">
        <f t="shared" si="122"/>
        <v>-1060.3</v>
      </c>
      <c r="AG383" s="167">
        <f t="shared" ref="AG383:AG440" si="123">SUM(B383:AF383)</f>
        <v>-6965.2</v>
      </c>
    </row>
    <row r="384" outlineLevel="1">
      <c r="A384" s="284" t="s">
        <v>672</v>
      </c>
      <c r="B384" s="276">
        <f>(B200+B201+B205+B206)*'DATA - P&amp;L'!$C$3</f>
        <v>0</v>
      </c>
      <c r="C384" s="276">
        <f>(C200+C201+C205+C206)*'DATA - P&amp;L'!$C$3</f>
        <v>0</v>
      </c>
      <c r="D384" s="276">
        <f>(D200+D201+D205+D206)*'DATA - P&amp;L'!$C$3</f>
        <v>0</v>
      </c>
      <c r="E384" s="276">
        <f>(E200+E201+E205+E206)*'DATA - P&amp;L'!$C$3</f>
        <v>0</v>
      </c>
      <c r="F384" s="276">
        <f>(F200+F201+F205+F206)*'DATA - P&amp;L'!$C$3</f>
        <v>260.7</v>
      </c>
      <c r="G384" s="276">
        <f>(G200+G201+G205+G206)*'DATA - P&amp;L'!$C$3</f>
        <v>0</v>
      </c>
      <c r="H384" s="276">
        <f>(H200+H201+H205+H206)*'DATA - P&amp;L'!$C$3</f>
        <v>0</v>
      </c>
      <c r="I384" s="276">
        <f>(I200+I201+I205+I206)*'DATA - P&amp;L'!$C$3</f>
        <v>0</v>
      </c>
      <c r="J384" s="276">
        <f>(J200+J201+J205+J206)*'DATA - P&amp;L'!$C$3</f>
        <v>0</v>
      </c>
      <c r="K384" s="276">
        <f>(K200+K201+K205+K206)*'DATA - P&amp;L'!$C$3</f>
        <v>86.9</v>
      </c>
      <c r="L384" s="276">
        <f>(L200+L201+L205+L206)*'DATA - P&amp;L'!$C$3</f>
        <v>86.9</v>
      </c>
      <c r="M384" s="276">
        <f>(M200+M201+M205+M206)*'DATA - P&amp;L'!$C$3</f>
        <v>0</v>
      </c>
      <c r="N384" s="276">
        <f>(N200+N201+N205+N206)*'DATA - P&amp;L'!$C$3</f>
        <v>0</v>
      </c>
      <c r="O384" s="276">
        <f>(O200+O201+O205+O206)*'DATA - P&amp;L'!$C$3</f>
        <v>0</v>
      </c>
      <c r="P384" s="276">
        <f>(P200+P201+P205+P206)*'DATA - P&amp;L'!$C$3</f>
        <v>0</v>
      </c>
      <c r="Q384" s="276">
        <f>(Q200+Q201+Q205+Q206)*'DATA - P&amp;L'!$C$3</f>
        <v>0</v>
      </c>
      <c r="R384" s="276">
        <f>(R200+R201+R205+R206)*'DATA - P&amp;L'!$C$3</f>
        <v>173.8</v>
      </c>
      <c r="S384" s="276">
        <f>(S200+S201+S205+S206)*'DATA - P&amp;L'!$C$3</f>
        <v>86.9</v>
      </c>
      <c r="T384" s="276">
        <f>(T200+T201+T205+T206)*'DATA - P&amp;L'!$C$3</f>
        <v>0</v>
      </c>
      <c r="U384" s="276">
        <f>(U200+U201+U205+U206)*'DATA - P&amp;L'!$C$3</f>
        <v>0</v>
      </c>
      <c r="V384" s="276">
        <f>(V200+V201+V205+V206)*'DATA - P&amp;L'!$C$3</f>
        <v>86.9</v>
      </c>
      <c r="W384" s="276">
        <f>(W200+W201+W205+W206)*'DATA - P&amp;L'!$C$3</f>
        <v>0</v>
      </c>
      <c r="X384" s="276">
        <f>(X200+X201+X205+X206)*'DATA - P&amp;L'!$C$3</f>
        <v>0</v>
      </c>
      <c r="Y384" s="276">
        <f>(Y200+Y201+Y205+Y206)*'DATA - P&amp;L'!$C$3</f>
        <v>173.8</v>
      </c>
      <c r="Z384" s="276">
        <f>(Z200+Z201+Z205+Z206)*'DATA - P&amp;L'!$C$3</f>
        <v>173.8</v>
      </c>
      <c r="AA384" s="276">
        <f>(AA200+AA201+AA205+AA206)*'DATA - P&amp;L'!$C$3</f>
        <v>0</v>
      </c>
      <c r="AB384" s="276">
        <f>(AB200+AB201+AB205+AB206)*'DATA - P&amp;L'!$C$3</f>
        <v>0</v>
      </c>
      <c r="AC384" s="276">
        <f>(AC200+AC201+AC205+AC206)*'DATA - P&amp;L'!$C$3</f>
        <v>86.9</v>
      </c>
      <c r="AD384" s="276">
        <f>(AD200+AD201+AD205+AD206)*'DATA - P&amp;L'!$C$3</f>
        <v>0</v>
      </c>
      <c r="AE384" s="276">
        <f>(AE200+AE201+AE205+AE206)*'DATA - P&amp;L'!$C$3</f>
        <v>86.9</v>
      </c>
      <c r="AF384" s="276">
        <f>(AF200+AF201+AF205+AF206)*'DATA - P&amp;L'!$C$3</f>
        <v>260.7</v>
      </c>
      <c r="AG384" s="167">
        <f t="shared" si="123"/>
        <v>1564.2</v>
      </c>
    </row>
    <row r="385" outlineLevel="1">
      <c r="A385" s="284" t="s">
        <v>676</v>
      </c>
      <c r="B385" s="276">
        <f>(B202+B203+B207+B208)*'DATA - P&amp;L'!$C$4</f>
        <v>0</v>
      </c>
      <c r="C385" s="276">
        <f>(C202+C203+C207+C208)*'DATA - P&amp;L'!$C$4</f>
        <v>0</v>
      </c>
      <c r="D385" s="276">
        <f>(D202+D203+D207+D208)*'DATA - P&amp;L'!$C$4</f>
        <v>0</v>
      </c>
      <c r="E385" s="276">
        <f>(E202+E203+E207+E208)*'DATA - P&amp;L'!$C$4</f>
        <v>0</v>
      </c>
      <c r="F385" s="276">
        <f>(F202+F203+F207+F208)*'DATA - P&amp;L'!$C$4</f>
        <v>195.22</v>
      </c>
      <c r="G385" s="276">
        <f>(G202+G203+G207+G208)*'DATA - P&amp;L'!$C$4</f>
        <v>195.22</v>
      </c>
      <c r="H385" s="276">
        <f>(H202+H203+H207+H208)*'DATA - P&amp;L'!$C$4</f>
        <v>0</v>
      </c>
      <c r="I385" s="276">
        <f>(I202+I203+I207+I208)*'DATA - P&amp;L'!$C$4</f>
        <v>0</v>
      </c>
      <c r="J385" s="276">
        <f>(J202+J203+J207+J208)*'DATA - P&amp;L'!$C$4</f>
        <v>0</v>
      </c>
      <c r="K385" s="276">
        <f>(K202+K203+K207+K208)*'DATA - P&amp;L'!$C$4</f>
        <v>97.61</v>
      </c>
      <c r="L385" s="276">
        <f>(L202+L203+L207+L208)*'DATA - P&amp;L'!$C$4</f>
        <v>0</v>
      </c>
      <c r="M385" s="276">
        <f>(M202+M203+M207+M208)*'DATA - P&amp;L'!$C$4</f>
        <v>0</v>
      </c>
      <c r="N385" s="276">
        <f>(N202+N203+N207+N208)*'DATA - P&amp;L'!$C$4</f>
        <v>0</v>
      </c>
      <c r="O385" s="276">
        <f>(O202+O203+O207+O208)*'DATA - P&amp;L'!$C$4</f>
        <v>0</v>
      </c>
      <c r="P385" s="276">
        <f>(P202+P203+P207+P208)*'DATA - P&amp;L'!$C$4</f>
        <v>0</v>
      </c>
      <c r="Q385" s="276">
        <f>(Q202+Q203+Q207+Q208)*'DATA - P&amp;L'!$C$4</f>
        <v>0</v>
      </c>
      <c r="R385" s="276">
        <f>(R202+R203+R207+R208)*'DATA - P&amp;L'!$C$4</f>
        <v>0</v>
      </c>
      <c r="S385" s="276">
        <f>(S202+S203+S207+S208)*'DATA - P&amp;L'!$C$4</f>
        <v>97.61</v>
      </c>
      <c r="T385" s="276">
        <f>(T202+T203+T207+T208)*'DATA - P&amp;L'!$C$4</f>
        <v>0</v>
      </c>
      <c r="U385" s="276">
        <f>(U202+U203+U207+U208)*'DATA - P&amp;L'!$C$4</f>
        <v>97.61</v>
      </c>
      <c r="V385" s="276">
        <f>(V202+V203+V207+V208)*'DATA - P&amp;L'!$C$4</f>
        <v>0</v>
      </c>
      <c r="W385" s="276">
        <f>(W202+W203+W207+W208)*'DATA - P&amp;L'!$C$4</f>
        <v>0</v>
      </c>
      <c r="X385" s="276">
        <f>(X202+X203+X207+X208)*'DATA - P&amp;L'!$C$4</f>
        <v>97.61</v>
      </c>
      <c r="Y385" s="276">
        <f>(Y202+Y203+Y207+Y208)*'DATA - P&amp;L'!$C$4</f>
        <v>292.83</v>
      </c>
      <c r="Z385" s="276">
        <f>(Z202+Z203+Z207+Z208)*'DATA - P&amp;L'!$C$4</f>
        <v>0</v>
      </c>
      <c r="AA385" s="276">
        <f>(AA202+AA203+AA207+AA208)*'DATA - P&amp;L'!$C$4</f>
        <v>97.61</v>
      </c>
      <c r="AB385" s="276">
        <f>(AB202+AB203+AB207+AB208)*'DATA - P&amp;L'!$C$4</f>
        <v>97.61</v>
      </c>
      <c r="AC385" s="276">
        <f>(AC202+AC203+AC207+AC208)*'DATA - P&amp;L'!$C$4</f>
        <v>195.22</v>
      </c>
      <c r="AD385" s="276">
        <f>(AD202+AD203+AD207+AD208)*'DATA - P&amp;L'!$C$4</f>
        <v>0</v>
      </c>
      <c r="AE385" s="276">
        <f>(AE202+AE203+AE207+AE208)*'DATA - P&amp;L'!$C$4</f>
        <v>97.61</v>
      </c>
      <c r="AF385" s="276">
        <f>(AF202+AF203+AF207+AF208)*'DATA - P&amp;L'!$C$4</f>
        <v>195.22</v>
      </c>
      <c r="AG385" s="167">
        <f t="shared" si="123"/>
        <v>1756.98</v>
      </c>
    </row>
    <row r="386" outlineLevel="1">
      <c r="A386" s="284" t="s">
        <v>679</v>
      </c>
      <c r="B386" s="276">
        <f>(B213+B224)*'DATA - P&amp;L'!$C$6</f>
        <v>0</v>
      </c>
      <c r="C386" s="276">
        <f>(C213+C224)*'DATA - P&amp;L'!$C$6</f>
        <v>0</v>
      </c>
      <c r="D386" s="276">
        <f>(D213+D224)*'DATA - P&amp;L'!$C$6</f>
        <v>0</v>
      </c>
      <c r="E386" s="276">
        <f>(E213+E224)*'DATA - P&amp;L'!$C$6</f>
        <v>0</v>
      </c>
      <c r="F386" s="276">
        <f>(F213+F224)*'DATA - P&amp;L'!$C$6</f>
        <v>10.98</v>
      </c>
      <c r="G386" s="276">
        <f>(G213+G224)*'DATA - P&amp;L'!$C$6</f>
        <v>5.49</v>
      </c>
      <c r="H386" s="276">
        <f>(H213+H224)*'DATA - P&amp;L'!$C$6</f>
        <v>0</v>
      </c>
      <c r="I386" s="276">
        <f>(I213+I224)*'DATA - P&amp;L'!$C$6</f>
        <v>0</v>
      </c>
      <c r="J386" s="276">
        <f>(J213+J224)*'DATA - P&amp;L'!$C$6</f>
        <v>0</v>
      </c>
      <c r="K386" s="276">
        <f>(K213+K224)*'DATA - P&amp;L'!$C$6</f>
        <v>0</v>
      </c>
      <c r="L386" s="276">
        <f>(L213+L224)*'DATA - P&amp;L'!$C$6</f>
        <v>0</v>
      </c>
      <c r="M386" s="276">
        <f>(M213+M224)*'DATA - P&amp;L'!$C$6</f>
        <v>0</v>
      </c>
      <c r="N386" s="276">
        <f>(N213+N224)*'DATA - P&amp;L'!$C$6</f>
        <v>0</v>
      </c>
      <c r="O386" s="276">
        <f>(O213+O224)*'DATA - P&amp;L'!$C$6</f>
        <v>0</v>
      </c>
      <c r="P386" s="276">
        <f>(P213+P224)*'DATA - P&amp;L'!$C$6</f>
        <v>0</v>
      </c>
      <c r="Q386" s="276">
        <f>(Q213+Q224)*'DATA - P&amp;L'!$C$6</f>
        <v>0</v>
      </c>
      <c r="R386" s="276">
        <f>(R213+R224)*'DATA - P&amp;L'!$C$6</f>
        <v>0</v>
      </c>
      <c r="S386" s="276">
        <f>(S213+S224)*'DATA - P&amp;L'!$C$6</f>
        <v>16.47</v>
      </c>
      <c r="T386" s="276">
        <f>(T213+T224)*'DATA - P&amp;L'!$C$6</f>
        <v>5.49</v>
      </c>
      <c r="U386" s="276">
        <f>(U213+U224)*'DATA - P&amp;L'!$C$6</f>
        <v>0</v>
      </c>
      <c r="V386" s="276">
        <f>(V213+V224)*'DATA - P&amp;L'!$C$6</f>
        <v>5.49</v>
      </c>
      <c r="W386" s="276">
        <f>(W213+W224)*'DATA - P&amp;L'!$C$6</f>
        <v>0</v>
      </c>
      <c r="X386" s="276">
        <f>(X213+X224)*'DATA - P&amp;L'!$C$6</f>
        <v>0</v>
      </c>
      <c r="Y386" s="276">
        <f>(Y213+Y224)*'DATA - P&amp;L'!$C$6</f>
        <v>5.49</v>
      </c>
      <c r="Z386" s="276">
        <f>(Z213+Z224)*'DATA - P&amp;L'!$C$6</f>
        <v>0</v>
      </c>
      <c r="AA386" s="276">
        <f>(AA213+AA224)*'DATA - P&amp;L'!$C$6</f>
        <v>10.98</v>
      </c>
      <c r="AB386" s="276">
        <f>(AB213+AB224)*'DATA - P&amp;L'!$C$6</f>
        <v>0</v>
      </c>
      <c r="AC386" s="276">
        <f>(AC213+AC224)*'DATA - P&amp;L'!$C$6</f>
        <v>21.96</v>
      </c>
      <c r="AD386" s="276">
        <f>(AD213+AD224)*'DATA - P&amp;L'!$C$6</f>
        <v>16.47</v>
      </c>
      <c r="AE386" s="276">
        <f>(AE213+AE224)*'DATA - P&amp;L'!$C$6</f>
        <v>27.45</v>
      </c>
      <c r="AF386" s="276">
        <f>(AF213+AF224)*'DATA - P&amp;L'!$C$6</f>
        <v>76.86</v>
      </c>
      <c r="AG386" s="167">
        <f t="shared" si="123"/>
        <v>203.13</v>
      </c>
    </row>
    <row r="387" outlineLevel="1">
      <c r="A387" s="284" t="s">
        <v>683</v>
      </c>
      <c r="B387" s="276">
        <f>(B214+B225)*'DATA - P&amp;L'!$C$8</f>
        <v>0</v>
      </c>
      <c r="C387" s="276">
        <f>(C214+C225)*'DATA - P&amp;L'!$C$8</f>
        <v>0</v>
      </c>
      <c r="D387" s="276">
        <f>(D214+D225)*'DATA - P&amp;L'!$C$8</f>
        <v>0</v>
      </c>
      <c r="E387" s="276">
        <f>(E214+E225)*'DATA - P&amp;L'!$C$8</f>
        <v>0</v>
      </c>
      <c r="F387" s="276">
        <f>(F214+F225)*'DATA - P&amp;L'!$C$8</f>
        <v>0</v>
      </c>
      <c r="G387" s="276">
        <f>(G214+G225)*'DATA - P&amp;L'!$C$8</f>
        <v>0</v>
      </c>
      <c r="H387" s="276">
        <f>(H214+H225)*'DATA - P&amp;L'!$C$8</f>
        <v>0</v>
      </c>
      <c r="I387" s="276">
        <f>(I214+I225)*'DATA - P&amp;L'!$C$8</f>
        <v>0</v>
      </c>
      <c r="J387" s="276">
        <f>(J214+J225)*'DATA - P&amp;L'!$C$8</f>
        <v>0</v>
      </c>
      <c r="K387" s="276">
        <f>(K214+K225)*'DATA - P&amp;L'!$C$8</f>
        <v>1.19</v>
      </c>
      <c r="L387" s="276">
        <f>(L214+L225)*'DATA - P&amp;L'!$C$8</f>
        <v>0</v>
      </c>
      <c r="M387" s="276">
        <f>(M214+M225)*'DATA - P&amp;L'!$C$8</f>
        <v>0</v>
      </c>
      <c r="N387" s="276">
        <f>(N214+N225)*'DATA - P&amp;L'!$C$8</f>
        <v>0</v>
      </c>
      <c r="O387" s="276">
        <f>(O214+O225)*'DATA - P&amp;L'!$C$8</f>
        <v>0</v>
      </c>
      <c r="P387" s="276">
        <f>(P214+P225)*'DATA - P&amp;L'!$C$8</f>
        <v>0</v>
      </c>
      <c r="Q387" s="276">
        <f>(Q214+Q225)*'DATA - P&amp;L'!$C$8</f>
        <v>0</v>
      </c>
      <c r="R387" s="276">
        <f>(R214+R225)*'DATA - P&amp;L'!$C$8</f>
        <v>0</v>
      </c>
      <c r="S387" s="276">
        <f>(S214+S225)*'DATA - P&amp;L'!$C$8</f>
        <v>1.19</v>
      </c>
      <c r="T387" s="276">
        <f>(T214+T225)*'DATA - P&amp;L'!$C$8</f>
        <v>0</v>
      </c>
      <c r="U387" s="276">
        <f>(U214+U225)*'DATA - P&amp;L'!$C$8</f>
        <v>0</v>
      </c>
      <c r="V387" s="276">
        <f>(V214+V225)*'DATA - P&amp;L'!$C$8</f>
        <v>1.19</v>
      </c>
      <c r="W387" s="276">
        <f>(W214+W225)*'DATA - P&amp;L'!$C$8</f>
        <v>0</v>
      </c>
      <c r="X387" s="276">
        <f>(X214+X225)*'DATA - P&amp;L'!$C$8</f>
        <v>0</v>
      </c>
      <c r="Y387" s="276">
        <f>(Y214+Y225)*'DATA - P&amp;L'!$C$8</f>
        <v>1.19</v>
      </c>
      <c r="Z387" s="276">
        <f>(Z214+Z225)*'DATA - P&amp;L'!$C$8</f>
        <v>1.19</v>
      </c>
      <c r="AA387" s="276">
        <f>(AA214+AA225)*'DATA - P&amp;L'!$C$8</f>
        <v>1.19</v>
      </c>
      <c r="AB387" s="276">
        <f>(AB214+AB225)*'DATA - P&amp;L'!$C$8</f>
        <v>0</v>
      </c>
      <c r="AC387" s="276">
        <f>(AC214+AC225)*'DATA - P&amp;L'!$C$8</f>
        <v>0</v>
      </c>
      <c r="AD387" s="276">
        <f>(AD214+AD225)*'DATA - P&amp;L'!$C$8</f>
        <v>2.38</v>
      </c>
      <c r="AE387" s="276">
        <f>(AE214+AE225)*'DATA - P&amp;L'!$C$8</f>
        <v>0</v>
      </c>
      <c r="AF387" s="276">
        <f>(AF214+AF225)*'DATA - P&amp;L'!$C$8</f>
        <v>2.38</v>
      </c>
      <c r="AG387" s="167">
        <f t="shared" si="123"/>
        <v>11.9</v>
      </c>
    </row>
    <row r="388" outlineLevel="1">
      <c r="A388" s="284" t="s">
        <v>685</v>
      </c>
      <c r="B388" s="276">
        <f>(B215+B216+B226+B227)*'DATA - P&amp;L'!$C$9</f>
        <v>0</v>
      </c>
      <c r="C388" s="276">
        <f>(C215+C216+C226+C227)*'DATA - P&amp;L'!$C$9</f>
        <v>0</v>
      </c>
      <c r="D388" s="276">
        <f>(D215+D216+D226+D227)*'DATA - P&amp;L'!$C$9</f>
        <v>0</v>
      </c>
      <c r="E388" s="276">
        <f>(E215+E216+E226+E227)*'DATA - P&amp;L'!$C$9</f>
        <v>0</v>
      </c>
      <c r="F388" s="276">
        <f>(F215+F216+F226+F227)*'DATA - P&amp;L'!$C$9</f>
        <v>6.66</v>
      </c>
      <c r="G388" s="276">
        <f>(G215+G216+G226+G227)*'DATA - P&amp;L'!$C$9</f>
        <v>0</v>
      </c>
      <c r="H388" s="276">
        <f>(H215+H216+H226+H227)*'DATA - P&amp;L'!$C$9</f>
        <v>0</v>
      </c>
      <c r="I388" s="276">
        <f>(I215+I216+I226+I227)*'DATA - P&amp;L'!$C$9</f>
        <v>0</v>
      </c>
      <c r="J388" s="276">
        <f>(J215+J216+J226+J227)*'DATA - P&amp;L'!$C$9</f>
        <v>0</v>
      </c>
      <c r="K388" s="276">
        <f>(K215+K216+K226+K227)*'DATA - P&amp;L'!$C$9</f>
        <v>0</v>
      </c>
      <c r="L388" s="276">
        <f>(L215+L216+L226+L227)*'DATA - P&amp;L'!$C$9</f>
        <v>0</v>
      </c>
      <c r="M388" s="276">
        <f>(M215+M216+M226+M227)*'DATA - P&amp;L'!$C$9</f>
        <v>0</v>
      </c>
      <c r="N388" s="276">
        <f>(N215+N216+N226+N227)*'DATA - P&amp;L'!$C$9</f>
        <v>0</v>
      </c>
      <c r="O388" s="276">
        <f>(O215+O216+O226+O227)*'DATA - P&amp;L'!$C$9</f>
        <v>0</v>
      </c>
      <c r="P388" s="276">
        <f>(P215+P216+P226+P227)*'DATA - P&amp;L'!$C$9</f>
        <v>0</v>
      </c>
      <c r="Q388" s="276">
        <f>(Q215+Q216+Q226+Q227)*'DATA - P&amp;L'!$C$9</f>
        <v>0</v>
      </c>
      <c r="R388" s="276">
        <f>(R215+R216+R226+R227)*'DATA - P&amp;L'!$C$9</f>
        <v>0</v>
      </c>
      <c r="S388" s="276">
        <f>(S215+S216+S226+S227)*'DATA - P&amp;L'!$C$9</f>
        <v>6.66</v>
      </c>
      <c r="T388" s="276">
        <f>(T215+T216+T226+T227)*'DATA - P&amp;L'!$C$9</f>
        <v>0</v>
      </c>
      <c r="U388" s="276">
        <f>(U215+U216+U226+U227)*'DATA - P&amp;L'!$C$9</f>
        <v>0</v>
      </c>
      <c r="V388" s="276">
        <f>(V215+V216+V226+V227)*'DATA - P&amp;L'!$C$9</f>
        <v>6.66</v>
      </c>
      <c r="W388" s="276">
        <f>(W215+W216+W226+W227)*'DATA - P&amp;L'!$C$9</f>
        <v>6.66</v>
      </c>
      <c r="X388" s="276">
        <f>(X215+X216+X226+X227)*'DATA - P&amp;L'!$C$9</f>
        <v>0</v>
      </c>
      <c r="Y388" s="276">
        <f>(Y215+Y216+Y226+Y227)*'DATA - P&amp;L'!$C$9</f>
        <v>0</v>
      </c>
      <c r="Z388" s="276">
        <f>(Z215+Z216+Z226+Z227)*'DATA - P&amp;L'!$C$9</f>
        <v>6.66</v>
      </c>
      <c r="AA388" s="276">
        <f>(AA215+AA216+AA226+AA227)*'DATA - P&amp;L'!$C$9</f>
        <v>13.32</v>
      </c>
      <c r="AB388" s="276">
        <f>(AB215+AB216+AB226+AB227)*'DATA - P&amp;L'!$C$9</f>
        <v>0</v>
      </c>
      <c r="AC388" s="276">
        <f>(AC215+AC216+AC226+AC227)*'DATA - P&amp;L'!$C$9</f>
        <v>13.32</v>
      </c>
      <c r="AD388" s="276">
        <f>(AD215+AD216+AD226+AD227)*'DATA - P&amp;L'!$C$9</f>
        <v>6.66</v>
      </c>
      <c r="AE388" s="276">
        <f>(AE215+AE216+AE226+AE227)*'DATA - P&amp;L'!$C$9</f>
        <v>13.32</v>
      </c>
      <c r="AF388" s="276">
        <f>(AF215+AF216+AF226+AF227)*'DATA - P&amp;L'!$C$9</f>
        <v>19.98</v>
      </c>
      <c r="AG388" s="167">
        <f t="shared" si="123"/>
        <v>99.9</v>
      </c>
    </row>
    <row r="389" outlineLevel="1">
      <c r="A389" s="284" t="s">
        <v>687</v>
      </c>
      <c r="B389" s="276">
        <f>(B217+B218+B228+B229)*'DATA - P&amp;L'!$C$5</f>
        <v>0</v>
      </c>
      <c r="C389" s="276">
        <f>(C217+C218+C228+C229)*'DATA - P&amp;L'!$C$5</f>
        <v>0</v>
      </c>
      <c r="D389" s="276">
        <f>(D217+D218+D228+D229)*'DATA - P&amp;L'!$C$5</f>
        <v>0</v>
      </c>
      <c r="E389" s="276">
        <f>(E217+E218+E228+E229)*'DATA - P&amp;L'!$C$5</f>
        <v>0</v>
      </c>
      <c r="F389" s="276">
        <f>(F217+F218+F228+F229)*'DATA - P&amp;L'!$C$5</f>
        <v>26.88</v>
      </c>
      <c r="G389" s="276">
        <f>(G217+G218+G228+G229)*'DATA - P&amp;L'!$C$5</f>
        <v>13.44</v>
      </c>
      <c r="H389" s="276">
        <f>(H217+H218+H228+H229)*'DATA - P&amp;L'!$C$5</f>
        <v>0</v>
      </c>
      <c r="I389" s="276">
        <f>(I217+I218+I228+I229)*'DATA - P&amp;L'!$C$5</f>
        <v>0</v>
      </c>
      <c r="J389" s="276">
        <f>(J217+J218+J228+J229)*'DATA - P&amp;L'!$C$5</f>
        <v>0</v>
      </c>
      <c r="K389" s="276">
        <f>(K217+K218+K228+K229)*'DATA - P&amp;L'!$C$5</f>
        <v>0</v>
      </c>
      <c r="L389" s="276">
        <f>(L217+L218+L228+L229)*'DATA - P&amp;L'!$C$5</f>
        <v>0</v>
      </c>
      <c r="M389" s="276">
        <f>(M217+M218+M228+M229)*'DATA - P&amp;L'!$C$5</f>
        <v>0</v>
      </c>
      <c r="N389" s="276">
        <f>(N217+N218+N228+N229)*'DATA - P&amp;L'!$C$5</f>
        <v>0</v>
      </c>
      <c r="O389" s="276">
        <f>(O217+O218+O228+O229)*'DATA - P&amp;L'!$C$5</f>
        <v>0</v>
      </c>
      <c r="P389" s="276">
        <f>(P217+P218+P228+P229)*'DATA - P&amp;L'!$C$5</f>
        <v>0</v>
      </c>
      <c r="Q389" s="276">
        <f>(Q217+Q218+Q228+Q229)*'DATA - P&amp;L'!$C$5</f>
        <v>0</v>
      </c>
      <c r="R389" s="276">
        <f>(R217+R218+R228+R229)*'DATA - P&amp;L'!$C$5</f>
        <v>13.44</v>
      </c>
      <c r="S389" s="276">
        <f>(S217+S218+S228+S229)*'DATA - P&amp;L'!$C$5</f>
        <v>0</v>
      </c>
      <c r="T389" s="276">
        <f>(T217+T218+T228+T229)*'DATA - P&amp;L'!$C$5</f>
        <v>0</v>
      </c>
      <c r="U389" s="276">
        <f>(U217+U218+U228+U229)*'DATA - P&amp;L'!$C$5</f>
        <v>0</v>
      </c>
      <c r="V389" s="276">
        <f>(V217+V218+V228+V229)*'DATA - P&amp;L'!$C$5</f>
        <v>0</v>
      </c>
      <c r="W389" s="276">
        <f>(W217+W218+W228+W229)*'DATA - P&amp;L'!$C$5</f>
        <v>0</v>
      </c>
      <c r="X389" s="276">
        <f>(X217+X218+X228+X229)*'DATA - P&amp;L'!$C$5</f>
        <v>0</v>
      </c>
      <c r="Y389" s="276">
        <f>(Y217+Y218+Y228+Y229)*'DATA - P&amp;L'!$C$5</f>
        <v>13.44</v>
      </c>
      <c r="Z389" s="276">
        <f>(Z217+Z218+Z228+Z229)*'DATA - P&amp;L'!$C$5</f>
        <v>0</v>
      </c>
      <c r="AA389" s="276">
        <f>(AA217+AA218+AA228+AA229)*'DATA - P&amp;L'!$C$5</f>
        <v>0</v>
      </c>
      <c r="AB389" s="276">
        <f>(AB217+AB218+AB228+AB229)*'DATA - P&amp;L'!$C$5</f>
        <v>0</v>
      </c>
      <c r="AC389" s="276">
        <f>(AC217+AC218+AC228+AC229)*'DATA - P&amp;L'!$C$5</f>
        <v>0</v>
      </c>
      <c r="AD389" s="276">
        <f>(AD217+AD218+AD228+AD229)*'DATA - P&amp;L'!$C$5</f>
        <v>0</v>
      </c>
      <c r="AE389" s="276">
        <f>(AE217+AE218+AE228+AE229)*'DATA - P&amp;L'!$C$5</f>
        <v>26.88</v>
      </c>
      <c r="AF389" s="276">
        <f>(AF217+AF218+AF228+AF229)*'DATA - P&amp;L'!$C$5</f>
        <v>26.88</v>
      </c>
      <c r="AG389" s="167">
        <f t="shared" si="123"/>
        <v>120.96</v>
      </c>
    </row>
    <row r="390" outlineLevel="1">
      <c r="A390" s="284" t="s">
        <v>693</v>
      </c>
      <c r="B390" s="276">
        <f>(B219+B220+B230+B231)*'DATA - P&amp;L'!$C$10</f>
        <v>0</v>
      </c>
      <c r="C390" s="276">
        <f>(C219+C220+C230+C231)*'DATA - P&amp;L'!$C$10</f>
        <v>0</v>
      </c>
      <c r="D390" s="276">
        <f>(D219+D220+D230+D231)*'DATA - P&amp;L'!$C$10</f>
        <v>0</v>
      </c>
      <c r="E390" s="276">
        <f>(E219+E220+E230+E231)*'DATA - P&amp;L'!$C$10</f>
        <v>0</v>
      </c>
      <c r="F390" s="276">
        <f>(F219+F220+F230+F231)*'DATA - P&amp;L'!$C$10</f>
        <v>0</v>
      </c>
      <c r="G390" s="276">
        <f>(G219+G220+G230+G231)*'DATA - P&amp;L'!$C$10</f>
        <v>0</v>
      </c>
      <c r="H390" s="276">
        <f>(H219+H220+H230+H231)*'DATA - P&amp;L'!$C$10</f>
        <v>0</v>
      </c>
      <c r="I390" s="276">
        <f>(I219+I220+I230+I231)*'DATA - P&amp;L'!$C$10</f>
        <v>0</v>
      </c>
      <c r="J390" s="276">
        <f>(J219+J220+J230+J231)*'DATA - P&amp;L'!$C$10</f>
        <v>0</v>
      </c>
      <c r="K390" s="276">
        <f>(K219+K220+K230+K231)*'DATA - P&amp;L'!$C$10</f>
        <v>0</v>
      </c>
      <c r="L390" s="276">
        <f>(L219+L220+L230+L231)*'DATA - P&amp;L'!$C$10</f>
        <v>0</v>
      </c>
      <c r="M390" s="276">
        <f>(M219+M220+M230+M231)*'DATA - P&amp;L'!$C$10</f>
        <v>0</v>
      </c>
      <c r="N390" s="276">
        <f>(N219+N220+N230+N231)*'DATA - P&amp;L'!$C$10</f>
        <v>0</v>
      </c>
      <c r="O390" s="276">
        <f>(O219+O220+O230+O231)*'DATA - P&amp;L'!$C$10</f>
        <v>0</v>
      </c>
      <c r="P390" s="276">
        <f>(P219+P220+P230+P231)*'DATA - P&amp;L'!$C$10</f>
        <v>0</v>
      </c>
      <c r="Q390" s="276">
        <f>(Q219+Q220+Q230+Q231)*'DATA - P&amp;L'!$C$10</f>
        <v>0</v>
      </c>
      <c r="R390" s="276">
        <f>(R219+R220+R230+R231)*'DATA - P&amp;L'!$C$10</f>
        <v>0</v>
      </c>
      <c r="S390" s="276">
        <f>(S219+S220+S230+S231)*'DATA - P&amp;L'!$C$10</f>
        <v>0</v>
      </c>
      <c r="T390" s="276">
        <f>(T219+T220+T230+T231)*'DATA - P&amp;L'!$C$10</f>
        <v>0</v>
      </c>
      <c r="U390" s="276">
        <f>(U219+U220+U230+U231)*'DATA - P&amp;L'!$C$10</f>
        <v>0</v>
      </c>
      <c r="V390" s="276">
        <f>(V219+V220+V230+V231)*'DATA - P&amp;L'!$C$10</f>
        <v>0</v>
      </c>
      <c r="W390" s="276">
        <f>(W219+W220+W230+W231)*'DATA - P&amp;L'!$C$10</f>
        <v>0</v>
      </c>
      <c r="X390" s="276">
        <f>(X219+X220+X230+X231)*'DATA - P&amp;L'!$C$10</f>
        <v>0</v>
      </c>
      <c r="Y390" s="276">
        <f>(Y219+Y220+Y230+Y231)*'DATA - P&amp;L'!$C$10</f>
        <v>0</v>
      </c>
      <c r="Z390" s="276">
        <f>(Z219+Z220+Z230+Z231)*'DATA - P&amp;L'!$C$10</f>
        <v>0</v>
      </c>
      <c r="AA390" s="276">
        <f>(AA219+AA220+AA230+AA231)*'DATA - P&amp;L'!$C$10</f>
        <v>0</v>
      </c>
      <c r="AB390" s="276">
        <f>(AB219+AB220+AB230+AB231)*'DATA - P&amp;L'!$C$10</f>
        <v>0</v>
      </c>
      <c r="AC390" s="276">
        <f>(AC219+AC220+AC230+AC231)*'DATA - P&amp;L'!$C$10</f>
        <v>0</v>
      </c>
      <c r="AD390" s="276">
        <f>(AD219+AD220+AD230+AD231)*'DATA - P&amp;L'!$C$10</f>
        <v>0</v>
      </c>
      <c r="AE390" s="276">
        <f>(AE219+AE220+AE230+AE231)*'DATA - P&amp;L'!$C$10</f>
        <v>0</v>
      </c>
      <c r="AF390" s="276">
        <f>(AF219+AF220+AF230+AF231)*'DATA - P&amp;L'!$C$10</f>
        <v>0</v>
      </c>
      <c r="AG390" s="167">
        <f t="shared" si="123"/>
        <v>0</v>
      </c>
    </row>
    <row r="391" outlineLevel="1">
      <c r="A391" s="284" t="s">
        <v>701</v>
      </c>
      <c r="B391" s="276">
        <f>((SUM(B200:B203))*'DATA - P&amp;L'!$C$38)+((SUM(B205:B208))*'DATA - P&amp;L'!$C$39)</f>
        <v>0</v>
      </c>
      <c r="C391" s="276">
        <f>((SUM(C200:C203))*'DATA - P&amp;L'!$C$38)+((SUM(C205:C208))*'DATA - P&amp;L'!$C$39)</f>
        <v>0</v>
      </c>
      <c r="D391" s="276">
        <f>((SUM(D200:D203))*'DATA - P&amp;L'!$C$38)+((SUM(D205:D208))*'DATA - P&amp;L'!$C$39)</f>
        <v>0</v>
      </c>
      <c r="E391" s="276">
        <f>((SUM(E200:E203))*'DATA - P&amp;L'!$C$38)+((SUM(E205:E208))*'DATA - P&amp;L'!$C$39)</f>
        <v>0</v>
      </c>
      <c r="F391" s="276">
        <f>((SUM(F200:F203))*'DATA - P&amp;L'!$C$38)+((SUM(F205:F208))*'DATA - P&amp;L'!$C$39)</f>
        <v>59.7</v>
      </c>
      <c r="G391" s="276">
        <f>((SUM(G200:G203))*'DATA - P&amp;L'!$C$38)+((SUM(G205:G208))*'DATA - P&amp;L'!$C$39)</f>
        <v>23.88</v>
      </c>
      <c r="H391" s="276">
        <f>((SUM(H200:H203))*'DATA - P&amp;L'!$C$38)+((SUM(H205:H208))*'DATA - P&amp;L'!$C$39)</f>
        <v>0</v>
      </c>
      <c r="I391" s="276">
        <f>((SUM(I200:I203))*'DATA - P&amp;L'!$C$38)+((SUM(I205:I208))*'DATA - P&amp;L'!$C$39)</f>
        <v>0</v>
      </c>
      <c r="J391" s="276">
        <f>((SUM(J200:J203))*'DATA - P&amp;L'!$C$38)+((SUM(J205:J208))*'DATA - P&amp;L'!$C$39)</f>
        <v>0</v>
      </c>
      <c r="K391" s="276">
        <f>((SUM(K200:K203))*'DATA - P&amp;L'!$C$38)+((SUM(K205:K208))*'DATA - P&amp;L'!$C$39)</f>
        <v>23.88</v>
      </c>
      <c r="L391" s="276">
        <f>((SUM(L200:L203))*'DATA - P&amp;L'!$C$38)+((SUM(L205:L208))*'DATA - P&amp;L'!$C$39)</f>
        <v>11.94</v>
      </c>
      <c r="M391" s="276">
        <f>((SUM(M200:M203))*'DATA - P&amp;L'!$C$38)+((SUM(M205:M208))*'DATA - P&amp;L'!$C$39)</f>
        <v>0</v>
      </c>
      <c r="N391" s="276">
        <f>((SUM(N200:N203))*'DATA - P&amp;L'!$C$38)+((SUM(N205:N208))*'DATA - P&amp;L'!$C$39)</f>
        <v>0</v>
      </c>
      <c r="O391" s="276">
        <f>((SUM(O200:O203))*'DATA - P&amp;L'!$C$38)+((SUM(O205:O208))*'DATA - P&amp;L'!$C$39)</f>
        <v>0</v>
      </c>
      <c r="P391" s="276">
        <f>((SUM(P200:P203))*'DATA - P&amp;L'!$C$38)+((SUM(P205:P208))*'DATA - P&amp;L'!$C$39)</f>
        <v>0</v>
      </c>
      <c r="Q391" s="276">
        <f>((SUM(Q200:Q203))*'DATA - P&amp;L'!$C$38)+((SUM(Q205:Q208))*'DATA - P&amp;L'!$C$39)</f>
        <v>0</v>
      </c>
      <c r="R391" s="276">
        <f>((SUM(R200:R203))*'DATA - P&amp;L'!$C$38)+((SUM(R205:R208))*'DATA - P&amp;L'!$C$39)</f>
        <v>23.88</v>
      </c>
      <c r="S391" s="276">
        <f>((SUM(S200:S203))*'DATA - P&amp;L'!$C$38)+((SUM(S205:S208))*'DATA - P&amp;L'!$C$39)</f>
        <v>23.88</v>
      </c>
      <c r="T391" s="276">
        <f>((SUM(T200:T203))*'DATA - P&amp;L'!$C$38)+((SUM(T205:T208))*'DATA - P&amp;L'!$C$39)</f>
        <v>0</v>
      </c>
      <c r="U391" s="276">
        <f>((SUM(U200:U203))*'DATA - P&amp;L'!$C$38)+((SUM(U205:U208))*'DATA - P&amp;L'!$C$39)</f>
        <v>11.94</v>
      </c>
      <c r="V391" s="276">
        <f>((SUM(V200:V203))*'DATA - P&amp;L'!$C$38)+((SUM(V205:V208))*'DATA - P&amp;L'!$C$39)</f>
        <v>11.94</v>
      </c>
      <c r="W391" s="276">
        <f>((SUM(W200:W203))*'DATA - P&amp;L'!$C$38)+((SUM(W205:W208))*'DATA - P&amp;L'!$C$39)</f>
        <v>0</v>
      </c>
      <c r="X391" s="276">
        <f>((SUM(X200:X203))*'DATA - P&amp;L'!$C$38)+((SUM(X205:X208))*'DATA - P&amp;L'!$C$39)</f>
        <v>11.94</v>
      </c>
      <c r="Y391" s="276">
        <f>((SUM(Y200:Y203))*'DATA - P&amp;L'!$C$38)+((SUM(Y205:Y208))*'DATA - P&amp;L'!$C$39)</f>
        <v>59.7</v>
      </c>
      <c r="Z391" s="276">
        <f>((SUM(Z200:Z203))*'DATA - P&amp;L'!$C$38)+((SUM(Z205:Z208))*'DATA - P&amp;L'!$C$39)</f>
        <v>23.88</v>
      </c>
      <c r="AA391" s="276">
        <f>((SUM(AA200:AA203))*'DATA - P&amp;L'!$C$38)+((SUM(AA205:AA208))*'DATA - P&amp;L'!$C$39)</f>
        <v>11.94</v>
      </c>
      <c r="AB391" s="276">
        <f>((SUM(AB200:AB203))*'DATA - P&amp;L'!$C$38)+((SUM(AB205:AB208))*'DATA - P&amp;L'!$C$39)</f>
        <v>11.94</v>
      </c>
      <c r="AC391" s="276">
        <f>((SUM(AC200:AC203))*'DATA - P&amp;L'!$C$38)+((SUM(AC205:AC208))*'DATA - P&amp;L'!$C$39)</f>
        <v>35.82</v>
      </c>
      <c r="AD391" s="276">
        <f>((SUM(AD200:AD203))*'DATA - P&amp;L'!$C$38)+((SUM(AD205:AD208))*'DATA - P&amp;L'!$C$39)</f>
        <v>0</v>
      </c>
      <c r="AE391" s="276">
        <f>((SUM(AE200:AE203))*'DATA - P&amp;L'!$C$38)+((SUM(AE205:AE208))*'DATA - P&amp;L'!$C$39)</f>
        <v>23.88</v>
      </c>
      <c r="AF391" s="276">
        <f>((SUM(AF200:AF203))*'DATA - P&amp;L'!$C$38)+((SUM(AF205:AF208))*'DATA - P&amp;L'!$C$39)</f>
        <v>59.7</v>
      </c>
      <c r="AG391" s="167">
        <f t="shared" si="123"/>
        <v>429.84</v>
      </c>
    </row>
    <row r="392" outlineLevel="1">
      <c r="A392" s="284" t="s">
        <v>714</v>
      </c>
      <c r="B392" s="276">
        <f>((B200+B201+B202+B203)*'DATA - P&amp;L'!$C$34)+((B205+B206+B207+B208)*'DATA - P&amp;L'!$C$35)</f>
        <v>0</v>
      </c>
      <c r="C392" s="276">
        <f>((C200+C201+C202+C203)*'DATA - P&amp;L'!$C$34)+((C205+C206+C207+C208)*'DATA - P&amp;L'!$C$35)</f>
        <v>0</v>
      </c>
      <c r="D392" s="276">
        <f>((D200+D201+D202+D203)*'DATA - P&amp;L'!$C$34)+((D205+D206+D207+D208)*'DATA - P&amp;L'!$C$35)</f>
        <v>0</v>
      </c>
      <c r="E392" s="276">
        <f>((E200+E201+E202+E203)*'DATA - P&amp;L'!$C$34)+((E205+E206+E207+E208)*'DATA - P&amp;L'!$C$35)</f>
        <v>0</v>
      </c>
      <c r="F392" s="276">
        <f>((F200+F201+F202+F203)*'DATA - P&amp;L'!$C$34)+((F205+F206+F207+F208)*'DATA - P&amp;L'!$C$35)</f>
        <v>59.7</v>
      </c>
      <c r="G392" s="276">
        <f>((G200+G201+G202+G203)*'DATA - P&amp;L'!$C$34)+((G205+G206+G207+G208)*'DATA - P&amp;L'!$C$35)</f>
        <v>27</v>
      </c>
      <c r="H392" s="276">
        <f>((H200+H201+H202+H203)*'DATA - P&amp;L'!$C$34)+((H205+H206+H207+H208)*'DATA - P&amp;L'!$C$35)</f>
        <v>0</v>
      </c>
      <c r="I392" s="276">
        <f>((I200+I201+I202+I203)*'DATA - P&amp;L'!$C$34)+((I205+I206+I207+I208)*'DATA - P&amp;L'!$C$35)</f>
        <v>0</v>
      </c>
      <c r="J392" s="276">
        <f>((J200+J201+J202+J203)*'DATA - P&amp;L'!$C$34)+((J205+J206+J207+J208)*'DATA - P&amp;L'!$C$35)</f>
        <v>0</v>
      </c>
      <c r="K392" s="276">
        <f>((K200+K201+K202+K203)*'DATA - P&amp;L'!$C$34)+((K205+K206+K207+K208)*'DATA - P&amp;L'!$C$35)</f>
        <v>23.88</v>
      </c>
      <c r="L392" s="276">
        <f>((L200+L201+L202+L203)*'DATA - P&amp;L'!$C$34)+((L205+L206+L207+L208)*'DATA - P&amp;L'!$C$35)</f>
        <v>11.94</v>
      </c>
      <c r="M392" s="276">
        <f>((M200+M201+M202+M203)*'DATA - P&amp;L'!$C$34)+((M205+M206+M207+M208)*'DATA - P&amp;L'!$C$35)</f>
        <v>0</v>
      </c>
      <c r="N392" s="276">
        <f>((N200+N201+N202+N203)*'DATA - P&amp;L'!$C$34)+((N205+N206+N207+N208)*'DATA - P&amp;L'!$C$35)</f>
        <v>0</v>
      </c>
      <c r="O392" s="276">
        <f>((O200+O201+O202+O203)*'DATA - P&amp;L'!$C$34)+((O205+O206+O207+O208)*'DATA - P&amp;L'!$C$35)</f>
        <v>0</v>
      </c>
      <c r="P392" s="276">
        <f>((P200+P201+P202+P203)*'DATA - P&amp;L'!$C$34)+((P205+P206+P207+P208)*'DATA - P&amp;L'!$C$35)</f>
        <v>0</v>
      </c>
      <c r="Q392" s="276">
        <f>((Q200+Q201+Q202+Q203)*'DATA - P&amp;L'!$C$34)+((Q205+Q206+Q207+Q208)*'DATA - P&amp;L'!$C$35)</f>
        <v>0</v>
      </c>
      <c r="R392" s="276">
        <f>((R200+R201+R202+R203)*'DATA - P&amp;L'!$C$34)+((R205+R206+R207+R208)*'DATA - P&amp;L'!$C$35)</f>
        <v>23.88</v>
      </c>
      <c r="S392" s="276">
        <f>((S200+S201+S202+S203)*'DATA - P&amp;L'!$C$34)+((S205+S206+S207+S208)*'DATA - P&amp;L'!$C$35)</f>
        <v>27</v>
      </c>
      <c r="T392" s="276">
        <f>((T200+T201+T202+T203)*'DATA - P&amp;L'!$C$34)+((T205+T206+T207+T208)*'DATA - P&amp;L'!$C$35)</f>
        <v>0</v>
      </c>
      <c r="U392" s="276">
        <f>((U200+U201+U202+U203)*'DATA - P&amp;L'!$C$34)+((U205+U206+U207+U208)*'DATA - P&amp;L'!$C$35)</f>
        <v>11.94</v>
      </c>
      <c r="V392" s="276">
        <f>((V200+V201+V202+V203)*'DATA - P&amp;L'!$C$34)+((V205+V206+V207+V208)*'DATA - P&amp;L'!$C$35)</f>
        <v>11.94</v>
      </c>
      <c r="W392" s="276">
        <f>((W200+W201+W202+W203)*'DATA - P&amp;L'!$C$34)+((W205+W206+W207+W208)*'DATA - P&amp;L'!$C$35)</f>
        <v>0</v>
      </c>
      <c r="X392" s="276">
        <f>((X200+X201+X202+X203)*'DATA - P&amp;L'!$C$34)+((X205+X206+X207+X208)*'DATA - P&amp;L'!$C$35)</f>
        <v>11.94</v>
      </c>
      <c r="Y392" s="276">
        <f>((Y200+Y201+Y202+Y203)*'DATA - P&amp;L'!$C$34)+((Y205+Y206+Y207+Y208)*'DATA - P&amp;L'!$C$35)</f>
        <v>59.7</v>
      </c>
      <c r="Z392" s="276">
        <f>((Z200+Z201+Z202+Z203)*'DATA - P&amp;L'!$C$34)+((Z205+Z206+Z207+Z208)*'DATA - P&amp;L'!$C$35)</f>
        <v>23.88</v>
      </c>
      <c r="AA392" s="276">
        <f>((AA200+AA201+AA202+AA203)*'DATA - P&amp;L'!$C$34)+((AA205+AA206+AA207+AA208)*'DATA - P&amp;L'!$C$35)</f>
        <v>11.94</v>
      </c>
      <c r="AB392" s="276">
        <f>((AB200+AB201+AB202+AB203)*'DATA - P&amp;L'!$C$34)+((AB205+AB206+AB207+AB208)*'DATA - P&amp;L'!$C$35)</f>
        <v>11.94</v>
      </c>
      <c r="AC392" s="276">
        <f>((AC200+AC201+AC202+AC203)*'DATA - P&amp;L'!$C$34)+((AC205+AC206+AC207+AC208)*'DATA - P&amp;L'!$C$35)</f>
        <v>35.82</v>
      </c>
      <c r="AD392" s="276">
        <f>((AD200+AD201+AD202+AD203)*'DATA - P&amp;L'!$C$34)+((AD205+AD206+AD207+AD208)*'DATA - P&amp;L'!$C$35)</f>
        <v>0</v>
      </c>
      <c r="AE392" s="276">
        <f>((AE200+AE201+AE202+AE203)*'DATA - P&amp;L'!$C$34)+((AE205+AE206+AE207+AE208)*'DATA - P&amp;L'!$C$35)</f>
        <v>23.88</v>
      </c>
      <c r="AF392" s="276">
        <f>((AF200+AF201+AF202+AF203)*'DATA - P&amp;L'!$C$34)+((AF205+AF206+AF207+AF208)*'DATA - P&amp;L'!$C$35)</f>
        <v>59.7</v>
      </c>
      <c r="AG392" s="167">
        <f t="shared" si="123"/>
        <v>436.08</v>
      </c>
    </row>
    <row r="393" outlineLevel="1">
      <c r="A393" s="284" t="s">
        <v>724</v>
      </c>
      <c r="B393" s="276">
        <f>(B221*'DATA - P&amp;L'!$D$38)+(B232*'DATA - P&amp;L'!$D$39)</f>
        <v>0</v>
      </c>
      <c r="C393" s="276">
        <f>(C221*'DATA - P&amp;L'!$D$38)+(C232*'DATA - P&amp;L'!$D$39)</f>
        <v>0</v>
      </c>
      <c r="D393" s="276">
        <f>(D221*'DATA - P&amp;L'!$D$38)+(D232*'DATA - P&amp;L'!$D$39)</f>
        <v>0</v>
      </c>
      <c r="E393" s="276">
        <f>(E221*'DATA - P&amp;L'!$D$38)+(E232*'DATA - P&amp;L'!$D$39)</f>
        <v>0</v>
      </c>
      <c r="F393" s="276">
        <f>(F221*'DATA - P&amp;L'!$D$38)+(F232*'DATA - P&amp;L'!$D$39)</f>
        <v>7.175</v>
      </c>
      <c r="G393" s="276">
        <f>(G221*'DATA - P&amp;L'!$D$38)+(G232*'DATA - P&amp;L'!$D$39)</f>
        <v>2.87</v>
      </c>
      <c r="H393" s="276">
        <f>(H221*'DATA - P&amp;L'!$D$38)+(H232*'DATA - P&amp;L'!$D$39)</f>
        <v>0</v>
      </c>
      <c r="I393" s="276">
        <f>(I221*'DATA - P&amp;L'!$D$38)+(I232*'DATA - P&amp;L'!$D$39)</f>
        <v>0</v>
      </c>
      <c r="J393" s="276">
        <f>(J221*'DATA - P&amp;L'!$D$38)+(J232*'DATA - P&amp;L'!$D$39)</f>
        <v>0</v>
      </c>
      <c r="K393" s="276">
        <f>(K221*'DATA - P&amp;L'!$D$38)+(K232*'DATA - P&amp;L'!$D$39)</f>
        <v>1.435</v>
      </c>
      <c r="L393" s="276">
        <f>(L221*'DATA - P&amp;L'!$D$38)+(L232*'DATA - P&amp;L'!$D$39)</f>
        <v>0</v>
      </c>
      <c r="M393" s="276">
        <f>(M221*'DATA - P&amp;L'!$D$38)+(M232*'DATA - P&amp;L'!$D$39)</f>
        <v>0</v>
      </c>
      <c r="N393" s="276">
        <f>(N221*'DATA - P&amp;L'!$D$38)+(N232*'DATA - P&amp;L'!$D$39)</f>
        <v>0</v>
      </c>
      <c r="O393" s="276">
        <f>(O221*'DATA - P&amp;L'!$D$38)+(O232*'DATA - P&amp;L'!$D$39)</f>
        <v>0</v>
      </c>
      <c r="P393" s="276">
        <f>(P221*'DATA - P&amp;L'!$D$38)+(P232*'DATA - P&amp;L'!$D$39)</f>
        <v>0</v>
      </c>
      <c r="Q393" s="276">
        <f>(Q221*'DATA - P&amp;L'!$D$38)+(Q232*'DATA - P&amp;L'!$D$39)</f>
        <v>0</v>
      </c>
      <c r="R393" s="276">
        <f>(R221*'DATA - P&amp;L'!$D$38)+(R232*'DATA - P&amp;L'!$D$39)</f>
        <v>1.435</v>
      </c>
      <c r="S393" s="276">
        <f>(S221*'DATA - P&amp;L'!$D$38)+(S232*'DATA - P&amp;L'!$D$39)</f>
        <v>7.185</v>
      </c>
      <c r="T393" s="276">
        <f>(T221*'DATA - P&amp;L'!$D$38)+(T232*'DATA - P&amp;L'!$D$39)</f>
        <v>1.435</v>
      </c>
      <c r="U393" s="276">
        <f>(U221*'DATA - P&amp;L'!$D$38)+(U232*'DATA - P&amp;L'!$D$39)</f>
        <v>0</v>
      </c>
      <c r="V393" s="276">
        <f>(V221*'DATA - P&amp;L'!$D$38)+(V232*'DATA - P&amp;L'!$D$39)</f>
        <v>4.305</v>
      </c>
      <c r="W393" s="276">
        <f>(W221*'DATA - P&amp;L'!$D$38)+(W232*'DATA - P&amp;L'!$D$39)</f>
        <v>1.435</v>
      </c>
      <c r="X393" s="276">
        <f>(X221*'DATA - P&amp;L'!$D$38)+(X232*'DATA - P&amp;L'!$D$39)</f>
        <v>0</v>
      </c>
      <c r="Y393" s="276">
        <f>(Y221*'DATA - P&amp;L'!$D$38)+(Y232*'DATA - P&amp;L'!$D$39)</f>
        <v>4.305</v>
      </c>
      <c r="Z393" s="276">
        <f>(Z221*'DATA - P&amp;L'!$D$38)+(Z232*'DATA - P&amp;L'!$D$39)</f>
        <v>2.87</v>
      </c>
      <c r="AA393" s="276">
        <f>(AA221*'DATA - P&amp;L'!$D$38)+(AA232*'DATA - P&amp;L'!$D$39)</f>
        <v>7.175</v>
      </c>
      <c r="AB393" s="276">
        <f>(AB221*'DATA - P&amp;L'!$D$38)+(AB232*'DATA - P&amp;L'!$D$39)</f>
        <v>0</v>
      </c>
      <c r="AC393" s="276">
        <f>(AC221*'DATA - P&amp;L'!$D$38)+(AC232*'DATA - P&amp;L'!$D$39)</f>
        <v>8.61</v>
      </c>
      <c r="AD393" s="276">
        <f>(AD221*'DATA - P&amp;L'!$D$38)+(AD232*'DATA - P&amp;L'!$D$39)</f>
        <v>8.61</v>
      </c>
      <c r="AE393" s="276">
        <f>(AE221*'DATA - P&amp;L'!$D$38)+(AE232*'DATA - P&amp;L'!$D$39)</f>
        <v>12.925</v>
      </c>
      <c r="AF393" s="276">
        <f>(AF221*'DATA - P&amp;L'!$D$38)+(AF232*'DATA - P&amp;L'!$D$39)</f>
        <v>30.135</v>
      </c>
      <c r="AG393" s="167">
        <f t="shared" si="123"/>
        <v>101.905</v>
      </c>
    </row>
    <row r="394" outlineLevel="1">
      <c r="A394" s="284" t="s">
        <v>726</v>
      </c>
      <c r="B394" s="276">
        <f>(B221*'DATA - P&amp;L'!$D$34)+(B232*'DATA - P&amp;L'!$D$35)</f>
        <v>0</v>
      </c>
      <c r="C394" s="276">
        <f>(C221*'DATA - P&amp;L'!$D$34)+(C232*'DATA - P&amp;L'!$D$35)</f>
        <v>0</v>
      </c>
      <c r="D394" s="276">
        <f>(D221*'DATA - P&amp;L'!$D$34)+(D232*'DATA - P&amp;L'!$D$35)</f>
        <v>0</v>
      </c>
      <c r="E394" s="276">
        <f>(E221*'DATA - P&amp;L'!$D$34)+(E232*'DATA - P&amp;L'!$D$35)</f>
        <v>0</v>
      </c>
      <c r="F394" s="276">
        <f>(F221*'DATA - P&amp;L'!$D$34)+(F232*'DATA - P&amp;L'!$D$35)</f>
        <v>30.775</v>
      </c>
      <c r="G394" s="276">
        <f>(G221*'DATA - P&amp;L'!$D$34)+(G232*'DATA - P&amp;L'!$D$35)</f>
        <v>12.31</v>
      </c>
      <c r="H394" s="276">
        <f>(H221*'DATA - P&amp;L'!$D$34)+(H232*'DATA - P&amp;L'!$D$35)</f>
        <v>0</v>
      </c>
      <c r="I394" s="276">
        <f>(I221*'DATA - P&amp;L'!$D$34)+(I232*'DATA - P&amp;L'!$D$35)</f>
        <v>0</v>
      </c>
      <c r="J394" s="276">
        <f>(J221*'DATA - P&amp;L'!$D$34)+(J232*'DATA - P&amp;L'!$D$35)</f>
        <v>0</v>
      </c>
      <c r="K394" s="276">
        <f>(K221*'DATA - P&amp;L'!$D$34)+(K232*'DATA - P&amp;L'!$D$35)</f>
        <v>6.155</v>
      </c>
      <c r="L394" s="276">
        <f>(L221*'DATA - P&amp;L'!$D$34)+(L232*'DATA - P&amp;L'!$D$35)</f>
        <v>0</v>
      </c>
      <c r="M394" s="276">
        <f>(M221*'DATA - P&amp;L'!$D$34)+(M232*'DATA - P&amp;L'!$D$35)</f>
        <v>0</v>
      </c>
      <c r="N394" s="276">
        <f>(N221*'DATA - P&amp;L'!$D$34)+(N232*'DATA - P&amp;L'!$D$35)</f>
        <v>0</v>
      </c>
      <c r="O394" s="276">
        <f>(O221*'DATA - P&amp;L'!$D$34)+(O232*'DATA - P&amp;L'!$D$35)</f>
        <v>0</v>
      </c>
      <c r="P394" s="276">
        <f>(P221*'DATA - P&amp;L'!$D$34)+(P232*'DATA - P&amp;L'!$D$35)</f>
        <v>0</v>
      </c>
      <c r="Q394" s="276">
        <f>(Q221*'DATA - P&amp;L'!$D$34)+(Q232*'DATA - P&amp;L'!$D$35)</f>
        <v>0</v>
      </c>
      <c r="R394" s="276">
        <f>(R221*'DATA - P&amp;L'!$D$34)+(R232*'DATA - P&amp;L'!$D$35)</f>
        <v>6.155</v>
      </c>
      <c r="S394" s="276">
        <f>(S221*'DATA - P&amp;L'!$D$34)+(S232*'DATA - P&amp;L'!$D$35)</f>
        <v>30.785</v>
      </c>
      <c r="T394" s="276">
        <f>(T221*'DATA - P&amp;L'!$D$34)+(T232*'DATA - P&amp;L'!$D$35)</f>
        <v>6.155</v>
      </c>
      <c r="U394" s="276">
        <f>(U221*'DATA - P&amp;L'!$D$34)+(U232*'DATA - P&amp;L'!$D$35)</f>
        <v>0</v>
      </c>
      <c r="V394" s="276">
        <f>(V221*'DATA - P&amp;L'!$D$34)+(V232*'DATA - P&amp;L'!$D$35)</f>
        <v>18.465</v>
      </c>
      <c r="W394" s="276">
        <f>(W221*'DATA - P&amp;L'!$D$34)+(W232*'DATA - P&amp;L'!$D$35)</f>
        <v>6.155</v>
      </c>
      <c r="X394" s="276">
        <f>(X221*'DATA - P&amp;L'!$D$34)+(X232*'DATA - P&amp;L'!$D$35)</f>
        <v>0</v>
      </c>
      <c r="Y394" s="276">
        <f>(Y221*'DATA - P&amp;L'!$D$34)+(Y232*'DATA - P&amp;L'!$D$35)</f>
        <v>18.465</v>
      </c>
      <c r="Z394" s="276">
        <f>(Z221*'DATA - P&amp;L'!$D$34)+(Z232*'DATA - P&amp;L'!$D$35)</f>
        <v>12.31</v>
      </c>
      <c r="AA394" s="276">
        <f>(AA221*'DATA - P&amp;L'!$D$34)+(AA232*'DATA - P&amp;L'!$D$35)</f>
        <v>30.775</v>
      </c>
      <c r="AB394" s="276">
        <f>(AB221*'DATA - P&amp;L'!$D$34)+(AB232*'DATA - P&amp;L'!$D$35)</f>
        <v>0</v>
      </c>
      <c r="AC394" s="276">
        <f>(AC221*'DATA - P&amp;L'!$D$34)+(AC232*'DATA - P&amp;L'!$D$35)</f>
        <v>36.93</v>
      </c>
      <c r="AD394" s="276">
        <f>(AD221*'DATA - P&amp;L'!$D$34)+(AD232*'DATA - P&amp;L'!$D$35)</f>
        <v>36.93</v>
      </c>
      <c r="AE394" s="276">
        <f>(AE221*'DATA - P&amp;L'!$D$34)+(AE232*'DATA - P&amp;L'!$D$35)</f>
        <v>55.405</v>
      </c>
      <c r="AF394" s="276">
        <f>(AF221*'DATA - P&amp;L'!$D$34)+(AF232*'DATA - P&amp;L'!$D$35)</f>
        <v>129.255</v>
      </c>
      <c r="AG394" s="167">
        <f t="shared" si="123"/>
        <v>437.025</v>
      </c>
    </row>
    <row r="395" outlineLevel="1">
      <c r="A395" s="284" t="s">
        <v>729</v>
      </c>
      <c r="B395" s="276">
        <f t="shared" ref="B395:AF395" si="124">B236+B241</f>
        <v>0</v>
      </c>
      <c r="C395" s="276">
        <f t="shared" si="124"/>
        <v>0</v>
      </c>
      <c r="D395" s="276">
        <f t="shared" si="124"/>
        <v>0</v>
      </c>
      <c r="E395" s="276">
        <f t="shared" si="124"/>
        <v>0</v>
      </c>
      <c r="F395" s="276">
        <f t="shared" si="124"/>
        <v>1672</v>
      </c>
      <c r="G395" s="276">
        <f t="shared" si="124"/>
        <v>832.99</v>
      </c>
      <c r="H395" s="276">
        <f t="shared" si="124"/>
        <v>0</v>
      </c>
      <c r="I395" s="276">
        <f t="shared" si="124"/>
        <v>0</v>
      </c>
      <c r="J395" s="276">
        <f t="shared" si="124"/>
        <v>0</v>
      </c>
      <c r="K395" s="276">
        <f t="shared" si="124"/>
        <v>544.44</v>
      </c>
      <c r="L395" s="276">
        <f t="shared" si="124"/>
        <v>220.94</v>
      </c>
      <c r="M395" s="276">
        <f t="shared" si="124"/>
        <v>0</v>
      </c>
      <c r="N395" s="276">
        <f t="shared" si="124"/>
        <v>0</v>
      </c>
      <c r="O395" s="276">
        <f t="shared" si="124"/>
        <v>0</v>
      </c>
      <c r="P395" s="276">
        <f t="shared" si="124"/>
        <v>0</v>
      </c>
      <c r="Q395" s="276">
        <f t="shared" si="124"/>
        <v>0</v>
      </c>
      <c r="R395" s="276">
        <f t="shared" si="124"/>
        <v>494.2</v>
      </c>
      <c r="S395" s="276">
        <f t="shared" si="124"/>
        <v>702.16</v>
      </c>
      <c r="T395" s="276">
        <f t="shared" si="124"/>
        <v>35.98</v>
      </c>
      <c r="U395" s="276">
        <f t="shared" si="124"/>
        <v>266.62</v>
      </c>
      <c r="V395" s="276">
        <f t="shared" si="124"/>
        <v>386.16</v>
      </c>
      <c r="W395" s="276">
        <f t="shared" si="124"/>
        <v>35.23</v>
      </c>
      <c r="X395" s="276">
        <f t="shared" si="124"/>
        <v>279</v>
      </c>
      <c r="Y395" s="276">
        <f t="shared" si="124"/>
        <v>1444.51</v>
      </c>
      <c r="Z395" s="276">
        <f t="shared" si="124"/>
        <v>587.33</v>
      </c>
      <c r="AA395" s="276">
        <f t="shared" si="124"/>
        <v>446.54</v>
      </c>
      <c r="AB395" s="276">
        <f t="shared" si="124"/>
        <v>284.54</v>
      </c>
      <c r="AC395" s="276">
        <f t="shared" si="124"/>
        <v>953.51</v>
      </c>
      <c r="AD395" s="276">
        <f t="shared" si="124"/>
        <v>162.29</v>
      </c>
      <c r="AE395" s="276">
        <f t="shared" si="124"/>
        <v>857.57</v>
      </c>
      <c r="AF395" s="276">
        <f t="shared" si="124"/>
        <v>1921.11</v>
      </c>
      <c r="AG395" s="167">
        <f t="shared" si="123"/>
        <v>12127.12</v>
      </c>
    </row>
    <row r="396">
      <c r="A396" s="375" t="s">
        <v>731</v>
      </c>
      <c r="B396" s="670">
        <f t="shared" ref="B396:AF396" si="125">SUM(B397:B405)-B406-B407</f>
        <v>0</v>
      </c>
      <c r="C396" s="670">
        <f t="shared" si="125"/>
        <v>0</v>
      </c>
      <c r="D396" s="670">
        <f t="shared" si="125"/>
        <v>0</v>
      </c>
      <c r="E396" s="670">
        <f t="shared" si="125"/>
        <v>0</v>
      </c>
      <c r="F396" s="670">
        <f t="shared" si="125"/>
        <v>0</v>
      </c>
      <c r="G396" s="670">
        <f t="shared" si="125"/>
        <v>0</v>
      </c>
      <c r="H396" s="670">
        <f t="shared" si="125"/>
        <v>-201.23</v>
      </c>
      <c r="I396" s="670">
        <f t="shared" si="125"/>
        <v>0</v>
      </c>
      <c r="J396" s="670">
        <f t="shared" si="125"/>
        <v>0</v>
      </c>
      <c r="K396" s="670">
        <f t="shared" si="125"/>
        <v>-201.23</v>
      </c>
      <c r="L396" s="670">
        <f t="shared" si="125"/>
        <v>-409.92375</v>
      </c>
      <c r="M396" s="670">
        <f t="shared" si="125"/>
        <v>0</v>
      </c>
      <c r="N396" s="670">
        <f t="shared" si="125"/>
        <v>-216.01</v>
      </c>
      <c r="O396" s="670">
        <f t="shared" si="125"/>
        <v>-1315.84375</v>
      </c>
      <c r="P396" s="670">
        <f t="shared" si="125"/>
        <v>0</v>
      </c>
      <c r="Q396" s="670">
        <f t="shared" si="125"/>
        <v>-218.63375</v>
      </c>
      <c r="R396" s="670">
        <f t="shared" si="125"/>
        <v>-503.14</v>
      </c>
      <c r="S396" s="670">
        <f t="shared" si="125"/>
        <v>0</v>
      </c>
      <c r="T396" s="670">
        <f t="shared" si="125"/>
        <v>-354.375</v>
      </c>
      <c r="U396" s="670">
        <f t="shared" si="125"/>
        <v>-347.34375</v>
      </c>
      <c r="V396" s="670">
        <f t="shared" si="125"/>
        <v>0</v>
      </c>
      <c r="W396" s="670">
        <f t="shared" si="125"/>
        <v>0</v>
      </c>
      <c r="X396" s="670">
        <f t="shared" si="125"/>
        <v>0</v>
      </c>
      <c r="Y396" s="670">
        <f t="shared" si="125"/>
        <v>-2508.28125</v>
      </c>
      <c r="Z396" s="670">
        <f t="shared" si="125"/>
        <v>-13609.85125</v>
      </c>
      <c r="AA396" s="670">
        <f t="shared" si="125"/>
        <v>-12285.405</v>
      </c>
      <c r="AB396" s="670">
        <f t="shared" si="125"/>
        <v>-4525.50625</v>
      </c>
      <c r="AC396" s="670">
        <f t="shared" si="125"/>
        <v>-16801.23375</v>
      </c>
      <c r="AD396" s="670">
        <f t="shared" si="125"/>
        <v>-7140.16</v>
      </c>
      <c r="AE396" s="670">
        <f t="shared" si="125"/>
        <v>-8290.09375</v>
      </c>
      <c r="AF396" s="670">
        <f t="shared" si="125"/>
        <v>-3746.56375</v>
      </c>
      <c r="AG396" s="167">
        <f t="shared" si="123"/>
        <v>-72674.825</v>
      </c>
    </row>
    <row r="397" outlineLevel="1">
      <c r="A397" s="284" t="s">
        <v>733</v>
      </c>
      <c r="B397" s="276">
        <f>((B246+B247+B251+B252)*'DATA - P&amp;L'!$C$3)*'DATA - P&amp;L'!$C$54</f>
        <v>0</v>
      </c>
      <c r="C397" s="276">
        <f>((C246+C247+C251+C252)*'DATA - P&amp;L'!$C$3)*'DATA - P&amp;L'!$C$54</f>
        <v>0</v>
      </c>
      <c r="D397" s="276">
        <f>((D246+D247+D251+D252)*'DATA - P&amp;L'!$C$3)*'DATA - P&amp;L'!$C$54</f>
        <v>0</v>
      </c>
      <c r="E397" s="276">
        <f>((E246+E247+E251+E252)*'DATA - P&amp;L'!$C$3)*'DATA - P&amp;L'!$C$54</f>
        <v>0</v>
      </c>
      <c r="F397" s="276">
        <f>((F246+F247+F251+F252)*'DATA - P&amp;L'!$C$3)*'DATA - P&amp;L'!$C$54</f>
        <v>0</v>
      </c>
      <c r="G397" s="276">
        <f>((G246+G247+G251+G252)*'DATA - P&amp;L'!$C$3)*'DATA - P&amp;L'!$C$54</f>
        <v>0</v>
      </c>
      <c r="H397" s="276">
        <f>((H246+H247+H251+H252)*'DATA - P&amp;L'!$C$3)*'DATA - P&amp;L'!$C$54</f>
        <v>21.725</v>
      </c>
      <c r="I397" s="276">
        <f>((I246+I247+I251+I252)*'DATA - P&amp;L'!$C$3)*'DATA - P&amp;L'!$C$54</f>
        <v>0</v>
      </c>
      <c r="J397" s="276">
        <f>((J246+J247+J251+J252)*'DATA - P&amp;L'!$C$3)*'DATA - P&amp;L'!$C$54</f>
        <v>0</v>
      </c>
      <c r="K397" s="276">
        <f>((K246+K247+K251+K252)*'DATA - P&amp;L'!$C$3)*'DATA - P&amp;L'!$C$54</f>
        <v>21.725</v>
      </c>
      <c r="L397" s="276">
        <f>((L246+L247+L251+L252)*'DATA - P&amp;L'!$C$3)*'DATA - P&amp;L'!$C$54</f>
        <v>43.45</v>
      </c>
      <c r="M397" s="276">
        <f>((M246+M247+M251+M252)*'DATA - P&amp;L'!$C$3)*'DATA - P&amp;L'!$C$54</f>
        <v>0</v>
      </c>
      <c r="N397" s="276">
        <f>((N246+N247+N251+N252)*'DATA - P&amp;L'!$C$3)*'DATA - P&amp;L'!$C$54</f>
        <v>21.725</v>
      </c>
      <c r="O397" s="276">
        <f>((O246+O247+O251+O252)*'DATA - P&amp;L'!$C$3)*'DATA - P&amp;L'!$C$54</f>
        <v>65.175</v>
      </c>
      <c r="P397" s="276">
        <f>((P246+P247+P251+P252)*'DATA - P&amp;L'!$C$3)*'DATA - P&amp;L'!$C$54</f>
        <v>0</v>
      </c>
      <c r="Q397" s="276">
        <f>((Q246+Q247+Q251+Q252)*'DATA - P&amp;L'!$C$3)*'DATA - P&amp;L'!$C$54</f>
        <v>21.725</v>
      </c>
      <c r="R397" s="276">
        <f>((R246+R247+R251+R252)*'DATA - P&amp;L'!$C$3)*'DATA - P&amp;L'!$C$54</f>
        <v>21.725</v>
      </c>
      <c r="S397" s="276">
        <f>((S246+S247+S251+S252)*'DATA - P&amp;L'!$C$3)*'DATA - P&amp;L'!$C$54</f>
        <v>0</v>
      </c>
      <c r="T397" s="276">
        <f>((T246+T247+T251+T252)*'DATA - P&amp;L'!$C$3)*'DATA - P&amp;L'!$C$54</f>
        <v>0</v>
      </c>
      <c r="U397" s="276">
        <f>((U246+U247+U251+U252)*'DATA - P&amp;L'!$C$3)*'DATA - P&amp;L'!$C$54</f>
        <v>21.725</v>
      </c>
      <c r="V397" s="276">
        <f>((V246+V247+V251+V252)*'DATA - P&amp;L'!$C$3)*'DATA - P&amp;L'!$C$54</f>
        <v>0</v>
      </c>
      <c r="W397" s="276">
        <f>((W246+W247+W251+W252)*'DATA - P&amp;L'!$C$3)*'DATA - P&amp;L'!$C$54</f>
        <v>0</v>
      </c>
      <c r="X397" s="276">
        <f>((X246+X247+X251+X252)*'DATA - P&amp;L'!$C$3)*'DATA - P&amp;L'!$C$54</f>
        <v>0</v>
      </c>
      <c r="Y397" s="276">
        <f>((Y246+Y247+Y251+Y252)*'DATA - P&amp;L'!$C$3)*'DATA - P&amp;L'!$C$54</f>
        <v>86.9</v>
      </c>
      <c r="Z397" s="276">
        <f>((Z246+Z247+Z251+Z252)*'DATA - P&amp;L'!$C$3)*'DATA - P&amp;L'!$C$54</f>
        <v>1086.25</v>
      </c>
      <c r="AA397" s="276">
        <f>((AA246+AA247+AA251+AA252)*'DATA - P&amp;L'!$C$3)*'DATA - P&amp;L'!$C$54</f>
        <v>499.675</v>
      </c>
      <c r="AB397" s="276">
        <f>((AB246+AB247+AB251+AB252)*'DATA - P&amp;L'!$C$3)*'DATA - P&amp;L'!$C$54</f>
        <v>173.8</v>
      </c>
      <c r="AC397" s="276">
        <f>((AC246+AC247+AC251+AC252)*'DATA - P&amp;L'!$C$3)*'DATA - P&amp;L'!$C$54</f>
        <v>434.5</v>
      </c>
      <c r="AD397" s="276">
        <f>((AD246+AD247+AD251+AD252)*'DATA - P&amp;L'!$C$3)*'DATA - P&amp;L'!$C$54</f>
        <v>260.7</v>
      </c>
      <c r="AE397" s="276">
        <f>((AE246+AE247+AE251+AE252)*'DATA - P&amp;L'!$C$3)*'DATA - P&amp;L'!$C$54</f>
        <v>238.975</v>
      </c>
      <c r="AF397" s="276">
        <f>((AF246+AF247+AF251+AF252)*'DATA - P&amp;L'!$C$3)*'DATA - P&amp;L'!$C$54</f>
        <v>173.8</v>
      </c>
      <c r="AG397" s="167">
        <f t="shared" si="123"/>
        <v>3193.575</v>
      </c>
    </row>
    <row r="398" outlineLevel="1">
      <c r="A398" s="284" t="s">
        <v>740</v>
      </c>
      <c r="B398" s="276">
        <f>(B248+B249+B253+B254)*'DATA - P&amp;L'!$C$4*'DATA - P&amp;L'!$C$54</f>
        <v>0</v>
      </c>
      <c r="C398" s="276">
        <f>(C248+C249+C253+C254)*'DATA - P&amp;L'!$C$4*'DATA - P&amp;L'!$C$54</f>
        <v>0</v>
      </c>
      <c r="D398" s="276">
        <f>(D248+D249+D253+D254)*'DATA - P&amp;L'!$C$4*'DATA - P&amp;L'!$C$54</f>
        <v>0</v>
      </c>
      <c r="E398" s="276">
        <f>(E248+E249+E253+E254)*'DATA - P&amp;L'!$C$4*'DATA - P&amp;L'!$C$54</f>
        <v>0</v>
      </c>
      <c r="F398" s="276">
        <f>(F248+F249+F253+F254)*'DATA - P&amp;L'!$C$4*'DATA - P&amp;L'!$C$54</f>
        <v>0</v>
      </c>
      <c r="G398" s="276">
        <f>(G248+G249+G253+G254)*'DATA - P&amp;L'!$C$4*'DATA - P&amp;L'!$C$54</f>
        <v>0</v>
      </c>
      <c r="H398" s="276">
        <f>(H248+H249+H253+H254)*'DATA - P&amp;L'!$C$4*'DATA - P&amp;L'!$C$54</f>
        <v>0</v>
      </c>
      <c r="I398" s="276">
        <f>(I248+I249+I253+I254)*'DATA - P&amp;L'!$C$4*'DATA - P&amp;L'!$C$54</f>
        <v>0</v>
      </c>
      <c r="J398" s="276">
        <f>(J248+J249+J253+J254)*'DATA - P&amp;L'!$C$4*'DATA - P&amp;L'!$C$54</f>
        <v>0</v>
      </c>
      <c r="K398" s="276">
        <f>(K248+K249+K253+K254)*'DATA - P&amp;L'!$C$4*'DATA - P&amp;L'!$C$54</f>
        <v>0</v>
      </c>
      <c r="L398" s="276">
        <f>(L248+L249+L253+L254)*'DATA - P&amp;L'!$C$4*'DATA - P&amp;L'!$C$54</f>
        <v>0</v>
      </c>
      <c r="M398" s="276">
        <f>(M248+M249+M253+M254)*'DATA - P&amp;L'!$C$4*'DATA - P&amp;L'!$C$54</f>
        <v>0</v>
      </c>
      <c r="N398" s="276">
        <f>(N248+N249+N253+N254)*'DATA - P&amp;L'!$C$4*'DATA - P&amp;L'!$C$54</f>
        <v>0</v>
      </c>
      <c r="O398" s="276">
        <f>(O248+O249+O253+O254)*'DATA - P&amp;L'!$C$4*'DATA - P&amp;L'!$C$54</f>
        <v>73.2075</v>
      </c>
      <c r="P398" s="276">
        <f>(P248+P249+P253+P254)*'DATA - P&amp;L'!$C$4*'DATA - P&amp;L'!$C$54</f>
        <v>0</v>
      </c>
      <c r="Q398" s="276">
        <f>(Q248+Q249+Q253+Q254)*'DATA - P&amp;L'!$C$4*'DATA - P&amp;L'!$C$54</f>
        <v>0</v>
      </c>
      <c r="R398" s="276">
        <f>(R248+R249+R253+R254)*'DATA - P&amp;L'!$C$4*'DATA - P&amp;L'!$C$54</f>
        <v>0</v>
      </c>
      <c r="S398" s="276">
        <f>(S248+S249+S253+S254)*'DATA - P&amp;L'!$C$4*'DATA - P&amp;L'!$C$54</f>
        <v>0</v>
      </c>
      <c r="T398" s="276">
        <f>(T248+T249+T253+T254)*'DATA - P&amp;L'!$C$4*'DATA - P&amp;L'!$C$54</f>
        <v>24.4025</v>
      </c>
      <c r="U398" s="276">
        <f>(U248+U249+U253+U254)*'DATA - P&amp;L'!$C$4*'DATA - P&amp;L'!$C$54</f>
        <v>0</v>
      </c>
      <c r="V398" s="276">
        <f>(V248+V249+V253+V254)*'DATA - P&amp;L'!$C$4*'DATA - P&amp;L'!$C$54</f>
        <v>0</v>
      </c>
      <c r="W398" s="276">
        <f>(W248+W249+W253+W254)*'DATA - P&amp;L'!$C$4*'DATA - P&amp;L'!$C$54</f>
        <v>0</v>
      </c>
      <c r="X398" s="276">
        <f>(X248+X249+X253+X254)*'DATA - P&amp;L'!$C$4*'DATA - P&amp;L'!$C$54</f>
        <v>0</v>
      </c>
      <c r="Y398" s="276">
        <f>(Y248+Y249+Y253+Y254)*'DATA - P&amp;L'!$C$4*'DATA - P&amp;L'!$C$54</f>
        <v>97.61</v>
      </c>
      <c r="Z398" s="276">
        <f>(Z248+Z249+Z253+Z254)*'DATA - P&amp;L'!$C$4*'DATA - P&amp;L'!$C$54</f>
        <v>146.415</v>
      </c>
      <c r="AA398" s="276">
        <f>(AA248+AA249+AA253+AA254)*'DATA - P&amp;L'!$C$4*'DATA - P&amp;L'!$C$54</f>
        <v>536.855</v>
      </c>
      <c r="AB398" s="276">
        <f>(AB248+AB249+AB253+AB254)*'DATA - P&amp;L'!$C$4*'DATA - P&amp;L'!$C$54</f>
        <v>195.22</v>
      </c>
      <c r="AC398" s="276">
        <f>(AC248+AC249+AC253+AC254)*'DATA - P&amp;L'!$C$4*'DATA - P&amp;L'!$C$54</f>
        <v>902.8925</v>
      </c>
      <c r="AD398" s="276">
        <f>(AD248+AD249+AD253+AD254)*'DATA - P&amp;L'!$C$4*'DATA - P&amp;L'!$C$54</f>
        <v>341.635</v>
      </c>
      <c r="AE398" s="276">
        <f>(AE248+AE249+AE253+AE254)*'DATA - P&amp;L'!$C$4*'DATA - P&amp;L'!$C$54</f>
        <v>439.245</v>
      </c>
      <c r="AF398" s="276">
        <f>(AF248+AF249+AF253+AF254)*'DATA - P&amp;L'!$C$4*'DATA - P&amp;L'!$C$54</f>
        <v>146.415</v>
      </c>
      <c r="AG398" s="167">
        <f t="shared" si="123"/>
        <v>2903.8975</v>
      </c>
    </row>
    <row r="399" outlineLevel="1">
      <c r="A399" s="284" t="s">
        <v>742</v>
      </c>
      <c r="B399" s="276">
        <f>(B259+B270)*'DATA - P&amp;L'!$C$6*'DATA - P&amp;L'!$C$54</f>
        <v>0</v>
      </c>
      <c r="C399" s="276">
        <f>(C259+C270)*'DATA - P&amp;L'!$C$6*'DATA - P&amp;L'!$C$54</f>
        <v>0</v>
      </c>
      <c r="D399" s="276">
        <f>(D259+D270)*'DATA - P&amp;L'!$C$6*'DATA - P&amp;L'!$C$54</f>
        <v>0</v>
      </c>
      <c r="E399" s="276">
        <f>(E259+E270)*'DATA - P&amp;L'!$C$6*'DATA - P&amp;L'!$C$54</f>
        <v>0</v>
      </c>
      <c r="F399" s="276">
        <f>(F259+F270)*'DATA - P&amp;L'!$C$6*'DATA - P&amp;L'!$C$54</f>
        <v>0</v>
      </c>
      <c r="G399" s="276">
        <f>(G259+G270)*'DATA - P&amp;L'!$C$6*'DATA - P&amp;L'!$C$54</f>
        <v>0</v>
      </c>
      <c r="H399" s="276">
        <f>(H259+H270)*'DATA - P&amp;L'!$C$6*'DATA - P&amp;L'!$C$54</f>
        <v>0</v>
      </c>
      <c r="I399" s="276">
        <f>(I259+I270)*'DATA - P&amp;L'!$C$6*'DATA - P&amp;L'!$C$54</f>
        <v>0</v>
      </c>
      <c r="J399" s="276">
        <f>(J259+J270)*'DATA - P&amp;L'!$C$6*'DATA - P&amp;L'!$C$54</f>
        <v>0</v>
      </c>
      <c r="K399" s="276">
        <f>(K259+K270)*'DATA - P&amp;L'!$C$6*'DATA - P&amp;L'!$C$54</f>
        <v>0</v>
      </c>
      <c r="L399" s="276">
        <f>(L259+L270)*'DATA - P&amp;L'!$C$6*'DATA - P&amp;L'!$C$54</f>
        <v>0</v>
      </c>
      <c r="M399" s="276">
        <f>(M259+M270)*'DATA - P&amp;L'!$C$6*'DATA - P&amp;L'!$C$54</f>
        <v>0</v>
      </c>
      <c r="N399" s="276">
        <f>(N259+N270)*'DATA - P&amp;L'!$C$6*'DATA - P&amp;L'!$C$54</f>
        <v>0</v>
      </c>
      <c r="O399" s="276">
        <f>(O259+O270)*'DATA - P&amp;L'!$C$6*'DATA - P&amp;L'!$C$54</f>
        <v>4.1175</v>
      </c>
      <c r="P399" s="276">
        <f>(P259+P270)*'DATA - P&amp;L'!$C$6*'DATA - P&amp;L'!$C$54</f>
        <v>0</v>
      </c>
      <c r="Q399" s="276">
        <f>(Q259+Q270)*'DATA - P&amp;L'!$C$6*'DATA - P&amp;L'!$C$54</f>
        <v>0</v>
      </c>
      <c r="R399" s="276">
        <f>(R259+R270)*'DATA - P&amp;L'!$C$6*'DATA - P&amp;L'!$C$54</f>
        <v>2.745</v>
      </c>
      <c r="S399" s="276">
        <f>(S259+S270)*'DATA - P&amp;L'!$C$6*'DATA - P&amp;L'!$C$54</f>
        <v>0</v>
      </c>
      <c r="T399" s="276">
        <f>(T259+T270)*'DATA - P&amp;L'!$C$6*'DATA - P&amp;L'!$C$54</f>
        <v>1.3725</v>
      </c>
      <c r="U399" s="276">
        <f>(U259+U270)*'DATA - P&amp;L'!$C$6*'DATA - P&amp;L'!$C$54</f>
        <v>1.3725</v>
      </c>
      <c r="V399" s="276">
        <f>(V259+V270)*'DATA - P&amp;L'!$C$6*'DATA - P&amp;L'!$C$54</f>
        <v>0</v>
      </c>
      <c r="W399" s="276">
        <f>(W259+W270)*'DATA - P&amp;L'!$C$6*'DATA - P&amp;L'!$C$54</f>
        <v>0</v>
      </c>
      <c r="X399" s="276">
        <f>(X259+X270)*'DATA - P&amp;L'!$C$6*'DATA - P&amp;L'!$C$54</f>
        <v>0</v>
      </c>
      <c r="Y399" s="276">
        <f>(Y259+Y270)*'DATA - P&amp;L'!$C$6*'DATA - P&amp;L'!$C$54</f>
        <v>9.6075</v>
      </c>
      <c r="Z399" s="276">
        <f>(Z259+Z270)*'DATA - P&amp;L'!$C$6*'DATA - P&amp;L'!$C$54</f>
        <v>20.5875</v>
      </c>
      <c r="AA399" s="276">
        <f>(AA259+AA270)*'DATA - P&amp;L'!$C$6*'DATA - P&amp;L'!$C$54</f>
        <v>26.0775</v>
      </c>
      <c r="AB399" s="276">
        <f>(AB259+AB270)*'DATA - P&amp;L'!$C$6*'DATA - P&amp;L'!$C$54</f>
        <v>9.6075</v>
      </c>
      <c r="AC399" s="276">
        <f>(AC259+AC270)*'DATA - P&amp;L'!$C$6*'DATA - P&amp;L'!$C$54</f>
        <v>34.3125</v>
      </c>
      <c r="AD399" s="276">
        <f>(AD259+AD270)*'DATA - P&amp;L'!$C$6*'DATA - P&amp;L'!$C$54</f>
        <v>15.0975</v>
      </c>
      <c r="AE399" s="276">
        <f>(AE259+AE270)*'DATA - P&amp;L'!$C$6*'DATA - P&amp;L'!$C$54</f>
        <v>16.47</v>
      </c>
      <c r="AF399" s="276">
        <f>(AF259+AF270)*'DATA - P&amp;L'!$C$6*'DATA - P&amp;L'!$C$54</f>
        <v>8.235</v>
      </c>
      <c r="AG399" s="167">
        <f t="shared" si="123"/>
        <v>149.6025</v>
      </c>
    </row>
    <row r="400" outlineLevel="1">
      <c r="A400" s="284" t="s">
        <v>744</v>
      </c>
      <c r="B400" s="276">
        <f>(B260+B271)*'DATA - P&amp;L'!$C$8*'DATA - P&amp;L'!$C$54</f>
        <v>0</v>
      </c>
      <c r="C400" s="276">
        <f>(C260+C271)*'DATA - P&amp;L'!$C$8*'DATA - P&amp;L'!$C$54</f>
        <v>0</v>
      </c>
      <c r="D400" s="276">
        <f>(D260+D271)*'DATA - P&amp;L'!$C$8*'DATA - P&amp;L'!$C$54</f>
        <v>0</v>
      </c>
      <c r="E400" s="276">
        <f>(E260+E271)*'DATA - P&amp;L'!$C$8*'DATA - P&amp;L'!$C$54</f>
        <v>0</v>
      </c>
      <c r="F400" s="276">
        <f>(F260+F271)*'DATA - P&amp;L'!$C$8*'DATA - P&amp;L'!$C$54</f>
        <v>0</v>
      </c>
      <c r="G400" s="276">
        <f>(G260+G271)*'DATA - P&amp;L'!$C$8*'DATA - P&amp;L'!$C$54</f>
        <v>0</v>
      </c>
      <c r="H400" s="276">
        <f>(H260+H271)*'DATA - P&amp;L'!$C$8*'DATA - P&amp;L'!$C$54</f>
        <v>0</v>
      </c>
      <c r="I400" s="276">
        <f>(I260+I271)*'DATA - P&amp;L'!$C$8*'DATA - P&amp;L'!$C$54</f>
        <v>0</v>
      </c>
      <c r="J400" s="276">
        <f>(J260+J271)*'DATA - P&amp;L'!$C$8*'DATA - P&amp;L'!$C$54</f>
        <v>0</v>
      </c>
      <c r="K400" s="276">
        <f>(K260+K271)*'DATA - P&amp;L'!$C$8*'DATA - P&amp;L'!$C$54</f>
        <v>0</v>
      </c>
      <c r="L400" s="276">
        <f>(L260+L271)*'DATA - P&amp;L'!$C$8*'DATA - P&amp;L'!$C$54</f>
        <v>0.2975</v>
      </c>
      <c r="M400" s="276">
        <f>(M260+M271)*'DATA - P&amp;L'!$C$8*'DATA - P&amp;L'!$C$54</f>
        <v>0</v>
      </c>
      <c r="N400" s="276">
        <f>(N260+N271)*'DATA - P&amp;L'!$C$8*'DATA - P&amp;L'!$C$54</f>
        <v>0</v>
      </c>
      <c r="O400" s="276">
        <f>(O260+O271)*'DATA - P&amp;L'!$C$8*'DATA - P&amp;L'!$C$54</f>
        <v>0</v>
      </c>
      <c r="P400" s="276">
        <f>(P260+P271)*'DATA - P&amp;L'!$C$8*'DATA - P&amp;L'!$C$54</f>
        <v>0</v>
      </c>
      <c r="Q400" s="276">
        <f>(Q260+Q271)*'DATA - P&amp;L'!$C$8*'DATA - P&amp;L'!$C$54</f>
        <v>0.2975</v>
      </c>
      <c r="R400" s="276">
        <f>(R260+R271)*'DATA - P&amp;L'!$C$8*'DATA - P&amp;L'!$C$54</f>
        <v>0.2975</v>
      </c>
      <c r="S400" s="276">
        <f>(S260+S271)*'DATA - P&amp;L'!$C$8*'DATA - P&amp;L'!$C$54</f>
        <v>0</v>
      </c>
      <c r="T400" s="276">
        <f>(T260+T271)*'DATA - P&amp;L'!$C$8*'DATA - P&amp;L'!$C$54</f>
        <v>0.2975</v>
      </c>
      <c r="U400" s="276">
        <f>(U260+U271)*'DATA - P&amp;L'!$C$8*'DATA - P&amp;L'!$C$54</f>
        <v>0.2975</v>
      </c>
      <c r="V400" s="276">
        <f>(V260+V271)*'DATA - P&amp;L'!$C$8*'DATA - P&amp;L'!$C$54</f>
        <v>0</v>
      </c>
      <c r="W400" s="276">
        <f>(W260+W271)*'DATA - P&amp;L'!$C$8*'DATA - P&amp;L'!$C$54</f>
        <v>0</v>
      </c>
      <c r="X400" s="276">
        <f>(X260+X271)*'DATA - P&amp;L'!$C$8*'DATA - P&amp;L'!$C$54</f>
        <v>0</v>
      </c>
      <c r="Y400" s="276">
        <f>(Y260+Y271)*'DATA - P&amp;L'!$C$8*'DATA - P&amp;L'!$C$54</f>
        <v>1.19</v>
      </c>
      <c r="Z400" s="276">
        <f>(Z260+Z271)*'DATA - P&amp;L'!$C$8*'DATA - P&amp;L'!$C$54</f>
        <v>8.925</v>
      </c>
      <c r="AA400" s="276">
        <f>(AA260+AA271)*'DATA - P&amp;L'!$C$8*'DATA - P&amp;L'!$C$54</f>
        <v>6.545</v>
      </c>
      <c r="AB400" s="276">
        <f>(AB260+AB271)*'DATA - P&amp;L'!$C$8*'DATA - P&amp;L'!$C$54</f>
        <v>2.6775</v>
      </c>
      <c r="AC400" s="276">
        <f>(AC260+AC271)*'DATA - P&amp;L'!$C$8*'DATA - P&amp;L'!$C$54</f>
        <v>7.14</v>
      </c>
      <c r="AD400" s="276">
        <f>(AD260+AD271)*'DATA - P&amp;L'!$C$8*'DATA - P&amp;L'!$C$54</f>
        <v>2.0825</v>
      </c>
      <c r="AE400" s="276">
        <f>(AE260+AE271)*'DATA - P&amp;L'!$C$8*'DATA - P&amp;L'!$C$54</f>
        <v>2.975</v>
      </c>
      <c r="AF400" s="276">
        <f>(AF260+AF271)*'DATA - P&amp;L'!$C$8*'DATA - P&amp;L'!$C$54</f>
        <v>0.8925</v>
      </c>
      <c r="AG400" s="167">
        <f t="shared" si="123"/>
        <v>33.915</v>
      </c>
    </row>
    <row r="401" outlineLevel="1">
      <c r="A401" s="284" t="s">
        <v>685</v>
      </c>
      <c r="B401" s="276">
        <f>(B261+B262+B272+B273)*'DATA - P&amp;L'!$C$9*'DATA - P&amp;L'!$C$54</f>
        <v>0</v>
      </c>
      <c r="C401" s="276">
        <f>(C261+C262+C272+C273)*'DATA - P&amp;L'!$C$9*'DATA - P&amp;L'!$C$54</f>
        <v>0</v>
      </c>
      <c r="D401" s="276">
        <f>(D261+D262+D272+D273)*'DATA - P&amp;L'!$C$9*'DATA - P&amp;L'!$C$54</f>
        <v>0</v>
      </c>
      <c r="E401" s="276">
        <f>(E261+E262+E272+E273)*'DATA - P&amp;L'!$C$9*'DATA - P&amp;L'!$C$54</f>
        <v>0</v>
      </c>
      <c r="F401" s="276">
        <f>(F261+F262+F272+F273)*'DATA - P&amp;L'!$C$9*'DATA - P&amp;L'!$C$54</f>
        <v>0</v>
      </c>
      <c r="G401" s="276">
        <f>(G261+G262+G272+G273)*'DATA - P&amp;L'!$C$9*'DATA - P&amp;L'!$C$54</f>
        <v>0</v>
      </c>
      <c r="H401" s="276">
        <f>(H261+H262+H272+H273)*'DATA - P&amp;L'!$C$9*'DATA - P&amp;L'!$C$54</f>
        <v>0</v>
      </c>
      <c r="I401" s="276">
        <f>(I261+I262+I272+I273)*'DATA - P&amp;L'!$C$9*'DATA - P&amp;L'!$C$54</f>
        <v>0</v>
      </c>
      <c r="J401" s="276">
        <f>(J261+J262+J272+J273)*'DATA - P&amp;L'!$C$9*'DATA - P&amp;L'!$C$54</f>
        <v>0</v>
      </c>
      <c r="K401" s="276">
        <f>(K261+K262+K272+K273)*'DATA - P&amp;L'!$C$9*'DATA - P&amp;L'!$C$54</f>
        <v>0</v>
      </c>
      <c r="L401" s="276">
        <f>(L261+L262+L272+L273)*'DATA - P&amp;L'!$C$9*'DATA - P&amp;L'!$C$54</f>
        <v>0</v>
      </c>
      <c r="M401" s="276">
        <f>(M261+M262+M272+M273)*'DATA - P&amp;L'!$C$9*'DATA - P&amp;L'!$C$54</f>
        <v>0</v>
      </c>
      <c r="N401" s="276">
        <f>(N261+N262+N272+N273)*'DATA - P&amp;L'!$C$9*'DATA - P&amp;L'!$C$54</f>
        <v>0</v>
      </c>
      <c r="O401" s="276">
        <f>(O261+O262+O272+O273)*'DATA - P&amp;L'!$C$9*'DATA - P&amp;L'!$C$54</f>
        <v>0</v>
      </c>
      <c r="P401" s="276">
        <f>(P261+P262+P272+P273)*'DATA - P&amp;L'!$C$9*'DATA - P&amp;L'!$C$54</f>
        <v>0</v>
      </c>
      <c r="Q401" s="276">
        <f>(Q261+Q262+Q272+Q273)*'DATA - P&amp;L'!$C$9*'DATA - P&amp;L'!$C$54</f>
        <v>0</v>
      </c>
      <c r="R401" s="276">
        <f>(R261+R262+R272+R273)*'DATA - P&amp;L'!$C$9*'DATA - P&amp;L'!$C$54</f>
        <v>0</v>
      </c>
      <c r="S401" s="276">
        <f>(S261+S262+S272+S273)*'DATA - P&amp;L'!$C$9*'DATA - P&amp;L'!$C$54</f>
        <v>0</v>
      </c>
      <c r="T401" s="276">
        <f>(T261+T262+T272+T273)*'DATA - P&amp;L'!$C$9*'DATA - P&amp;L'!$C$54</f>
        <v>0</v>
      </c>
      <c r="U401" s="276">
        <f>(U261+U262+U272+U273)*'DATA - P&amp;L'!$C$9*'DATA - P&amp;L'!$C$54</f>
        <v>0</v>
      </c>
      <c r="V401" s="276">
        <f>(V261+V262+V272+V273)*'DATA - P&amp;L'!$C$9*'DATA - P&amp;L'!$C$54</f>
        <v>0</v>
      </c>
      <c r="W401" s="276">
        <f>(W261+W262+W272+W273)*'DATA - P&amp;L'!$C$9*'DATA - P&amp;L'!$C$54</f>
        <v>0</v>
      </c>
      <c r="X401" s="276">
        <f>(X261+X262+X272+X273)*'DATA - P&amp;L'!$C$9*'DATA - P&amp;L'!$C$54</f>
        <v>0</v>
      </c>
      <c r="Y401" s="276">
        <f>(Y261+Y262+Y272+Y273)*'DATA - P&amp;L'!$C$9*'DATA - P&amp;L'!$C$54</f>
        <v>1.665</v>
      </c>
      <c r="Z401" s="276">
        <f>(Z261+Z262+Z272+Z273)*'DATA - P&amp;L'!$C$9*'DATA - P&amp;L'!$C$54</f>
        <v>4.995</v>
      </c>
      <c r="AA401" s="276">
        <f>(AA261+AA262+AA272+AA273)*'DATA - P&amp;L'!$C$9*'DATA - P&amp;L'!$C$54</f>
        <v>14.985</v>
      </c>
      <c r="AB401" s="276">
        <f>(AB261+AB262+AB272+AB273)*'DATA - P&amp;L'!$C$9*'DATA - P&amp;L'!$C$54</f>
        <v>8.325</v>
      </c>
      <c r="AC401" s="276">
        <f>(AC261+AC262+AC272+AC273)*'DATA - P&amp;L'!$C$9*'DATA - P&amp;L'!$C$54</f>
        <v>14.985</v>
      </c>
      <c r="AD401" s="276">
        <f>(AD261+AD262+AD272+AD273)*'DATA - P&amp;L'!$C$9*'DATA - P&amp;L'!$C$54</f>
        <v>4.995</v>
      </c>
      <c r="AE401" s="276">
        <f>(AE261+AE262+AE272+AE273)*'DATA - P&amp;L'!$C$9*'DATA - P&amp;L'!$C$54</f>
        <v>13.32</v>
      </c>
      <c r="AF401" s="276">
        <f>(AF261+AF262+AF272+AF273)*'DATA - P&amp;L'!$C$9*'DATA - P&amp;L'!$C$54</f>
        <v>1.665</v>
      </c>
      <c r="AG401" s="167">
        <f t="shared" si="123"/>
        <v>64.935</v>
      </c>
    </row>
    <row r="402" outlineLevel="1">
      <c r="A402" s="284" t="s">
        <v>687</v>
      </c>
      <c r="B402" s="276">
        <f>(B263+B264+B274+B275)*'DATA - P&amp;L'!$C$5*'DATA - P&amp;L'!$C$54</f>
        <v>0</v>
      </c>
      <c r="C402" s="276">
        <f>(C263+C264+C274+C275)*'DATA - P&amp;L'!$C$5*'DATA - P&amp;L'!$C$54</f>
        <v>0</v>
      </c>
      <c r="D402" s="276">
        <f>(D263+D264+D274+D275)*'DATA - P&amp;L'!$C$5*'DATA - P&amp;L'!$C$54</f>
        <v>0</v>
      </c>
      <c r="E402" s="276">
        <f>(E263+E264+E274+E275)*'DATA - P&amp;L'!$C$5*'DATA - P&amp;L'!$C$54</f>
        <v>0</v>
      </c>
      <c r="F402" s="276">
        <f>(F263+F264+F274+F275)*'DATA - P&amp;L'!$C$5*'DATA - P&amp;L'!$C$54</f>
        <v>0</v>
      </c>
      <c r="G402" s="276">
        <f>(G263+G264+G274+G275)*'DATA - P&amp;L'!$C$5*'DATA - P&amp;L'!$C$54</f>
        <v>0</v>
      </c>
      <c r="H402" s="276">
        <f>(H263+H264+H274+H275)*'DATA - P&amp;L'!$C$5*'DATA - P&amp;L'!$C$54</f>
        <v>0</v>
      </c>
      <c r="I402" s="276">
        <f>(I263+I264+I274+I275)*'DATA - P&amp;L'!$C$5*'DATA - P&amp;L'!$C$54</f>
        <v>0</v>
      </c>
      <c r="J402" s="276">
        <f>(J263+J264+J274+J275)*'DATA - P&amp;L'!$C$5*'DATA - P&amp;L'!$C$54</f>
        <v>0</v>
      </c>
      <c r="K402" s="276">
        <f>(K263+K264+K274+K275)*'DATA - P&amp;L'!$C$5*'DATA - P&amp;L'!$C$54</f>
        <v>0</v>
      </c>
      <c r="L402" s="276">
        <f>(L263+L264+L274+L275)*'DATA - P&amp;L'!$C$5*'DATA - P&amp;L'!$C$54</f>
        <v>0</v>
      </c>
      <c r="M402" s="276">
        <f>(M263+M264+M274+M275)*'DATA - P&amp;L'!$C$5*'DATA - P&amp;L'!$C$54</f>
        <v>0</v>
      </c>
      <c r="N402" s="276">
        <f>(N263+N264+N274+N275)*'DATA - P&amp;L'!$C$5*'DATA - P&amp;L'!$C$54</f>
        <v>0</v>
      </c>
      <c r="O402" s="276">
        <f>(O263+O264+O274+O275)*'DATA - P&amp;L'!$C$5*'DATA - P&amp;L'!$C$54</f>
        <v>0</v>
      </c>
      <c r="P402" s="276">
        <f>(P263+P264+P274+P275)*'DATA - P&amp;L'!$C$5*'DATA - P&amp;L'!$C$54</f>
        <v>0</v>
      </c>
      <c r="Q402" s="276">
        <f>(Q263+Q264+Q274+Q275)*'DATA - P&amp;L'!$C$5*'DATA - P&amp;L'!$C$54</f>
        <v>0</v>
      </c>
      <c r="R402" s="276">
        <f>(R263+R264+R274+R275)*'DATA - P&amp;L'!$C$5*'DATA - P&amp;L'!$C$54</f>
        <v>0</v>
      </c>
      <c r="S402" s="276">
        <f>(S263+S264+S274+S275)*'DATA - P&amp;L'!$C$5*'DATA - P&amp;L'!$C$54</f>
        <v>0</v>
      </c>
      <c r="T402" s="276">
        <f>(T263+T264+T274+T275)*'DATA - P&amp;L'!$C$5*'DATA - P&amp;L'!$C$54</f>
        <v>0</v>
      </c>
      <c r="U402" s="276">
        <f>(U263+U264+U274+U275)*'DATA - P&amp;L'!$C$5*'DATA - P&amp;L'!$C$54</f>
        <v>3.36</v>
      </c>
      <c r="V402" s="276">
        <f>(V263+V264+V274+V275)*'DATA - P&amp;L'!$C$5*'DATA - P&amp;L'!$C$54</f>
        <v>0</v>
      </c>
      <c r="W402" s="276">
        <f>(W263+W264+W274+W275)*'DATA - P&amp;L'!$C$5*'DATA - P&amp;L'!$C$54</f>
        <v>0</v>
      </c>
      <c r="X402" s="276">
        <f>(X263+X264+X274+X275)*'DATA - P&amp;L'!$C$5*'DATA - P&amp;L'!$C$54</f>
        <v>0</v>
      </c>
      <c r="Y402" s="276">
        <f>(Y263+Y264+Y274+Y275)*'DATA - P&amp;L'!$C$5*'DATA - P&amp;L'!$C$54</f>
        <v>6.72</v>
      </c>
      <c r="Z402" s="276">
        <f>(Z263+Z264+Z274+Z275)*'DATA - P&amp;L'!$C$5*'DATA - P&amp;L'!$C$54</f>
        <v>36.96</v>
      </c>
      <c r="AA402" s="276">
        <f>(AA263+AA264+AA274+AA275)*'DATA - P&amp;L'!$C$5*'DATA - P&amp;L'!$C$54</f>
        <v>13.44</v>
      </c>
      <c r="AB402" s="276">
        <f>(AB263+AB264+AB274+AB275)*'DATA - P&amp;L'!$C$5*'DATA - P&amp;L'!$C$54</f>
        <v>0</v>
      </c>
      <c r="AC402" s="276">
        <f>(AC263+AC264+AC274+AC275)*'DATA - P&amp;L'!$C$5*'DATA - P&amp;L'!$C$54</f>
        <v>43.68</v>
      </c>
      <c r="AD402" s="276">
        <f>(AD263+AD264+AD274+AD275)*'DATA - P&amp;L'!$C$5*'DATA - P&amp;L'!$C$54</f>
        <v>10.08</v>
      </c>
      <c r="AE402" s="276">
        <f>(AE263+AE264+AE274+AE275)*'DATA - P&amp;L'!$C$5*'DATA - P&amp;L'!$C$54</f>
        <v>16.8</v>
      </c>
      <c r="AF402" s="276">
        <f>(AF263+AF264+AF274+AF275)*'DATA - P&amp;L'!$C$5*'DATA - P&amp;L'!$C$54</f>
        <v>6.72</v>
      </c>
      <c r="AG402" s="167">
        <f t="shared" si="123"/>
        <v>137.76</v>
      </c>
    </row>
    <row r="403" outlineLevel="1">
      <c r="A403" s="284" t="s">
        <v>693</v>
      </c>
      <c r="B403" s="276">
        <f>(B265+B266+B276+B277)*'DATA - P&amp;L'!$C$10*'DATA - P&amp;L'!$C$54</f>
        <v>0</v>
      </c>
      <c r="C403" s="276">
        <f>(C265+C266+C276+C277)*'DATA - P&amp;L'!$C$10*'DATA - P&amp;L'!$C$54</f>
        <v>0</v>
      </c>
      <c r="D403" s="276">
        <f>(D265+D266+D276+D277)*'DATA - P&amp;L'!$C$10*'DATA - P&amp;L'!$C$54</f>
        <v>0</v>
      </c>
      <c r="E403" s="276">
        <f>(E265+E266+E276+E277)*'DATA - P&amp;L'!$C$10*'DATA - P&amp;L'!$C$54</f>
        <v>0</v>
      </c>
      <c r="F403" s="276">
        <f>(F265+F266+F276+F277)*'DATA - P&amp;L'!$C$10*'DATA - P&amp;L'!$C$54</f>
        <v>0</v>
      </c>
      <c r="G403" s="276">
        <f>(G265+G266+G276+G277)*'DATA - P&amp;L'!$C$10*'DATA - P&amp;L'!$C$54</f>
        <v>0</v>
      </c>
      <c r="H403" s="276">
        <f>(H265+H266+H276+H277)*'DATA - P&amp;L'!$C$10*'DATA - P&amp;L'!$C$54</f>
        <v>0</v>
      </c>
      <c r="I403" s="276">
        <f>(I265+I266+I276+I277)*'DATA - P&amp;L'!$C$10*'DATA - P&amp;L'!$C$54</f>
        <v>0</v>
      </c>
      <c r="J403" s="276">
        <f>(J265+J266+J276+J277)*'DATA - P&amp;L'!$C$10*'DATA - P&amp;L'!$C$54</f>
        <v>0</v>
      </c>
      <c r="K403" s="276">
        <f>(K265+K266+K276+K277)*'DATA - P&amp;L'!$C$10*'DATA - P&amp;L'!$C$54</f>
        <v>0</v>
      </c>
      <c r="L403" s="276">
        <f>(L265+L266+L276+L277)*'DATA - P&amp;L'!$C$10*'DATA - P&amp;L'!$C$54</f>
        <v>0</v>
      </c>
      <c r="M403" s="276">
        <f>(M265+M266+M276+M277)*'DATA - P&amp;L'!$C$10*'DATA - P&amp;L'!$C$54</f>
        <v>0</v>
      </c>
      <c r="N403" s="276">
        <f>(N265+N266+N276+N277)*'DATA - P&amp;L'!$C$10*'DATA - P&amp;L'!$C$54</f>
        <v>0</v>
      </c>
      <c r="O403" s="276">
        <f>(O265+O266+O276+O277)*'DATA - P&amp;L'!$C$10*'DATA - P&amp;L'!$C$54</f>
        <v>0</v>
      </c>
      <c r="P403" s="276">
        <f>(P265+P266+P276+P277)*'DATA - P&amp;L'!$C$10*'DATA - P&amp;L'!$C$54</f>
        <v>0</v>
      </c>
      <c r="Q403" s="276">
        <f>(Q265+Q266+Q276+Q277)*'DATA - P&amp;L'!$C$10*'DATA - P&amp;L'!$C$54</f>
        <v>0</v>
      </c>
      <c r="R403" s="276">
        <f>(R265+R266+R276+R277)*'DATA - P&amp;L'!$C$10*'DATA - P&amp;L'!$C$54</f>
        <v>0</v>
      </c>
      <c r="S403" s="276">
        <f>(S265+S266+S276+S277)*'DATA - P&amp;L'!$C$10*'DATA - P&amp;L'!$C$54</f>
        <v>0</v>
      </c>
      <c r="T403" s="276">
        <f>(T265+T266+T276+T277)*'DATA - P&amp;L'!$C$10*'DATA - P&amp;L'!$C$54</f>
        <v>0</v>
      </c>
      <c r="U403" s="276">
        <f>(U265+U266+U276+U277)*'DATA - P&amp;L'!$C$10*'DATA - P&amp;L'!$C$54</f>
        <v>0</v>
      </c>
      <c r="V403" s="276">
        <f>(V265+V266+V276+V277)*'DATA - P&amp;L'!$C$10*'DATA - P&amp;L'!$C$54</f>
        <v>0</v>
      </c>
      <c r="W403" s="276">
        <f>(W265+W266+W276+W277)*'DATA - P&amp;L'!$C$10*'DATA - P&amp;L'!$C$54</f>
        <v>0</v>
      </c>
      <c r="X403" s="276">
        <f>(X265+X266+X276+X277)*'DATA - P&amp;L'!$C$10*'DATA - P&amp;L'!$C$54</f>
        <v>0</v>
      </c>
      <c r="Y403" s="276">
        <f>(Y265+Y266+Y276+Y277)*'DATA - P&amp;L'!$C$10*'DATA - P&amp;L'!$C$54</f>
        <v>0</v>
      </c>
      <c r="Z403" s="276">
        <f>(Z265+Z266+Z276+Z277)*'DATA - P&amp;L'!$C$10*'DATA - P&amp;L'!$C$54</f>
        <v>0</v>
      </c>
      <c r="AA403" s="276">
        <f>(AA265+AA266+AA276+AA277)*'DATA - P&amp;L'!$C$10*'DATA - P&amp;L'!$C$54</f>
        <v>0</v>
      </c>
      <c r="AB403" s="276">
        <f>(AB265+AB266+AB276+AB277)*'DATA - P&amp;L'!$C$10*'DATA - P&amp;L'!$C$54</f>
        <v>0</v>
      </c>
      <c r="AC403" s="276">
        <f>(AC265+AC266+AC276+AC277)*'DATA - P&amp;L'!$C$10*'DATA - P&amp;L'!$C$54</f>
        <v>0</v>
      </c>
      <c r="AD403" s="276">
        <f>(AD265+AD266+AD276+AD277)*'DATA - P&amp;L'!$C$10*'DATA - P&amp;L'!$C$54</f>
        <v>0</v>
      </c>
      <c r="AE403" s="276">
        <f>(AE265+AE266+AE276+AE277)*'DATA - P&amp;L'!$C$10*'DATA - P&amp;L'!$C$54</f>
        <v>0</v>
      </c>
      <c r="AF403" s="276">
        <f>(AF265+AF266+AF276+AF277)*'DATA - P&amp;L'!$C$10*'DATA - P&amp;L'!$C$54</f>
        <v>0</v>
      </c>
      <c r="AG403" s="167">
        <f t="shared" si="123"/>
        <v>0</v>
      </c>
    </row>
    <row r="404" outlineLevel="1">
      <c r="A404" s="284" t="s">
        <v>701</v>
      </c>
      <c r="B404" s="276">
        <f>((B255*'DATA - P&amp;L'!$C$38)+(B256*'DATA - P&amp;L'!$C$39))*'DATA - P&amp;L'!$C$54</f>
        <v>0</v>
      </c>
      <c r="C404" s="276">
        <f>((C255*'DATA - P&amp;L'!$C$38)+(C256*'DATA - P&amp;L'!$C$39))*'DATA - P&amp;L'!$C$54</f>
        <v>0</v>
      </c>
      <c r="D404" s="276">
        <f>((D255*'DATA - P&amp;L'!$C$38)+(D256*'DATA - P&amp;L'!$C$39))*'DATA - P&amp;L'!$C$54</f>
        <v>0</v>
      </c>
      <c r="E404" s="276">
        <f>((E255*'DATA - P&amp;L'!$C$38)+(E256*'DATA - P&amp;L'!$C$39))*'DATA - P&amp;L'!$C$54</f>
        <v>0</v>
      </c>
      <c r="F404" s="276">
        <f>((F255*'DATA - P&amp;L'!$C$38)+(F256*'DATA - P&amp;L'!$C$39))*'DATA - P&amp;L'!$C$54</f>
        <v>0</v>
      </c>
      <c r="G404" s="276">
        <f>((G255*'DATA - P&amp;L'!$C$38)+(G256*'DATA - P&amp;L'!$C$39))*'DATA - P&amp;L'!$C$54</f>
        <v>0</v>
      </c>
      <c r="H404" s="276">
        <f>((H255*'DATA - P&amp;L'!$C$38)+(H256*'DATA - P&amp;L'!$C$39))*'DATA - P&amp;L'!$C$54</f>
        <v>2.985</v>
      </c>
      <c r="I404" s="276">
        <f>((I255*'DATA - P&amp;L'!$C$38)+(I256*'DATA - P&amp;L'!$C$39))*'DATA - P&amp;L'!$C$54</f>
        <v>0</v>
      </c>
      <c r="J404" s="276">
        <f>((J255*'DATA - P&amp;L'!$C$38)+(J256*'DATA - P&amp;L'!$C$39))*'DATA - P&amp;L'!$C$54</f>
        <v>0</v>
      </c>
      <c r="K404" s="276">
        <f>((K255*'DATA - P&amp;L'!$C$38)+(K256*'DATA - P&amp;L'!$C$39))*'DATA - P&amp;L'!$C$54</f>
        <v>2.985</v>
      </c>
      <c r="L404" s="276">
        <f>((L255*'DATA - P&amp;L'!$C$38)+(L256*'DATA - P&amp;L'!$C$39))*'DATA - P&amp;L'!$C$54</f>
        <v>5.97</v>
      </c>
      <c r="M404" s="276">
        <f>((M255*'DATA - P&amp;L'!$C$38)+(M256*'DATA - P&amp;L'!$C$39))*'DATA - P&amp;L'!$C$54</f>
        <v>0</v>
      </c>
      <c r="N404" s="276">
        <f>((N255*'DATA - P&amp;L'!$C$38)+(N256*'DATA - P&amp;L'!$C$39))*'DATA - P&amp;L'!$C$54</f>
        <v>2.985</v>
      </c>
      <c r="O404" s="276">
        <f>((O255*'DATA - P&amp;L'!$C$38)+(O256*'DATA - P&amp;L'!$C$39))*'DATA - P&amp;L'!$C$54</f>
        <v>17.91</v>
      </c>
      <c r="P404" s="276">
        <f>((P255*'DATA - P&amp;L'!$C$38)+(P256*'DATA - P&amp;L'!$C$39))*'DATA - P&amp;L'!$C$54</f>
        <v>0</v>
      </c>
      <c r="Q404" s="276">
        <f>((Q255*'DATA - P&amp;L'!$C$38)+(Q256*'DATA - P&amp;L'!$C$39))*'DATA - P&amp;L'!$C$54</f>
        <v>2.985</v>
      </c>
      <c r="R404" s="276">
        <f>((R255*'DATA - P&amp;L'!$C$38)+(R256*'DATA - P&amp;L'!$C$39))*'DATA - P&amp;L'!$C$54</f>
        <v>2.985</v>
      </c>
      <c r="S404" s="276">
        <f>((S255*'DATA - P&amp;L'!$C$38)+(S256*'DATA - P&amp;L'!$C$39))*'DATA - P&amp;L'!$C$54</f>
        <v>0</v>
      </c>
      <c r="T404" s="276">
        <f>((T255*'DATA - P&amp;L'!$C$38)+(T256*'DATA - P&amp;L'!$C$39))*'DATA - P&amp;L'!$C$54</f>
        <v>2.985</v>
      </c>
      <c r="U404" s="276">
        <f>((U255*'DATA - P&amp;L'!$C$38)+(U256*'DATA - P&amp;L'!$C$39))*'DATA - P&amp;L'!$C$54</f>
        <v>2.985</v>
      </c>
      <c r="V404" s="276">
        <f>((V255*'DATA - P&amp;L'!$C$38)+(V256*'DATA - P&amp;L'!$C$39))*'DATA - P&amp;L'!$C$54</f>
        <v>0</v>
      </c>
      <c r="W404" s="276">
        <f>((W255*'DATA - P&amp;L'!$C$38)+(W256*'DATA - P&amp;L'!$C$39))*'DATA - P&amp;L'!$C$54</f>
        <v>0</v>
      </c>
      <c r="X404" s="276">
        <f>((X255*'DATA - P&amp;L'!$C$38)+(X256*'DATA - P&amp;L'!$C$39))*'DATA - P&amp;L'!$C$54</f>
        <v>0</v>
      </c>
      <c r="Y404" s="276">
        <f>((Y255*'DATA - P&amp;L'!$C$38)+(Y256*'DATA - P&amp;L'!$C$39))*'DATA - P&amp;L'!$C$54</f>
        <v>23.88</v>
      </c>
      <c r="Z404" s="276">
        <f>((Z255*'DATA - P&amp;L'!$C$38)+(Z256*'DATA - P&amp;L'!$C$39))*'DATA - P&amp;L'!$C$54</f>
        <v>167.16</v>
      </c>
      <c r="AA404" s="276">
        <f>((AA255*'DATA - P&amp;L'!$C$38)+(AA256*'DATA - P&amp;L'!$C$39))*'DATA - P&amp;L'!$C$54</f>
        <v>134.325</v>
      </c>
      <c r="AB404" s="276">
        <f>((AB255*'DATA - P&amp;L'!$C$38)+(AB256*'DATA - P&amp;L'!$C$39))*'DATA - P&amp;L'!$C$54</f>
        <v>47.76</v>
      </c>
      <c r="AC404" s="276">
        <f>((AC255*'DATA - P&amp;L'!$C$38)+(AC256*'DATA - P&amp;L'!$C$39))*'DATA - P&amp;L'!$C$54</f>
        <v>170.145</v>
      </c>
      <c r="AD404" s="276">
        <f>((AD255*'DATA - P&amp;L'!$C$38)+(AD256*'DATA - P&amp;L'!$C$39))*'DATA - P&amp;L'!$C$54</f>
        <v>77.61</v>
      </c>
      <c r="AE404" s="276">
        <f>((AE255*'DATA - P&amp;L'!$C$38)+(AE256*'DATA - P&amp;L'!$C$39))*'DATA - P&amp;L'!$C$54</f>
        <v>86.565</v>
      </c>
      <c r="AF404" s="276">
        <f>((AF255*'DATA - P&amp;L'!$C$38)+(AF256*'DATA - P&amp;L'!$C$39))*'DATA - P&amp;L'!$C$54</f>
        <v>41.79</v>
      </c>
      <c r="AG404" s="167">
        <f t="shared" si="123"/>
        <v>794.01</v>
      </c>
    </row>
    <row r="405" outlineLevel="1">
      <c r="A405" s="284" t="s">
        <v>724</v>
      </c>
      <c r="B405" s="276">
        <f>((B267*'DATA - P&amp;L'!$D$38)+(B278*'DATA - P&amp;L'!$D$39))*'DATA - P&amp;L'!$C$54</f>
        <v>0</v>
      </c>
      <c r="C405" s="276">
        <f>((C267*'DATA - P&amp;L'!$D$38)+(C278*'DATA - P&amp;L'!$D$39))*'DATA - P&amp;L'!$C$54</f>
        <v>0</v>
      </c>
      <c r="D405" s="276">
        <f>((D267*'DATA - P&amp;L'!$D$38)+(D278*'DATA - P&amp;L'!$D$39))*'DATA - P&amp;L'!$C$54</f>
        <v>0</v>
      </c>
      <c r="E405" s="276">
        <f>((E267*'DATA - P&amp;L'!$D$38)+(E278*'DATA - P&amp;L'!$D$39))*'DATA - P&amp;L'!$C$54</f>
        <v>0</v>
      </c>
      <c r="F405" s="276">
        <f>((F267*'DATA - P&amp;L'!$D$38)+(F278*'DATA - P&amp;L'!$D$39))*'DATA - P&amp;L'!$C$54</f>
        <v>0</v>
      </c>
      <c r="G405" s="276">
        <f>((G267*'DATA - P&amp;L'!$D$38)+(G278*'DATA - P&amp;L'!$D$39))*'DATA - P&amp;L'!$C$54</f>
        <v>0</v>
      </c>
      <c r="H405" s="276">
        <f>((H267*'DATA - P&amp;L'!$D$38)+(H278*'DATA - P&amp;L'!$D$39))*'DATA - P&amp;L'!$C$54</f>
        <v>0</v>
      </c>
      <c r="I405" s="276">
        <f>((I267*'DATA - P&amp;L'!$D$38)+(I278*'DATA - P&amp;L'!$D$39))*'DATA - P&amp;L'!$C$54</f>
        <v>0</v>
      </c>
      <c r="J405" s="276">
        <f>((J267*'DATA - P&amp;L'!$D$38)+(J278*'DATA - P&amp;L'!$D$39))*'DATA - P&amp;L'!$C$54</f>
        <v>0</v>
      </c>
      <c r="K405" s="276">
        <f>((K267*'DATA - P&amp;L'!$D$38)+(K278*'DATA - P&amp;L'!$D$39))*'DATA - P&amp;L'!$C$54</f>
        <v>0</v>
      </c>
      <c r="L405" s="276">
        <f>((L267*'DATA - P&amp;L'!$D$38)+(L278*'DATA - P&amp;L'!$D$39))*'DATA - P&amp;L'!$C$54</f>
        <v>0.35875</v>
      </c>
      <c r="M405" s="276">
        <f>((M267*'DATA - P&amp;L'!$D$38)+(M278*'DATA - P&amp;L'!$D$39))*'DATA - P&amp;L'!$C$54</f>
        <v>0</v>
      </c>
      <c r="N405" s="276">
        <f>((N267*'DATA - P&amp;L'!$D$38)+(N278*'DATA - P&amp;L'!$D$39))*'DATA - P&amp;L'!$C$54</f>
        <v>0</v>
      </c>
      <c r="O405" s="276">
        <f>((O267*'DATA - P&amp;L'!$D$38)+(O278*'DATA - P&amp;L'!$D$39))*'DATA - P&amp;L'!$C$54</f>
        <v>1.07625</v>
      </c>
      <c r="P405" s="276">
        <f>((P267*'DATA - P&amp;L'!$D$38)+(P278*'DATA - P&amp;L'!$D$39))*'DATA - P&amp;L'!$C$54</f>
        <v>0</v>
      </c>
      <c r="Q405" s="276">
        <f>((Q267*'DATA - P&amp;L'!$D$38)+(Q278*'DATA - P&amp;L'!$D$39))*'DATA - P&amp;L'!$C$54</f>
        <v>0.35875</v>
      </c>
      <c r="R405" s="276">
        <f>((R267*'DATA - P&amp;L'!$D$38)+(R278*'DATA - P&amp;L'!$D$39))*'DATA - P&amp;L'!$C$54</f>
        <v>1.0775</v>
      </c>
      <c r="S405" s="276">
        <f>((S267*'DATA - P&amp;L'!$D$38)+(S278*'DATA - P&amp;L'!$D$39))*'DATA - P&amp;L'!$C$54</f>
        <v>0</v>
      </c>
      <c r="T405" s="276">
        <f>((T267*'DATA - P&amp;L'!$D$38)+(T278*'DATA - P&amp;L'!$D$39))*'DATA - P&amp;L'!$C$54</f>
        <v>0.7175</v>
      </c>
      <c r="U405" s="276">
        <f>((U267*'DATA - P&amp;L'!$D$38)+(U278*'DATA - P&amp;L'!$D$39))*'DATA - P&amp;L'!$C$54</f>
        <v>1.07625</v>
      </c>
      <c r="V405" s="276">
        <f>((V267*'DATA - P&amp;L'!$D$38)+(V278*'DATA - P&amp;L'!$D$39))*'DATA - P&amp;L'!$C$54</f>
        <v>0</v>
      </c>
      <c r="W405" s="276">
        <f>((W267*'DATA - P&amp;L'!$D$38)+(W278*'DATA - P&amp;L'!$D$39))*'DATA - P&amp;L'!$C$54</f>
        <v>0</v>
      </c>
      <c r="X405" s="276">
        <f>((X267*'DATA - P&amp;L'!$D$38)+(X278*'DATA - P&amp;L'!$D$39))*'DATA - P&amp;L'!$C$54</f>
        <v>0</v>
      </c>
      <c r="Y405" s="276">
        <f>((Y267*'DATA - P&amp;L'!$D$38)+(Y278*'DATA - P&amp;L'!$D$39))*'DATA - P&amp;L'!$C$54</f>
        <v>5.02625</v>
      </c>
      <c r="Z405" s="276">
        <f>((Z267*'DATA - P&amp;L'!$D$38)+(Z278*'DATA - P&amp;L'!$D$39))*'DATA - P&amp;L'!$C$54</f>
        <v>21.16625</v>
      </c>
      <c r="AA405" s="276">
        <f>((AA267*'DATA - P&amp;L'!$D$38)+(AA278*'DATA - P&amp;L'!$D$39))*'DATA - P&amp;L'!$C$54</f>
        <v>19.3725</v>
      </c>
      <c r="AB405" s="276">
        <f>((AB267*'DATA - P&amp;L'!$D$38)+(AB278*'DATA - P&amp;L'!$D$39))*'DATA - P&amp;L'!$C$54</f>
        <v>7.53375</v>
      </c>
      <c r="AC405" s="276">
        <f>((AC267*'DATA - P&amp;L'!$D$38)+(AC278*'DATA - P&amp;L'!$D$39))*'DATA - P&amp;L'!$C$54</f>
        <v>25.47125</v>
      </c>
      <c r="AD405" s="276">
        <f>((AD267*'DATA - P&amp;L'!$D$38)+(AD278*'DATA - P&amp;L'!$D$39))*'DATA - P&amp;L'!$C$54</f>
        <v>8.61</v>
      </c>
      <c r="AE405" s="276">
        <f>((AE267*'DATA - P&amp;L'!$D$38)+(AE278*'DATA - P&amp;L'!$D$39))*'DATA - P&amp;L'!$C$54</f>
        <v>12.55625</v>
      </c>
      <c r="AF405" s="276">
        <f>((AF267*'DATA - P&amp;L'!$D$38)+(AF278*'DATA - P&amp;L'!$D$39))*'DATA - P&amp;L'!$C$54</f>
        <v>4.30875</v>
      </c>
      <c r="AG405" s="167">
        <f t="shared" si="123"/>
        <v>108.71</v>
      </c>
    </row>
    <row r="406" outlineLevel="1">
      <c r="A406" s="284" t="s">
        <v>759</v>
      </c>
      <c r="B406" s="276">
        <f>(B280*'DATA - P&amp;L'!$R$3)+(B281*'DATA - P&amp;L'!$R$4)</f>
        <v>0</v>
      </c>
      <c r="C406" s="276">
        <f>(C280*'DATA - P&amp;L'!$R$3)+(C281*'DATA - P&amp;L'!$R$4)</f>
        <v>0</v>
      </c>
      <c r="D406" s="276">
        <f>(D280*'DATA - P&amp;L'!$R$3)+(D281*'DATA - P&amp;L'!$R$4)</f>
        <v>0</v>
      </c>
      <c r="E406" s="276">
        <f>(E280*'DATA - P&amp;L'!$R$3)+(E281*'DATA - P&amp;L'!$R$4)</f>
        <v>0</v>
      </c>
      <c r="F406" s="276">
        <f>(F280*'DATA - P&amp;L'!$R$3)+(F281*'DATA - P&amp;L'!$R$4)</f>
        <v>0</v>
      </c>
      <c r="G406" s="276">
        <f>(G280*'DATA - P&amp;L'!$R$3)+(G281*'DATA - P&amp;L'!$R$4)</f>
        <v>0</v>
      </c>
      <c r="H406" s="276">
        <f>(H280*'DATA - P&amp;L'!$R$3)+(H281*'DATA - P&amp;L'!$R$4)</f>
        <v>15</v>
      </c>
      <c r="I406" s="276">
        <f>(I280*'DATA - P&amp;L'!$R$3)+(I281*'DATA - P&amp;L'!$R$4)</f>
        <v>0</v>
      </c>
      <c r="J406" s="276">
        <f>(J280*'DATA - P&amp;L'!$R$3)+(J281*'DATA - P&amp;L'!$R$4)</f>
        <v>0</v>
      </c>
      <c r="K406" s="276">
        <f>(K280*'DATA - P&amp;L'!$R$3)+(K281*'DATA - P&amp;L'!$R$4)</f>
        <v>15</v>
      </c>
      <c r="L406" s="276">
        <f>(L280*'DATA - P&amp;L'!$R$3)+(L281*'DATA - P&amp;L'!$R$4)</f>
        <v>30</v>
      </c>
      <c r="M406" s="276">
        <f>(M280*'DATA - P&amp;L'!$R$3)+(M281*'DATA - P&amp;L'!$R$4)</f>
        <v>0</v>
      </c>
      <c r="N406" s="276">
        <f>(N280*'DATA - P&amp;L'!$R$3)+(N281*'DATA - P&amp;L'!$R$4)</f>
        <v>15</v>
      </c>
      <c r="O406" s="276">
        <f>(O280*'DATA - P&amp;L'!$R$3)+(O281*'DATA - P&amp;L'!$R$4)</f>
        <v>90</v>
      </c>
      <c r="P406" s="276">
        <f>(P280*'DATA - P&amp;L'!$R$3)+(P281*'DATA - P&amp;L'!$R$4)</f>
        <v>0</v>
      </c>
      <c r="Q406" s="276">
        <f>(Q280*'DATA - P&amp;L'!$R$3)+(Q281*'DATA - P&amp;L'!$R$4)</f>
        <v>15</v>
      </c>
      <c r="R406" s="276">
        <f>(R280*'DATA - P&amp;L'!$R$3)+(R281*'DATA - P&amp;L'!$R$4)</f>
        <v>70</v>
      </c>
      <c r="S406" s="276">
        <f>(S280*'DATA - P&amp;L'!$R$3)+(S281*'DATA - P&amp;L'!$R$4)</f>
        <v>0</v>
      </c>
      <c r="T406" s="276">
        <f>(T280*'DATA - P&amp;L'!$R$3)+(T281*'DATA - P&amp;L'!$R$4)</f>
        <v>15</v>
      </c>
      <c r="U406" s="276">
        <f>(U280*'DATA - P&amp;L'!$R$3)+(U281*'DATA - P&amp;L'!$R$4)</f>
        <v>15</v>
      </c>
      <c r="V406" s="276">
        <f>(V280*'DATA - P&amp;L'!$R$3)+(V281*'DATA - P&amp;L'!$R$4)</f>
        <v>0</v>
      </c>
      <c r="W406" s="276">
        <f>(W280*'DATA - P&amp;L'!$R$3)+(W281*'DATA - P&amp;L'!$R$4)</f>
        <v>0</v>
      </c>
      <c r="X406" s="276">
        <f>(X280*'DATA - P&amp;L'!$R$3)+(X281*'DATA - P&amp;L'!$R$4)</f>
        <v>0</v>
      </c>
      <c r="Y406" s="276">
        <f>(Y280*'DATA - P&amp;L'!$R$3)+(Y281*'DATA - P&amp;L'!$R$4)</f>
        <v>175</v>
      </c>
      <c r="Z406" s="276">
        <f>(Z280*'DATA - P&amp;L'!$R$3)+(Z281*'DATA - P&amp;L'!$R$4)</f>
        <v>885</v>
      </c>
      <c r="AA406" s="276">
        <f>(AA280*'DATA - P&amp;L'!$R$3)+(AA281*'DATA - P&amp;L'!$R$4)</f>
        <v>690</v>
      </c>
      <c r="AB406" s="276">
        <f>(AB280*'DATA - P&amp;L'!$R$3)+(AB281*'DATA - P&amp;L'!$R$4)</f>
        <v>255</v>
      </c>
      <c r="AC406" s="276">
        <f>(AC280*'DATA - P&amp;L'!$R$3)+(AC281*'DATA - P&amp;L'!$R$4)</f>
        <v>1020</v>
      </c>
      <c r="AD406" s="276">
        <f>(AD280*'DATA - P&amp;L'!$R$3)+(AD281*'DATA - P&amp;L'!$R$4)</f>
        <v>450</v>
      </c>
      <c r="AE406" s="276">
        <f>(AE280*'DATA - P&amp;L'!$R$3)+(AE281*'DATA - P&amp;L'!$R$4)</f>
        <v>495</v>
      </c>
      <c r="AF406" s="276">
        <f>(AF280*'DATA - P&amp;L'!$R$3)+(AF281*'DATA - P&amp;L'!$R$4)</f>
        <v>320</v>
      </c>
      <c r="AG406" s="167">
        <f t="shared" si="123"/>
        <v>4570</v>
      </c>
    </row>
    <row r="407" outlineLevel="1">
      <c r="A407" s="284" t="s">
        <v>766</v>
      </c>
      <c r="B407" s="276">
        <f t="shared" ref="B407:AF407" si="126">B286+B291</f>
        <v>0</v>
      </c>
      <c r="C407" s="276">
        <f t="shared" si="126"/>
        <v>0</v>
      </c>
      <c r="D407" s="276">
        <f t="shared" si="126"/>
        <v>0</v>
      </c>
      <c r="E407" s="276">
        <f t="shared" si="126"/>
        <v>0</v>
      </c>
      <c r="F407" s="276">
        <f t="shared" si="126"/>
        <v>0</v>
      </c>
      <c r="G407" s="276">
        <f t="shared" si="126"/>
        <v>0</v>
      </c>
      <c r="H407" s="276">
        <f t="shared" si="126"/>
        <v>210.94</v>
      </c>
      <c r="I407" s="276">
        <f t="shared" si="126"/>
        <v>0</v>
      </c>
      <c r="J407" s="276">
        <f t="shared" si="126"/>
        <v>0</v>
      </c>
      <c r="K407" s="276">
        <f t="shared" si="126"/>
        <v>210.94</v>
      </c>
      <c r="L407" s="276">
        <f t="shared" si="126"/>
        <v>430</v>
      </c>
      <c r="M407" s="276">
        <f t="shared" si="126"/>
        <v>0</v>
      </c>
      <c r="N407" s="276">
        <f t="shared" si="126"/>
        <v>225.72</v>
      </c>
      <c r="O407" s="276">
        <f t="shared" si="126"/>
        <v>1387.33</v>
      </c>
      <c r="P407" s="276">
        <f t="shared" si="126"/>
        <v>0</v>
      </c>
      <c r="Q407" s="276">
        <f t="shared" si="126"/>
        <v>229</v>
      </c>
      <c r="R407" s="276">
        <f t="shared" si="126"/>
        <v>461.97</v>
      </c>
      <c r="S407" s="276">
        <f t="shared" si="126"/>
        <v>0</v>
      </c>
      <c r="T407" s="276">
        <f t="shared" si="126"/>
        <v>369.15</v>
      </c>
      <c r="U407" s="276">
        <f t="shared" si="126"/>
        <v>363.16</v>
      </c>
      <c r="V407" s="276">
        <f t="shared" si="126"/>
        <v>0</v>
      </c>
      <c r="W407" s="276">
        <f t="shared" si="126"/>
        <v>0</v>
      </c>
      <c r="X407" s="276">
        <f t="shared" si="126"/>
        <v>0</v>
      </c>
      <c r="Y407" s="276">
        <f t="shared" si="126"/>
        <v>2565.88</v>
      </c>
      <c r="Z407" s="276">
        <f t="shared" si="126"/>
        <v>14217.31</v>
      </c>
      <c r="AA407" s="276">
        <f t="shared" si="126"/>
        <v>12846.68</v>
      </c>
      <c r="AB407" s="276">
        <f t="shared" si="126"/>
        <v>4715.43</v>
      </c>
      <c r="AC407" s="276">
        <f t="shared" si="126"/>
        <v>17414.36</v>
      </c>
      <c r="AD407" s="276">
        <f t="shared" si="126"/>
        <v>7410.97</v>
      </c>
      <c r="AE407" s="276">
        <f t="shared" si="126"/>
        <v>8622</v>
      </c>
      <c r="AF407" s="276">
        <f t="shared" si="126"/>
        <v>3810.39</v>
      </c>
      <c r="AG407" s="167">
        <f t="shared" si="123"/>
        <v>75491.23</v>
      </c>
    </row>
    <row r="408">
      <c r="A408" s="375" t="s">
        <v>768</v>
      </c>
      <c r="B408" s="670">
        <f t="shared" ref="B408:AF408" si="127">sum(B409:B419)-B422</f>
        <v>0</v>
      </c>
      <c r="C408" s="670">
        <f t="shared" si="127"/>
        <v>0</v>
      </c>
      <c r="D408" s="670">
        <f t="shared" si="127"/>
        <v>-5.116</v>
      </c>
      <c r="E408" s="670">
        <f t="shared" si="127"/>
        <v>-5.116</v>
      </c>
      <c r="F408" s="670">
        <f t="shared" si="127"/>
        <v>-3.09</v>
      </c>
      <c r="G408" s="670">
        <f t="shared" si="127"/>
        <v>0</v>
      </c>
      <c r="H408" s="670">
        <f t="shared" si="127"/>
        <v>0</v>
      </c>
      <c r="I408" s="670">
        <f t="shared" si="127"/>
        <v>0</v>
      </c>
      <c r="J408" s="670">
        <f t="shared" si="127"/>
        <v>0</v>
      </c>
      <c r="K408" s="670">
        <f t="shared" si="127"/>
        <v>0</v>
      </c>
      <c r="L408" s="670">
        <f t="shared" si="127"/>
        <v>0</v>
      </c>
      <c r="M408" s="670">
        <f t="shared" si="127"/>
        <v>0</v>
      </c>
      <c r="N408" s="670">
        <f t="shared" si="127"/>
        <v>0</v>
      </c>
      <c r="O408" s="670">
        <f t="shared" si="127"/>
        <v>0</v>
      </c>
      <c r="P408" s="670">
        <f t="shared" si="127"/>
        <v>0</v>
      </c>
      <c r="Q408" s="670">
        <f t="shared" si="127"/>
        <v>0</v>
      </c>
      <c r="R408" s="670">
        <f t="shared" si="127"/>
        <v>0</v>
      </c>
      <c r="S408" s="670">
        <f t="shared" si="127"/>
        <v>0</v>
      </c>
      <c r="T408" s="670">
        <f t="shared" si="127"/>
        <v>-140.696</v>
      </c>
      <c r="U408" s="670">
        <f t="shared" si="127"/>
        <v>-10.232</v>
      </c>
      <c r="V408" s="670">
        <f t="shared" si="127"/>
        <v>-5.116</v>
      </c>
      <c r="W408" s="670">
        <f t="shared" si="127"/>
        <v>0</v>
      </c>
      <c r="X408" s="670">
        <f t="shared" si="127"/>
        <v>0</v>
      </c>
      <c r="Y408" s="670">
        <f t="shared" si="127"/>
        <v>0</v>
      </c>
      <c r="Z408" s="670">
        <f t="shared" si="127"/>
        <v>-119.4295</v>
      </c>
      <c r="AA408" s="670">
        <f t="shared" si="127"/>
        <v>0</v>
      </c>
      <c r="AB408" s="670">
        <f t="shared" si="127"/>
        <v>-39.307</v>
      </c>
      <c r="AC408" s="670">
        <f t="shared" si="127"/>
        <v>-316.014</v>
      </c>
      <c r="AD408" s="670">
        <f t="shared" si="127"/>
        <v>0</v>
      </c>
      <c r="AE408" s="670">
        <f t="shared" si="127"/>
        <v>0</v>
      </c>
      <c r="AF408" s="670">
        <f t="shared" si="127"/>
        <v>-200</v>
      </c>
      <c r="AG408" s="167">
        <f t="shared" si="123"/>
        <v>-844.1165</v>
      </c>
    </row>
    <row r="409" outlineLevel="1">
      <c r="A409" s="284" t="s">
        <v>672</v>
      </c>
      <c r="B409" s="276">
        <f>B313*'DATA - P&amp;L'!$C$3*'DATA - P&amp;L'!$C$55</f>
        <v>0</v>
      </c>
      <c r="C409" s="276">
        <f>C313*'DATA - P&amp;L'!$C$3*'DATA - P&amp;L'!$C$55</f>
        <v>0</v>
      </c>
      <c r="D409" s="276">
        <f>D313*'DATA - P&amp;L'!$C$3*'DATA - P&amp;L'!$C$55</f>
        <v>8.69</v>
      </c>
      <c r="E409" s="276">
        <f>E313*'DATA - P&amp;L'!$C$3*'DATA - P&amp;L'!$C$55</f>
        <v>8.69</v>
      </c>
      <c r="F409" s="276">
        <f>F313*'DATA - P&amp;L'!$C$3*'DATA - P&amp;L'!$C$55</f>
        <v>0</v>
      </c>
      <c r="G409" s="276">
        <f>G313*'DATA - P&amp;L'!$C$3*'DATA - P&amp;L'!$C$55</f>
        <v>0</v>
      </c>
      <c r="H409" s="276">
        <f>H313*'DATA - P&amp;L'!$C$3*'DATA - P&amp;L'!$C$55</f>
        <v>0</v>
      </c>
      <c r="I409" s="276">
        <f>I313*'DATA - P&amp;L'!$C$3*'DATA - P&amp;L'!$C$55</f>
        <v>0</v>
      </c>
      <c r="J409" s="276">
        <f>J313*'DATA - P&amp;L'!$C$3*'DATA - P&amp;L'!$C$55</f>
        <v>0</v>
      </c>
      <c r="K409" s="276">
        <f>K313*'DATA - P&amp;L'!$C$3*'DATA - P&amp;L'!$C$55</f>
        <v>0</v>
      </c>
      <c r="L409" s="276">
        <f>L313*'DATA - P&amp;L'!$C$3*'DATA - P&amp;L'!$C$55</f>
        <v>0</v>
      </c>
      <c r="M409" s="276">
        <f>M313*'DATA - P&amp;L'!$C$3*'DATA - P&amp;L'!$C$55</f>
        <v>0</v>
      </c>
      <c r="N409" s="276">
        <f>N313*'DATA - P&amp;L'!$C$3*'DATA - P&amp;L'!$C$55</f>
        <v>0</v>
      </c>
      <c r="O409" s="276">
        <f>O313*'DATA - P&amp;L'!$C$3*'DATA - P&amp;L'!$C$55</f>
        <v>0</v>
      </c>
      <c r="P409" s="276">
        <f>P313*'DATA - P&amp;L'!$C$3*'DATA - P&amp;L'!$C$55</f>
        <v>0</v>
      </c>
      <c r="Q409" s="276">
        <f>Q313*'DATA - P&amp;L'!$C$3*'DATA - P&amp;L'!$C$55</f>
        <v>0</v>
      </c>
      <c r="R409" s="276">
        <f>R313*'DATA - P&amp;L'!$C$3*'DATA - P&amp;L'!$C$55</f>
        <v>0</v>
      </c>
      <c r="S409" s="276">
        <f>S313*'DATA - P&amp;L'!$C$3*'DATA - P&amp;L'!$C$55</f>
        <v>0</v>
      </c>
      <c r="T409" s="276">
        <f>T313*'DATA - P&amp;L'!$C$3*'DATA - P&amp;L'!$C$55</f>
        <v>52.14</v>
      </c>
      <c r="U409" s="276">
        <f>U313*'DATA - P&amp;L'!$C$3*'DATA - P&amp;L'!$C$55</f>
        <v>17.38</v>
      </c>
      <c r="V409" s="276">
        <f>V313*'DATA - P&amp;L'!$C$3*'DATA - P&amp;L'!$C$55</f>
        <v>8.69</v>
      </c>
      <c r="W409" s="276">
        <f>W313*'DATA - P&amp;L'!$C$3*'DATA - P&amp;L'!$C$55</f>
        <v>0</v>
      </c>
      <c r="X409" s="276">
        <f>X313*'DATA - P&amp;L'!$C$3*'DATA - P&amp;L'!$C$55</f>
        <v>0</v>
      </c>
      <c r="Y409" s="276">
        <f>Y313*'DATA - P&amp;L'!$C$3*'DATA - P&amp;L'!$C$55</f>
        <v>0</v>
      </c>
      <c r="Z409" s="276">
        <f>Z313*'DATA - P&amp;L'!$C$3*'DATA - P&amp;L'!$C$55</f>
        <v>60.83</v>
      </c>
      <c r="AA409" s="276">
        <f>AA313*'DATA - P&amp;L'!$C$3*'DATA - P&amp;L'!$C$55</f>
        <v>0</v>
      </c>
      <c r="AB409" s="276">
        <f>AB313*'DATA - P&amp;L'!$C$3*'DATA - P&amp;L'!$C$55</f>
        <v>0</v>
      </c>
      <c r="AC409" s="276">
        <f>AC313*'DATA - P&amp;L'!$C$3*'DATA - P&amp;L'!$C$55</f>
        <v>52.14</v>
      </c>
      <c r="AD409" s="276">
        <f>AD313*'DATA - P&amp;L'!$C$3*'DATA - P&amp;L'!$C$55</f>
        <v>0</v>
      </c>
      <c r="AE409" s="276">
        <f>AE313*'DATA - P&amp;L'!$C$3*'DATA - P&amp;L'!$C$55</f>
        <v>0</v>
      </c>
      <c r="AF409" s="276">
        <f>AF313*'DATA - P&amp;L'!$C$3*'DATA - P&amp;L'!$C$55</f>
        <v>0</v>
      </c>
      <c r="AG409" s="167">
        <f t="shared" si="123"/>
        <v>208.56</v>
      </c>
    </row>
    <row r="410" outlineLevel="1">
      <c r="A410" s="284" t="s">
        <v>676</v>
      </c>
      <c r="B410" s="276">
        <f>B314*'DATA - P&amp;L'!$C$4*'DATA - P&amp;L'!$C$55</f>
        <v>0</v>
      </c>
      <c r="C410" s="276">
        <f>C314*'DATA - P&amp;L'!$C$4*'DATA - P&amp;L'!$C$55</f>
        <v>0</v>
      </c>
      <c r="D410" s="276">
        <f>D314*'DATA - P&amp;L'!$C$4*'DATA - P&amp;L'!$C$55</f>
        <v>0</v>
      </c>
      <c r="E410" s="276">
        <f>E314*'DATA - P&amp;L'!$C$4*'DATA - P&amp;L'!$C$55</f>
        <v>0</v>
      </c>
      <c r="F410" s="276">
        <f>F314*'DATA - P&amp;L'!$C$4*'DATA - P&amp;L'!$C$55</f>
        <v>9.761</v>
      </c>
      <c r="G410" s="276">
        <f>G314*'DATA - P&amp;L'!$C$4*'DATA - P&amp;L'!$C$55</f>
        <v>0</v>
      </c>
      <c r="H410" s="276">
        <f>H314*'DATA - P&amp;L'!$C$4*'DATA - P&amp;L'!$C$55</f>
        <v>0</v>
      </c>
      <c r="I410" s="276">
        <f>I314*'DATA - P&amp;L'!$C$4*'DATA - P&amp;L'!$C$55</f>
        <v>0</v>
      </c>
      <c r="J410" s="276">
        <f>J314*'DATA - P&amp;L'!$C$4*'DATA - P&amp;L'!$C$55</f>
        <v>0</v>
      </c>
      <c r="K410" s="276">
        <f>K314*'DATA - P&amp;L'!$C$4*'DATA - P&amp;L'!$C$55</f>
        <v>0</v>
      </c>
      <c r="L410" s="276">
        <f>L314*'DATA - P&amp;L'!$C$4*'DATA - P&amp;L'!$C$55</f>
        <v>0</v>
      </c>
      <c r="M410" s="276">
        <f>M314*'DATA - P&amp;L'!$C$4*'DATA - P&amp;L'!$C$55</f>
        <v>0</v>
      </c>
      <c r="N410" s="276">
        <f>N314*'DATA - P&amp;L'!$C$4*'DATA - P&amp;L'!$C$55</f>
        <v>0</v>
      </c>
      <c r="O410" s="276">
        <f>O314*'DATA - P&amp;L'!$C$4*'DATA - P&amp;L'!$C$55</f>
        <v>0</v>
      </c>
      <c r="P410" s="276">
        <f>P314*'DATA - P&amp;L'!$C$4*'DATA - P&amp;L'!$C$55</f>
        <v>0</v>
      </c>
      <c r="Q410" s="276">
        <f>Q314*'DATA - P&amp;L'!$C$4*'DATA - P&amp;L'!$C$55</f>
        <v>0</v>
      </c>
      <c r="R410" s="276">
        <f>R314*'DATA - P&amp;L'!$C$4*'DATA - P&amp;L'!$C$55</f>
        <v>0</v>
      </c>
      <c r="S410" s="276">
        <f>S314*'DATA - P&amp;L'!$C$4*'DATA - P&amp;L'!$C$55</f>
        <v>0</v>
      </c>
      <c r="T410" s="276">
        <f>T314*'DATA - P&amp;L'!$C$4*'DATA - P&amp;L'!$C$55</f>
        <v>0</v>
      </c>
      <c r="U410" s="276">
        <f>U314*'DATA - P&amp;L'!$C$4*'DATA - P&amp;L'!$C$55</f>
        <v>0</v>
      </c>
      <c r="V410" s="276">
        <f>V314*'DATA - P&amp;L'!$C$4*'DATA - P&amp;L'!$C$55</f>
        <v>0</v>
      </c>
      <c r="W410" s="276">
        <f>W314*'DATA - P&amp;L'!$C$4*'DATA - P&amp;L'!$C$55</f>
        <v>0</v>
      </c>
      <c r="X410" s="276">
        <f>X314*'DATA - P&amp;L'!$C$4*'DATA - P&amp;L'!$C$55</f>
        <v>0</v>
      </c>
      <c r="Y410" s="276">
        <f>Y314*'DATA - P&amp;L'!$C$4*'DATA - P&amp;L'!$C$55</f>
        <v>0</v>
      </c>
      <c r="Z410" s="276">
        <f>Z314*'DATA - P&amp;L'!$C$4*'DATA - P&amp;L'!$C$55</f>
        <v>146.415</v>
      </c>
      <c r="AA410" s="276">
        <f>AA314*'DATA - P&amp;L'!$C$4*'DATA - P&amp;L'!$C$55</f>
        <v>0</v>
      </c>
      <c r="AB410" s="276">
        <f>AB314*'DATA - P&amp;L'!$C$4*'DATA - P&amp;L'!$C$55</f>
        <v>0</v>
      </c>
      <c r="AC410" s="276">
        <f>AC314*'DATA - P&amp;L'!$C$4*'DATA - P&amp;L'!$C$55</f>
        <v>19.522</v>
      </c>
      <c r="AD410" s="276">
        <f>AD314*'DATA - P&amp;L'!$C$4*'DATA - P&amp;L'!$C$55</f>
        <v>0</v>
      </c>
      <c r="AE410" s="276">
        <f>AE314*'DATA - P&amp;L'!$C$4*'DATA - P&amp;L'!$C$55</f>
        <v>0</v>
      </c>
      <c r="AF410" s="276">
        <f>AF314*'DATA - P&amp;L'!$C$4*'DATA - P&amp;L'!$C$55</f>
        <v>0</v>
      </c>
      <c r="AG410" s="167">
        <f t="shared" si="123"/>
        <v>175.698</v>
      </c>
    </row>
    <row r="411" outlineLevel="1">
      <c r="A411" s="284" t="s">
        <v>679</v>
      </c>
      <c r="B411" s="276">
        <f>(B317+B328)*'DATA - P&amp;L'!$C$6*'DATA - P&amp;L'!$C$55</f>
        <v>0</v>
      </c>
      <c r="C411" s="276">
        <f>(C317+C328)*'DATA - P&amp;L'!$C$6*'DATA - P&amp;L'!$C$55</f>
        <v>0</v>
      </c>
      <c r="D411" s="276">
        <f>(D317+D328)*'DATA - P&amp;L'!$C$6*'DATA - P&amp;L'!$C$55</f>
        <v>0</v>
      </c>
      <c r="E411" s="276">
        <f>(E317+E328)*'DATA - P&amp;L'!$C$6*'DATA - P&amp;L'!$C$55</f>
        <v>0</v>
      </c>
      <c r="F411" s="276">
        <f>(F317+F328)*'DATA - P&amp;L'!$C$6*'DATA - P&amp;L'!$C$55</f>
        <v>0.549</v>
      </c>
      <c r="G411" s="276">
        <f>(G317+G328)*'DATA - P&amp;L'!$C$6*'DATA - P&amp;L'!$C$55</f>
        <v>0</v>
      </c>
      <c r="H411" s="276">
        <f>(H317+H328)*'DATA - P&amp;L'!$C$6*'DATA - P&amp;L'!$C$55</f>
        <v>0</v>
      </c>
      <c r="I411" s="276">
        <f>(I317+I328)*'DATA - P&amp;L'!$C$6*'DATA - P&amp;L'!$C$55</f>
        <v>0</v>
      </c>
      <c r="J411" s="276">
        <f>(J317+J328)*'DATA - P&amp;L'!$C$6*'DATA - P&amp;L'!$C$55</f>
        <v>0</v>
      </c>
      <c r="K411" s="276">
        <f>(K317+K328)*'DATA - P&amp;L'!$C$6*'DATA - P&amp;L'!$C$55</f>
        <v>0</v>
      </c>
      <c r="L411" s="276">
        <f>(L317+L328)*'DATA - P&amp;L'!$C$6*'DATA - P&amp;L'!$C$55</f>
        <v>0</v>
      </c>
      <c r="M411" s="276">
        <f>(M317+M328)*'DATA - P&amp;L'!$C$6*'DATA - P&amp;L'!$C$55</f>
        <v>0</v>
      </c>
      <c r="N411" s="276">
        <f>(N317+N328)*'DATA - P&amp;L'!$C$6*'DATA - P&amp;L'!$C$55</f>
        <v>0</v>
      </c>
      <c r="O411" s="276">
        <f>(O317+O328)*'DATA - P&amp;L'!$C$6*'DATA - P&amp;L'!$C$55</f>
        <v>0</v>
      </c>
      <c r="P411" s="276">
        <f>(P317+P328)*'DATA - P&amp;L'!$C$6*'DATA - P&amp;L'!$C$55</f>
        <v>0</v>
      </c>
      <c r="Q411" s="276">
        <f>(Q317+Q328)*'DATA - P&amp;L'!$C$6*'DATA - P&amp;L'!$C$55</f>
        <v>0</v>
      </c>
      <c r="R411" s="276">
        <f>(R317+R328)*'DATA - P&amp;L'!$C$6*'DATA - P&amp;L'!$C$55</f>
        <v>0</v>
      </c>
      <c r="S411" s="276">
        <f>(S317+S328)*'DATA - P&amp;L'!$C$6*'DATA - P&amp;L'!$C$55</f>
        <v>0</v>
      </c>
      <c r="T411" s="276">
        <f>(T317+T328)*'DATA - P&amp;L'!$C$6*'DATA - P&amp;L'!$C$55</f>
        <v>0</v>
      </c>
      <c r="U411" s="276">
        <f>(U317+U328)*'DATA - P&amp;L'!$C$6*'DATA - P&amp;L'!$C$55</f>
        <v>0</v>
      </c>
      <c r="V411" s="276">
        <f>(V317+V328)*'DATA - P&amp;L'!$C$6*'DATA - P&amp;L'!$C$55</f>
        <v>0</v>
      </c>
      <c r="W411" s="276">
        <f>(W317+W328)*'DATA - P&amp;L'!$C$6*'DATA - P&amp;L'!$C$55</f>
        <v>0</v>
      </c>
      <c r="X411" s="276">
        <f>(X317+X328)*'DATA - P&amp;L'!$C$6*'DATA - P&amp;L'!$C$55</f>
        <v>0</v>
      </c>
      <c r="Y411" s="276">
        <f>(Y317+Y328)*'DATA - P&amp;L'!$C$6*'DATA - P&amp;L'!$C$55</f>
        <v>0</v>
      </c>
      <c r="Z411" s="276">
        <f>(Z317+Z328)*'DATA - P&amp;L'!$C$6*'DATA - P&amp;L'!$C$55</f>
        <v>2.196</v>
      </c>
      <c r="AA411" s="276">
        <f>(AA317+AA328)*'DATA - P&amp;L'!$C$6*'DATA - P&amp;L'!$C$55</f>
        <v>0</v>
      </c>
      <c r="AB411" s="276">
        <f>(AB317+AB328)*'DATA - P&amp;L'!$C$6*'DATA - P&amp;L'!$C$55</f>
        <v>0.549</v>
      </c>
      <c r="AC411" s="276">
        <f>(AC317+AC328)*'DATA - P&amp;L'!$C$6*'DATA - P&amp;L'!$C$55</f>
        <v>2.196</v>
      </c>
      <c r="AD411" s="276">
        <f>(AD317+AD328)*'DATA - P&amp;L'!$C$6*'DATA - P&amp;L'!$C$55</f>
        <v>0</v>
      </c>
      <c r="AE411" s="276">
        <f>(AE317+AE328)*'DATA - P&amp;L'!$C$6*'DATA - P&amp;L'!$C$55</f>
        <v>0</v>
      </c>
      <c r="AF411" s="276">
        <f>(AF317+AF328)*'DATA - P&amp;L'!$C$6*'DATA - P&amp;L'!$C$55</f>
        <v>0</v>
      </c>
      <c r="AG411" s="167">
        <f t="shared" si="123"/>
        <v>5.49</v>
      </c>
    </row>
    <row r="412" outlineLevel="1">
      <c r="A412" s="284" t="s">
        <v>683</v>
      </c>
      <c r="B412" s="276">
        <f>(B318+B329)*'DATA - P&amp;L'!$C$8*'DATA - P&amp;L'!$C$55</f>
        <v>0</v>
      </c>
      <c r="C412" s="276">
        <f>(C318+C329)*'DATA - P&amp;L'!$C$8*'DATA - P&amp;L'!$C$55</f>
        <v>0</v>
      </c>
      <c r="D412" s="276">
        <f>(D318+D329)*'DATA - P&amp;L'!$C$8*'DATA - P&amp;L'!$C$55</f>
        <v>0</v>
      </c>
      <c r="E412" s="276">
        <f>(E318+E329)*'DATA - P&amp;L'!$C$8*'DATA - P&amp;L'!$C$55</f>
        <v>0</v>
      </c>
      <c r="F412" s="276">
        <f>(F318+F329)*'DATA - P&amp;L'!$C$8*'DATA - P&amp;L'!$C$55</f>
        <v>0.119</v>
      </c>
      <c r="G412" s="276">
        <f>(G318+G329)*'DATA - P&amp;L'!$C$8*'DATA - P&amp;L'!$C$55</f>
        <v>0</v>
      </c>
      <c r="H412" s="276">
        <f>(H318+H329)*'DATA - P&amp;L'!$C$8*'DATA - P&amp;L'!$C$55</f>
        <v>0</v>
      </c>
      <c r="I412" s="276">
        <f>(I318+I329)*'DATA - P&amp;L'!$C$8*'DATA - P&amp;L'!$C$55</f>
        <v>0</v>
      </c>
      <c r="J412" s="276">
        <f>(J318+J329)*'DATA - P&amp;L'!$C$8*'DATA - P&amp;L'!$C$55</f>
        <v>0</v>
      </c>
      <c r="K412" s="276">
        <f>(K318+K329)*'DATA - P&amp;L'!$C$8*'DATA - P&amp;L'!$C$55</f>
        <v>0</v>
      </c>
      <c r="L412" s="276">
        <f>(L318+L329)*'DATA - P&amp;L'!$C$8*'DATA - P&amp;L'!$C$55</f>
        <v>0</v>
      </c>
      <c r="M412" s="276">
        <f>(M318+M329)*'DATA - P&amp;L'!$C$8*'DATA - P&amp;L'!$C$55</f>
        <v>0</v>
      </c>
      <c r="N412" s="276">
        <f>(N318+N329)*'DATA - P&amp;L'!$C$8*'DATA - P&amp;L'!$C$55</f>
        <v>0</v>
      </c>
      <c r="O412" s="276">
        <f>(O318+O329)*'DATA - P&amp;L'!$C$8*'DATA - P&amp;L'!$C$55</f>
        <v>0</v>
      </c>
      <c r="P412" s="276">
        <f>(P318+P329)*'DATA - P&amp;L'!$C$8*'DATA - P&amp;L'!$C$55</f>
        <v>0</v>
      </c>
      <c r="Q412" s="276">
        <f>(Q318+Q329)*'DATA - P&amp;L'!$C$8*'DATA - P&amp;L'!$C$55</f>
        <v>0</v>
      </c>
      <c r="R412" s="276">
        <f>(R318+R329)*'DATA - P&amp;L'!$C$8*'DATA - P&amp;L'!$C$55</f>
        <v>0</v>
      </c>
      <c r="S412" s="276">
        <f>(S318+S329)*'DATA - P&amp;L'!$C$8*'DATA - P&amp;L'!$C$55</f>
        <v>0</v>
      </c>
      <c r="T412" s="276">
        <f>(T318+T329)*'DATA - P&amp;L'!$C$8*'DATA - P&amp;L'!$C$55</f>
        <v>0</v>
      </c>
      <c r="U412" s="276">
        <f>(U318+U329)*'DATA - P&amp;L'!$C$8*'DATA - P&amp;L'!$C$55</f>
        <v>0</v>
      </c>
      <c r="V412" s="276">
        <f>(V318+V329)*'DATA - P&amp;L'!$C$8*'DATA - P&amp;L'!$C$55</f>
        <v>0</v>
      </c>
      <c r="W412" s="276">
        <f>(W318+W329)*'DATA - P&amp;L'!$C$8*'DATA - P&amp;L'!$C$55</f>
        <v>0</v>
      </c>
      <c r="X412" s="276">
        <f>(X318+X329)*'DATA - P&amp;L'!$C$8*'DATA - P&amp;L'!$C$55</f>
        <v>0</v>
      </c>
      <c r="Y412" s="276">
        <f>(Y318+Y329)*'DATA - P&amp;L'!$C$8*'DATA - P&amp;L'!$C$55</f>
        <v>0</v>
      </c>
      <c r="Z412" s="276">
        <f>(Z318+Z329)*'DATA - P&amp;L'!$C$8*'DATA - P&amp;L'!$C$55</f>
        <v>0.595</v>
      </c>
      <c r="AA412" s="276">
        <f>(AA318+AA329)*'DATA - P&amp;L'!$C$8*'DATA - P&amp;L'!$C$55</f>
        <v>0</v>
      </c>
      <c r="AB412" s="276">
        <f>(AB318+AB329)*'DATA - P&amp;L'!$C$8*'DATA - P&amp;L'!$C$55</f>
        <v>0</v>
      </c>
      <c r="AC412" s="276">
        <f>(AC318+AC329)*'DATA - P&amp;L'!$C$8*'DATA - P&amp;L'!$C$55</f>
        <v>0</v>
      </c>
      <c r="AD412" s="276">
        <f>(AD318+AD329)*'DATA - P&amp;L'!$C$8*'DATA - P&amp;L'!$C$55</f>
        <v>0</v>
      </c>
      <c r="AE412" s="276">
        <f>(AE318+AE329)*'DATA - P&amp;L'!$C$8*'DATA - P&amp;L'!$C$55</f>
        <v>0</v>
      </c>
      <c r="AF412" s="276">
        <f>(AF318+AF329)*'DATA - P&amp;L'!$C$8*'DATA - P&amp;L'!$C$55</f>
        <v>0</v>
      </c>
      <c r="AG412" s="167">
        <f t="shared" si="123"/>
        <v>0.714</v>
      </c>
    </row>
    <row r="413" outlineLevel="1">
      <c r="A413" s="284" t="s">
        <v>685</v>
      </c>
      <c r="B413" s="276">
        <f>(B319+B320+B330+B331)*'DATA - P&amp;L'!$C$9*'DATA - P&amp;L'!$C$55</f>
        <v>0</v>
      </c>
      <c r="C413" s="276">
        <f>(C319+C320+C330+C331)*'DATA - P&amp;L'!$C$9*'DATA - P&amp;L'!$C$55</f>
        <v>0</v>
      </c>
      <c r="D413" s="276">
        <f>(D319+D320+D330+D331)*'DATA - P&amp;L'!$C$9*'DATA - P&amp;L'!$C$55</f>
        <v>0</v>
      </c>
      <c r="E413" s="276">
        <f>(E319+E320+E330+E331)*'DATA - P&amp;L'!$C$9*'DATA - P&amp;L'!$C$55</f>
        <v>0</v>
      </c>
      <c r="F413" s="276">
        <f>(F319+F320+F330+F331)*'DATA - P&amp;L'!$C$9*'DATA - P&amp;L'!$C$55</f>
        <v>0</v>
      </c>
      <c r="G413" s="276">
        <f>(G319+G320+G330+G331)*'DATA - P&amp;L'!$C$9*'DATA - P&amp;L'!$C$55</f>
        <v>0</v>
      </c>
      <c r="H413" s="276">
        <f>(H319+H320+H330+H331)*'DATA - P&amp;L'!$C$9*'DATA - P&amp;L'!$C$55</f>
        <v>0</v>
      </c>
      <c r="I413" s="276">
        <f>(I319+I320+I330+I331)*'DATA - P&amp;L'!$C$9*'DATA - P&amp;L'!$C$55</f>
        <v>0</v>
      </c>
      <c r="J413" s="276">
        <f>(J319+J320+J330+J331)*'DATA - P&amp;L'!$C$9*'DATA - P&amp;L'!$C$55</f>
        <v>0</v>
      </c>
      <c r="K413" s="276">
        <f>(K319+K320+K330+K331)*'DATA - P&amp;L'!$C$9*'DATA - P&amp;L'!$C$55</f>
        <v>0</v>
      </c>
      <c r="L413" s="276">
        <f>(L319+L320+L330+L331)*'DATA - P&amp;L'!$C$9*'DATA - P&amp;L'!$C$55</f>
        <v>0</v>
      </c>
      <c r="M413" s="276">
        <f>(M319+M320+M330+M331)*'DATA - P&amp;L'!$C$9*'DATA - P&amp;L'!$C$55</f>
        <v>0</v>
      </c>
      <c r="N413" s="276">
        <f>(N319+N320+N330+N331)*'DATA - P&amp;L'!$C$9*'DATA - P&amp;L'!$C$55</f>
        <v>0</v>
      </c>
      <c r="O413" s="276">
        <f>(O319+O320+O330+O331)*'DATA - P&amp;L'!$C$9*'DATA - P&amp;L'!$C$55</f>
        <v>0</v>
      </c>
      <c r="P413" s="276">
        <f>(P319+P320+P330+P331)*'DATA - P&amp;L'!$C$9*'DATA - P&amp;L'!$C$55</f>
        <v>0</v>
      </c>
      <c r="Q413" s="276">
        <f>(Q319+Q320+Q330+Q331)*'DATA - P&amp;L'!$C$9*'DATA - P&amp;L'!$C$55</f>
        <v>0</v>
      </c>
      <c r="R413" s="276">
        <f>(R319+R320+R330+R331)*'DATA - P&amp;L'!$C$9*'DATA - P&amp;L'!$C$55</f>
        <v>0</v>
      </c>
      <c r="S413" s="276">
        <f>(S319+S320+S330+S331)*'DATA - P&amp;L'!$C$9*'DATA - P&amp;L'!$C$55</f>
        <v>0</v>
      </c>
      <c r="T413" s="276">
        <f>(T319+T320+T330+T331)*'DATA - P&amp;L'!$C$9*'DATA - P&amp;L'!$C$55</f>
        <v>0</v>
      </c>
      <c r="U413" s="276">
        <f>(U319+U320+U330+U331)*'DATA - P&amp;L'!$C$9*'DATA - P&amp;L'!$C$55</f>
        <v>0</v>
      </c>
      <c r="V413" s="276">
        <f>(V319+V320+V330+V331)*'DATA - P&amp;L'!$C$9*'DATA - P&amp;L'!$C$55</f>
        <v>0</v>
      </c>
      <c r="W413" s="276">
        <f>(W319+W320+W330+W331)*'DATA - P&amp;L'!$C$9*'DATA - P&amp;L'!$C$55</f>
        <v>0</v>
      </c>
      <c r="X413" s="276">
        <f>(X319+X320+X330+X331)*'DATA - P&amp;L'!$C$9*'DATA - P&amp;L'!$C$55</f>
        <v>0</v>
      </c>
      <c r="Y413" s="276">
        <f>(Y319+Y320+Y330+Y331)*'DATA - P&amp;L'!$C$9*'DATA - P&amp;L'!$C$55</f>
        <v>0</v>
      </c>
      <c r="Z413" s="276">
        <f>(Z319+Z320+Z330+Z331)*'DATA - P&amp;L'!$C$9*'DATA - P&amp;L'!$C$55</f>
        <v>0</v>
      </c>
      <c r="AA413" s="276">
        <f>(AA319+AA320+AA330+AA331)*'DATA - P&amp;L'!$C$9*'DATA - P&amp;L'!$C$55</f>
        <v>0</v>
      </c>
      <c r="AB413" s="276">
        <f>(AB319+AB320+AB330+AB331)*'DATA - P&amp;L'!$C$9*'DATA - P&amp;L'!$C$55</f>
        <v>0</v>
      </c>
      <c r="AC413" s="276">
        <f>(AC319+AC320+AC330+AC331)*'DATA - P&amp;L'!$C$9*'DATA - P&amp;L'!$C$55</f>
        <v>0</v>
      </c>
      <c r="AD413" s="276">
        <f>(AD319+AD320+AD330+AD331)*'DATA - P&amp;L'!$C$9*'DATA - P&amp;L'!$C$55</f>
        <v>0</v>
      </c>
      <c r="AE413" s="276">
        <f>(AE319+AE320+AE330+AE331)*'DATA - P&amp;L'!$C$9*'DATA - P&amp;L'!$C$55</f>
        <v>0</v>
      </c>
      <c r="AF413" s="276">
        <f>(AF319+AF320+AF330+AF331)*'DATA - P&amp;L'!$C$9*'DATA - P&amp;L'!$C$55</f>
        <v>0</v>
      </c>
      <c r="AG413" s="167">
        <f t="shared" si="123"/>
        <v>0</v>
      </c>
    </row>
    <row r="414" outlineLevel="1">
      <c r="A414" s="284" t="s">
        <v>687</v>
      </c>
      <c r="B414" s="276">
        <f>(B321+B322+B332+B333)*'DATA - P&amp;L'!$C$5*'DATA - P&amp;L'!$C$55</f>
        <v>0</v>
      </c>
      <c r="C414" s="276">
        <f>(C321+C322+C332+C333)*'DATA - P&amp;L'!$C$5*'DATA - P&amp;L'!$C$55</f>
        <v>0</v>
      </c>
      <c r="D414" s="276">
        <f>(D321+D322+D332+D333)*'DATA - P&amp;L'!$C$5*'DATA - P&amp;L'!$C$55</f>
        <v>0</v>
      </c>
      <c r="E414" s="276">
        <f>(E321+E322+E332+E333)*'DATA - P&amp;L'!$C$5*'DATA - P&amp;L'!$C$55</f>
        <v>0</v>
      </c>
      <c r="F414" s="276">
        <f>(F321+F322+F332+F333)*'DATA - P&amp;L'!$C$5*'DATA - P&amp;L'!$C$55</f>
        <v>0</v>
      </c>
      <c r="G414" s="276">
        <f>(G321+G322+G332+G333)*'DATA - P&amp;L'!$C$5*'DATA - P&amp;L'!$C$55</f>
        <v>0</v>
      </c>
      <c r="H414" s="276">
        <f>(H321+H322+H332+H333)*'DATA - P&amp;L'!$C$5*'DATA - P&amp;L'!$C$55</f>
        <v>0</v>
      </c>
      <c r="I414" s="276">
        <f>(I321+I322+I332+I333)*'DATA - P&amp;L'!$C$5*'DATA - P&amp;L'!$C$55</f>
        <v>0</v>
      </c>
      <c r="J414" s="276">
        <f>(J321+J322+J332+J333)*'DATA - P&amp;L'!$C$5*'DATA - P&amp;L'!$C$55</f>
        <v>0</v>
      </c>
      <c r="K414" s="276">
        <f>(K321+K322+K332+K333)*'DATA - P&amp;L'!$C$5*'DATA - P&amp;L'!$C$55</f>
        <v>0</v>
      </c>
      <c r="L414" s="276">
        <f>(L321+L322+L332+L333)*'DATA - P&amp;L'!$C$5*'DATA - P&amp;L'!$C$55</f>
        <v>0</v>
      </c>
      <c r="M414" s="276">
        <f>(M321+M322+M332+M333)*'DATA - P&amp;L'!$C$5*'DATA - P&amp;L'!$C$55</f>
        <v>0</v>
      </c>
      <c r="N414" s="276">
        <f>(N321+N322+N332+N333)*'DATA - P&amp;L'!$C$5*'DATA - P&amp;L'!$C$55</f>
        <v>0</v>
      </c>
      <c r="O414" s="276">
        <f>(O321+O322+O332+O333)*'DATA - P&amp;L'!$C$5*'DATA - P&amp;L'!$C$55</f>
        <v>0</v>
      </c>
      <c r="P414" s="276">
        <f>(P321+P322+P332+P333)*'DATA - P&amp;L'!$C$5*'DATA - P&amp;L'!$C$55</f>
        <v>0</v>
      </c>
      <c r="Q414" s="276">
        <f>(Q321+Q322+Q332+Q333)*'DATA - P&amp;L'!$C$5*'DATA - P&amp;L'!$C$55</f>
        <v>0</v>
      </c>
      <c r="R414" s="276">
        <f>(R321+R322+R332+R333)*'DATA - P&amp;L'!$C$5*'DATA - P&amp;L'!$C$55</f>
        <v>0</v>
      </c>
      <c r="S414" s="276">
        <f>(S321+S322+S332+S333)*'DATA - P&amp;L'!$C$5*'DATA - P&amp;L'!$C$55</f>
        <v>0</v>
      </c>
      <c r="T414" s="276">
        <f>(T321+T322+T332+T333)*'DATA - P&amp;L'!$C$5*'DATA - P&amp;L'!$C$55</f>
        <v>0</v>
      </c>
      <c r="U414" s="276">
        <f>(U321+U322+U332+U333)*'DATA - P&amp;L'!$C$5*'DATA - P&amp;L'!$C$55</f>
        <v>0</v>
      </c>
      <c r="V414" s="276">
        <f>(V321+V322+V332+V333)*'DATA - P&amp;L'!$C$5*'DATA - P&amp;L'!$C$55</f>
        <v>0</v>
      </c>
      <c r="W414" s="276">
        <f>(W321+W322+W332+W333)*'DATA - P&amp;L'!$C$5*'DATA - P&amp;L'!$C$55</f>
        <v>0</v>
      </c>
      <c r="X414" s="276">
        <f>(X321+X322+X332+X333)*'DATA - P&amp;L'!$C$5*'DATA - P&amp;L'!$C$55</f>
        <v>0</v>
      </c>
      <c r="Y414" s="276">
        <f>(Y321+Y322+Y332+Y333)*'DATA - P&amp;L'!$C$5*'DATA - P&amp;L'!$C$55</f>
        <v>0</v>
      </c>
      <c r="Z414" s="276">
        <f>(Z321+Z322+Z332+Z333)*'DATA - P&amp;L'!$C$5*'DATA - P&amp;L'!$C$55</f>
        <v>2.688</v>
      </c>
      <c r="AA414" s="276">
        <f>(AA321+AA322+AA332+AA333)*'DATA - P&amp;L'!$C$5*'DATA - P&amp;L'!$C$55</f>
        <v>0</v>
      </c>
      <c r="AB414" s="276">
        <f>(AB321+AB322+AB332+AB333)*'DATA - P&amp;L'!$C$5*'DATA - P&amp;L'!$C$55</f>
        <v>0</v>
      </c>
      <c r="AC414" s="276">
        <f>(AC321+AC322+AC332+AC333)*'DATA - P&amp;L'!$C$5*'DATA - P&amp;L'!$C$55</f>
        <v>0</v>
      </c>
      <c r="AD414" s="276">
        <f>(AD321+AD322+AD332+AD333)*'DATA - P&amp;L'!$C$5*'DATA - P&amp;L'!$C$55</f>
        <v>0</v>
      </c>
      <c r="AE414" s="276">
        <f>(AE321+AE322+AE332+AE333)*'DATA - P&amp;L'!$C$5*'DATA - P&amp;L'!$C$55</f>
        <v>0</v>
      </c>
      <c r="AF414" s="276">
        <f>(AF321+AF322+AF332+AF333)*'DATA - P&amp;L'!$C$5*'DATA - P&amp;L'!$C$55</f>
        <v>0</v>
      </c>
      <c r="AG414" s="167">
        <f t="shared" si="123"/>
        <v>2.688</v>
      </c>
    </row>
    <row r="415" outlineLevel="1">
      <c r="A415" s="284" t="s">
        <v>693</v>
      </c>
      <c r="B415" s="276">
        <f>(B323+B324+B334+B335)*'DATA - P&amp;L'!$C$10*'DATA - P&amp;L'!$C$55</f>
        <v>0</v>
      </c>
      <c r="C415" s="276">
        <f>(C323+C324+C334+C335)*'DATA - P&amp;L'!$C$10*'DATA - P&amp;L'!$C$55</f>
        <v>0</v>
      </c>
      <c r="D415" s="276">
        <f>(D323+D324+D334+D335)*'DATA - P&amp;L'!$C$10*'DATA - P&amp;L'!$C$55</f>
        <v>0</v>
      </c>
      <c r="E415" s="276">
        <f>(E323+E324+E334+E335)*'DATA - P&amp;L'!$C$10*'DATA - P&amp;L'!$C$55</f>
        <v>0</v>
      </c>
      <c r="F415" s="276">
        <f>(F323+F324+F334+F335)*'DATA - P&amp;L'!$C$10*'DATA - P&amp;L'!$C$55</f>
        <v>0</v>
      </c>
      <c r="G415" s="276">
        <f>(G323+G324+G334+G335)*'DATA - P&amp;L'!$C$10*'DATA - P&amp;L'!$C$55</f>
        <v>0</v>
      </c>
      <c r="H415" s="276">
        <f>(H323+H324+H334+H335)*'DATA - P&amp;L'!$C$10*'DATA - P&amp;L'!$C$55</f>
        <v>0</v>
      </c>
      <c r="I415" s="276">
        <f>(I323+I324+I334+I335)*'DATA - P&amp;L'!$C$10*'DATA - P&amp;L'!$C$55</f>
        <v>0</v>
      </c>
      <c r="J415" s="276">
        <f>(J323+J324+J334+J335)*'DATA - P&amp;L'!$C$10*'DATA - P&amp;L'!$C$55</f>
        <v>0</v>
      </c>
      <c r="K415" s="276">
        <f>(K323+K324+K334+K335)*'DATA - P&amp;L'!$C$10*'DATA - P&amp;L'!$C$55</f>
        <v>0</v>
      </c>
      <c r="L415" s="276">
        <f>(L323+L324+L334+L335)*'DATA - P&amp;L'!$C$10*'DATA - P&amp;L'!$C$55</f>
        <v>0</v>
      </c>
      <c r="M415" s="276">
        <f>(M323+M324+M334+M335)*'DATA - P&amp;L'!$C$10*'DATA - P&amp;L'!$C$55</f>
        <v>0</v>
      </c>
      <c r="N415" s="276">
        <f>(N323+N324+N334+N335)*'DATA - P&amp;L'!$C$10*'DATA - P&amp;L'!$C$55</f>
        <v>0</v>
      </c>
      <c r="O415" s="276">
        <f>(O323+O324+O334+O335)*'DATA - P&amp;L'!$C$10*'DATA - P&amp;L'!$C$55</f>
        <v>0</v>
      </c>
      <c r="P415" s="276">
        <f>(P323+P324+P334+P335)*'DATA - P&amp;L'!$C$10*'DATA - P&amp;L'!$C$55</f>
        <v>0</v>
      </c>
      <c r="Q415" s="276">
        <f>(Q323+Q324+Q334+Q335)*'DATA - P&amp;L'!$C$10*'DATA - P&amp;L'!$C$55</f>
        <v>0</v>
      </c>
      <c r="R415" s="276">
        <f>(R323+R324+R334+R335)*'DATA - P&amp;L'!$C$10*'DATA - P&amp;L'!$C$55</f>
        <v>0</v>
      </c>
      <c r="S415" s="276">
        <f>(S323+S324+S334+S335)*'DATA - P&amp;L'!$C$10*'DATA - P&amp;L'!$C$55</f>
        <v>0</v>
      </c>
      <c r="T415" s="276">
        <f>(T323+T324+T334+T335)*'DATA - P&amp;L'!$C$10*'DATA - P&amp;L'!$C$55</f>
        <v>0</v>
      </c>
      <c r="U415" s="276">
        <f>(U323+U324+U334+U335)*'DATA - P&amp;L'!$C$10*'DATA - P&amp;L'!$C$55</f>
        <v>0</v>
      </c>
      <c r="V415" s="276">
        <f>(V323+V324+V334+V335)*'DATA - P&amp;L'!$C$10*'DATA - P&amp;L'!$C$55</f>
        <v>0</v>
      </c>
      <c r="W415" s="276">
        <f>(W323+W324+W334+W335)*'DATA - P&amp;L'!$C$10*'DATA - P&amp;L'!$C$55</f>
        <v>0</v>
      </c>
      <c r="X415" s="276">
        <f>(X323+X324+X334+X335)*'DATA - P&amp;L'!$C$10*'DATA - P&amp;L'!$C$55</f>
        <v>0</v>
      </c>
      <c r="Y415" s="276">
        <f>(Y323+Y324+Y334+Y335)*'DATA - P&amp;L'!$C$10*'DATA - P&amp;L'!$C$55</f>
        <v>0</v>
      </c>
      <c r="Z415" s="276">
        <f>(Z323+Z324+Z334+Z335)*'DATA - P&amp;L'!$C$10*'DATA - P&amp;L'!$C$55</f>
        <v>0</v>
      </c>
      <c r="AA415" s="276">
        <f>(AA323+AA324+AA334+AA335)*'DATA - P&amp;L'!$C$10*'DATA - P&amp;L'!$C$55</f>
        <v>0</v>
      </c>
      <c r="AB415" s="276">
        <f>(AB323+AB324+AB334+AB335)*'DATA - P&amp;L'!$C$10*'DATA - P&amp;L'!$C$55</f>
        <v>0</v>
      </c>
      <c r="AC415" s="276">
        <f>(AC323+AC324+AC334+AC335)*'DATA - P&amp;L'!$C$10*'DATA - P&amp;L'!$C$55</f>
        <v>0</v>
      </c>
      <c r="AD415" s="276">
        <f>(AD323+AD324+AD334+AD335)*'DATA - P&amp;L'!$C$10*'DATA - P&amp;L'!$C$55</f>
        <v>0</v>
      </c>
      <c r="AE415" s="276">
        <f>(AE323+AE324+AE334+AE335)*'DATA - P&amp;L'!$C$10*'DATA - P&amp;L'!$C$55</f>
        <v>0</v>
      </c>
      <c r="AF415" s="276">
        <f>(AF323+AF324+AF334+AF335)*'DATA - P&amp;L'!$C$10*'DATA - P&amp;L'!$C$55</f>
        <v>0</v>
      </c>
      <c r="AG415" s="167">
        <f t="shared" si="123"/>
        <v>0</v>
      </c>
    </row>
    <row r="416" outlineLevel="1">
      <c r="A416" s="284" t="s">
        <v>784</v>
      </c>
      <c r="B416" s="276">
        <f>((B301+B302+B310+B311)*'DATA - P&amp;L'!$C$13)*'DATA - P&amp;L'!$C$55</f>
        <v>0</v>
      </c>
      <c r="C416" s="276">
        <f>((C301+C302+C310+C311)*'DATA - P&amp;L'!$C$13)*'DATA - P&amp;L'!$C$55</f>
        <v>0</v>
      </c>
      <c r="D416" s="276">
        <f>((D301+D302+D310+D311)*'DATA - P&amp;L'!$C$13)*'DATA - P&amp;L'!$C$55</f>
        <v>0</v>
      </c>
      <c r="E416" s="276">
        <f>((E301+E302+E310+E311)*'DATA - P&amp;L'!$C$13)*'DATA - P&amp;L'!$C$55</f>
        <v>0</v>
      </c>
      <c r="F416" s="276">
        <f>((F301+F302+F310+F311)*'DATA - P&amp;L'!$C$13)*'DATA - P&amp;L'!$C$55</f>
        <v>0</v>
      </c>
      <c r="G416" s="276">
        <f>((G301+G302+G310+G311)*'DATA - P&amp;L'!$C$13)*'DATA - P&amp;L'!$C$55</f>
        <v>0</v>
      </c>
      <c r="H416" s="276">
        <f>((H301+H302+H310+H311)*'DATA - P&amp;L'!$C$13)*'DATA - P&amp;L'!$C$55</f>
        <v>0</v>
      </c>
      <c r="I416" s="276">
        <f>((I301+I302+I310+I311)*'DATA - P&amp;L'!$C$13)*'DATA - P&amp;L'!$C$55</f>
        <v>0</v>
      </c>
      <c r="J416" s="276">
        <f>((J301+J302+J310+J311)*'DATA - P&amp;L'!$C$13)*'DATA - P&amp;L'!$C$55</f>
        <v>0</v>
      </c>
      <c r="K416" s="276">
        <f>((K301+K302+K310+K311)*'DATA - P&amp;L'!$C$13)*'DATA - P&amp;L'!$C$55</f>
        <v>0</v>
      </c>
      <c r="L416" s="276">
        <f>((L301+L302+L310+L311)*'DATA - P&amp;L'!$C$13)*'DATA - P&amp;L'!$C$55</f>
        <v>0</v>
      </c>
      <c r="M416" s="276">
        <f>((M301+M302+M310+M311)*'DATA - P&amp;L'!$C$13)*'DATA - P&amp;L'!$C$55</f>
        <v>0</v>
      </c>
      <c r="N416" s="276">
        <f>((N301+N302+N310+N311)*'DATA - P&amp;L'!$C$13)*'DATA - P&amp;L'!$C$55</f>
        <v>0</v>
      </c>
      <c r="O416" s="276">
        <f>((O301+O302+O310+O311)*'DATA - P&amp;L'!$C$13)*'DATA - P&amp;L'!$C$55</f>
        <v>0</v>
      </c>
      <c r="P416" s="276">
        <f>((P301+P302+P310+P311)*'DATA - P&amp;L'!$C$13)*'DATA - P&amp;L'!$C$55</f>
        <v>0</v>
      </c>
      <c r="Q416" s="276">
        <f>((Q301+Q302+Q310+Q311)*'DATA - P&amp;L'!$C$13)*'DATA - P&amp;L'!$C$55</f>
        <v>0</v>
      </c>
      <c r="R416" s="276">
        <f>((R301+R302+R310+R311)*'DATA - P&amp;L'!$C$13)*'DATA - P&amp;L'!$C$55</f>
        <v>0</v>
      </c>
      <c r="S416" s="276">
        <f>((S301+S302+S310+S311)*'DATA - P&amp;L'!$C$13)*'DATA - P&amp;L'!$C$55</f>
        <v>0</v>
      </c>
      <c r="T416" s="276">
        <f>((T301+T302+T310+T311)*'DATA - P&amp;L'!$C$13)*'DATA - P&amp;L'!$C$55</f>
        <v>0</v>
      </c>
      <c r="U416" s="276">
        <f>((U301+U302+U310+U311)*'DATA - P&amp;L'!$C$13)*'DATA - P&amp;L'!$C$55</f>
        <v>0</v>
      </c>
      <c r="V416" s="276">
        <f>((V301+V302+V310+V311)*'DATA - P&amp;L'!$C$13)*'DATA - P&amp;L'!$C$55</f>
        <v>0</v>
      </c>
      <c r="W416" s="276">
        <f>((W301+W302+W310+W311)*'DATA - P&amp;L'!$C$13)*'DATA - P&amp;L'!$C$55</f>
        <v>0</v>
      </c>
      <c r="X416" s="276">
        <f>((X301+X302+X310+X311)*'DATA - P&amp;L'!$C$13)*'DATA - P&amp;L'!$C$55</f>
        <v>0</v>
      </c>
      <c r="Y416" s="276">
        <f>((Y301+Y302+Y310+Y311)*'DATA - P&amp;L'!$C$13)*'DATA - P&amp;L'!$C$55</f>
        <v>0</v>
      </c>
      <c r="Z416" s="276">
        <f>((Z301+Z302+Z310+Z311)*'DATA - P&amp;L'!$C$13)*'DATA - P&amp;L'!$C$55</f>
        <v>0</v>
      </c>
      <c r="AA416" s="276">
        <f>((AA301+AA302+AA310+AA311)*'DATA - P&amp;L'!$C$13)*'DATA - P&amp;L'!$C$55</f>
        <v>0</v>
      </c>
      <c r="AB416" s="276">
        <f>((AB301+AB302+AB310+AB311)*'DATA - P&amp;L'!$C$13)*'DATA - P&amp;L'!$C$55</f>
        <v>0</v>
      </c>
      <c r="AC416" s="276">
        <f>((AC301+AC302+AC310+AC311)*'DATA - P&amp;L'!$C$13)*'DATA - P&amp;L'!$C$55</f>
        <v>0</v>
      </c>
      <c r="AD416" s="276">
        <f>((AD301+AD302+AD310+AD311)*'DATA - P&amp;L'!$C$13)*'DATA - P&amp;L'!$C$55</f>
        <v>0</v>
      </c>
      <c r="AE416" s="276">
        <f>((AE301+AE302+AE310+AE311)*'DATA - P&amp;L'!$C$13)*'DATA - P&amp;L'!$C$55</f>
        <v>0</v>
      </c>
      <c r="AF416" s="276">
        <f>((AF301+AF302+AF310+AF311)*'DATA - P&amp;L'!$C$13)*'DATA - P&amp;L'!$C$55</f>
        <v>0</v>
      </c>
      <c r="AG416" s="167">
        <f t="shared" si="123"/>
        <v>0</v>
      </c>
    </row>
    <row r="417" outlineLevel="1">
      <c r="A417" s="284" t="s">
        <v>789</v>
      </c>
      <c r="B417" s="276">
        <f>((B303+B312)*'DATA - P&amp;L'!$C$14)*'DATA - P&amp;L'!$C$55</f>
        <v>0</v>
      </c>
      <c r="C417" s="276">
        <f>((C303+C312)*'DATA - P&amp;L'!$C$14)*'DATA - P&amp;L'!$C$55</f>
        <v>0</v>
      </c>
      <c r="D417" s="276">
        <f>((D303+D312)*'DATA - P&amp;L'!$C$14)*'DATA - P&amp;L'!$C$55</f>
        <v>0</v>
      </c>
      <c r="E417" s="276">
        <f>((E303+E312)*'DATA - P&amp;L'!$C$14)*'DATA - P&amp;L'!$C$55</f>
        <v>0</v>
      </c>
      <c r="F417" s="276">
        <f>((F303+F312)*'DATA - P&amp;L'!$C$14)*'DATA - P&amp;L'!$C$55</f>
        <v>0</v>
      </c>
      <c r="G417" s="276">
        <f>((G303+G312)*'DATA - P&amp;L'!$C$14)*'DATA - P&amp;L'!$C$55</f>
        <v>0</v>
      </c>
      <c r="H417" s="276">
        <f>((H303+H312)*'DATA - P&amp;L'!$C$14)*'DATA - P&amp;L'!$C$55</f>
        <v>0</v>
      </c>
      <c r="I417" s="276">
        <f>((I303+I312)*'DATA - P&amp;L'!$C$14)*'DATA - P&amp;L'!$C$55</f>
        <v>0</v>
      </c>
      <c r="J417" s="276">
        <f>((J303+J312)*'DATA - P&amp;L'!$C$14)*'DATA - P&amp;L'!$C$55</f>
        <v>0</v>
      </c>
      <c r="K417" s="276">
        <f>((K303+K312)*'DATA - P&amp;L'!$C$14)*'DATA - P&amp;L'!$C$55</f>
        <v>0</v>
      </c>
      <c r="L417" s="276">
        <f>((L303+L312)*'DATA - P&amp;L'!$C$14)*'DATA - P&amp;L'!$C$55</f>
        <v>0</v>
      </c>
      <c r="M417" s="276">
        <f>((M303+M312)*'DATA - P&amp;L'!$C$14)*'DATA - P&amp;L'!$C$55</f>
        <v>0</v>
      </c>
      <c r="N417" s="276">
        <f>((N303+N312)*'DATA - P&amp;L'!$C$14)*'DATA - P&amp;L'!$C$55</f>
        <v>0</v>
      </c>
      <c r="O417" s="276">
        <f>((O303+O312)*'DATA - P&amp;L'!$C$14)*'DATA - P&amp;L'!$C$55</f>
        <v>0</v>
      </c>
      <c r="P417" s="276">
        <f>((P303+P312)*'DATA - P&amp;L'!$C$14)*'DATA - P&amp;L'!$C$55</f>
        <v>0</v>
      </c>
      <c r="Q417" s="276">
        <f>((Q303+Q312)*'DATA - P&amp;L'!$C$14)*'DATA - P&amp;L'!$C$55</f>
        <v>0</v>
      </c>
      <c r="R417" s="276">
        <f>((R303+R312)*'DATA - P&amp;L'!$C$14)*'DATA - P&amp;L'!$C$55</f>
        <v>0</v>
      </c>
      <c r="S417" s="276">
        <f>((S303+S312)*'DATA - P&amp;L'!$C$14)*'DATA - P&amp;L'!$C$55</f>
        <v>0</v>
      </c>
      <c r="T417" s="276">
        <f>((T303+T312)*'DATA - P&amp;L'!$C$14)*'DATA - P&amp;L'!$C$55</f>
        <v>0</v>
      </c>
      <c r="U417" s="276">
        <f>((U303+U312)*'DATA - P&amp;L'!$C$14)*'DATA - P&amp;L'!$C$55</f>
        <v>0</v>
      </c>
      <c r="V417" s="276">
        <f>((V303+V312)*'DATA - P&amp;L'!$C$14)*'DATA - P&amp;L'!$C$55</f>
        <v>0</v>
      </c>
      <c r="W417" s="276">
        <f>((W303+W312)*'DATA - P&amp;L'!$C$14)*'DATA - P&amp;L'!$C$55</f>
        <v>0</v>
      </c>
      <c r="X417" s="276">
        <f>((X303+X312)*'DATA - P&amp;L'!$C$14)*'DATA - P&amp;L'!$C$55</f>
        <v>0</v>
      </c>
      <c r="Y417" s="276">
        <f>((Y303+Y312)*'DATA - P&amp;L'!$C$14)*'DATA - P&amp;L'!$C$55</f>
        <v>0</v>
      </c>
      <c r="Z417" s="276">
        <f>((Z303+Z312)*'DATA - P&amp;L'!$C$14)*'DATA - P&amp;L'!$C$55</f>
        <v>0</v>
      </c>
      <c r="AA417" s="276">
        <f>((AA303+AA312)*'DATA - P&amp;L'!$C$14)*'DATA - P&amp;L'!$C$55</f>
        <v>0</v>
      </c>
      <c r="AB417" s="276">
        <f>((AB303+AB312)*'DATA - P&amp;L'!$C$14)*'DATA - P&amp;L'!$C$55</f>
        <v>0</v>
      </c>
      <c r="AC417" s="276">
        <f>((AC303+AC312)*'DATA - P&amp;L'!$C$14)*'DATA - P&amp;L'!$C$55</f>
        <v>0</v>
      </c>
      <c r="AD417" s="276">
        <f>((AD303+AD312)*'DATA - P&amp;L'!$C$14)*'DATA - P&amp;L'!$C$55</f>
        <v>0</v>
      </c>
      <c r="AE417" s="276">
        <f>((AE303+AE312)*'DATA - P&amp;L'!$C$14)*'DATA - P&amp;L'!$C$55</f>
        <v>0</v>
      </c>
      <c r="AF417" s="276">
        <f>((AF303+AF312)*'DATA - P&amp;L'!$C$14)*'DATA - P&amp;L'!$C$55</f>
        <v>0</v>
      </c>
      <c r="AG417" s="167">
        <f t="shared" si="123"/>
        <v>0</v>
      </c>
    </row>
    <row r="418" outlineLevel="1">
      <c r="A418" s="284" t="s">
        <v>701</v>
      </c>
      <c r="B418" s="276">
        <f>((B313*'DATA - P&amp;L'!$C$38)+(B314*'DATA - P&amp;L'!$C$39))*'DATA - P&amp;L'!$C$55</f>
        <v>0</v>
      </c>
      <c r="C418" s="276">
        <f>((C313*'DATA - P&amp;L'!$C$38)+(C314*'DATA - P&amp;L'!$C$39))*'DATA - P&amp;L'!$C$55</f>
        <v>0</v>
      </c>
      <c r="D418" s="276">
        <f>((D313*'DATA - P&amp;L'!$C$38)+(D314*'DATA - P&amp;L'!$C$39))*'DATA - P&amp;L'!$C$55</f>
        <v>1.194</v>
      </c>
      <c r="E418" s="276">
        <f>((E313*'DATA - P&amp;L'!$C$38)+(E314*'DATA - P&amp;L'!$C$39))*'DATA - P&amp;L'!$C$55</f>
        <v>1.194</v>
      </c>
      <c r="F418" s="276">
        <f>((F313*'DATA - P&amp;L'!$C$38)+(F314*'DATA - P&amp;L'!$C$39))*'DATA - P&amp;L'!$C$55</f>
        <v>1.194</v>
      </c>
      <c r="G418" s="276">
        <f>((G313*'DATA - P&amp;L'!$C$38)+(G314*'DATA - P&amp;L'!$C$39))*'DATA - P&amp;L'!$C$55</f>
        <v>0</v>
      </c>
      <c r="H418" s="276">
        <f>((H313*'DATA - P&amp;L'!$C$38)+(H314*'DATA - P&amp;L'!$C$39))*'DATA - P&amp;L'!$C$55</f>
        <v>0</v>
      </c>
      <c r="I418" s="276">
        <f>((I313*'DATA - P&amp;L'!$C$38)+(I314*'DATA - P&amp;L'!$C$39))*'DATA - P&amp;L'!$C$55</f>
        <v>0</v>
      </c>
      <c r="J418" s="276">
        <f>((J313*'DATA - P&amp;L'!$C$38)+(J314*'DATA - P&amp;L'!$C$39))*'DATA - P&amp;L'!$C$55</f>
        <v>0</v>
      </c>
      <c r="K418" s="276">
        <f>((K313*'DATA - P&amp;L'!$C$38)+(K314*'DATA - P&amp;L'!$C$39))*'DATA - P&amp;L'!$C$55</f>
        <v>0</v>
      </c>
      <c r="L418" s="276">
        <f>((L313*'DATA - P&amp;L'!$C$38)+(L314*'DATA - P&amp;L'!$C$39))*'DATA - P&amp;L'!$C$55</f>
        <v>0</v>
      </c>
      <c r="M418" s="276">
        <f>((M313*'DATA - P&amp;L'!$C$38)+(M314*'DATA - P&amp;L'!$C$39))*'DATA - P&amp;L'!$C$55</f>
        <v>0</v>
      </c>
      <c r="N418" s="276">
        <f>((N313*'DATA - P&amp;L'!$C$38)+(N314*'DATA - P&amp;L'!$C$39))*'DATA - P&amp;L'!$C$55</f>
        <v>0</v>
      </c>
      <c r="O418" s="276">
        <f>((O313*'DATA - P&amp;L'!$C$38)+(O314*'DATA - P&amp;L'!$C$39))*'DATA - P&amp;L'!$C$55</f>
        <v>0</v>
      </c>
      <c r="P418" s="276">
        <f>((P313*'DATA - P&amp;L'!$C$38)+(P314*'DATA - P&amp;L'!$C$39))*'DATA - P&amp;L'!$C$55</f>
        <v>0</v>
      </c>
      <c r="Q418" s="276">
        <f>((Q313*'DATA - P&amp;L'!$C$38)+(Q314*'DATA - P&amp;L'!$C$39))*'DATA - P&amp;L'!$C$55</f>
        <v>0</v>
      </c>
      <c r="R418" s="276">
        <f>((R313*'DATA - P&amp;L'!$C$38)+(R314*'DATA - P&amp;L'!$C$39))*'DATA - P&amp;L'!$C$55</f>
        <v>0</v>
      </c>
      <c r="S418" s="276">
        <f>((S313*'DATA - P&amp;L'!$C$38)+(S314*'DATA - P&amp;L'!$C$39))*'DATA - P&amp;L'!$C$55</f>
        <v>0</v>
      </c>
      <c r="T418" s="276">
        <f>((T313*'DATA - P&amp;L'!$C$38)+(T314*'DATA - P&amp;L'!$C$39))*'DATA - P&amp;L'!$C$55</f>
        <v>7.164</v>
      </c>
      <c r="U418" s="276">
        <f>((U313*'DATA - P&amp;L'!$C$38)+(U314*'DATA - P&amp;L'!$C$39))*'DATA - P&amp;L'!$C$55</f>
        <v>2.388</v>
      </c>
      <c r="V418" s="276">
        <f>((V313*'DATA - P&amp;L'!$C$38)+(V314*'DATA - P&amp;L'!$C$39))*'DATA - P&amp;L'!$C$55</f>
        <v>1.194</v>
      </c>
      <c r="W418" s="276">
        <f>((W313*'DATA - P&amp;L'!$C$38)+(W314*'DATA - P&amp;L'!$C$39))*'DATA - P&amp;L'!$C$55</f>
        <v>0</v>
      </c>
      <c r="X418" s="276">
        <f>((X313*'DATA - P&amp;L'!$C$38)+(X314*'DATA - P&amp;L'!$C$39))*'DATA - P&amp;L'!$C$55</f>
        <v>0</v>
      </c>
      <c r="Y418" s="276">
        <f>((Y313*'DATA - P&amp;L'!$C$38)+(Y314*'DATA - P&amp;L'!$C$39))*'DATA - P&amp;L'!$C$55</f>
        <v>0</v>
      </c>
      <c r="Z418" s="276">
        <f>((Z313*'DATA - P&amp;L'!$C$38)+(Z314*'DATA - P&amp;L'!$C$39))*'DATA - P&amp;L'!$C$55</f>
        <v>26.268</v>
      </c>
      <c r="AA418" s="276">
        <f>((AA313*'DATA - P&amp;L'!$C$38)+(AA314*'DATA - P&amp;L'!$C$39))*'DATA - P&amp;L'!$C$55</f>
        <v>0</v>
      </c>
      <c r="AB418" s="276">
        <f>((AB313*'DATA - P&amp;L'!$C$38)+(AB314*'DATA - P&amp;L'!$C$39))*'DATA - P&amp;L'!$C$55</f>
        <v>0</v>
      </c>
      <c r="AC418" s="276">
        <f>((AC313*'DATA - P&amp;L'!$C$38)+(AC314*'DATA - P&amp;L'!$C$39))*'DATA - P&amp;L'!$C$55</f>
        <v>9.552</v>
      </c>
      <c r="AD418" s="276">
        <f>((AD313*'DATA - P&amp;L'!$C$38)+(AD314*'DATA - P&amp;L'!$C$39))*'DATA - P&amp;L'!$C$55</f>
        <v>0</v>
      </c>
      <c r="AE418" s="276">
        <f>((AE313*'DATA - P&amp;L'!$C$38)+(AE314*'DATA - P&amp;L'!$C$39))*'DATA - P&amp;L'!$C$55</f>
        <v>0</v>
      </c>
      <c r="AF418" s="276">
        <f>((AF313*'DATA - P&amp;L'!$C$38)+(AF314*'DATA - P&amp;L'!$C$39))*'DATA - P&amp;L'!$C$55</f>
        <v>0</v>
      </c>
      <c r="AG418" s="167">
        <f t="shared" si="123"/>
        <v>50.148</v>
      </c>
    </row>
    <row r="419" outlineLevel="1">
      <c r="A419" s="284" t="s">
        <v>724</v>
      </c>
      <c r="B419" s="276">
        <f>((B325*'DATA - P&amp;L'!$D$38)+(B336*'DATA - P&amp;L'!$D$39))*'DATA - P&amp;L'!$C$55</f>
        <v>0</v>
      </c>
      <c r="C419" s="276">
        <f>((C325*'DATA - P&amp;L'!$D$38)+(C336*'DATA - P&amp;L'!$D$39))*'DATA - P&amp;L'!$C$55</f>
        <v>0</v>
      </c>
      <c r="D419" s="276">
        <f>((D325*'DATA - P&amp;L'!$D$38)+(D336*'DATA - P&amp;L'!$D$39))*'DATA - P&amp;L'!$C$55</f>
        <v>0</v>
      </c>
      <c r="E419" s="276">
        <f>((E325*'DATA - P&amp;L'!$D$38)+(E336*'DATA - P&amp;L'!$D$39))*'DATA - P&amp;L'!$C$55</f>
        <v>0</v>
      </c>
      <c r="F419" s="276">
        <f>((F325*'DATA - P&amp;L'!$D$38)+(F336*'DATA - P&amp;L'!$D$39))*'DATA - P&amp;L'!$C$55</f>
        <v>0.287</v>
      </c>
      <c r="G419" s="276">
        <f>((G325*'DATA - P&amp;L'!$D$38)+(G336*'DATA - P&amp;L'!$D$39))*'DATA - P&amp;L'!$C$55</f>
        <v>0</v>
      </c>
      <c r="H419" s="276">
        <f>((H325*'DATA - P&amp;L'!$D$38)+(H336*'DATA - P&amp;L'!$D$39))*'DATA - P&amp;L'!$C$55</f>
        <v>0</v>
      </c>
      <c r="I419" s="276">
        <f>((I325*'DATA - P&amp;L'!$D$38)+(I336*'DATA - P&amp;L'!$D$39))*'DATA - P&amp;L'!$C$55</f>
        <v>0</v>
      </c>
      <c r="J419" s="276">
        <f>((J325*'DATA - P&amp;L'!$D$38)+(J336*'DATA - P&amp;L'!$D$39))*'DATA - P&amp;L'!$C$55</f>
        <v>0</v>
      </c>
      <c r="K419" s="276">
        <f>((K325*'DATA - P&amp;L'!$D$38)+(K336*'DATA - P&amp;L'!$D$39))*'DATA - P&amp;L'!$C$55</f>
        <v>0</v>
      </c>
      <c r="L419" s="276">
        <f>((L325*'DATA - P&amp;L'!$D$38)+(L336*'DATA - P&amp;L'!$D$39))*'DATA - P&amp;L'!$C$55</f>
        <v>0</v>
      </c>
      <c r="M419" s="276">
        <f>((M325*'DATA - P&amp;L'!$D$38)+(M336*'DATA - P&amp;L'!$D$39))*'DATA - P&amp;L'!$C$55</f>
        <v>0</v>
      </c>
      <c r="N419" s="276">
        <f>((N325*'DATA - P&amp;L'!$D$38)+(N336*'DATA - P&amp;L'!$D$39))*'DATA - P&amp;L'!$C$55</f>
        <v>0</v>
      </c>
      <c r="O419" s="276">
        <f>((O325*'DATA - P&amp;L'!$D$38)+(O336*'DATA - P&amp;L'!$D$39))*'DATA - P&amp;L'!$C$55</f>
        <v>0</v>
      </c>
      <c r="P419" s="276">
        <f>((P325*'DATA - P&amp;L'!$D$38)+(P336*'DATA - P&amp;L'!$D$39))*'DATA - P&amp;L'!$C$55</f>
        <v>0</v>
      </c>
      <c r="Q419" s="276">
        <f>((Q325*'DATA - P&amp;L'!$D$38)+(Q336*'DATA - P&amp;L'!$D$39))*'DATA - P&amp;L'!$C$55</f>
        <v>0</v>
      </c>
      <c r="R419" s="276">
        <f>((R325*'DATA - P&amp;L'!$D$38)+(R336*'DATA - P&amp;L'!$D$39))*'DATA - P&amp;L'!$C$55</f>
        <v>0</v>
      </c>
      <c r="S419" s="276">
        <f>((S325*'DATA - P&amp;L'!$D$38)+(S336*'DATA - P&amp;L'!$D$39))*'DATA - P&amp;L'!$C$55</f>
        <v>0</v>
      </c>
      <c r="T419" s="276">
        <f>((T325*'DATA - P&amp;L'!$D$38)+(T336*'DATA - P&amp;L'!$D$39))*'DATA - P&amp;L'!$C$55</f>
        <v>0</v>
      </c>
      <c r="U419" s="276">
        <f>((U325*'DATA - P&amp;L'!$D$38)+(U336*'DATA - P&amp;L'!$D$39))*'DATA - P&amp;L'!$C$55</f>
        <v>0</v>
      </c>
      <c r="V419" s="276">
        <f>((V325*'DATA - P&amp;L'!$D$38)+(V336*'DATA - P&amp;L'!$D$39))*'DATA - P&amp;L'!$C$55</f>
        <v>0</v>
      </c>
      <c r="W419" s="276">
        <f>((W325*'DATA - P&amp;L'!$D$38)+(W336*'DATA - P&amp;L'!$D$39))*'DATA - P&amp;L'!$C$55</f>
        <v>0</v>
      </c>
      <c r="X419" s="276">
        <f>((X325*'DATA - P&amp;L'!$D$38)+(X336*'DATA - P&amp;L'!$D$39))*'DATA - P&amp;L'!$C$55</f>
        <v>0</v>
      </c>
      <c r="Y419" s="276">
        <f>((Y325*'DATA - P&amp;L'!$D$38)+(Y336*'DATA - P&amp;L'!$D$39))*'DATA - P&amp;L'!$C$55</f>
        <v>0</v>
      </c>
      <c r="Z419" s="276">
        <f>((Z325*'DATA - P&amp;L'!$D$38)+(Z336*'DATA - P&amp;L'!$D$39))*'DATA - P&amp;L'!$C$55</f>
        <v>1.5785</v>
      </c>
      <c r="AA419" s="276">
        <f>((AA325*'DATA - P&amp;L'!$D$38)+(AA336*'DATA - P&amp;L'!$D$39))*'DATA - P&amp;L'!$C$55</f>
        <v>0</v>
      </c>
      <c r="AB419" s="276">
        <f>((AB325*'DATA - P&amp;L'!$D$38)+(AB336*'DATA - P&amp;L'!$D$39))*'DATA - P&amp;L'!$C$55</f>
        <v>0.144</v>
      </c>
      <c r="AC419" s="276">
        <f>((AC325*'DATA - P&amp;L'!$D$38)+(AC336*'DATA - P&amp;L'!$D$39))*'DATA - P&amp;L'!$C$55</f>
        <v>0.576</v>
      </c>
      <c r="AD419" s="276">
        <f>((AD325*'DATA - P&amp;L'!$D$38)+(AD336*'DATA - P&amp;L'!$D$39))*'DATA - P&amp;L'!$C$55</f>
        <v>0</v>
      </c>
      <c r="AE419" s="276">
        <f>((AE325*'DATA - P&amp;L'!$D$38)+(AE336*'DATA - P&amp;L'!$D$39))*'DATA - P&amp;L'!$C$55</f>
        <v>0</v>
      </c>
      <c r="AF419" s="276">
        <f>((AF325*'DATA - P&amp;L'!$D$38)+(AF336*'DATA - P&amp;L'!$D$39))*'DATA - P&amp;L'!$C$55</f>
        <v>0</v>
      </c>
      <c r="AG419" s="167">
        <f t="shared" si="123"/>
        <v>2.5855</v>
      </c>
    </row>
    <row r="420" outlineLevel="1">
      <c r="A420" s="284" t="s">
        <v>797</v>
      </c>
      <c r="B420" s="913">
        <f>((B301+B302)*'DATA - P&amp;L'!$C$38)+((B310+B311)*'DATA - P&amp;L'!$C$39)*'DATA - P&amp;L'!$C$55</f>
        <v>0</v>
      </c>
      <c r="C420" s="913">
        <f>((C301+C302)*'DATA - P&amp;L'!$C$38)+((C310+C311)*'DATA - P&amp;L'!$C$39)*'DATA - P&amp;L'!$C$55</f>
        <v>0</v>
      </c>
      <c r="D420" s="913">
        <f>((D301+D302)*'DATA - P&amp;L'!$C$38)+((D310+D311)*'DATA - P&amp;L'!$C$39)*'DATA - P&amp;L'!$C$55</f>
        <v>0</v>
      </c>
      <c r="E420" s="913">
        <f>((E301+E302)*'DATA - P&amp;L'!$C$38)+((E310+E311)*'DATA - P&amp;L'!$C$39)*'DATA - P&amp;L'!$C$55</f>
        <v>0</v>
      </c>
      <c r="F420" s="913">
        <f>((F301+F302)*'DATA - P&amp;L'!$C$38)+((F310+F311)*'DATA - P&amp;L'!$C$39)*'DATA - P&amp;L'!$C$55</f>
        <v>0</v>
      </c>
      <c r="G420" s="913">
        <f>((G301+G302)*'DATA - P&amp;L'!$C$38)+((G310+G311)*'DATA - P&amp;L'!$C$39)*'DATA - P&amp;L'!$C$55</f>
        <v>0</v>
      </c>
      <c r="H420" s="913">
        <f>((H301+H302)*'DATA - P&amp;L'!$C$38)+((H310+H311)*'DATA - P&amp;L'!$C$39)*'DATA - P&amp;L'!$C$55</f>
        <v>0</v>
      </c>
      <c r="I420" s="913">
        <f>((I301+I302)*'DATA - P&amp;L'!$C$38)+((I310+I311)*'DATA - P&amp;L'!$C$39)*'DATA - P&amp;L'!$C$55</f>
        <v>0</v>
      </c>
      <c r="J420" s="913">
        <f>((J301+J302)*'DATA - P&amp;L'!$C$38)+((J310+J311)*'DATA - P&amp;L'!$C$39)*'DATA - P&amp;L'!$C$55</f>
        <v>0</v>
      </c>
      <c r="K420" s="913">
        <f>((K301+K302)*'DATA - P&amp;L'!$C$38)+((K310+K311)*'DATA - P&amp;L'!$C$39)*'DATA - P&amp;L'!$C$55</f>
        <v>0</v>
      </c>
      <c r="L420" s="913">
        <f>((L301+L302)*'DATA - P&amp;L'!$C$38)+((L310+L311)*'DATA - P&amp;L'!$C$39)*'DATA - P&amp;L'!$C$55</f>
        <v>0</v>
      </c>
      <c r="M420" s="913">
        <f>((M301+M302)*'DATA - P&amp;L'!$C$38)+((M310+M311)*'DATA - P&amp;L'!$C$39)*'DATA - P&amp;L'!$C$55</f>
        <v>0</v>
      </c>
      <c r="N420" s="913">
        <f>((N301+N302)*'DATA - P&amp;L'!$C$38)+((N310+N311)*'DATA - P&amp;L'!$C$39)*'DATA - P&amp;L'!$C$55</f>
        <v>0</v>
      </c>
      <c r="O420" s="913">
        <f>((O301+O302)*'DATA - P&amp;L'!$C$38)+((O310+O311)*'DATA - P&amp;L'!$C$39)*'DATA - P&amp;L'!$C$55</f>
        <v>0</v>
      </c>
      <c r="P420" s="913">
        <f>((P301+P302)*'DATA - P&amp;L'!$C$38)+((P310+P311)*'DATA - P&amp;L'!$C$39)*'DATA - P&amp;L'!$C$55</f>
        <v>0</v>
      </c>
      <c r="Q420" s="913">
        <f>((Q301+Q302)*'DATA - P&amp;L'!$C$38)+((Q310+Q311)*'DATA - P&amp;L'!$C$39)*'DATA - P&amp;L'!$C$55</f>
        <v>0</v>
      </c>
      <c r="R420" s="913">
        <f>((R301+R302)*'DATA - P&amp;L'!$C$38)+((R310+R311)*'DATA - P&amp;L'!$C$39)*'DATA - P&amp;L'!$C$55</f>
        <v>0</v>
      </c>
      <c r="S420" s="913">
        <f>((S301+S302)*'DATA - P&amp;L'!$C$38)+((S310+S311)*'DATA - P&amp;L'!$C$39)*'DATA - P&amp;L'!$C$55</f>
        <v>0</v>
      </c>
      <c r="T420" s="913">
        <f>((T301+T302)*'DATA - P&amp;L'!$C$38)+((T310+T311)*'DATA - P&amp;L'!$C$39)*'DATA - P&amp;L'!$C$55</f>
        <v>0</v>
      </c>
      <c r="U420" s="913">
        <f>((U301+U302)*'DATA - P&amp;L'!$C$38)+((U310+U311)*'DATA - P&amp;L'!$C$39)*'DATA - P&amp;L'!$C$55</f>
        <v>0</v>
      </c>
      <c r="V420" s="913">
        <f>((V301+V302)*'DATA - P&amp;L'!$C$38)+((V310+V311)*'DATA - P&amp;L'!$C$39)*'DATA - P&amp;L'!$C$55</f>
        <v>0</v>
      </c>
      <c r="W420" s="913">
        <f>((W301+W302)*'DATA - P&amp;L'!$C$38)+((W310+W311)*'DATA - P&amp;L'!$C$39)*'DATA - P&amp;L'!$C$55</f>
        <v>0</v>
      </c>
      <c r="X420" s="913">
        <f>((X301+X302)*'DATA - P&amp;L'!$C$38)+((X310+X311)*'DATA - P&amp;L'!$C$39)*'DATA - P&amp;L'!$C$55</f>
        <v>0</v>
      </c>
      <c r="Y420" s="913">
        <f>((Y301+Y302)*'DATA - P&amp;L'!$C$38)+((Y310+Y311)*'DATA - P&amp;L'!$C$39)*'DATA - P&amp;L'!$C$55</f>
        <v>0</v>
      </c>
      <c r="Z420" s="913">
        <f>((Z301+Z302)*'DATA - P&amp;L'!$C$38)+((Z310+Z311)*'DATA - P&amp;L'!$C$39)*'DATA - P&amp;L'!$C$55</f>
        <v>0</v>
      </c>
      <c r="AA420" s="913">
        <f>((AA301+AA302)*'DATA - P&amp;L'!$C$38)+((AA310+AA311)*'DATA - P&amp;L'!$C$39)*'DATA - P&amp;L'!$C$55</f>
        <v>0</v>
      </c>
      <c r="AB420" s="913">
        <f>((AB301+AB302)*'DATA - P&amp;L'!$C$38)+((AB310+AB311)*'DATA - P&amp;L'!$C$39)*'DATA - P&amp;L'!$C$55</f>
        <v>0</v>
      </c>
      <c r="AC420" s="913">
        <f>((AC301+AC302)*'DATA - P&amp;L'!$C$38)+((AC310+AC311)*'DATA - P&amp;L'!$C$39)*'DATA - P&amp;L'!$C$55</f>
        <v>0</v>
      </c>
      <c r="AD420" s="913">
        <f>((AD301+AD302)*'DATA - P&amp;L'!$C$38)+((AD310+AD311)*'DATA - P&amp;L'!$C$39)*'DATA - P&amp;L'!$C$55</f>
        <v>0</v>
      </c>
      <c r="AE420" s="913">
        <f>((AE301+AE302)*'DATA - P&amp;L'!$C$38)+((AE310+AE311)*'DATA - P&amp;L'!$C$39)*'DATA - P&amp;L'!$C$55</f>
        <v>0</v>
      </c>
      <c r="AF420" s="913">
        <f>((AF301+AF302)*'DATA - P&amp;L'!$C$38)+((AF310+AF311)*'DATA - P&amp;L'!$C$39)*'DATA - P&amp;L'!$C$55</f>
        <v>0</v>
      </c>
      <c r="AG420" s="167">
        <f t="shared" si="123"/>
        <v>0</v>
      </c>
    </row>
    <row r="421" outlineLevel="1">
      <c r="A421" s="284" t="s">
        <v>799</v>
      </c>
      <c r="B421" s="913">
        <f>(B303*'DATA - P&amp;L'!$C$38)+(B312*'DATA - P&amp;L'!$C$39)*'DATA - P&amp;L'!$C$55</f>
        <v>0</v>
      </c>
      <c r="C421" s="913">
        <f>(C303*'DATA - P&amp;L'!$C$38)+(C312*'DATA - P&amp;L'!$C$39)*'DATA - P&amp;L'!$C$55</f>
        <v>0</v>
      </c>
      <c r="D421" s="913">
        <f>(D303*'DATA - P&amp;L'!$C$38)+(D312*'DATA - P&amp;L'!$C$39)*'DATA - P&amp;L'!$C$55</f>
        <v>0</v>
      </c>
      <c r="E421" s="913">
        <f>(E303*'DATA - P&amp;L'!$C$38)+(E312*'DATA - P&amp;L'!$C$39)*'DATA - P&amp;L'!$C$55</f>
        <v>0</v>
      </c>
      <c r="F421" s="913">
        <f>(F303*'DATA - P&amp;L'!$C$38)+(F312*'DATA - P&amp;L'!$C$39)*'DATA - P&amp;L'!$C$55</f>
        <v>0</v>
      </c>
      <c r="G421" s="913">
        <f>(G303*'DATA - P&amp;L'!$C$38)+(G312*'DATA - P&amp;L'!$C$39)*'DATA - P&amp;L'!$C$55</f>
        <v>0</v>
      </c>
      <c r="H421" s="913">
        <f>(H303*'DATA - P&amp;L'!$C$38)+(H312*'DATA - P&amp;L'!$C$39)*'DATA - P&amp;L'!$C$55</f>
        <v>0</v>
      </c>
      <c r="I421" s="913">
        <f>(I303*'DATA - P&amp;L'!$C$38)+(I312*'DATA - P&amp;L'!$C$39)*'DATA - P&amp;L'!$C$55</f>
        <v>0</v>
      </c>
      <c r="J421" s="913">
        <f>(J303*'DATA - P&amp;L'!$C$38)+(J312*'DATA - P&amp;L'!$C$39)*'DATA - P&amp;L'!$C$55</f>
        <v>0</v>
      </c>
      <c r="K421" s="913">
        <f>(K303*'DATA - P&amp;L'!$C$38)+(K312*'DATA - P&amp;L'!$C$39)*'DATA - P&amp;L'!$C$55</f>
        <v>0</v>
      </c>
      <c r="L421" s="913">
        <f>(L303*'DATA - P&amp;L'!$C$38)+(L312*'DATA - P&amp;L'!$C$39)*'DATA - P&amp;L'!$C$55</f>
        <v>0</v>
      </c>
      <c r="M421" s="913">
        <f>(M303*'DATA - P&amp;L'!$C$38)+(M312*'DATA - P&amp;L'!$C$39)*'DATA - P&amp;L'!$C$55</f>
        <v>0</v>
      </c>
      <c r="N421" s="913">
        <f>(N303*'DATA - P&amp;L'!$C$38)+(N312*'DATA - P&amp;L'!$C$39)*'DATA - P&amp;L'!$C$55</f>
        <v>0</v>
      </c>
      <c r="O421" s="913">
        <f>(O303*'DATA - P&amp;L'!$C$38)+(O312*'DATA - P&amp;L'!$C$39)*'DATA - P&amp;L'!$C$55</f>
        <v>0</v>
      </c>
      <c r="P421" s="913">
        <f>(P303*'DATA - P&amp;L'!$C$38)+(P312*'DATA - P&amp;L'!$C$39)*'DATA - P&amp;L'!$C$55</f>
        <v>0</v>
      </c>
      <c r="Q421" s="913">
        <f>(Q303*'DATA - P&amp;L'!$C$38)+(Q312*'DATA - P&amp;L'!$C$39)*'DATA - P&amp;L'!$C$55</f>
        <v>0</v>
      </c>
      <c r="R421" s="913">
        <f>(R303*'DATA - P&amp;L'!$C$38)+(R312*'DATA - P&amp;L'!$C$39)*'DATA - P&amp;L'!$C$55</f>
        <v>0</v>
      </c>
      <c r="S421" s="913">
        <f>(S303*'DATA - P&amp;L'!$C$38)+(S312*'DATA - P&amp;L'!$C$39)*'DATA - P&amp;L'!$C$55</f>
        <v>0</v>
      </c>
      <c r="T421" s="913">
        <f>(T303*'DATA - P&amp;L'!$C$38)+(T312*'DATA - P&amp;L'!$C$39)*'DATA - P&amp;L'!$C$55</f>
        <v>0</v>
      </c>
      <c r="U421" s="913">
        <f>(U303*'DATA - P&amp;L'!$C$38)+(U312*'DATA - P&amp;L'!$C$39)*'DATA - P&amp;L'!$C$55</f>
        <v>0</v>
      </c>
      <c r="V421" s="913">
        <f>(V303*'DATA - P&amp;L'!$C$38)+(V312*'DATA - P&amp;L'!$C$39)*'DATA - P&amp;L'!$C$55</f>
        <v>0</v>
      </c>
      <c r="W421" s="913">
        <f>(W303*'DATA - P&amp;L'!$C$38)+(W312*'DATA - P&amp;L'!$C$39)*'DATA - P&amp;L'!$C$55</f>
        <v>0</v>
      </c>
      <c r="X421" s="913">
        <f>(X303*'DATA - P&amp;L'!$C$38)+(X312*'DATA - P&amp;L'!$C$39)*'DATA - P&amp;L'!$C$55</f>
        <v>0</v>
      </c>
      <c r="Y421" s="913">
        <f>(Y303*'DATA - P&amp;L'!$C$38)+(Y312*'DATA - P&amp;L'!$C$39)*'DATA - P&amp;L'!$C$55</f>
        <v>0</v>
      </c>
      <c r="Z421" s="913">
        <f>(Z303*'DATA - P&amp;L'!$C$38)+(Z312*'DATA - P&amp;L'!$C$39)*'DATA - P&amp;L'!$C$55</f>
        <v>0</v>
      </c>
      <c r="AA421" s="913">
        <f>(AA303*'DATA - P&amp;L'!$C$38)+(AA312*'DATA - P&amp;L'!$C$39)*'DATA - P&amp;L'!$C$55</f>
        <v>0</v>
      </c>
      <c r="AB421" s="913">
        <f>(AB303*'DATA - P&amp;L'!$C$38)+(AB312*'DATA - P&amp;L'!$C$39)*'DATA - P&amp;L'!$C$55</f>
        <v>0</v>
      </c>
      <c r="AC421" s="913">
        <f>(AC303*'DATA - P&amp;L'!$C$38)+(AC312*'DATA - P&amp;L'!$C$39)*'DATA - P&amp;L'!$C$55</f>
        <v>0</v>
      </c>
      <c r="AD421" s="913">
        <f>(AD303*'DATA - P&amp;L'!$C$38)+(AD312*'DATA - P&amp;L'!$C$39)*'DATA - P&amp;L'!$C$55</f>
        <v>0</v>
      </c>
      <c r="AE421" s="913">
        <f>(AE303*'DATA - P&amp;L'!$C$38)+(AE312*'DATA - P&amp;L'!$C$39)*'DATA - P&amp;L'!$C$55</f>
        <v>0</v>
      </c>
      <c r="AF421" s="913">
        <f>(AF303*'DATA - P&amp;L'!$C$38)+(AF312*'DATA - P&amp;L'!$C$39)*'DATA - P&amp;L'!$C$55</f>
        <v>0</v>
      </c>
      <c r="AG421" s="167">
        <f t="shared" si="123"/>
        <v>0</v>
      </c>
    </row>
    <row r="422" outlineLevel="1">
      <c r="A422" s="284" t="s">
        <v>800</v>
      </c>
      <c r="B422" s="276">
        <f>(B338*'DATA - P&amp;L'!$R$3)+('DATA - P&amp;L'!$R$4*B339)</f>
        <v>0</v>
      </c>
      <c r="C422" s="276">
        <f>(C338*'DATA - P&amp;L'!$R$3)+('DATA - P&amp;L'!$R$4*C339)</f>
        <v>0</v>
      </c>
      <c r="D422" s="276">
        <f>(D338*'DATA - P&amp;L'!$R$3)+('DATA - P&amp;L'!$R$4*D339)</f>
        <v>15</v>
      </c>
      <c r="E422" s="276">
        <f>(E338*'DATA - P&amp;L'!$R$3)+('DATA - P&amp;L'!$R$4*E339)</f>
        <v>15</v>
      </c>
      <c r="F422" s="276">
        <f>(F338*'DATA - P&amp;L'!$R$3)+('DATA - P&amp;L'!$R$4*F339)</f>
        <v>15</v>
      </c>
      <c r="G422" s="276">
        <f>(G338*'DATA - P&amp;L'!$R$3)+('DATA - P&amp;L'!$R$4*G339)</f>
        <v>0</v>
      </c>
      <c r="H422" s="276">
        <f>(H338*'DATA - P&amp;L'!$R$3)+('DATA - P&amp;L'!$R$4*H339)</f>
        <v>0</v>
      </c>
      <c r="I422" s="276">
        <f>(I338*'DATA - P&amp;L'!$R$3)+('DATA - P&amp;L'!$R$4*I339)</f>
        <v>0</v>
      </c>
      <c r="J422" s="276">
        <f>(J338*'DATA - P&amp;L'!$R$3)+('DATA - P&amp;L'!$R$4*J339)</f>
        <v>0</v>
      </c>
      <c r="K422" s="276">
        <f>(K338*'DATA - P&amp;L'!$R$3)+('DATA - P&amp;L'!$R$4*K339)</f>
        <v>0</v>
      </c>
      <c r="L422" s="276">
        <f>(L338*'DATA - P&amp;L'!$R$3)+('DATA - P&amp;L'!$R$4*L339)</f>
        <v>0</v>
      </c>
      <c r="M422" s="276">
        <f>(M338*'DATA - P&amp;L'!$R$3)+('DATA - P&amp;L'!$R$4*M339)</f>
        <v>0</v>
      </c>
      <c r="N422" s="276">
        <f>(N338*'DATA - P&amp;L'!$R$3)+('DATA - P&amp;L'!$R$4*N339)</f>
        <v>0</v>
      </c>
      <c r="O422" s="276">
        <f>(O338*'DATA - P&amp;L'!$R$3)+('DATA - P&amp;L'!$R$4*O339)</f>
        <v>0</v>
      </c>
      <c r="P422" s="276">
        <f>(P338*'DATA - P&amp;L'!$R$3)+('DATA - P&amp;L'!$R$4*P339)</f>
        <v>0</v>
      </c>
      <c r="Q422" s="276">
        <f>(Q338*'DATA - P&amp;L'!$R$3)+('DATA - P&amp;L'!$R$4*Q339)</f>
        <v>0</v>
      </c>
      <c r="R422" s="276">
        <f>(R338*'DATA - P&amp;L'!$R$3)+('DATA - P&amp;L'!$R$4*R339)</f>
        <v>0</v>
      </c>
      <c r="S422" s="276">
        <f>(S338*'DATA - P&amp;L'!$R$3)+('DATA - P&amp;L'!$R$4*S339)</f>
        <v>0</v>
      </c>
      <c r="T422" s="276">
        <f>(T338*'DATA - P&amp;L'!$R$3)+('DATA - P&amp;L'!$R$4*T339)</f>
        <v>200</v>
      </c>
      <c r="U422" s="276">
        <f>(U338*'DATA - P&amp;L'!$R$3)+('DATA - P&amp;L'!$R$4*U339)</f>
        <v>30</v>
      </c>
      <c r="V422" s="276">
        <f>(V338*'DATA - P&amp;L'!$R$3)+('DATA - P&amp;L'!$R$4*V339)</f>
        <v>15</v>
      </c>
      <c r="W422" s="276">
        <f>(W338*'DATA - P&amp;L'!$R$3)+('DATA - P&amp;L'!$R$4*W339)</f>
        <v>0</v>
      </c>
      <c r="X422" s="276">
        <f>(X338*'DATA - P&amp;L'!$R$3)+('DATA - P&amp;L'!$R$4*X339)</f>
        <v>0</v>
      </c>
      <c r="Y422" s="276">
        <f>(Y338*'DATA - P&amp;L'!$R$3)+('DATA - P&amp;L'!$R$4*Y339)</f>
        <v>0</v>
      </c>
      <c r="Z422" s="276">
        <f>(Z338*'DATA - P&amp;L'!$R$3)+('DATA - P&amp;L'!$R$4*Z339)</f>
        <v>360</v>
      </c>
      <c r="AA422" s="276">
        <f>(AA338*'DATA - P&amp;L'!$R$3)+('DATA - P&amp;L'!$R$4*AA339)</f>
        <v>0</v>
      </c>
      <c r="AB422" s="276">
        <f>(AB338*'DATA - P&amp;L'!$R$3)+('DATA - P&amp;L'!$R$4*AB339)</f>
        <v>40</v>
      </c>
      <c r="AC422" s="276">
        <f>(AC338*'DATA - P&amp;L'!$R$3)+('DATA - P&amp;L'!$R$4*AC339)</f>
        <v>400</v>
      </c>
      <c r="AD422" s="276">
        <f>(AD338*'DATA - P&amp;L'!$R$3)+('DATA - P&amp;L'!$R$4*AD339)</f>
        <v>0</v>
      </c>
      <c r="AE422" s="276">
        <f>(AE338*'DATA - P&amp;L'!$R$3)+('DATA - P&amp;L'!$R$4*AE339)</f>
        <v>0</v>
      </c>
      <c r="AF422" s="276">
        <f>(AF338*'DATA - P&amp;L'!$R$3)+('DATA - P&amp;L'!$R$4*AF339)</f>
        <v>200</v>
      </c>
      <c r="AG422" s="167">
        <f t="shared" si="123"/>
        <v>1290</v>
      </c>
    </row>
    <row r="423" outlineLevel="1">
      <c r="A423" s="375" t="s">
        <v>801</v>
      </c>
      <c r="B423" s="670">
        <f t="shared" ref="B423:AF423" si="128">sum(B424:B436)</f>
        <v>0</v>
      </c>
      <c r="C423" s="670">
        <f t="shared" si="128"/>
        <v>0</v>
      </c>
      <c r="D423" s="670">
        <f t="shared" si="128"/>
        <v>100.034</v>
      </c>
      <c r="E423" s="670">
        <f t="shared" si="128"/>
        <v>100.034</v>
      </c>
      <c r="F423" s="670">
        <f t="shared" si="128"/>
        <v>130.021</v>
      </c>
      <c r="G423" s="670">
        <f t="shared" si="128"/>
        <v>0</v>
      </c>
      <c r="H423" s="670">
        <f t="shared" si="128"/>
        <v>0</v>
      </c>
      <c r="I423" s="670">
        <f t="shared" si="128"/>
        <v>0</v>
      </c>
      <c r="J423" s="670">
        <f t="shared" si="128"/>
        <v>0</v>
      </c>
      <c r="K423" s="670">
        <f t="shared" si="128"/>
        <v>0</v>
      </c>
      <c r="L423" s="670">
        <f t="shared" si="128"/>
        <v>0</v>
      </c>
      <c r="M423" s="670">
        <f t="shared" si="128"/>
        <v>0</v>
      </c>
      <c r="N423" s="670">
        <f t="shared" si="128"/>
        <v>0</v>
      </c>
      <c r="O423" s="670">
        <f t="shared" si="128"/>
        <v>0</v>
      </c>
      <c r="P423" s="670">
        <f t="shared" si="128"/>
        <v>0</v>
      </c>
      <c r="Q423" s="670">
        <f t="shared" si="128"/>
        <v>0</v>
      </c>
      <c r="R423" s="670">
        <f t="shared" si="128"/>
        <v>0</v>
      </c>
      <c r="S423" s="670">
        <f t="shared" si="128"/>
        <v>0</v>
      </c>
      <c r="T423" s="670">
        <f t="shared" si="128"/>
        <v>618.924</v>
      </c>
      <c r="U423" s="670">
        <f t="shared" si="128"/>
        <v>200.068</v>
      </c>
      <c r="V423" s="670">
        <f t="shared" si="128"/>
        <v>100.034</v>
      </c>
      <c r="W423" s="670">
        <f t="shared" si="128"/>
        <v>0</v>
      </c>
      <c r="X423" s="670">
        <f t="shared" si="128"/>
        <v>0</v>
      </c>
      <c r="Y423" s="670">
        <f t="shared" si="128"/>
        <v>0</v>
      </c>
      <c r="Z423" s="670">
        <f t="shared" si="128"/>
        <v>2485.4715</v>
      </c>
      <c r="AA423" s="670">
        <f t="shared" si="128"/>
        <v>0</v>
      </c>
      <c r="AB423" s="670">
        <f t="shared" si="128"/>
        <v>11.794</v>
      </c>
      <c r="AC423" s="670">
        <f t="shared" si="128"/>
        <v>893.828</v>
      </c>
      <c r="AD423" s="670">
        <f t="shared" si="128"/>
        <v>0</v>
      </c>
      <c r="AE423" s="670">
        <f t="shared" si="128"/>
        <v>0</v>
      </c>
      <c r="AF423" s="670">
        <f t="shared" si="128"/>
        <v>0</v>
      </c>
      <c r="AG423" s="167">
        <f t="shared" si="123"/>
        <v>4640.2085</v>
      </c>
    </row>
    <row r="424" outlineLevel="1">
      <c r="A424" s="284" t="s">
        <v>802</v>
      </c>
      <c r="B424" s="276">
        <f>B313*'DATA - P&amp;L'!$C$3</f>
        <v>0</v>
      </c>
      <c r="C424" s="276">
        <f>C313*'DATA - P&amp;L'!$C$3</f>
        <v>0</v>
      </c>
      <c r="D424" s="276">
        <f>D313*'DATA - P&amp;L'!$C$3</f>
        <v>86.9</v>
      </c>
      <c r="E424" s="276">
        <f>E313*'DATA - P&amp;L'!$C$3</f>
        <v>86.9</v>
      </c>
      <c r="F424" s="276">
        <f>F313*'DATA - P&amp;L'!$C$3</f>
        <v>0</v>
      </c>
      <c r="G424" s="276">
        <f>G313*'DATA - P&amp;L'!$C$3</f>
        <v>0</v>
      </c>
      <c r="H424" s="276">
        <f>H313*'DATA - P&amp;L'!$C$3</f>
        <v>0</v>
      </c>
      <c r="I424" s="276">
        <f>I313*'DATA - P&amp;L'!$C$3</f>
        <v>0</v>
      </c>
      <c r="J424" s="276">
        <f>J313*'DATA - P&amp;L'!$C$3</f>
        <v>0</v>
      </c>
      <c r="K424" s="276">
        <f>K313*'DATA - P&amp;L'!$C$3</f>
        <v>0</v>
      </c>
      <c r="L424" s="276">
        <f>L313*'DATA - P&amp;L'!$C$3</f>
        <v>0</v>
      </c>
      <c r="M424" s="276">
        <f>M313*'DATA - P&amp;L'!$C$3</f>
        <v>0</v>
      </c>
      <c r="N424" s="276">
        <f>N313*'DATA - P&amp;L'!$C$3</f>
        <v>0</v>
      </c>
      <c r="O424" s="276">
        <f>O313*'DATA - P&amp;L'!$C$3</f>
        <v>0</v>
      </c>
      <c r="P424" s="276">
        <f>P313*'DATA - P&amp;L'!$C$3</f>
        <v>0</v>
      </c>
      <c r="Q424" s="276">
        <f>Q313*'DATA - P&amp;L'!$C$3</f>
        <v>0</v>
      </c>
      <c r="R424" s="276">
        <f>R313*'DATA - P&amp;L'!$C$3</f>
        <v>0</v>
      </c>
      <c r="S424" s="276">
        <f>S313*'DATA - P&amp;L'!$C$3</f>
        <v>0</v>
      </c>
      <c r="T424" s="276">
        <f>T313*'DATA - P&amp;L'!$C$3</f>
        <v>521.4</v>
      </c>
      <c r="U424" s="276">
        <f>U313*'DATA - P&amp;L'!$C$3</f>
        <v>173.8</v>
      </c>
      <c r="V424" s="276">
        <f>V313*'DATA - P&amp;L'!$C$3</f>
        <v>86.9</v>
      </c>
      <c r="W424" s="276">
        <f>W313*'DATA - P&amp;L'!$C$3</f>
        <v>0</v>
      </c>
      <c r="X424" s="276">
        <f>X313*'DATA - P&amp;L'!$C$3</f>
        <v>0</v>
      </c>
      <c r="Y424" s="276">
        <f>Y313*'DATA - P&amp;L'!$C$3</f>
        <v>0</v>
      </c>
      <c r="Z424" s="276">
        <f>Z313*'DATA - P&amp;L'!$C$3</f>
        <v>608.3</v>
      </c>
      <c r="AA424" s="276">
        <f>AA313*'DATA - P&amp;L'!$C$3</f>
        <v>0</v>
      </c>
      <c r="AB424" s="276">
        <f>AB313*'DATA - P&amp;L'!$C$3</f>
        <v>0</v>
      </c>
      <c r="AC424" s="276">
        <f>AC313*'DATA - P&amp;L'!$C$3</f>
        <v>521.4</v>
      </c>
      <c r="AD424" s="276">
        <f>AD313*'DATA - P&amp;L'!$C$3</f>
        <v>0</v>
      </c>
      <c r="AE424" s="276">
        <f>AE313*'DATA - P&amp;L'!$C$3</f>
        <v>0</v>
      </c>
      <c r="AF424" s="276">
        <f>AF313*'DATA - P&amp;L'!$C$3</f>
        <v>0</v>
      </c>
      <c r="AG424" s="167">
        <f t="shared" si="123"/>
        <v>2085.6</v>
      </c>
    </row>
    <row r="425" outlineLevel="1">
      <c r="A425" s="284" t="s">
        <v>803</v>
      </c>
      <c r="B425" s="276">
        <f>B314*'DATA - P&amp;L'!$C$4</f>
        <v>0</v>
      </c>
      <c r="C425" s="276">
        <f>C314*'DATA - P&amp;L'!$C$4</f>
        <v>0</v>
      </c>
      <c r="D425" s="276">
        <f>D314*'DATA - P&amp;L'!$C$4</f>
        <v>0</v>
      </c>
      <c r="E425" s="276">
        <f>E314*'DATA - P&amp;L'!$C$4</f>
        <v>0</v>
      </c>
      <c r="F425" s="276">
        <f>F314*'DATA - P&amp;L'!$C$4</f>
        <v>97.61</v>
      </c>
      <c r="G425" s="276">
        <f>G314*'DATA - P&amp;L'!$C$4</f>
        <v>0</v>
      </c>
      <c r="H425" s="276">
        <f>H314*'DATA - P&amp;L'!$C$4</f>
        <v>0</v>
      </c>
      <c r="I425" s="276">
        <f>I314*'DATA - P&amp;L'!$C$4</f>
        <v>0</v>
      </c>
      <c r="J425" s="276">
        <f>J314*'DATA - P&amp;L'!$C$4</f>
        <v>0</v>
      </c>
      <c r="K425" s="276">
        <f>K314*'DATA - P&amp;L'!$C$4</f>
        <v>0</v>
      </c>
      <c r="L425" s="276">
        <f>L314*'DATA - P&amp;L'!$C$4</f>
        <v>0</v>
      </c>
      <c r="M425" s="276">
        <f>M314*'DATA - P&amp;L'!$C$4</f>
        <v>0</v>
      </c>
      <c r="N425" s="276">
        <f>N314*'DATA - P&amp;L'!$C$4</f>
        <v>0</v>
      </c>
      <c r="O425" s="276">
        <f>O314*'DATA - P&amp;L'!$C$4</f>
        <v>0</v>
      </c>
      <c r="P425" s="276">
        <f>P314*'DATA - P&amp;L'!$C$4</f>
        <v>0</v>
      </c>
      <c r="Q425" s="276">
        <f>Q314*'DATA - P&amp;L'!$C$4</f>
        <v>0</v>
      </c>
      <c r="R425" s="276">
        <f>R314*'DATA - P&amp;L'!$C$4</f>
        <v>0</v>
      </c>
      <c r="S425" s="276">
        <f>S314*'DATA - P&amp;L'!$C$4</f>
        <v>0</v>
      </c>
      <c r="T425" s="276">
        <f>T314*'DATA - P&amp;L'!$C$4</f>
        <v>0</v>
      </c>
      <c r="U425" s="276">
        <f>U314*'DATA - P&amp;L'!$C$4</f>
        <v>0</v>
      </c>
      <c r="V425" s="276">
        <f>V314*'DATA - P&amp;L'!$C$4</f>
        <v>0</v>
      </c>
      <c r="W425" s="276">
        <f>W314*'DATA - P&amp;L'!$C$4</f>
        <v>0</v>
      </c>
      <c r="X425" s="276">
        <f>X314*'DATA - P&amp;L'!$C$4</f>
        <v>0</v>
      </c>
      <c r="Y425" s="276">
        <f>Y314*'DATA - P&amp;L'!$C$4</f>
        <v>0</v>
      </c>
      <c r="Z425" s="276">
        <f>Z314*'DATA - P&amp;L'!$C$4</f>
        <v>1464.15</v>
      </c>
      <c r="AA425" s="276">
        <f>AA314*'DATA - P&amp;L'!$C$4</f>
        <v>0</v>
      </c>
      <c r="AB425" s="276">
        <f>AB314*'DATA - P&amp;L'!$C$4</f>
        <v>0</v>
      </c>
      <c r="AC425" s="276">
        <f>AC314*'DATA - P&amp;L'!$C$4</f>
        <v>195.22</v>
      </c>
      <c r="AD425" s="276">
        <f>AD314*'DATA - P&amp;L'!$C$4</f>
        <v>0</v>
      </c>
      <c r="AE425" s="276">
        <f>AE314*'DATA - P&amp;L'!$C$4</f>
        <v>0</v>
      </c>
      <c r="AF425" s="276">
        <f>AF314*'DATA - P&amp;L'!$C$4</f>
        <v>0</v>
      </c>
      <c r="AG425" s="167">
        <f t="shared" si="123"/>
        <v>1756.98</v>
      </c>
    </row>
    <row r="426" outlineLevel="1">
      <c r="A426" s="284" t="s">
        <v>805</v>
      </c>
      <c r="B426" s="276">
        <f>(B317+B328)*'DATA - P&amp;L'!$C$6</f>
        <v>0</v>
      </c>
      <c r="C426" s="276">
        <f>(C317+C328)*'DATA - P&amp;L'!$C$6</f>
        <v>0</v>
      </c>
      <c r="D426" s="276">
        <f>(D317+D328)*'DATA - P&amp;L'!$C$6</f>
        <v>0</v>
      </c>
      <c r="E426" s="276">
        <f>(E317+E328)*'DATA - P&amp;L'!$C$6</f>
        <v>0</v>
      </c>
      <c r="F426" s="276">
        <f>(F317+F328)*'DATA - P&amp;L'!$C$6</f>
        <v>5.49</v>
      </c>
      <c r="G426" s="276">
        <f>(G317+G328)*'DATA - P&amp;L'!$C$6</f>
        <v>0</v>
      </c>
      <c r="H426" s="276">
        <f>(H317+H328)*'DATA - P&amp;L'!$C$6</f>
        <v>0</v>
      </c>
      <c r="I426" s="276">
        <f>(I317+I328)*'DATA - P&amp;L'!$C$6</f>
        <v>0</v>
      </c>
      <c r="J426" s="276">
        <f>(J317+J328)*'DATA - P&amp;L'!$C$6</f>
        <v>0</v>
      </c>
      <c r="K426" s="276">
        <f>(K317+K328)*'DATA - P&amp;L'!$C$6</f>
        <v>0</v>
      </c>
      <c r="L426" s="276">
        <f>(L317+L328)*'DATA - P&amp;L'!$C$6</f>
        <v>0</v>
      </c>
      <c r="M426" s="276">
        <f>(M317+M328)*'DATA - P&amp;L'!$C$6</f>
        <v>0</v>
      </c>
      <c r="N426" s="276">
        <f>(N317+N328)*'DATA - P&amp;L'!$C$6</f>
        <v>0</v>
      </c>
      <c r="O426" s="276">
        <f>(O317+O328)*'DATA - P&amp;L'!$C$6</f>
        <v>0</v>
      </c>
      <c r="P426" s="276">
        <f>(P317+P328)*'DATA - P&amp;L'!$C$6</f>
        <v>0</v>
      </c>
      <c r="Q426" s="276">
        <f>(Q317+Q328)*'DATA - P&amp;L'!$C$6</f>
        <v>0</v>
      </c>
      <c r="R426" s="276">
        <f>(R317+R328)*'DATA - P&amp;L'!$C$6</f>
        <v>0</v>
      </c>
      <c r="S426" s="276">
        <f>(S317+S328)*'DATA - P&amp;L'!$C$6</f>
        <v>0</v>
      </c>
      <c r="T426" s="276">
        <f>(T317+T328)*'DATA - P&amp;L'!$C$6</f>
        <v>0</v>
      </c>
      <c r="U426" s="276">
        <f>(U317+U328)*'DATA - P&amp;L'!$C$6</f>
        <v>0</v>
      </c>
      <c r="V426" s="276">
        <f>(V317+V328)*'DATA - P&amp;L'!$C$6</f>
        <v>0</v>
      </c>
      <c r="W426" s="276">
        <f>(W317+W328)*'DATA - P&amp;L'!$C$6</f>
        <v>0</v>
      </c>
      <c r="X426" s="276">
        <f>(X317+X328)*'DATA - P&amp;L'!$C$6</f>
        <v>0</v>
      </c>
      <c r="Y426" s="276">
        <f>(Y317+Y328)*'DATA - P&amp;L'!$C$6</f>
        <v>0</v>
      </c>
      <c r="Z426" s="276">
        <f>(Z317+Z328)*'DATA - P&amp;L'!$C$6</f>
        <v>21.96</v>
      </c>
      <c r="AA426" s="276">
        <f>(AA317+AA328)*'DATA - P&amp;L'!$C$6</f>
        <v>0</v>
      </c>
      <c r="AB426" s="276">
        <f>(AB317+AB328)*'DATA - P&amp;L'!$C$6</f>
        <v>5.49</v>
      </c>
      <c r="AC426" s="276">
        <f>(AC317+AC328)*'DATA - P&amp;L'!$C$6</f>
        <v>21.96</v>
      </c>
      <c r="AD426" s="276">
        <f>(AD317+AD328)*'DATA - P&amp;L'!$C$6</f>
        <v>0</v>
      </c>
      <c r="AE426" s="276">
        <f>(AE317+AE328)*'DATA - P&amp;L'!$C$6</f>
        <v>0</v>
      </c>
      <c r="AF426" s="276">
        <f>(AF317+AF328)*'DATA - P&amp;L'!$C$6</f>
        <v>0</v>
      </c>
      <c r="AG426" s="167">
        <f t="shared" si="123"/>
        <v>54.9</v>
      </c>
    </row>
    <row r="427" outlineLevel="1">
      <c r="A427" s="284" t="s">
        <v>810</v>
      </c>
      <c r="B427" s="276">
        <f>(B318+B329)*'DATA - P&amp;L'!$C$8</f>
        <v>0</v>
      </c>
      <c r="C427" s="276">
        <f>(C318+C329)*'DATA - P&amp;L'!$C$8</f>
        <v>0</v>
      </c>
      <c r="D427" s="276">
        <f>(D318+D329)*'DATA - P&amp;L'!$C$8</f>
        <v>0</v>
      </c>
      <c r="E427" s="276">
        <f>(E318+E329)*'DATA - P&amp;L'!$C$8</f>
        <v>0</v>
      </c>
      <c r="F427" s="276">
        <f>(F318+F329)*'DATA - P&amp;L'!$C$8</f>
        <v>1.19</v>
      </c>
      <c r="G427" s="276">
        <f>(G318+G329)*'DATA - P&amp;L'!$C$8</f>
        <v>0</v>
      </c>
      <c r="H427" s="276">
        <f>(H318+H329)*'DATA - P&amp;L'!$C$8</f>
        <v>0</v>
      </c>
      <c r="I427" s="276">
        <f>(I318+I329)*'DATA - P&amp;L'!$C$8</f>
        <v>0</v>
      </c>
      <c r="J427" s="276">
        <f>(J318+J329)*'DATA - P&amp;L'!$C$8</f>
        <v>0</v>
      </c>
      <c r="K427" s="276">
        <f>(K318+K329)*'DATA - P&amp;L'!$C$8</f>
        <v>0</v>
      </c>
      <c r="L427" s="276">
        <f>(L318+L329)*'DATA - P&amp;L'!$C$8</f>
        <v>0</v>
      </c>
      <c r="M427" s="276">
        <f>(M318+M329)*'DATA - P&amp;L'!$C$8</f>
        <v>0</v>
      </c>
      <c r="N427" s="276">
        <f>(N318+N329)*'DATA - P&amp;L'!$C$8</f>
        <v>0</v>
      </c>
      <c r="O427" s="276">
        <f>(O318+O329)*'DATA - P&amp;L'!$C$8</f>
        <v>0</v>
      </c>
      <c r="P427" s="276">
        <f>(P318+P329)*'DATA - P&amp;L'!$C$8</f>
        <v>0</v>
      </c>
      <c r="Q427" s="276">
        <f>(Q318+Q329)*'DATA - P&amp;L'!$C$8</f>
        <v>0</v>
      </c>
      <c r="R427" s="276">
        <f>(R318+R329)*'DATA - P&amp;L'!$C$8</f>
        <v>0</v>
      </c>
      <c r="S427" s="276">
        <f>(S318+S329)*'DATA - P&amp;L'!$C$8</f>
        <v>0</v>
      </c>
      <c r="T427" s="276">
        <f>(T318+T329)*'DATA - P&amp;L'!$C$8</f>
        <v>0</v>
      </c>
      <c r="U427" s="276">
        <f>(U318+U329)*'DATA - P&amp;L'!$C$8</f>
        <v>0</v>
      </c>
      <c r="V427" s="276">
        <f>(V318+V329)*'DATA - P&amp;L'!$C$8</f>
        <v>0</v>
      </c>
      <c r="W427" s="276">
        <f>(W318+W329)*'DATA - P&amp;L'!$C$8</f>
        <v>0</v>
      </c>
      <c r="X427" s="276">
        <f>(X318+X329)*'DATA - P&amp;L'!$C$8</f>
        <v>0</v>
      </c>
      <c r="Y427" s="276">
        <f>(Y318+Y329)*'DATA - P&amp;L'!$C$8</f>
        <v>0</v>
      </c>
      <c r="Z427" s="276">
        <f>(Z318+Z329)*'DATA - P&amp;L'!$C$8</f>
        <v>5.95</v>
      </c>
      <c r="AA427" s="276">
        <f>(AA318+AA329)*'DATA - P&amp;L'!$C$8</f>
        <v>0</v>
      </c>
      <c r="AB427" s="276">
        <f>(AB318+AB329)*'DATA - P&amp;L'!$C$8</f>
        <v>0</v>
      </c>
      <c r="AC427" s="276">
        <f>(AC318+AC329)*'DATA - P&amp;L'!$C$8</f>
        <v>0</v>
      </c>
      <c r="AD427" s="276">
        <f>(AD318+AD329)*'DATA - P&amp;L'!$C$8</f>
        <v>0</v>
      </c>
      <c r="AE427" s="276">
        <f>(AE318+AE329)*'DATA - P&amp;L'!$C$8</f>
        <v>0</v>
      </c>
      <c r="AF427" s="276">
        <f>(AF318+AF329)*'DATA - P&amp;L'!$C$8</f>
        <v>0</v>
      </c>
      <c r="AG427" s="167">
        <f t="shared" si="123"/>
        <v>7.14</v>
      </c>
    </row>
    <row r="428" outlineLevel="1">
      <c r="A428" s="284" t="s">
        <v>815</v>
      </c>
      <c r="B428" s="276">
        <f>(B319+B320+B330+B331)*'DATA - P&amp;L'!$C$9</f>
        <v>0</v>
      </c>
      <c r="C428" s="276">
        <f>(C319+C320+C330+C331)*'DATA - P&amp;L'!$C$9</f>
        <v>0</v>
      </c>
      <c r="D428" s="276">
        <f>(D319+D320+D330+D331)*'DATA - P&amp;L'!$C$9</f>
        <v>0</v>
      </c>
      <c r="E428" s="276">
        <f>(E319+E320+E330+E331)*'DATA - P&amp;L'!$C$9</f>
        <v>0</v>
      </c>
      <c r="F428" s="276">
        <f>(F319+F320+F330+F331)*'DATA - P&amp;L'!$C$9</f>
        <v>0</v>
      </c>
      <c r="G428" s="276">
        <f>(G319+G320+G330+G331)*'DATA - P&amp;L'!$C$9</f>
        <v>0</v>
      </c>
      <c r="H428" s="276">
        <f>(H319+H320+H330+H331)*'DATA - P&amp;L'!$C$9</f>
        <v>0</v>
      </c>
      <c r="I428" s="276">
        <f>(I319+I320+I330+I331)*'DATA - P&amp;L'!$C$9</f>
        <v>0</v>
      </c>
      <c r="J428" s="276">
        <f>(J319+J320+J330+J331)*'DATA - P&amp;L'!$C$9</f>
        <v>0</v>
      </c>
      <c r="K428" s="276">
        <f>(K319+K320+K330+K331)*'DATA - P&amp;L'!$C$9</f>
        <v>0</v>
      </c>
      <c r="L428" s="276">
        <f>(L319+L320+L330+L331)*'DATA - P&amp;L'!$C$9</f>
        <v>0</v>
      </c>
      <c r="M428" s="276">
        <f>(M319+M320+M330+M331)*'DATA - P&amp;L'!$C$9</f>
        <v>0</v>
      </c>
      <c r="N428" s="276">
        <f>(N319+N320+N330+N331)*'DATA - P&amp;L'!$C$9</f>
        <v>0</v>
      </c>
      <c r="O428" s="276">
        <f>(O319+O320+O330+O331)*'DATA - P&amp;L'!$C$9</f>
        <v>0</v>
      </c>
      <c r="P428" s="276">
        <f>(P319+P320+P330+P331)*'DATA - P&amp;L'!$C$9</f>
        <v>0</v>
      </c>
      <c r="Q428" s="276">
        <f>(Q319+Q320+Q330+Q331)*'DATA - P&amp;L'!$C$9</f>
        <v>0</v>
      </c>
      <c r="R428" s="276">
        <f>(R319+R320+R330+R331)*'DATA - P&amp;L'!$C$9</f>
        <v>0</v>
      </c>
      <c r="S428" s="276">
        <f>(S319+S320+S330+S331)*'DATA - P&amp;L'!$C$9</f>
        <v>0</v>
      </c>
      <c r="T428" s="276">
        <f>(T319+T320+T330+T331)*'DATA - P&amp;L'!$C$9</f>
        <v>0</v>
      </c>
      <c r="U428" s="276">
        <f>(U319+U320+U330+U331)*'DATA - P&amp;L'!$C$9</f>
        <v>0</v>
      </c>
      <c r="V428" s="276">
        <f>(V319+V320+V330+V331)*'DATA - P&amp;L'!$C$9</f>
        <v>0</v>
      </c>
      <c r="W428" s="276">
        <f>(W319+W320+W330+W331)*'DATA - P&amp;L'!$C$9</f>
        <v>0</v>
      </c>
      <c r="X428" s="276">
        <f>(X319+X320+X330+X331)*'DATA - P&amp;L'!$C$9</f>
        <v>0</v>
      </c>
      <c r="Y428" s="276">
        <f>(Y319+Y320+Y330+Y331)*'DATA - P&amp;L'!$C$9</f>
        <v>0</v>
      </c>
      <c r="Z428" s="276">
        <f>(Z319+Z320+Z330+Z331)*'DATA - P&amp;L'!$C$9</f>
        <v>0</v>
      </c>
      <c r="AA428" s="276">
        <f>(AA319+AA320+AA330+AA331)*'DATA - P&amp;L'!$C$9</f>
        <v>0</v>
      </c>
      <c r="AB428" s="276">
        <f>(AB319+AB320+AB330+AB331)*'DATA - P&amp;L'!$C$9</f>
        <v>0</v>
      </c>
      <c r="AC428" s="276">
        <f>(AC319+AC320+AC330+AC331)*'DATA - P&amp;L'!$C$9</f>
        <v>0</v>
      </c>
      <c r="AD428" s="276">
        <f>(AD319+AD320+AD330+AD331)*'DATA - P&amp;L'!$C$9</f>
        <v>0</v>
      </c>
      <c r="AE428" s="276">
        <f>(AE319+AE320+AE330+AE331)*'DATA - P&amp;L'!$C$9</f>
        <v>0</v>
      </c>
      <c r="AF428" s="276">
        <f>(AF319+AF320+AF330+AF331)*'DATA - P&amp;L'!$C$9</f>
        <v>0</v>
      </c>
      <c r="AG428" s="167">
        <f t="shared" si="123"/>
        <v>0</v>
      </c>
    </row>
    <row r="429" outlineLevel="1">
      <c r="A429" s="284" t="s">
        <v>818</v>
      </c>
      <c r="B429" s="276">
        <f>(B321+B322+B332+B333)*'DATA - P&amp;L'!$C$5</f>
        <v>0</v>
      </c>
      <c r="C429" s="276">
        <f>(C321+C322+C332+C333)*'DATA - P&amp;L'!$C$5</f>
        <v>0</v>
      </c>
      <c r="D429" s="276">
        <f>(D321+D322+D332+D333)*'DATA - P&amp;L'!$C$5</f>
        <v>0</v>
      </c>
      <c r="E429" s="276">
        <f>(E321+E322+E332+E333)*'DATA - P&amp;L'!$C$5</f>
        <v>0</v>
      </c>
      <c r="F429" s="276">
        <f>(F321+F322+F332+F333)*'DATA - P&amp;L'!$C$5</f>
        <v>0</v>
      </c>
      <c r="G429" s="276">
        <f>(G321+G322+G332+G333)*'DATA - P&amp;L'!$C$5</f>
        <v>0</v>
      </c>
      <c r="H429" s="276">
        <f>(H321+H322+H332+H333)*'DATA - P&amp;L'!$C$5</f>
        <v>0</v>
      </c>
      <c r="I429" s="276">
        <f>(I321+I322+I332+I333)*'DATA - P&amp;L'!$C$5</f>
        <v>0</v>
      </c>
      <c r="J429" s="276">
        <f>(J321+J322+J332+J333)*'DATA - P&amp;L'!$C$5</f>
        <v>0</v>
      </c>
      <c r="K429" s="276">
        <f>(K321+K322+K332+K333)*'DATA - P&amp;L'!$C$5</f>
        <v>0</v>
      </c>
      <c r="L429" s="276">
        <f>(L321+L322+L332+L333)*'DATA - P&amp;L'!$C$5</f>
        <v>0</v>
      </c>
      <c r="M429" s="276">
        <f>(M321+M322+M332+M333)*'DATA - P&amp;L'!$C$5</f>
        <v>0</v>
      </c>
      <c r="N429" s="276">
        <f>(N321+N322+N332+N333)*'DATA - P&amp;L'!$C$5</f>
        <v>0</v>
      </c>
      <c r="O429" s="276">
        <f>(O321+O322+O332+O333)*'DATA - P&amp;L'!$C$5</f>
        <v>0</v>
      </c>
      <c r="P429" s="276">
        <f>(P321+P322+P332+P333)*'DATA - P&amp;L'!$C$5</f>
        <v>0</v>
      </c>
      <c r="Q429" s="276">
        <f>(Q321+Q322+Q332+Q333)*'DATA - P&amp;L'!$C$5</f>
        <v>0</v>
      </c>
      <c r="R429" s="276">
        <f>(R321+R322+R332+R333)*'DATA - P&amp;L'!$C$5</f>
        <v>0</v>
      </c>
      <c r="S429" s="276">
        <f>(S321+S322+S332+S333)*'DATA - P&amp;L'!$C$5</f>
        <v>0</v>
      </c>
      <c r="T429" s="276">
        <f>(T321+T322+T332+T333)*'DATA - P&amp;L'!$C$5</f>
        <v>0</v>
      </c>
      <c r="U429" s="276">
        <f>(U321+U322+U332+U333)*'DATA - P&amp;L'!$C$5</f>
        <v>0</v>
      </c>
      <c r="V429" s="276">
        <f>(V321+V322+V332+V333)*'DATA - P&amp;L'!$C$5</f>
        <v>0</v>
      </c>
      <c r="W429" s="276">
        <f>(W321+W322+W332+W333)*'DATA - P&amp;L'!$C$5</f>
        <v>0</v>
      </c>
      <c r="X429" s="276">
        <f>(X321+X322+X332+X333)*'DATA - P&amp;L'!$C$5</f>
        <v>0</v>
      </c>
      <c r="Y429" s="276">
        <f>(Y321+Y322+Y332+Y333)*'DATA - P&amp;L'!$C$5</f>
        <v>0</v>
      </c>
      <c r="Z429" s="276">
        <f>(Z321+Z322+Z332+Z333)*'DATA - P&amp;L'!$C$5</f>
        <v>26.88</v>
      </c>
      <c r="AA429" s="276">
        <f>(AA321+AA322+AA332+AA333)*'DATA - P&amp;L'!$C$5</f>
        <v>0</v>
      </c>
      <c r="AB429" s="276">
        <f>(AB321+AB322+AB332+AB333)*'DATA - P&amp;L'!$C$5</f>
        <v>0</v>
      </c>
      <c r="AC429" s="276">
        <f>(AC321+AC322+AC332+AC333)*'DATA - P&amp;L'!$C$5</f>
        <v>0</v>
      </c>
      <c r="AD429" s="276">
        <f>(AD321+AD322+AD332+AD333)*'DATA - P&amp;L'!$C$5</f>
        <v>0</v>
      </c>
      <c r="AE429" s="276">
        <f>(AE321+AE322+AE332+AE333)*'DATA - P&amp;L'!$C$5</f>
        <v>0</v>
      </c>
      <c r="AF429" s="276">
        <f>(AF321+AF322+AF332+AF333)*'DATA - P&amp;L'!$C$5</f>
        <v>0</v>
      </c>
      <c r="AG429" s="167">
        <f t="shared" si="123"/>
        <v>26.88</v>
      </c>
    </row>
    <row r="430" outlineLevel="1">
      <c r="A430" s="284" t="s">
        <v>821</v>
      </c>
      <c r="B430" s="276">
        <f>(B323+B324+B334+B335)*'DATA - P&amp;L'!$C$10</f>
        <v>0</v>
      </c>
      <c r="C430" s="276">
        <f>(C323+C324+C334+C335)*'DATA - P&amp;L'!$C$10</f>
        <v>0</v>
      </c>
      <c r="D430" s="276">
        <f>(D323+D324+D334+D335)*'DATA - P&amp;L'!$C$10</f>
        <v>0</v>
      </c>
      <c r="E430" s="276">
        <f>(E323+E324+E334+E335)*'DATA - P&amp;L'!$C$10</f>
        <v>0</v>
      </c>
      <c r="F430" s="276">
        <f>(F323+F324+F334+F335)*'DATA - P&amp;L'!$C$10</f>
        <v>0</v>
      </c>
      <c r="G430" s="276">
        <f>(G323+G324+G334+G335)*'DATA - P&amp;L'!$C$10</f>
        <v>0</v>
      </c>
      <c r="H430" s="276">
        <f>(H323+H324+H334+H335)*'DATA - P&amp;L'!$C$10</f>
        <v>0</v>
      </c>
      <c r="I430" s="276">
        <f>(I323+I324+I334+I335)*'DATA - P&amp;L'!$C$10</f>
        <v>0</v>
      </c>
      <c r="J430" s="276">
        <f>(J323+J324+J334+J335)*'DATA - P&amp;L'!$C$10</f>
        <v>0</v>
      </c>
      <c r="K430" s="276">
        <f>(K323+K324+K334+K335)*'DATA - P&amp;L'!$C$10</f>
        <v>0</v>
      </c>
      <c r="L430" s="276">
        <f>(L323+L324+L334+L335)*'DATA - P&amp;L'!$C$10</f>
        <v>0</v>
      </c>
      <c r="M430" s="276">
        <f>(M323+M324+M334+M335)*'DATA - P&amp;L'!$C$10</f>
        <v>0</v>
      </c>
      <c r="N430" s="276">
        <f>(N323+N324+N334+N335)*'DATA - P&amp;L'!$C$10</f>
        <v>0</v>
      </c>
      <c r="O430" s="276">
        <f>(O323+O324+O334+O335)*'DATA - P&amp;L'!$C$10</f>
        <v>0</v>
      </c>
      <c r="P430" s="276">
        <f>(P323+P324+P334+P335)*'DATA - P&amp;L'!$C$10</f>
        <v>0</v>
      </c>
      <c r="Q430" s="276">
        <f>(Q323+Q324+Q334+Q335)*'DATA - P&amp;L'!$C$10</f>
        <v>0</v>
      </c>
      <c r="R430" s="276">
        <f>(R323+R324+R334+R335)*'DATA - P&amp;L'!$C$10</f>
        <v>0</v>
      </c>
      <c r="S430" s="276">
        <f>(S323+S324+S334+S335)*'DATA - P&amp;L'!$C$10</f>
        <v>0</v>
      </c>
      <c r="T430" s="276">
        <f>(T323+T324+T334+T335)*'DATA - P&amp;L'!$C$10</f>
        <v>0</v>
      </c>
      <c r="U430" s="276">
        <f>(U323+U324+U334+U335)*'DATA - P&amp;L'!$C$10</f>
        <v>0</v>
      </c>
      <c r="V430" s="276">
        <f>(V323+V324+V334+V335)*'DATA - P&amp;L'!$C$10</f>
        <v>0</v>
      </c>
      <c r="W430" s="276">
        <f>(W323+W324+W334+W335)*'DATA - P&amp;L'!$C$10</f>
        <v>0</v>
      </c>
      <c r="X430" s="276">
        <f>(X323+X324+X334+X335)*'DATA - P&amp;L'!$C$10</f>
        <v>0</v>
      </c>
      <c r="Y430" s="276">
        <f>(Y323+Y324+Y334+Y335)*'DATA - P&amp;L'!$C$10</f>
        <v>0</v>
      </c>
      <c r="Z430" s="276">
        <f>(Z323+Z324+Z334+Z335)*'DATA - P&amp;L'!$C$10</f>
        <v>0</v>
      </c>
      <c r="AA430" s="276">
        <f>(AA323+AA324+AA334+AA335)*'DATA - P&amp;L'!$C$10</f>
        <v>0</v>
      </c>
      <c r="AB430" s="276">
        <f>(AB323+AB324+AB334+AB335)*'DATA - P&amp;L'!$C$10</f>
        <v>0</v>
      </c>
      <c r="AC430" s="276">
        <f>(AC323+AC324+AC334+AC335)*'DATA - P&amp;L'!$C$10</f>
        <v>0</v>
      </c>
      <c r="AD430" s="276">
        <f>(AD323+AD324+AD334+AD335)*'DATA - P&amp;L'!$C$10</f>
        <v>0</v>
      </c>
      <c r="AE430" s="276">
        <f>(AE323+AE324+AE334+AE335)*'DATA - P&amp;L'!$C$10</f>
        <v>0</v>
      </c>
      <c r="AF430" s="276">
        <f>(AF323+AF324+AF334+AF335)*'DATA - P&amp;L'!$C$10</f>
        <v>0</v>
      </c>
      <c r="AG430" s="167">
        <f t="shared" si="123"/>
        <v>0</v>
      </c>
    </row>
    <row r="431" outlineLevel="1">
      <c r="A431" s="284" t="s">
        <v>822</v>
      </c>
      <c r="B431" s="276">
        <f>(B301+B302+B310+B311)*'DATA - P&amp;L'!$C$13</f>
        <v>0</v>
      </c>
      <c r="C431" s="276">
        <f>(C301+C302+C310+C311)*'DATA - P&amp;L'!$C$13</f>
        <v>0</v>
      </c>
      <c r="D431" s="276">
        <f>(D301+D302+D310+D311)*'DATA - P&amp;L'!$C$13</f>
        <v>0</v>
      </c>
      <c r="E431" s="276">
        <f>(E301+E302+E310+E311)*'DATA - P&amp;L'!$C$13</f>
        <v>0</v>
      </c>
      <c r="F431" s="276">
        <f>(F301+F302+F310+F311)*'DATA - P&amp;L'!$C$13</f>
        <v>0</v>
      </c>
      <c r="G431" s="276">
        <f>(G301+G302+G310+G311)*'DATA - P&amp;L'!$C$13</f>
        <v>0</v>
      </c>
      <c r="H431" s="276">
        <f>(H301+H302+H310+H311)*'DATA - P&amp;L'!$C$13</f>
        <v>0</v>
      </c>
      <c r="I431" s="276">
        <f>(I301+I302+I310+I311)*'DATA - P&amp;L'!$C$13</f>
        <v>0</v>
      </c>
      <c r="J431" s="276">
        <f>(J301+J302+J310+J311)*'DATA - P&amp;L'!$C$13</f>
        <v>0</v>
      </c>
      <c r="K431" s="276">
        <f>(K301+K302+K310+K311)*'DATA - P&amp;L'!$C$13</f>
        <v>0</v>
      </c>
      <c r="L431" s="276">
        <f>(L301+L302+L310+L311)*'DATA - P&amp;L'!$C$13</f>
        <v>0</v>
      </c>
      <c r="M431" s="276">
        <f>(M301+M302+M310+M311)*'DATA - P&amp;L'!$C$13</f>
        <v>0</v>
      </c>
      <c r="N431" s="276">
        <f>(N301+N302+N310+N311)*'DATA - P&amp;L'!$C$13</f>
        <v>0</v>
      </c>
      <c r="O431" s="276">
        <f>(O301+O302+O310+O311)*'DATA - P&amp;L'!$C$13</f>
        <v>0</v>
      </c>
      <c r="P431" s="276">
        <f>(P301+P302+P310+P311)*'DATA - P&amp;L'!$C$13</f>
        <v>0</v>
      </c>
      <c r="Q431" s="276">
        <f>(Q301+Q302+Q310+Q311)*'DATA - P&amp;L'!$C$13</f>
        <v>0</v>
      </c>
      <c r="R431" s="276">
        <f>(R301+R302+R310+R311)*'DATA - P&amp;L'!$C$13</f>
        <v>0</v>
      </c>
      <c r="S431" s="276">
        <f>(S301+S302+S310+S311)*'DATA - P&amp;L'!$C$13</f>
        <v>0</v>
      </c>
      <c r="T431" s="276">
        <f>(T301+T302+T310+T311)*'DATA - P&amp;L'!$C$13</f>
        <v>0</v>
      </c>
      <c r="U431" s="276">
        <f>(U301+U302+U310+U311)*'DATA - P&amp;L'!$C$13</f>
        <v>0</v>
      </c>
      <c r="V431" s="276">
        <f>(V301+V302+V310+V311)*'DATA - P&amp;L'!$C$13</f>
        <v>0</v>
      </c>
      <c r="W431" s="276">
        <f>(W301+W302+W310+W311)*'DATA - P&amp;L'!$C$13</f>
        <v>0</v>
      </c>
      <c r="X431" s="276">
        <f>(X301+X302+X310+X311)*'DATA - P&amp;L'!$C$13</f>
        <v>0</v>
      </c>
      <c r="Y431" s="276">
        <f>(Y301+Y302+Y310+Y311)*'DATA - P&amp;L'!$C$13</f>
        <v>0</v>
      </c>
      <c r="Z431" s="276">
        <f>(Z301+Z302+Z310+Z311)*'DATA - P&amp;L'!$C$13</f>
        <v>0</v>
      </c>
      <c r="AA431" s="276">
        <f>(AA301+AA302+AA310+AA311)*'DATA - P&amp;L'!$C$13</f>
        <v>0</v>
      </c>
      <c r="AB431" s="276">
        <f>(AB301+AB302+AB310+AB311)*'DATA - P&amp;L'!$C$13</f>
        <v>0</v>
      </c>
      <c r="AC431" s="276">
        <f>(AC301+AC302+AC310+AC311)*'DATA - P&amp;L'!$C$13</f>
        <v>0</v>
      </c>
      <c r="AD431" s="276">
        <f>(AD301+AD302+AD310+AD311)*'DATA - P&amp;L'!$C$13</f>
        <v>0</v>
      </c>
      <c r="AE431" s="276">
        <f>(AE301+AE302+AE310+AE311)*'DATA - P&amp;L'!$C$13</f>
        <v>0</v>
      </c>
      <c r="AF431" s="276">
        <f>(AF301+AF302+AF310+AF311)*'DATA - P&amp;L'!$C$13</f>
        <v>0</v>
      </c>
      <c r="AG431" s="167">
        <f t="shared" si="123"/>
        <v>0</v>
      </c>
    </row>
    <row r="432" outlineLevel="1">
      <c r="A432" s="284" t="s">
        <v>825</v>
      </c>
      <c r="B432" s="276">
        <f>(B303+B312)*'DATA - P&amp;L'!$C$14</f>
        <v>0</v>
      </c>
      <c r="C432" s="276">
        <f>(C303+C312)*'DATA - P&amp;L'!$C$14</f>
        <v>0</v>
      </c>
      <c r="D432" s="276">
        <f>(D303+D312)*'DATA - P&amp;L'!$C$14</f>
        <v>0</v>
      </c>
      <c r="E432" s="276">
        <f>(E303+E312)*'DATA - P&amp;L'!$C$14</f>
        <v>0</v>
      </c>
      <c r="F432" s="276">
        <f>(F303+F312)*'DATA - P&amp;L'!$C$14</f>
        <v>0</v>
      </c>
      <c r="G432" s="276">
        <f>(G303+G312)*'DATA - P&amp;L'!$C$14</f>
        <v>0</v>
      </c>
      <c r="H432" s="276">
        <f>(H303+H312)*'DATA - P&amp;L'!$C$14</f>
        <v>0</v>
      </c>
      <c r="I432" s="276">
        <f>(I303+I312)*'DATA - P&amp;L'!$C$14</f>
        <v>0</v>
      </c>
      <c r="J432" s="276">
        <f>(J303+J312)*'DATA - P&amp;L'!$C$14</f>
        <v>0</v>
      </c>
      <c r="K432" s="276">
        <f>(K303+K312)*'DATA - P&amp;L'!$C$14</f>
        <v>0</v>
      </c>
      <c r="L432" s="276">
        <f>(L303+L312)*'DATA - P&amp;L'!$C$14</f>
        <v>0</v>
      </c>
      <c r="M432" s="276">
        <f>(M303+M312)*'DATA - P&amp;L'!$C$14</f>
        <v>0</v>
      </c>
      <c r="N432" s="276">
        <f>(N303+N312)*'DATA - P&amp;L'!$C$14</f>
        <v>0</v>
      </c>
      <c r="O432" s="276">
        <f>(O303+O312)*'DATA - P&amp;L'!$C$14</f>
        <v>0</v>
      </c>
      <c r="P432" s="276">
        <f>(P303+P312)*'DATA - P&amp;L'!$C$14</f>
        <v>0</v>
      </c>
      <c r="Q432" s="276">
        <f>(Q303+Q312)*'DATA - P&amp;L'!$C$14</f>
        <v>0</v>
      </c>
      <c r="R432" s="276">
        <f>(R303+R312)*'DATA - P&amp;L'!$C$14</f>
        <v>0</v>
      </c>
      <c r="S432" s="276">
        <f>(S303+S312)*'DATA - P&amp;L'!$C$14</f>
        <v>0</v>
      </c>
      <c r="T432" s="276">
        <f>(T303+T312)*'DATA - P&amp;L'!$C$14</f>
        <v>0</v>
      </c>
      <c r="U432" s="276">
        <f>(U303+U312)*'DATA - P&amp;L'!$C$14</f>
        <v>0</v>
      </c>
      <c r="V432" s="276">
        <f>(V303+V312)*'DATA - P&amp;L'!$C$14</f>
        <v>0</v>
      </c>
      <c r="W432" s="276">
        <f>(W303+W312)*'DATA - P&amp;L'!$C$14</f>
        <v>0</v>
      </c>
      <c r="X432" s="276">
        <f>(X303+X312)*'DATA - P&amp;L'!$C$14</f>
        <v>0</v>
      </c>
      <c r="Y432" s="276">
        <f>(Y303+Y312)*'DATA - P&amp;L'!$C$14</f>
        <v>0</v>
      </c>
      <c r="Z432" s="276">
        <f>(Z303+Z312)*'DATA - P&amp;L'!$C$14</f>
        <v>0</v>
      </c>
      <c r="AA432" s="276">
        <f>(AA303+AA312)*'DATA - P&amp;L'!$C$14</f>
        <v>0</v>
      </c>
      <c r="AB432" s="276">
        <f>(AB303+AB312)*'DATA - P&amp;L'!$C$14</f>
        <v>0</v>
      </c>
      <c r="AC432" s="276">
        <f>(AC303+AC312)*'DATA - P&amp;L'!$C$14</f>
        <v>0</v>
      </c>
      <c r="AD432" s="276">
        <f>(AD303+AD312)*'DATA - P&amp;L'!$C$14</f>
        <v>0</v>
      </c>
      <c r="AE432" s="276">
        <f>(AE303+AE312)*'DATA - P&amp;L'!$C$14</f>
        <v>0</v>
      </c>
      <c r="AF432" s="276">
        <f>(AF303+AF312)*'DATA - P&amp;L'!$C$14</f>
        <v>0</v>
      </c>
      <c r="AG432" s="167">
        <f t="shared" si="123"/>
        <v>0</v>
      </c>
    </row>
    <row r="433" outlineLevel="1">
      <c r="A433" s="284" t="s">
        <v>829</v>
      </c>
      <c r="B433" s="276">
        <f>((B313*'DATA - P&amp;L'!$C$38)+(B314*'DATA - P&amp;L'!$C$39))*'DATA - P&amp;L'!$C$55</f>
        <v>0</v>
      </c>
      <c r="C433" s="276">
        <f>((C313*'DATA - P&amp;L'!$C$38)+(C314*'DATA - P&amp;L'!$C$39))*'DATA - P&amp;L'!$C$55</f>
        <v>0</v>
      </c>
      <c r="D433" s="276">
        <f>((D313*'DATA - P&amp;L'!$C$38)+(D314*'DATA - P&amp;L'!$C$39))*'DATA - P&amp;L'!$C$55</f>
        <v>1.194</v>
      </c>
      <c r="E433" s="276">
        <f>((E313*'DATA - P&amp;L'!$C$38)+(E314*'DATA - P&amp;L'!$C$39))*'DATA - P&amp;L'!$C$55</f>
        <v>1.194</v>
      </c>
      <c r="F433" s="276">
        <f>((F313*'DATA - P&amp;L'!$C$38)+(F314*'DATA - P&amp;L'!$C$39))*'DATA - P&amp;L'!$C$55</f>
        <v>1.194</v>
      </c>
      <c r="G433" s="276">
        <f>((G313*'DATA - P&amp;L'!$C$38)+(G314*'DATA - P&amp;L'!$C$39))*'DATA - P&amp;L'!$C$55</f>
        <v>0</v>
      </c>
      <c r="H433" s="276">
        <f>((H313*'DATA - P&amp;L'!$C$38)+(H314*'DATA - P&amp;L'!$C$39))*'DATA - P&amp;L'!$C$55</f>
        <v>0</v>
      </c>
      <c r="I433" s="276">
        <f>((I313*'DATA - P&amp;L'!$C$38)+(I314*'DATA - P&amp;L'!$C$39))*'DATA - P&amp;L'!$C$55</f>
        <v>0</v>
      </c>
      <c r="J433" s="276">
        <f>((J313*'DATA - P&amp;L'!$C$38)+(J314*'DATA - P&amp;L'!$C$39))*'DATA - P&amp;L'!$C$55</f>
        <v>0</v>
      </c>
      <c r="K433" s="276">
        <f>((K313*'DATA - P&amp;L'!$C$38)+(K314*'DATA - P&amp;L'!$C$39))*'DATA - P&amp;L'!$C$55</f>
        <v>0</v>
      </c>
      <c r="L433" s="276">
        <f>((L313*'DATA - P&amp;L'!$C$38)+(L314*'DATA - P&amp;L'!$C$39))*'DATA - P&amp;L'!$C$55</f>
        <v>0</v>
      </c>
      <c r="M433" s="276">
        <f>((M313*'DATA - P&amp;L'!$C$38)+(M314*'DATA - P&amp;L'!$C$39))*'DATA - P&amp;L'!$C$55</f>
        <v>0</v>
      </c>
      <c r="N433" s="276">
        <f>((N313*'DATA - P&amp;L'!$C$38)+(N314*'DATA - P&amp;L'!$C$39))*'DATA - P&amp;L'!$C$55</f>
        <v>0</v>
      </c>
      <c r="O433" s="276">
        <f>((O313*'DATA - P&amp;L'!$C$38)+(O314*'DATA - P&amp;L'!$C$39))*'DATA - P&amp;L'!$C$55</f>
        <v>0</v>
      </c>
      <c r="P433" s="276">
        <f>((P313*'DATA - P&amp;L'!$C$38)+(P314*'DATA - P&amp;L'!$C$39))*'DATA - P&amp;L'!$C$55</f>
        <v>0</v>
      </c>
      <c r="Q433" s="276">
        <f>((Q313*'DATA - P&amp;L'!$C$38)+(Q314*'DATA - P&amp;L'!$C$39))*'DATA - P&amp;L'!$C$55</f>
        <v>0</v>
      </c>
      <c r="R433" s="276">
        <f>((R313*'DATA - P&amp;L'!$C$38)+(R314*'DATA - P&amp;L'!$C$39))*'DATA - P&amp;L'!$C$55</f>
        <v>0</v>
      </c>
      <c r="S433" s="276">
        <f>((S313*'DATA - P&amp;L'!$C$38)+(S314*'DATA - P&amp;L'!$C$39))*'DATA - P&amp;L'!$C$55</f>
        <v>0</v>
      </c>
      <c r="T433" s="276">
        <f>((T313*'DATA - P&amp;L'!$C$38)+(T314*'DATA - P&amp;L'!$C$39))*'DATA - P&amp;L'!$C$55</f>
        <v>7.164</v>
      </c>
      <c r="U433" s="276">
        <f>((U313*'DATA - P&amp;L'!$C$38)+(U314*'DATA - P&amp;L'!$C$39))*'DATA - P&amp;L'!$C$55</f>
        <v>2.388</v>
      </c>
      <c r="V433" s="276">
        <f>((V313*'DATA - P&amp;L'!$C$38)+(V314*'DATA - P&amp;L'!$C$39))*'DATA - P&amp;L'!$C$55</f>
        <v>1.194</v>
      </c>
      <c r="W433" s="276">
        <f>((W313*'DATA - P&amp;L'!$C$38)+(W314*'DATA - P&amp;L'!$C$39))*'DATA - P&amp;L'!$C$55</f>
        <v>0</v>
      </c>
      <c r="X433" s="276">
        <f>((X313*'DATA - P&amp;L'!$C$38)+(X314*'DATA - P&amp;L'!$C$39))*'DATA - P&amp;L'!$C$55</f>
        <v>0</v>
      </c>
      <c r="Y433" s="276">
        <f>((Y313*'DATA - P&amp;L'!$C$38)+(Y314*'DATA - P&amp;L'!$C$39))*'DATA - P&amp;L'!$C$55</f>
        <v>0</v>
      </c>
      <c r="Z433" s="276">
        <f>((Z313*'DATA - P&amp;L'!$C$38)+(Z314*'DATA - P&amp;L'!$C$39))*'DATA - P&amp;L'!$C$55</f>
        <v>26.268</v>
      </c>
      <c r="AA433" s="276">
        <f>((AA313*'DATA - P&amp;L'!$C$38)+(AA314*'DATA - P&amp;L'!$C$39))*'DATA - P&amp;L'!$C$55</f>
        <v>0</v>
      </c>
      <c r="AB433" s="276">
        <f>((AB313*'DATA - P&amp;L'!$C$38)+(AB314*'DATA - P&amp;L'!$C$39))*'DATA - P&amp;L'!$C$55</f>
        <v>0</v>
      </c>
      <c r="AC433" s="276">
        <f>((AC313*'DATA - P&amp;L'!$C$38)+(AC314*'DATA - P&amp;L'!$C$39))*'DATA - P&amp;L'!$C$55</f>
        <v>9.552</v>
      </c>
      <c r="AD433" s="276">
        <f>((AD313*'DATA - P&amp;L'!$C$38)+(AD314*'DATA - P&amp;L'!$C$39))*'DATA - P&amp;L'!$C$55</f>
        <v>0</v>
      </c>
      <c r="AE433" s="276">
        <f>((AE313*'DATA - P&amp;L'!$C$38)+(AE314*'DATA - P&amp;L'!$C$39))*'DATA - P&amp;L'!$C$55</f>
        <v>0</v>
      </c>
      <c r="AF433" s="276">
        <f>((AF313*'DATA - P&amp;L'!$C$38)+(AF314*'DATA - P&amp;L'!$C$39))*'DATA - P&amp;L'!$C$55</f>
        <v>0</v>
      </c>
      <c r="AG433" s="167">
        <f t="shared" si="123"/>
        <v>50.148</v>
      </c>
    </row>
    <row r="434" outlineLevel="1">
      <c r="A434" s="284" t="s">
        <v>834</v>
      </c>
      <c r="B434" s="276">
        <f>((B296+B297+B298+B299)*'DATA - P&amp;L'!$C$34)+((B305+B306+B307+B308)*'DATA - P&amp;L'!$C$35)</f>
        <v>0</v>
      </c>
      <c r="C434" s="276">
        <f>((C296+C297+C298+C299)*'DATA - P&amp;L'!$C$34)+((C305+C306+C307+C308)*'DATA - P&amp;L'!$C$35)</f>
        <v>0</v>
      </c>
      <c r="D434" s="276">
        <f>((D296+D297+D298+D299)*'DATA - P&amp;L'!$C$34)+((D305+D306+D307+D308)*'DATA - P&amp;L'!$C$35)</f>
        <v>11.94</v>
      </c>
      <c r="E434" s="276">
        <f>((E296+E297+E298+E299)*'DATA - P&amp;L'!$C$34)+((E305+E306+E307+E308)*'DATA - P&amp;L'!$C$35)</f>
        <v>11.94</v>
      </c>
      <c r="F434" s="276">
        <f>((F296+F297+F298+F299)*'DATA - P&amp;L'!$C$34)+((F305+F306+F307+F308)*'DATA - P&amp;L'!$C$35)</f>
        <v>11.94</v>
      </c>
      <c r="G434" s="276">
        <f>((G296+G297+G298+G299)*'DATA - P&amp;L'!$C$34)+((G305+G306+G307+G308)*'DATA - P&amp;L'!$C$35)</f>
        <v>0</v>
      </c>
      <c r="H434" s="276">
        <f>((H296+H297+H298+H299)*'DATA - P&amp;L'!$C$34)+((H305+H306+H307+H308)*'DATA - P&amp;L'!$C$35)</f>
        <v>0</v>
      </c>
      <c r="I434" s="276">
        <f>((I296+I297+I298+I299)*'DATA - P&amp;L'!$C$34)+((I305+I306+I307+I308)*'DATA - P&amp;L'!$C$35)</f>
        <v>0</v>
      </c>
      <c r="J434" s="276">
        <f>((J296+J297+J298+J299)*'DATA - P&amp;L'!$C$34)+((J305+J306+J307+J308)*'DATA - P&amp;L'!$C$35)</f>
        <v>0</v>
      </c>
      <c r="K434" s="276">
        <f>((K296+K297+K298+K299)*'DATA - P&amp;L'!$C$34)+((K305+K306+K307+K308)*'DATA - P&amp;L'!$C$35)</f>
        <v>0</v>
      </c>
      <c r="L434" s="276">
        <f>((L296+L297+L298+L299)*'DATA - P&amp;L'!$C$34)+((L305+L306+L307+L308)*'DATA - P&amp;L'!$C$35)</f>
        <v>0</v>
      </c>
      <c r="M434" s="276">
        <f>((M296+M297+M298+M299)*'DATA - P&amp;L'!$C$34)+((M305+M306+M307+M308)*'DATA - P&amp;L'!$C$35)</f>
        <v>0</v>
      </c>
      <c r="N434" s="276">
        <f>((N296+N297+N298+N299)*'DATA - P&amp;L'!$C$34)+((N305+N306+N307+N308)*'DATA - P&amp;L'!$C$35)</f>
        <v>0</v>
      </c>
      <c r="O434" s="276">
        <f>((O296+O297+O298+O299)*'DATA - P&amp;L'!$C$34)+((O305+O306+O307+O308)*'DATA - P&amp;L'!$C$35)</f>
        <v>0</v>
      </c>
      <c r="P434" s="276">
        <f>((P296+P297+P298+P299)*'DATA - P&amp;L'!$C$34)+((P305+P306+P307+P308)*'DATA - P&amp;L'!$C$35)</f>
        <v>0</v>
      </c>
      <c r="Q434" s="276">
        <f>((Q296+Q297+Q298+Q299)*'DATA - P&amp;L'!$C$34)+((Q305+Q306+Q307+Q308)*'DATA - P&amp;L'!$C$35)</f>
        <v>0</v>
      </c>
      <c r="R434" s="276">
        <f>((R296+R297+R298+R299)*'DATA - P&amp;L'!$C$34)+((R305+R306+R307+R308)*'DATA - P&amp;L'!$C$35)</f>
        <v>0</v>
      </c>
      <c r="S434" s="276">
        <f>((S296+S297+S298+S299)*'DATA - P&amp;L'!$C$34)+((S305+S306+S307+S308)*'DATA - P&amp;L'!$C$35)</f>
        <v>0</v>
      </c>
      <c r="T434" s="276">
        <f>((T296+T297+T298+T299)*'DATA - P&amp;L'!$C$34)+((T305+T306+T307+T308)*'DATA - P&amp;L'!$C$35)</f>
        <v>90.36</v>
      </c>
      <c r="U434" s="276">
        <f>((U296+U297+U298+U299)*'DATA - P&amp;L'!$C$34)+((U305+U306+U307+U308)*'DATA - P&amp;L'!$C$35)</f>
        <v>23.88</v>
      </c>
      <c r="V434" s="276">
        <f>((V296+V297+V298+V299)*'DATA - P&amp;L'!$C$34)+((V305+V306+V307+V308)*'DATA - P&amp;L'!$C$35)</f>
        <v>11.94</v>
      </c>
      <c r="W434" s="276">
        <f>((W296+W297+W298+W299)*'DATA - P&amp;L'!$C$34)+((W305+W306+W307+W308)*'DATA - P&amp;L'!$C$35)</f>
        <v>0</v>
      </c>
      <c r="X434" s="276">
        <f>((X296+X297+X298+X299)*'DATA - P&amp;L'!$C$34)+((X305+X306+X307+X308)*'DATA - P&amp;L'!$C$35)</f>
        <v>0</v>
      </c>
      <c r="Y434" s="276">
        <f>((Y296+Y297+Y298+Y299)*'DATA - P&amp;L'!$C$34)+((Y305+Y306+Y307+Y308)*'DATA - P&amp;L'!$C$35)</f>
        <v>0</v>
      </c>
      <c r="Z434" s="276">
        <f>((Z296+Z297+Z298+Z299)*'DATA - P&amp;L'!$C$34)+((Z305+Z306+Z307+Z308)*'DATA - P&amp;L'!$C$35)</f>
        <v>262.68</v>
      </c>
      <c r="AA434" s="276">
        <f>((AA296+AA297+AA298+AA299)*'DATA - P&amp;L'!$C$34)+((AA305+AA306+AA307+AA308)*'DATA - P&amp;L'!$C$35)</f>
        <v>0</v>
      </c>
      <c r="AB434" s="276">
        <f>((AB296+AB297+AB298+AB299)*'DATA - P&amp;L'!$C$34)+((AB305+AB306+AB307+AB308)*'DATA - P&amp;L'!$C$35)</f>
        <v>0</v>
      </c>
      <c r="AC434" s="276">
        <f>((AC296+AC297+AC298+AC299)*'DATA - P&amp;L'!$C$34)+((AC305+AC306+AC307+AC308)*'DATA - P&amp;L'!$C$35)</f>
        <v>120.48</v>
      </c>
      <c r="AD434" s="276">
        <f>((AD296+AD297+AD298+AD299)*'DATA - P&amp;L'!$C$34)+((AD305+AD306+AD307+AD308)*'DATA - P&amp;L'!$C$35)</f>
        <v>0</v>
      </c>
      <c r="AE434" s="276">
        <f>((AE296+AE297+AE298+AE299)*'DATA - P&amp;L'!$C$34)+((AE305+AE306+AE307+AE308)*'DATA - P&amp;L'!$C$35)</f>
        <v>0</v>
      </c>
      <c r="AF434" s="276">
        <f>((AF296+AF297+AF298+AF299)*'DATA - P&amp;L'!$C$34)+((AF305+AF306+AF307+AF308)*'DATA - P&amp;L'!$C$35)</f>
        <v>0</v>
      </c>
      <c r="AG434" s="167">
        <f t="shared" si="123"/>
        <v>545.16</v>
      </c>
    </row>
    <row r="435" outlineLevel="1">
      <c r="A435" s="284" t="s">
        <v>837</v>
      </c>
      <c r="B435" s="276">
        <f>((B325*'DATA - P&amp;L'!$D$38)+(B336*'DATA - P&amp;L'!$D$39))*'DATA - P&amp;L'!$C$55</f>
        <v>0</v>
      </c>
      <c r="C435" s="276">
        <f>((C325*'DATA - P&amp;L'!$D$38)+(C336*'DATA - P&amp;L'!$D$39))*'DATA - P&amp;L'!$C$55</f>
        <v>0</v>
      </c>
      <c r="D435" s="276">
        <f>((D325*'DATA - P&amp;L'!$D$38)+(D336*'DATA - P&amp;L'!$D$39))*'DATA - P&amp;L'!$C$55</f>
        <v>0</v>
      </c>
      <c r="E435" s="276">
        <f>((E325*'DATA - P&amp;L'!$D$38)+(E336*'DATA - P&amp;L'!$D$39))*'DATA - P&amp;L'!$C$55</f>
        <v>0</v>
      </c>
      <c r="F435" s="276">
        <f>((F325*'DATA - P&amp;L'!$D$38)+(F336*'DATA - P&amp;L'!$D$39))*'DATA - P&amp;L'!$C$55</f>
        <v>0.287</v>
      </c>
      <c r="G435" s="276">
        <f>((G325*'DATA - P&amp;L'!$D$38)+(G336*'DATA - P&amp;L'!$D$39))*'DATA - P&amp;L'!$C$55</f>
        <v>0</v>
      </c>
      <c r="H435" s="276">
        <f>((H325*'DATA - P&amp;L'!$D$38)+(H336*'DATA - P&amp;L'!$D$39))*'DATA - P&amp;L'!$C$55</f>
        <v>0</v>
      </c>
      <c r="I435" s="276">
        <f>((I325*'DATA - P&amp;L'!$D$38)+(I336*'DATA - P&amp;L'!$D$39))*'DATA - P&amp;L'!$C$55</f>
        <v>0</v>
      </c>
      <c r="J435" s="276">
        <f>((J325*'DATA - P&amp;L'!$D$38)+(J336*'DATA - P&amp;L'!$D$39))*'DATA - P&amp;L'!$C$55</f>
        <v>0</v>
      </c>
      <c r="K435" s="276">
        <f>((K325*'DATA - P&amp;L'!$D$38)+(K336*'DATA - P&amp;L'!$D$39))*'DATA - P&amp;L'!$C$55</f>
        <v>0</v>
      </c>
      <c r="L435" s="276">
        <f>((L325*'DATA - P&amp;L'!$D$38)+(L336*'DATA - P&amp;L'!$D$39))*'DATA - P&amp;L'!$C$55</f>
        <v>0</v>
      </c>
      <c r="M435" s="276">
        <f>((M325*'DATA - P&amp;L'!$D$38)+(M336*'DATA - P&amp;L'!$D$39))*'DATA - P&amp;L'!$C$55</f>
        <v>0</v>
      </c>
      <c r="N435" s="276">
        <f>((N325*'DATA - P&amp;L'!$D$38)+(N336*'DATA - P&amp;L'!$D$39))*'DATA - P&amp;L'!$C$55</f>
        <v>0</v>
      </c>
      <c r="O435" s="276">
        <f>((O325*'DATA - P&amp;L'!$D$38)+(O336*'DATA - P&amp;L'!$D$39))*'DATA - P&amp;L'!$C$55</f>
        <v>0</v>
      </c>
      <c r="P435" s="276">
        <f>((P325*'DATA - P&amp;L'!$D$38)+(P336*'DATA - P&amp;L'!$D$39))*'DATA - P&amp;L'!$C$55</f>
        <v>0</v>
      </c>
      <c r="Q435" s="276">
        <f>((Q325*'DATA - P&amp;L'!$D$38)+(Q336*'DATA - P&amp;L'!$D$39))*'DATA - P&amp;L'!$C$55</f>
        <v>0</v>
      </c>
      <c r="R435" s="276">
        <f>((R325*'DATA - P&amp;L'!$D$38)+(R336*'DATA - P&amp;L'!$D$39))*'DATA - P&amp;L'!$C$55</f>
        <v>0</v>
      </c>
      <c r="S435" s="276">
        <f>((S325*'DATA - P&amp;L'!$D$38)+(S336*'DATA - P&amp;L'!$D$39))*'DATA - P&amp;L'!$C$55</f>
        <v>0</v>
      </c>
      <c r="T435" s="276">
        <f>((T325*'DATA - P&amp;L'!$D$38)+(T336*'DATA - P&amp;L'!$D$39))*'DATA - P&amp;L'!$C$55</f>
        <v>0</v>
      </c>
      <c r="U435" s="276">
        <f>((U325*'DATA - P&amp;L'!$D$38)+(U336*'DATA - P&amp;L'!$D$39))*'DATA - P&amp;L'!$C$55</f>
        <v>0</v>
      </c>
      <c r="V435" s="276">
        <f>((V325*'DATA - P&amp;L'!$D$38)+(V336*'DATA - P&amp;L'!$D$39))*'DATA - P&amp;L'!$C$55</f>
        <v>0</v>
      </c>
      <c r="W435" s="276">
        <f>((W325*'DATA - P&amp;L'!$D$38)+(W336*'DATA - P&amp;L'!$D$39))*'DATA - P&amp;L'!$C$55</f>
        <v>0</v>
      </c>
      <c r="X435" s="276">
        <f>((X325*'DATA - P&amp;L'!$D$38)+(X336*'DATA - P&amp;L'!$D$39))*'DATA - P&amp;L'!$C$55</f>
        <v>0</v>
      </c>
      <c r="Y435" s="276">
        <f>((Y325*'DATA - P&amp;L'!$D$38)+(Y336*'DATA - P&amp;L'!$D$39))*'DATA - P&amp;L'!$C$55</f>
        <v>0</v>
      </c>
      <c r="Z435" s="276">
        <f>((Z325*'DATA - P&amp;L'!$D$38)+(Z336*'DATA - P&amp;L'!$D$39))*'DATA - P&amp;L'!$C$55</f>
        <v>1.5785</v>
      </c>
      <c r="AA435" s="276">
        <f>((AA325*'DATA - P&amp;L'!$D$38)+(AA336*'DATA - P&amp;L'!$D$39))*'DATA - P&amp;L'!$C$55</f>
        <v>0</v>
      </c>
      <c r="AB435" s="276">
        <f>((AB325*'DATA - P&amp;L'!$D$38)+(AB336*'DATA - P&amp;L'!$D$39))*'DATA - P&amp;L'!$C$55</f>
        <v>0.144</v>
      </c>
      <c r="AC435" s="276">
        <f>((AC325*'DATA - P&amp;L'!$D$38)+(AC336*'DATA - P&amp;L'!$D$39))*'DATA - P&amp;L'!$C$55</f>
        <v>0.576</v>
      </c>
      <c r="AD435" s="276">
        <f>((AD325*'DATA - P&amp;L'!$D$38)+(AD336*'DATA - P&amp;L'!$D$39))*'DATA - P&amp;L'!$C$55</f>
        <v>0</v>
      </c>
      <c r="AE435" s="276">
        <f>((AE325*'DATA - P&amp;L'!$D$38)+(AE336*'DATA - P&amp;L'!$D$39))*'DATA - P&amp;L'!$C$55</f>
        <v>0</v>
      </c>
      <c r="AF435" s="276">
        <f>((AF325*'DATA - P&amp;L'!$D$38)+(AF336*'DATA - P&amp;L'!$D$39))*'DATA - P&amp;L'!$C$55</f>
        <v>0</v>
      </c>
      <c r="AG435" s="167">
        <f t="shared" si="123"/>
        <v>2.5855</v>
      </c>
    </row>
    <row r="436" outlineLevel="1">
      <c r="A436" s="284" t="s">
        <v>838</v>
      </c>
      <c r="B436" s="276">
        <f>(B325*'DATA - P&amp;L'!$D$34)+('DATA - P&amp;L'!$D$35*B336)</f>
        <v>0</v>
      </c>
      <c r="C436" s="276">
        <f>(C325*'DATA - P&amp;L'!$D$34)+('DATA - P&amp;L'!$D$35*C336)</f>
        <v>0</v>
      </c>
      <c r="D436" s="276">
        <f>(D325*'DATA - P&amp;L'!$D$34)+('DATA - P&amp;L'!$D$35*D336)</f>
        <v>0</v>
      </c>
      <c r="E436" s="276">
        <f>(E325*'DATA - P&amp;L'!$D$34)+('DATA - P&amp;L'!$D$35*E336)</f>
        <v>0</v>
      </c>
      <c r="F436" s="276">
        <f>(F325*'DATA - P&amp;L'!$D$34)+('DATA - P&amp;L'!$D$35*F336)</f>
        <v>12.31</v>
      </c>
      <c r="G436" s="276">
        <f>(G325*'DATA - P&amp;L'!$D$34)+('DATA - P&amp;L'!$D$35*G336)</f>
        <v>0</v>
      </c>
      <c r="H436" s="276">
        <f>(H325*'DATA - P&amp;L'!$D$34)+('DATA - P&amp;L'!$D$35*H336)</f>
        <v>0</v>
      </c>
      <c r="I436" s="276">
        <f>(I325*'DATA - P&amp;L'!$D$34)+('DATA - P&amp;L'!$D$35*I336)</f>
        <v>0</v>
      </c>
      <c r="J436" s="276">
        <f>(J325*'DATA - P&amp;L'!$D$34)+('DATA - P&amp;L'!$D$35*J336)</f>
        <v>0</v>
      </c>
      <c r="K436" s="276">
        <f>(K325*'DATA - P&amp;L'!$D$34)+('DATA - P&amp;L'!$D$35*K336)</f>
        <v>0</v>
      </c>
      <c r="L436" s="276">
        <f>(L325*'DATA - P&amp;L'!$D$34)+('DATA - P&amp;L'!$D$35*L336)</f>
        <v>0</v>
      </c>
      <c r="M436" s="276">
        <f>(M325*'DATA - P&amp;L'!$D$34)+('DATA - P&amp;L'!$D$35*M336)</f>
        <v>0</v>
      </c>
      <c r="N436" s="276">
        <f>(N325*'DATA - P&amp;L'!$D$34)+('DATA - P&amp;L'!$D$35*N336)</f>
        <v>0</v>
      </c>
      <c r="O436" s="276">
        <f>(O325*'DATA - P&amp;L'!$D$34)+('DATA - P&amp;L'!$D$35*O336)</f>
        <v>0</v>
      </c>
      <c r="P436" s="276">
        <f>(P325*'DATA - P&amp;L'!$D$34)+('DATA - P&amp;L'!$D$35*P336)</f>
        <v>0</v>
      </c>
      <c r="Q436" s="276">
        <f>(Q325*'DATA - P&amp;L'!$D$34)+('DATA - P&amp;L'!$D$35*Q336)</f>
        <v>0</v>
      </c>
      <c r="R436" s="276">
        <f>(R325*'DATA - P&amp;L'!$D$34)+('DATA - P&amp;L'!$D$35*R336)</f>
        <v>0</v>
      </c>
      <c r="S436" s="276">
        <f>(S325*'DATA - P&amp;L'!$D$34)+('DATA - P&amp;L'!$D$35*S336)</f>
        <v>0</v>
      </c>
      <c r="T436" s="276">
        <f>(T325*'DATA - P&amp;L'!$D$34)+('DATA - P&amp;L'!$D$35*T336)</f>
        <v>0</v>
      </c>
      <c r="U436" s="276">
        <f>(U325*'DATA - P&amp;L'!$D$34)+('DATA - P&amp;L'!$D$35*U336)</f>
        <v>0</v>
      </c>
      <c r="V436" s="276">
        <f>(V325*'DATA - P&amp;L'!$D$34)+('DATA - P&amp;L'!$D$35*V336)</f>
        <v>0</v>
      </c>
      <c r="W436" s="276">
        <f>(W325*'DATA - P&amp;L'!$D$34)+('DATA - P&amp;L'!$D$35*W336)</f>
        <v>0</v>
      </c>
      <c r="X436" s="276">
        <f>(X325*'DATA - P&amp;L'!$D$34)+('DATA - P&amp;L'!$D$35*X336)</f>
        <v>0</v>
      </c>
      <c r="Y436" s="276">
        <f>(Y325*'DATA - P&amp;L'!$D$34)+('DATA - P&amp;L'!$D$35*Y336)</f>
        <v>0</v>
      </c>
      <c r="Z436" s="276">
        <f>(Z325*'DATA - P&amp;L'!$D$34)+('DATA - P&amp;L'!$D$35*Z336)</f>
        <v>67.705</v>
      </c>
      <c r="AA436" s="276">
        <f>(AA325*'DATA - P&amp;L'!$D$34)+('DATA - P&amp;L'!$D$35*AA336)</f>
        <v>0</v>
      </c>
      <c r="AB436" s="276">
        <f>(AB325*'DATA - P&amp;L'!$D$34)+('DATA - P&amp;L'!$D$35*AB336)</f>
        <v>6.16</v>
      </c>
      <c r="AC436" s="276">
        <f>(AC325*'DATA - P&amp;L'!$D$34)+('DATA - P&amp;L'!$D$35*AC336)</f>
        <v>24.64</v>
      </c>
      <c r="AD436" s="276">
        <f>(AD325*'DATA - P&amp;L'!$D$34)+('DATA - P&amp;L'!$D$35*AD336)</f>
        <v>0</v>
      </c>
      <c r="AE436" s="276">
        <f>(AE325*'DATA - P&amp;L'!$D$34)+('DATA - P&amp;L'!$D$35*AE336)</f>
        <v>0</v>
      </c>
      <c r="AF436" s="276">
        <f>(AF325*'DATA - P&amp;L'!$D$34)+('DATA - P&amp;L'!$D$35*AF336)</f>
        <v>0</v>
      </c>
      <c r="AG436" s="167">
        <f t="shared" si="123"/>
        <v>110.815</v>
      </c>
    </row>
    <row r="437" outlineLevel="1">
      <c r="A437" s="284" t="s">
        <v>840</v>
      </c>
      <c r="B437" s="276">
        <f>((B301+B302)*'DATA - P&amp;L'!$C$38)+((B310+B311)*'DATA - P&amp;L'!$C$39)*'DATA - P&amp;L'!$C$55</f>
        <v>0</v>
      </c>
      <c r="C437" s="276">
        <f>((C301+C302)*'DATA - P&amp;L'!$C$38)+((C310+C311)*'DATA - P&amp;L'!$C$39)*'DATA - P&amp;L'!$C$55</f>
        <v>0</v>
      </c>
      <c r="D437" s="276">
        <f>((D301+D302)*'DATA - P&amp;L'!$C$38)+((D310+D311)*'DATA - P&amp;L'!$C$39)*'DATA - P&amp;L'!$C$55</f>
        <v>0</v>
      </c>
      <c r="E437" s="276">
        <f>((E301+E302)*'DATA - P&amp;L'!$C$38)+((E310+E311)*'DATA - P&amp;L'!$C$39)*'DATA - P&amp;L'!$C$55</f>
        <v>0</v>
      </c>
      <c r="F437" s="276">
        <f>((F301+F302)*'DATA - P&amp;L'!$C$38)+((F310+F311)*'DATA - P&amp;L'!$C$39)*'DATA - P&amp;L'!$C$55</f>
        <v>0</v>
      </c>
      <c r="G437" s="276">
        <f>((G301+G302)*'DATA - P&amp;L'!$C$38)+((G310+G311)*'DATA - P&amp;L'!$C$39)*'DATA - P&amp;L'!$C$55</f>
        <v>0</v>
      </c>
      <c r="H437" s="276">
        <f>((H301+H302)*'DATA - P&amp;L'!$C$38)+((H310+H311)*'DATA - P&amp;L'!$C$39)*'DATA - P&amp;L'!$C$55</f>
        <v>0</v>
      </c>
      <c r="I437" s="276">
        <f>((I301+I302)*'DATA - P&amp;L'!$C$38)+((I310+I311)*'DATA - P&amp;L'!$C$39)*'DATA - P&amp;L'!$C$55</f>
        <v>0</v>
      </c>
      <c r="J437" s="276">
        <f>((J301+J302)*'DATA - P&amp;L'!$C$38)+((J310+J311)*'DATA - P&amp;L'!$C$39)*'DATA - P&amp;L'!$C$55</f>
        <v>0</v>
      </c>
      <c r="K437" s="276">
        <f>((K301+K302)*'DATA - P&amp;L'!$C$38)+((K310+K311)*'DATA - P&amp;L'!$C$39)*'DATA - P&amp;L'!$C$55</f>
        <v>0</v>
      </c>
      <c r="L437" s="276">
        <f>((L301+L302)*'DATA - P&amp;L'!$C$38)+((L310+L311)*'DATA - P&amp;L'!$C$39)*'DATA - P&amp;L'!$C$55</f>
        <v>0</v>
      </c>
      <c r="M437" s="276">
        <f>((M301+M302)*'DATA - P&amp;L'!$C$38)+((M310+M311)*'DATA - P&amp;L'!$C$39)*'DATA - P&amp;L'!$C$55</f>
        <v>0</v>
      </c>
      <c r="N437" s="276">
        <f>((N301+N302)*'DATA - P&amp;L'!$C$38)+((N310+N311)*'DATA - P&amp;L'!$C$39)*'DATA - P&amp;L'!$C$55</f>
        <v>0</v>
      </c>
      <c r="O437" s="276">
        <f>((O301+O302)*'DATA - P&amp;L'!$C$38)+((O310+O311)*'DATA - P&amp;L'!$C$39)*'DATA - P&amp;L'!$C$55</f>
        <v>0</v>
      </c>
      <c r="P437" s="276">
        <f>((P301+P302)*'DATA - P&amp;L'!$C$38)+((P310+P311)*'DATA - P&amp;L'!$C$39)*'DATA - P&amp;L'!$C$55</f>
        <v>0</v>
      </c>
      <c r="Q437" s="276">
        <f>((Q301+Q302)*'DATA - P&amp;L'!$C$38)+((Q310+Q311)*'DATA - P&amp;L'!$C$39)*'DATA - P&amp;L'!$C$55</f>
        <v>0</v>
      </c>
      <c r="R437" s="276">
        <f>((R301+R302)*'DATA - P&amp;L'!$C$38)+((R310+R311)*'DATA - P&amp;L'!$C$39)*'DATA - P&amp;L'!$C$55</f>
        <v>0</v>
      </c>
      <c r="S437" s="276">
        <f>((S301+S302)*'DATA - P&amp;L'!$C$38)+((S310+S311)*'DATA - P&amp;L'!$C$39)*'DATA - P&amp;L'!$C$55</f>
        <v>0</v>
      </c>
      <c r="T437" s="276">
        <f>((T301+T302)*'DATA - P&amp;L'!$C$38)+((T310+T311)*'DATA - P&amp;L'!$C$39)*'DATA - P&amp;L'!$C$55</f>
        <v>0</v>
      </c>
      <c r="U437" s="276">
        <f>((U301+U302)*'DATA - P&amp;L'!$C$38)+((U310+U311)*'DATA - P&amp;L'!$C$39)*'DATA - P&amp;L'!$C$55</f>
        <v>0</v>
      </c>
      <c r="V437" s="276">
        <f>((V301+V302)*'DATA - P&amp;L'!$C$38)+((V310+V311)*'DATA - P&amp;L'!$C$39)*'DATA - P&amp;L'!$C$55</f>
        <v>0</v>
      </c>
      <c r="W437" s="276">
        <f>((W301+W302)*'DATA - P&amp;L'!$C$38)+((W310+W311)*'DATA - P&amp;L'!$C$39)*'DATA - P&amp;L'!$C$55</f>
        <v>0</v>
      </c>
      <c r="X437" s="276">
        <f>((X301+X302)*'DATA - P&amp;L'!$C$38)+((X310+X311)*'DATA - P&amp;L'!$C$39)*'DATA - P&amp;L'!$C$55</f>
        <v>0</v>
      </c>
      <c r="Y437" s="276">
        <f>((Y301+Y302)*'DATA - P&amp;L'!$C$38)+((Y310+Y311)*'DATA - P&amp;L'!$C$39)*'DATA - P&amp;L'!$C$55</f>
        <v>0</v>
      </c>
      <c r="Z437" s="276">
        <f>((Z301+Z302)*'DATA - P&amp;L'!$C$38)+((Z310+Z311)*'DATA - P&amp;L'!$C$39)*'DATA - P&amp;L'!$C$55</f>
        <v>0</v>
      </c>
      <c r="AA437" s="276">
        <f>((AA301+AA302)*'DATA - P&amp;L'!$C$38)+((AA310+AA311)*'DATA - P&amp;L'!$C$39)*'DATA - P&amp;L'!$C$55</f>
        <v>0</v>
      </c>
      <c r="AB437" s="276">
        <f>((AB301+AB302)*'DATA - P&amp;L'!$C$38)+((AB310+AB311)*'DATA - P&amp;L'!$C$39)*'DATA - P&amp;L'!$C$55</f>
        <v>0</v>
      </c>
      <c r="AC437" s="276">
        <f>((AC301+AC302)*'DATA - P&amp;L'!$C$38)+((AC310+AC311)*'DATA - P&amp;L'!$C$39)*'DATA - P&amp;L'!$C$55</f>
        <v>0</v>
      </c>
      <c r="AD437" s="276">
        <f>((AD301+AD302)*'DATA - P&amp;L'!$C$38)+((AD310+AD311)*'DATA - P&amp;L'!$C$39)*'DATA - P&amp;L'!$C$55</f>
        <v>0</v>
      </c>
      <c r="AE437" s="276">
        <f>((AE301+AE302)*'DATA - P&amp;L'!$C$38)+((AE310+AE311)*'DATA - P&amp;L'!$C$39)*'DATA - P&amp;L'!$C$55</f>
        <v>0</v>
      </c>
      <c r="AF437" s="276">
        <f>((AF301+AF302)*'DATA - P&amp;L'!$C$38)+((AF310+AF311)*'DATA - P&amp;L'!$C$39)*'DATA - P&amp;L'!$C$55</f>
        <v>0</v>
      </c>
      <c r="AG437" s="167">
        <f t="shared" si="123"/>
        <v>0</v>
      </c>
    </row>
    <row r="438" outlineLevel="1">
      <c r="A438" s="284" t="s">
        <v>842</v>
      </c>
      <c r="B438" s="276">
        <f>((B301+B302)*'DATA - P&amp;L'!$C$34)+((B310+B311)*'DATA - P&amp;L'!$C$35)*'DATA - P&amp;L'!$C$55</f>
        <v>0</v>
      </c>
      <c r="C438" s="276">
        <f>((C301+C302)*'DATA - P&amp;L'!$C$34)+((C310+C311)*'DATA - P&amp;L'!$C$35)*'DATA - P&amp;L'!$C$55</f>
        <v>0</v>
      </c>
      <c r="D438" s="276">
        <f>((D301+D302)*'DATA - P&amp;L'!$C$34)+((D310+D311)*'DATA - P&amp;L'!$C$35)*'DATA - P&amp;L'!$C$55</f>
        <v>0</v>
      </c>
      <c r="E438" s="276">
        <f>((E301+E302)*'DATA - P&amp;L'!$C$34)+((E310+E311)*'DATA - P&amp;L'!$C$35)*'DATA - P&amp;L'!$C$55</f>
        <v>0</v>
      </c>
      <c r="F438" s="276">
        <f>((F301+F302)*'DATA - P&amp;L'!$C$34)+((F310+F311)*'DATA - P&amp;L'!$C$35)*'DATA - P&amp;L'!$C$55</f>
        <v>0</v>
      </c>
      <c r="G438" s="276">
        <f>((G301+G302)*'DATA - P&amp;L'!$C$34)+((G310+G311)*'DATA - P&amp;L'!$C$35)*'DATA - P&amp;L'!$C$55</f>
        <v>0</v>
      </c>
      <c r="H438" s="276">
        <f>((H301+H302)*'DATA - P&amp;L'!$C$34)+((H310+H311)*'DATA - P&amp;L'!$C$35)*'DATA - P&amp;L'!$C$55</f>
        <v>0</v>
      </c>
      <c r="I438" s="276">
        <f>((I301+I302)*'DATA - P&amp;L'!$C$34)+((I310+I311)*'DATA - P&amp;L'!$C$35)*'DATA - P&amp;L'!$C$55</f>
        <v>0</v>
      </c>
      <c r="J438" s="276">
        <f>((J301+J302)*'DATA - P&amp;L'!$C$34)+((J310+J311)*'DATA - P&amp;L'!$C$35)*'DATA - P&amp;L'!$C$55</f>
        <v>0</v>
      </c>
      <c r="K438" s="276">
        <f>((K301+K302)*'DATA - P&amp;L'!$C$34)+((K310+K311)*'DATA - P&amp;L'!$C$35)*'DATA - P&amp;L'!$C$55</f>
        <v>0</v>
      </c>
      <c r="L438" s="276">
        <f>((L301+L302)*'DATA - P&amp;L'!$C$34)+((L310+L311)*'DATA - P&amp;L'!$C$35)*'DATA - P&amp;L'!$C$55</f>
        <v>0</v>
      </c>
      <c r="M438" s="276">
        <f>((M301+M302)*'DATA - P&amp;L'!$C$34)+((M310+M311)*'DATA - P&amp;L'!$C$35)*'DATA - P&amp;L'!$C$55</f>
        <v>0</v>
      </c>
      <c r="N438" s="276">
        <f>((N301+N302)*'DATA - P&amp;L'!$C$34)+((N310+N311)*'DATA - P&amp;L'!$C$35)*'DATA - P&amp;L'!$C$55</f>
        <v>0</v>
      </c>
      <c r="O438" s="276">
        <f>((O301+O302)*'DATA - P&amp;L'!$C$34)+((O310+O311)*'DATA - P&amp;L'!$C$35)*'DATA - P&amp;L'!$C$55</f>
        <v>0</v>
      </c>
      <c r="P438" s="276">
        <f>((P301+P302)*'DATA - P&amp;L'!$C$34)+((P310+P311)*'DATA - P&amp;L'!$C$35)*'DATA - P&amp;L'!$C$55</f>
        <v>0</v>
      </c>
      <c r="Q438" s="276">
        <f>((Q301+Q302)*'DATA - P&amp;L'!$C$34)+((Q310+Q311)*'DATA - P&amp;L'!$C$35)*'DATA - P&amp;L'!$C$55</f>
        <v>0</v>
      </c>
      <c r="R438" s="276">
        <f>((R301+R302)*'DATA - P&amp;L'!$C$34)+((R310+R311)*'DATA - P&amp;L'!$C$35)*'DATA - P&amp;L'!$C$55</f>
        <v>0</v>
      </c>
      <c r="S438" s="276">
        <f>((S301+S302)*'DATA - P&amp;L'!$C$34)+((S310+S311)*'DATA - P&amp;L'!$C$35)*'DATA - P&amp;L'!$C$55</f>
        <v>0</v>
      </c>
      <c r="T438" s="276">
        <f>((T301+T302)*'DATA - P&amp;L'!$C$34)+((T310+T311)*'DATA - P&amp;L'!$C$35)*'DATA - P&amp;L'!$C$55</f>
        <v>0</v>
      </c>
      <c r="U438" s="276">
        <f>((U301+U302)*'DATA - P&amp;L'!$C$34)+((U310+U311)*'DATA - P&amp;L'!$C$35)*'DATA - P&amp;L'!$C$55</f>
        <v>0</v>
      </c>
      <c r="V438" s="276">
        <f>((V301+V302)*'DATA - P&amp;L'!$C$34)+((V310+V311)*'DATA - P&amp;L'!$C$35)*'DATA - P&amp;L'!$C$55</f>
        <v>0</v>
      </c>
      <c r="W438" s="276">
        <f>((W301+W302)*'DATA - P&amp;L'!$C$34)+((W310+W311)*'DATA - P&amp;L'!$C$35)*'DATA - P&amp;L'!$C$55</f>
        <v>0</v>
      </c>
      <c r="X438" s="276">
        <f>((X301+X302)*'DATA - P&amp;L'!$C$34)+((X310+X311)*'DATA - P&amp;L'!$C$35)*'DATA - P&amp;L'!$C$55</f>
        <v>0</v>
      </c>
      <c r="Y438" s="276">
        <f>((Y301+Y302)*'DATA - P&amp;L'!$C$34)+((Y310+Y311)*'DATA - P&amp;L'!$C$35)*'DATA - P&amp;L'!$C$55</f>
        <v>0</v>
      </c>
      <c r="Z438" s="276">
        <f>((Z301+Z302)*'DATA - P&amp;L'!$C$34)+((Z310+Z311)*'DATA - P&amp;L'!$C$35)*'DATA - P&amp;L'!$C$55</f>
        <v>0</v>
      </c>
      <c r="AA438" s="276">
        <f>((AA301+AA302)*'DATA - P&amp;L'!$C$34)+((AA310+AA311)*'DATA - P&amp;L'!$C$35)*'DATA - P&amp;L'!$C$55</f>
        <v>0</v>
      </c>
      <c r="AB438" s="276">
        <f>((AB301+AB302)*'DATA - P&amp;L'!$C$34)+((AB310+AB311)*'DATA - P&amp;L'!$C$35)*'DATA - P&amp;L'!$C$55</f>
        <v>0</v>
      </c>
      <c r="AC438" s="276">
        <f>((AC301+AC302)*'DATA - P&amp;L'!$C$34)+((AC310+AC311)*'DATA - P&amp;L'!$C$35)*'DATA - P&amp;L'!$C$55</f>
        <v>0</v>
      </c>
      <c r="AD438" s="276">
        <f>((AD301+AD302)*'DATA - P&amp;L'!$C$34)+((AD310+AD311)*'DATA - P&amp;L'!$C$35)*'DATA - P&amp;L'!$C$55</f>
        <v>0</v>
      </c>
      <c r="AE438" s="276">
        <f>((AE301+AE302)*'DATA - P&amp;L'!$C$34)+((AE310+AE311)*'DATA - P&amp;L'!$C$35)*'DATA - P&amp;L'!$C$55</f>
        <v>0</v>
      </c>
      <c r="AF438" s="276">
        <f>((AF301+AF302)*'DATA - P&amp;L'!$C$34)+((AF310+AF311)*'DATA - P&amp;L'!$C$35)*'DATA - P&amp;L'!$C$55</f>
        <v>0</v>
      </c>
      <c r="AG438" s="167">
        <f t="shared" si="123"/>
        <v>0</v>
      </c>
    </row>
    <row r="439" outlineLevel="1">
      <c r="A439" s="284" t="s">
        <v>863</v>
      </c>
      <c r="B439" s="276">
        <f>(B303*'DATA - P&amp;L'!$C$34)+(B312*'DATA - P&amp;L'!$C$35)*'DATA - P&amp;L'!$C$55</f>
        <v>0</v>
      </c>
      <c r="C439" s="276">
        <f>(C303*'DATA - P&amp;L'!$C$34)+(C312*'DATA - P&amp;L'!$C$35)*'DATA - P&amp;L'!$C$55</f>
        <v>0</v>
      </c>
      <c r="D439" s="276">
        <f>(D303*'DATA - P&amp;L'!$C$34)+(D312*'DATA - P&amp;L'!$C$35)*'DATA - P&amp;L'!$C$55</f>
        <v>0</v>
      </c>
      <c r="E439" s="276">
        <f>(E303*'DATA - P&amp;L'!$C$34)+(E312*'DATA - P&amp;L'!$C$35)*'DATA - P&amp;L'!$C$55</f>
        <v>0</v>
      </c>
      <c r="F439" s="276">
        <f>(F303*'DATA - P&amp;L'!$C$34)+(F312*'DATA - P&amp;L'!$C$35)*'DATA - P&amp;L'!$C$55</f>
        <v>0</v>
      </c>
      <c r="G439" s="276">
        <f>(G303*'DATA - P&amp;L'!$C$34)+(G312*'DATA - P&amp;L'!$C$35)*'DATA - P&amp;L'!$C$55</f>
        <v>0</v>
      </c>
      <c r="H439" s="276">
        <f>(H303*'DATA - P&amp;L'!$C$34)+(H312*'DATA - P&amp;L'!$C$35)*'DATA - P&amp;L'!$C$55</f>
        <v>0</v>
      </c>
      <c r="I439" s="276">
        <f>(I303*'DATA - P&amp;L'!$C$34)+(I312*'DATA - P&amp;L'!$C$35)*'DATA - P&amp;L'!$C$55</f>
        <v>0</v>
      </c>
      <c r="J439" s="276">
        <f>(J303*'DATA - P&amp;L'!$C$34)+(J312*'DATA - P&amp;L'!$C$35)*'DATA - P&amp;L'!$C$55</f>
        <v>0</v>
      </c>
      <c r="K439" s="276">
        <f>(K303*'DATA - P&amp;L'!$C$34)+(K312*'DATA - P&amp;L'!$C$35)*'DATA - P&amp;L'!$C$55</f>
        <v>0</v>
      </c>
      <c r="L439" s="276">
        <f>(L303*'DATA - P&amp;L'!$C$34)+(L312*'DATA - P&amp;L'!$C$35)*'DATA - P&amp;L'!$C$55</f>
        <v>0</v>
      </c>
      <c r="M439" s="276">
        <f>(M303*'DATA - P&amp;L'!$C$34)+(M312*'DATA - P&amp;L'!$C$35)*'DATA - P&amp;L'!$C$55</f>
        <v>0</v>
      </c>
      <c r="N439" s="276">
        <f>(N303*'DATA - P&amp;L'!$C$34)+(N312*'DATA - P&amp;L'!$C$35)*'DATA - P&amp;L'!$C$55</f>
        <v>0</v>
      </c>
      <c r="O439" s="276">
        <f>(O303*'DATA - P&amp;L'!$C$34)+(O312*'DATA - P&amp;L'!$C$35)*'DATA - P&amp;L'!$C$55</f>
        <v>0</v>
      </c>
      <c r="P439" s="276">
        <f>(P303*'DATA - P&amp;L'!$C$34)+(P312*'DATA - P&amp;L'!$C$35)*'DATA - P&amp;L'!$C$55</f>
        <v>0</v>
      </c>
      <c r="Q439" s="276">
        <f>(Q303*'DATA - P&amp;L'!$C$34)+(Q312*'DATA - P&amp;L'!$C$35)*'DATA - P&amp;L'!$C$55</f>
        <v>0</v>
      </c>
      <c r="R439" s="276">
        <f>(R303*'DATA - P&amp;L'!$C$34)+(R312*'DATA - P&amp;L'!$C$35)*'DATA - P&amp;L'!$C$55</f>
        <v>0</v>
      </c>
      <c r="S439" s="276">
        <f>(S303*'DATA - P&amp;L'!$C$34)+(S312*'DATA - P&amp;L'!$C$35)*'DATA - P&amp;L'!$C$55</f>
        <v>0</v>
      </c>
      <c r="T439" s="276">
        <f>(T303*'DATA - P&amp;L'!$C$34)+(T312*'DATA - P&amp;L'!$C$35)*'DATA - P&amp;L'!$C$55</f>
        <v>0</v>
      </c>
      <c r="U439" s="276">
        <f>(U303*'DATA - P&amp;L'!$C$34)+(U312*'DATA - P&amp;L'!$C$35)*'DATA - P&amp;L'!$C$55</f>
        <v>0</v>
      </c>
      <c r="V439" s="276">
        <f>(V303*'DATA - P&amp;L'!$C$34)+(V312*'DATA - P&amp;L'!$C$35)*'DATA - P&amp;L'!$C$55</f>
        <v>0</v>
      </c>
      <c r="W439" s="276">
        <f>(W303*'DATA - P&amp;L'!$C$34)+(W312*'DATA - P&amp;L'!$C$35)*'DATA - P&amp;L'!$C$55</f>
        <v>0</v>
      </c>
      <c r="X439" s="276">
        <f>(X303*'DATA - P&amp;L'!$C$34)+(X312*'DATA - P&amp;L'!$C$35)*'DATA - P&amp;L'!$C$55</f>
        <v>0</v>
      </c>
      <c r="Y439" s="276">
        <f>(Y303*'DATA - P&amp;L'!$C$34)+(Y312*'DATA - P&amp;L'!$C$35)*'DATA - P&amp;L'!$C$55</f>
        <v>0</v>
      </c>
      <c r="Z439" s="276">
        <f>(Z303*'DATA - P&amp;L'!$C$34)+(Z312*'DATA - P&amp;L'!$C$35)*'DATA - P&amp;L'!$C$55</f>
        <v>0</v>
      </c>
      <c r="AA439" s="276">
        <f>(AA303*'DATA - P&amp;L'!$C$34)+(AA312*'DATA - P&amp;L'!$C$35)*'DATA - P&amp;L'!$C$55</f>
        <v>0</v>
      </c>
      <c r="AB439" s="276">
        <f>(AB303*'DATA - P&amp;L'!$C$34)+(AB312*'DATA - P&amp;L'!$C$35)*'DATA - P&amp;L'!$C$55</f>
        <v>0</v>
      </c>
      <c r="AC439" s="276">
        <f>(AC303*'DATA - P&amp;L'!$C$34)+(AC312*'DATA - P&amp;L'!$C$35)*'DATA - P&amp;L'!$C$55</f>
        <v>0</v>
      </c>
      <c r="AD439" s="276">
        <f>(AD303*'DATA - P&amp;L'!$C$34)+(AD312*'DATA - P&amp;L'!$C$35)*'DATA - P&amp;L'!$C$55</f>
        <v>0</v>
      </c>
      <c r="AE439" s="276">
        <f>(AE303*'DATA - P&amp;L'!$C$34)+(AE312*'DATA - P&amp;L'!$C$35)*'DATA - P&amp;L'!$C$55</f>
        <v>0</v>
      </c>
      <c r="AF439" s="276">
        <f>(AF303*'DATA - P&amp;L'!$C$34)+(AF312*'DATA - P&amp;L'!$C$35)*'DATA - P&amp;L'!$C$55</f>
        <v>0</v>
      </c>
      <c r="AG439" s="167">
        <f t="shared" si="123"/>
        <v>0</v>
      </c>
    </row>
    <row r="440" outlineLevel="1">
      <c r="A440" s="284" t="s">
        <v>877</v>
      </c>
      <c r="B440" s="276">
        <f>(B303*'DATA - P&amp;L'!$C$34)+(B312*'DATA - P&amp;L'!$C$35)*'DATA - P&amp;L'!$C$55</f>
        <v>0</v>
      </c>
      <c r="C440" s="276">
        <f>(C303*'DATA - P&amp;L'!$C$34)+(C312*'DATA - P&amp;L'!$C$35)*'DATA - P&amp;L'!$C$55</f>
        <v>0</v>
      </c>
      <c r="D440" s="276">
        <f>(D303*'DATA - P&amp;L'!$C$34)+(D312*'DATA - P&amp;L'!$C$35)*'DATA - P&amp;L'!$C$55</f>
        <v>0</v>
      </c>
      <c r="E440" s="276">
        <f>(E303*'DATA - P&amp;L'!$C$34)+(E312*'DATA - P&amp;L'!$C$35)*'DATA - P&amp;L'!$C$55</f>
        <v>0</v>
      </c>
      <c r="F440" s="276">
        <f>(F303*'DATA - P&amp;L'!$C$34)+(F312*'DATA - P&amp;L'!$C$35)*'DATA - P&amp;L'!$C$55</f>
        <v>0</v>
      </c>
      <c r="G440" s="276">
        <f>(G303*'DATA - P&amp;L'!$C$34)+(G312*'DATA - P&amp;L'!$C$35)*'DATA - P&amp;L'!$C$55</f>
        <v>0</v>
      </c>
      <c r="H440" s="276">
        <f>(H303*'DATA - P&amp;L'!$C$34)+(H312*'DATA - P&amp;L'!$C$35)*'DATA - P&amp;L'!$C$55</f>
        <v>0</v>
      </c>
      <c r="I440" s="276">
        <f>(I303*'DATA - P&amp;L'!$C$34)+(I312*'DATA - P&amp;L'!$C$35)*'DATA - P&amp;L'!$C$55</f>
        <v>0</v>
      </c>
      <c r="J440" s="276">
        <f>(J303*'DATA - P&amp;L'!$C$34)+(J312*'DATA - P&amp;L'!$C$35)*'DATA - P&amp;L'!$C$55</f>
        <v>0</v>
      </c>
      <c r="K440" s="276">
        <f>(K303*'DATA - P&amp;L'!$C$34)+(K312*'DATA - P&amp;L'!$C$35)*'DATA - P&amp;L'!$C$55</f>
        <v>0</v>
      </c>
      <c r="L440" s="276">
        <f>(L303*'DATA - P&amp;L'!$C$34)+(L312*'DATA - P&amp;L'!$C$35)*'DATA - P&amp;L'!$C$55</f>
        <v>0</v>
      </c>
      <c r="M440" s="276">
        <f>(M303*'DATA - P&amp;L'!$C$34)+(M312*'DATA - P&amp;L'!$C$35)*'DATA - P&amp;L'!$C$55</f>
        <v>0</v>
      </c>
      <c r="N440" s="276">
        <f>(N303*'DATA - P&amp;L'!$C$34)+(N312*'DATA - P&amp;L'!$C$35)*'DATA - P&amp;L'!$C$55</f>
        <v>0</v>
      </c>
      <c r="O440" s="276">
        <f>(O303*'DATA - P&amp;L'!$C$34)+(O312*'DATA - P&amp;L'!$C$35)*'DATA - P&amp;L'!$C$55</f>
        <v>0</v>
      </c>
      <c r="P440" s="276">
        <f>(P303*'DATA - P&amp;L'!$C$34)+(P312*'DATA - P&amp;L'!$C$35)*'DATA - P&amp;L'!$C$55</f>
        <v>0</v>
      </c>
      <c r="Q440" s="276">
        <f>(Q303*'DATA - P&amp;L'!$C$34)+(Q312*'DATA - P&amp;L'!$C$35)*'DATA - P&amp;L'!$C$55</f>
        <v>0</v>
      </c>
      <c r="R440" s="276">
        <f>(R303*'DATA - P&amp;L'!$C$34)+(R312*'DATA - P&amp;L'!$C$35)*'DATA - P&amp;L'!$C$55</f>
        <v>0</v>
      </c>
      <c r="S440" s="276">
        <f>(S303*'DATA - P&amp;L'!$C$34)+(S312*'DATA - P&amp;L'!$C$35)*'DATA - P&amp;L'!$C$55</f>
        <v>0</v>
      </c>
      <c r="T440" s="276">
        <f>(T303*'DATA - P&amp;L'!$C$34)+(T312*'DATA - P&amp;L'!$C$35)*'DATA - P&amp;L'!$C$55</f>
        <v>0</v>
      </c>
      <c r="U440" s="276">
        <f>(U303*'DATA - P&amp;L'!$C$34)+(U312*'DATA - P&amp;L'!$C$35)*'DATA - P&amp;L'!$C$55</f>
        <v>0</v>
      </c>
      <c r="V440" s="276">
        <f>(V303*'DATA - P&amp;L'!$C$34)+(V312*'DATA - P&amp;L'!$C$35)*'DATA - P&amp;L'!$C$55</f>
        <v>0</v>
      </c>
      <c r="W440" s="276">
        <f>(W303*'DATA - P&amp;L'!$C$34)+(W312*'DATA - P&amp;L'!$C$35)*'DATA - P&amp;L'!$C$55</f>
        <v>0</v>
      </c>
      <c r="X440" s="276">
        <f>(X303*'DATA - P&amp;L'!$C$34)+(X312*'DATA - P&amp;L'!$C$35)*'DATA - P&amp;L'!$C$55</f>
        <v>0</v>
      </c>
      <c r="Y440" s="276">
        <f>(Y303*'DATA - P&amp;L'!$C$34)+(Y312*'DATA - P&amp;L'!$C$35)*'DATA - P&amp;L'!$C$55</f>
        <v>0</v>
      </c>
      <c r="Z440" s="276">
        <f>(Z303*'DATA - P&amp;L'!$C$34)+(Z312*'DATA - P&amp;L'!$C$35)*'DATA - P&amp;L'!$C$55</f>
        <v>0</v>
      </c>
      <c r="AA440" s="276">
        <f>(AA303*'DATA - P&amp;L'!$C$34)+(AA312*'DATA - P&amp;L'!$C$35)*'DATA - P&amp;L'!$C$55</f>
        <v>0</v>
      </c>
      <c r="AB440" s="276">
        <f>(AB303*'DATA - P&amp;L'!$C$34)+(AB312*'DATA - P&amp;L'!$C$35)*'DATA - P&amp;L'!$C$55</f>
        <v>0</v>
      </c>
      <c r="AC440" s="276">
        <f>(AC303*'DATA - P&amp;L'!$C$34)+(AC312*'DATA - P&amp;L'!$C$35)*'DATA - P&amp;L'!$C$55</f>
        <v>0</v>
      </c>
      <c r="AD440" s="276">
        <f>(AD303*'DATA - P&amp;L'!$C$34)+(AD312*'DATA - P&amp;L'!$C$35)*'DATA - P&amp;L'!$C$55</f>
        <v>0</v>
      </c>
      <c r="AE440" s="276">
        <f>(AE303*'DATA - P&amp;L'!$C$34)+(AE312*'DATA - P&amp;L'!$C$35)*'DATA - P&amp;L'!$C$55</f>
        <v>0</v>
      </c>
      <c r="AF440" s="276">
        <f>(AF303*'DATA - P&amp;L'!$C$34)+(AF312*'DATA - P&amp;L'!$C$35)*'DATA - P&amp;L'!$C$55</f>
        <v>0</v>
      </c>
      <c r="AG440" s="167">
        <f t="shared" si="123"/>
        <v>0</v>
      </c>
    </row>
    <row r="441">
      <c r="A441" s="375" t="s">
        <v>438</v>
      </c>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c r="AA441" s="1005"/>
      <c r="AB441" s="1005"/>
      <c r="AC441" s="1005"/>
      <c r="AD441" s="1005"/>
      <c r="AE441" s="1005"/>
      <c r="AF441" s="1005"/>
      <c r="AG441" s="270"/>
    </row>
    <row r="442">
      <c r="A442" s="375" t="s">
        <v>890</v>
      </c>
      <c r="B442" s="276">
        <f>(B342*'DATA - P&amp;L'!$C$34)+('DATA - P&amp;L'!$C$35*B343)</f>
        <v>0</v>
      </c>
      <c r="C442" s="276">
        <f>(C342*'DATA - P&amp;L'!$C$34)+('DATA - P&amp;L'!$C$35*C343)</f>
        <v>0</v>
      </c>
      <c r="D442" s="276">
        <f>(D342*'DATA - P&amp;L'!$C$34)+('DATA - P&amp;L'!$C$35*D343)</f>
        <v>0</v>
      </c>
      <c r="E442" s="276">
        <f>(E342*'DATA - P&amp;L'!$C$34)+('DATA - P&amp;L'!$C$35*E343)</f>
        <v>0</v>
      </c>
      <c r="F442" s="276">
        <f>(F342*'DATA - P&amp;L'!$C$34)+('DATA - P&amp;L'!$C$35*F343)</f>
        <v>0</v>
      </c>
      <c r="G442" s="276">
        <f>(G342*'DATA - P&amp;L'!$C$34)+('DATA - P&amp;L'!$C$35*G343)</f>
        <v>0</v>
      </c>
      <c r="H442" s="276">
        <f>(H342*'DATA - P&amp;L'!$C$34)+('DATA - P&amp;L'!$C$35*H343)</f>
        <v>0</v>
      </c>
      <c r="I442" s="276">
        <f>(I342*'DATA - P&amp;L'!$C$34)+('DATA - P&amp;L'!$C$35*I343)</f>
        <v>0</v>
      </c>
      <c r="J442" s="276">
        <f>(J342*'DATA - P&amp;L'!$C$34)+('DATA - P&amp;L'!$C$35*J343)</f>
        <v>0</v>
      </c>
      <c r="K442" s="276">
        <f>(K342*'DATA - P&amp;L'!$C$34)+('DATA - P&amp;L'!$C$35*K343)</f>
        <v>0</v>
      </c>
      <c r="L442" s="276">
        <f>(L342*'DATA - P&amp;L'!$C$34)+('DATA - P&amp;L'!$C$35*L343)</f>
        <v>0</v>
      </c>
      <c r="M442" s="276">
        <f>(M342*'DATA - P&amp;L'!$C$34)+('DATA - P&amp;L'!$C$35*M343)</f>
        <v>0</v>
      </c>
      <c r="N442" s="276">
        <f>(N342*'DATA - P&amp;L'!$C$34)+('DATA - P&amp;L'!$C$35*N343)</f>
        <v>0</v>
      </c>
      <c r="O442" s="276">
        <f>(O342*'DATA - P&amp;L'!$C$34)+('DATA - P&amp;L'!$C$35*O343)</f>
        <v>0</v>
      </c>
      <c r="P442" s="276">
        <f>(P342*'DATA - P&amp;L'!$C$34)+('DATA - P&amp;L'!$C$35*P343)</f>
        <v>0</v>
      </c>
      <c r="Q442" s="276">
        <f>(Q342*'DATA - P&amp;L'!$C$34)+('DATA - P&amp;L'!$C$35*Q343)</f>
        <v>0</v>
      </c>
      <c r="R442" s="276">
        <f>(R342*'DATA - P&amp;L'!$C$34)+('DATA - P&amp;L'!$C$35*R343)</f>
        <v>0</v>
      </c>
      <c r="S442" s="276">
        <f>(S342*'DATA - P&amp;L'!$C$34)+('DATA - P&amp;L'!$C$35*S343)</f>
        <v>0</v>
      </c>
      <c r="T442" s="276">
        <f>(T342*'DATA - P&amp;L'!$C$34)+('DATA - P&amp;L'!$C$35*T343)</f>
        <v>0</v>
      </c>
      <c r="U442" s="276">
        <f>(U342*'DATA - P&amp;L'!$C$34)+('DATA - P&amp;L'!$C$35*U343)</f>
        <v>0</v>
      </c>
      <c r="V442" s="276">
        <f>(V342*'DATA - P&amp;L'!$C$34)+('DATA - P&amp;L'!$C$35*V343)</f>
        <v>0</v>
      </c>
      <c r="W442" s="276">
        <f>(W342*'DATA - P&amp;L'!$C$34)+('DATA - P&amp;L'!$C$35*W343)</f>
        <v>0</v>
      </c>
      <c r="X442" s="276">
        <f>(X342*'DATA - P&amp;L'!$C$34)+('DATA - P&amp;L'!$C$35*X343)</f>
        <v>0</v>
      </c>
      <c r="Y442" s="276">
        <f>(Y342*'DATA - P&amp;L'!$C$34)+('DATA - P&amp;L'!$C$35*Y343)</f>
        <v>0</v>
      </c>
      <c r="Z442" s="276">
        <f>(Z342*'DATA - P&amp;L'!$C$34)+('DATA - P&amp;L'!$C$35*Z343)</f>
        <v>0</v>
      </c>
      <c r="AA442" s="276">
        <f>(AA342*'DATA - P&amp;L'!$C$34)+('DATA - P&amp;L'!$C$35*AA343)</f>
        <v>0</v>
      </c>
      <c r="AB442" s="276">
        <f>(AB342*'DATA - P&amp;L'!$C$34)+('DATA - P&amp;L'!$C$35*AB343)</f>
        <v>0</v>
      </c>
      <c r="AC442" s="276">
        <f>(AC342*'DATA - P&amp;L'!$C$34)+('DATA - P&amp;L'!$C$35*AC343)</f>
        <v>0</v>
      </c>
      <c r="AD442" s="276">
        <f>(AD342*'DATA - P&amp;L'!$C$34)+('DATA - P&amp;L'!$C$35*AD343)</f>
        <v>0</v>
      </c>
      <c r="AE442" s="276">
        <f>(AE342*'DATA - P&amp;L'!$C$34)+('DATA - P&amp;L'!$C$35*AE343)</f>
        <v>0</v>
      </c>
      <c r="AF442" s="276">
        <f>(AF342*'DATA - P&amp;L'!$C$34)+('DATA - P&amp;L'!$C$35*AF343)</f>
        <v>0</v>
      </c>
      <c r="AG442" s="167">
        <f t="shared" ref="AG442:AG445" si="129">SUM(B442:AF442)</f>
        <v>0</v>
      </c>
    </row>
    <row r="443">
      <c r="A443" s="375" t="s">
        <v>442</v>
      </c>
      <c r="B443" s="1008">
        <v>0.0</v>
      </c>
      <c r="C443" s="1008">
        <v>0.0</v>
      </c>
      <c r="D443" s="1008">
        <v>0.0</v>
      </c>
      <c r="E443" s="1008">
        <v>0.0</v>
      </c>
      <c r="F443" s="1008">
        <v>0.0</v>
      </c>
      <c r="G443" s="1008">
        <v>0.0</v>
      </c>
      <c r="H443" s="1008">
        <v>0.0</v>
      </c>
      <c r="I443" s="1008">
        <v>0.0</v>
      </c>
      <c r="J443" s="1008">
        <v>0.0</v>
      </c>
      <c r="K443" s="1008">
        <v>0.0</v>
      </c>
      <c r="L443" s="1008">
        <v>0.0</v>
      </c>
      <c r="M443" s="1008">
        <v>0.0</v>
      </c>
      <c r="N443" s="1008">
        <v>0.0</v>
      </c>
      <c r="O443" s="1008">
        <v>0.0</v>
      </c>
      <c r="P443" s="1008">
        <v>0.0</v>
      </c>
      <c r="Q443" s="1008">
        <v>314.0</v>
      </c>
      <c r="R443" s="1008">
        <v>100.81</v>
      </c>
      <c r="S443" s="1008">
        <v>602.48</v>
      </c>
      <c r="T443" s="1008">
        <v>0.0</v>
      </c>
      <c r="U443" s="1008">
        <v>479.9</v>
      </c>
      <c r="V443" s="1008">
        <v>0.0</v>
      </c>
      <c r="W443" s="1008">
        <v>0.0</v>
      </c>
      <c r="X443" s="1008">
        <v>0.0</v>
      </c>
      <c r="Y443" s="1008">
        <v>0.0</v>
      </c>
      <c r="Z443" s="1008">
        <v>0.0</v>
      </c>
      <c r="AA443" s="1008">
        <v>316.32</v>
      </c>
      <c r="AB443" s="1008">
        <v>0.0</v>
      </c>
      <c r="AC443" s="1008">
        <v>256.07</v>
      </c>
      <c r="AD443" s="1008">
        <v>0.0</v>
      </c>
      <c r="AE443" s="1008">
        <v>336.18</v>
      </c>
      <c r="AF443" s="1009">
        <v>0.0</v>
      </c>
      <c r="AG443" s="167">
        <f t="shared" si="129"/>
        <v>2405.76</v>
      </c>
    </row>
    <row r="444">
      <c r="A444" s="375" t="s">
        <v>899</v>
      </c>
      <c r="B444" s="276">
        <f t="shared" ref="B444:AF444" si="130">B346*15</f>
        <v>0</v>
      </c>
      <c r="C444" s="276">
        <f t="shared" si="130"/>
        <v>0</v>
      </c>
      <c r="D444" s="276">
        <f t="shared" si="130"/>
        <v>0</v>
      </c>
      <c r="E444" s="276">
        <f t="shared" si="130"/>
        <v>0</v>
      </c>
      <c r="F444" s="276">
        <f t="shared" si="130"/>
        <v>0</v>
      </c>
      <c r="G444" s="276">
        <f t="shared" si="130"/>
        <v>0</v>
      </c>
      <c r="H444" s="276">
        <f t="shared" si="130"/>
        <v>0</v>
      </c>
      <c r="I444" s="276">
        <f t="shared" si="130"/>
        <v>0</v>
      </c>
      <c r="J444" s="276">
        <f t="shared" si="130"/>
        <v>0</v>
      </c>
      <c r="K444" s="276">
        <f t="shared" si="130"/>
        <v>0</v>
      </c>
      <c r="L444" s="276">
        <f t="shared" si="130"/>
        <v>0</v>
      </c>
      <c r="M444" s="276">
        <f t="shared" si="130"/>
        <v>0</v>
      </c>
      <c r="N444" s="276">
        <f t="shared" si="130"/>
        <v>0</v>
      </c>
      <c r="O444" s="276">
        <f t="shared" si="130"/>
        <v>0</v>
      </c>
      <c r="P444" s="276">
        <f t="shared" si="130"/>
        <v>0</v>
      </c>
      <c r="Q444" s="276">
        <f t="shared" si="130"/>
        <v>15</v>
      </c>
      <c r="R444" s="276">
        <f t="shared" si="130"/>
        <v>15</v>
      </c>
      <c r="S444" s="276">
        <f t="shared" si="130"/>
        <v>30</v>
      </c>
      <c r="T444" s="276">
        <f t="shared" si="130"/>
        <v>0</v>
      </c>
      <c r="U444" s="276">
        <f t="shared" si="130"/>
        <v>30</v>
      </c>
      <c r="V444" s="276">
        <f t="shared" si="130"/>
        <v>0</v>
      </c>
      <c r="W444" s="276">
        <f t="shared" si="130"/>
        <v>0</v>
      </c>
      <c r="X444" s="276">
        <f t="shared" si="130"/>
        <v>0</v>
      </c>
      <c r="Y444" s="276">
        <f t="shared" si="130"/>
        <v>0</v>
      </c>
      <c r="Z444" s="276">
        <f t="shared" si="130"/>
        <v>0</v>
      </c>
      <c r="AA444" s="276">
        <f t="shared" si="130"/>
        <v>15</v>
      </c>
      <c r="AB444" s="276">
        <f t="shared" si="130"/>
        <v>0</v>
      </c>
      <c r="AC444" s="276">
        <f t="shared" si="130"/>
        <v>15</v>
      </c>
      <c r="AD444" s="276">
        <f t="shared" si="130"/>
        <v>0</v>
      </c>
      <c r="AE444" s="276">
        <f t="shared" si="130"/>
        <v>15</v>
      </c>
      <c r="AF444" s="276">
        <f t="shared" si="130"/>
        <v>0</v>
      </c>
      <c r="AG444" s="167">
        <f t="shared" si="129"/>
        <v>135</v>
      </c>
    </row>
    <row r="445">
      <c r="A445" s="1012" t="s">
        <v>905</v>
      </c>
      <c r="B445" s="1013">
        <v>0.0</v>
      </c>
      <c r="C445" s="1013">
        <v>0.0</v>
      </c>
      <c r="D445" s="1013">
        <v>0.0</v>
      </c>
      <c r="E445" s="1013">
        <v>0.0</v>
      </c>
      <c r="F445" s="1013">
        <v>0.0</v>
      </c>
      <c r="G445" s="1013">
        <v>0.0</v>
      </c>
      <c r="H445" s="1013">
        <v>0.0</v>
      </c>
      <c r="I445" s="1013">
        <v>0.0</v>
      </c>
      <c r="J445" s="1013">
        <v>0.0</v>
      </c>
      <c r="K445" s="1013">
        <v>0.0</v>
      </c>
      <c r="L445" s="1013">
        <v>0.0</v>
      </c>
      <c r="M445" s="1013">
        <v>0.0</v>
      </c>
      <c r="N445" s="1013">
        <v>0.0</v>
      </c>
      <c r="O445" s="1013">
        <v>69.8</v>
      </c>
      <c r="P445" s="1013">
        <v>0.0</v>
      </c>
      <c r="Q445" s="1013">
        <v>27.14</v>
      </c>
      <c r="R445" s="1013">
        <v>0.0</v>
      </c>
      <c r="S445" s="1013">
        <v>0.0</v>
      </c>
      <c r="T445" s="1013">
        <v>0.0</v>
      </c>
      <c r="U445" s="1013">
        <v>0.0</v>
      </c>
      <c r="V445" s="1013">
        <v>0.0</v>
      </c>
      <c r="W445" s="1013">
        <v>0.0</v>
      </c>
      <c r="X445" s="1013">
        <v>0.0</v>
      </c>
      <c r="Y445" s="1013">
        <v>0.0</v>
      </c>
      <c r="Z445" s="1013">
        <v>50.0</v>
      </c>
      <c r="AA445" s="1013">
        <v>0.0</v>
      </c>
      <c r="AB445" s="1013">
        <v>0.0</v>
      </c>
      <c r="AC445" s="1013">
        <v>0.0</v>
      </c>
      <c r="AD445" s="1013">
        <v>0.0</v>
      </c>
      <c r="AE445" s="1013">
        <v>0.0</v>
      </c>
      <c r="AF445" s="1018">
        <v>0.0</v>
      </c>
      <c r="AG445" s="167">
        <f t="shared" si="129"/>
        <v>146.94</v>
      </c>
    </row>
    <row r="446">
      <c r="A446" s="35"/>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0"/>
    </row>
    <row r="447">
      <c r="A447" s="534" t="s">
        <v>949</v>
      </c>
      <c r="B447" s="1021">
        <f t="shared" ref="B447:AF447" si="131">B395+B407+B443+B444+B445</f>
        <v>0</v>
      </c>
      <c r="C447" s="1022">
        <f t="shared" si="131"/>
        <v>0</v>
      </c>
      <c r="D447" s="384">
        <f t="shared" si="131"/>
        <v>0</v>
      </c>
      <c r="E447" s="1024">
        <f t="shared" si="131"/>
        <v>0</v>
      </c>
      <c r="F447" s="1025">
        <f t="shared" si="131"/>
        <v>1672</v>
      </c>
      <c r="G447" s="1026">
        <f t="shared" si="131"/>
        <v>832.99</v>
      </c>
      <c r="H447" s="391">
        <f t="shared" si="131"/>
        <v>210.94</v>
      </c>
      <c r="I447" s="389">
        <f t="shared" si="131"/>
        <v>0</v>
      </c>
      <c r="J447" s="1027">
        <f t="shared" si="131"/>
        <v>0</v>
      </c>
      <c r="K447" s="1028">
        <f t="shared" si="131"/>
        <v>755.38</v>
      </c>
      <c r="L447" s="1030">
        <f t="shared" si="131"/>
        <v>650.94</v>
      </c>
      <c r="M447" s="1031">
        <f t="shared" si="131"/>
        <v>0</v>
      </c>
      <c r="N447" s="1032">
        <f t="shared" si="131"/>
        <v>225.72</v>
      </c>
      <c r="O447" s="1033">
        <f t="shared" si="131"/>
        <v>1457.13</v>
      </c>
      <c r="P447" s="391">
        <f t="shared" si="131"/>
        <v>0</v>
      </c>
      <c r="Q447" s="391">
        <f t="shared" si="131"/>
        <v>585.14</v>
      </c>
      <c r="R447" s="391">
        <f t="shared" si="131"/>
        <v>1071.98</v>
      </c>
      <c r="S447" s="391">
        <f t="shared" si="131"/>
        <v>1334.64</v>
      </c>
      <c r="T447" s="391">
        <f t="shared" si="131"/>
        <v>405.13</v>
      </c>
      <c r="U447" s="391">
        <f t="shared" si="131"/>
        <v>1139.68</v>
      </c>
      <c r="V447" s="391">
        <f t="shared" si="131"/>
        <v>386.16</v>
      </c>
      <c r="W447" s="391">
        <f t="shared" si="131"/>
        <v>35.23</v>
      </c>
      <c r="X447" s="391">
        <f t="shared" si="131"/>
        <v>279</v>
      </c>
      <c r="Y447" s="391">
        <f t="shared" si="131"/>
        <v>4010.39</v>
      </c>
      <c r="Z447" s="391">
        <f t="shared" si="131"/>
        <v>14854.64</v>
      </c>
      <c r="AA447" s="391">
        <f t="shared" si="131"/>
        <v>13624.54</v>
      </c>
      <c r="AB447" s="391">
        <f t="shared" si="131"/>
        <v>4999.97</v>
      </c>
      <c r="AC447" s="391">
        <f t="shared" si="131"/>
        <v>18638.94</v>
      </c>
      <c r="AD447" s="391">
        <f t="shared" si="131"/>
        <v>7573.26</v>
      </c>
      <c r="AE447" s="391">
        <f t="shared" si="131"/>
        <v>9830.75</v>
      </c>
      <c r="AF447" s="391">
        <f t="shared" si="131"/>
        <v>5731.5</v>
      </c>
      <c r="AG447" s="167">
        <f>SUM(B447:AF447)</f>
        <v>90306.05</v>
      </c>
    </row>
    <row r="448">
      <c r="A448" s="35"/>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0"/>
    </row>
    <row r="449">
      <c r="A449" s="322" t="s">
        <v>592</v>
      </c>
      <c r="B449" s="529">
        <f t="shared" ref="B449:AF449" si="132">B383+B396+B408-B423-B442-B443-B445</f>
        <v>0</v>
      </c>
      <c r="C449" s="529">
        <f t="shared" si="132"/>
        <v>0</v>
      </c>
      <c r="D449" s="529">
        <f t="shared" si="132"/>
        <v>-105.15</v>
      </c>
      <c r="E449" s="529">
        <f t="shared" si="132"/>
        <v>-105.15</v>
      </c>
      <c r="F449" s="529">
        <f t="shared" si="132"/>
        <v>-1147.321</v>
      </c>
      <c r="G449" s="529">
        <f t="shared" si="132"/>
        <v>-552.78</v>
      </c>
      <c r="H449" s="529">
        <f t="shared" si="132"/>
        <v>-201.23</v>
      </c>
      <c r="I449" s="529">
        <f t="shared" si="132"/>
        <v>0</v>
      </c>
      <c r="J449" s="529">
        <f t="shared" si="132"/>
        <v>0</v>
      </c>
      <c r="K449" s="529">
        <f t="shared" si="132"/>
        <v>-504.62</v>
      </c>
      <c r="L449" s="529">
        <f t="shared" si="132"/>
        <v>-520.08375</v>
      </c>
      <c r="M449" s="529">
        <f t="shared" si="132"/>
        <v>0</v>
      </c>
      <c r="N449" s="529">
        <f t="shared" si="132"/>
        <v>-216.01</v>
      </c>
      <c r="O449" s="529">
        <f t="shared" si="132"/>
        <v>-1385.64375</v>
      </c>
      <c r="P449" s="529">
        <f t="shared" si="132"/>
        <v>0</v>
      </c>
      <c r="Q449" s="529">
        <f t="shared" si="132"/>
        <v>-559.77375</v>
      </c>
      <c r="R449" s="529">
        <f t="shared" si="132"/>
        <v>-855.56</v>
      </c>
      <c r="S449" s="529">
        <f t="shared" si="132"/>
        <v>-1006.96</v>
      </c>
      <c r="T449" s="529">
        <f t="shared" si="132"/>
        <v>-1136.895</v>
      </c>
      <c r="U449" s="529">
        <f t="shared" si="132"/>
        <v>-1182.67375</v>
      </c>
      <c r="V449" s="529">
        <f t="shared" si="132"/>
        <v>-344.42</v>
      </c>
      <c r="W449" s="529">
        <f t="shared" si="132"/>
        <v>-20.98</v>
      </c>
      <c r="X449" s="529">
        <f t="shared" si="132"/>
        <v>-157.51</v>
      </c>
      <c r="Y449" s="529">
        <f t="shared" si="132"/>
        <v>-3323.87125</v>
      </c>
      <c r="Z449" s="529">
        <f t="shared" si="132"/>
        <v>-16607.49225</v>
      </c>
      <c r="AA449" s="529">
        <f t="shared" si="132"/>
        <v>-12863.335</v>
      </c>
      <c r="AB449" s="529">
        <f t="shared" si="132"/>
        <v>-4739.65725</v>
      </c>
      <c r="AC449" s="529">
        <f t="shared" si="132"/>
        <v>-18786.07575</v>
      </c>
      <c r="AD449" s="529">
        <f t="shared" si="132"/>
        <v>-7231.4</v>
      </c>
      <c r="AE449" s="529">
        <f t="shared" si="132"/>
        <v>-9115.59375</v>
      </c>
      <c r="AF449" s="529">
        <f t="shared" si="132"/>
        <v>-5006.86375</v>
      </c>
      <c r="AG449" s="167">
        <f>SUM(B449:AF449)</f>
        <v>-87677.05</v>
      </c>
    </row>
    <row r="450">
      <c r="A450" s="35"/>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0"/>
    </row>
    <row r="451">
      <c r="A451" s="35"/>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0"/>
    </row>
    <row r="452">
      <c r="A452" s="531"/>
      <c r="B452" s="1039"/>
      <c r="C452" s="1039"/>
      <c r="D452" s="1039"/>
      <c r="E452" s="1039"/>
      <c r="F452" s="1039"/>
      <c r="G452" s="1039"/>
      <c r="H452" s="1039"/>
      <c r="I452" s="1039"/>
      <c r="J452" s="1039"/>
      <c r="K452" s="1039"/>
      <c r="L452" s="1039"/>
      <c r="M452" s="1039"/>
      <c r="N452" s="1039"/>
      <c r="O452" s="1039"/>
      <c r="P452" s="1039"/>
      <c r="Q452" s="1039"/>
      <c r="R452" s="1039"/>
      <c r="S452" s="1039"/>
      <c r="T452" s="1039"/>
      <c r="U452" s="1039"/>
      <c r="V452" s="1039"/>
      <c r="W452" s="1039"/>
      <c r="X452" s="1039"/>
      <c r="Y452" s="1039"/>
      <c r="Z452" s="1039"/>
      <c r="AA452" s="1039"/>
      <c r="AB452" s="1039"/>
      <c r="AC452" s="1039"/>
      <c r="AD452" s="1039"/>
      <c r="AE452" s="1039"/>
      <c r="AF452" s="1039"/>
      <c r="AG452" s="1040"/>
    </row>
    <row r="453">
      <c r="A453" s="534" t="s">
        <v>619</v>
      </c>
      <c r="B453" s="528"/>
      <c r="C453" s="528"/>
      <c r="D453" s="528"/>
      <c r="E453" s="528"/>
      <c r="F453" s="528"/>
      <c r="G453" s="528"/>
      <c r="H453" s="528"/>
      <c r="I453" s="528"/>
      <c r="J453" s="528"/>
      <c r="K453" s="528"/>
      <c r="L453" s="528"/>
      <c r="M453" s="528"/>
      <c r="N453" s="528"/>
      <c r="O453" s="528"/>
      <c r="P453" s="528"/>
      <c r="Q453" s="528"/>
      <c r="R453" s="528"/>
      <c r="S453" s="528"/>
      <c r="T453" s="528"/>
      <c r="U453" s="24"/>
      <c r="V453" s="24"/>
      <c r="W453" s="24"/>
      <c r="X453" s="24"/>
      <c r="Y453" s="24"/>
      <c r="Z453" s="24"/>
      <c r="AA453" s="24"/>
      <c r="AB453" s="24"/>
      <c r="AC453" s="24"/>
      <c r="AD453" s="24"/>
      <c r="AE453" s="24"/>
      <c r="AF453" s="24"/>
      <c r="AG453" s="20"/>
    </row>
    <row r="454">
      <c r="A454" s="535">
        <f>A374</f>
        <v>1375029.76</v>
      </c>
      <c r="B454" s="528"/>
      <c r="C454" s="528"/>
      <c r="D454" s="528"/>
      <c r="E454" s="528"/>
      <c r="F454" s="528"/>
      <c r="G454" s="528"/>
      <c r="H454" s="528"/>
      <c r="I454" s="528"/>
      <c r="J454" s="528"/>
      <c r="K454" s="528"/>
      <c r="L454" s="528"/>
      <c r="M454" s="528"/>
      <c r="N454" s="528"/>
      <c r="O454" s="528"/>
      <c r="P454" s="528"/>
      <c r="Q454" s="528"/>
      <c r="R454" s="528"/>
      <c r="S454" s="528"/>
      <c r="T454" s="528"/>
      <c r="U454" s="24"/>
      <c r="V454" s="24"/>
      <c r="W454" s="24"/>
      <c r="X454" s="24"/>
      <c r="Y454" s="24"/>
      <c r="Z454" s="24"/>
      <c r="AA454" s="24"/>
      <c r="AB454" s="24"/>
      <c r="AC454" s="24"/>
      <c r="AD454" s="24"/>
      <c r="AE454" s="24"/>
      <c r="AF454" s="24"/>
      <c r="AG454" s="20"/>
    </row>
    <row r="455">
      <c r="A455" s="1043" t="s">
        <v>972</v>
      </c>
      <c r="B455" s="539">
        <f t="shared" ref="B455:AF455" si="133">B375+B449</f>
        <v>9899.797528</v>
      </c>
      <c r="C455" s="1045">
        <f t="shared" si="133"/>
        <v>7205.192723</v>
      </c>
      <c r="D455" s="1046">
        <f t="shared" si="133"/>
        <v>2206.224663</v>
      </c>
      <c r="E455" s="1047">
        <f t="shared" si="133"/>
        <v>1649.56918</v>
      </c>
      <c r="F455" s="1049">
        <f t="shared" si="133"/>
        <v>72.0837756</v>
      </c>
      <c r="G455" s="1050">
        <f t="shared" si="133"/>
        <v>2270.737547</v>
      </c>
      <c r="H455" s="1051">
        <f t="shared" si="133"/>
        <v>3027.743673</v>
      </c>
      <c r="I455" s="1052">
        <f t="shared" si="133"/>
        <v>6707.809903</v>
      </c>
      <c r="J455" s="1053">
        <f t="shared" si="133"/>
        <v>2484.154777</v>
      </c>
      <c r="K455" s="547">
        <f t="shared" si="133"/>
        <v>1349.201242</v>
      </c>
      <c r="L455" s="1054">
        <f t="shared" si="133"/>
        <v>2242.423662</v>
      </c>
      <c r="M455" s="1055">
        <f t="shared" si="133"/>
        <v>8350.871949</v>
      </c>
      <c r="N455" s="1056">
        <f t="shared" si="133"/>
        <v>19785.04499</v>
      </c>
      <c r="O455" s="1058">
        <f t="shared" si="133"/>
        <v>10466.52697</v>
      </c>
      <c r="P455" s="1059">
        <f t="shared" si="133"/>
        <v>2843.056398</v>
      </c>
      <c r="Q455" s="1060">
        <f t="shared" si="133"/>
        <v>-595.7914141</v>
      </c>
      <c r="R455" s="1061">
        <f t="shared" si="133"/>
        <v>-5797.85262</v>
      </c>
      <c r="S455" s="1062">
        <f t="shared" si="133"/>
        <v>4152.088671</v>
      </c>
      <c r="T455" s="1063">
        <f t="shared" si="133"/>
        <v>-2348.67878</v>
      </c>
      <c r="U455" s="1064">
        <f t="shared" si="133"/>
        <v>338.0688788</v>
      </c>
      <c r="V455" s="389">
        <f t="shared" si="133"/>
        <v>-1396.622798</v>
      </c>
      <c r="W455" s="1065">
        <f t="shared" si="133"/>
        <v>-2104.000911</v>
      </c>
      <c r="X455" s="1066">
        <f t="shared" si="133"/>
        <v>-7605.202303</v>
      </c>
      <c r="Y455" s="1067">
        <f t="shared" si="133"/>
        <v>-7045.314711</v>
      </c>
      <c r="Z455" s="1068">
        <f t="shared" si="133"/>
        <v>-17444.22543</v>
      </c>
      <c r="AA455" s="1069">
        <f t="shared" si="133"/>
        <v>-14422.01105</v>
      </c>
      <c r="AB455" s="564">
        <f t="shared" si="133"/>
        <v>-2964.192299</v>
      </c>
      <c r="AC455" s="564">
        <f t="shared" si="133"/>
        <v>-18214.36157</v>
      </c>
      <c r="AD455" s="1070">
        <f t="shared" si="133"/>
        <v>-5313.536815</v>
      </c>
      <c r="AE455" s="1071">
        <f t="shared" si="133"/>
        <v>-6515.088554</v>
      </c>
      <c r="AF455" s="1071">
        <f t="shared" si="133"/>
        <v>1512.349532</v>
      </c>
      <c r="AG455" s="167">
        <f>SUM(B455:AF455)</f>
        <v>-5203.9332</v>
      </c>
    </row>
    <row r="456">
      <c r="A456" s="535">
        <f>SUM(B455:AE455)</f>
        <v>-6716.282733</v>
      </c>
      <c r="B456" s="528"/>
      <c r="C456" s="528"/>
      <c r="D456" s="528"/>
      <c r="E456" s="528"/>
      <c r="F456" s="528"/>
      <c r="G456" s="528"/>
      <c r="H456" s="528"/>
      <c r="I456" s="528"/>
      <c r="J456" s="528"/>
      <c r="K456" s="528"/>
      <c r="L456" s="528"/>
      <c r="M456" s="528"/>
      <c r="N456" s="528"/>
      <c r="O456" s="528"/>
      <c r="P456" s="528"/>
      <c r="Q456" s="528"/>
      <c r="R456" s="528"/>
      <c r="S456" s="528"/>
      <c r="T456" s="528"/>
      <c r="U456" s="528"/>
      <c r="V456" s="528"/>
      <c r="W456" s="528"/>
      <c r="X456" s="528"/>
      <c r="Y456" s="528"/>
      <c r="Z456" s="528"/>
      <c r="AA456" s="528"/>
      <c r="AB456" s="528"/>
      <c r="AC456" s="528"/>
      <c r="AD456" s="528"/>
      <c r="AE456" s="528"/>
      <c r="AF456" s="528"/>
      <c r="AG456" s="167"/>
    </row>
    <row r="457">
      <c r="A457" s="534" t="s">
        <v>976</v>
      </c>
      <c r="B457" s="1072">
        <f t="shared" ref="B457:AF457" si="134">B455/B50</f>
        <v>0.2168942502</v>
      </c>
      <c r="C457" s="1073">
        <f t="shared" si="134"/>
        <v>0.1598545113</v>
      </c>
      <c r="D457" s="1074">
        <f t="shared" si="134"/>
        <v>0.05667369227</v>
      </c>
      <c r="E457" s="1075">
        <f t="shared" si="134"/>
        <v>0.03870055078</v>
      </c>
      <c r="F457" s="566">
        <f t="shared" si="134"/>
        <v>0.001755871939</v>
      </c>
      <c r="G457" s="1075">
        <f t="shared" si="134"/>
        <v>0.05144509334</v>
      </c>
      <c r="H457" s="1076">
        <f t="shared" si="134"/>
        <v>0.06519401434</v>
      </c>
      <c r="I457" s="1078">
        <f t="shared" si="134"/>
        <v>0.1223499648</v>
      </c>
      <c r="J457" s="565">
        <f t="shared" si="134"/>
        <v>0.04755005704</v>
      </c>
      <c r="K457" s="1079">
        <f t="shared" si="134"/>
        <v>0.0271343273</v>
      </c>
      <c r="L457" s="581">
        <f t="shared" si="134"/>
        <v>0.0453509252</v>
      </c>
      <c r="M457" s="1080">
        <f t="shared" si="134"/>
        <v>0.1672519597</v>
      </c>
      <c r="N457" s="1081">
        <f t="shared" si="134"/>
        <v>0.252021421</v>
      </c>
      <c r="O457" s="1082">
        <f t="shared" si="134"/>
        <v>0.1487295528</v>
      </c>
      <c r="P457" s="583">
        <f t="shared" si="134"/>
        <v>0.04735536285</v>
      </c>
      <c r="Q457" s="1083">
        <f t="shared" si="134"/>
        <v>-0.009805866621</v>
      </c>
      <c r="R457" s="565">
        <f t="shared" si="134"/>
        <v>-0.1724633624</v>
      </c>
      <c r="S457" s="1084">
        <f t="shared" si="134"/>
        <v>0.06971998538</v>
      </c>
      <c r="T457" s="1081">
        <f t="shared" si="134"/>
        <v>-0.05423070714</v>
      </c>
      <c r="U457" s="1085">
        <f t="shared" si="134"/>
        <v>0.006827031775</v>
      </c>
      <c r="V457" s="1086">
        <f t="shared" si="134"/>
        <v>-0.03081873531</v>
      </c>
      <c r="W457" s="1087">
        <f t="shared" si="134"/>
        <v>-0.04627402771</v>
      </c>
      <c r="X457" s="1088">
        <f t="shared" si="134"/>
        <v>-0.1924674789</v>
      </c>
      <c r="Y457" s="1089">
        <f t="shared" si="134"/>
        <v>-0.2162444245</v>
      </c>
      <c r="Z457" s="1090">
        <f t="shared" si="134"/>
        <v>-0.5101941113</v>
      </c>
      <c r="AA457" s="1079">
        <f t="shared" si="134"/>
        <v>-0.4584282634</v>
      </c>
      <c r="AB457" s="579">
        <f t="shared" si="134"/>
        <v>-0.08505485449</v>
      </c>
      <c r="AC457" s="1085">
        <f t="shared" si="134"/>
        <v>-0.5655041133</v>
      </c>
      <c r="AD457" s="1091">
        <f t="shared" si="134"/>
        <v>-0.167821638</v>
      </c>
      <c r="AE457" s="1092">
        <f t="shared" si="134"/>
        <v>-0.2033818859</v>
      </c>
      <c r="AF457" s="1092">
        <f t="shared" si="134"/>
        <v>0.04145923425</v>
      </c>
      <c r="AG457" s="270"/>
    </row>
    <row r="458">
      <c r="A458" s="595">
        <f>A456/A374</f>
        <v>-0.004884463543</v>
      </c>
      <c r="B458" s="528"/>
      <c r="C458" s="528"/>
      <c r="D458" s="528"/>
      <c r="E458" s="528"/>
      <c r="F458" s="528"/>
      <c r="G458" s="528"/>
      <c r="H458" s="528"/>
      <c r="I458" s="528"/>
      <c r="J458" s="528"/>
      <c r="K458" s="528"/>
      <c r="L458" s="528"/>
      <c r="M458" s="528"/>
      <c r="N458" s="528"/>
      <c r="O458" s="528"/>
      <c r="P458" s="528"/>
      <c r="Q458" s="528"/>
      <c r="R458" s="528"/>
      <c r="S458" s="528"/>
      <c r="T458" s="528"/>
      <c r="U458" s="528"/>
      <c r="V458" s="528"/>
      <c r="W458" s="528"/>
      <c r="X458" s="528"/>
      <c r="Y458" s="528"/>
      <c r="Z458" s="528"/>
      <c r="AA458" s="528"/>
      <c r="AB458" s="528"/>
      <c r="AC458" s="528"/>
      <c r="AD458" s="528"/>
      <c r="AE458" s="528"/>
      <c r="AF458" s="528"/>
      <c r="AG458" s="270"/>
    </row>
    <row r="459">
      <c r="A459" s="598" t="s">
        <v>627</v>
      </c>
      <c r="B459" s="603">
        <f>Summary!B32</f>
        <v>3.95107724</v>
      </c>
      <c r="C459" s="603">
        <f>Summary!C32</f>
        <v>3.26450786</v>
      </c>
      <c r="D459" s="603">
        <f>Summary!D32</f>
        <v>2.500724031</v>
      </c>
      <c r="E459" s="603">
        <f>Summary!E32</f>
        <v>2.395077821</v>
      </c>
      <c r="F459" s="603">
        <f>Summary!F32</f>
        <v>2.411125884</v>
      </c>
      <c r="G459" s="603">
        <f>Summary!G32</f>
        <v>2.58061058</v>
      </c>
      <c r="H459" s="603">
        <f>Summary!H32</f>
        <v>2.666027191</v>
      </c>
      <c r="I459" s="603">
        <f>Summary!I32</f>
        <v>3.03373611</v>
      </c>
      <c r="J459" s="603">
        <f>Summary!J32</f>
        <v>2.435459422</v>
      </c>
      <c r="K459" s="603">
        <f>Summary!K32</f>
        <v>2.427926581</v>
      </c>
      <c r="L459" s="603">
        <f>Summary!L32</f>
        <v>2.624338888</v>
      </c>
      <c r="M459" s="603">
        <f>Summary!M32</f>
        <v>3.687203887</v>
      </c>
      <c r="N459" s="603">
        <f>Summary!N32</f>
        <v>5.691077637</v>
      </c>
      <c r="O459" s="603">
        <f>Summary!O32</f>
        <v>3.952112721</v>
      </c>
      <c r="P459" s="603">
        <f>Summary!P32</f>
        <v>2.596024753</v>
      </c>
      <c r="Q459" s="603">
        <f>Summary!Q32</f>
        <v>2.309092128</v>
      </c>
      <c r="R459" s="603">
        <f>Summary!R32</f>
        <v>1.71780725</v>
      </c>
      <c r="S459" s="603">
        <f>Summary!S32</f>
        <v>2.822961292</v>
      </c>
      <c r="T459" s="603">
        <f>Summary!T32</f>
        <v>2.095212493</v>
      </c>
      <c r="U459" s="603">
        <f>Summary!U32</f>
        <v>2.371848946</v>
      </c>
      <c r="V459" s="603">
        <f>Summary!V32</f>
        <v>2.066249759</v>
      </c>
      <c r="W459" s="603">
        <f>Summary!W32</f>
        <v>1.902903187</v>
      </c>
      <c r="X459" s="603">
        <f>Summary!X32</f>
        <v>1.495304737</v>
      </c>
      <c r="Y459" s="603">
        <f>Summary!Y32</f>
        <v>1.680575262</v>
      </c>
      <c r="Z459" s="603">
        <f>Summary!Z32</f>
        <v>2.02219267</v>
      </c>
      <c r="AA459" s="603">
        <f>Summary!AA32</f>
        <v>1.929745672</v>
      </c>
      <c r="AB459" s="603">
        <f>Summary!AB32</f>
        <v>2.383361504</v>
      </c>
      <c r="AC459" s="603">
        <f>Summary!AC32</f>
        <v>2.301695016</v>
      </c>
      <c r="AD459" s="603">
        <f>Summary!AD32</f>
        <v>2.444377191</v>
      </c>
      <c r="AE459" s="603">
        <f>Summary!AE32</f>
        <v>2.564246984</v>
      </c>
      <c r="AF459" s="603">
        <f>Summary!AF32</f>
        <v>3.445518041</v>
      </c>
      <c r="AG459" s="533"/>
    </row>
    <row r="460">
      <c r="A460" s="35"/>
      <c r="B460" s="528"/>
      <c r="C460" s="528"/>
      <c r="D460" s="528"/>
      <c r="E460" s="528"/>
      <c r="F460" s="528"/>
      <c r="G460" s="528"/>
      <c r="H460" s="528"/>
      <c r="I460" s="528"/>
      <c r="J460" s="528"/>
      <c r="K460" s="528"/>
      <c r="L460" s="528"/>
      <c r="M460" s="528"/>
      <c r="N460" s="528"/>
      <c r="O460" s="528"/>
      <c r="P460" s="528"/>
      <c r="Q460" s="528"/>
      <c r="R460" s="528"/>
      <c r="S460" s="528"/>
      <c r="T460" s="528"/>
      <c r="U460" s="528"/>
      <c r="V460" s="528"/>
      <c r="W460" s="528"/>
      <c r="X460" s="528"/>
      <c r="Y460" s="528"/>
      <c r="Z460" s="528"/>
      <c r="AA460" s="528"/>
      <c r="AB460" s="528"/>
      <c r="AC460" s="528"/>
      <c r="AD460" s="528"/>
      <c r="AE460" s="528"/>
      <c r="AF460" s="528"/>
      <c r="AG460" s="20"/>
    </row>
    <row r="461">
      <c r="A461" s="35"/>
      <c r="B461" s="528"/>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0"/>
    </row>
    <row r="462">
      <c r="A462" s="35"/>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0"/>
    </row>
    <row r="463">
      <c r="A463" s="42" t="s">
        <v>983</v>
      </c>
      <c r="B463" s="84">
        <f t="shared" ref="B463:AG463" si="135">B375/B42</f>
        <v>50.50917106</v>
      </c>
      <c r="C463" s="84">
        <f t="shared" si="135"/>
        <v>39.8076946</v>
      </c>
      <c r="D463" s="84">
        <f t="shared" si="135"/>
        <v>14.53694757</v>
      </c>
      <c r="E463" s="84">
        <f t="shared" si="135"/>
        <v>9.383525029</v>
      </c>
      <c r="F463" s="84">
        <f t="shared" si="135"/>
        <v>7.008073423</v>
      </c>
      <c r="G463" s="84">
        <f t="shared" si="135"/>
        <v>15.18020187</v>
      </c>
      <c r="H463" s="84">
        <f t="shared" si="135"/>
        <v>16.39072931</v>
      </c>
      <c r="I463" s="84">
        <f t="shared" si="135"/>
        <v>28.06615022</v>
      </c>
      <c r="J463" s="84">
        <f t="shared" si="135"/>
        <v>11.24051935</v>
      </c>
      <c r="K463" s="84">
        <f t="shared" si="135"/>
        <v>8.464937176</v>
      </c>
      <c r="L463" s="84">
        <f t="shared" si="135"/>
        <v>13.1547972</v>
      </c>
      <c r="M463" s="84">
        <f t="shared" si="135"/>
        <v>41.75435975</v>
      </c>
      <c r="N463" s="84">
        <f t="shared" si="135"/>
        <v>60.06322819</v>
      </c>
      <c r="O463" s="84">
        <f t="shared" si="135"/>
        <v>40.31350584</v>
      </c>
      <c r="P463" s="84">
        <f t="shared" si="135"/>
        <v>11.14924078</v>
      </c>
      <c r="Q463" s="84">
        <f t="shared" si="135"/>
        <v>-0.1406940004</v>
      </c>
      <c r="R463" s="84">
        <f t="shared" si="135"/>
        <v>-32.30256615</v>
      </c>
      <c r="S463" s="84">
        <f t="shared" si="135"/>
        <v>21.49603613</v>
      </c>
      <c r="T463" s="84">
        <f t="shared" si="135"/>
        <v>-6.846236047</v>
      </c>
      <c r="U463" s="84">
        <f t="shared" si="135"/>
        <v>7.603713144</v>
      </c>
      <c r="V463" s="84">
        <f t="shared" si="135"/>
        <v>-5.480222909</v>
      </c>
      <c r="W463" s="84">
        <f t="shared" si="135"/>
        <v>-10.90586865</v>
      </c>
      <c r="X463" s="84">
        <f t="shared" si="135"/>
        <v>-43.05024453</v>
      </c>
      <c r="Y463" s="84">
        <f t="shared" si="135"/>
        <v>-28.62648816</v>
      </c>
      <c r="Z463" s="84">
        <f t="shared" si="135"/>
        <v>-6.198023542</v>
      </c>
      <c r="AA463" s="84">
        <f t="shared" si="135"/>
        <v>-13.09811811</v>
      </c>
      <c r="AB463" s="84">
        <f t="shared" si="135"/>
        <v>13.6574227</v>
      </c>
      <c r="AC463" s="84">
        <f t="shared" si="135"/>
        <v>4.298602851</v>
      </c>
      <c r="AD463" s="84">
        <f t="shared" si="135"/>
        <v>14.64017699</v>
      </c>
      <c r="AE463" s="84">
        <f t="shared" si="135"/>
        <v>19.70079694</v>
      </c>
      <c r="AF463" s="1094">
        <f t="shared" si="135"/>
        <v>46.23555519</v>
      </c>
      <c r="AG463" s="309">
        <f t="shared" si="135"/>
        <v>14.01650523</v>
      </c>
    </row>
    <row r="464">
      <c r="A464" s="35"/>
      <c r="B464" s="528"/>
      <c r="C464" s="528"/>
      <c r="D464" s="528"/>
      <c r="E464" s="528"/>
      <c r="F464" s="528"/>
      <c r="G464" s="528"/>
      <c r="H464" s="528"/>
      <c r="I464" s="528"/>
      <c r="J464" s="528"/>
      <c r="K464" s="528"/>
      <c r="L464" s="528"/>
      <c r="M464" s="528"/>
      <c r="N464" s="528"/>
      <c r="O464" s="528"/>
      <c r="P464" s="528"/>
      <c r="Q464" s="528"/>
      <c r="R464" s="528"/>
      <c r="S464" s="528"/>
      <c r="T464" s="528"/>
      <c r="U464" s="528"/>
      <c r="V464" s="528"/>
      <c r="W464" s="528"/>
      <c r="X464" s="528"/>
      <c r="Y464" s="528"/>
      <c r="Z464" s="528"/>
      <c r="AA464" s="528"/>
      <c r="AB464" s="528"/>
      <c r="AC464" s="528"/>
      <c r="AD464" s="528"/>
      <c r="AE464" s="528"/>
      <c r="AF464" s="528"/>
      <c r="AG464" s="270"/>
    </row>
    <row r="465">
      <c r="A465" s="42" t="s">
        <v>986</v>
      </c>
      <c r="B465" s="84">
        <f t="shared" ref="B465:AF465" si="136">B455/B42</f>
        <v>50.50917106</v>
      </c>
      <c r="C465" s="84">
        <f t="shared" si="136"/>
        <v>39.8076946</v>
      </c>
      <c r="D465" s="84">
        <f t="shared" si="136"/>
        <v>13.87562681</v>
      </c>
      <c r="E465" s="84">
        <f t="shared" si="136"/>
        <v>8.821225564</v>
      </c>
      <c r="F465" s="84">
        <f t="shared" si="136"/>
        <v>0.4142745724</v>
      </c>
      <c r="G465" s="84">
        <f t="shared" si="136"/>
        <v>12.20826638</v>
      </c>
      <c r="H465" s="84">
        <f t="shared" si="136"/>
        <v>15.36925723</v>
      </c>
      <c r="I465" s="84">
        <f t="shared" si="136"/>
        <v>28.06615022</v>
      </c>
      <c r="J465" s="84">
        <f t="shared" si="136"/>
        <v>11.24051935</v>
      </c>
      <c r="K465" s="84">
        <f t="shared" si="136"/>
        <v>6.160736263</v>
      </c>
      <c r="L465" s="84">
        <f t="shared" si="136"/>
        <v>10.67820791</v>
      </c>
      <c r="M465" s="84">
        <f t="shared" si="136"/>
        <v>41.75435975</v>
      </c>
      <c r="N465" s="84">
        <f t="shared" si="136"/>
        <v>59.41454951</v>
      </c>
      <c r="O465" s="84">
        <f t="shared" si="136"/>
        <v>35.60043186</v>
      </c>
      <c r="P465" s="84">
        <f t="shared" si="136"/>
        <v>11.14924078</v>
      </c>
      <c r="Q465" s="84">
        <f t="shared" si="136"/>
        <v>-2.327310211</v>
      </c>
      <c r="R465" s="84">
        <f t="shared" si="136"/>
        <v>-37.89446157</v>
      </c>
      <c r="S465" s="84">
        <f t="shared" si="136"/>
        <v>17.30036946</v>
      </c>
      <c r="T465" s="84">
        <f t="shared" si="136"/>
        <v>-13.26937164</v>
      </c>
      <c r="U465" s="84">
        <f t="shared" si="136"/>
        <v>1.690344394</v>
      </c>
      <c r="V465" s="84">
        <f t="shared" si="136"/>
        <v>-7.274077075</v>
      </c>
      <c r="W465" s="84">
        <f t="shared" si="136"/>
        <v>-11.01571158</v>
      </c>
      <c r="X465" s="84">
        <f t="shared" si="136"/>
        <v>-43.96070696</v>
      </c>
      <c r="Y465" s="84">
        <f t="shared" si="136"/>
        <v>-54.19472855</v>
      </c>
      <c r="Z465" s="84">
        <f t="shared" si="136"/>
        <v>-129.2164847</v>
      </c>
      <c r="AA465" s="84">
        <f t="shared" si="136"/>
        <v>-121.1933702</v>
      </c>
      <c r="AB465" s="84">
        <f t="shared" si="136"/>
        <v>-22.80147922</v>
      </c>
      <c r="AC465" s="84">
        <f t="shared" si="136"/>
        <v>-136.950087</v>
      </c>
      <c r="AD465" s="84">
        <f t="shared" si="136"/>
        <v>-40.56134973</v>
      </c>
      <c r="AE465" s="84">
        <f t="shared" si="136"/>
        <v>-49.35673147</v>
      </c>
      <c r="AF465" s="1094">
        <f t="shared" si="136"/>
        <v>10.72588321</v>
      </c>
      <c r="AG465" s="309">
        <f>B455/AG42</f>
        <v>1.682494481</v>
      </c>
    </row>
    <row r="466">
      <c r="A466" s="35"/>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0"/>
    </row>
    <row r="467">
      <c r="A467" s="35"/>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0"/>
    </row>
    <row r="468">
      <c r="A468" s="35"/>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0"/>
    </row>
    <row r="469">
      <c r="A469" s="35"/>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0"/>
    </row>
    <row r="470">
      <c r="A470" s="35"/>
      <c r="B470" s="528"/>
      <c r="C470" s="528"/>
      <c r="D470" s="528"/>
      <c r="E470" s="528"/>
      <c r="F470" s="528"/>
      <c r="G470" s="528"/>
      <c r="H470" s="528"/>
      <c r="I470" s="528"/>
      <c r="J470" s="528"/>
      <c r="K470" s="528"/>
      <c r="L470" s="528"/>
      <c r="M470" s="528"/>
      <c r="N470" s="528"/>
      <c r="O470" s="528"/>
      <c r="P470" s="528"/>
      <c r="Q470" s="528"/>
      <c r="R470" s="528"/>
      <c r="S470" s="528"/>
      <c r="T470" s="528"/>
      <c r="U470" s="24"/>
      <c r="V470" s="24"/>
      <c r="W470" s="24"/>
      <c r="X470" s="24"/>
      <c r="Y470" s="24"/>
      <c r="Z470" s="24"/>
      <c r="AA470" s="24"/>
      <c r="AB470" s="24"/>
      <c r="AC470" s="24"/>
      <c r="AD470" s="24"/>
      <c r="AE470" s="24"/>
      <c r="AF470" s="24"/>
      <c r="AG470" s="20"/>
    </row>
    <row r="471">
      <c r="A471" s="35"/>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0"/>
    </row>
    <row r="472">
      <c r="A472" s="35"/>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0"/>
    </row>
    <row r="473">
      <c r="A473" s="35"/>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0"/>
    </row>
    <row r="474">
      <c r="A474" s="35"/>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0"/>
    </row>
    <row r="475">
      <c r="A475" s="35"/>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0"/>
    </row>
    <row r="476">
      <c r="A476" s="35"/>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0"/>
    </row>
    <row r="477">
      <c r="A477" s="35"/>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0"/>
    </row>
    <row r="478">
      <c r="A478" s="35"/>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0"/>
    </row>
    <row r="479">
      <c r="A479" s="35"/>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0"/>
    </row>
    <row r="480">
      <c r="A480" s="35"/>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0"/>
    </row>
    <row r="481">
      <c r="A481" s="35"/>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0"/>
    </row>
    <row r="482">
      <c r="A482" s="35"/>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0"/>
    </row>
    <row r="483">
      <c r="A483" s="35"/>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0"/>
    </row>
    <row r="484">
      <c r="A484" s="35"/>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0"/>
    </row>
    <row r="485">
      <c r="A485" s="35"/>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0"/>
    </row>
    <row r="486">
      <c r="A486" s="35"/>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0"/>
    </row>
    <row r="487">
      <c r="A487" s="35"/>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0"/>
    </row>
    <row r="488">
      <c r="A488" s="35"/>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0"/>
    </row>
    <row r="489">
      <c r="A489" s="35"/>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0"/>
    </row>
    <row r="490">
      <c r="A490" s="35"/>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0"/>
    </row>
    <row r="491">
      <c r="A491" s="35"/>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0"/>
    </row>
    <row r="492">
      <c r="A492" s="35"/>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0"/>
    </row>
    <row r="493">
      <c r="A493" s="35"/>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0"/>
    </row>
    <row r="494">
      <c r="A494" s="35"/>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0"/>
    </row>
    <row r="495">
      <c r="A495" s="35"/>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0"/>
    </row>
    <row r="496">
      <c r="A496" s="35"/>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0"/>
    </row>
    <row r="497">
      <c r="A497" s="35"/>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0"/>
    </row>
    <row r="498">
      <c r="A498" s="35"/>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0"/>
    </row>
    <row r="499">
      <c r="A499" s="35"/>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0"/>
    </row>
    <row r="500">
      <c r="A500" s="35"/>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0"/>
    </row>
    <row r="501">
      <c r="A501" s="35"/>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0"/>
    </row>
    <row r="502">
      <c r="A502" s="35"/>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0"/>
    </row>
    <row r="503">
      <c r="A503" s="35"/>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0"/>
    </row>
    <row r="504">
      <c r="A504" s="35"/>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0"/>
    </row>
    <row r="505">
      <c r="A505" s="35"/>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0"/>
    </row>
    <row r="506">
      <c r="A506" s="35"/>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0"/>
    </row>
    <row r="507">
      <c r="A507" s="35"/>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0"/>
    </row>
    <row r="508">
      <c r="A508" s="35"/>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0"/>
    </row>
    <row r="509">
      <c r="A509" s="35"/>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0"/>
    </row>
    <row r="510">
      <c r="A510" s="35"/>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0"/>
    </row>
    <row r="511">
      <c r="A511" s="35"/>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0"/>
    </row>
    <row r="512">
      <c r="A512" s="35"/>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0"/>
    </row>
    <row r="513">
      <c r="A513" s="35"/>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0"/>
    </row>
    <row r="514">
      <c r="A514" s="35"/>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0"/>
    </row>
    <row r="515">
      <c r="A515" s="35"/>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0"/>
    </row>
    <row r="516">
      <c r="A516" s="35"/>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0"/>
    </row>
    <row r="517">
      <c r="A517" s="35"/>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0"/>
    </row>
    <row r="518">
      <c r="A518" s="35"/>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0"/>
    </row>
    <row r="519">
      <c r="A519" s="35"/>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0"/>
    </row>
    <row r="520">
      <c r="A520" s="35"/>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0"/>
    </row>
    <row r="521">
      <c r="A521" s="35"/>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0"/>
    </row>
    <row r="522">
      <c r="A522" s="35"/>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0"/>
    </row>
    <row r="523">
      <c r="A523" s="35"/>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0"/>
    </row>
    <row r="524">
      <c r="A524" s="35"/>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0"/>
    </row>
    <row r="525">
      <c r="A525" s="35"/>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0"/>
    </row>
    <row r="526">
      <c r="A526" s="35"/>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0"/>
    </row>
    <row r="527">
      <c r="A527" s="35"/>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0"/>
    </row>
    <row r="528">
      <c r="A528" s="35"/>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0"/>
    </row>
    <row r="529">
      <c r="A529" s="35"/>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0"/>
    </row>
    <row r="530">
      <c r="A530" s="35"/>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0"/>
    </row>
    <row r="531">
      <c r="A531" s="35"/>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0"/>
    </row>
    <row r="532">
      <c r="A532" s="35"/>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0"/>
    </row>
    <row r="533">
      <c r="A533" s="35"/>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0"/>
    </row>
    <row r="534">
      <c r="A534" s="35"/>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0"/>
    </row>
    <row r="535">
      <c r="A535" s="35"/>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0"/>
    </row>
    <row r="536">
      <c r="A536" s="35"/>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0"/>
    </row>
    <row r="537">
      <c r="A537" s="35"/>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0"/>
    </row>
    <row r="538">
      <c r="A538" s="35"/>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0"/>
    </row>
    <row r="539">
      <c r="A539" s="35"/>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0"/>
    </row>
    <row r="540">
      <c r="A540" s="35"/>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0"/>
    </row>
    <row r="541">
      <c r="A541" s="35"/>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0"/>
    </row>
    <row r="542">
      <c r="A542" s="35"/>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0"/>
    </row>
    <row r="543">
      <c r="A543" s="35"/>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0"/>
    </row>
    <row r="544">
      <c r="A544" s="35"/>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0"/>
    </row>
    <row r="545">
      <c r="A545" s="35"/>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0"/>
    </row>
    <row r="546">
      <c r="A546" s="35"/>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0"/>
    </row>
    <row r="547">
      <c r="A547" s="35"/>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0"/>
    </row>
    <row r="548">
      <c r="A548" s="35"/>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0"/>
    </row>
    <row r="549">
      <c r="A549" s="35"/>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0"/>
    </row>
    <row r="550">
      <c r="A550" s="35"/>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0"/>
    </row>
    <row r="551">
      <c r="A551" s="35"/>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0"/>
    </row>
    <row r="552">
      <c r="A552" s="35"/>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0"/>
    </row>
    <row r="553">
      <c r="A553" s="35"/>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0"/>
    </row>
    <row r="554">
      <c r="A554" s="35"/>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0"/>
    </row>
    <row r="555">
      <c r="A555" s="35"/>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0"/>
    </row>
    <row r="556">
      <c r="A556" s="35"/>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0"/>
    </row>
    <row r="557">
      <c r="A557" s="35"/>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0"/>
    </row>
    <row r="558">
      <c r="A558" s="35"/>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0"/>
    </row>
    <row r="559">
      <c r="A559" s="35"/>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0"/>
    </row>
    <row r="560">
      <c r="A560" s="35"/>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0"/>
    </row>
    <row r="561">
      <c r="A561" s="35"/>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0"/>
    </row>
    <row r="562">
      <c r="A562" s="35"/>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0"/>
    </row>
    <row r="563">
      <c r="A563" s="35"/>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0"/>
    </row>
    <row r="564">
      <c r="A564" s="35"/>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0"/>
    </row>
    <row r="565">
      <c r="A565" s="35"/>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0"/>
    </row>
    <row r="566">
      <c r="A566" s="35"/>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0"/>
    </row>
    <row r="567">
      <c r="A567" s="35"/>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0"/>
    </row>
    <row r="568">
      <c r="A568" s="35"/>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0"/>
    </row>
    <row r="569">
      <c r="A569" s="35"/>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0"/>
    </row>
    <row r="570">
      <c r="A570" s="35"/>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0"/>
    </row>
    <row r="571">
      <c r="A571" s="35"/>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0"/>
    </row>
    <row r="572">
      <c r="A572" s="35"/>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0"/>
    </row>
    <row r="573">
      <c r="A573" s="35"/>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0"/>
    </row>
    <row r="574">
      <c r="A574" s="35"/>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0"/>
    </row>
    <row r="575">
      <c r="A575" s="35"/>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0"/>
    </row>
    <row r="576">
      <c r="A576" s="35"/>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0"/>
    </row>
    <row r="577">
      <c r="A577" s="35"/>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0"/>
    </row>
    <row r="578">
      <c r="A578" s="35"/>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0"/>
    </row>
    <row r="579">
      <c r="A579" s="35"/>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0"/>
    </row>
    <row r="580">
      <c r="A580" s="35"/>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0"/>
    </row>
    <row r="581">
      <c r="A581" s="35"/>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0"/>
    </row>
    <row r="582">
      <c r="A582" s="35"/>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0"/>
    </row>
    <row r="583">
      <c r="A583" s="35"/>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0"/>
    </row>
    <row r="584">
      <c r="A584" s="35"/>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0"/>
    </row>
    <row r="585">
      <c r="A585" s="35"/>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0"/>
    </row>
    <row r="586">
      <c r="A586" s="35"/>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0"/>
    </row>
    <row r="587">
      <c r="A587" s="35"/>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0"/>
    </row>
    <row r="588">
      <c r="A588" s="35"/>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0"/>
    </row>
    <row r="589">
      <c r="A589" s="35"/>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0"/>
    </row>
    <row r="590">
      <c r="A590" s="35"/>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0"/>
    </row>
    <row r="591">
      <c r="A591" s="35"/>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0"/>
    </row>
    <row r="592">
      <c r="A592" s="35"/>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0"/>
    </row>
    <row r="593">
      <c r="A593" s="35"/>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0"/>
    </row>
    <row r="594">
      <c r="A594" s="35"/>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0"/>
    </row>
    <row r="595">
      <c r="A595" s="35"/>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0"/>
    </row>
    <row r="596">
      <c r="A596" s="35"/>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0"/>
    </row>
    <row r="597">
      <c r="A597" s="35"/>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0"/>
    </row>
    <row r="598">
      <c r="A598" s="35"/>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0"/>
    </row>
    <row r="599">
      <c r="A599" s="35"/>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0"/>
    </row>
    <row r="600">
      <c r="A600" s="35"/>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0"/>
    </row>
    <row r="601">
      <c r="A601" s="35"/>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0"/>
    </row>
    <row r="602">
      <c r="A602" s="35"/>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0"/>
    </row>
    <row r="603">
      <c r="A603" s="35"/>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0"/>
    </row>
    <row r="604">
      <c r="A604" s="35"/>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0"/>
    </row>
    <row r="605">
      <c r="A605" s="35"/>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0"/>
    </row>
    <row r="606">
      <c r="A606" s="35"/>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0"/>
    </row>
    <row r="607">
      <c r="A607" s="35"/>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0"/>
    </row>
    <row r="608">
      <c r="A608" s="35"/>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0"/>
    </row>
    <row r="609">
      <c r="A609" s="35"/>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0"/>
    </row>
    <row r="610">
      <c r="A610" s="35"/>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0"/>
    </row>
    <row r="611">
      <c r="A611" s="35"/>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0"/>
    </row>
    <row r="612">
      <c r="A612" s="35"/>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0"/>
    </row>
    <row r="613">
      <c r="A613" s="35"/>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0"/>
    </row>
    <row r="614">
      <c r="A614" s="35"/>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0"/>
    </row>
    <row r="615">
      <c r="A615" s="35"/>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0"/>
    </row>
    <row r="616">
      <c r="A616" s="35"/>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0"/>
    </row>
    <row r="617">
      <c r="A617" s="35"/>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0"/>
    </row>
    <row r="618">
      <c r="A618" s="35"/>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0"/>
    </row>
    <row r="619">
      <c r="A619" s="35"/>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0"/>
    </row>
    <row r="620">
      <c r="A620" s="35"/>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0"/>
    </row>
    <row r="621">
      <c r="A621" s="35"/>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0"/>
    </row>
    <row r="622">
      <c r="A622" s="35"/>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0"/>
    </row>
    <row r="623">
      <c r="A623" s="35"/>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0"/>
    </row>
    <row r="624">
      <c r="A624" s="35"/>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0"/>
    </row>
    <row r="625">
      <c r="A625" s="35"/>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0"/>
    </row>
    <row r="626">
      <c r="A626" s="35"/>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0"/>
    </row>
    <row r="627">
      <c r="A627" s="35"/>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0"/>
    </row>
    <row r="628">
      <c r="A628" s="35"/>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0"/>
    </row>
    <row r="629">
      <c r="A629" s="35"/>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0"/>
    </row>
    <row r="630">
      <c r="A630" s="35"/>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0"/>
    </row>
    <row r="631">
      <c r="A631" s="35"/>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0"/>
    </row>
    <row r="632">
      <c r="A632" s="35"/>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0"/>
    </row>
    <row r="633">
      <c r="A633" s="35"/>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0"/>
    </row>
    <row r="634">
      <c r="A634" s="35"/>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0"/>
    </row>
    <row r="635">
      <c r="A635" s="35"/>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0"/>
    </row>
    <row r="636">
      <c r="A636" s="35"/>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0"/>
    </row>
    <row r="637">
      <c r="A637" s="35"/>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0"/>
    </row>
    <row r="638">
      <c r="A638" s="35"/>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0"/>
    </row>
    <row r="639">
      <c r="A639" s="35"/>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0"/>
    </row>
    <row r="640">
      <c r="A640" s="35"/>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0"/>
    </row>
    <row r="641">
      <c r="A641" s="35"/>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0"/>
    </row>
    <row r="642">
      <c r="A642" s="35"/>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0"/>
    </row>
    <row r="643">
      <c r="A643" s="35"/>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0"/>
    </row>
    <row r="644">
      <c r="A644" s="35"/>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0"/>
    </row>
    <row r="645">
      <c r="A645" s="35"/>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0"/>
    </row>
    <row r="646">
      <c r="A646" s="35"/>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0"/>
    </row>
    <row r="647">
      <c r="A647" s="35"/>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0"/>
    </row>
    <row r="648">
      <c r="A648" s="35"/>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0"/>
    </row>
    <row r="649">
      <c r="A649" s="35"/>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0"/>
    </row>
    <row r="650">
      <c r="A650" s="35"/>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0"/>
    </row>
    <row r="651">
      <c r="A651" s="35"/>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0"/>
    </row>
    <row r="652">
      <c r="A652" s="35"/>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0"/>
    </row>
    <row r="653">
      <c r="A653" s="35"/>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0"/>
    </row>
    <row r="654">
      <c r="A654" s="35"/>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0"/>
    </row>
    <row r="655">
      <c r="A655" s="35"/>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0"/>
    </row>
    <row r="656">
      <c r="A656" s="35"/>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0"/>
    </row>
    <row r="657">
      <c r="A657" s="35"/>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0"/>
    </row>
    <row r="658">
      <c r="A658" s="35"/>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0"/>
    </row>
    <row r="659">
      <c r="A659" s="35"/>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0"/>
    </row>
    <row r="660">
      <c r="A660" s="35"/>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0"/>
    </row>
    <row r="661">
      <c r="A661" s="35"/>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0"/>
    </row>
    <row r="662">
      <c r="A662" s="35"/>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0"/>
    </row>
    <row r="663">
      <c r="A663" s="35"/>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0"/>
    </row>
    <row r="664">
      <c r="A664" s="35"/>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0"/>
    </row>
    <row r="665">
      <c r="A665" s="35"/>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0"/>
    </row>
    <row r="666">
      <c r="A666" s="35"/>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0"/>
    </row>
    <row r="667">
      <c r="A667" s="35"/>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0"/>
    </row>
    <row r="668">
      <c r="A668" s="35"/>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0"/>
    </row>
    <row r="669">
      <c r="A669" s="35"/>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0"/>
    </row>
    <row r="670">
      <c r="A670" s="35"/>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0"/>
    </row>
    <row r="671">
      <c r="A671" s="35"/>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0"/>
    </row>
    <row r="672">
      <c r="A672" s="35"/>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0"/>
    </row>
    <row r="673">
      <c r="A673" s="35"/>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0"/>
    </row>
    <row r="674">
      <c r="A674" s="35"/>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0"/>
    </row>
    <row r="675">
      <c r="A675" s="35"/>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0"/>
    </row>
    <row r="676">
      <c r="A676" s="35"/>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0"/>
    </row>
    <row r="677">
      <c r="A677" s="35"/>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0"/>
    </row>
    <row r="678">
      <c r="A678" s="35"/>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0"/>
    </row>
    <row r="679">
      <c r="A679" s="35"/>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0"/>
    </row>
    <row r="680">
      <c r="A680" s="35"/>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0"/>
    </row>
    <row r="681">
      <c r="A681" s="35"/>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0"/>
    </row>
    <row r="682">
      <c r="A682" s="35"/>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0"/>
    </row>
    <row r="683">
      <c r="A683" s="35"/>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0"/>
    </row>
    <row r="684">
      <c r="A684" s="35"/>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0"/>
    </row>
    <row r="685">
      <c r="A685" s="35"/>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0"/>
    </row>
    <row r="686">
      <c r="A686" s="35"/>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0"/>
    </row>
    <row r="687">
      <c r="A687" s="35"/>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0"/>
    </row>
    <row r="688">
      <c r="A688" s="35"/>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0"/>
    </row>
    <row r="689">
      <c r="A689" s="35"/>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0"/>
    </row>
    <row r="690">
      <c r="A690" s="35"/>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0"/>
    </row>
    <row r="691">
      <c r="A691" s="35"/>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0"/>
    </row>
    <row r="692">
      <c r="A692" s="35"/>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0"/>
    </row>
    <row r="693">
      <c r="A693" s="35"/>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0"/>
    </row>
    <row r="694">
      <c r="A694" s="35"/>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0"/>
    </row>
    <row r="695">
      <c r="A695" s="35"/>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0"/>
    </row>
    <row r="696">
      <c r="A696" s="35"/>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0"/>
    </row>
    <row r="697">
      <c r="A697" s="35"/>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0"/>
    </row>
    <row r="698">
      <c r="A698" s="35"/>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0"/>
    </row>
    <row r="699">
      <c r="A699" s="35"/>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0"/>
    </row>
    <row r="700">
      <c r="A700" s="35"/>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0"/>
    </row>
    <row r="701">
      <c r="A701" s="35"/>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0"/>
    </row>
    <row r="702">
      <c r="A702" s="35"/>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0"/>
    </row>
    <row r="703">
      <c r="A703" s="35"/>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0"/>
    </row>
    <row r="704">
      <c r="A704" s="35"/>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0"/>
    </row>
    <row r="705">
      <c r="A705" s="35"/>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0"/>
    </row>
    <row r="706">
      <c r="A706" s="35"/>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0"/>
    </row>
    <row r="707">
      <c r="A707" s="35"/>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0"/>
    </row>
    <row r="708">
      <c r="A708" s="35"/>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0"/>
    </row>
    <row r="709">
      <c r="A709" s="35"/>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0"/>
    </row>
    <row r="710">
      <c r="A710" s="35"/>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0"/>
    </row>
    <row r="711">
      <c r="A711" s="35"/>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0"/>
    </row>
    <row r="712">
      <c r="A712" s="35"/>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0"/>
    </row>
    <row r="713">
      <c r="A713" s="35"/>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0"/>
    </row>
    <row r="714">
      <c r="A714" s="35"/>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0"/>
    </row>
    <row r="715">
      <c r="A715" s="35"/>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0"/>
    </row>
    <row r="716">
      <c r="A716" s="35"/>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0"/>
    </row>
    <row r="717">
      <c r="A717" s="35"/>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0"/>
    </row>
    <row r="718">
      <c r="A718" s="35"/>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0"/>
    </row>
    <row r="719">
      <c r="A719" s="35"/>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0"/>
    </row>
    <row r="720">
      <c r="A720" s="35"/>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0"/>
    </row>
    <row r="721">
      <c r="A721" s="35"/>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0"/>
    </row>
    <row r="722">
      <c r="A722" s="35"/>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0"/>
    </row>
    <row r="723">
      <c r="A723" s="35"/>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0"/>
    </row>
    <row r="724">
      <c r="A724" s="35"/>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0"/>
    </row>
    <row r="725">
      <c r="A725" s="35"/>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0"/>
    </row>
    <row r="726">
      <c r="A726" s="35"/>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0"/>
    </row>
    <row r="727">
      <c r="A727" s="35"/>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0"/>
    </row>
    <row r="728">
      <c r="A728" s="35"/>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0"/>
    </row>
    <row r="729">
      <c r="A729" s="35"/>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0"/>
    </row>
    <row r="730">
      <c r="A730" s="35"/>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0"/>
    </row>
    <row r="731">
      <c r="A731" s="35"/>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0"/>
    </row>
    <row r="732">
      <c r="A732" s="35"/>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0"/>
    </row>
    <row r="733">
      <c r="A733" s="35"/>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0"/>
    </row>
    <row r="734">
      <c r="A734" s="35"/>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0"/>
    </row>
    <row r="735">
      <c r="A735" s="35"/>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0"/>
    </row>
    <row r="736">
      <c r="A736" s="35"/>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0"/>
    </row>
    <row r="737">
      <c r="A737" s="35"/>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0"/>
    </row>
    <row r="738">
      <c r="A738" s="35"/>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0"/>
    </row>
    <row r="739">
      <c r="A739" s="35"/>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0"/>
    </row>
    <row r="740">
      <c r="A740" s="35"/>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0"/>
    </row>
    <row r="741">
      <c r="A741" s="35"/>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0"/>
    </row>
    <row r="742">
      <c r="A742" s="35"/>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0"/>
    </row>
    <row r="743">
      <c r="A743" s="35"/>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0"/>
    </row>
    <row r="744">
      <c r="A744" s="35"/>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0"/>
    </row>
    <row r="745">
      <c r="A745" s="35"/>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0"/>
    </row>
    <row r="746">
      <c r="A746" s="35"/>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0"/>
    </row>
    <row r="747">
      <c r="A747" s="35"/>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0"/>
    </row>
    <row r="748">
      <c r="A748" s="35"/>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0"/>
    </row>
    <row r="749">
      <c r="A749" s="35"/>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0"/>
    </row>
    <row r="750">
      <c r="A750" s="35"/>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0"/>
    </row>
    <row r="751">
      <c r="A751" s="35"/>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0"/>
    </row>
    <row r="752">
      <c r="A752" s="35"/>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0"/>
    </row>
    <row r="753">
      <c r="A753" s="35"/>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0"/>
    </row>
    <row r="754">
      <c r="A754" s="35"/>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0"/>
    </row>
    <row r="755">
      <c r="A755" s="35"/>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0"/>
    </row>
    <row r="756">
      <c r="A756" s="35"/>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0"/>
    </row>
    <row r="757">
      <c r="A757" s="35"/>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0"/>
    </row>
    <row r="758">
      <c r="A758" s="35"/>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0"/>
    </row>
    <row r="759">
      <c r="A759" s="35"/>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0"/>
    </row>
    <row r="760">
      <c r="A760" s="35"/>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0"/>
    </row>
    <row r="761">
      <c r="A761" s="35"/>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0"/>
    </row>
    <row r="762">
      <c r="A762" s="35"/>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0"/>
    </row>
    <row r="763">
      <c r="A763" s="35"/>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0"/>
    </row>
    <row r="764">
      <c r="A764" s="35"/>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0"/>
    </row>
    <row r="765">
      <c r="A765" s="35"/>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0"/>
    </row>
    <row r="766">
      <c r="A766" s="35"/>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0"/>
    </row>
    <row r="767">
      <c r="A767" s="35"/>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0"/>
    </row>
    <row r="768">
      <c r="A768" s="35"/>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0"/>
    </row>
    <row r="769">
      <c r="A769" s="35"/>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0"/>
    </row>
    <row r="770">
      <c r="A770" s="35"/>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0"/>
    </row>
    <row r="771">
      <c r="A771" s="35"/>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0"/>
    </row>
    <row r="772">
      <c r="A772" s="35"/>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0"/>
    </row>
    <row r="773">
      <c r="A773" s="35"/>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0"/>
    </row>
    <row r="774">
      <c r="A774" s="35"/>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0"/>
    </row>
    <row r="775">
      <c r="A775" s="35"/>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0"/>
    </row>
    <row r="776">
      <c r="A776" s="35"/>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0"/>
    </row>
    <row r="777">
      <c r="A777" s="35"/>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0"/>
    </row>
    <row r="778">
      <c r="A778" s="35"/>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0"/>
    </row>
    <row r="779">
      <c r="A779" s="35"/>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0"/>
    </row>
    <row r="780">
      <c r="A780" s="35"/>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0"/>
    </row>
    <row r="781">
      <c r="A781" s="35"/>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0"/>
    </row>
    <row r="782">
      <c r="A782" s="35"/>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0"/>
    </row>
    <row r="783">
      <c r="A783" s="35"/>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0"/>
    </row>
    <row r="784">
      <c r="A784" s="35"/>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0"/>
    </row>
    <row r="785">
      <c r="A785" s="35"/>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0"/>
    </row>
    <row r="786">
      <c r="A786" s="35"/>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0"/>
    </row>
    <row r="787">
      <c r="A787" s="35"/>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0"/>
    </row>
    <row r="788">
      <c r="A788" s="35"/>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0"/>
    </row>
    <row r="789">
      <c r="A789" s="35"/>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0"/>
    </row>
    <row r="790">
      <c r="A790" s="35"/>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0"/>
    </row>
    <row r="791">
      <c r="A791" s="35"/>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0"/>
    </row>
    <row r="792">
      <c r="A792" s="35"/>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0"/>
    </row>
    <row r="793">
      <c r="A793" s="35"/>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0"/>
    </row>
    <row r="794">
      <c r="A794" s="35"/>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0"/>
    </row>
    <row r="795">
      <c r="A795" s="35"/>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0"/>
    </row>
    <row r="796">
      <c r="A796" s="35"/>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0"/>
    </row>
    <row r="797">
      <c r="A797" s="35"/>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0"/>
    </row>
    <row r="798">
      <c r="A798" s="35"/>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0"/>
    </row>
    <row r="799">
      <c r="A799" s="35"/>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0"/>
    </row>
    <row r="800">
      <c r="A800" s="35"/>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0"/>
    </row>
    <row r="801">
      <c r="A801" s="35"/>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0"/>
    </row>
    <row r="802">
      <c r="A802" s="35"/>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0"/>
    </row>
    <row r="803">
      <c r="A803" s="35"/>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0"/>
    </row>
    <row r="804">
      <c r="A804" s="35"/>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0"/>
    </row>
    <row r="805">
      <c r="A805" s="35"/>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0"/>
    </row>
    <row r="806">
      <c r="A806" s="35"/>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0"/>
    </row>
    <row r="807">
      <c r="A807" s="35"/>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0"/>
    </row>
    <row r="808">
      <c r="A808" s="35"/>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0"/>
    </row>
    <row r="809">
      <c r="A809" s="35"/>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0"/>
    </row>
    <row r="810">
      <c r="A810" s="35"/>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0"/>
    </row>
    <row r="811">
      <c r="A811" s="35"/>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0"/>
    </row>
    <row r="812">
      <c r="A812" s="35"/>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0"/>
    </row>
    <row r="813">
      <c r="A813" s="35"/>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0"/>
    </row>
    <row r="814">
      <c r="A814" s="35"/>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0"/>
    </row>
    <row r="815">
      <c r="A815" s="35"/>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0"/>
    </row>
    <row r="816">
      <c r="A816" s="35"/>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0"/>
    </row>
    <row r="817">
      <c r="A817" s="35"/>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0"/>
    </row>
    <row r="818">
      <c r="A818" s="35"/>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0"/>
    </row>
    <row r="819">
      <c r="A819" s="35"/>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0"/>
    </row>
    <row r="820">
      <c r="A820" s="35"/>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0"/>
    </row>
    <row r="821">
      <c r="A821" s="35"/>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0"/>
    </row>
    <row r="822">
      <c r="A822" s="35"/>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0"/>
    </row>
    <row r="823">
      <c r="A823" s="35"/>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0"/>
    </row>
    <row r="824">
      <c r="A824" s="35"/>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0"/>
    </row>
    <row r="825">
      <c r="A825" s="35"/>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0"/>
    </row>
    <row r="826">
      <c r="A826" s="35"/>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0"/>
    </row>
    <row r="827">
      <c r="A827" s="35"/>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0"/>
    </row>
    <row r="828">
      <c r="A828" s="35"/>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0"/>
    </row>
    <row r="829">
      <c r="A829" s="35"/>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0"/>
    </row>
    <row r="830">
      <c r="A830" s="35"/>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0"/>
    </row>
    <row r="831">
      <c r="A831" s="35"/>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0"/>
    </row>
    <row r="832">
      <c r="A832" s="35"/>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0"/>
    </row>
    <row r="833">
      <c r="A833" s="35"/>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0"/>
    </row>
    <row r="834">
      <c r="A834" s="35"/>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0"/>
    </row>
    <row r="835">
      <c r="A835" s="35"/>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0"/>
    </row>
    <row r="836">
      <c r="A836" s="35"/>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0"/>
    </row>
    <row r="837">
      <c r="A837" s="35"/>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0"/>
    </row>
    <row r="838">
      <c r="A838" s="35"/>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0"/>
    </row>
    <row r="839">
      <c r="A839" s="35"/>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0"/>
    </row>
    <row r="840">
      <c r="A840" s="35"/>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0"/>
    </row>
    <row r="841">
      <c r="A841" s="35"/>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0"/>
    </row>
    <row r="842">
      <c r="A842" s="35"/>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0"/>
    </row>
    <row r="843">
      <c r="A843" s="35"/>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0"/>
    </row>
    <row r="844">
      <c r="A844" s="35"/>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0"/>
    </row>
    <row r="845">
      <c r="A845" s="35"/>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0"/>
    </row>
    <row r="846">
      <c r="A846" s="35"/>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0"/>
    </row>
    <row r="847">
      <c r="A847" s="35"/>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0"/>
    </row>
    <row r="848">
      <c r="A848" s="35"/>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0"/>
    </row>
    <row r="849">
      <c r="A849" s="35"/>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0"/>
    </row>
    <row r="850">
      <c r="A850" s="35"/>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0"/>
    </row>
    <row r="851">
      <c r="A851" s="35"/>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0"/>
    </row>
    <row r="852">
      <c r="A852" s="35"/>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0"/>
    </row>
    <row r="853">
      <c r="A853" s="35"/>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0"/>
    </row>
    <row r="854">
      <c r="A854" s="35"/>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0"/>
    </row>
    <row r="855">
      <c r="A855" s="35"/>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0"/>
    </row>
    <row r="856">
      <c r="A856" s="35"/>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0"/>
    </row>
    <row r="857">
      <c r="A857" s="35"/>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0"/>
    </row>
    <row r="858">
      <c r="A858" s="35"/>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0"/>
    </row>
    <row r="859">
      <c r="A859" s="35"/>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0"/>
    </row>
    <row r="860">
      <c r="A860" s="35"/>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0"/>
    </row>
    <row r="861">
      <c r="A861" s="35"/>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0"/>
    </row>
    <row r="862">
      <c r="A862" s="35"/>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0"/>
    </row>
    <row r="863">
      <c r="A863" s="35"/>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0"/>
    </row>
    <row r="864">
      <c r="A864" s="35"/>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0"/>
    </row>
    <row r="865">
      <c r="A865" s="35"/>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0"/>
    </row>
    <row r="866">
      <c r="A866" s="35"/>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0"/>
    </row>
    <row r="867">
      <c r="A867" s="35"/>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0"/>
    </row>
    <row r="868">
      <c r="A868" s="35"/>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0"/>
    </row>
    <row r="869">
      <c r="A869" s="35"/>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0"/>
    </row>
    <row r="870">
      <c r="A870" s="35"/>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0"/>
    </row>
    <row r="871">
      <c r="A871" s="35"/>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0"/>
    </row>
    <row r="872">
      <c r="A872" s="35"/>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0"/>
    </row>
    <row r="873">
      <c r="A873" s="35"/>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0"/>
    </row>
    <row r="874">
      <c r="A874" s="35"/>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0"/>
    </row>
    <row r="875">
      <c r="A875" s="35"/>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0"/>
    </row>
    <row r="876">
      <c r="A876" s="35"/>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0"/>
    </row>
    <row r="877">
      <c r="A877" s="35"/>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0"/>
    </row>
    <row r="878">
      <c r="A878" s="35"/>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0"/>
    </row>
    <row r="879">
      <c r="A879" s="35"/>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0"/>
    </row>
    <row r="880">
      <c r="A880" s="35"/>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0"/>
    </row>
    <row r="881">
      <c r="A881" s="35"/>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0"/>
    </row>
    <row r="882">
      <c r="A882" s="35"/>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0"/>
    </row>
    <row r="883">
      <c r="A883" s="35"/>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0"/>
    </row>
    <row r="884">
      <c r="A884" s="35"/>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0"/>
    </row>
    <row r="885">
      <c r="A885" s="35"/>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0"/>
    </row>
    <row r="886">
      <c r="A886" s="35"/>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0"/>
    </row>
    <row r="887">
      <c r="A887" s="35"/>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0"/>
    </row>
    <row r="888">
      <c r="A888" s="35"/>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0"/>
    </row>
    <row r="889">
      <c r="A889" s="35"/>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0"/>
    </row>
    <row r="890">
      <c r="A890" s="35"/>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0"/>
    </row>
    <row r="891">
      <c r="A891" s="35"/>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0"/>
    </row>
    <row r="892">
      <c r="A892" s="35"/>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0"/>
    </row>
    <row r="893">
      <c r="A893" s="35"/>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0"/>
    </row>
    <row r="894">
      <c r="A894" s="35"/>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0"/>
    </row>
    <row r="895">
      <c r="A895" s="35"/>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0"/>
    </row>
    <row r="896">
      <c r="A896" s="35"/>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0"/>
    </row>
    <row r="897">
      <c r="A897" s="35"/>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0"/>
    </row>
    <row r="898">
      <c r="A898" s="35"/>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0"/>
    </row>
    <row r="899">
      <c r="A899" s="35"/>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0"/>
    </row>
    <row r="900">
      <c r="A900" s="35"/>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0"/>
    </row>
    <row r="901">
      <c r="A901" s="35"/>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0"/>
    </row>
    <row r="902">
      <c r="A902" s="35"/>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0"/>
    </row>
    <row r="903">
      <c r="A903" s="35"/>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0"/>
    </row>
    <row r="904">
      <c r="A904" s="35"/>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0"/>
    </row>
    <row r="905">
      <c r="A905" s="35"/>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0"/>
    </row>
    <row r="906">
      <c r="A906" s="35"/>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0"/>
    </row>
    <row r="907">
      <c r="A907" s="35"/>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0"/>
    </row>
    <row r="908">
      <c r="A908" s="35"/>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0"/>
    </row>
    <row r="909">
      <c r="A909" s="35"/>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0"/>
    </row>
    <row r="910">
      <c r="A910" s="35"/>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0"/>
    </row>
    <row r="911">
      <c r="A911" s="35"/>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0"/>
    </row>
    <row r="912">
      <c r="A912" s="35"/>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0"/>
    </row>
    <row r="913">
      <c r="A913" s="35"/>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0"/>
    </row>
    <row r="914">
      <c r="A914" s="35"/>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0"/>
    </row>
    <row r="915">
      <c r="A915" s="35"/>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0"/>
    </row>
    <row r="916">
      <c r="A916" s="35"/>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0"/>
    </row>
    <row r="917">
      <c r="A917" s="35"/>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0"/>
    </row>
    <row r="918">
      <c r="A918" s="35"/>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0"/>
    </row>
    <row r="919">
      <c r="A919" s="35"/>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0"/>
    </row>
    <row r="920">
      <c r="A920" s="35"/>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0"/>
    </row>
    <row r="921">
      <c r="A921" s="35"/>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0"/>
    </row>
    <row r="922">
      <c r="A922" s="35"/>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0"/>
    </row>
    <row r="923">
      <c r="A923" s="35"/>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0"/>
    </row>
    <row r="924">
      <c r="A924" s="35"/>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0"/>
    </row>
    <row r="925">
      <c r="A925" s="35"/>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0"/>
    </row>
    <row r="926">
      <c r="A926" s="35"/>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0"/>
    </row>
    <row r="927">
      <c r="A927" s="35"/>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0"/>
    </row>
    <row r="928">
      <c r="A928" s="35"/>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0"/>
    </row>
    <row r="929">
      <c r="A929" s="35"/>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0"/>
    </row>
    <row r="930">
      <c r="A930" s="35"/>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0"/>
    </row>
    <row r="931">
      <c r="A931" s="35"/>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0"/>
    </row>
    <row r="932">
      <c r="A932" s="35"/>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0"/>
    </row>
    <row r="933">
      <c r="A933" s="35"/>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0"/>
    </row>
    <row r="934">
      <c r="A934" s="35"/>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0"/>
    </row>
    <row r="935">
      <c r="A935" s="35"/>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0"/>
    </row>
    <row r="936">
      <c r="A936" s="35"/>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0"/>
    </row>
    <row r="937">
      <c r="A937" s="35"/>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0"/>
    </row>
    <row r="938">
      <c r="A938" s="35"/>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0"/>
    </row>
    <row r="939">
      <c r="A939" s="35"/>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0"/>
    </row>
    <row r="940">
      <c r="A940" s="35"/>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0"/>
    </row>
    <row r="941">
      <c r="A941" s="35"/>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0"/>
    </row>
    <row r="942">
      <c r="A942" s="35"/>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0"/>
    </row>
    <row r="943">
      <c r="A943" s="35"/>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0"/>
    </row>
    <row r="944">
      <c r="A944" s="35"/>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0"/>
    </row>
    <row r="945">
      <c r="A945" s="35"/>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0"/>
    </row>
    <row r="946">
      <c r="A946" s="35"/>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0"/>
    </row>
    <row r="947">
      <c r="A947" s="35"/>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0"/>
    </row>
    <row r="948">
      <c r="A948" s="35"/>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0"/>
    </row>
    <row r="949">
      <c r="A949" s="35"/>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0"/>
    </row>
    <row r="950">
      <c r="A950" s="35"/>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0"/>
    </row>
    <row r="951">
      <c r="A951" s="35"/>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0"/>
    </row>
    <row r="952">
      <c r="A952" s="35"/>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0"/>
    </row>
    <row r="953">
      <c r="A953" s="35"/>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0"/>
    </row>
    <row r="954">
      <c r="A954" s="35"/>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0"/>
    </row>
    <row r="955">
      <c r="A955" s="35"/>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0"/>
    </row>
    <row r="956">
      <c r="A956" s="35"/>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0"/>
    </row>
    <row r="957">
      <c r="A957" s="35"/>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0"/>
    </row>
    <row r="958">
      <c r="A958" s="35"/>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0"/>
    </row>
    <row r="959">
      <c r="A959" s="35"/>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0"/>
    </row>
    <row r="960">
      <c r="A960" s="35"/>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0"/>
    </row>
    <row r="961">
      <c r="A961" s="35"/>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0"/>
    </row>
    <row r="962">
      <c r="A962" s="35"/>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0"/>
    </row>
    <row r="963">
      <c r="A963" s="35"/>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0"/>
    </row>
    <row r="964">
      <c r="A964" s="35"/>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0"/>
    </row>
    <row r="965">
      <c r="A965" s="35"/>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0"/>
    </row>
    <row r="966">
      <c r="A966" s="35"/>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0"/>
    </row>
    <row r="967">
      <c r="A967" s="35"/>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0"/>
    </row>
    <row r="968">
      <c r="A968" s="35"/>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0"/>
    </row>
    <row r="969">
      <c r="A969" s="35"/>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0"/>
    </row>
    <row r="970">
      <c r="A970" s="35"/>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0"/>
    </row>
    <row r="971">
      <c r="A971" s="35"/>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0"/>
    </row>
    <row r="972">
      <c r="A972" s="35"/>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0"/>
    </row>
    <row r="973">
      <c r="A973" s="35"/>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0"/>
    </row>
    <row r="974">
      <c r="A974" s="35"/>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0"/>
    </row>
    <row r="975">
      <c r="A975" s="35"/>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0"/>
    </row>
    <row r="976">
      <c r="A976" s="35"/>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0"/>
    </row>
    <row r="977">
      <c r="A977" s="35"/>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0"/>
    </row>
    <row r="978">
      <c r="A978" s="35"/>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0"/>
    </row>
    <row r="979">
      <c r="A979" s="35"/>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0"/>
    </row>
    <row r="980">
      <c r="A980" s="35"/>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0"/>
    </row>
    <row r="981">
      <c r="A981" s="35"/>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0"/>
    </row>
    <row r="982">
      <c r="A982" s="35"/>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0"/>
    </row>
    <row r="983">
      <c r="A983" s="35"/>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0"/>
    </row>
    <row r="984">
      <c r="A984" s="35"/>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0"/>
    </row>
    <row r="985">
      <c r="A985" s="35"/>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0"/>
    </row>
    <row r="986">
      <c r="A986" s="35"/>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0"/>
    </row>
    <row r="987">
      <c r="A987" s="35"/>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0"/>
    </row>
    <row r="988">
      <c r="A988" s="35"/>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0"/>
    </row>
    <row r="989">
      <c r="A989" s="35"/>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0"/>
    </row>
    <row r="990">
      <c r="A990" s="35"/>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0"/>
    </row>
    <row r="991">
      <c r="A991" s="35"/>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0"/>
    </row>
    <row r="992">
      <c r="A992" s="35"/>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0"/>
    </row>
    <row r="993">
      <c r="A993" s="35"/>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0"/>
    </row>
    <row r="994">
      <c r="A994" s="35"/>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0"/>
    </row>
    <row r="995">
      <c r="A995" s="35"/>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0"/>
    </row>
    <row r="996">
      <c r="A996" s="35"/>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0"/>
    </row>
    <row r="997">
      <c r="A997" s="35"/>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0"/>
    </row>
    <row r="998">
      <c r="A998" s="35"/>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0"/>
    </row>
    <row r="999">
      <c r="A999" s="35"/>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0"/>
    </row>
    <row r="1000">
      <c r="A1000" s="35"/>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0"/>
    </row>
    <row r="1001">
      <c r="A1001" s="35"/>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c r="AE1001" s="24"/>
      <c r="AF1001" s="24"/>
      <c r="AG1001" s="20"/>
    </row>
    <row r="1002">
      <c r="A1002" s="35"/>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c r="AB1002" s="24"/>
      <c r="AC1002" s="24"/>
      <c r="AD1002" s="24"/>
      <c r="AE1002" s="24"/>
      <c r="AF1002" s="24"/>
      <c r="AG1002" s="20"/>
    </row>
    <row r="1003">
      <c r="A1003" s="35"/>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c r="AB1003" s="24"/>
      <c r="AC1003" s="24"/>
      <c r="AD1003" s="24"/>
      <c r="AE1003" s="24"/>
      <c r="AF1003" s="24"/>
      <c r="AG1003" s="20"/>
    </row>
    <row r="1004">
      <c r="A1004" s="35"/>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c r="AB1004" s="24"/>
      <c r="AC1004" s="24"/>
      <c r="AD1004" s="24"/>
      <c r="AE1004" s="24"/>
      <c r="AF1004" s="24"/>
      <c r="AG1004" s="20"/>
    </row>
    <row r="1005">
      <c r="A1005" s="35"/>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4"/>
      <c r="AB1005" s="24"/>
      <c r="AC1005" s="24"/>
      <c r="AD1005" s="24"/>
      <c r="AE1005" s="24"/>
      <c r="AF1005" s="24"/>
      <c r="AG1005" s="20"/>
    </row>
    <row r="1006">
      <c r="A1006" s="35"/>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4"/>
      <c r="AB1006" s="24"/>
      <c r="AC1006" s="24"/>
      <c r="AD1006" s="24"/>
      <c r="AE1006" s="24"/>
      <c r="AF1006" s="24"/>
      <c r="AG1006" s="20"/>
    </row>
    <row r="1007">
      <c r="A1007" s="35"/>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c r="AB1007" s="24"/>
      <c r="AC1007" s="24"/>
      <c r="AD1007" s="24"/>
      <c r="AE1007" s="24"/>
      <c r="AF1007" s="24"/>
      <c r="AG1007" s="20"/>
    </row>
    <row r="1008">
      <c r="A1008" s="35"/>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c r="AC1008" s="24"/>
      <c r="AD1008" s="24"/>
      <c r="AE1008" s="24"/>
      <c r="AF1008" s="24"/>
      <c r="AG1008" s="20"/>
    </row>
    <row r="1009">
      <c r="A1009" s="35"/>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c r="AA1009" s="24"/>
      <c r="AB1009" s="24"/>
      <c r="AC1009" s="24"/>
      <c r="AD1009" s="24"/>
      <c r="AE1009" s="24"/>
      <c r="AF1009" s="24"/>
      <c r="AG1009" s="20"/>
    </row>
    <row r="1010">
      <c r="A1010" s="35"/>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c r="AA1010" s="24"/>
      <c r="AB1010" s="24"/>
      <c r="AC1010" s="24"/>
      <c r="AD1010" s="24"/>
      <c r="AE1010" s="24"/>
      <c r="AF1010" s="24"/>
      <c r="AG1010" s="20"/>
    </row>
    <row r="1011">
      <c r="A1011" s="35"/>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c r="AA1011" s="24"/>
      <c r="AB1011" s="24"/>
      <c r="AC1011" s="24"/>
      <c r="AD1011" s="24"/>
      <c r="AE1011" s="24"/>
      <c r="AF1011" s="24"/>
      <c r="AG1011" s="20"/>
    </row>
    <row r="1012">
      <c r="A1012" s="35"/>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c r="AA1012" s="24"/>
      <c r="AB1012" s="24"/>
      <c r="AC1012" s="24"/>
      <c r="AD1012" s="24"/>
      <c r="AE1012" s="24"/>
      <c r="AF1012" s="24"/>
      <c r="AG1012" s="20"/>
    </row>
    <row r="1013">
      <c r="A1013" s="35"/>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c r="AA1013" s="24"/>
      <c r="AB1013" s="24"/>
      <c r="AC1013" s="24"/>
      <c r="AD1013" s="24"/>
      <c r="AE1013" s="24"/>
      <c r="AF1013" s="24"/>
      <c r="AG1013" s="20"/>
    </row>
    <row r="1014">
      <c r="A1014" s="35"/>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c r="AA1014" s="24"/>
      <c r="AB1014" s="24"/>
      <c r="AC1014" s="24"/>
      <c r="AD1014" s="24"/>
      <c r="AE1014" s="24"/>
      <c r="AF1014" s="24"/>
      <c r="AG1014" s="20"/>
    </row>
    <row r="1015">
      <c r="A1015" s="35"/>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c r="AA1015" s="24"/>
      <c r="AB1015" s="24"/>
      <c r="AC1015" s="24"/>
      <c r="AD1015" s="24"/>
      <c r="AE1015" s="24"/>
      <c r="AF1015" s="24"/>
      <c r="AG1015" s="20"/>
    </row>
    <row r="1016">
      <c r="A1016" s="35"/>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c r="AA1016" s="24"/>
      <c r="AB1016" s="24"/>
      <c r="AC1016" s="24"/>
      <c r="AD1016" s="24"/>
      <c r="AE1016" s="24"/>
      <c r="AF1016" s="24"/>
      <c r="AG1016" s="20"/>
    </row>
    <row r="1017">
      <c r="A1017" s="35"/>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c r="AA1017" s="24"/>
      <c r="AB1017" s="24"/>
      <c r="AC1017" s="24"/>
      <c r="AD1017" s="24"/>
      <c r="AE1017" s="24"/>
      <c r="AF1017" s="24"/>
      <c r="AG1017" s="20"/>
    </row>
  </sheetData>
  <conditionalFormatting sqref="B379:AF379 B459:AF459">
    <cfRule type="colorScale" priority="1">
      <colorScale>
        <cfvo type="min"/>
        <cfvo type="max"/>
        <color rgb="FFFFFFFF"/>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8.13"/>
    <col customWidth="1" min="8" max="8" width="22.5"/>
    <col customWidth="1" min="11" max="11" width="19.25"/>
  </cols>
  <sheetData>
    <row r="1">
      <c r="A1" s="11"/>
      <c r="B1" s="15" t="s">
        <v>67</v>
      </c>
      <c r="C1" s="17"/>
      <c r="D1" s="17"/>
      <c r="E1" s="17"/>
      <c r="F1" s="17"/>
      <c r="G1" s="17"/>
      <c r="H1" s="17"/>
      <c r="I1" s="17"/>
      <c r="J1" s="17"/>
      <c r="K1" s="17"/>
      <c r="L1" s="17"/>
      <c r="M1" s="17"/>
      <c r="N1" s="17"/>
      <c r="O1" s="17"/>
      <c r="P1" s="17"/>
      <c r="Q1" s="17"/>
      <c r="R1" s="17"/>
      <c r="S1" s="26"/>
      <c r="T1" s="28"/>
      <c r="U1" s="28"/>
      <c r="V1" s="26"/>
    </row>
    <row r="2">
      <c r="A2" s="31" t="s">
        <v>88</v>
      </c>
      <c r="B2" s="32" t="s">
        <v>92</v>
      </c>
      <c r="C2" s="34"/>
      <c r="D2" s="35"/>
      <c r="E2" s="32" t="s">
        <v>94</v>
      </c>
      <c r="F2" s="34"/>
      <c r="G2" s="38"/>
      <c r="H2" s="32" t="s">
        <v>96</v>
      </c>
      <c r="I2" s="34"/>
      <c r="J2" s="38"/>
      <c r="K2" s="32" t="s">
        <v>97</v>
      </c>
      <c r="L2" s="34"/>
      <c r="M2" s="35"/>
      <c r="N2" s="32" t="s">
        <v>99</v>
      </c>
      <c r="O2" s="34"/>
      <c r="P2" s="35"/>
      <c r="Q2" s="32" t="s">
        <v>101</v>
      </c>
      <c r="R2" s="34"/>
      <c r="S2" s="38"/>
      <c r="T2" s="32" t="s">
        <v>103</v>
      </c>
      <c r="U2" s="34"/>
      <c r="V2" s="27"/>
    </row>
    <row r="3">
      <c r="A3" s="41"/>
      <c r="B3" s="44" t="s">
        <v>106</v>
      </c>
      <c r="C3" s="46">
        <v>86.9</v>
      </c>
      <c r="D3" s="49">
        <v>86.9</v>
      </c>
      <c r="E3" s="51" t="s">
        <v>108</v>
      </c>
      <c r="F3" s="52">
        <f>(('DTC - P&amp;L'!AG83+'DTC - P&amp;L'!AG84)/'DTC - P&amp;L'!AG77)</f>
        <v>0.1107451626</v>
      </c>
      <c r="G3" s="41"/>
      <c r="H3" s="51" t="s">
        <v>92</v>
      </c>
      <c r="I3" s="46">
        <f>(C3*F9)+(C4*F8)+(C5*F3)+(C6*F4)+(C7*F5)+(C8*F6)+(C9*F7)+(C10*F10)</f>
        <v>99.26282009</v>
      </c>
      <c r="J3" s="57">
        <f>(D3*F9)+(D4*F8)+(D5*F3)+(D6*F4)+(D7*F5)+(D8*F6)+(D9*F7)</f>
        <v>99.26282009</v>
      </c>
      <c r="K3" s="44" t="s">
        <v>112</v>
      </c>
      <c r="L3" s="59">
        <v>0.029</v>
      </c>
      <c r="M3" s="35"/>
      <c r="N3" s="44" t="s">
        <v>113</v>
      </c>
      <c r="O3" s="52">
        <v>0.22</v>
      </c>
      <c r="P3" s="35"/>
      <c r="Q3" s="51" t="s">
        <v>114</v>
      </c>
      <c r="R3" s="61">
        <v>15.0</v>
      </c>
      <c r="S3" s="62"/>
      <c r="T3" s="63" t="s">
        <v>117</v>
      </c>
      <c r="U3" s="52">
        <v>0.0614</v>
      </c>
      <c r="V3" s="65" t="s">
        <v>88</v>
      </c>
    </row>
    <row r="4">
      <c r="A4" s="41"/>
      <c r="B4" s="44" t="s">
        <v>119</v>
      </c>
      <c r="C4" s="46">
        <v>97.61</v>
      </c>
      <c r="D4" s="49">
        <v>97.61</v>
      </c>
      <c r="E4" s="51" t="s">
        <v>121</v>
      </c>
      <c r="F4" s="52">
        <f>('DTC - P&amp;L'!AG79/'DTC - P&amp;L'!AG77)</f>
        <v>0.3277068753</v>
      </c>
      <c r="G4" s="41"/>
      <c r="H4" s="51" t="s">
        <v>122</v>
      </c>
      <c r="I4" s="46">
        <f>C38+('DTC - P&amp;L'!AG87/'DTC - P&amp;L'!AG77)*D38</f>
        <v>13.07636167</v>
      </c>
      <c r="J4" s="38"/>
      <c r="K4" s="51" t="s">
        <v>124</v>
      </c>
      <c r="L4" s="52">
        <v>0.034</v>
      </c>
      <c r="M4" s="35"/>
      <c r="N4" s="44" t="s">
        <v>125</v>
      </c>
      <c r="O4" s="52">
        <v>0.13</v>
      </c>
      <c r="P4" s="35"/>
      <c r="Q4" s="51" t="s">
        <v>126</v>
      </c>
      <c r="R4" s="61">
        <v>40.0</v>
      </c>
      <c r="S4" s="68"/>
      <c r="T4" s="68"/>
      <c r="U4" s="68"/>
      <c r="V4" s="68"/>
    </row>
    <row r="5">
      <c r="A5" s="41"/>
      <c r="B5" s="44" t="s">
        <v>127</v>
      </c>
      <c r="C5" s="46">
        <v>13.44</v>
      </c>
      <c r="D5" s="49">
        <v>13.44</v>
      </c>
      <c r="E5" s="69" t="s">
        <v>129</v>
      </c>
      <c r="F5" s="70">
        <v>0.0</v>
      </c>
      <c r="G5" s="41"/>
      <c r="H5" s="44" t="s">
        <v>130</v>
      </c>
      <c r="I5" s="46">
        <f>C34+('DTC - P&amp;L'!AG87/'DTC - P&amp;L'!AG77)*D34</f>
        <v>16.8140809</v>
      </c>
      <c r="J5" s="35"/>
      <c r="K5" s="51" t="s">
        <v>132</v>
      </c>
      <c r="L5" s="52">
        <v>0.075</v>
      </c>
      <c r="M5" s="35"/>
      <c r="N5" s="44" t="s">
        <v>133</v>
      </c>
      <c r="O5" s="73"/>
      <c r="P5" s="35"/>
      <c r="Q5" s="51" t="s">
        <v>135</v>
      </c>
      <c r="R5" s="61">
        <v>20.0</v>
      </c>
      <c r="S5" s="68"/>
      <c r="T5" s="68"/>
      <c r="U5" s="68"/>
      <c r="V5" s="68"/>
    </row>
    <row r="6">
      <c r="A6" s="41"/>
      <c r="B6" s="44" t="s">
        <v>121</v>
      </c>
      <c r="C6" s="46">
        <v>5.49</v>
      </c>
      <c r="D6" s="49">
        <v>5.49</v>
      </c>
      <c r="E6" s="51" t="s">
        <v>137</v>
      </c>
      <c r="F6" s="52">
        <f>('DTC - P&amp;L'!AG80)/'DTC - P&amp;L'!AG77</f>
        <v>0.166941128</v>
      </c>
      <c r="G6" s="41"/>
      <c r="H6" s="44" t="s">
        <v>138</v>
      </c>
      <c r="I6" s="46">
        <v>16.81</v>
      </c>
      <c r="J6" s="35"/>
      <c r="K6" s="51" t="s">
        <v>139</v>
      </c>
      <c r="L6" s="75">
        <v>0.00125</v>
      </c>
      <c r="M6" s="24"/>
      <c r="N6" s="24"/>
      <c r="O6" s="24"/>
      <c r="P6" s="35"/>
      <c r="Q6" s="51" t="s">
        <v>140</v>
      </c>
      <c r="R6" s="76">
        <v>1.0</v>
      </c>
      <c r="S6" s="77"/>
      <c r="T6" s="77"/>
      <c r="U6" s="77"/>
      <c r="V6" s="77"/>
    </row>
    <row r="7">
      <c r="A7" s="41"/>
      <c r="B7" s="69" t="s">
        <v>129</v>
      </c>
      <c r="C7" s="80">
        <v>6.37</v>
      </c>
      <c r="D7" s="35"/>
      <c r="E7" s="51" t="s">
        <v>142</v>
      </c>
      <c r="F7" s="52">
        <f>('DTC - P&amp;L'!AG81+'DTC - P&amp;L'!AG82)/'DTC - P&amp;L'!AG77</f>
        <v>0.1864965006</v>
      </c>
      <c r="G7" s="41"/>
      <c r="H7" s="51" t="s">
        <v>144</v>
      </c>
      <c r="I7" s="46">
        <v>0.0</v>
      </c>
      <c r="J7" s="35"/>
      <c r="K7" s="51" t="s">
        <v>145</v>
      </c>
      <c r="L7" s="83">
        <v>0.003464</v>
      </c>
      <c r="M7" s="24"/>
      <c r="N7" s="84"/>
      <c r="O7" s="85"/>
      <c r="P7" s="24"/>
      <c r="Q7" s="24"/>
      <c r="R7" s="24"/>
      <c r="S7" s="24"/>
      <c r="T7" s="24"/>
      <c r="U7" s="24"/>
      <c r="V7" s="24"/>
    </row>
    <row r="8">
      <c r="A8" s="41"/>
      <c r="B8" s="44" t="s">
        <v>137</v>
      </c>
      <c r="C8" s="46">
        <v>1.19</v>
      </c>
      <c r="D8" s="49">
        <v>1.19</v>
      </c>
      <c r="E8" s="51" t="s">
        <v>147</v>
      </c>
      <c r="F8" s="52">
        <f>('DTC - P&amp;L'!AG75+'DTC - P&amp;L'!AG76)/'DTC - P&amp;L'!AG77</f>
        <v>0.7128447921</v>
      </c>
      <c r="G8" s="41"/>
      <c r="H8" s="51" t="s">
        <v>149</v>
      </c>
      <c r="I8" s="46">
        <v>0.0</v>
      </c>
      <c r="J8" s="35"/>
      <c r="K8" s="51" t="s">
        <v>150</v>
      </c>
      <c r="L8" s="52">
        <v>0.075</v>
      </c>
      <c r="M8" s="24"/>
      <c r="N8" s="84"/>
      <c r="O8" s="85"/>
      <c r="P8" s="24"/>
      <c r="Q8" s="24"/>
      <c r="R8" s="24"/>
      <c r="S8" s="24"/>
      <c r="T8" s="24"/>
      <c r="U8" s="24"/>
      <c r="V8" s="24"/>
    </row>
    <row r="9">
      <c r="A9" s="41"/>
      <c r="B9" s="44" t="s">
        <v>153</v>
      </c>
      <c r="C9" s="46">
        <v>6.66</v>
      </c>
      <c r="D9" s="49">
        <v>6.66</v>
      </c>
      <c r="E9" s="51" t="s">
        <v>106</v>
      </c>
      <c r="F9" s="52">
        <f>1-F8</f>
        <v>0.2871552079</v>
      </c>
      <c r="G9" s="41"/>
      <c r="H9" s="44" t="s">
        <v>154</v>
      </c>
      <c r="I9" s="46">
        <f>Summary!B52*L3</f>
        <v>6.991535838</v>
      </c>
      <c r="J9" s="35"/>
      <c r="K9" s="51" t="s">
        <v>156</v>
      </c>
      <c r="L9" s="52">
        <v>0.025</v>
      </c>
      <c r="M9" s="24"/>
      <c r="N9" s="24"/>
      <c r="O9" s="24"/>
      <c r="P9" s="24"/>
      <c r="Q9" s="24"/>
      <c r="R9" s="24"/>
      <c r="S9" s="24"/>
      <c r="T9" s="24"/>
      <c r="U9" s="24"/>
      <c r="V9" s="24"/>
    </row>
    <row r="10">
      <c r="A10" s="88"/>
      <c r="B10" s="90" t="s">
        <v>158</v>
      </c>
      <c r="C10" s="91">
        <v>6.0</v>
      </c>
      <c r="D10" s="35"/>
      <c r="E10" s="51" t="s">
        <v>158</v>
      </c>
      <c r="F10" s="52">
        <f>('DTC - P&amp;L'!AG85+'DTC - P&amp;L'!AG86)/'DTC - P&amp;L'!AG77</f>
        <v>0</v>
      </c>
      <c r="G10" s="35"/>
      <c r="H10" s="51" t="s">
        <v>159</v>
      </c>
      <c r="I10" s="46">
        <f>0.3</f>
        <v>0.3</v>
      </c>
      <c r="J10" s="35"/>
      <c r="K10" s="51" t="s">
        <v>160</v>
      </c>
      <c r="L10" s="46">
        <v>15.0</v>
      </c>
      <c r="M10" s="24"/>
      <c r="N10" s="24"/>
      <c r="O10" s="24"/>
      <c r="P10" s="24"/>
      <c r="Q10" s="24"/>
      <c r="R10" s="24"/>
      <c r="S10" s="24"/>
      <c r="T10" s="24"/>
      <c r="U10" s="24"/>
      <c r="V10" s="24"/>
    </row>
    <row r="11">
      <c r="A11" s="35"/>
      <c r="B11" s="51" t="s">
        <v>161</v>
      </c>
      <c r="C11" s="46">
        <v>3.94</v>
      </c>
      <c r="D11" s="38"/>
      <c r="E11" s="51" t="s">
        <v>162</v>
      </c>
      <c r="F11" s="73"/>
      <c r="G11" s="35"/>
      <c r="H11" s="51" t="s">
        <v>163</v>
      </c>
      <c r="I11" s="73"/>
      <c r="J11" s="24"/>
      <c r="K11" s="93"/>
      <c r="L11" s="93"/>
      <c r="M11" s="24"/>
      <c r="N11" s="24"/>
      <c r="O11" s="84"/>
      <c r="P11" s="94"/>
      <c r="Q11" s="24"/>
      <c r="R11" s="24"/>
      <c r="S11" s="24"/>
      <c r="T11" s="24"/>
      <c r="U11" s="24"/>
      <c r="V11" s="24"/>
    </row>
    <row r="12">
      <c r="A12" s="88"/>
      <c r="B12" s="51" t="s">
        <v>164</v>
      </c>
      <c r="C12" s="95">
        <v>14.79</v>
      </c>
      <c r="D12" s="41"/>
      <c r="E12" s="51" t="s">
        <v>165</v>
      </c>
      <c r="F12" s="73"/>
      <c r="G12" s="35"/>
      <c r="H12" s="51" t="s">
        <v>162</v>
      </c>
      <c r="I12" s="73"/>
      <c r="J12" s="35"/>
      <c r="K12" s="51" t="s">
        <v>168</v>
      </c>
      <c r="L12" s="52">
        <v>0.95</v>
      </c>
      <c r="M12" s="24"/>
      <c r="N12" s="24"/>
      <c r="O12" s="97"/>
      <c r="Q12" s="98"/>
      <c r="R12" s="24"/>
      <c r="S12" s="24"/>
      <c r="T12" s="24"/>
      <c r="U12" s="24"/>
      <c r="V12" s="24"/>
    </row>
    <row r="13">
      <c r="A13" s="88"/>
      <c r="B13" s="51" t="s">
        <v>169</v>
      </c>
      <c r="C13" s="73"/>
      <c r="D13" s="41"/>
      <c r="E13" s="51" t="s">
        <v>170</v>
      </c>
      <c r="F13" s="73"/>
      <c r="G13" s="35"/>
      <c r="H13" s="51" t="s">
        <v>165</v>
      </c>
      <c r="I13" s="73"/>
      <c r="J13" s="35"/>
      <c r="K13" s="51" t="s">
        <v>171</v>
      </c>
      <c r="L13" s="52">
        <v>0.05</v>
      </c>
      <c r="M13" s="24"/>
      <c r="N13" s="24"/>
      <c r="O13" s="84"/>
      <c r="Q13" s="24"/>
      <c r="R13" s="24"/>
      <c r="S13" s="24"/>
      <c r="T13" s="24"/>
      <c r="U13" s="24"/>
      <c r="V13" s="24"/>
    </row>
    <row r="14">
      <c r="A14" s="35"/>
      <c r="B14" s="51" t="s">
        <v>172</v>
      </c>
      <c r="C14" s="73"/>
      <c r="D14" s="41"/>
      <c r="E14" s="51" t="s">
        <v>173</v>
      </c>
      <c r="F14" s="73"/>
      <c r="G14" s="35"/>
      <c r="H14" s="51" t="s">
        <v>170</v>
      </c>
      <c r="I14" s="73"/>
      <c r="J14" s="35"/>
      <c r="K14" s="51" t="s">
        <v>174</v>
      </c>
      <c r="L14" s="52">
        <v>0.0579</v>
      </c>
      <c r="M14" s="24"/>
      <c r="N14" s="24"/>
      <c r="O14" s="24"/>
      <c r="P14" s="24"/>
      <c r="Q14" s="24"/>
      <c r="R14" s="24"/>
      <c r="S14" s="24"/>
      <c r="T14" s="24"/>
      <c r="U14" s="24"/>
      <c r="V14" s="24"/>
    </row>
    <row r="15">
      <c r="A15" s="24"/>
      <c r="B15" s="27"/>
      <c r="C15" s="27"/>
      <c r="D15" s="27"/>
      <c r="E15" s="27"/>
      <c r="F15" s="97"/>
      <c r="G15" s="35"/>
      <c r="H15" s="51" t="s">
        <v>151</v>
      </c>
      <c r="I15" s="102">
        <f>SUM(I3:I14)</f>
        <v>153.2547985</v>
      </c>
      <c r="J15" s="35"/>
      <c r="K15" s="51" t="s">
        <v>175</v>
      </c>
      <c r="L15" s="46">
        <v>0.3</v>
      </c>
      <c r="M15" s="24"/>
      <c r="N15" s="24"/>
      <c r="O15" s="24"/>
      <c r="P15" s="24"/>
      <c r="Q15" s="24"/>
      <c r="R15" s="24"/>
      <c r="S15" s="24"/>
      <c r="T15" s="24"/>
      <c r="U15" s="24"/>
      <c r="V15" s="24"/>
    </row>
    <row r="16">
      <c r="A16" s="24"/>
      <c r="B16" s="27"/>
      <c r="C16" s="27"/>
      <c r="D16" s="27"/>
      <c r="E16" s="27"/>
      <c r="F16" s="97"/>
      <c r="G16" s="24"/>
      <c r="H16" s="24"/>
      <c r="I16" s="24"/>
      <c r="J16" s="24"/>
      <c r="K16" s="24"/>
      <c r="L16" s="84"/>
      <c r="M16" s="24"/>
      <c r="N16" s="24"/>
      <c r="O16" s="24"/>
      <c r="P16" s="24"/>
      <c r="Q16" s="24"/>
      <c r="R16" s="24"/>
      <c r="S16" s="24"/>
      <c r="T16" s="24"/>
      <c r="U16" s="24"/>
      <c r="V16" s="24"/>
    </row>
    <row r="17">
      <c r="A17" s="24"/>
      <c r="B17" s="27"/>
      <c r="C17" s="27"/>
      <c r="D17" s="27"/>
      <c r="E17" s="27"/>
      <c r="F17" s="97"/>
      <c r="G17" s="24"/>
      <c r="H17" s="24"/>
      <c r="I17" s="24"/>
      <c r="J17" s="24"/>
      <c r="K17" s="24"/>
      <c r="L17" s="84"/>
      <c r="M17" s="24"/>
      <c r="N17" s="24"/>
      <c r="O17" s="24"/>
      <c r="P17" s="24"/>
      <c r="Q17" s="24"/>
      <c r="R17" s="24"/>
      <c r="S17" s="24"/>
      <c r="T17" s="24"/>
      <c r="U17" s="24"/>
      <c r="V17" s="24"/>
    </row>
    <row r="18">
      <c r="A18" s="24"/>
      <c r="B18" s="27"/>
      <c r="C18" s="27"/>
      <c r="D18" s="27"/>
      <c r="E18" s="27"/>
      <c r="F18" s="97"/>
      <c r="G18" s="24"/>
      <c r="H18" s="24"/>
      <c r="I18" s="24"/>
      <c r="J18" s="24"/>
      <c r="K18" s="24"/>
      <c r="L18" s="84"/>
      <c r="M18" s="24"/>
      <c r="N18" s="24"/>
      <c r="O18" s="24"/>
      <c r="P18" s="24"/>
      <c r="Q18" s="24"/>
      <c r="R18" s="24"/>
      <c r="S18" s="24"/>
      <c r="T18" s="24"/>
      <c r="U18" s="24"/>
      <c r="V18" s="24"/>
    </row>
    <row r="19">
      <c r="A19" s="24"/>
      <c r="B19" s="27"/>
      <c r="C19" s="27"/>
      <c r="D19" s="27"/>
      <c r="E19" s="27"/>
      <c r="F19" s="97"/>
      <c r="G19" s="24"/>
      <c r="H19" s="24"/>
      <c r="I19" s="24"/>
      <c r="J19" s="24"/>
      <c r="K19" s="24"/>
      <c r="L19" s="84"/>
      <c r="M19" s="24"/>
      <c r="N19" s="24"/>
      <c r="O19" s="24"/>
      <c r="P19" s="24"/>
      <c r="Q19" s="24"/>
      <c r="R19" s="24"/>
      <c r="S19" s="24"/>
      <c r="T19" s="24"/>
      <c r="U19" s="24"/>
      <c r="V19" s="24"/>
    </row>
    <row r="20">
      <c r="A20" s="24"/>
      <c r="B20" s="27"/>
      <c r="C20" s="27"/>
      <c r="D20" s="27"/>
      <c r="E20" s="27"/>
      <c r="F20" s="97"/>
      <c r="G20" s="24"/>
      <c r="H20" s="24"/>
      <c r="I20" s="24"/>
      <c r="J20" s="24"/>
      <c r="K20" s="24"/>
      <c r="L20" s="84"/>
      <c r="M20" s="24"/>
      <c r="N20" s="24"/>
      <c r="O20" s="24"/>
      <c r="P20" s="24"/>
      <c r="Q20" s="24"/>
      <c r="R20" s="24"/>
      <c r="S20" s="24"/>
      <c r="T20" s="24"/>
      <c r="U20" s="24"/>
      <c r="V20" s="24"/>
    </row>
    <row r="21">
      <c r="A21" s="24"/>
      <c r="B21" s="132"/>
      <c r="C21" s="132"/>
      <c r="D21" s="132"/>
      <c r="E21" s="132"/>
      <c r="F21" s="97"/>
      <c r="G21" s="24"/>
      <c r="H21" s="24"/>
      <c r="I21" s="24"/>
      <c r="J21" s="24"/>
      <c r="K21" s="24"/>
      <c r="L21" s="84"/>
      <c r="M21" s="24"/>
      <c r="N21" s="24"/>
      <c r="O21" s="24"/>
      <c r="P21" s="24"/>
      <c r="Q21" s="24"/>
      <c r="R21" s="24"/>
      <c r="S21" s="24"/>
      <c r="T21" s="24"/>
      <c r="U21" s="24"/>
      <c r="V21" s="24"/>
    </row>
    <row r="22">
      <c r="A22" s="35"/>
      <c r="B22" s="134" t="s">
        <v>178</v>
      </c>
      <c r="C22" s="135" t="s">
        <v>179</v>
      </c>
      <c r="D22" s="135" t="s">
        <v>180</v>
      </c>
      <c r="E22" s="135" t="s">
        <v>181</v>
      </c>
      <c r="F22" s="97"/>
      <c r="G22" s="24"/>
      <c r="H22" s="93"/>
      <c r="I22" s="93"/>
      <c r="J22" s="24"/>
      <c r="K22" s="24"/>
      <c r="L22" s="24"/>
      <c r="M22" s="24"/>
      <c r="N22" s="24"/>
      <c r="O22" s="24"/>
      <c r="P22" s="24"/>
      <c r="Q22" s="24"/>
      <c r="R22" s="24"/>
      <c r="S22" s="24"/>
      <c r="T22" s="24"/>
      <c r="U22" s="24"/>
      <c r="V22" s="24"/>
    </row>
    <row r="23">
      <c r="A23" s="35" t="s">
        <v>182</v>
      </c>
      <c r="B23" s="51" t="s">
        <v>183</v>
      </c>
      <c r="C23" s="46">
        <v>11.94</v>
      </c>
      <c r="D23" s="46">
        <v>6.155</v>
      </c>
      <c r="E23" s="46">
        <v>5.4</v>
      </c>
      <c r="F23" s="97"/>
      <c r="G23" s="35"/>
      <c r="H23" s="32" t="s">
        <v>184</v>
      </c>
      <c r="I23" s="34"/>
      <c r="J23" s="24"/>
      <c r="K23" s="24"/>
      <c r="L23" s="24"/>
      <c r="M23" s="24"/>
      <c r="N23" s="84"/>
      <c r="O23" s="24"/>
      <c r="P23" s="24"/>
      <c r="Q23" s="24"/>
      <c r="R23" s="24"/>
      <c r="S23" s="24"/>
      <c r="T23" s="24"/>
      <c r="U23" s="24"/>
      <c r="V23" s="24"/>
    </row>
    <row r="24">
      <c r="A24" s="35"/>
      <c r="B24" s="51" t="s">
        <v>185</v>
      </c>
      <c r="C24" s="95">
        <v>11.94</v>
      </c>
      <c r="D24" s="95">
        <v>6.16</v>
      </c>
      <c r="E24" s="27"/>
      <c r="F24" s="97"/>
      <c r="G24" s="35"/>
      <c r="H24" s="44" t="s">
        <v>186</v>
      </c>
      <c r="I24" s="137">
        <v>0.8</v>
      </c>
      <c r="J24" s="24"/>
      <c r="K24" s="24"/>
      <c r="L24" s="139"/>
      <c r="M24" s="24"/>
      <c r="N24" s="24"/>
      <c r="O24" s="24"/>
      <c r="P24" s="24"/>
      <c r="Q24" s="24"/>
      <c r="R24" s="24"/>
      <c r="S24" s="24"/>
      <c r="T24" s="24"/>
      <c r="U24" s="24"/>
      <c r="V24" s="24"/>
    </row>
    <row r="25">
      <c r="A25" s="35"/>
      <c r="B25" s="51" t="s">
        <v>187</v>
      </c>
      <c r="C25" s="95">
        <v>11.94</v>
      </c>
      <c r="D25" s="95">
        <v>6.16</v>
      </c>
      <c r="E25" s="27"/>
      <c r="F25" s="97"/>
      <c r="G25" s="35"/>
      <c r="H25" s="44" t="s">
        <v>189</v>
      </c>
      <c r="I25" s="137">
        <v>0.2</v>
      </c>
      <c r="J25" s="24"/>
      <c r="K25" s="24"/>
      <c r="L25" s="24"/>
      <c r="M25" s="24"/>
      <c r="N25" s="24"/>
      <c r="O25" s="24"/>
      <c r="P25" s="24"/>
      <c r="Q25" s="24"/>
      <c r="R25" s="24"/>
      <c r="S25" s="24"/>
      <c r="T25" s="24"/>
      <c r="U25" s="24"/>
      <c r="V25" s="24"/>
    </row>
    <row r="26">
      <c r="A26" s="31" t="s">
        <v>88</v>
      </c>
      <c r="B26" s="51" t="s">
        <v>190</v>
      </c>
      <c r="C26" s="143">
        <v>0.0</v>
      </c>
      <c r="D26" s="143">
        <v>0.0</v>
      </c>
      <c r="E26" s="24"/>
      <c r="F26" s="24"/>
      <c r="G26" s="24"/>
      <c r="H26" s="24"/>
      <c r="I26" s="24"/>
      <c r="J26" s="24"/>
      <c r="K26" s="24"/>
      <c r="L26" s="24"/>
      <c r="M26" s="24"/>
      <c r="N26" s="24"/>
      <c r="O26" s="24"/>
      <c r="P26" s="24"/>
      <c r="Q26" s="24"/>
      <c r="R26" s="24"/>
      <c r="S26" s="24"/>
      <c r="T26" s="24"/>
      <c r="U26" s="24"/>
      <c r="V26" s="24"/>
    </row>
    <row r="27">
      <c r="A27" s="35"/>
      <c r="B27" s="51" t="s">
        <v>191</v>
      </c>
      <c r="C27" s="144"/>
      <c r="D27" s="144"/>
      <c r="E27" s="27"/>
      <c r="F27" s="97"/>
      <c r="G27" s="24"/>
      <c r="H27" s="24"/>
      <c r="I27" s="24"/>
      <c r="J27" s="24"/>
      <c r="K27" s="24"/>
      <c r="L27" s="24"/>
      <c r="M27" s="24"/>
      <c r="N27" s="24"/>
      <c r="O27" s="24"/>
      <c r="P27" s="24"/>
      <c r="Q27" s="24"/>
      <c r="R27" s="24"/>
      <c r="S27" s="24"/>
      <c r="T27" s="24"/>
      <c r="U27" s="24"/>
      <c r="V27" s="24"/>
    </row>
    <row r="28">
      <c r="A28" s="35"/>
      <c r="B28" s="51" t="s">
        <v>192</v>
      </c>
      <c r="C28" s="46">
        <v>0.1</v>
      </c>
      <c r="D28" s="46">
        <v>0.0</v>
      </c>
      <c r="E28" s="27"/>
      <c r="F28" s="97"/>
      <c r="G28" s="24"/>
      <c r="H28" s="24"/>
      <c r="I28" s="24"/>
      <c r="J28" s="24"/>
      <c r="K28" s="24"/>
      <c r="L28" s="24"/>
      <c r="M28" s="24"/>
      <c r="N28" s="24"/>
      <c r="O28" s="24"/>
      <c r="P28" s="24"/>
      <c r="Q28" s="24"/>
      <c r="R28" s="24"/>
      <c r="S28" s="24"/>
      <c r="T28" s="24"/>
      <c r="U28" s="24"/>
      <c r="V28" s="24"/>
    </row>
    <row r="29">
      <c r="A29" s="35"/>
      <c r="B29" s="51" t="s">
        <v>193</v>
      </c>
      <c r="C29" s="46">
        <v>0.31</v>
      </c>
      <c r="D29" s="46">
        <v>0.31</v>
      </c>
      <c r="E29" s="27"/>
      <c r="F29" s="97"/>
      <c r="G29" s="24"/>
      <c r="H29" s="24"/>
      <c r="I29" s="24"/>
      <c r="J29" s="24"/>
      <c r="K29" s="24"/>
      <c r="L29" s="24"/>
      <c r="M29" s="24"/>
      <c r="N29" s="24"/>
      <c r="O29" s="24"/>
      <c r="P29" s="24"/>
      <c r="Q29" s="24"/>
      <c r="R29" s="24"/>
      <c r="S29" s="24"/>
      <c r="T29" s="24"/>
      <c r="U29" s="24"/>
      <c r="V29" s="24"/>
    </row>
    <row r="30">
      <c r="A30" s="35"/>
      <c r="B30" s="51" t="s">
        <v>194</v>
      </c>
      <c r="C30" s="46">
        <v>0.0</v>
      </c>
      <c r="D30" s="46">
        <v>0.0</v>
      </c>
      <c r="E30" s="27"/>
      <c r="F30" s="97"/>
      <c r="G30" s="24"/>
      <c r="H30" s="24"/>
      <c r="I30" s="24"/>
      <c r="J30" s="24"/>
      <c r="K30" s="24"/>
      <c r="L30" s="24"/>
      <c r="M30" s="24"/>
      <c r="N30" s="24"/>
      <c r="O30" s="24"/>
      <c r="P30" s="24"/>
      <c r="Q30" s="24"/>
      <c r="R30" s="24"/>
      <c r="S30" s="24"/>
      <c r="T30" s="24"/>
      <c r="U30" s="24"/>
      <c r="V30" s="24"/>
    </row>
    <row r="31">
      <c r="A31" s="35"/>
      <c r="B31" s="51" t="s">
        <v>195</v>
      </c>
      <c r="C31" s="46">
        <v>0.35</v>
      </c>
      <c r="D31" s="46">
        <v>0.35</v>
      </c>
      <c r="E31" s="27"/>
      <c r="F31" s="97"/>
      <c r="G31" s="24"/>
      <c r="H31" s="24"/>
      <c r="I31" s="24"/>
      <c r="J31" s="24"/>
      <c r="K31" s="24"/>
      <c r="L31" s="24"/>
      <c r="M31" s="24"/>
      <c r="N31" s="24"/>
      <c r="O31" s="24"/>
      <c r="P31" s="24"/>
      <c r="Q31" s="24"/>
      <c r="R31" s="24"/>
      <c r="S31" s="24"/>
      <c r="T31" s="24"/>
      <c r="U31" s="24"/>
      <c r="V31" s="24"/>
    </row>
    <row r="32">
      <c r="A32" s="35"/>
      <c r="B32" s="51" t="s">
        <v>197</v>
      </c>
      <c r="C32" s="46">
        <v>0.0</v>
      </c>
      <c r="D32" s="46">
        <v>0.0</v>
      </c>
      <c r="E32" s="27"/>
      <c r="F32" s="97"/>
      <c r="G32" s="24"/>
      <c r="H32" s="24"/>
      <c r="I32" s="24"/>
      <c r="J32" s="24"/>
      <c r="K32" s="24"/>
      <c r="L32" s="24"/>
      <c r="M32" s="24"/>
      <c r="N32" s="24"/>
      <c r="O32" s="24"/>
      <c r="P32" s="24"/>
      <c r="Q32" s="24"/>
      <c r="R32" s="24"/>
      <c r="S32" s="24"/>
      <c r="T32" s="24"/>
      <c r="U32" s="24"/>
      <c r="V32" s="24"/>
    </row>
    <row r="33">
      <c r="A33" s="35"/>
      <c r="B33" s="51" t="s">
        <v>198</v>
      </c>
      <c r="C33" s="46">
        <v>1.65</v>
      </c>
      <c r="D33" s="46">
        <v>0.71</v>
      </c>
      <c r="E33" s="27"/>
      <c r="F33" s="97"/>
      <c r="G33" s="24"/>
      <c r="H33" s="24"/>
      <c r="I33" s="24"/>
      <c r="J33" s="24"/>
      <c r="K33" s="24"/>
      <c r="L33" s="24"/>
      <c r="M33" s="24"/>
      <c r="N33" s="24"/>
      <c r="O33" s="24"/>
      <c r="P33" s="24"/>
      <c r="Q33" s="24"/>
      <c r="R33" s="24"/>
      <c r="S33" s="24"/>
      <c r="T33" s="24"/>
      <c r="U33" s="24"/>
      <c r="V33" s="24"/>
    </row>
    <row r="34">
      <c r="A34" s="35"/>
      <c r="B34" s="149" t="s">
        <v>199</v>
      </c>
      <c r="C34" s="152">
        <f t="shared" ref="C34:D34" si="1">C26+C23-C27</f>
        <v>11.94</v>
      </c>
      <c r="D34" s="152">
        <f t="shared" si="1"/>
        <v>6.155</v>
      </c>
      <c r="E34" s="24"/>
      <c r="F34" s="24"/>
      <c r="G34" s="24"/>
      <c r="H34" s="24"/>
      <c r="I34" s="24"/>
      <c r="J34" s="24"/>
      <c r="K34" s="24"/>
      <c r="L34" s="24"/>
      <c r="M34" s="24"/>
      <c r="N34" s="24"/>
      <c r="O34" s="24"/>
      <c r="P34" s="24"/>
      <c r="Q34" s="24"/>
      <c r="R34" s="24"/>
      <c r="S34" s="24"/>
      <c r="T34" s="24"/>
      <c r="U34" s="24"/>
      <c r="V34" s="24"/>
    </row>
    <row r="35">
      <c r="A35" s="35"/>
      <c r="B35" s="149" t="s">
        <v>200</v>
      </c>
      <c r="C35" s="95">
        <v>15.06</v>
      </c>
      <c r="D35" s="91">
        <f>D27+D24-D28</f>
        <v>6.16</v>
      </c>
      <c r="E35" s="27"/>
      <c r="F35" s="97"/>
      <c r="G35" s="24"/>
      <c r="H35" s="24"/>
      <c r="I35" s="24"/>
      <c r="J35" s="24"/>
      <c r="K35" s="24"/>
      <c r="L35" s="24"/>
      <c r="M35" s="24"/>
      <c r="N35" s="24"/>
      <c r="O35" s="24"/>
      <c r="P35" s="24"/>
      <c r="Q35" s="24"/>
      <c r="R35" s="24"/>
      <c r="S35" s="24"/>
      <c r="T35" s="24"/>
      <c r="U35" s="24"/>
      <c r="V35" s="24"/>
    </row>
    <row r="36">
      <c r="A36" s="35"/>
      <c r="B36" s="154" t="s">
        <v>201</v>
      </c>
      <c r="C36" s="80">
        <v>20.0</v>
      </c>
      <c r="D36" s="155"/>
      <c r="E36" s="27"/>
      <c r="F36" s="97"/>
      <c r="G36" s="24"/>
      <c r="H36" s="24"/>
      <c r="I36" s="24"/>
      <c r="J36" s="24"/>
      <c r="K36" s="24"/>
      <c r="L36" s="24"/>
      <c r="M36" s="24"/>
      <c r="N36" s="24"/>
      <c r="O36" s="24"/>
      <c r="P36" s="24"/>
      <c r="Q36" s="24"/>
      <c r="R36" s="24"/>
      <c r="S36" s="24"/>
      <c r="T36" s="24"/>
      <c r="U36" s="24"/>
      <c r="V36" s="24"/>
    </row>
    <row r="37">
      <c r="A37" s="157" t="s">
        <v>88</v>
      </c>
      <c r="B37" s="134" t="s">
        <v>203</v>
      </c>
      <c r="C37" s="135" t="s">
        <v>179</v>
      </c>
      <c r="D37" s="135" t="s">
        <v>180</v>
      </c>
      <c r="E37" s="24"/>
      <c r="F37" s="24"/>
      <c r="G37" s="24"/>
      <c r="H37" s="24"/>
      <c r="I37" s="24"/>
      <c r="J37" s="24"/>
      <c r="K37" s="24"/>
      <c r="L37" s="24"/>
      <c r="M37" s="24"/>
      <c r="N37" s="24"/>
      <c r="O37" s="24"/>
      <c r="P37" s="24"/>
      <c r="Q37" s="24"/>
      <c r="R37" s="24"/>
      <c r="S37" s="24"/>
      <c r="T37" s="24"/>
      <c r="U37" s="24"/>
      <c r="V37" s="24"/>
    </row>
    <row r="38">
      <c r="A38" s="35"/>
      <c r="B38" s="44" t="s">
        <v>204</v>
      </c>
      <c r="C38" s="46">
        <v>11.94</v>
      </c>
      <c r="D38" s="46">
        <v>1.435</v>
      </c>
      <c r="E38" s="24"/>
      <c r="F38" s="24"/>
      <c r="G38" s="24"/>
      <c r="H38" s="24"/>
      <c r="I38" s="24"/>
      <c r="J38" s="24"/>
      <c r="K38" s="24"/>
      <c r="L38" s="24"/>
      <c r="M38" s="24"/>
      <c r="N38" s="24"/>
      <c r="O38" s="24"/>
      <c r="P38" s="24"/>
      <c r="Q38" s="24"/>
      <c r="R38" s="24"/>
      <c r="S38" s="24"/>
      <c r="T38" s="24"/>
      <c r="U38" s="24"/>
      <c r="V38" s="24"/>
    </row>
    <row r="39">
      <c r="A39" s="35"/>
      <c r="B39" s="44" t="s">
        <v>206</v>
      </c>
      <c r="C39" s="46">
        <v>11.94</v>
      </c>
      <c r="D39" s="46">
        <v>1.44</v>
      </c>
      <c r="E39" s="27"/>
      <c r="F39" s="27"/>
      <c r="G39" s="24"/>
      <c r="H39" s="24"/>
      <c r="I39" s="24"/>
      <c r="J39" s="24"/>
      <c r="K39" s="24"/>
      <c r="L39" s="24"/>
      <c r="M39" s="24"/>
      <c r="N39" s="24"/>
      <c r="O39" s="24"/>
      <c r="P39" s="24"/>
      <c r="Q39" s="24"/>
      <c r="R39" s="24"/>
      <c r="S39" s="24"/>
      <c r="T39" s="24"/>
      <c r="U39" s="24"/>
      <c r="V39" s="24"/>
    </row>
    <row r="40">
      <c r="A40" s="35"/>
      <c r="B40" s="69" t="s">
        <v>207</v>
      </c>
      <c r="C40" s="80">
        <v>11.94</v>
      </c>
      <c r="D40" s="80">
        <v>1.44</v>
      </c>
      <c r="E40" s="27"/>
      <c r="F40" s="68"/>
      <c r="G40" s="24"/>
      <c r="H40" s="24"/>
      <c r="I40" s="24"/>
      <c r="J40" s="24"/>
      <c r="K40" s="24"/>
      <c r="L40" s="24"/>
      <c r="M40" s="24"/>
      <c r="N40" s="24"/>
      <c r="O40" s="24"/>
      <c r="P40" s="24"/>
      <c r="Q40" s="24"/>
      <c r="R40" s="24"/>
      <c r="S40" s="24"/>
      <c r="T40" s="24"/>
      <c r="U40" s="24"/>
      <c r="V40" s="24"/>
    </row>
    <row r="41">
      <c r="A41" s="24"/>
      <c r="B41" s="132"/>
      <c r="C41" s="186"/>
      <c r="D41" s="93"/>
      <c r="E41" s="27"/>
      <c r="F41" s="68"/>
      <c r="G41" s="24"/>
      <c r="H41" s="24"/>
      <c r="I41" s="24"/>
      <c r="J41" s="24"/>
      <c r="K41" s="24"/>
      <c r="L41" s="24"/>
      <c r="M41" s="24"/>
      <c r="N41" s="24"/>
      <c r="O41" s="24"/>
      <c r="P41" s="24"/>
      <c r="Q41" s="24"/>
      <c r="R41" s="24"/>
      <c r="S41" s="24"/>
      <c r="T41" s="24"/>
      <c r="U41" s="24"/>
      <c r="V41" s="24"/>
    </row>
    <row r="42">
      <c r="A42" s="35"/>
      <c r="B42" s="134" t="s">
        <v>209</v>
      </c>
      <c r="C42" s="135" t="s">
        <v>179</v>
      </c>
      <c r="D42" s="32" t="s">
        <v>180</v>
      </c>
      <c r="E42" s="27"/>
      <c r="F42" s="68"/>
      <c r="G42" s="24"/>
      <c r="H42" s="24"/>
      <c r="I42" s="24"/>
      <c r="J42" s="24"/>
      <c r="K42" s="24"/>
      <c r="L42" s="24"/>
      <c r="M42" s="24"/>
      <c r="N42" s="24"/>
      <c r="O42" s="24"/>
      <c r="P42" s="24"/>
      <c r="Q42" s="24"/>
      <c r="R42" s="24"/>
      <c r="S42" s="24"/>
      <c r="T42" s="24"/>
      <c r="U42" s="24"/>
      <c r="V42" s="24"/>
    </row>
    <row r="43">
      <c r="A43" s="157" t="s">
        <v>210</v>
      </c>
      <c r="B43" s="44" t="s">
        <v>211</v>
      </c>
      <c r="C43" s="193">
        <v>11.94</v>
      </c>
      <c r="D43" s="195">
        <v>1.435</v>
      </c>
      <c r="E43" s="27"/>
      <c r="F43" s="197"/>
      <c r="G43" s="24"/>
      <c r="H43" s="24"/>
      <c r="I43" s="24"/>
      <c r="J43" s="24"/>
      <c r="K43" s="24"/>
      <c r="L43" s="24"/>
      <c r="M43" s="24"/>
      <c r="N43" s="24"/>
      <c r="O43" s="24"/>
      <c r="P43" s="24"/>
      <c r="Q43" s="24"/>
      <c r="R43" s="24"/>
      <c r="S43" s="24"/>
      <c r="T43" s="24"/>
      <c r="U43" s="24"/>
      <c r="V43" s="24"/>
    </row>
    <row r="44">
      <c r="A44" s="49">
        <f>sum(C43:C44)</f>
        <v>12.18</v>
      </c>
      <c r="B44" s="44" t="s">
        <v>212</v>
      </c>
      <c r="C44" s="193">
        <v>0.24</v>
      </c>
      <c r="D44" s="207">
        <v>0.24</v>
      </c>
      <c r="E44" s="27"/>
      <c r="F44" s="197"/>
      <c r="G44" s="24"/>
      <c r="H44" s="24"/>
      <c r="I44" s="24"/>
      <c r="J44" s="24"/>
      <c r="K44" s="24"/>
      <c r="L44" s="24"/>
      <c r="M44" s="24"/>
      <c r="N44" s="24"/>
      <c r="O44" s="24"/>
      <c r="P44" s="24"/>
      <c r="Q44" s="24"/>
      <c r="R44" s="24"/>
      <c r="S44" s="24"/>
      <c r="T44" s="24"/>
      <c r="U44" s="24"/>
      <c r="V44" s="24"/>
    </row>
    <row r="45">
      <c r="A45" s="213">
        <f>C46</f>
        <v>12.94</v>
      </c>
      <c r="B45" s="134" t="s">
        <v>213</v>
      </c>
      <c r="C45" s="135" t="s">
        <v>179</v>
      </c>
      <c r="D45" s="24"/>
      <c r="E45" s="27"/>
      <c r="F45" s="197"/>
      <c r="G45" s="24"/>
      <c r="H45" s="24"/>
      <c r="I45" s="24"/>
      <c r="J45" s="24"/>
      <c r="K45" s="24"/>
      <c r="L45" s="24"/>
      <c r="M45" s="24"/>
      <c r="N45" s="24"/>
      <c r="O45" s="24"/>
      <c r="P45" s="24"/>
      <c r="Q45" s="24"/>
      <c r="R45" s="24"/>
      <c r="S45" s="24"/>
      <c r="T45" s="24"/>
      <c r="U45" s="24"/>
      <c r="V45" s="24"/>
    </row>
    <row r="46">
      <c r="A46" s="49">
        <f>sum(F43:F45)</f>
        <v>0</v>
      </c>
      <c r="B46" s="44" t="s">
        <v>215</v>
      </c>
      <c r="C46" s="216">
        <v>12.94</v>
      </c>
      <c r="D46" s="24"/>
      <c r="E46" s="27"/>
      <c r="F46" s="94"/>
      <c r="G46" s="24"/>
      <c r="H46" s="24"/>
      <c r="I46" s="24"/>
      <c r="J46" s="24"/>
      <c r="K46" s="218"/>
      <c r="L46" s="24"/>
      <c r="M46" s="24"/>
      <c r="N46" s="24"/>
      <c r="O46" s="24"/>
      <c r="P46" s="24"/>
      <c r="Q46" s="24"/>
      <c r="R46" s="24"/>
      <c r="S46" s="24"/>
      <c r="T46" s="24"/>
      <c r="U46" s="24"/>
      <c r="V46" s="24"/>
    </row>
    <row r="47">
      <c r="A47" s="35"/>
      <c r="B47" s="51" t="s">
        <v>216</v>
      </c>
      <c r="C47" s="216">
        <v>5.7</v>
      </c>
      <c r="D47" s="24"/>
      <c r="E47" s="27"/>
      <c r="F47" s="94"/>
      <c r="G47" s="24"/>
      <c r="H47" s="24"/>
      <c r="I47" s="24"/>
      <c r="J47" s="24"/>
      <c r="K47" s="218"/>
      <c r="L47" s="24"/>
      <c r="M47" s="219"/>
      <c r="N47" s="24"/>
      <c r="O47" s="218"/>
      <c r="P47" s="24"/>
      <c r="Q47" s="24"/>
      <c r="R47" s="24"/>
      <c r="S47" s="24"/>
      <c r="T47" s="24"/>
      <c r="U47" s="24"/>
      <c r="V47" s="24"/>
    </row>
    <row r="48">
      <c r="A48" s="220">
        <f>C38</f>
        <v>11.94</v>
      </c>
      <c r="B48" s="51" t="s">
        <v>218</v>
      </c>
      <c r="C48" s="221">
        <v>0.15</v>
      </c>
      <c r="D48" s="24"/>
      <c r="E48" s="27"/>
      <c r="F48" s="94"/>
      <c r="G48" s="24"/>
      <c r="H48" s="24"/>
      <c r="I48" s="24"/>
      <c r="J48" s="24"/>
      <c r="K48" s="218"/>
      <c r="L48" s="156"/>
      <c r="M48" s="219"/>
      <c r="N48" s="24"/>
      <c r="O48" s="218"/>
      <c r="P48" s="24"/>
      <c r="Q48" s="24"/>
      <c r="R48" s="24"/>
      <c r="S48" s="24"/>
      <c r="T48" s="24"/>
      <c r="U48" s="24"/>
      <c r="V48" s="24"/>
    </row>
    <row r="49">
      <c r="A49" s="35"/>
      <c r="B49" s="134" t="s">
        <v>220</v>
      </c>
      <c r="C49" s="135" t="s">
        <v>179</v>
      </c>
      <c r="D49" s="24"/>
      <c r="E49" s="27"/>
      <c r="F49" s="94"/>
      <c r="G49" s="24"/>
      <c r="H49" s="24"/>
      <c r="I49" s="24"/>
      <c r="J49" s="24"/>
      <c r="K49" s="218"/>
      <c r="L49" s="156"/>
      <c r="M49" s="219"/>
      <c r="N49" s="24"/>
      <c r="O49" s="218"/>
      <c r="P49" s="24"/>
      <c r="Q49" s="24"/>
      <c r="R49" s="24"/>
      <c r="S49" s="24"/>
      <c r="T49" s="24"/>
      <c r="U49" s="24"/>
      <c r="V49" s="24"/>
    </row>
    <row r="50">
      <c r="A50" s="229">
        <f>sum(A43:A48)</f>
        <v>37.06</v>
      </c>
      <c r="B50" s="51" t="s">
        <v>222</v>
      </c>
      <c r="C50" s="233">
        <v>11.0</v>
      </c>
      <c r="D50" s="24"/>
      <c r="E50" s="27"/>
      <c r="F50" s="94"/>
      <c r="G50" s="24"/>
      <c r="H50" s="24"/>
      <c r="I50" s="24"/>
      <c r="J50" s="24"/>
      <c r="K50" s="218"/>
      <c r="L50" s="156"/>
      <c r="M50" s="219"/>
      <c r="N50" s="24"/>
      <c r="O50" s="218"/>
      <c r="P50" s="24"/>
      <c r="Q50" s="24"/>
      <c r="R50" s="24"/>
      <c r="S50" s="24"/>
      <c r="T50" s="24"/>
      <c r="U50" s="24"/>
      <c r="V50" s="24"/>
    </row>
    <row r="51">
      <c r="A51" s="35"/>
      <c r="B51" s="51" t="s">
        <v>223</v>
      </c>
      <c r="C51" s="247">
        <v>6.155</v>
      </c>
      <c r="D51" s="24"/>
      <c r="E51" s="24"/>
      <c r="F51" s="24"/>
      <c r="G51" s="24"/>
      <c r="H51" s="24"/>
      <c r="I51" s="24"/>
      <c r="J51" s="24"/>
      <c r="K51" s="218"/>
      <c r="L51" s="156"/>
      <c r="M51" s="219"/>
      <c r="N51" s="24"/>
      <c r="O51" s="218"/>
      <c r="P51" s="24"/>
      <c r="Q51" s="24"/>
      <c r="R51" s="24"/>
      <c r="S51" s="24"/>
      <c r="T51" s="24"/>
      <c r="U51" s="24"/>
      <c r="V51" s="24"/>
    </row>
    <row r="52">
      <c r="A52" s="24"/>
      <c r="B52" s="93"/>
      <c r="C52" s="93"/>
      <c r="D52" s="24"/>
      <c r="E52" s="24"/>
      <c r="F52" s="24"/>
      <c r="G52" s="24"/>
      <c r="H52" s="24"/>
      <c r="I52" s="24"/>
      <c r="J52" s="24"/>
      <c r="K52" s="218"/>
      <c r="L52" s="156"/>
      <c r="M52" s="219"/>
      <c r="N52" s="24"/>
      <c r="O52" s="218"/>
      <c r="P52" s="24"/>
      <c r="Q52" s="24"/>
      <c r="R52" s="24"/>
      <c r="S52" s="24"/>
      <c r="T52" s="24"/>
      <c r="U52" s="24"/>
      <c r="V52" s="24"/>
    </row>
    <row r="53">
      <c r="A53" s="249"/>
      <c r="B53" s="134" t="s">
        <v>225</v>
      </c>
      <c r="C53" s="51"/>
      <c r="D53" s="24"/>
      <c r="E53" s="24"/>
      <c r="F53" s="24"/>
      <c r="G53" s="24"/>
      <c r="H53" s="24"/>
      <c r="I53" s="24"/>
      <c r="J53" s="24"/>
      <c r="K53" s="218"/>
      <c r="L53" s="156"/>
      <c r="M53" s="219"/>
      <c r="N53" s="24"/>
      <c r="O53" s="218"/>
      <c r="P53" s="24"/>
      <c r="Q53" s="24"/>
      <c r="R53" s="24"/>
      <c r="S53" s="24"/>
      <c r="T53" s="24"/>
      <c r="U53" s="24"/>
      <c r="V53" s="24"/>
    </row>
    <row r="54">
      <c r="A54" s="35"/>
      <c r="B54" s="51" t="s">
        <v>226</v>
      </c>
      <c r="C54" s="250">
        <v>0.25</v>
      </c>
      <c r="D54" s="24"/>
      <c r="E54" s="24"/>
      <c r="F54" s="24"/>
      <c r="G54" s="24"/>
      <c r="H54" s="24"/>
      <c r="I54" s="24"/>
      <c r="J54" s="24"/>
      <c r="K54" s="218"/>
      <c r="L54" s="156"/>
      <c r="M54" s="219"/>
      <c r="N54" s="24"/>
      <c r="O54" s="218"/>
      <c r="P54" s="24"/>
      <c r="Q54" s="24"/>
      <c r="R54" s="24"/>
      <c r="S54" s="24"/>
      <c r="T54" s="24"/>
      <c r="U54" s="24"/>
      <c r="V54" s="24"/>
    </row>
    <row r="55">
      <c r="A55" s="35"/>
      <c r="B55" s="51" t="s">
        <v>227</v>
      </c>
      <c r="C55" s="250">
        <v>0.1</v>
      </c>
      <c r="D55" s="24"/>
      <c r="E55" s="24"/>
      <c r="F55" s="24"/>
      <c r="G55" s="24"/>
      <c r="H55" s="24"/>
      <c r="I55" s="24"/>
      <c r="J55" s="24"/>
      <c r="K55" s="24"/>
      <c r="L55" s="24"/>
      <c r="M55" s="24"/>
      <c r="N55" s="24"/>
      <c r="O55" s="24"/>
      <c r="P55" s="24"/>
      <c r="Q55" s="24"/>
      <c r="R55" s="24"/>
      <c r="S55" s="24"/>
      <c r="T55" s="24"/>
      <c r="U55" s="24"/>
      <c r="V55" s="24"/>
    </row>
    <row r="56">
      <c r="A56" s="24"/>
      <c r="B56" s="93"/>
      <c r="C56" s="93"/>
      <c r="D56" s="24"/>
      <c r="E56" s="24"/>
      <c r="F56" s="24"/>
      <c r="G56" s="24"/>
      <c r="H56" s="24"/>
      <c r="I56" s="24"/>
      <c r="J56" s="24"/>
      <c r="K56" s="24"/>
      <c r="L56" s="24"/>
      <c r="M56" s="24"/>
      <c r="N56" s="24"/>
      <c r="O56" s="24"/>
      <c r="P56" s="24"/>
      <c r="Q56" s="24"/>
      <c r="R56" s="24"/>
      <c r="S56" s="24"/>
      <c r="T56" s="24"/>
      <c r="U56" s="24"/>
      <c r="V56" s="24"/>
    </row>
    <row r="57">
      <c r="A57" s="35"/>
      <c r="B57" s="134" t="s">
        <v>228</v>
      </c>
      <c r="C57" s="51"/>
      <c r="D57" s="24"/>
      <c r="E57" s="24"/>
      <c r="F57" s="24"/>
      <c r="G57" s="24"/>
      <c r="H57" s="24"/>
      <c r="I57" s="24"/>
      <c r="J57" s="24"/>
      <c r="K57" s="24"/>
      <c r="L57" s="24"/>
      <c r="M57" s="24"/>
      <c r="N57" s="24"/>
      <c r="O57" s="24"/>
      <c r="P57" s="24"/>
      <c r="Q57" s="24"/>
      <c r="R57" s="24"/>
      <c r="S57" s="24"/>
      <c r="T57" s="24"/>
      <c r="U57" s="24"/>
      <c r="V57" s="24"/>
    </row>
    <row r="58">
      <c r="A58" s="35"/>
      <c r="B58" s="51" t="s">
        <v>226</v>
      </c>
      <c r="C58" s="250">
        <v>0.5644</v>
      </c>
      <c r="D58" s="24"/>
      <c r="E58" s="24"/>
      <c r="F58" s="24"/>
      <c r="G58" s="24"/>
      <c r="H58" s="24"/>
      <c r="I58" s="24"/>
      <c r="J58" s="24"/>
      <c r="K58" s="24"/>
      <c r="L58" s="24"/>
      <c r="M58" s="24"/>
      <c r="N58" s="24"/>
      <c r="O58" s="24"/>
      <c r="P58" s="24"/>
      <c r="Q58" s="24"/>
      <c r="R58" s="24"/>
      <c r="S58" s="24"/>
      <c r="T58" s="24"/>
      <c r="U58" s="24"/>
      <c r="V58" s="24"/>
    </row>
    <row r="59">
      <c r="A59" s="35"/>
      <c r="B59" s="51" t="s">
        <v>227</v>
      </c>
      <c r="C59" s="250">
        <v>0.4603</v>
      </c>
      <c r="D59" s="24"/>
      <c r="E59" s="24"/>
      <c r="F59" s="24"/>
      <c r="G59" s="24"/>
      <c r="H59" s="24"/>
      <c r="I59" s="24"/>
      <c r="J59" s="24"/>
      <c r="K59" s="24"/>
      <c r="L59" s="24"/>
      <c r="M59" s="24"/>
      <c r="N59" s="24"/>
      <c r="O59" s="24"/>
      <c r="P59" s="24"/>
      <c r="Q59" s="24"/>
      <c r="R59" s="24"/>
      <c r="S59" s="24"/>
      <c r="T59" s="24"/>
      <c r="U59" s="24"/>
      <c r="V59" s="24"/>
    </row>
    <row r="60">
      <c r="A60" s="24"/>
      <c r="B60" s="93"/>
      <c r="C60" s="93"/>
      <c r="D60" s="24"/>
      <c r="E60" s="24"/>
      <c r="F60" s="24"/>
      <c r="G60" s="24"/>
      <c r="H60" s="24"/>
      <c r="I60" s="24"/>
      <c r="J60" s="24"/>
      <c r="K60" s="24"/>
      <c r="L60" s="24"/>
      <c r="M60" s="24"/>
      <c r="N60" s="24"/>
      <c r="O60" s="24"/>
      <c r="P60" s="24"/>
      <c r="Q60" s="24"/>
      <c r="R60" s="24"/>
      <c r="S60" s="24"/>
      <c r="T60" s="24"/>
      <c r="U60" s="24"/>
      <c r="V60" s="24"/>
    </row>
    <row r="61">
      <c r="A61" s="35"/>
      <c r="B61" s="134" t="s">
        <v>232</v>
      </c>
      <c r="C61" s="51"/>
      <c r="D61" s="24"/>
      <c r="E61" s="24"/>
      <c r="F61" s="24"/>
      <c r="G61" s="24"/>
      <c r="H61" s="24"/>
      <c r="I61" s="24"/>
      <c r="J61" s="24"/>
      <c r="K61" s="24"/>
      <c r="L61" s="24"/>
      <c r="M61" s="24"/>
      <c r="N61" s="24"/>
      <c r="O61" s="24"/>
      <c r="P61" s="24"/>
      <c r="Q61" s="24"/>
      <c r="R61" s="24"/>
      <c r="S61" s="24"/>
      <c r="T61" s="24"/>
      <c r="U61" s="24"/>
      <c r="V61" s="24"/>
    </row>
    <row r="62">
      <c r="A62" s="35"/>
      <c r="B62" s="51" t="s">
        <v>233</v>
      </c>
      <c r="C62" s="233">
        <v>5.56</v>
      </c>
      <c r="D62" s="24"/>
      <c r="E62" s="24"/>
      <c r="F62" s="24"/>
      <c r="G62" s="24"/>
      <c r="H62" s="24"/>
      <c r="I62" s="24"/>
      <c r="J62" s="24"/>
      <c r="K62" s="24"/>
      <c r="L62" s="24"/>
      <c r="M62" s="24"/>
      <c r="N62" s="24"/>
      <c r="O62" s="24"/>
      <c r="P62" s="24"/>
      <c r="Q62" s="24"/>
      <c r="R62" s="24"/>
      <c r="S62" s="24"/>
      <c r="T62" s="24"/>
      <c r="U62" s="24"/>
      <c r="V62" s="24"/>
    </row>
    <row r="63">
      <c r="A63" s="35"/>
      <c r="B63" s="51" t="s">
        <v>180</v>
      </c>
      <c r="C63" s="233">
        <v>2.2</v>
      </c>
      <c r="D63" s="24"/>
      <c r="E63" s="24"/>
      <c r="F63" s="24"/>
      <c r="G63" s="24"/>
      <c r="H63" s="24"/>
      <c r="I63" s="24"/>
      <c r="J63" s="24"/>
      <c r="K63" s="24"/>
      <c r="L63" s="24"/>
      <c r="M63" s="24"/>
      <c r="N63" s="24"/>
      <c r="O63" s="24"/>
      <c r="P63" s="24"/>
      <c r="Q63" s="24"/>
      <c r="R63" s="24"/>
      <c r="S63" s="24"/>
      <c r="T63" s="24"/>
      <c r="U63" s="24"/>
      <c r="V63" s="24"/>
    </row>
    <row r="64">
      <c r="A64" s="24"/>
      <c r="B64" s="24"/>
      <c r="C64" s="24"/>
      <c r="D64" s="24"/>
      <c r="E64" s="24"/>
      <c r="F64" s="24"/>
      <c r="G64" s="24"/>
      <c r="H64" s="24"/>
      <c r="I64" s="24"/>
      <c r="J64" s="24"/>
      <c r="K64" s="24"/>
      <c r="L64" s="24"/>
      <c r="M64" s="24"/>
      <c r="N64" s="24"/>
      <c r="O64" s="24"/>
      <c r="P64" s="24"/>
      <c r="Q64" s="24"/>
      <c r="R64" s="24"/>
      <c r="S64" s="24"/>
      <c r="T64" s="24"/>
      <c r="U64" s="24"/>
      <c r="V64" s="24"/>
    </row>
    <row r="65">
      <c r="A65" s="24"/>
      <c r="B65" s="24"/>
      <c r="C65" s="24"/>
      <c r="D65" s="24"/>
      <c r="E65" s="24"/>
      <c r="F65" s="24"/>
      <c r="G65" s="24"/>
      <c r="H65" s="24"/>
      <c r="I65" s="24"/>
      <c r="J65" s="24"/>
      <c r="K65" s="24"/>
      <c r="L65" s="24"/>
      <c r="M65" s="24"/>
      <c r="N65" s="24"/>
      <c r="O65" s="24"/>
      <c r="P65" s="24"/>
      <c r="Q65" s="24"/>
      <c r="R65" s="24"/>
      <c r="S65" s="24"/>
      <c r="T65" s="24"/>
      <c r="U65" s="24"/>
      <c r="V65" s="24"/>
    </row>
    <row r="66">
      <c r="A66" s="257"/>
      <c r="B66" s="258"/>
      <c r="C66" s="24"/>
      <c r="D66" s="24"/>
      <c r="E66" s="24"/>
      <c r="F66" s="24"/>
      <c r="G66" s="24"/>
      <c r="H66" s="24"/>
      <c r="I66" s="24"/>
      <c r="J66" s="24"/>
      <c r="K66" s="24"/>
      <c r="L66" s="24"/>
      <c r="M66" s="24"/>
      <c r="N66" s="24"/>
      <c r="O66" s="24"/>
      <c r="P66" s="24"/>
      <c r="Q66" s="24"/>
      <c r="R66" s="24"/>
      <c r="S66" s="24"/>
      <c r="T66" s="24"/>
      <c r="U66" s="24"/>
      <c r="V66" s="24"/>
    </row>
    <row r="67">
      <c r="A67" s="24"/>
      <c r="B67" s="24"/>
      <c r="C67" s="24"/>
      <c r="D67" s="24"/>
      <c r="E67" s="24"/>
      <c r="F67" s="24"/>
      <c r="G67" s="24"/>
      <c r="H67" s="24"/>
      <c r="I67" s="24"/>
      <c r="J67" s="24"/>
      <c r="K67" s="24"/>
      <c r="L67" s="24"/>
      <c r="M67" s="24"/>
      <c r="N67" s="24"/>
      <c r="O67" s="24"/>
      <c r="P67" s="24"/>
      <c r="Q67" s="24"/>
      <c r="R67" s="24"/>
      <c r="S67" s="24"/>
      <c r="T67" s="24"/>
      <c r="U67" s="24"/>
      <c r="V67" s="24"/>
    </row>
    <row r="68">
      <c r="A68" s="257"/>
      <c r="B68" s="259"/>
      <c r="C68" s="24"/>
      <c r="D68" s="24"/>
      <c r="E68" s="24"/>
      <c r="F68" s="24"/>
      <c r="G68" s="24"/>
      <c r="H68" s="24"/>
      <c r="I68" s="24"/>
      <c r="J68" s="24"/>
      <c r="K68" s="24"/>
      <c r="L68" s="24"/>
      <c r="M68" s="24"/>
      <c r="N68" s="24"/>
      <c r="O68" s="24"/>
      <c r="P68" s="24"/>
      <c r="Q68" s="24"/>
      <c r="R68" s="24"/>
      <c r="S68" s="24"/>
      <c r="T68" s="24"/>
      <c r="U68" s="24"/>
      <c r="V68" s="24"/>
    </row>
    <row r="69">
      <c r="A69" s="24"/>
      <c r="B69" s="258"/>
      <c r="C69" s="24"/>
      <c r="D69" s="24"/>
      <c r="E69" s="24"/>
      <c r="F69" s="24"/>
      <c r="G69" s="24"/>
      <c r="H69" s="24"/>
      <c r="I69" s="24"/>
      <c r="J69" s="24"/>
      <c r="K69" s="24"/>
      <c r="L69" s="24"/>
      <c r="M69" s="24"/>
      <c r="N69" s="24"/>
      <c r="O69" s="24"/>
      <c r="P69" s="24"/>
      <c r="Q69" s="24"/>
      <c r="R69" s="24"/>
      <c r="S69" s="24"/>
      <c r="T69" s="24"/>
      <c r="U69" s="24"/>
      <c r="V69" s="24"/>
    </row>
    <row r="70">
      <c r="A70" s="24"/>
      <c r="B70" s="24"/>
      <c r="C70" s="260"/>
      <c r="D70" s="24"/>
      <c r="E70" s="24"/>
      <c r="F70" s="24"/>
      <c r="G70" s="24"/>
      <c r="H70" s="24"/>
      <c r="I70" s="24"/>
      <c r="J70" s="24"/>
      <c r="K70" s="24"/>
      <c r="L70" s="24"/>
      <c r="M70" s="24"/>
      <c r="N70" s="24"/>
      <c r="O70" s="24"/>
      <c r="P70" s="24"/>
      <c r="Q70" s="24"/>
      <c r="R70" s="24"/>
      <c r="S70" s="24"/>
      <c r="T70" s="24"/>
      <c r="U70" s="24"/>
      <c r="V70" s="24"/>
    </row>
    <row r="71">
      <c r="A71" s="24"/>
      <c r="B71" s="24"/>
      <c r="C71" s="260"/>
      <c r="D71" s="24"/>
      <c r="E71" s="24"/>
      <c r="F71" s="24"/>
      <c r="G71" s="24"/>
      <c r="H71" s="24"/>
      <c r="I71" s="24"/>
      <c r="J71" s="24"/>
      <c r="K71" s="24"/>
      <c r="L71" s="24"/>
      <c r="M71" s="24"/>
      <c r="N71" s="24"/>
      <c r="O71" s="24"/>
      <c r="P71" s="24"/>
      <c r="Q71" s="24"/>
      <c r="R71" s="24"/>
      <c r="S71" s="24"/>
      <c r="T71" s="24"/>
      <c r="U71" s="24"/>
      <c r="V71" s="24"/>
    </row>
    <row r="72">
      <c r="A72" s="24"/>
      <c r="B72" s="24"/>
      <c r="C72" s="260"/>
      <c r="D72" s="24"/>
      <c r="E72" s="24"/>
      <c r="F72" s="24"/>
      <c r="G72" s="24"/>
      <c r="H72" s="24"/>
      <c r="I72" s="260"/>
      <c r="J72" s="260"/>
      <c r="K72" s="260"/>
      <c r="L72" s="260"/>
      <c r="M72" s="260"/>
      <c r="N72" s="24"/>
      <c r="O72" s="24"/>
      <c r="P72" s="24"/>
      <c r="Q72" s="24"/>
      <c r="R72" s="24"/>
      <c r="S72" s="24"/>
      <c r="T72" s="24"/>
      <c r="U72" s="24"/>
      <c r="V72" s="24"/>
    </row>
    <row r="73">
      <c r="A73" s="24"/>
      <c r="B73" s="24"/>
      <c r="C73" s="260"/>
      <c r="D73" s="24"/>
      <c r="E73" s="24"/>
      <c r="F73" s="24"/>
      <c r="G73" s="24"/>
      <c r="H73" s="24"/>
      <c r="I73" s="261"/>
      <c r="J73" s="261"/>
      <c r="K73" s="261"/>
      <c r="L73" s="261"/>
      <c r="M73" s="261"/>
      <c r="N73" s="24"/>
      <c r="O73" s="24"/>
      <c r="P73" s="24"/>
      <c r="Q73" s="24"/>
      <c r="R73" s="24"/>
      <c r="S73" s="24"/>
      <c r="T73" s="24"/>
      <c r="U73" s="24"/>
      <c r="V73" s="24"/>
    </row>
    <row r="74">
      <c r="A74" s="24"/>
      <c r="B74" s="24"/>
      <c r="C74" s="260"/>
      <c r="D74" s="24"/>
      <c r="E74" s="24"/>
      <c r="F74" s="24"/>
      <c r="G74" s="24"/>
      <c r="H74" s="24"/>
      <c r="I74" s="261"/>
      <c r="J74" s="261"/>
      <c r="K74" s="261"/>
      <c r="L74" s="261"/>
      <c r="M74" s="261"/>
      <c r="N74" s="24"/>
      <c r="O74" s="24"/>
      <c r="P74" s="24"/>
      <c r="Q74" s="24"/>
      <c r="R74" s="24"/>
      <c r="S74" s="24"/>
      <c r="T74" s="24"/>
      <c r="U74" s="24"/>
      <c r="V74" s="24"/>
    </row>
    <row r="75">
      <c r="A75" s="24"/>
      <c r="B75" s="24"/>
      <c r="C75" s="260"/>
      <c r="D75" s="24"/>
      <c r="E75" s="24"/>
      <c r="F75" s="24"/>
      <c r="G75" s="24"/>
      <c r="H75" s="24"/>
      <c r="I75" s="24"/>
      <c r="J75" s="24"/>
      <c r="K75" s="24"/>
      <c r="L75" s="24"/>
      <c r="M75" s="24"/>
      <c r="N75" s="24"/>
      <c r="O75" s="24"/>
      <c r="P75" s="24"/>
      <c r="Q75" s="24"/>
      <c r="R75" s="24"/>
      <c r="S75" s="24"/>
      <c r="T75" s="24"/>
      <c r="U75" s="24"/>
      <c r="V75" s="24"/>
    </row>
    <row r="76">
      <c r="A76" s="24"/>
      <c r="B76" s="24"/>
      <c r="C76" s="260"/>
      <c r="D76" s="24"/>
      <c r="E76" s="24"/>
      <c r="F76" s="24"/>
      <c r="G76" s="24"/>
      <c r="H76" s="24"/>
      <c r="I76" s="24"/>
      <c r="J76" s="24"/>
      <c r="K76" s="24"/>
      <c r="L76" s="24"/>
      <c r="M76" s="24"/>
      <c r="N76" s="24"/>
      <c r="O76" s="24"/>
      <c r="P76" s="24"/>
      <c r="Q76" s="24"/>
      <c r="R76" s="24"/>
      <c r="S76" s="24"/>
      <c r="T76" s="24"/>
      <c r="U76" s="24"/>
      <c r="V76" s="24"/>
    </row>
    <row r="77">
      <c r="A77" s="24"/>
      <c r="B77" s="24"/>
      <c r="C77" s="24"/>
      <c r="D77" s="24"/>
      <c r="E77" s="24"/>
      <c r="F77" s="24"/>
      <c r="G77" s="24"/>
      <c r="H77" s="24"/>
      <c r="I77" s="24"/>
      <c r="J77" s="24"/>
      <c r="K77" s="24"/>
      <c r="L77" s="24"/>
      <c r="M77" s="24"/>
      <c r="N77" s="24"/>
      <c r="O77" s="24"/>
      <c r="P77" s="24"/>
      <c r="Q77" s="24"/>
      <c r="R77" s="24"/>
      <c r="S77" s="24"/>
      <c r="T77" s="24"/>
      <c r="U77" s="24"/>
      <c r="V77" s="24"/>
    </row>
    <row r="78">
      <c r="A78" s="24"/>
      <c r="B78" s="24"/>
      <c r="C78" s="24"/>
      <c r="D78" s="24"/>
      <c r="E78" s="24"/>
      <c r="F78" s="24"/>
      <c r="G78" s="24"/>
      <c r="H78" s="24"/>
      <c r="I78" s="24"/>
      <c r="J78" s="24"/>
      <c r="K78" s="24"/>
      <c r="L78" s="24"/>
      <c r="M78" s="24"/>
      <c r="N78" s="24"/>
      <c r="O78" s="24"/>
      <c r="P78" s="24"/>
      <c r="Q78" s="24"/>
      <c r="R78" s="24"/>
      <c r="S78" s="24"/>
      <c r="T78" s="24"/>
      <c r="U78" s="24"/>
      <c r="V78" s="24"/>
    </row>
    <row r="79">
      <c r="A79" s="24"/>
      <c r="B79" s="24"/>
      <c r="C79" s="24"/>
      <c r="D79" s="24"/>
      <c r="E79" s="24"/>
      <c r="F79" s="24"/>
      <c r="G79" s="24"/>
      <c r="H79" s="24"/>
      <c r="I79" s="24"/>
      <c r="J79" s="24"/>
      <c r="K79" s="24"/>
      <c r="L79" s="24"/>
      <c r="M79" s="24"/>
      <c r="N79" s="24"/>
      <c r="O79" s="24"/>
      <c r="P79" s="24"/>
      <c r="Q79" s="24"/>
      <c r="R79" s="24"/>
      <c r="S79" s="24"/>
      <c r="T79" s="24"/>
      <c r="U79" s="24"/>
      <c r="V79" s="24"/>
    </row>
    <row r="80">
      <c r="A80" s="24"/>
      <c r="B80" s="24"/>
      <c r="C80" s="265"/>
      <c r="D80" s="24"/>
      <c r="E80" s="24"/>
      <c r="F80" s="24"/>
      <c r="G80" s="24"/>
      <c r="H80" s="24"/>
      <c r="I80" s="24"/>
      <c r="J80" s="24"/>
      <c r="K80" s="24"/>
      <c r="L80" s="24"/>
      <c r="M80" s="24"/>
      <c r="N80" s="24"/>
      <c r="O80" s="24"/>
      <c r="P80" s="24"/>
      <c r="Q80" s="24"/>
      <c r="R80" s="24"/>
      <c r="S80" s="24"/>
      <c r="T80" s="24"/>
      <c r="U80" s="24"/>
      <c r="V80" s="24"/>
    </row>
    <row r="81">
      <c r="A81" s="24"/>
      <c r="B81" s="24"/>
      <c r="C81" s="24"/>
      <c r="D81" s="24"/>
      <c r="E81" s="24"/>
      <c r="F81" s="24"/>
      <c r="G81" s="24"/>
      <c r="H81" s="24"/>
      <c r="I81" s="24"/>
      <c r="J81" s="24"/>
      <c r="K81" s="24"/>
      <c r="L81" s="24"/>
      <c r="M81" s="24"/>
      <c r="N81" s="24"/>
      <c r="O81" s="24"/>
      <c r="P81" s="24"/>
      <c r="Q81" s="24"/>
      <c r="R81" s="24"/>
      <c r="S81" s="24"/>
      <c r="T81" s="24"/>
      <c r="U81" s="24"/>
      <c r="V81" s="24"/>
    </row>
    <row r="82">
      <c r="A82" s="24"/>
      <c r="B82" s="24"/>
      <c r="C82" s="24"/>
      <c r="D82" s="24"/>
      <c r="E82" s="24"/>
      <c r="F82" s="24"/>
      <c r="G82" s="24"/>
      <c r="H82" s="24"/>
      <c r="I82" s="24"/>
      <c r="J82" s="24"/>
      <c r="K82" s="24"/>
      <c r="L82" s="24"/>
      <c r="M82" s="24"/>
      <c r="N82" s="24"/>
      <c r="O82" s="24"/>
      <c r="P82" s="24"/>
      <c r="Q82" s="24"/>
      <c r="R82" s="24"/>
      <c r="S82" s="24"/>
      <c r="T82" s="24"/>
      <c r="U82" s="24"/>
      <c r="V82" s="24"/>
    </row>
    <row r="83">
      <c r="A83" s="24"/>
      <c r="B83" s="24"/>
      <c r="C83" s="24"/>
      <c r="D83" s="24"/>
      <c r="E83" s="24"/>
      <c r="F83" s="24"/>
      <c r="G83" s="24"/>
      <c r="H83" s="24"/>
      <c r="I83" s="24"/>
      <c r="J83" s="24"/>
      <c r="K83" s="24"/>
      <c r="L83" s="24"/>
      <c r="M83" s="24"/>
      <c r="N83" s="24"/>
      <c r="O83" s="24"/>
      <c r="P83" s="24"/>
      <c r="Q83" s="24"/>
      <c r="R83" s="24"/>
      <c r="S83" s="24"/>
      <c r="T83" s="24"/>
      <c r="U83" s="24"/>
      <c r="V83" s="24"/>
    </row>
    <row r="84">
      <c r="A84" s="24"/>
      <c r="B84" s="24"/>
      <c r="C84" s="24"/>
      <c r="D84" s="24"/>
      <c r="E84" s="24"/>
      <c r="F84" s="24"/>
      <c r="G84" s="24"/>
      <c r="H84" s="24"/>
      <c r="I84" s="24"/>
      <c r="J84" s="24"/>
      <c r="K84" s="24"/>
      <c r="L84" s="24"/>
      <c r="M84" s="24"/>
      <c r="N84" s="24"/>
      <c r="O84" s="24"/>
      <c r="P84" s="24"/>
      <c r="Q84" s="24"/>
      <c r="R84" s="24"/>
      <c r="S84" s="24"/>
      <c r="T84" s="24"/>
      <c r="U84" s="24"/>
      <c r="V84" s="24"/>
    </row>
    <row r="85">
      <c r="A85" s="24"/>
      <c r="B85" s="24"/>
      <c r="C85" s="24"/>
      <c r="D85" s="24"/>
      <c r="E85" s="24"/>
      <c r="F85" s="24"/>
      <c r="G85" s="24"/>
      <c r="H85" s="24"/>
      <c r="I85" s="24"/>
      <c r="J85" s="24"/>
      <c r="K85" s="24"/>
      <c r="L85" s="24"/>
      <c r="M85" s="24"/>
      <c r="N85" s="24"/>
      <c r="O85" s="24"/>
      <c r="P85" s="24"/>
      <c r="Q85" s="24"/>
      <c r="R85" s="24"/>
      <c r="S85" s="24"/>
      <c r="T85" s="24"/>
      <c r="U85" s="24"/>
      <c r="V85" s="24"/>
    </row>
    <row r="86">
      <c r="A86" s="24"/>
      <c r="B86" s="24"/>
      <c r="C86" s="24"/>
      <c r="D86" s="24"/>
      <c r="E86" s="24"/>
      <c r="F86" s="24"/>
      <c r="G86" s="24"/>
      <c r="H86" s="24"/>
      <c r="I86" s="24"/>
      <c r="J86" s="24"/>
      <c r="K86" s="24"/>
      <c r="L86" s="24"/>
      <c r="M86" s="24"/>
      <c r="N86" s="24"/>
      <c r="O86" s="24"/>
      <c r="P86" s="24"/>
      <c r="Q86" s="24"/>
      <c r="R86" s="24"/>
      <c r="S86" s="24"/>
      <c r="T86" s="24"/>
      <c r="U86" s="24"/>
      <c r="V86" s="24"/>
    </row>
    <row r="87">
      <c r="A87" s="24"/>
      <c r="B87" s="24"/>
      <c r="C87" s="24"/>
      <c r="D87" s="24"/>
      <c r="E87" s="24"/>
      <c r="F87" s="24"/>
      <c r="G87" s="24"/>
      <c r="H87" s="24"/>
      <c r="I87" s="24"/>
      <c r="J87" s="24"/>
      <c r="K87" s="24"/>
      <c r="L87" s="24"/>
      <c r="M87" s="24"/>
      <c r="N87" s="24"/>
      <c r="O87" s="24"/>
      <c r="P87" s="24"/>
      <c r="Q87" s="24"/>
      <c r="R87" s="24"/>
      <c r="S87" s="24"/>
      <c r="T87" s="24"/>
      <c r="U87" s="24"/>
      <c r="V87" s="24"/>
    </row>
    <row r="88">
      <c r="A88" s="24"/>
      <c r="B88" s="24"/>
      <c r="C88" s="24"/>
      <c r="D88" s="24"/>
      <c r="E88" s="24"/>
      <c r="F88" s="24"/>
      <c r="G88" s="24"/>
      <c r="H88" s="24"/>
      <c r="I88" s="24"/>
      <c r="J88" s="24"/>
      <c r="K88" s="24"/>
      <c r="L88" s="24"/>
      <c r="M88" s="24"/>
      <c r="N88" s="24"/>
      <c r="O88" s="24"/>
      <c r="P88" s="24"/>
      <c r="Q88" s="24"/>
      <c r="R88" s="24"/>
      <c r="S88" s="24"/>
      <c r="T88" s="24"/>
      <c r="U88" s="24"/>
      <c r="V88" s="24"/>
    </row>
    <row r="89">
      <c r="A89" s="24"/>
      <c r="B89" s="24"/>
      <c r="C89" s="24"/>
      <c r="D89" s="24"/>
      <c r="E89" s="24"/>
      <c r="F89" s="24"/>
      <c r="G89" s="24"/>
      <c r="H89" s="24"/>
      <c r="I89" s="24"/>
      <c r="J89" s="24"/>
      <c r="K89" s="24"/>
      <c r="L89" s="24"/>
      <c r="M89" s="24"/>
      <c r="N89" s="24"/>
      <c r="O89" s="24"/>
      <c r="P89" s="24"/>
      <c r="Q89" s="24"/>
      <c r="R89" s="24"/>
      <c r="S89" s="24"/>
      <c r="T89" s="24"/>
      <c r="U89" s="24"/>
      <c r="V89" s="24"/>
    </row>
    <row r="90">
      <c r="A90" s="24"/>
      <c r="B90" s="24"/>
      <c r="C90" s="24"/>
      <c r="D90" s="24"/>
      <c r="E90" s="24"/>
      <c r="F90" s="24"/>
      <c r="G90" s="24"/>
      <c r="H90" s="24"/>
      <c r="I90" s="24"/>
      <c r="J90" s="24"/>
      <c r="K90" s="24"/>
      <c r="L90" s="24"/>
      <c r="M90" s="24"/>
      <c r="N90" s="24"/>
      <c r="O90" s="24"/>
      <c r="P90" s="24"/>
      <c r="Q90" s="24"/>
      <c r="R90" s="24"/>
      <c r="S90" s="24"/>
      <c r="T90" s="24"/>
      <c r="U90" s="24"/>
      <c r="V90" s="24"/>
    </row>
    <row r="91">
      <c r="A91" s="24"/>
      <c r="B91" s="24"/>
      <c r="C91" s="24"/>
      <c r="D91" s="24"/>
      <c r="E91" s="24"/>
      <c r="F91" s="24"/>
      <c r="G91" s="24"/>
      <c r="H91" s="24"/>
      <c r="I91" s="24"/>
      <c r="J91" s="24"/>
      <c r="K91" s="24"/>
      <c r="L91" s="24"/>
      <c r="M91" s="24"/>
      <c r="N91" s="24"/>
      <c r="O91" s="24"/>
      <c r="P91" s="24"/>
      <c r="Q91" s="24"/>
      <c r="R91" s="24"/>
      <c r="S91" s="24"/>
      <c r="T91" s="24"/>
      <c r="U91" s="24"/>
      <c r="V91" s="24"/>
    </row>
    <row r="92">
      <c r="A92" s="24"/>
      <c r="B92" s="24"/>
      <c r="C92" s="24"/>
      <c r="D92" s="24"/>
      <c r="E92" s="24"/>
      <c r="F92" s="24"/>
      <c r="G92" s="24"/>
      <c r="H92" s="24"/>
      <c r="I92" s="24"/>
      <c r="J92" s="24"/>
      <c r="K92" s="24"/>
      <c r="L92" s="24"/>
      <c r="M92" s="24"/>
      <c r="N92" s="24"/>
      <c r="O92" s="24"/>
      <c r="P92" s="24"/>
      <c r="Q92" s="24"/>
      <c r="R92" s="24"/>
      <c r="S92" s="24"/>
      <c r="T92" s="24"/>
      <c r="U92" s="24"/>
      <c r="V92" s="24"/>
    </row>
    <row r="93">
      <c r="A93" s="24"/>
      <c r="B93" s="24"/>
      <c r="C93" s="24"/>
      <c r="D93" s="24"/>
      <c r="E93" s="24"/>
      <c r="F93" s="24"/>
      <c r="G93" s="24"/>
      <c r="H93" s="24"/>
      <c r="I93" s="24"/>
      <c r="J93" s="24"/>
      <c r="K93" s="24"/>
      <c r="L93" s="24"/>
      <c r="M93" s="24"/>
      <c r="N93" s="24"/>
      <c r="O93" s="24"/>
      <c r="P93" s="24"/>
      <c r="Q93" s="24"/>
      <c r="R93" s="24"/>
      <c r="S93" s="24"/>
      <c r="T93" s="24"/>
      <c r="U93" s="24"/>
      <c r="V93" s="24"/>
    </row>
    <row r="94">
      <c r="A94" s="24"/>
      <c r="B94" s="24"/>
      <c r="C94" s="24"/>
      <c r="D94" s="24"/>
      <c r="E94" s="24"/>
      <c r="F94" s="24"/>
      <c r="G94" s="24"/>
      <c r="H94" s="24"/>
      <c r="I94" s="24"/>
      <c r="J94" s="24"/>
      <c r="K94" s="24"/>
      <c r="L94" s="24"/>
      <c r="M94" s="24"/>
      <c r="N94" s="24"/>
      <c r="O94" s="24"/>
      <c r="P94" s="24"/>
      <c r="Q94" s="24"/>
      <c r="R94" s="24"/>
      <c r="S94" s="24"/>
      <c r="T94" s="24"/>
      <c r="U94" s="24"/>
      <c r="V94" s="24"/>
    </row>
    <row r="95">
      <c r="A95" s="24"/>
      <c r="B95" s="24"/>
      <c r="C95" s="24"/>
      <c r="D95" s="24"/>
      <c r="E95" s="24"/>
      <c r="F95" s="24"/>
      <c r="G95" s="24"/>
      <c r="H95" s="24"/>
      <c r="I95" s="24"/>
      <c r="J95" s="24"/>
      <c r="K95" s="24"/>
      <c r="L95" s="24"/>
      <c r="M95" s="24"/>
      <c r="N95" s="24"/>
      <c r="O95" s="24"/>
      <c r="P95" s="24"/>
      <c r="Q95" s="24"/>
      <c r="R95" s="24"/>
      <c r="S95" s="24"/>
      <c r="T95" s="24"/>
      <c r="U95" s="24"/>
      <c r="V95" s="24"/>
    </row>
    <row r="96">
      <c r="A96" s="24"/>
      <c r="B96" s="24"/>
      <c r="C96" s="24"/>
      <c r="D96" s="24"/>
      <c r="E96" s="24"/>
      <c r="F96" s="24"/>
      <c r="G96" s="24"/>
      <c r="H96" s="24"/>
      <c r="I96" s="24"/>
      <c r="J96" s="24"/>
      <c r="K96" s="24"/>
      <c r="L96" s="24"/>
      <c r="M96" s="24"/>
      <c r="N96" s="24"/>
      <c r="O96" s="24"/>
      <c r="P96" s="24"/>
      <c r="Q96" s="24"/>
      <c r="R96" s="24"/>
      <c r="S96" s="24"/>
      <c r="T96" s="24"/>
      <c r="U96" s="24"/>
      <c r="V96" s="24"/>
    </row>
    <row r="97">
      <c r="A97" s="24"/>
      <c r="B97" s="24"/>
      <c r="C97" s="24"/>
      <c r="D97" s="24"/>
      <c r="E97" s="24"/>
      <c r="F97" s="24"/>
      <c r="G97" s="24"/>
      <c r="H97" s="24"/>
      <c r="I97" s="24"/>
      <c r="J97" s="24"/>
      <c r="K97" s="24"/>
      <c r="L97" s="24"/>
      <c r="M97" s="24"/>
      <c r="N97" s="24"/>
      <c r="O97" s="24"/>
      <c r="P97" s="24"/>
      <c r="Q97" s="24"/>
      <c r="R97" s="24"/>
      <c r="S97" s="24"/>
      <c r="T97" s="24"/>
      <c r="U97" s="24"/>
      <c r="V97" s="24"/>
    </row>
    <row r="98">
      <c r="A98" s="24"/>
      <c r="B98" s="24"/>
      <c r="C98" s="24"/>
      <c r="D98" s="24"/>
      <c r="E98" s="24"/>
      <c r="F98" s="24"/>
      <c r="G98" s="24"/>
      <c r="H98" s="24"/>
      <c r="I98" s="24"/>
      <c r="J98" s="24"/>
      <c r="K98" s="24"/>
      <c r="L98" s="24"/>
      <c r="M98" s="24"/>
      <c r="N98" s="24"/>
      <c r="O98" s="24"/>
      <c r="P98" s="24"/>
      <c r="Q98" s="24"/>
      <c r="R98" s="24"/>
      <c r="S98" s="24"/>
      <c r="T98" s="24"/>
      <c r="U98" s="24"/>
      <c r="V98" s="24"/>
    </row>
    <row r="99">
      <c r="A99" s="24"/>
      <c r="B99" s="24"/>
      <c r="C99" s="24"/>
      <c r="D99" s="24"/>
      <c r="E99" s="24"/>
      <c r="F99" s="24"/>
      <c r="G99" s="24"/>
      <c r="H99" s="24"/>
      <c r="I99" s="24"/>
      <c r="J99" s="24"/>
      <c r="K99" s="24"/>
      <c r="L99" s="24"/>
      <c r="M99" s="24"/>
      <c r="N99" s="24"/>
      <c r="O99" s="24"/>
      <c r="P99" s="24"/>
      <c r="Q99" s="24"/>
      <c r="R99" s="24"/>
      <c r="S99" s="24"/>
      <c r="T99" s="24"/>
      <c r="U99" s="24"/>
      <c r="V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row>
  </sheetData>
  <mergeCells count="10">
    <mergeCell ref="Q2:R2"/>
    <mergeCell ref="P11:P13"/>
    <mergeCell ref="H23:I23"/>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s>
  <drawing r:id="rId7"/>
  <legacy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1.88"/>
    <col customWidth="1" min="2" max="2" width="11.75"/>
    <col customWidth="1" min="3" max="6" width="10.25"/>
    <col customWidth="1" min="7" max="7" width="11.0"/>
    <col customWidth="1" min="8" max="13" width="10.25"/>
    <col customWidth="1" min="14" max="14" width="11.25"/>
    <col customWidth="1" min="15" max="32" width="10.25"/>
  </cols>
  <sheetData>
    <row r="1">
      <c r="A1" s="2">
        <v>45108.0</v>
      </c>
      <c r="B1" s="3">
        <v>45108.0</v>
      </c>
      <c r="C1" s="3">
        <v>45109.0</v>
      </c>
      <c r="D1" s="3">
        <v>45110.0</v>
      </c>
      <c r="E1" s="3">
        <v>45111.0</v>
      </c>
      <c r="F1" s="3">
        <v>45112.0</v>
      </c>
      <c r="G1" s="3">
        <v>45113.0</v>
      </c>
      <c r="H1" s="3">
        <v>45114.0</v>
      </c>
      <c r="I1" s="3">
        <v>45115.0</v>
      </c>
      <c r="J1" s="3">
        <v>45116.0</v>
      </c>
      <c r="K1" s="3">
        <v>45117.0</v>
      </c>
      <c r="L1" s="3">
        <v>45118.0</v>
      </c>
      <c r="M1" s="3">
        <v>45119.0</v>
      </c>
      <c r="N1" s="3">
        <v>45120.0</v>
      </c>
      <c r="O1" s="3">
        <v>45121.0</v>
      </c>
      <c r="P1" s="3">
        <v>45122.0</v>
      </c>
      <c r="Q1" s="3">
        <v>45123.0</v>
      </c>
      <c r="R1" s="3">
        <v>45124.0</v>
      </c>
      <c r="S1" s="3">
        <v>45125.0</v>
      </c>
      <c r="T1" s="3">
        <v>45126.0</v>
      </c>
      <c r="U1" s="3">
        <v>45127.0</v>
      </c>
      <c r="V1" s="3">
        <v>45128.0</v>
      </c>
      <c r="W1" s="3">
        <v>45129.0</v>
      </c>
      <c r="X1" s="3">
        <v>45130.0</v>
      </c>
      <c r="Y1" s="3">
        <v>45131.0</v>
      </c>
      <c r="Z1" s="3">
        <v>45132.0</v>
      </c>
      <c r="AA1" s="3">
        <v>45133.0</v>
      </c>
      <c r="AB1" s="3">
        <v>45134.0</v>
      </c>
      <c r="AC1" s="3">
        <v>45135.0</v>
      </c>
      <c r="AD1" s="3">
        <v>45136.0</v>
      </c>
      <c r="AE1" s="3">
        <v>45137.0</v>
      </c>
      <c r="AF1" s="3">
        <v>45138.0</v>
      </c>
    </row>
    <row r="2">
      <c r="B2" s="6" t="s">
        <v>43</v>
      </c>
      <c r="C2" s="6" t="s">
        <v>44</v>
      </c>
      <c r="D2" s="6" t="s">
        <v>45</v>
      </c>
      <c r="E2" s="6" t="s">
        <v>46</v>
      </c>
      <c r="F2" s="6" t="s">
        <v>47</v>
      </c>
      <c r="G2" s="6" t="s">
        <v>48</v>
      </c>
      <c r="H2" s="6" t="s">
        <v>49</v>
      </c>
      <c r="I2" s="6" t="s">
        <v>43</v>
      </c>
      <c r="J2" s="6" t="s">
        <v>44</v>
      </c>
      <c r="K2" s="6" t="s">
        <v>45</v>
      </c>
      <c r="L2" s="6" t="s">
        <v>46</v>
      </c>
      <c r="M2" s="6" t="s">
        <v>47</v>
      </c>
      <c r="N2" s="6" t="s">
        <v>48</v>
      </c>
      <c r="O2" s="6" t="s">
        <v>49</v>
      </c>
      <c r="P2" s="6" t="s">
        <v>43</v>
      </c>
      <c r="Q2" s="6" t="s">
        <v>44</v>
      </c>
      <c r="R2" s="6" t="s">
        <v>45</v>
      </c>
      <c r="S2" s="6" t="s">
        <v>46</v>
      </c>
      <c r="T2" s="6" t="s">
        <v>47</v>
      </c>
      <c r="U2" s="6" t="s">
        <v>48</v>
      </c>
      <c r="V2" s="6" t="s">
        <v>49</v>
      </c>
      <c r="W2" s="6" t="s">
        <v>43</v>
      </c>
      <c r="X2" s="6" t="s">
        <v>44</v>
      </c>
      <c r="Y2" s="6" t="s">
        <v>45</v>
      </c>
      <c r="Z2" s="6" t="s">
        <v>46</v>
      </c>
      <c r="AA2" s="6" t="s">
        <v>47</v>
      </c>
      <c r="AB2" s="6" t="s">
        <v>48</v>
      </c>
      <c r="AC2" s="6" t="s">
        <v>49</v>
      </c>
      <c r="AD2" s="6" t="s">
        <v>43</v>
      </c>
      <c r="AE2" s="6" t="s">
        <v>44</v>
      </c>
      <c r="AF2" s="6" t="s">
        <v>45</v>
      </c>
    </row>
    <row r="3">
      <c r="A3" s="1" t="s">
        <v>62</v>
      </c>
      <c r="B3" s="1" t="s">
        <v>63</v>
      </c>
      <c r="C3" s="1" t="s">
        <v>63</v>
      </c>
      <c r="D3" s="9"/>
      <c r="E3" s="9"/>
      <c r="I3" s="1" t="s">
        <v>63</v>
      </c>
      <c r="J3" s="1" t="s">
        <v>63</v>
      </c>
      <c r="K3" s="9"/>
      <c r="P3" s="1" t="s">
        <v>64</v>
      </c>
      <c r="Q3" s="1" t="s">
        <v>64</v>
      </c>
      <c r="W3" s="1" t="s">
        <v>64</v>
      </c>
      <c r="X3" s="1" t="s">
        <v>64</v>
      </c>
      <c r="Z3" s="9"/>
      <c r="AA3" s="1"/>
      <c r="AC3" s="1"/>
      <c r="AD3" s="1" t="s">
        <v>63</v>
      </c>
      <c r="AE3" s="1" t="s">
        <v>63</v>
      </c>
      <c r="AF3" s="1"/>
    </row>
    <row r="4">
      <c r="A4" s="10"/>
      <c r="B4" s="12" t="s">
        <v>65</v>
      </c>
      <c r="V4" s="13"/>
      <c r="W4" s="13"/>
      <c r="X4" s="13"/>
      <c r="Y4" s="13"/>
      <c r="Z4" s="14" t="s">
        <v>68</v>
      </c>
    </row>
    <row r="5" ht="70.5" customHeight="1">
      <c r="A5" s="10"/>
      <c r="G5" s="16" t="s">
        <v>70</v>
      </c>
      <c r="H5" s="16" t="s">
        <v>70</v>
      </c>
      <c r="K5" s="18" t="s">
        <v>71</v>
      </c>
      <c r="L5" s="19"/>
      <c r="N5" s="18" t="s">
        <v>72</v>
      </c>
      <c r="Q5" s="13"/>
      <c r="R5" s="18" t="s">
        <v>73</v>
      </c>
      <c r="S5" s="13"/>
      <c r="T5" s="13"/>
      <c r="U5" s="13"/>
      <c r="V5" s="18" t="s">
        <v>76</v>
      </c>
      <c r="W5" s="13"/>
      <c r="X5" s="13"/>
      <c r="Y5" s="18" t="s">
        <v>77</v>
      </c>
      <c r="Z5" s="18" t="s">
        <v>78</v>
      </c>
      <c r="AC5" s="18" t="s">
        <v>79</v>
      </c>
    </row>
    <row r="6">
      <c r="A6" s="10"/>
      <c r="H6" s="21"/>
      <c r="K6" s="22"/>
      <c r="L6" s="19"/>
      <c r="N6" s="18" t="s">
        <v>82</v>
      </c>
      <c r="O6" s="18" t="s">
        <v>83</v>
      </c>
      <c r="Q6" s="13"/>
      <c r="R6" s="18" t="s">
        <v>84</v>
      </c>
      <c r="S6" s="13"/>
      <c r="T6" s="13"/>
      <c r="U6" s="13"/>
      <c r="V6" s="13"/>
      <c r="W6" s="13"/>
      <c r="X6" s="13"/>
      <c r="Y6" s="13"/>
      <c r="Z6" s="22"/>
      <c r="AA6" s="18" t="s">
        <v>85</v>
      </c>
    </row>
    <row r="8">
      <c r="A8" s="750" t="s">
        <v>692</v>
      </c>
      <c r="B8" s="751">
        <v>49127.2</v>
      </c>
      <c r="C8" s="418">
        <v>44359.94</v>
      </c>
      <c r="D8" s="418">
        <v>41176.95</v>
      </c>
      <c r="E8" s="418">
        <v>43682.34</v>
      </c>
      <c r="F8" s="418">
        <v>40447.23</v>
      </c>
      <c r="G8" s="418">
        <v>43380.21</v>
      </c>
      <c r="H8" s="418">
        <v>47720.49</v>
      </c>
      <c r="I8" s="418">
        <v>53389.16</v>
      </c>
      <c r="J8" s="418">
        <v>55427.36</v>
      </c>
      <c r="K8" s="418">
        <v>45887.67</v>
      </c>
      <c r="L8" s="418">
        <v>51043.74</v>
      </c>
      <c r="M8" s="418">
        <v>51340.77</v>
      </c>
      <c r="N8" s="418">
        <v>80153.53</v>
      </c>
      <c r="O8" s="418">
        <v>68572.56</v>
      </c>
      <c r="P8" s="418">
        <v>60624.25</v>
      </c>
      <c r="Q8" s="753">
        <v>59856.53</v>
      </c>
      <c r="R8" s="753">
        <v>32044.25</v>
      </c>
      <c r="S8" s="418">
        <v>60316.3</v>
      </c>
      <c r="T8" s="418">
        <v>43139.27</v>
      </c>
      <c r="U8" s="418">
        <v>47288.79</v>
      </c>
      <c r="V8" s="418">
        <v>48826.1</v>
      </c>
      <c r="W8" s="418">
        <v>41957.56</v>
      </c>
      <c r="X8" s="418">
        <v>40174.12</v>
      </c>
      <c r="Y8" s="418">
        <v>31487.95</v>
      </c>
      <c r="Z8" s="418">
        <v>36143.33</v>
      </c>
      <c r="AA8" s="418">
        <v>30366.88</v>
      </c>
      <c r="AB8" s="418">
        <v>34701.54</v>
      </c>
      <c r="AC8" s="418">
        <v>30849.69</v>
      </c>
      <c r="AD8" s="418">
        <v>32381.7</v>
      </c>
      <c r="AE8" s="418">
        <v>31165.57</v>
      </c>
      <c r="AF8" s="418">
        <v>34474.77</v>
      </c>
    </row>
    <row r="9" outlineLevel="1">
      <c r="A9" s="499" t="s">
        <v>694</v>
      </c>
      <c r="B9" s="755">
        <v>38838.3</v>
      </c>
      <c r="C9" s="756">
        <v>35153.0</v>
      </c>
      <c r="D9" s="756">
        <v>33448.8</v>
      </c>
      <c r="E9" s="756">
        <v>34820.96</v>
      </c>
      <c r="F9" s="756">
        <v>33275.8</v>
      </c>
      <c r="G9" s="756">
        <v>35142.66</v>
      </c>
      <c r="H9" s="756">
        <v>39129.4</v>
      </c>
      <c r="I9" s="756">
        <v>42610.16</v>
      </c>
      <c r="J9" s="756">
        <v>43820.0</v>
      </c>
      <c r="K9" s="756">
        <v>36440.66</v>
      </c>
      <c r="L9" s="756">
        <v>41884.4</v>
      </c>
      <c r="M9" s="756">
        <v>42312.66</v>
      </c>
      <c r="N9" s="756">
        <v>64361.4</v>
      </c>
      <c r="O9" s="756">
        <v>55693.9</v>
      </c>
      <c r="P9" s="756">
        <v>47887.4</v>
      </c>
      <c r="Q9" s="758">
        <v>48508.86</v>
      </c>
      <c r="R9" s="758">
        <v>25786.1</v>
      </c>
      <c r="S9" s="756">
        <v>48734.4</v>
      </c>
      <c r="T9" s="756">
        <v>35136.7</v>
      </c>
      <c r="U9" s="756">
        <v>37751.3</v>
      </c>
      <c r="V9" s="756">
        <v>39691.9</v>
      </c>
      <c r="W9" s="756">
        <v>33371.7</v>
      </c>
      <c r="X9" s="756">
        <v>31170.36</v>
      </c>
      <c r="Y9" s="756">
        <v>25637.3</v>
      </c>
      <c r="Z9" s="756">
        <v>29158.29</v>
      </c>
      <c r="AA9" s="756">
        <v>24819.62</v>
      </c>
      <c r="AB9" s="756">
        <v>29034.5</v>
      </c>
      <c r="AC9" s="756">
        <v>25107.36</v>
      </c>
      <c r="AD9" s="756">
        <v>25791.26</v>
      </c>
      <c r="AE9" s="756">
        <v>24811.43</v>
      </c>
      <c r="AF9" s="756">
        <v>28199.2</v>
      </c>
    </row>
    <row r="10" outlineLevel="1">
      <c r="A10" s="499" t="s">
        <v>695</v>
      </c>
      <c r="B10" s="755">
        <v>4520.9</v>
      </c>
      <c r="C10" s="756">
        <v>3973.0</v>
      </c>
      <c r="D10" s="756">
        <v>3041.0</v>
      </c>
      <c r="E10" s="756">
        <v>3854.34</v>
      </c>
      <c r="F10" s="756">
        <v>2602.5</v>
      </c>
      <c r="G10" s="756">
        <v>3407.34</v>
      </c>
      <c r="H10" s="756">
        <v>3307.0</v>
      </c>
      <c r="I10" s="756">
        <v>4744.34</v>
      </c>
      <c r="J10" s="756">
        <v>5288.2</v>
      </c>
      <c r="K10" s="756">
        <v>4194.34</v>
      </c>
      <c r="L10" s="756">
        <v>3421.0</v>
      </c>
      <c r="M10" s="756">
        <v>3348.34</v>
      </c>
      <c r="N10" s="756">
        <v>6765.0</v>
      </c>
      <c r="O10" s="756">
        <v>4947.7</v>
      </c>
      <c r="P10" s="756">
        <v>5754.5</v>
      </c>
      <c r="Q10" s="758">
        <v>4532.34</v>
      </c>
      <c r="R10" s="758">
        <v>2548.5</v>
      </c>
      <c r="S10" s="756">
        <v>4762.0</v>
      </c>
      <c r="T10" s="756">
        <v>3096.5</v>
      </c>
      <c r="U10" s="756">
        <v>4190.0</v>
      </c>
      <c r="V10" s="756">
        <v>3601.0</v>
      </c>
      <c r="W10" s="756">
        <v>3856.5</v>
      </c>
      <c r="X10" s="756">
        <v>4290.84</v>
      </c>
      <c r="Y10" s="756">
        <v>2311.0</v>
      </c>
      <c r="Z10" s="756">
        <v>3009.51</v>
      </c>
      <c r="AA10" s="756">
        <v>2200.18</v>
      </c>
      <c r="AB10" s="756">
        <v>1970.5</v>
      </c>
      <c r="AC10" s="756">
        <v>2210.84</v>
      </c>
      <c r="AD10" s="756">
        <v>2940.34</v>
      </c>
      <c r="AE10" s="756">
        <v>2794.17</v>
      </c>
      <c r="AF10" s="756">
        <v>2493.4</v>
      </c>
    </row>
    <row r="11" outlineLevel="1">
      <c r="A11" s="499" t="s">
        <v>697</v>
      </c>
      <c r="B11" s="755">
        <v>0.0</v>
      </c>
      <c r="C11" s="756">
        <v>0.0</v>
      </c>
      <c r="D11" s="756">
        <v>0.0</v>
      </c>
      <c r="E11" s="756">
        <v>0.0</v>
      </c>
      <c r="F11" s="756">
        <v>0.0</v>
      </c>
      <c r="G11" s="756">
        <v>0.0</v>
      </c>
      <c r="H11" s="756">
        <v>0.0</v>
      </c>
      <c r="I11" s="756">
        <v>0.0</v>
      </c>
      <c r="J11" s="756">
        <v>0.0</v>
      </c>
      <c r="K11" s="756">
        <v>0.0</v>
      </c>
      <c r="L11" s="756">
        <v>0.0</v>
      </c>
      <c r="M11" s="756">
        <v>0.0</v>
      </c>
      <c r="N11" s="756">
        <v>0.0</v>
      </c>
      <c r="O11" s="756">
        <v>0.0</v>
      </c>
      <c r="P11" s="756">
        <v>0.0</v>
      </c>
      <c r="Q11" s="758">
        <v>0.0</v>
      </c>
      <c r="R11" s="758">
        <v>0.0</v>
      </c>
      <c r="S11" s="756">
        <v>0.0</v>
      </c>
      <c r="T11" s="756">
        <v>0.0</v>
      </c>
      <c r="U11" s="756">
        <v>0.0</v>
      </c>
      <c r="V11" s="756">
        <v>0.0</v>
      </c>
      <c r="W11" s="756">
        <v>0.0</v>
      </c>
      <c r="X11" s="756">
        <v>0.0</v>
      </c>
      <c r="Y11" s="756">
        <v>0.0</v>
      </c>
      <c r="Z11" s="756">
        <v>0.0</v>
      </c>
      <c r="AA11" s="756">
        <v>0.0</v>
      </c>
      <c r="AB11" s="756">
        <v>0.0</v>
      </c>
      <c r="AC11" s="756">
        <v>0.0</v>
      </c>
      <c r="AD11" s="756">
        <v>0.0</v>
      </c>
      <c r="AE11" s="756">
        <v>0.0</v>
      </c>
      <c r="AF11" s="756">
        <v>0.0</v>
      </c>
    </row>
    <row r="12" outlineLevel="1">
      <c r="A12" s="499" t="s">
        <v>698</v>
      </c>
      <c r="B12" s="755">
        <v>2823.0</v>
      </c>
      <c r="C12" s="756">
        <v>2733.94</v>
      </c>
      <c r="D12" s="756">
        <v>2277.15</v>
      </c>
      <c r="E12" s="756">
        <v>2382.04</v>
      </c>
      <c r="F12" s="756">
        <v>2343.93</v>
      </c>
      <c r="G12" s="756">
        <v>2470.21</v>
      </c>
      <c r="H12" s="756">
        <v>2749.09</v>
      </c>
      <c r="I12" s="756">
        <v>2999.66</v>
      </c>
      <c r="J12" s="756">
        <v>3139.16</v>
      </c>
      <c r="K12" s="756">
        <v>2572.67</v>
      </c>
      <c r="L12" s="756">
        <v>3033.34</v>
      </c>
      <c r="M12" s="756">
        <v>2959.77</v>
      </c>
      <c r="N12" s="756">
        <v>4577.13</v>
      </c>
      <c r="O12" s="756">
        <v>4045.96</v>
      </c>
      <c r="P12" s="756">
        <v>3397.35</v>
      </c>
      <c r="Q12" s="758">
        <v>3395.33</v>
      </c>
      <c r="R12" s="758">
        <v>1884.65</v>
      </c>
      <c r="S12" s="756">
        <v>3534.9</v>
      </c>
      <c r="T12" s="756">
        <v>2551.07</v>
      </c>
      <c r="U12" s="756">
        <v>2717.49</v>
      </c>
      <c r="V12" s="756">
        <v>2883.2</v>
      </c>
      <c r="W12" s="756">
        <v>2349.36</v>
      </c>
      <c r="X12" s="756">
        <v>2317.92</v>
      </c>
      <c r="Y12" s="756">
        <v>1784.65</v>
      </c>
      <c r="Z12" s="756">
        <v>2015.53</v>
      </c>
      <c r="AA12" s="756">
        <v>1682.08</v>
      </c>
      <c r="AB12" s="756">
        <v>1861.54</v>
      </c>
      <c r="AC12" s="756">
        <v>1651.49</v>
      </c>
      <c r="AD12" s="756">
        <v>1830.1</v>
      </c>
      <c r="AE12" s="756">
        <v>1799.97</v>
      </c>
      <c r="AF12" s="756">
        <v>1872.17</v>
      </c>
    </row>
    <row r="13" outlineLevel="1">
      <c r="A13" s="499" t="s">
        <v>699</v>
      </c>
      <c r="B13" s="755">
        <v>2945.0</v>
      </c>
      <c r="C13" s="756">
        <v>2500.0</v>
      </c>
      <c r="D13" s="756">
        <v>2410.0</v>
      </c>
      <c r="E13" s="756">
        <v>2625.0</v>
      </c>
      <c r="F13" s="756">
        <v>2225.0</v>
      </c>
      <c r="G13" s="756">
        <v>2360.0</v>
      </c>
      <c r="H13" s="756">
        <v>2535.0</v>
      </c>
      <c r="I13" s="756">
        <v>3035.0</v>
      </c>
      <c r="J13" s="756">
        <v>3180.0</v>
      </c>
      <c r="K13" s="756">
        <v>2680.0</v>
      </c>
      <c r="L13" s="756">
        <v>2705.0</v>
      </c>
      <c r="M13" s="756">
        <v>2720.0</v>
      </c>
      <c r="N13" s="756">
        <v>4450.0</v>
      </c>
      <c r="O13" s="756">
        <v>3885.0</v>
      </c>
      <c r="P13" s="756">
        <v>3585.0</v>
      </c>
      <c r="Q13" s="758">
        <v>3420.0</v>
      </c>
      <c r="R13" s="758">
        <v>1825.0</v>
      </c>
      <c r="S13" s="756">
        <v>3285.0</v>
      </c>
      <c r="T13" s="756">
        <v>2355.0</v>
      </c>
      <c r="U13" s="756">
        <v>2630.0</v>
      </c>
      <c r="V13" s="756">
        <v>2650.0</v>
      </c>
      <c r="W13" s="756">
        <v>2380.0</v>
      </c>
      <c r="X13" s="756">
        <v>2395.0</v>
      </c>
      <c r="Y13" s="756">
        <v>1755.0</v>
      </c>
      <c r="Z13" s="756">
        <v>1960.0</v>
      </c>
      <c r="AA13" s="756">
        <v>1665.0</v>
      </c>
      <c r="AB13" s="756">
        <v>1835.0</v>
      </c>
      <c r="AC13" s="756">
        <v>1880.0</v>
      </c>
      <c r="AD13" s="756">
        <v>1820.0</v>
      </c>
      <c r="AE13" s="756">
        <v>1760.0</v>
      </c>
      <c r="AF13" s="756">
        <v>1910.0</v>
      </c>
    </row>
    <row r="14">
      <c r="A14" s="764" t="s">
        <v>107</v>
      </c>
      <c r="B14" s="766">
        <f t="shared" ref="B14:AF14" si="1">SUM(B9:B13)</f>
        <v>49127.2</v>
      </c>
      <c r="C14" s="766">
        <f t="shared" si="1"/>
        <v>44359.94</v>
      </c>
      <c r="D14" s="766">
        <f t="shared" si="1"/>
        <v>41176.95</v>
      </c>
      <c r="E14" s="766">
        <f t="shared" si="1"/>
        <v>43682.34</v>
      </c>
      <c r="F14" s="766">
        <f t="shared" si="1"/>
        <v>40447.23</v>
      </c>
      <c r="G14" s="766">
        <f t="shared" si="1"/>
        <v>43380.21</v>
      </c>
      <c r="H14" s="766">
        <f t="shared" si="1"/>
        <v>47720.49</v>
      </c>
      <c r="I14" s="766">
        <f t="shared" si="1"/>
        <v>53389.16</v>
      </c>
      <c r="J14" s="766">
        <f t="shared" si="1"/>
        <v>55427.36</v>
      </c>
      <c r="K14" s="766">
        <f t="shared" si="1"/>
        <v>45887.67</v>
      </c>
      <c r="L14" s="766">
        <f t="shared" si="1"/>
        <v>51043.74</v>
      </c>
      <c r="M14" s="766">
        <f t="shared" si="1"/>
        <v>51340.77</v>
      </c>
      <c r="N14" s="766">
        <f t="shared" si="1"/>
        <v>80153.53</v>
      </c>
      <c r="O14" s="766">
        <f t="shared" si="1"/>
        <v>68572.56</v>
      </c>
      <c r="P14" s="766">
        <f t="shared" si="1"/>
        <v>60624.25</v>
      </c>
      <c r="Q14" s="766">
        <f t="shared" si="1"/>
        <v>59856.53</v>
      </c>
      <c r="R14" s="766">
        <f t="shared" si="1"/>
        <v>32044.25</v>
      </c>
      <c r="S14" s="766">
        <f t="shared" si="1"/>
        <v>60316.3</v>
      </c>
      <c r="T14" s="766">
        <f t="shared" si="1"/>
        <v>43139.27</v>
      </c>
      <c r="U14" s="766">
        <f t="shared" si="1"/>
        <v>47288.79</v>
      </c>
      <c r="V14" s="766">
        <f t="shared" si="1"/>
        <v>48826.1</v>
      </c>
      <c r="W14" s="766">
        <f t="shared" si="1"/>
        <v>41957.56</v>
      </c>
      <c r="X14" s="766">
        <f t="shared" si="1"/>
        <v>40174.12</v>
      </c>
      <c r="Y14" s="766">
        <f t="shared" si="1"/>
        <v>31487.95</v>
      </c>
      <c r="Z14" s="766">
        <f t="shared" si="1"/>
        <v>36143.33</v>
      </c>
      <c r="AA14" s="766">
        <f t="shared" si="1"/>
        <v>30366.88</v>
      </c>
      <c r="AB14" s="766">
        <f t="shared" si="1"/>
        <v>34701.54</v>
      </c>
      <c r="AC14" s="766">
        <f t="shared" si="1"/>
        <v>30849.69</v>
      </c>
      <c r="AD14" s="766">
        <f t="shared" si="1"/>
        <v>32381.7</v>
      </c>
      <c r="AE14" s="766">
        <f t="shared" si="1"/>
        <v>31165.57</v>
      </c>
      <c r="AF14" s="766">
        <f t="shared" si="1"/>
        <v>34474.77</v>
      </c>
    </row>
    <row r="15" collapsed="1">
      <c r="A15" s="750" t="s">
        <v>100</v>
      </c>
      <c r="B15" s="769">
        <v>173.0</v>
      </c>
      <c r="C15" s="1">
        <v>181.0</v>
      </c>
      <c r="D15" s="1">
        <v>159.0</v>
      </c>
      <c r="E15" s="1">
        <v>184.0</v>
      </c>
      <c r="F15" s="1">
        <v>171.0</v>
      </c>
      <c r="G15" s="1">
        <v>187.0</v>
      </c>
      <c r="H15" s="1">
        <v>193.0</v>
      </c>
      <c r="I15" s="1">
        <v>236.0</v>
      </c>
      <c r="J15" s="1">
        <v>216.0</v>
      </c>
      <c r="K15" s="1">
        <v>214.0</v>
      </c>
      <c r="L15" s="1">
        <v>204.0</v>
      </c>
      <c r="M15" s="1">
        <v>198.0</v>
      </c>
      <c r="N15" s="1">
        <v>326.0</v>
      </c>
      <c r="O15" s="1">
        <v>288.0</v>
      </c>
      <c r="P15" s="1">
        <v>252.0</v>
      </c>
      <c r="Q15" s="1">
        <v>249.0</v>
      </c>
      <c r="R15" s="1">
        <v>147.0</v>
      </c>
      <c r="S15" s="1">
        <v>234.0</v>
      </c>
      <c r="T15" s="1">
        <v>172.0</v>
      </c>
      <c r="U15" s="1">
        <v>198.0</v>
      </c>
      <c r="V15" s="1">
        <v>188.0</v>
      </c>
      <c r="W15" s="1">
        <v>187.0</v>
      </c>
      <c r="X15" s="1">
        <v>171.0</v>
      </c>
      <c r="Y15" s="1">
        <v>126.0</v>
      </c>
      <c r="Z15" s="1">
        <v>129.0</v>
      </c>
      <c r="AA15" s="1">
        <v>114.0</v>
      </c>
      <c r="AB15" s="1">
        <v>128.0</v>
      </c>
      <c r="AC15" s="1">
        <v>130.0</v>
      </c>
      <c r="AD15" s="1">
        <v>126.0</v>
      </c>
      <c r="AE15" s="1">
        <v>128.0</v>
      </c>
      <c r="AF15" s="1">
        <v>131.0</v>
      </c>
    </row>
    <row r="16" hidden="1" outlineLevel="1">
      <c r="A16" s="773" t="s">
        <v>703</v>
      </c>
      <c r="B16" s="774">
        <v>161.0</v>
      </c>
      <c r="C16" s="503">
        <v>142.0</v>
      </c>
      <c r="D16" s="503">
        <v>139.0</v>
      </c>
      <c r="E16" s="503">
        <v>147.0</v>
      </c>
      <c r="F16" s="503">
        <v>144.0</v>
      </c>
      <c r="G16" s="503">
        <v>153.0</v>
      </c>
      <c r="H16" s="503">
        <v>167.0</v>
      </c>
      <c r="I16" s="503">
        <v>179.0</v>
      </c>
      <c r="J16" s="503">
        <v>186.0</v>
      </c>
      <c r="K16" s="503">
        <v>162.0</v>
      </c>
      <c r="L16" s="503">
        <v>186.0</v>
      </c>
      <c r="M16" s="503">
        <v>182.0</v>
      </c>
      <c r="N16" s="503">
        <v>289.0</v>
      </c>
      <c r="O16" s="503">
        <v>248.0</v>
      </c>
      <c r="P16" s="503">
        <v>213.0</v>
      </c>
      <c r="Q16" s="503">
        <v>216.0</v>
      </c>
      <c r="R16" s="503">
        <v>112.0</v>
      </c>
      <c r="S16" s="503">
        <v>206.0</v>
      </c>
      <c r="T16" s="503">
        <v>151.0</v>
      </c>
      <c r="U16" s="503">
        <v>159.0</v>
      </c>
      <c r="V16" s="503">
        <v>164.0</v>
      </c>
      <c r="W16" s="503">
        <v>130.0</v>
      </c>
      <c r="X16" s="503">
        <v>124.0</v>
      </c>
      <c r="Y16" s="503">
        <v>98.0</v>
      </c>
      <c r="Z16" s="503">
        <v>118.0</v>
      </c>
      <c r="AA16" s="503">
        <v>98.0</v>
      </c>
      <c r="AB16" s="503">
        <v>114.0</v>
      </c>
      <c r="AC16" s="503">
        <v>103.0</v>
      </c>
      <c r="AD16" s="503">
        <v>103.0</v>
      </c>
      <c r="AE16" s="503">
        <v>96.0</v>
      </c>
      <c r="AF16" s="503">
        <v>113.0</v>
      </c>
    </row>
    <row r="17" hidden="1" outlineLevel="1">
      <c r="A17" s="773" t="s">
        <v>704</v>
      </c>
      <c r="B17" s="774">
        <v>146.0</v>
      </c>
      <c r="C17" s="503">
        <v>132.0</v>
      </c>
      <c r="D17" s="503">
        <v>97.0</v>
      </c>
      <c r="E17" s="503">
        <v>127.0</v>
      </c>
      <c r="F17" s="503">
        <v>89.0</v>
      </c>
      <c r="G17" s="503">
        <v>108.0</v>
      </c>
      <c r="H17" s="503">
        <v>106.0</v>
      </c>
      <c r="I17" s="503">
        <v>159.0</v>
      </c>
      <c r="J17" s="503">
        <v>163.0</v>
      </c>
      <c r="K17" s="503">
        <v>134.0</v>
      </c>
      <c r="L17" s="503">
        <v>116.0</v>
      </c>
      <c r="M17" s="503">
        <v>112.0</v>
      </c>
      <c r="N17" s="503">
        <v>217.0</v>
      </c>
      <c r="O17" s="503">
        <v>172.0</v>
      </c>
      <c r="P17" s="503">
        <v>201.0</v>
      </c>
      <c r="Q17" s="503">
        <v>165.0</v>
      </c>
      <c r="R17" s="503">
        <v>88.0</v>
      </c>
      <c r="S17" s="503">
        <v>159.0</v>
      </c>
      <c r="T17" s="503">
        <v>105.0</v>
      </c>
      <c r="U17" s="503">
        <v>138.0</v>
      </c>
      <c r="V17" s="503">
        <v>128.0</v>
      </c>
      <c r="W17" s="503">
        <v>133.0</v>
      </c>
      <c r="X17" s="503">
        <v>139.0</v>
      </c>
      <c r="Y17" s="503">
        <v>87.0</v>
      </c>
      <c r="Z17" s="503">
        <v>96.0</v>
      </c>
      <c r="AA17" s="503">
        <v>80.0</v>
      </c>
      <c r="AB17" s="503">
        <v>74.0</v>
      </c>
      <c r="AC17" s="503">
        <v>73.0</v>
      </c>
      <c r="AD17" s="503">
        <v>93.0</v>
      </c>
      <c r="AE17" s="503">
        <v>91.0</v>
      </c>
      <c r="AF17" s="503">
        <v>85.0</v>
      </c>
    </row>
    <row r="18" hidden="1" outlineLevel="1">
      <c r="A18" s="773" t="s">
        <v>705</v>
      </c>
      <c r="B18" s="774">
        <v>0.0</v>
      </c>
      <c r="C18" s="503">
        <v>0.0</v>
      </c>
      <c r="D18" s="503">
        <v>0.0</v>
      </c>
      <c r="E18" s="503">
        <v>0.0</v>
      </c>
      <c r="F18" s="503">
        <v>0.0</v>
      </c>
      <c r="G18" s="503">
        <v>0.0</v>
      </c>
      <c r="H18" s="503">
        <v>0.0</v>
      </c>
      <c r="I18" s="503">
        <v>0.0</v>
      </c>
      <c r="J18" s="503">
        <v>0.0</v>
      </c>
      <c r="K18" s="503">
        <v>0.0</v>
      </c>
      <c r="L18" s="503">
        <v>0.0</v>
      </c>
      <c r="M18" s="503">
        <v>0.0</v>
      </c>
      <c r="N18" s="503">
        <v>0.0</v>
      </c>
      <c r="O18" s="503">
        <v>0.0</v>
      </c>
      <c r="P18" s="503">
        <v>0.0</v>
      </c>
      <c r="Q18" s="503">
        <v>0.0</v>
      </c>
      <c r="R18" s="503">
        <v>0.0</v>
      </c>
      <c r="S18" s="503">
        <v>0.0</v>
      </c>
      <c r="T18" s="503">
        <v>0.0</v>
      </c>
      <c r="U18" s="503">
        <v>0.0</v>
      </c>
      <c r="V18" s="503">
        <v>0.0</v>
      </c>
      <c r="W18" s="503">
        <v>0.0</v>
      </c>
      <c r="X18" s="503">
        <v>0.0</v>
      </c>
      <c r="Y18" s="503">
        <v>0.0</v>
      </c>
      <c r="Z18" s="503">
        <v>0.0</v>
      </c>
      <c r="AA18" s="503">
        <v>0.0</v>
      </c>
      <c r="AB18" s="503">
        <v>0.0</v>
      </c>
      <c r="AC18" s="503">
        <v>0.0</v>
      </c>
      <c r="AD18" s="503">
        <v>0.0</v>
      </c>
      <c r="AE18" s="503">
        <v>0.0</v>
      </c>
      <c r="AF18" s="503">
        <v>0.0</v>
      </c>
    </row>
    <row r="19">
      <c r="A19" s="569">
        <f>sum(14:14)</f>
        <v>1411507.75</v>
      </c>
    </row>
    <row r="20">
      <c r="A20" s="499" t="s">
        <v>708</v>
      </c>
      <c r="B20" s="418">
        <v>7590.32</v>
      </c>
      <c r="C20" s="418">
        <v>9939.48</v>
      </c>
      <c r="D20" s="418">
        <v>11857.85</v>
      </c>
      <c r="E20" s="418">
        <v>13975.77</v>
      </c>
      <c r="F20" s="418">
        <v>13627.08</v>
      </c>
      <c r="G20" s="418">
        <v>13435.73</v>
      </c>
      <c r="H20" s="418">
        <v>13643.57</v>
      </c>
      <c r="I20" s="418">
        <v>14020.82</v>
      </c>
      <c r="J20" s="418">
        <v>16923.12</v>
      </c>
      <c r="K20" s="418">
        <v>16638.37</v>
      </c>
      <c r="L20" s="418">
        <v>14685.47</v>
      </c>
      <c r="M20" s="418">
        <v>9643.71</v>
      </c>
      <c r="N20" s="418">
        <v>9544.29</v>
      </c>
      <c r="O20" s="418">
        <v>13137.58</v>
      </c>
      <c r="P20" s="418">
        <v>17548.71</v>
      </c>
      <c r="Q20" s="751">
        <v>20371.34</v>
      </c>
      <c r="R20" s="418">
        <v>14875.41</v>
      </c>
      <c r="S20" s="418">
        <v>14651.0</v>
      </c>
      <c r="T20" s="418">
        <v>15983.11</v>
      </c>
      <c r="U20" s="418">
        <v>16495.31</v>
      </c>
      <c r="V20" s="418">
        <v>16540.43</v>
      </c>
      <c r="W20" s="418">
        <v>16840.85</v>
      </c>
      <c r="X20" s="418">
        <v>17566.45</v>
      </c>
      <c r="Y20" s="418">
        <v>11293.8</v>
      </c>
      <c r="Z20" s="418">
        <v>9326.51</v>
      </c>
      <c r="AA20" s="418">
        <v>9853.2</v>
      </c>
      <c r="AB20" s="418">
        <v>7316.48</v>
      </c>
      <c r="AC20" s="418">
        <v>6685.51</v>
      </c>
      <c r="AD20" s="418">
        <v>6692.13</v>
      </c>
      <c r="AE20" s="418">
        <v>7810.96</v>
      </c>
      <c r="AF20" s="418">
        <v>7705.29</v>
      </c>
    </row>
    <row r="21">
      <c r="A21" s="499" t="s">
        <v>709</v>
      </c>
      <c r="B21" s="418">
        <v>3493.03</v>
      </c>
      <c r="C21" s="418">
        <v>3318.69</v>
      </c>
      <c r="D21" s="418">
        <v>3105.04</v>
      </c>
      <c r="E21" s="418">
        <v>3164.26</v>
      </c>
      <c r="F21" s="418">
        <v>2740.55</v>
      </c>
      <c r="G21" s="418">
        <v>3020.34</v>
      </c>
      <c r="H21" s="418">
        <v>3129.51</v>
      </c>
      <c r="I21" s="418">
        <v>3393.25</v>
      </c>
      <c r="J21" s="418">
        <v>3789.9</v>
      </c>
      <c r="K21" s="418">
        <v>3108.44</v>
      </c>
      <c r="L21" s="418">
        <v>3475.99</v>
      </c>
      <c r="M21" s="418">
        <v>3368.31</v>
      </c>
      <c r="N21" s="418">
        <v>3891.75</v>
      </c>
      <c r="O21" s="418">
        <v>4289.75</v>
      </c>
      <c r="P21" s="418">
        <v>4978.18</v>
      </c>
      <c r="Q21" s="418">
        <v>5350.38</v>
      </c>
      <c r="R21" s="418">
        <v>4262.94</v>
      </c>
      <c r="S21" s="418">
        <v>5867.41</v>
      </c>
      <c r="T21" s="418">
        <v>3955.4</v>
      </c>
      <c r="U21" s="418">
        <v>3443.43</v>
      </c>
      <c r="V21" s="418">
        <v>4404.04</v>
      </c>
      <c r="W21" s="418">
        <v>6179.63</v>
      </c>
      <c r="X21" s="418">
        <v>7876.81</v>
      </c>
      <c r="Y21" s="418">
        <v>6931.42</v>
      </c>
      <c r="Z21" s="418">
        <v>6903.19</v>
      </c>
      <c r="AA21" s="418">
        <v>5631.54</v>
      </c>
      <c r="AB21" s="418">
        <v>6483.21</v>
      </c>
      <c r="AC21" s="418">
        <v>6665.27</v>
      </c>
      <c r="AD21" s="418">
        <v>5627.76</v>
      </c>
      <c r="AE21" s="418">
        <v>3929.84</v>
      </c>
      <c r="AF21" s="418">
        <v>2235.27</v>
      </c>
    </row>
    <row r="22">
      <c r="A22" s="499" t="s">
        <v>710</v>
      </c>
      <c r="B22" s="418">
        <v>244.51</v>
      </c>
      <c r="C22" s="418">
        <v>259.8</v>
      </c>
      <c r="D22" s="418">
        <v>259.73</v>
      </c>
      <c r="E22" s="418">
        <v>251.56</v>
      </c>
      <c r="F22" s="418">
        <v>260.93</v>
      </c>
      <c r="G22" s="418">
        <v>252.96</v>
      </c>
      <c r="H22" s="418">
        <v>250.94</v>
      </c>
      <c r="I22" s="418">
        <v>249.85</v>
      </c>
      <c r="J22" s="418">
        <v>248.72</v>
      </c>
      <c r="K22" s="418">
        <v>245.95</v>
      </c>
      <c r="L22" s="418">
        <v>250.54</v>
      </c>
      <c r="M22" s="418">
        <v>247.66</v>
      </c>
      <c r="N22" s="418">
        <v>82.36</v>
      </c>
      <c r="O22" s="418">
        <v>0.0</v>
      </c>
      <c r="P22" s="418">
        <v>0.0</v>
      </c>
      <c r="Q22" s="418">
        <v>0.0</v>
      </c>
      <c r="R22" s="418">
        <v>0.0</v>
      </c>
      <c r="S22" s="418">
        <v>0.0</v>
      </c>
      <c r="T22" s="418">
        <v>130.29</v>
      </c>
      <c r="U22" s="418">
        <v>247.33</v>
      </c>
      <c r="V22" s="418">
        <v>241.87</v>
      </c>
      <c r="W22" s="418">
        <v>267.6</v>
      </c>
      <c r="X22" s="418">
        <v>243.5</v>
      </c>
      <c r="Y22" s="418">
        <v>239.41</v>
      </c>
      <c r="Z22" s="418">
        <v>253.25</v>
      </c>
      <c r="AA22" s="418">
        <v>274.45</v>
      </c>
      <c r="AB22" s="418">
        <v>262.48</v>
      </c>
      <c r="AC22" s="418">
        <v>301.09</v>
      </c>
      <c r="AD22" s="418">
        <v>283.72</v>
      </c>
      <c r="AE22" s="418">
        <v>289.28</v>
      </c>
      <c r="AF22" s="418">
        <v>296.9</v>
      </c>
    </row>
    <row r="23">
      <c r="A23" s="499" t="s">
        <v>711</v>
      </c>
      <c r="B23" s="527">
        <v>0.0</v>
      </c>
      <c r="C23" s="527">
        <v>0.0</v>
      </c>
      <c r="D23" s="527">
        <v>0.0</v>
      </c>
      <c r="E23" s="418">
        <v>0.0</v>
      </c>
      <c r="F23" s="527">
        <v>0.0</v>
      </c>
      <c r="G23" s="527">
        <v>0.0</v>
      </c>
      <c r="H23" s="527">
        <v>0.0</v>
      </c>
      <c r="I23" s="527">
        <v>0.0</v>
      </c>
      <c r="J23" s="527">
        <v>0.0</v>
      </c>
      <c r="K23" s="527">
        <v>0.0</v>
      </c>
      <c r="L23" s="527">
        <v>0.0</v>
      </c>
      <c r="M23" s="527">
        <v>0.0</v>
      </c>
      <c r="N23" s="527">
        <v>0.0</v>
      </c>
      <c r="O23" s="527">
        <v>0.0</v>
      </c>
      <c r="P23" s="418">
        <v>0.0</v>
      </c>
      <c r="Q23" s="418">
        <v>0.0</v>
      </c>
      <c r="R23" s="418">
        <v>0.0</v>
      </c>
      <c r="S23" s="418">
        <v>0.0</v>
      </c>
      <c r="T23" s="418">
        <v>0.0</v>
      </c>
      <c r="U23" s="418">
        <v>0.0</v>
      </c>
      <c r="V23" s="418">
        <v>0.0</v>
      </c>
      <c r="W23" s="418">
        <v>0.0</v>
      </c>
      <c r="X23" s="418">
        <v>0.0</v>
      </c>
      <c r="Y23" s="418">
        <v>0.0</v>
      </c>
      <c r="Z23" s="418">
        <v>0.0</v>
      </c>
      <c r="AA23" s="418">
        <v>0.0</v>
      </c>
      <c r="AB23" s="418">
        <v>0.0</v>
      </c>
      <c r="AC23" s="418">
        <v>0.0</v>
      </c>
      <c r="AD23" s="418">
        <v>0.0</v>
      </c>
      <c r="AE23" s="418">
        <v>0.0</v>
      </c>
      <c r="AF23" s="418"/>
    </row>
    <row r="24">
      <c r="A24" s="499" t="s">
        <v>410</v>
      </c>
      <c r="B24" s="432"/>
      <c r="C24" s="432"/>
      <c r="D24" s="432"/>
      <c r="E24" s="432"/>
      <c r="F24" s="432"/>
      <c r="G24" s="432"/>
      <c r="H24" s="432"/>
      <c r="I24" s="432"/>
      <c r="J24" s="432"/>
      <c r="K24" s="432"/>
      <c r="L24" s="432"/>
      <c r="M24" s="432"/>
      <c r="N24" s="432"/>
      <c r="O24" s="432"/>
      <c r="P24" s="432"/>
      <c r="Q24" s="432"/>
      <c r="R24" s="432"/>
      <c r="S24" s="432"/>
      <c r="T24" s="432"/>
      <c r="U24" s="432"/>
      <c r="V24" s="432"/>
      <c r="W24" s="432"/>
      <c r="X24" s="432"/>
      <c r="Y24" s="432"/>
      <c r="Z24" s="432"/>
      <c r="AA24" s="432"/>
      <c r="AB24" s="432"/>
      <c r="AC24" s="432"/>
      <c r="AD24" s="432"/>
      <c r="AE24" s="432"/>
      <c r="AF24" s="432"/>
    </row>
    <row r="25">
      <c r="A25" s="499" t="s">
        <v>712</v>
      </c>
      <c r="B25" s="418">
        <v>0.0</v>
      </c>
      <c r="C25" s="418">
        <v>0.0</v>
      </c>
      <c r="D25" s="418">
        <v>0.0</v>
      </c>
      <c r="E25" s="418">
        <v>0.0</v>
      </c>
      <c r="F25" s="418">
        <v>0.0</v>
      </c>
      <c r="G25" s="527">
        <v>0.0</v>
      </c>
      <c r="H25" s="527">
        <v>0.0</v>
      </c>
      <c r="I25" s="527">
        <v>0.0</v>
      </c>
      <c r="J25" s="418">
        <v>0.0</v>
      </c>
      <c r="K25" s="527">
        <v>0.0</v>
      </c>
      <c r="L25" s="418">
        <v>0.0</v>
      </c>
      <c r="M25" s="418">
        <v>0.0</v>
      </c>
      <c r="N25" s="418">
        <v>0.0</v>
      </c>
      <c r="O25" s="418">
        <v>0.0</v>
      </c>
      <c r="P25" s="418">
        <v>0.0</v>
      </c>
      <c r="Q25" s="418">
        <v>0.0</v>
      </c>
      <c r="R25" s="418">
        <v>0.0</v>
      </c>
      <c r="S25" s="418">
        <v>156.16</v>
      </c>
      <c r="T25" s="418">
        <v>131.12</v>
      </c>
      <c r="U25" s="418">
        <v>215.27</v>
      </c>
      <c r="V25" s="418">
        <v>264.81</v>
      </c>
      <c r="W25" s="418">
        <v>122.94</v>
      </c>
      <c r="X25" s="418">
        <v>187.67</v>
      </c>
      <c r="Y25" s="418">
        <v>229.7</v>
      </c>
      <c r="Z25" s="418">
        <v>157.02</v>
      </c>
      <c r="AA25" s="418">
        <v>108.61</v>
      </c>
      <c r="AB25" s="418">
        <v>196.05</v>
      </c>
      <c r="AC25" s="418">
        <v>49.05</v>
      </c>
      <c r="AD25" s="418">
        <v>0.0</v>
      </c>
      <c r="AE25" s="418">
        <v>136.42</v>
      </c>
      <c r="AF25" s="418">
        <v>0.0</v>
      </c>
    </row>
    <row r="26">
      <c r="A26" s="779" t="s">
        <v>166</v>
      </c>
      <c r="B26" s="780">
        <f t="shared" ref="B26:AF26" si="2">SUM(B20:B25)</f>
        <v>11327.86</v>
      </c>
      <c r="C26" s="780">
        <f t="shared" si="2"/>
        <v>13517.97</v>
      </c>
      <c r="D26" s="780">
        <f t="shared" si="2"/>
        <v>15222.62</v>
      </c>
      <c r="E26" s="780">
        <f t="shared" si="2"/>
        <v>17391.59</v>
      </c>
      <c r="F26" s="780">
        <f t="shared" si="2"/>
        <v>16628.56</v>
      </c>
      <c r="G26" s="780">
        <f t="shared" si="2"/>
        <v>16709.03</v>
      </c>
      <c r="H26" s="780">
        <f t="shared" si="2"/>
        <v>17024.02</v>
      </c>
      <c r="I26" s="780">
        <f t="shared" si="2"/>
        <v>17663.92</v>
      </c>
      <c r="J26" s="780">
        <f t="shared" si="2"/>
        <v>20961.74</v>
      </c>
      <c r="K26" s="780">
        <f t="shared" si="2"/>
        <v>19992.76</v>
      </c>
      <c r="L26" s="780">
        <f t="shared" si="2"/>
        <v>18412</v>
      </c>
      <c r="M26" s="780">
        <f t="shared" si="2"/>
        <v>13259.68</v>
      </c>
      <c r="N26" s="780">
        <f t="shared" si="2"/>
        <v>13518.4</v>
      </c>
      <c r="O26" s="780">
        <f t="shared" si="2"/>
        <v>17427.33</v>
      </c>
      <c r="P26" s="780">
        <f t="shared" si="2"/>
        <v>22526.89</v>
      </c>
      <c r="Q26" s="780">
        <f t="shared" si="2"/>
        <v>25721.72</v>
      </c>
      <c r="R26" s="780">
        <f t="shared" si="2"/>
        <v>19138.35</v>
      </c>
      <c r="S26" s="780">
        <f t="shared" si="2"/>
        <v>20674.57</v>
      </c>
      <c r="T26" s="780">
        <f t="shared" si="2"/>
        <v>20199.92</v>
      </c>
      <c r="U26" s="780">
        <f t="shared" si="2"/>
        <v>20401.34</v>
      </c>
      <c r="V26" s="780">
        <f t="shared" si="2"/>
        <v>21451.15</v>
      </c>
      <c r="W26" s="780">
        <f t="shared" si="2"/>
        <v>23411.02</v>
      </c>
      <c r="X26" s="780">
        <f t="shared" si="2"/>
        <v>25874.43</v>
      </c>
      <c r="Y26" s="780">
        <f t="shared" si="2"/>
        <v>18694.33</v>
      </c>
      <c r="Z26" s="780">
        <f t="shared" si="2"/>
        <v>16639.97</v>
      </c>
      <c r="AA26" s="780">
        <f t="shared" si="2"/>
        <v>15867.8</v>
      </c>
      <c r="AB26" s="780">
        <f t="shared" si="2"/>
        <v>14258.22</v>
      </c>
      <c r="AC26" s="780">
        <f t="shared" si="2"/>
        <v>13700.92</v>
      </c>
      <c r="AD26" s="780">
        <f t="shared" si="2"/>
        <v>12603.61</v>
      </c>
      <c r="AE26" s="780">
        <f t="shared" si="2"/>
        <v>12166.5</v>
      </c>
      <c r="AF26" s="780">
        <f t="shared" si="2"/>
        <v>10237.46</v>
      </c>
    </row>
    <row r="27">
      <c r="A27" s="569">
        <f>sum(26:26)</f>
        <v>542625.68</v>
      </c>
    </row>
    <row r="28">
      <c r="A28" s="499" t="s">
        <v>234</v>
      </c>
      <c r="B28" s="782">
        <f t="shared" ref="B28:AF28" si="3">B14/B26</f>
        <v>4.336847383</v>
      </c>
      <c r="C28" s="782">
        <f t="shared" si="3"/>
        <v>3.281553369</v>
      </c>
      <c r="D28" s="782">
        <f t="shared" si="3"/>
        <v>2.704984424</v>
      </c>
      <c r="E28" s="782">
        <f t="shared" si="3"/>
        <v>2.511693295</v>
      </c>
      <c r="F28" s="782">
        <f t="shared" si="3"/>
        <v>2.432395228</v>
      </c>
      <c r="G28" s="782">
        <f t="shared" si="3"/>
        <v>2.596213544</v>
      </c>
      <c r="H28" s="782">
        <f t="shared" si="3"/>
        <v>2.803126994</v>
      </c>
      <c r="I28" s="782">
        <f t="shared" si="3"/>
        <v>3.022497837</v>
      </c>
      <c r="J28" s="782">
        <f t="shared" si="3"/>
        <v>2.644215604</v>
      </c>
      <c r="K28" s="782">
        <f t="shared" si="3"/>
        <v>2.295214368</v>
      </c>
      <c r="L28" s="782">
        <f t="shared" si="3"/>
        <v>2.772308277</v>
      </c>
      <c r="M28" s="782">
        <f t="shared" si="3"/>
        <v>3.871946382</v>
      </c>
      <c r="N28" s="782">
        <f t="shared" si="3"/>
        <v>5.929217215</v>
      </c>
      <c r="O28" s="782">
        <f t="shared" si="3"/>
        <v>3.934771419</v>
      </c>
      <c r="P28" s="782">
        <f t="shared" si="3"/>
        <v>2.691194834</v>
      </c>
      <c r="Q28" s="782">
        <f t="shared" si="3"/>
        <v>2.327081159</v>
      </c>
      <c r="R28" s="782">
        <f t="shared" si="3"/>
        <v>1.67434758</v>
      </c>
      <c r="S28" s="782">
        <f t="shared" si="3"/>
        <v>2.917414969</v>
      </c>
      <c r="T28" s="782">
        <f t="shared" si="3"/>
        <v>2.135615884</v>
      </c>
      <c r="U28" s="782">
        <f t="shared" si="3"/>
        <v>2.317925685</v>
      </c>
      <c r="V28" s="782">
        <f t="shared" si="3"/>
        <v>2.276153027</v>
      </c>
      <c r="W28" s="782">
        <f t="shared" si="3"/>
        <v>1.792214094</v>
      </c>
      <c r="X28" s="782">
        <f t="shared" si="3"/>
        <v>1.552657199</v>
      </c>
      <c r="Y28" s="782">
        <f t="shared" si="3"/>
        <v>1.684358305</v>
      </c>
      <c r="Z28" s="782">
        <f t="shared" si="3"/>
        <v>2.172079036</v>
      </c>
      <c r="AA28" s="782">
        <f t="shared" si="3"/>
        <v>1.913742296</v>
      </c>
      <c r="AB28" s="782">
        <f t="shared" si="3"/>
        <v>2.433791876</v>
      </c>
      <c r="AC28" s="782">
        <f t="shared" si="3"/>
        <v>2.251650984</v>
      </c>
      <c r="AD28" s="782">
        <f t="shared" si="3"/>
        <v>2.569240083</v>
      </c>
      <c r="AE28" s="782">
        <f t="shared" si="3"/>
        <v>2.561588789</v>
      </c>
      <c r="AF28" s="782">
        <f t="shared" si="3"/>
        <v>3.367512059</v>
      </c>
    </row>
    <row r="29">
      <c r="A29" s="499" t="s">
        <v>715</v>
      </c>
      <c r="B29" s="446">
        <f t="shared" ref="B29:AF29" si="4">B26/B15</f>
        <v>65.47895954</v>
      </c>
      <c r="C29" s="446">
        <f t="shared" si="4"/>
        <v>74.68491713</v>
      </c>
      <c r="D29" s="446">
        <f t="shared" si="4"/>
        <v>95.73974843</v>
      </c>
      <c r="E29" s="446">
        <f t="shared" si="4"/>
        <v>94.51951087</v>
      </c>
      <c r="F29" s="446">
        <f t="shared" si="4"/>
        <v>97.24304094</v>
      </c>
      <c r="G29" s="446">
        <f t="shared" si="4"/>
        <v>89.3531016</v>
      </c>
      <c r="H29" s="446">
        <f t="shared" si="4"/>
        <v>88.20735751</v>
      </c>
      <c r="I29" s="446">
        <f t="shared" si="4"/>
        <v>74.84711864</v>
      </c>
      <c r="J29" s="446">
        <f t="shared" si="4"/>
        <v>97.04509259</v>
      </c>
      <c r="K29" s="446">
        <f t="shared" si="4"/>
        <v>93.42411215</v>
      </c>
      <c r="L29" s="446">
        <f t="shared" si="4"/>
        <v>90.25490196</v>
      </c>
      <c r="M29" s="446">
        <f t="shared" si="4"/>
        <v>66.96808081</v>
      </c>
      <c r="N29" s="446">
        <f t="shared" si="4"/>
        <v>41.46748466</v>
      </c>
      <c r="O29" s="446">
        <f t="shared" si="4"/>
        <v>60.5115625</v>
      </c>
      <c r="P29" s="446">
        <f t="shared" si="4"/>
        <v>89.39242063</v>
      </c>
      <c r="Q29" s="446">
        <f t="shared" si="4"/>
        <v>103.3000803</v>
      </c>
      <c r="R29" s="446">
        <f t="shared" si="4"/>
        <v>130.1928571</v>
      </c>
      <c r="S29" s="446">
        <f t="shared" si="4"/>
        <v>88.35286325</v>
      </c>
      <c r="T29" s="446">
        <f t="shared" si="4"/>
        <v>117.4413953</v>
      </c>
      <c r="U29" s="446">
        <f t="shared" si="4"/>
        <v>103.0370707</v>
      </c>
      <c r="V29" s="446">
        <f t="shared" si="4"/>
        <v>114.1018617</v>
      </c>
      <c r="W29" s="446">
        <f t="shared" si="4"/>
        <v>125.1926203</v>
      </c>
      <c r="X29" s="446">
        <f t="shared" si="4"/>
        <v>151.3124561</v>
      </c>
      <c r="Y29" s="446">
        <f t="shared" si="4"/>
        <v>148.3676984</v>
      </c>
      <c r="Z29" s="446">
        <f t="shared" si="4"/>
        <v>128.9920155</v>
      </c>
      <c r="AA29" s="446">
        <f t="shared" si="4"/>
        <v>139.1912281</v>
      </c>
      <c r="AB29" s="446">
        <f t="shared" si="4"/>
        <v>111.3923438</v>
      </c>
      <c r="AC29" s="446">
        <f t="shared" si="4"/>
        <v>105.3916923</v>
      </c>
      <c r="AD29" s="446">
        <f t="shared" si="4"/>
        <v>100.0286508</v>
      </c>
      <c r="AE29" s="446">
        <f t="shared" si="4"/>
        <v>95.05078125</v>
      </c>
      <c r="AF29" s="446">
        <f t="shared" si="4"/>
        <v>78.14854962</v>
      </c>
    </row>
    <row r="30">
      <c r="A30" s="499" t="s">
        <v>237</v>
      </c>
      <c r="B30" s="436">
        <v>0.0145</v>
      </c>
      <c r="C30" s="436">
        <v>0.0134</v>
      </c>
      <c r="D30" s="436">
        <v>0.0122</v>
      </c>
      <c r="E30" s="436">
        <v>0.0141</v>
      </c>
      <c r="F30" s="436">
        <v>0.0138</v>
      </c>
      <c r="G30" s="436">
        <v>0.0142</v>
      </c>
      <c r="H30" s="436">
        <v>0.0145</v>
      </c>
      <c r="I30" s="436">
        <v>0.018</v>
      </c>
      <c r="J30" s="436">
        <v>0.0145</v>
      </c>
      <c r="K30" s="436">
        <v>0.0152</v>
      </c>
      <c r="L30" s="436">
        <v>0.0167</v>
      </c>
      <c r="M30" s="436">
        <v>0.0175</v>
      </c>
      <c r="N30" s="436">
        <v>0.0229</v>
      </c>
      <c r="O30" s="436">
        <v>0.0149</v>
      </c>
      <c r="P30" s="436">
        <v>0.0227</v>
      </c>
      <c r="Q30" s="436">
        <v>0.0159</v>
      </c>
      <c r="R30" s="436">
        <v>0.0124</v>
      </c>
      <c r="S30" s="436">
        <v>0.0213</v>
      </c>
      <c r="T30" s="436">
        <v>0.0175</v>
      </c>
      <c r="U30" s="436">
        <v>0.022</v>
      </c>
      <c r="V30" s="436">
        <v>0.0153</v>
      </c>
      <c r="W30" s="436">
        <v>0.0155</v>
      </c>
      <c r="X30" s="436">
        <v>0.0139</v>
      </c>
      <c r="Y30" s="436">
        <v>0.0125</v>
      </c>
      <c r="Z30" s="436">
        <v>0.0138</v>
      </c>
      <c r="AA30" s="436">
        <v>0.0115</v>
      </c>
      <c r="AB30" s="436">
        <v>0.0139</v>
      </c>
      <c r="AC30" s="436">
        <v>0.0154</v>
      </c>
      <c r="AD30" s="436">
        <v>0.0159</v>
      </c>
      <c r="AE30" s="436">
        <v>0.0143</v>
      </c>
      <c r="AF30" s="436">
        <v>0.017</v>
      </c>
    </row>
    <row r="31">
      <c r="A31" s="499" t="s">
        <v>238</v>
      </c>
      <c r="B31" s="418">
        <f t="shared" ref="B31:AF31" si="5">B14/B15</f>
        <v>283.9722543</v>
      </c>
      <c r="C31" s="418">
        <f t="shared" si="5"/>
        <v>245.0825414</v>
      </c>
      <c r="D31" s="418">
        <f t="shared" si="5"/>
        <v>258.9745283</v>
      </c>
      <c r="E31" s="418">
        <f t="shared" si="5"/>
        <v>237.4040217</v>
      </c>
      <c r="F31" s="418">
        <f t="shared" si="5"/>
        <v>236.5335088</v>
      </c>
      <c r="G31" s="418">
        <f t="shared" si="5"/>
        <v>231.9797326</v>
      </c>
      <c r="H31" s="418">
        <f t="shared" si="5"/>
        <v>247.2564249</v>
      </c>
      <c r="I31" s="418">
        <f t="shared" si="5"/>
        <v>226.2252542</v>
      </c>
      <c r="J31" s="418">
        <f t="shared" si="5"/>
        <v>256.6081481</v>
      </c>
      <c r="K31" s="418">
        <f t="shared" si="5"/>
        <v>214.4283645</v>
      </c>
      <c r="L31" s="418">
        <f t="shared" si="5"/>
        <v>250.2144118</v>
      </c>
      <c r="M31" s="418">
        <f t="shared" si="5"/>
        <v>259.2968182</v>
      </c>
      <c r="N31" s="418">
        <f t="shared" si="5"/>
        <v>245.8697239</v>
      </c>
      <c r="O31" s="418">
        <f t="shared" si="5"/>
        <v>238.0991667</v>
      </c>
      <c r="P31" s="418">
        <f t="shared" si="5"/>
        <v>240.5724206</v>
      </c>
      <c r="Q31" s="418">
        <f t="shared" si="5"/>
        <v>240.3876707</v>
      </c>
      <c r="R31" s="418">
        <f t="shared" si="5"/>
        <v>217.9880952</v>
      </c>
      <c r="S31" s="418">
        <f t="shared" si="5"/>
        <v>257.7619658</v>
      </c>
      <c r="T31" s="418">
        <f t="shared" si="5"/>
        <v>250.8097093</v>
      </c>
      <c r="U31" s="418">
        <f t="shared" si="5"/>
        <v>238.8322727</v>
      </c>
      <c r="V31" s="418">
        <f t="shared" si="5"/>
        <v>259.7132979</v>
      </c>
      <c r="W31" s="418">
        <f t="shared" si="5"/>
        <v>224.3719786</v>
      </c>
      <c r="X31" s="418">
        <f t="shared" si="5"/>
        <v>234.9363743</v>
      </c>
      <c r="Y31" s="418">
        <f t="shared" si="5"/>
        <v>249.9043651</v>
      </c>
      <c r="Z31" s="418">
        <f t="shared" si="5"/>
        <v>280.1808527</v>
      </c>
      <c r="AA31" s="418">
        <f t="shared" si="5"/>
        <v>266.3761404</v>
      </c>
      <c r="AB31" s="418">
        <f t="shared" si="5"/>
        <v>271.1057813</v>
      </c>
      <c r="AC31" s="418">
        <f t="shared" si="5"/>
        <v>237.3053077</v>
      </c>
      <c r="AD31" s="418">
        <f t="shared" si="5"/>
        <v>256.997619</v>
      </c>
      <c r="AE31" s="418">
        <f t="shared" si="5"/>
        <v>243.4810156</v>
      </c>
      <c r="AF31" s="418">
        <f t="shared" si="5"/>
        <v>263.1661832</v>
      </c>
    </row>
    <row r="32">
      <c r="A32" s="499" t="s">
        <v>214</v>
      </c>
      <c r="B32" s="791">
        <v>230.0</v>
      </c>
      <c r="C32" s="418">
        <v>250.0</v>
      </c>
      <c r="D32" s="527">
        <v>246.65</v>
      </c>
      <c r="E32" s="527">
        <v>202.04</v>
      </c>
      <c r="F32" s="418">
        <v>207.45</v>
      </c>
      <c r="G32" s="418">
        <v>209.04</v>
      </c>
      <c r="H32" s="418">
        <v>238.0</v>
      </c>
      <c r="I32" s="418">
        <v>232.0</v>
      </c>
      <c r="J32" s="418">
        <v>209.7</v>
      </c>
      <c r="K32" s="418">
        <v>204.43</v>
      </c>
      <c r="L32" s="418">
        <v>210.2</v>
      </c>
      <c r="M32" s="418">
        <v>219.24</v>
      </c>
      <c r="N32" s="418">
        <v>210.16</v>
      </c>
      <c r="O32" s="418">
        <v>211.85</v>
      </c>
      <c r="P32" s="418">
        <v>211.62</v>
      </c>
      <c r="Q32" s="418">
        <v>212.28</v>
      </c>
      <c r="R32" s="439">
        <v>199.44</v>
      </c>
      <c r="S32" s="418">
        <v>218.72</v>
      </c>
      <c r="T32" s="418">
        <v>223.74</v>
      </c>
      <c r="U32" s="418">
        <v>219.67</v>
      </c>
      <c r="V32" s="418">
        <v>211.86</v>
      </c>
      <c r="W32" s="418">
        <v>209.25</v>
      </c>
      <c r="X32" s="418">
        <v>204.42</v>
      </c>
      <c r="Y32" s="418">
        <v>235.35</v>
      </c>
      <c r="Z32" s="418">
        <v>223.39</v>
      </c>
      <c r="AA32" s="418">
        <v>239.8</v>
      </c>
      <c r="AB32" s="418">
        <v>244.19</v>
      </c>
      <c r="AC32" s="418">
        <v>247.0</v>
      </c>
      <c r="AD32" s="418">
        <v>251.0</v>
      </c>
      <c r="AE32" s="418">
        <v>220.65</v>
      </c>
      <c r="AF32" s="418">
        <v>238.88</v>
      </c>
    </row>
    <row r="33">
      <c r="A33" s="499" t="s">
        <v>217</v>
      </c>
      <c r="B33" s="418">
        <v>218.0</v>
      </c>
      <c r="C33" s="418">
        <v>242.0</v>
      </c>
      <c r="D33" s="527">
        <v>182.5</v>
      </c>
      <c r="E33" s="527">
        <v>208.07</v>
      </c>
      <c r="F33" s="418">
        <v>226.03</v>
      </c>
      <c r="G33" s="418">
        <v>236.7</v>
      </c>
      <c r="H33" s="418">
        <v>222.0</v>
      </c>
      <c r="I33" s="418">
        <v>199.0</v>
      </c>
      <c r="J33" s="418">
        <v>124.55</v>
      </c>
      <c r="K33" s="418">
        <v>111.81</v>
      </c>
      <c r="L33" s="418">
        <v>116.24</v>
      </c>
      <c r="M33" s="418">
        <v>203.05</v>
      </c>
      <c r="N33" s="418">
        <v>159.26</v>
      </c>
      <c r="O33" s="418">
        <v>203.1</v>
      </c>
      <c r="P33" s="418">
        <v>138.28</v>
      </c>
      <c r="Q33" s="793">
        <v>146.12</v>
      </c>
      <c r="R33" s="418">
        <v>82.14</v>
      </c>
      <c r="S33" s="418">
        <v>226.82</v>
      </c>
      <c r="T33" s="418">
        <v>50.38</v>
      </c>
      <c r="U33" s="418">
        <v>221.05</v>
      </c>
      <c r="V33" s="418">
        <v>116.11</v>
      </c>
      <c r="W33" s="418">
        <v>163.28</v>
      </c>
      <c r="X33" s="418">
        <v>142.14</v>
      </c>
      <c r="Y33" s="418">
        <v>83.5</v>
      </c>
      <c r="Z33" s="418">
        <v>246.0</v>
      </c>
      <c r="AA33" s="418">
        <v>65.0</v>
      </c>
      <c r="AB33" s="418">
        <v>45.5</v>
      </c>
      <c r="AC33" s="418">
        <v>155.0</v>
      </c>
      <c r="AD33" s="418">
        <v>37.0</v>
      </c>
      <c r="AE33" s="418">
        <v>116.29</v>
      </c>
      <c r="AF33" s="418">
        <v>98.33</v>
      </c>
    </row>
    <row r="35">
      <c r="A35" s="499" t="s">
        <v>219</v>
      </c>
    </row>
    <row r="36">
      <c r="A36" s="436" t="s">
        <v>221</v>
      </c>
      <c r="B36" s="436">
        <v>0.006</v>
      </c>
      <c r="C36" s="436">
        <v>0.0226</v>
      </c>
      <c r="D36" s="436">
        <v>0.0127</v>
      </c>
      <c r="E36" s="436">
        <v>0.0163</v>
      </c>
      <c r="F36" s="436">
        <v>0.0234</v>
      </c>
      <c r="G36" s="436">
        <v>0.0321</v>
      </c>
      <c r="H36" s="436">
        <v>0.0105</v>
      </c>
      <c r="I36" s="436">
        <v>0.0044</v>
      </c>
      <c r="J36" s="436">
        <v>0.0093</v>
      </c>
      <c r="K36" s="436">
        <v>0.0421</v>
      </c>
      <c r="L36" s="436">
        <v>0.0245</v>
      </c>
      <c r="M36" s="436">
        <v>0.0101</v>
      </c>
      <c r="N36" s="436">
        <v>0.0245</v>
      </c>
      <c r="O36" s="436">
        <v>0.0347</v>
      </c>
      <c r="P36" s="436">
        <v>0.0476</v>
      </c>
      <c r="Q36" s="436">
        <v>0.0522</v>
      </c>
      <c r="R36" s="436">
        <v>0.0544</v>
      </c>
      <c r="S36" s="436">
        <v>0.0427</v>
      </c>
      <c r="T36" s="436">
        <v>0.0465</v>
      </c>
      <c r="U36" s="436">
        <v>0.0303</v>
      </c>
      <c r="V36" s="436">
        <v>0.0532</v>
      </c>
      <c r="W36" s="436">
        <v>0.0214</v>
      </c>
      <c r="X36" s="436">
        <v>0.0409</v>
      </c>
      <c r="Y36" s="436">
        <v>0.0952</v>
      </c>
      <c r="Z36" s="436">
        <v>0.0155</v>
      </c>
      <c r="AA36" s="436">
        <v>0.0175</v>
      </c>
      <c r="AB36" s="436">
        <v>0.0156</v>
      </c>
      <c r="AC36" s="436">
        <v>0.0079</v>
      </c>
      <c r="AD36" s="436">
        <v>0.0084</v>
      </c>
      <c r="AE36" s="436">
        <v>0.0547</v>
      </c>
      <c r="AF36" s="436">
        <v>0.0458</v>
      </c>
    </row>
    <row r="37">
      <c r="A37" s="1" t="s">
        <v>224</v>
      </c>
      <c r="B37" s="436">
        <f t="shared" ref="B37:AF37" si="6">1-B36</f>
        <v>0.994</v>
      </c>
      <c r="C37" s="436">
        <f t="shared" si="6"/>
        <v>0.9774</v>
      </c>
      <c r="D37" s="436">
        <f t="shared" si="6"/>
        <v>0.9873</v>
      </c>
      <c r="E37" s="436">
        <f t="shared" si="6"/>
        <v>0.9837</v>
      </c>
      <c r="F37" s="436">
        <f t="shared" si="6"/>
        <v>0.9766</v>
      </c>
      <c r="G37" s="436">
        <f t="shared" si="6"/>
        <v>0.9679</v>
      </c>
      <c r="H37" s="436">
        <f t="shared" si="6"/>
        <v>0.9895</v>
      </c>
      <c r="I37" s="436">
        <f t="shared" si="6"/>
        <v>0.9956</v>
      </c>
      <c r="J37" s="436">
        <f t="shared" si="6"/>
        <v>0.9907</v>
      </c>
      <c r="K37" s="436">
        <f t="shared" si="6"/>
        <v>0.9579</v>
      </c>
      <c r="L37" s="436">
        <f t="shared" si="6"/>
        <v>0.9755</v>
      </c>
      <c r="M37" s="436">
        <f t="shared" si="6"/>
        <v>0.9899</v>
      </c>
      <c r="N37" s="436">
        <f t="shared" si="6"/>
        <v>0.9755</v>
      </c>
      <c r="O37" s="436">
        <f t="shared" si="6"/>
        <v>0.9653</v>
      </c>
      <c r="P37" s="436">
        <f t="shared" si="6"/>
        <v>0.9524</v>
      </c>
      <c r="Q37" s="436">
        <f t="shared" si="6"/>
        <v>0.9478</v>
      </c>
      <c r="R37" s="436">
        <f t="shared" si="6"/>
        <v>0.9456</v>
      </c>
      <c r="S37" s="436">
        <f t="shared" si="6"/>
        <v>0.9573</v>
      </c>
      <c r="T37" s="436">
        <f t="shared" si="6"/>
        <v>0.9535</v>
      </c>
      <c r="U37" s="436">
        <f t="shared" si="6"/>
        <v>0.9697</v>
      </c>
      <c r="V37" s="436">
        <f t="shared" si="6"/>
        <v>0.9468</v>
      </c>
      <c r="W37" s="436">
        <f t="shared" si="6"/>
        <v>0.9786</v>
      </c>
      <c r="X37" s="436">
        <f t="shared" si="6"/>
        <v>0.9591</v>
      </c>
      <c r="Y37" s="436">
        <f t="shared" si="6"/>
        <v>0.9048</v>
      </c>
      <c r="Z37" s="436">
        <f t="shared" si="6"/>
        <v>0.9845</v>
      </c>
      <c r="AA37" s="436">
        <f t="shared" si="6"/>
        <v>0.9825</v>
      </c>
      <c r="AB37" s="436">
        <f t="shared" si="6"/>
        <v>0.9844</v>
      </c>
      <c r="AC37" s="436">
        <f t="shared" si="6"/>
        <v>0.9921</v>
      </c>
      <c r="AD37" s="436">
        <f t="shared" si="6"/>
        <v>0.9916</v>
      </c>
      <c r="AE37" s="436">
        <f t="shared" si="6"/>
        <v>0.9453</v>
      </c>
      <c r="AF37" s="436">
        <f t="shared" si="6"/>
        <v>0.9542</v>
      </c>
    </row>
    <row r="40">
      <c r="A40" s="499" t="s">
        <v>463</v>
      </c>
      <c r="Z40" s="436"/>
    </row>
    <row r="41">
      <c r="A41" s="1" t="s">
        <v>686</v>
      </c>
      <c r="B41" s="798" t="s">
        <v>720</v>
      </c>
      <c r="C41" s="798" t="s">
        <v>720</v>
      </c>
      <c r="D41" s="798" t="s">
        <v>720</v>
      </c>
      <c r="E41" s="798" t="s">
        <v>720</v>
      </c>
      <c r="F41" s="798" t="s">
        <v>720</v>
      </c>
      <c r="G41" s="798" t="s">
        <v>720</v>
      </c>
      <c r="H41" s="798" t="s">
        <v>720</v>
      </c>
      <c r="I41" s="798" t="s">
        <v>720</v>
      </c>
      <c r="J41" s="798" t="s">
        <v>720</v>
      </c>
      <c r="K41" s="798" t="s">
        <v>720</v>
      </c>
      <c r="L41" s="798" t="s">
        <v>720</v>
      </c>
      <c r="M41" s="798" t="s">
        <v>720</v>
      </c>
      <c r="N41" s="436">
        <v>0.4214</v>
      </c>
      <c r="O41" s="436">
        <v>0.0</v>
      </c>
      <c r="P41" s="436">
        <v>0.0</v>
      </c>
      <c r="Q41" s="436">
        <v>0.0</v>
      </c>
      <c r="R41" s="436">
        <v>0.0</v>
      </c>
      <c r="S41" s="436">
        <v>0.0</v>
      </c>
      <c r="T41" s="436">
        <v>0.0</v>
      </c>
      <c r="U41" s="430">
        <f>'OLD Formulas'!N16</f>
        <v>0.32</v>
      </c>
      <c r="V41" s="430">
        <f>'OLD Formulas'!O16</f>
        <v>0.3928571429</v>
      </c>
      <c r="W41" s="430">
        <f>'OLD Formulas'!P16</f>
        <v>0.4274193548</v>
      </c>
      <c r="X41" s="430">
        <f>'OLD Formulas'!Q16</f>
        <v>0.4274193548</v>
      </c>
      <c r="Y41" s="430">
        <f>'OLD Formulas'!R16</f>
        <v>0.4109589041</v>
      </c>
      <c r="Z41" s="430">
        <f>'OLD Formulas'!S16</f>
        <v>0.2903225806</v>
      </c>
      <c r="AA41" s="430">
        <f>'OLD Formulas'!T16</f>
        <v>0.3714285714</v>
      </c>
      <c r="AB41" s="430">
        <f>'OLD Formulas'!U16</f>
        <v>0.3150684932</v>
      </c>
      <c r="AC41" s="430">
        <f>'OLD Formulas'!V16</f>
        <v>0.311827957</v>
      </c>
      <c r="AD41" s="430">
        <f>'OLD Formulas'!W16</f>
        <v>0.3440860215</v>
      </c>
      <c r="AE41" s="430">
        <f>'OLD Formulas'!X16</f>
        <v>0.3214285714</v>
      </c>
      <c r="AF41" s="430">
        <f>'OLD Formulas'!Y16</f>
        <v>0.3111111111</v>
      </c>
    </row>
    <row r="42">
      <c r="A42" s="1" t="s">
        <v>467</v>
      </c>
      <c r="B42" s="798" t="s">
        <v>720</v>
      </c>
      <c r="C42" s="798" t="s">
        <v>720</v>
      </c>
      <c r="D42" s="798" t="s">
        <v>720</v>
      </c>
      <c r="E42" s="798" t="s">
        <v>720</v>
      </c>
      <c r="F42" s="798" t="s">
        <v>720</v>
      </c>
      <c r="G42" s="798" t="s">
        <v>720</v>
      </c>
      <c r="H42" s="798" t="s">
        <v>720</v>
      </c>
      <c r="I42" s="798" t="s">
        <v>720</v>
      </c>
      <c r="J42" s="798" t="s">
        <v>720</v>
      </c>
      <c r="K42" s="798" t="s">
        <v>720</v>
      </c>
      <c r="L42" s="798" t="s">
        <v>720</v>
      </c>
      <c r="M42" s="798" t="s">
        <v>720</v>
      </c>
      <c r="N42" s="436">
        <v>0.5157</v>
      </c>
      <c r="O42" s="436">
        <v>0.0</v>
      </c>
      <c r="P42" s="436">
        <v>0.0</v>
      </c>
      <c r="Q42" s="436">
        <v>0.0</v>
      </c>
      <c r="R42" s="436">
        <v>0.0</v>
      </c>
      <c r="S42" s="436">
        <v>0.0</v>
      </c>
      <c r="T42" s="436">
        <v>0.0</v>
      </c>
      <c r="U42" s="430">
        <f>'OLD Formulas'!N17</f>
        <v>0.56</v>
      </c>
      <c r="V42" s="430">
        <f>'OLD Formulas'!O17</f>
        <v>0.5178571429</v>
      </c>
      <c r="W42" s="430">
        <f>'OLD Formulas'!P17</f>
        <v>0.4838709677</v>
      </c>
      <c r="X42" s="430">
        <f>'OLD Formulas'!Q17</f>
        <v>0.4516129032</v>
      </c>
      <c r="Y42" s="430">
        <f>'OLD Formulas'!R17</f>
        <v>0.4246575342</v>
      </c>
      <c r="Z42" s="430">
        <f>'OLD Formulas'!S17</f>
        <v>0.5913978495</v>
      </c>
      <c r="AA42" s="430">
        <f>'OLD Formulas'!T17</f>
        <v>0.4857142857</v>
      </c>
      <c r="AB42" s="430">
        <f>'OLD Formulas'!U17</f>
        <v>0.5342465753</v>
      </c>
      <c r="AC42" s="430">
        <f>'OLD Formulas'!V17</f>
        <v>0.5698924731</v>
      </c>
      <c r="AD42" s="430">
        <f>'OLD Formulas'!W17</f>
        <v>0.5483870968</v>
      </c>
      <c r="AE42" s="430">
        <f>'OLD Formulas'!X17</f>
        <v>0.4880952381</v>
      </c>
      <c r="AF42" s="430">
        <f>'OLD Formulas'!Y17</f>
        <v>0.5888888889</v>
      </c>
    </row>
    <row r="43">
      <c r="A43" s="1" t="s">
        <v>116</v>
      </c>
      <c r="B43" s="798" t="s">
        <v>720</v>
      </c>
      <c r="C43" s="798" t="s">
        <v>720</v>
      </c>
      <c r="D43" s="798" t="s">
        <v>720</v>
      </c>
      <c r="E43" s="798" t="s">
        <v>720</v>
      </c>
      <c r="F43" s="798" t="s">
        <v>720</v>
      </c>
      <c r="G43" s="798" t="s">
        <v>720</v>
      </c>
      <c r="H43" s="798" t="s">
        <v>720</v>
      </c>
      <c r="I43" s="798" t="s">
        <v>720</v>
      </c>
      <c r="J43" s="798" t="s">
        <v>720</v>
      </c>
      <c r="K43" s="798" t="s">
        <v>720</v>
      </c>
      <c r="L43" s="798" t="s">
        <v>720</v>
      </c>
      <c r="M43" s="798" t="s">
        <v>720</v>
      </c>
      <c r="N43" s="802">
        <v>0.0126</v>
      </c>
      <c r="O43" s="436">
        <v>0.0</v>
      </c>
      <c r="P43" s="436">
        <v>0.0</v>
      </c>
      <c r="Q43" s="436">
        <v>0.0</v>
      </c>
      <c r="R43" s="436">
        <v>0.0</v>
      </c>
      <c r="S43" s="436">
        <v>0.0</v>
      </c>
      <c r="T43" s="436">
        <v>0.0</v>
      </c>
      <c r="U43" s="430">
        <f>'OLD Formulas'!N18</f>
        <v>0</v>
      </c>
      <c r="V43" s="430">
        <f>'OLD Formulas'!O18</f>
        <v>0</v>
      </c>
      <c r="W43" s="430">
        <f>'OLD Formulas'!P18</f>
        <v>0.008064516129</v>
      </c>
      <c r="X43" s="430">
        <f>'OLD Formulas'!Q18</f>
        <v>0.008064516129</v>
      </c>
      <c r="Y43" s="430">
        <f>'OLD Formulas'!R18</f>
        <v>0.02739726027</v>
      </c>
      <c r="Z43" s="430">
        <f>'OLD Formulas'!S18</f>
        <v>0.03225806452</v>
      </c>
      <c r="AA43" s="430">
        <f>'OLD Formulas'!T18</f>
        <v>0.04285714286</v>
      </c>
      <c r="AB43" s="430">
        <f>'OLD Formulas'!U18</f>
        <v>0.04109589041</v>
      </c>
      <c r="AC43" s="430">
        <f>'OLD Formulas'!V18</f>
        <v>0.01075268817</v>
      </c>
      <c r="AD43" s="430">
        <f>'OLD Formulas'!W18</f>
        <v>0</v>
      </c>
      <c r="AE43" s="430">
        <f>'OLD Formulas'!X18</f>
        <v>0</v>
      </c>
      <c r="AF43" s="430">
        <f>'OLD Formulas'!Y18</f>
        <v>0.03333333333</v>
      </c>
    </row>
    <row r="44">
      <c r="A44" s="1" t="s">
        <v>469</v>
      </c>
      <c r="B44" s="798" t="s">
        <v>720</v>
      </c>
      <c r="C44" s="798" t="s">
        <v>720</v>
      </c>
      <c r="D44" s="798" t="s">
        <v>720</v>
      </c>
      <c r="E44" s="798" t="s">
        <v>720</v>
      </c>
      <c r="F44" s="798" t="s">
        <v>720</v>
      </c>
      <c r="G44" s="798" t="s">
        <v>720</v>
      </c>
      <c r="H44" s="798" t="s">
        <v>720</v>
      </c>
      <c r="I44" s="798" t="s">
        <v>720</v>
      </c>
      <c r="J44" s="798" t="s">
        <v>720</v>
      </c>
      <c r="K44" s="798" t="s">
        <v>720</v>
      </c>
      <c r="L44" s="798" t="s">
        <v>720</v>
      </c>
      <c r="M44" s="798" t="s">
        <v>720</v>
      </c>
      <c r="N44" s="436">
        <v>0.0</v>
      </c>
      <c r="O44" s="436">
        <v>0.0</v>
      </c>
      <c r="P44" s="436">
        <v>0.0</v>
      </c>
      <c r="Q44" s="436">
        <v>0.0</v>
      </c>
      <c r="R44" s="436">
        <v>0.0</v>
      </c>
      <c r="S44" s="436">
        <v>0.0</v>
      </c>
      <c r="T44" s="436">
        <v>0.0</v>
      </c>
      <c r="U44" s="430">
        <f>'OLD Formulas'!N19</f>
        <v>0.02666666667</v>
      </c>
      <c r="V44" s="430">
        <f>'OLD Formulas'!O19</f>
        <v>0</v>
      </c>
      <c r="W44" s="430">
        <f>'OLD Formulas'!P19</f>
        <v>0.008064516129</v>
      </c>
      <c r="X44" s="430">
        <f>'OLD Formulas'!Q19</f>
        <v>0.01612903226</v>
      </c>
      <c r="Y44" s="430">
        <f>'OLD Formulas'!R19</f>
        <v>0</v>
      </c>
      <c r="Z44" s="430">
        <f>'OLD Formulas'!S19</f>
        <v>0</v>
      </c>
      <c r="AA44" s="430">
        <f>'OLD Formulas'!T19</f>
        <v>0.01428571429</v>
      </c>
      <c r="AB44" s="430">
        <f>'OLD Formulas'!U19</f>
        <v>0.01369863014</v>
      </c>
      <c r="AC44" s="430">
        <f>'OLD Formulas'!V19</f>
        <v>0</v>
      </c>
      <c r="AD44" s="430">
        <f>'OLD Formulas'!W19</f>
        <v>0</v>
      </c>
      <c r="AE44" s="430">
        <f>'OLD Formulas'!X19</f>
        <v>0</v>
      </c>
      <c r="AF44" s="430">
        <f>'OLD Formulas'!Y19</f>
        <v>0.01111111111</v>
      </c>
    </row>
    <row r="45">
      <c r="A45" s="1" t="s">
        <v>470</v>
      </c>
      <c r="B45" s="798" t="s">
        <v>720</v>
      </c>
      <c r="C45" s="798" t="s">
        <v>720</v>
      </c>
      <c r="D45" s="798" t="s">
        <v>720</v>
      </c>
      <c r="E45" s="798" t="s">
        <v>720</v>
      </c>
      <c r="F45" s="798" t="s">
        <v>720</v>
      </c>
      <c r="G45" s="798" t="s">
        <v>720</v>
      </c>
      <c r="H45" s="798" t="s">
        <v>720</v>
      </c>
      <c r="I45" s="798" t="s">
        <v>720</v>
      </c>
      <c r="J45" s="798" t="s">
        <v>720</v>
      </c>
      <c r="K45" s="798" t="s">
        <v>720</v>
      </c>
      <c r="L45" s="798" t="s">
        <v>720</v>
      </c>
      <c r="M45" s="798" t="s">
        <v>720</v>
      </c>
      <c r="N45" s="436">
        <v>0.0503</v>
      </c>
      <c r="O45" s="436">
        <v>0.0</v>
      </c>
      <c r="P45" s="436">
        <v>0.0</v>
      </c>
      <c r="Q45" s="436">
        <v>0.0</v>
      </c>
      <c r="R45" s="436">
        <v>0.0</v>
      </c>
      <c r="S45" s="436">
        <v>0.0</v>
      </c>
      <c r="T45" s="436">
        <v>0.0</v>
      </c>
      <c r="U45" s="430">
        <f>'OLD Formulas'!N20</f>
        <v>0.09333333333</v>
      </c>
      <c r="V45" s="430">
        <f>'OLD Formulas'!O20</f>
        <v>0.05357142857</v>
      </c>
      <c r="W45" s="430">
        <f>'OLD Formulas'!P20</f>
        <v>0.01612903226</v>
      </c>
      <c r="X45" s="430">
        <f>'OLD Formulas'!Q20</f>
        <v>0.02419354839</v>
      </c>
      <c r="Y45" s="430">
        <f>'OLD Formulas'!R20</f>
        <v>0.01369863014</v>
      </c>
      <c r="Z45" s="430">
        <f>'OLD Formulas'!S20</f>
        <v>0.03225806452</v>
      </c>
      <c r="AA45" s="430">
        <f>'OLD Formulas'!T20</f>
        <v>0.05714285714</v>
      </c>
      <c r="AB45" s="430">
        <f>'OLD Formulas'!U20</f>
        <v>0.02739726027</v>
      </c>
      <c r="AC45" s="430">
        <f>'OLD Formulas'!V20</f>
        <v>0.03225806452</v>
      </c>
      <c r="AD45" s="430">
        <f>'OLD Formulas'!W20</f>
        <v>0.03225806452</v>
      </c>
      <c r="AE45" s="430">
        <f>'OLD Formulas'!X20</f>
        <v>0.03571428571</v>
      </c>
      <c r="AF45" s="430">
        <f>'OLD Formulas'!Y20</f>
        <v>0.03333333333</v>
      </c>
    </row>
    <row r="46">
      <c r="A46" s="1" t="s">
        <v>471</v>
      </c>
      <c r="B46" s="798" t="s">
        <v>720</v>
      </c>
      <c r="C46" s="798" t="s">
        <v>720</v>
      </c>
      <c r="D46" s="798" t="s">
        <v>720</v>
      </c>
      <c r="E46" s="798" t="s">
        <v>720</v>
      </c>
      <c r="F46" s="798" t="s">
        <v>720</v>
      </c>
      <c r="G46" s="798" t="s">
        <v>720</v>
      </c>
      <c r="H46" s="798" t="s">
        <v>720</v>
      </c>
      <c r="I46" s="798" t="s">
        <v>720</v>
      </c>
      <c r="J46" s="798" t="s">
        <v>720</v>
      </c>
      <c r="K46" s="798" t="s">
        <v>720</v>
      </c>
      <c r="L46" s="798" t="s">
        <v>720</v>
      </c>
      <c r="M46" s="798" t="s">
        <v>720</v>
      </c>
      <c r="N46" s="798" t="s">
        <v>720</v>
      </c>
      <c r="O46" s="798" t="s">
        <v>720</v>
      </c>
      <c r="P46" s="798" t="s">
        <v>720</v>
      </c>
      <c r="Q46" s="798" t="s">
        <v>720</v>
      </c>
      <c r="R46" s="798" t="s">
        <v>720</v>
      </c>
      <c r="S46" s="798" t="s">
        <v>720</v>
      </c>
      <c r="T46" s="798" t="s">
        <v>720</v>
      </c>
      <c r="U46" s="798" t="s">
        <v>720</v>
      </c>
      <c r="V46" s="430">
        <f>'OLD Formulas'!O21</f>
        <v>0</v>
      </c>
      <c r="W46" s="430">
        <f>'OLD Formulas'!P21</f>
        <v>0.01612903226</v>
      </c>
      <c r="X46" s="430">
        <f>'OLD Formulas'!Q21</f>
        <v>0.008064516129</v>
      </c>
      <c r="Y46" s="430">
        <f>'OLD Formulas'!R21</f>
        <v>0.01369863014</v>
      </c>
      <c r="Z46" s="430">
        <f>'OLD Formulas'!S21</f>
        <v>0.01075268817</v>
      </c>
      <c r="AA46" s="430">
        <f>'OLD Formulas'!T21</f>
        <v>0</v>
      </c>
      <c r="AB46" s="430">
        <f>'OLD Formulas'!U21</f>
        <v>0.01369863014</v>
      </c>
      <c r="AC46" s="430">
        <f>'OLD Formulas'!V21</f>
        <v>0</v>
      </c>
      <c r="AD46" s="430">
        <f>'OLD Formulas'!W21</f>
        <v>0</v>
      </c>
      <c r="AE46" s="430">
        <f>'OLD Formulas'!X21</f>
        <v>0</v>
      </c>
      <c r="AF46" s="430">
        <f>'OLD Formulas'!Y21</f>
        <v>0</v>
      </c>
    </row>
    <row r="47">
      <c r="A47" s="1" t="s">
        <v>472</v>
      </c>
      <c r="B47" s="798" t="s">
        <v>720</v>
      </c>
      <c r="C47" s="798" t="s">
        <v>720</v>
      </c>
      <c r="D47" s="798" t="s">
        <v>720</v>
      </c>
      <c r="E47" s="798" t="s">
        <v>720</v>
      </c>
      <c r="F47" s="798" t="s">
        <v>720</v>
      </c>
      <c r="G47" s="798" t="s">
        <v>720</v>
      </c>
      <c r="H47" s="798" t="s">
        <v>720</v>
      </c>
      <c r="I47" s="798" t="s">
        <v>720</v>
      </c>
      <c r="J47" s="798" t="s">
        <v>720</v>
      </c>
      <c r="K47" s="798" t="s">
        <v>720</v>
      </c>
      <c r="L47" s="798" t="s">
        <v>720</v>
      </c>
      <c r="M47" s="798" t="s">
        <v>720</v>
      </c>
      <c r="N47" s="798" t="s">
        <v>720</v>
      </c>
      <c r="O47" s="798" t="s">
        <v>720</v>
      </c>
      <c r="P47" s="798" t="s">
        <v>720</v>
      </c>
      <c r="Q47" s="798" t="s">
        <v>720</v>
      </c>
      <c r="R47" s="798" t="s">
        <v>720</v>
      </c>
      <c r="S47" s="798" t="s">
        <v>720</v>
      </c>
      <c r="T47" s="798" t="s">
        <v>720</v>
      </c>
      <c r="U47" s="798" t="s">
        <v>720</v>
      </c>
      <c r="V47" s="430">
        <f>'OLD Formulas'!O22</f>
        <v>0.03571428571</v>
      </c>
      <c r="W47" s="430">
        <f>'OLD Formulas'!P22</f>
        <v>0.03225806452</v>
      </c>
      <c r="X47" s="430">
        <f>'OLD Formulas'!Q22</f>
        <v>0.06451612903</v>
      </c>
      <c r="Y47" s="430">
        <f>'OLD Formulas'!R22</f>
        <v>0.1095890411</v>
      </c>
      <c r="Z47" s="430">
        <f>'OLD Formulas'!S22</f>
        <v>0.03225806452</v>
      </c>
      <c r="AA47" s="430">
        <f>'OLD Formulas'!T22</f>
        <v>0.02857142857</v>
      </c>
      <c r="AB47" s="430">
        <f>'OLD Formulas'!U22</f>
        <v>0.05479452055</v>
      </c>
      <c r="AC47" s="430">
        <f>'OLD Formulas'!V22</f>
        <v>0.0752688172</v>
      </c>
      <c r="AD47" s="430">
        <f>'OLD Formulas'!W22</f>
        <v>0.0752688172</v>
      </c>
      <c r="AE47" s="430">
        <f>'OLD Formulas'!X22</f>
        <v>0.1428571429</v>
      </c>
      <c r="AF47" s="430">
        <f>'OLD Formulas'!Y22</f>
        <v>0.02222222222</v>
      </c>
    </row>
    <row r="48">
      <c r="A48" s="1" t="s">
        <v>476</v>
      </c>
      <c r="B48" s="798" t="s">
        <v>720</v>
      </c>
      <c r="C48" s="798" t="s">
        <v>720</v>
      </c>
      <c r="D48" s="798" t="s">
        <v>720</v>
      </c>
      <c r="E48" s="798" t="s">
        <v>720</v>
      </c>
      <c r="F48" s="798" t="s">
        <v>720</v>
      </c>
      <c r="G48" s="798" t="s">
        <v>720</v>
      </c>
      <c r="H48" s="798" t="s">
        <v>720</v>
      </c>
      <c r="I48" s="798" t="s">
        <v>720</v>
      </c>
      <c r="J48" s="798" t="s">
        <v>720</v>
      </c>
      <c r="K48" s="798" t="s">
        <v>720</v>
      </c>
      <c r="L48" s="798" t="s">
        <v>720</v>
      </c>
      <c r="M48" s="798" t="s">
        <v>720</v>
      </c>
      <c r="N48" s="798" t="s">
        <v>720</v>
      </c>
      <c r="O48" s="798" t="s">
        <v>720</v>
      </c>
      <c r="P48" s="798" t="s">
        <v>720</v>
      </c>
      <c r="Q48" s="798" t="s">
        <v>720</v>
      </c>
      <c r="R48" s="798" t="s">
        <v>720</v>
      </c>
      <c r="S48" s="798" t="s">
        <v>720</v>
      </c>
      <c r="T48" s="798" t="s">
        <v>720</v>
      </c>
      <c r="U48" s="798" t="s">
        <v>720</v>
      </c>
      <c r="V48" s="430">
        <f>'OLD Formulas'!O23</f>
        <v>0</v>
      </c>
      <c r="W48" s="430">
        <f>'OLD Formulas'!P23</f>
        <v>0.008064516129</v>
      </c>
      <c r="X48" s="430">
        <f>'OLD Formulas'!Q23</f>
        <v>0</v>
      </c>
      <c r="Y48" s="430">
        <f>'OLD Formulas'!R23</f>
        <v>0</v>
      </c>
      <c r="Z48" s="430">
        <f>'OLD Formulas'!S23</f>
        <v>0.01075268817</v>
      </c>
      <c r="AA48" s="430">
        <f>'OLD Formulas'!T23</f>
        <v>0</v>
      </c>
      <c r="AB48" s="430">
        <f>'OLD Formulas'!U23</f>
        <v>0</v>
      </c>
      <c r="AC48" s="430">
        <f>'OLD Formulas'!V23</f>
        <v>0</v>
      </c>
      <c r="AD48" s="430">
        <f>'OLD Formulas'!W23</f>
        <v>0</v>
      </c>
      <c r="AE48" s="430">
        <f>'OLD Formulas'!X23</f>
        <v>0.0119047619</v>
      </c>
      <c r="AF48" s="430">
        <f>'OLD Formulas'!Y23</f>
        <v>0</v>
      </c>
    </row>
    <row r="49">
      <c r="G49" s="814"/>
    </row>
    <row r="50">
      <c r="B50" s="815">
        <v>45108.0</v>
      </c>
      <c r="C50" s="816" t="s">
        <v>229</v>
      </c>
      <c r="D50" s="816" t="s">
        <v>230</v>
      </c>
    </row>
    <row r="51">
      <c r="A51" s="1" t="s">
        <v>167</v>
      </c>
      <c r="B51" s="446">
        <f>SUM(B14:AF14)</f>
        <v>1411507.75</v>
      </c>
      <c r="C51" s="818">
        <v>2000000.0</v>
      </c>
      <c r="D51" s="819">
        <f t="shared" ref="D51:D53" si="7">B51/C51</f>
        <v>0.705753875</v>
      </c>
    </row>
    <row r="52">
      <c r="A52" s="1" t="s">
        <v>231</v>
      </c>
      <c r="B52" s="446">
        <f>SUM(B26:AF26)</f>
        <v>542625.68</v>
      </c>
      <c r="C52" s="818">
        <v>666000.0</v>
      </c>
      <c r="D52" s="819">
        <f t="shared" si="7"/>
        <v>0.8147532733</v>
      </c>
    </row>
    <row r="53">
      <c r="A53" s="1" t="s">
        <v>234</v>
      </c>
      <c r="B53" s="782">
        <f>B51/B52</f>
        <v>2.601254976</v>
      </c>
      <c r="C53" s="821">
        <v>3.0</v>
      </c>
      <c r="D53" s="819">
        <f t="shared" si="7"/>
        <v>0.8670849919</v>
      </c>
    </row>
    <row r="54">
      <c r="A54" s="1" t="s">
        <v>715</v>
      </c>
      <c r="B54" s="446">
        <f>SUM(B26:AF26)/SUM(B15:AF15)</f>
        <v>94.53409059</v>
      </c>
      <c r="C54" s="822"/>
      <c r="D54" s="819"/>
      <c r="W54" s="1" t="s">
        <v>236</v>
      </c>
    </row>
    <row r="55">
      <c r="A55" s="1" t="s">
        <v>237</v>
      </c>
      <c r="B55" s="430">
        <f>AVERAGE(B30:AF30)</f>
        <v>0.01571612903</v>
      </c>
      <c r="C55" s="824"/>
      <c r="D55" s="819"/>
    </row>
    <row r="56">
      <c r="A56" s="1" t="s">
        <v>238</v>
      </c>
      <c r="B56" s="446">
        <f>B51/B59</f>
        <v>245.9072735</v>
      </c>
      <c r="C56" s="822"/>
      <c r="D56" s="819"/>
    </row>
    <row r="57">
      <c r="A57" s="1" t="s">
        <v>214</v>
      </c>
      <c r="B57" s="791">
        <f t="shared" ref="B57:B58" si="8">AVERAGE(B32:AF32)</f>
        <v>222.3232258</v>
      </c>
    </row>
    <row r="58">
      <c r="A58" s="1" t="s">
        <v>217</v>
      </c>
      <c r="B58" s="418">
        <f t="shared" si="8"/>
        <v>154.3629032</v>
      </c>
    </row>
    <row r="59">
      <c r="A59" s="1" t="s">
        <v>100</v>
      </c>
      <c r="B59" s="826">
        <f>SUM(B15:AF15)</f>
        <v>5740</v>
      </c>
      <c r="C59" s="828"/>
      <c r="D59" s="819"/>
      <c r="L59" s="1" t="s">
        <v>236</v>
      </c>
    </row>
    <row r="60">
      <c r="A60" s="1" t="s">
        <v>239</v>
      </c>
      <c r="B60" s="826">
        <f>'OLD Detailed Report'!AG141</f>
        <v>4752</v>
      </c>
      <c r="C60" s="828">
        <v>7500.0</v>
      </c>
      <c r="D60" s="819">
        <f>B60/C60</f>
        <v>0.6336</v>
      </c>
    </row>
    <row r="61">
      <c r="A61" s="1" t="s">
        <v>240</v>
      </c>
      <c r="B61" s="446">
        <f>B52/B60</f>
        <v>114.1889057</v>
      </c>
      <c r="C61" s="822"/>
      <c r="D61" s="819"/>
    </row>
    <row r="62">
      <c r="A62" s="1" t="s">
        <v>241</v>
      </c>
      <c r="B62" s="430">
        <f>AVERAGE(B37:AF37)</f>
        <v>0.9702258065</v>
      </c>
    </row>
    <row r="63">
      <c r="A63" s="1" t="s">
        <v>242</v>
      </c>
      <c r="B63" s="430">
        <f>AVERAGE(B36:AF36)</f>
        <v>0.02977419355</v>
      </c>
      <c r="AF63" s="418"/>
    </row>
    <row r="64">
      <c r="AF64" s="418"/>
    </row>
    <row r="65">
      <c r="AF65" s="418"/>
    </row>
    <row r="66">
      <c r="AF66" s="418"/>
    </row>
    <row r="67">
      <c r="AF67" s="418"/>
    </row>
    <row r="68">
      <c r="AF68" s="418"/>
    </row>
    <row r="69">
      <c r="AF69" s="418"/>
    </row>
    <row r="70">
      <c r="AF70" s="527"/>
    </row>
    <row r="71">
      <c r="AF71" s="527"/>
    </row>
    <row r="72">
      <c r="AF72" s="527"/>
    </row>
    <row r="73">
      <c r="AF73" s="418"/>
    </row>
    <row r="74">
      <c r="Y74" s="436"/>
      <c r="Z74" s="436"/>
      <c r="AA74" s="436"/>
      <c r="AB74" s="436"/>
      <c r="AC74" s="436"/>
      <c r="AD74" s="436"/>
      <c r="AE74" s="436"/>
      <c r="AF74" s="527"/>
    </row>
    <row r="75">
      <c r="Y75" s="436"/>
      <c r="Z75" s="436"/>
      <c r="AA75" s="436"/>
      <c r="AB75" s="436"/>
      <c r="AC75" s="436"/>
      <c r="AD75" s="436"/>
      <c r="AE75" s="436"/>
      <c r="AF75" s="418"/>
    </row>
    <row r="76">
      <c r="Y76" s="436"/>
      <c r="Z76" s="436"/>
      <c r="AA76" s="436"/>
      <c r="AB76" s="436"/>
      <c r="AC76" s="436"/>
      <c r="AD76" s="436"/>
      <c r="AE76" s="436"/>
      <c r="AF76" s="418"/>
    </row>
    <row r="77">
      <c r="Y77" s="830"/>
      <c r="AC77" s="436"/>
      <c r="AD77" s="436"/>
      <c r="AE77" s="436"/>
      <c r="AF77" s="418"/>
    </row>
    <row r="78">
      <c r="AF78" s="418"/>
    </row>
    <row r="79">
      <c r="AF79" s="418"/>
    </row>
    <row r="80">
      <c r="AF80" s="418"/>
    </row>
    <row r="81">
      <c r="AF81" s="418"/>
    </row>
    <row r="82">
      <c r="Y82" s="1" t="s">
        <v>236</v>
      </c>
      <c r="AF82" s="418"/>
    </row>
    <row r="83">
      <c r="AF83" s="418"/>
    </row>
    <row r="84">
      <c r="AF84" s="418"/>
    </row>
    <row r="85">
      <c r="AF85" s="418"/>
    </row>
    <row r="86">
      <c r="AF86" s="418"/>
    </row>
    <row r="87">
      <c r="AF87" s="418"/>
    </row>
    <row r="88">
      <c r="AF88" s="418"/>
    </row>
    <row r="89">
      <c r="AF89" s="418"/>
    </row>
  </sheetData>
  <mergeCells count="2">
    <mergeCell ref="B4:U4"/>
    <mergeCell ref="Z4:AF4"/>
  </mergeCells>
  <conditionalFormatting sqref="B28:AF28">
    <cfRule type="colorScale" priority="1">
      <colorScale>
        <cfvo type="min"/>
        <cfvo type="max"/>
        <color rgb="FFFFFFFF"/>
        <color rgb="FF57BB8A"/>
      </colorScale>
    </cfRule>
  </conditionalFormatting>
  <conditionalFormatting sqref="A29:AF29">
    <cfRule type="colorScale" priority="2">
      <colorScale>
        <cfvo type="min"/>
        <cfvo type="max"/>
        <color rgb="FF57BB8A"/>
        <color rgb="FFFFFFFF"/>
      </colorScale>
    </cfRule>
  </conditionalFormatting>
  <conditionalFormatting sqref="A30:AF30">
    <cfRule type="colorScale" priority="3">
      <colorScale>
        <cfvo type="min"/>
        <cfvo type="max"/>
        <color rgb="FFFFFFFF"/>
        <color rgb="FF57BB8A"/>
      </colorScale>
    </cfRule>
  </conditionalFormatting>
  <conditionalFormatting sqref="A31:A33 B31:AF31 A35">
    <cfRule type="colorScale" priority="4">
      <colorScale>
        <cfvo type="min"/>
        <cfvo type="max"/>
        <color rgb="FFFFFFFF"/>
        <color rgb="FF57BB8A"/>
      </colorScale>
    </cfRule>
  </conditionalFormatting>
  <conditionalFormatting sqref="Z40:Z48 N41:U45 V41:Y48 AA41:AF48 Y74:Y77 Z74:AB76 AC74:AE77">
    <cfRule type="colorScale" priority="5">
      <colorScale>
        <cfvo type="min"/>
        <cfvo type="max"/>
        <color rgb="FFFFFFFF"/>
        <color rgb="FF57BB8A"/>
      </colorScale>
    </cfRule>
  </conditionalFormatting>
  <conditionalFormatting sqref="B36:AF36">
    <cfRule type="colorScale" priority="6">
      <colorScale>
        <cfvo type="min"/>
        <cfvo type="max"/>
        <color rgb="FFFFFFFF"/>
        <color rgb="FF57BB8A"/>
      </colorScale>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6.75"/>
    <col customWidth="1" min="2" max="18" width="16.13"/>
    <col customWidth="1" min="19" max="20" width="16.63"/>
    <col customWidth="1" min="21" max="32" width="16.13"/>
    <col customWidth="1" min="33" max="33" width="16.25"/>
  </cols>
  <sheetData>
    <row r="1">
      <c r="A1" s="4" t="s">
        <v>34</v>
      </c>
      <c r="B1" s="5">
        <v>45108.0</v>
      </c>
      <c r="C1" s="5">
        <v>45109.0</v>
      </c>
      <c r="D1" s="5">
        <v>45110.0</v>
      </c>
      <c r="E1" s="5">
        <v>45111.0</v>
      </c>
      <c r="F1" s="5">
        <v>45112.0</v>
      </c>
      <c r="G1" s="5">
        <v>45113.0</v>
      </c>
      <c r="H1" s="5">
        <v>45114.0</v>
      </c>
      <c r="I1" s="5">
        <v>45115.0</v>
      </c>
      <c r="J1" s="5">
        <v>45116.0</v>
      </c>
      <c r="K1" s="5">
        <v>45117.0</v>
      </c>
      <c r="L1" s="5">
        <v>45118.0</v>
      </c>
      <c r="M1" s="5">
        <v>45119.0</v>
      </c>
      <c r="N1" s="5">
        <v>45120.0</v>
      </c>
      <c r="O1" s="5">
        <v>45121.0</v>
      </c>
      <c r="P1" s="5">
        <v>45122.0</v>
      </c>
      <c r="Q1" s="5">
        <v>45123.0</v>
      </c>
      <c r="R1" s="5">
        <v>45124.0</v>
      </c>
      <c r="S1" s="5">
        <v>45125.0</v>
      </c>
      <c r="T1" s="5">
        <v>45126.0</v>
      </c>
      <c r="U1" s="5">
        <v>45127.0</v>
      </c>
      <c r="V1" s="5">
        <v>45128.0</v>
      </c>
      <c r="W1" s="5">
        <v>45129.0</v>
      </c>
      <c r="X1" s="5">
        <v>45130.0</v>
      </c>
      <c r="Y1" s="5">
        <v>45131.0</v>
      </c>
      <c r="Z1" s="5">
        <v>45132.0</v>
      </c>
      <c r="AA1" s="5">
        <v>45133.0</v>
      </c>
      <c r="AB1" s="5">
        <v>45134.0</v>
      </c>
      <c r="AC1" s="5">
        <v>45135.0</v>
      </c>
      <c r="AD1" s="5">
        <v>45136.0</v>
      </c>
      <c r="AE1" s="5">
        <v>45137.0</v>
      </c>
      <c r="AF1" s="5">
        <v>45138.0</v>
      </c>
      <c r="AG1" s="330"/>
    </row>
    <row r="2">
      <c r="A2" s="23" t="s">
        <v>81</v>
      </c>
      <c r="B2" s="25" t="s">
        <v>43</v>
      </c>
      <c r="C2" s="25" t="s">
        <v>44</v>
      </c>
      <c r="D2" s="25" t="s">
        <v>45</v>
      </c>
      <c r="E2" s="25" t="s">
        <v>46</v>
      </c>
      <c r="F2" s="25" t="s">
        <v>47</v>
      </c>
      <c r="G2" s="25" t="s">
        <v>48</v>
      </c>
      <c r="H2" s="25" t="s">
        <v>49</v>
      </c>
      <c r="I2" s="25" t="s">
        <v>43</v>
      </c>
      <c r="J2" s="25" t="s">
        <v>44</v>
      </c>
      <c r="K2" s="25" t="s">
        <v>45</v>
      </c>
      <c r="L2" s="25" t="s">
        <v>46</v>
      </c>
      <c r="M2" s="25" t="s">
        <v>47</v>
      </c>
      <c r="N2" s="25" t="s">
        <v>48</v>
      </c>
      <c r="O2" s="25" t="s">
        <v>49</v>
      </c>
      <c r="P2" s="25" t="s">
        <v>43</v>
      </c>
      <c r="Q2" s="25" t="s">
        <v>44</v>
      </c>
      <c r="R2" s="25" t="s">
        <v>45</v>
      </c>
      <c r="S2" s="25" t="s">
        <v>46</v>
      </c>
      <c r="T2" s="25" t="s">
        <v>47</v>
      </c>
      <c r="U2" s="25" t="s">
        <v>48</v>
      </c>
      <c r="V2" s="25" t="s">
        <v>49</v>
      </c>
      <c r="W2" s="25" t="s">
        <v>43</v>
      </c>
      <c r="X2" s="25" t="s">
        <v>44</v>
      </c>
      <c r="Y2" s="25" t="s">
        <v>45</v>
      </c>
      <c r="Z2" s="25" t="s">
        <v>46</v>
      </c>
      <c r="AA2" s="25" t="s">
        <v>47</v>
      </c>
      <c r="AB2" s="25" t="s">
        <v>48</v>
      </c>
      <c r="AC2" s="25" t="s">
        <v>49</v>
      </c>
      <c r="AD2" s="25" t="s">
        <v>43</v>
      </c>
      <c r="AE2" s="25" t="s">
        <v>44</v>
      </c>
      <c r="AF2" s="25" t="s">
        <v>45</v>
      </c>
      <c r="AG2" s="330"/>
    </row>
    <row r="3">
      <c r="A3" s="331" t="s">
        <v>93</v>
      </c>
      <c r="B3" s="327"/>
      <c r="C3" s="327"/>
      <c r="D3" s="327"/>
      <c r="E3" s="327"/>
      <c r="F3" s="327"/>
      <c r="G3" s="327"/>
      <c r="H3" s="327"/>
      <c r="I3" s="327"/>
      <c r="J3" s="327"/>
      <c r="K3" s="327"/>
      <c r="L3" s="327"/>
      <c r="M3" s="327"/>
      <c r="N3" s="327"/>
      <c r="O3" s="327"/>
      <c r="P3" s="327"/>
      <c r="Q3" s="327"/>
      <c r="R3" s="327"/>
      <c r="S3" s="327"/>
      <c r="T3" s="327"/>
      <c r="U3" s="327"/>
      <c r="V3" s="327"/>
      <c r="W3" s="327"/>
      <c r="X3" s="327"/>
      <c r="Y3" s="327"/>
      <c r="Z3" s="327"/>
      <c r="AA3" s="327"/>
      <c r="AB3" s="302"/>
      <c r="AC3" s="327"/>
      <c r="AD3" s="327"/>
      <c r="AE3" s="327"/>
      <c r="AF3" s="327"/>
      <c r="AG3" s="330"/>
    </row>
    <row r="4">
      <c r="A4" s="332" t="s">
        <v>402</v>
      </c>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30"/>
    </row>
    <row r="5">
      <c r="A5" s="42" t="s">
        <v>404</v>
      </c>
      <c r="B5" s="333">
        <v>29.0</v>
      </c>
      <c r="C5" s="334">
        <v>56.0</v>
      </c>
      <c r="D5" s="334">
        <v>31.0</v>
      </c>
      <c r="E5" s="334">
        <v>59.0</v>
      </c>
      <c r="F5" s="334">
        <v>47.0</v>
      </c>
      <c r="G5" s="334">
        <v>60.0</v>
      </c>
      <c r="H5" s="334">
        <v>64.0</v>
      </c>
      <c r="I5" s="334">
        <v>89.0</v>
      </c>
      <c r="J5" s="334">
        <v>75.0</v>
      </c>
      <c r="K5" s="334">
        <v>62.0</v>
      </c>
      <c r="L5" s="334">
        <v>51.0</v>
      </c>
      <c r="M5" s="334">
        <v>42.0</v>
      </c>
      <c r="N5" s="334">
        <v>53.0</v>
      </c>
      <c r="O5" s="334">
        <v>73.0</v>
      </c>
      <c r="P5" s="334">
        <v>68.0</v>
      </c>
      <c r="Q5" s="334">
        <v>67.0</v>
      </c>
      <c r="R5" s="334">
        <v>28.0</v>
      </c>
      <c r="S5" s="43">
        <v>48.0</v>
      </c>
      <c r="T5" s="334">
        <v>53.0</v>
      </c>
      <c r="U5" s="43">
        <v>64.0</v>
      </c>
      <c r="V5" s="43">
        <v>60.0</v>
      </c>
      <c r="W5" s="43">
        <v>65.0</v>
      </c>
      <c r="X5" s="43">
        <v>65.0</v>
      </c>
      <c r="Y5" s="43">
        <v>30.0</v>
      </c>
      <c r="Z5" s="43">
        <v>31.0</v>
      </c>
      <c r="AA5" s="43">
        <v>12.0</v>
      </c>
      <c r="AB5" s="43">
        <v>27.0</v>
      </c>
      <c r="AC5" s="43">
        <v>21.0</v>
      </c>
      <c r="AD5" s="43">
        <v>21.0</v>
      </c>
      <c r="AE5" s="43">
        <v>18.0</v>
      </c>
      <c r="AF5" s="43">
        <v>24.0</v>
      </c>
      <c r="AG5" s="336">
        <f t="shared" ref="AG5:AG57" si="1">SUM(B5:AF5)</f>
        <v>1493</v>
      </c>
    </row>
    <row r="6">
      <c r="A6" s="337" t="s">
        <v>109</v>
      </c>
      <c r="B6" s="333">
        <v>55.0</v>
      </c>
      <c r="C6" s="334">
        <v>62.0</v>
      </c>
      <c r="D6" s="334">
        <v>52.0</v>
      </c>
      <c r="E6" s="334">
        <v>62.0</v>
      </c>
      <c r="F6" s="334">
        <v>59.0</v>
      </c>
      <c r="G6" s="334">
        <v>59.0</v>
      </c>
      <c r="H6" s="334">
        <v>62.0</v>
      </c>
      <c r="I6" s="334">
        <v>79.0</v>
      </c>
      <c r="J6" s="334">
        <v>67.0</v>
      </c>
      <c r="K6" s="334">
        <v>80.0</v>
      </c>
      <c r="L6" s="334">
        <v>78.0</v>
      </c>
      <c r="M6" s="334">
        <v>77.0</v>
      </c>
      <c r="N6" s="334">
        <v>84.0</v>
      </c>
      <c r="O6" s="334">
        <v>63.0</v>
      </c>
      <c r="P6" s="334">
        <v>69.0</v>
      </c>
      <c r="Q6" s="334">
        <v>65.0</v>
      </c>
      <c r="R6" s="334">
        <v>42.0</v>
      </c>
      <c r="S6" s="43">
        <v>63.0</v>
      </c>
      <c r="T6" s="334">
        <v>66.0</v>
      </c>
      <c r="U6" s="43">
        <v>66.0</v>
      </c>
      <c r="V6" s="43">
        <v>58.0</v>
      </c>
      <c r="W6" s="43">
        <v>57.0</v>
      </c>
      <c r="X6" s="43">
        <v>65.0</v>
      </c>
      <c r="Y6" s="43">
        <v>45.0</v>
      </c>
      <c r="Z6" s="43">
        <v>40.0</v>
      </c>
      <c r="AA6" s="43">
        <v>49.0</v>
      </c>
      <c r="AB6" s="43">
        <v>46.0</v>
      </c>
      <c r="AC6" s="43">
        <v>53.0</v>
      </c>
      <c r="AD6" s="43">
        <v>39.0</v>
      </c>
      <c r="AE6" s="43">
        <v>51.0</v>
      </c>
      <c r="AF6" s="43">
        <v>36.0</v>
      </c>
      <c r="AG6" s="336">
        <f t="shared" si="1"/>
        <v>1849</v>
      </c>
    </row>
    <row r="7">
      <c r="A7" s="42" t="s">
        <v>116</v>
      </c>
      <c r="B7" s="334">
        <v>0.0</v>
      </c>
      <c r="C7" s="334">
        <v>0.0</v>
      </c>
      <c r="D7" s="334">
        <v>0.0</v>
      </c>
      <c r="E7" s="334">
        <v>0.0</v>
      </c>
      <c r="F7" s="334">
        <v>0.0</v>
      </c>
      <c r="G7" s="334">
        <v>0.0</v>
      </c>
      <c r="H7" s="334">
        <v>0.0</v>
      </c>
      <c r="I7" s="334">
        <v>0.0</v>
      </c>
      <c r="J7" s="334">
        <v>0.0</v>
      </c>
      <c r="K7" s="334">
        <v>0.0</v>
      </c>
      <c r="L7" s="334">
        <v>0.0</v>
      </c>
      <c r="M7" s="334">
        <v>0.0</v>
      </c>
      <c r="N7" s="334">
        <v>0.0</v>
      </c>
      <c r="O7" s="334">
        <v>0.0</v>
      </c>
      <c r="P7" s="334">
        <v>0.0</v>
      </c>
      <c r="Q7" s="334">
        <v>0.0</v>
      </c>
      <c r="R7" s="334">
        <v>0.0</v>
      </c>
      <c r="S7" s="334">
        <v>0.0</v>
      </c>
      <c r="T7" s="334">
        <v>0.0</v>
      </c>
      <c r="U7" s="334">
        <v>0.0</v>
      </c>
      <c r="V7" s="334">
        <v>0.0</v>
      </c>
      <c r="W7" s="334">
        <v>0.0</v>
      </c>
      <c r="X7" s="334">
        <v>0.0</v>
      </c>
      <c r="Y7" s="334">
        <v>0.0</v>
      </c>
      <c r="Z7" s="334">
        <v>0.0</v>
      </c>
      <c r="AA7" s="334">
        <v>0.0</v>
      </c>
      <c r="AB7" s="334">
        <v>0.0</v>
      </c>
      <c r="AC7" s="334">
        <v>0.0</v>
      </c>
      <c r="AD7" s="334">
        <v>0.0</v>
      </c>
      <c r="AE7" s="334">
        <v>0.0</v>
      </c>
      <c r="AF7" s="334">
        <v>0.0</v>
      </c>
      <c r="AG7" s="336">
        <f t="shared" si="1"/>
        <v>0</v>
      </c>
    </row>
    <row r="8">
      <c r="A8" s="337" t="s">
        <v>120</v>
      </c>
      <c r="B8" s="333">
        <v>2.0</v>
      </c>
      <c r="C8" s="334">
        <v>2.0</v>
      </c>
      <c r="D8" s="334">
        <v>1.0</v>
      </c>
      <c r="E8" s="334">
        <v>4.0</v>
      </c>
      <c r="F8" s="334">
        <v>3.0</v>
      </c>
      <c r="G8" s="334">
        <v>2.0</v>
      </c>
      <c r="H8" s="334">
        <v>1.0</v>
      </c>
      <c r="I8" s="334">
        <v>2.0</v>
      </c>
      <c r="J8" s="334">
        <v>6.0</v>
      </c>
      <c r="K8" s="334">
        <v>5.0</v>
      </c>
      <c r="L8" s="334">
        <v>4.0</v>
      </c>
      <c r="M8" s="334">
        <v>3.0</v>
      </c>
      <c r="N8" s="334">
        <v>1.0</v>
      </c>
      <c r="O8" s="334">
        <v>3.0</v>
      </c>
      <c r="P8" s="334">
        <v>1.0</v>
      </c>
      <c r="Q8" s="334">
        <v>3.0</v>
      </c>
      <c r="R8" s="334">
        <v>1.0</v>
      </c>
      <c r="S8" s="43">
        <v>1.0</v>
      </c>
      <c r="T8" s="334">
        <v>0.0</v>
      </c>
      <c r="U8" s="43">
        <v>4.0</v>
      </c>
      <c r="V8" s="43">
        <v>6.0</v>
      </c>
      <c r="W8" s="43">
        <v>7.0</v>
      </c>
      <c r="X8" s="43">
        <v>4.0</v>
      </c>
      <c r="Y8" s="43">
        <v>1.0</v>
      </c>
      <c r="Z8" s="43">
        <v>1.0</v>
      </c>
      <c r="AA8" s="43">
        <v>1.0</v>
      </c>
      <c r="AB8" s="43">
        <v>1.0</v>
      </c>
      <c r="AC8" s="43">
        <v>1.0</v>
      </c>
      <c r="AD8" s="43">
        <v>0.0</v>
      </c>
      <c r="AE8" s="43">
        <v>1.0</v>
      </c>
      <c r="AF8" s="43">
        <v>1.0</v>
      </c>
      <c r="AG8" s="336">
        <f t="shared" si="1"/>
        <v>73</v>
      </c>
    </row>
    <row r="9">
      <c r="A9" s="337" t="s">
        <v>410</v>
      </c>
      <c r="B9" s="338"/>
      <c r="C9" s="338"/>
      <c r="D9" s="338"/>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6">
        <f t="shared" si="1"/>
        <v>0</v>
      </c>
    </row>
    <row r="10">
      <c r="A10" s="337" t="s">
        <v>134</v>
      </c>
      <c r="B10" s="334">
        <v>0.0</v>
      </c>
      <c r="C10" s="334">
        <v>0.0</v>
      </c>
      <c r="D10" s="334">
        <v>0.0</v>
      </c>
      <c r="E10" s="334">
        <v>0.0</v>
      </c>
      <c r="F10" s="334">
        <v>0.0</v>
      </c>
      <c r="G10" s="334">
        <v>0.0</v>
      </c>
      <c r="H10" s="334">
        <v>0.0</v>
      </c>
      <c r="I10" s="334">
        <v>0.0</v>
      </c>
      <c r="J10" s="334">
        <v>0.0</v>
      </c>
      <c r="K10" s="334">
        <v>0.0</v>
      </c>
      <c r="L10" s="334">
        <v>0.0</v>
      </c>
      <c r="M10" s="334">
        <v>0.0</v>
      </c>
      <c r="N10" s="334">
        <v>0.0</v>
      </c>
      <c r="O10" s="334">
        <v>0.0</v>
      </c>
      <c r="P10" s="334">
        <v>0.0</v>
      </c>
      <c r="Q10" s="334">
        <v>0.0</v>
      </c>
      <c r="R10" s="334">
        <v>0.0</v>
      </c>
      <c r="S10" s="339">
        <v>4.0</v>
      </c>
      <c r="T10" s="339">
        <v>3.0</v>
      </c>
      <c r="U10" s="339">
        <v>3.0</v>
      </c>
      <c r="V10" s="339">
        <v>4.0</v>
      </c>
      <c r="W10" s="339">
        <v>2.0</v>
      </c>
      <c r="X10" s="339">
        <v>3.0</v>
      </c>
      <c r="Y10" s="339">
        <v>5.0</v>
      </c>
      <c r="Z10" s="339">
        <v>3.0</v>
      </c>
      <c r="AA10" s="339">
        <v>2.0</v>
      </c>
      <c r="AB10" s="339">
        <v>3.0</v>
      </c>
      <c r="AC10" s="339">
        <v>1.0</v>
      </c>
      <c r="AD10" s="339">
        <v>0.0</v>
      </c>
      <c r="AE10" s="339">
        <v>4.0</v>
      </c>
      <c r="AF10" s="339">
        <v>0.0</v>
      </c>
      <c r="AG10" s="336">
        <f t="shared" si="1"/>
        <v>37</v>
      </c>
    </row>
    <row r="11">
      <c r="A11" s="42" t="s">
        <v>413</v>
      </c>
      <c r="B11" s="340"/>
      <c r="C11" s="340"/>
      <c r="D11" s="340"/>
      <c r="E11" s="341"/>
      <c r="F11" s="341"/>
      <c r="G11" s="341"/>
      <c r="H11" s="341"/>
      <c r="I11" s="341"/>
      <c r="J11" s="341"/>
      <c r="K11" s="341"/>
      <c r="L11" s="341"/>
      <c r="M11" s="341"/>
      <c r="N11" s="341"/>
      <c r="O11" s="341"/>
      <c r="P11" s="341"/>
      <c r="Q11" s="341"/>
      <c r="R11" s="341"/>
      <c r="S11" s="341"/>
      <c r="T11" s="341"/>
      <c r="U11" s="341"/>
      <c r="V11" s="341"/>
      <c r="W11" s="341"/>
      <c r="X11" s="341"/>
      <c r="Y11" s="341"/>
      <c r="Z11" s="341"/>
      <c r="AA11" s="341"/>
      <c r="AB11" s="341"/>
      <c r="AC11" s="341"/>
      <c r="AD11" s="341"/>
      <c r="AE11" s="341"/>
      <c r="AF11" s="341"/>
      <c r="AG11" s="342">
        <f t="shared" si="1"/>
        <v>0</v>
      </c>
    </row>
    <row r="12">
      <c r="A12" s="42" t="s">
        <v>415</v>
      </c>
      <c r="B12" s="340"/>
      <c r="C12" s="340"/>
      <c r="D12" s="340"/>
      <c r="E12" s="341"/>
      <c r="F12" s="341"/>
      <c r="G12" s="341"/>
      <c r="H12" s="341"/>
      <c r="I12" s="341"/>
      <c r="J12" s="341"/>
      <c r="K12" s="341"/>
      <c r="L12" s="341"/>
      <c r="M12" s="341"/>
      <c r="N12" s="341"/>
      <c r="O12" s="341"/>
      <c r="P12" s="341"/>
      <c r="Q12" s="341"/>
      <c r="R12" s="341"/>
      <c r="S12" s="341"/>
      <c r="T12" s="341"/>
      <c r="U12" s="341"/>
      <c r="V12" s="341"/>
      <c r="W12" s="341"/>
      <c r="X12" s="341"/>
      <c r="Y12" s="341"/>
      <c r="Z12" s="341"/>
      <c r="AA12" s="340"/>
      <c r="AB12" s="341"/>
      <c r="AC12" s="341"/>
      <c r="AD12" s="341"/>
      <c r="AE12" s="341"/>
      <c r="AF12" s="341"/>
      <c r="AG12" s="342">
        <f t="shared" si="1"/>
        <v>0</v>
      </c>
    </row>
    <row r="13">
      <c r="A13" s="343" t="s">
        <v>141</v>
      </c>
      <c r="B13" s="344">
        <v>4.0</v>
      </c>
      <c r="C13" s="344">
        <v>6.0</v>
      </c>
      <c r="D13" s="344">
        <v>3.0</v>
      </c>
      <c r="E13" s="344">
        <v>2.0</v>
      </c>
      <c r="F13" s="344">
        <v>1.0</v>
      </c>
      <c r="G13" s="344">
        <v>1.0</v>
      </c>
      <c r="H13" s="344">
        <v>0.0</v>
      </c>
      <c r="I13" s="344">
        <v>1.0</v>
      </c>
      <c r="J13" s="344">
        <v>2.0</v>
      </c>
      <c r="K13" s="344">
        <v>3.0</v>
      </c>
      <c r="L13" s="344">
        <v>1.0</v>
      </c>
      <c r="M13" s="344">
        <v>2.0</v>
      </c>
      <c r="N13" s="344">
        <v>94.0</v>
      </c>
      <c r="O13" s="344">
        <v>76.0</v>
      </c>
      <c r="P13" s="344">
        <v>25.0</v>
      </c>
      <c r="Q13" s="344">
        <v>17.0</v>
      </c>
      <c r="R13" s="344">
        <v>29.0</v>
      </c>
      <c r="S13" s="344">
        <v>38.0</v>
      </c>
      <c r="T13" s="344">
        <v>2.0</v>
      </c>
      <c r="U13" s="344">
        <v>4.0</v>
      </c>
      <c r="V13" s="344">
        <v>3.0</v>
      </c>
      <c r="W13" s="345">
        <v>2.0</v>
      </c>
      <c r="X13" s="344">
        <v>6.0</v>
      </c>
      <c r="Y13" s="344">
        <v>2.0</v>
      </c>
      <c r="Z13" s="344">
        <v>1.0</v>
      </c>
      <c r="AA13" s="344">
        <v>0.0</v>
      </c>
      <c r="AB13" s="344">
        <v>4.0</v>
      </c>
      <c r="AC13" s="344"/>
      <c r="AD13" s="344">
        <v>1.0</v>
      </c>
      <c r="AE13" s="344">
        <v>4.0</v>
      </c>
      <c r="AF13" s="344">
        <v>4.0</v>
      </c>
      <c r="AG13" s="336">
        <f t="shared" si="1"/>
        <v>338</v>
      </c>
    </row>
    <row r="14">
      <c r="A14" s="346" t="s">
        <v>151</v>
      </c>
      <c r="B14" s="87">
        <f t="shared" ref="B14:AF14" si="2">SUM(B5:B13)</f>
        <v>90</v>
      </c>
      <c r="C14" s="87">
        <f t="shared" si="2"/>
        <v>126</v>
      </c>
      <c r="D14" s="87">
        <f t="shared" si="2"/>
        <v>87</v>
      </c>
      <c r="E14" s="87">
        <f t="shared" si="2"/>
        <v>127</v>
      </c>
      <c r="F14" s="87">
        <f t="shared" si="2"/>
        <v>110</v>
      </c>
      <c r="G14" s="87">
        <f t="shared" si="2"/>
        <v>122</v>
      </c>
      <c r="H14" s="87">
        <f t="shared" si="2"/>
        <v>127</v>
      </c>
      <c r="I14" s="87">
        <f t="shared" si="2"/>
        <v>171</v>
      </c>
      <c r="J14" s="87">
        <f t="shared" si="2"/>
        <v>150</v>
      </c>
      <c r="K14" s="87">
        <f t="shared" si="2"/>
        <v>150</v>
      </c>
      <c r="L14" s="87">
        <f t="shared" si="2"/>
        <v>134</v>
      </c>
      <c r="M14" s="87">
        <f t="shared" si="2"/>
        <v>124</v>
      </c>
      <c r="N14" s="87">
        <f t="shared" si="2"/>
        <v>232</v>
      </c>
      <c r="O14" s="87">
        <f t="shared" si="2"/>
        <v>215</v>
      </c>
      <c r="P14" s="87">
        <f t="shared" si="2"/>
        <v>163</v>
      </c>
      <c r="Q14" s="87">
        <f t="shared" si="2"/>
        <v>152</v>
      </c>
      <c r="R14" s="87">
        <f t="shared" si="2"/>
        <v>100</v>
      </c>
      <c r="S14" s="87">
        <f t="shared" si="2"/>
        <v>154</v>
      </c>
      <c r="T14" s="87">
        <f t="shared" si="2"/>
        <v>124</v>
      </c>
      <c r="U14" s="87">
        <f t="shared" si="2"/>
        <v>141</v>
      </c>
      <c r="V14" s="87">
        <f t="shared" si="2"/>
        <v>131</v>
      </c>
      <c r="W14" s="87">
        <f t="shared" si="2"/>
        <v>133</v>
      </c>
      <c r="X14" s="87">
        <f t="shared" si="2"/>
        <v>143</v>
      </c>
      <c r="Y14" s="87">
        <f t="shared" si="2"/>
        <v>83</v>
      </c>
      <c r="Z14" s="87">
        <f t="shared" si="2"/>
        <v>76</v>
      </c>
      <c r="AA14" s="87">
        <f t="shared" si="2"/>
        <v>64</v>
      </c>
      <c r="AB14" s="87">
        <f t="shared" si="2"/>
        <v>81</v>
      </c>
      <c r="AC14" s="87">
        <f t="shared" si="2"/>
        <v>76</v>
      </c>
      <c r="AD14" s="87">
        <f t="shared" si="2"/>
        <v>61</v>
      </c>
      <c r="AE14" s="87">
        <f t="shared" si="2"/>
        <v>78</v>
      </c>
      <c r="AF14" s="87">
        <f t="shared" si="2"/>
        <v>65</v>
      </c>
      <c r="AG14" s="342">
        <f t="shared" si="1"/>
        <v>3790</v>
      </c>
    </row>
    <row r="15">
      <c r="A15" s="42"/>
      <c r="B15" s="327"/>
      <c r="C15" s="327"/>
      <c r="D15" s="327"/>
      <c r="E15" s="327"/>
      <c r="F15" s="327"/>
      <c r="G15" s="327"/>
      <c r="H15" s="327"/>
      <c r="I15" s="327"/>
      <c r="J15" s="327"/>
      <c r="K15" s="327"/>
      <c r="L15" s="327"/>
      <c r="M15" s="327"/>
      <c r="N15" s="327"/>
      <c r="O15" s="327"/>
      <c r="P15" s="327"/>
      <c r="Q15" s="327"/>
      <c r="R15" s="327"/>
      <c r="S15" s="327"/>
      <c r="T15" s="327"/>
      <c r="U15" s="327"/>
      <c r="V15" s="327"/>
      <c r="W15" s="327"/>
      <c r="X15" s="327"/>
      <c r="Y15" s="327"/>
      <c r="Z15" s="327"/>
      <c r="AA15" s="327"/>
      <c r="AB15" s="327"/>
      <c r="AC15" s="327"/>
      <c r="AD15" s="327"/>
      <c r="AE15" s="327"/>
      <c r="AF15" s="327"/>
      <c r="AG15" s="336">
        <f t="shared" si="1"/>
        <v>0</v>
      </c>
    </row>
    <row r="16">
      <c r="A16" s="347" t="s">
        <v>167</v>
      </c>
      <c r="B16" s="327"/>
      <c r="C16" s="327"/>
      <c r="D16" s="327"/>
      <c r="E16" s="327"/>
      <c r="F16" s="327"/>
      <c r="G16" s="327"/>
      <c r="H16" s="327"/>
      <c r="I16" s="327"/>
      <c r="J16" s="327"/>
      <c r="K16" s="327"/>
      <c r="L16" s="327"/>
      <c r="M16" s="327"/>
      <c r="N16" s="327"/>
      <c r="O16" s="327"/>
      <c r="P16" s="327"/>
      <c r="Q16" s="327"/>
      <c r="R16" s="327"/>
      <c r="S16" s="327"/>
      <c r="T16" s="327"/>
      <c r="U16" s="327"/>
      <c r="V16" s="327"/>
      <c r="W16" s="327"/>
      <c r="X16" s="327"/>
      <c r="Y16" s="327"/>
      <c r="Z16" s="327"/>
      <c r="AA16" s="327"/>
      <c r="AB16" s="327"/>
      <c r="AC16" s="327"/>
      <c r="AD16" s="327"/>
      <c r="AE16" s="327"/>
      <c r="AF16" s="327"/>
      <c r="AG16" s="336">
        <f t="shared" si="1"/>
        <v>0</v>
      </c>
    </row>
    <row r="17">
      <c r="A17" s="42" t="s">
        <v>404</v>
      </c>
      <c r="B17" s="348">
        <v>8613.9</v>
      </c>
      <c r="C17" s="349">
        <v>15724.4</v>
      </c>
      <c r="D17" s="349">
        <v>8025.24</v>
      </c>
      <c r="E17" s="349">
        <v>16088.3</v>
      </c>
      <c r="F17" s="349">
        <v>12903.82</v>
      </c>
      <c r="G17" s="349">
        <v>14883.81</v>
      </c>
      <c r="H17" s="349">
        <v>16270.4</v>
      </c>
      <c r="I17" s="349">
        <v>25945.45</v>
      </c>
      <c r="J17" s="349">
        <v>19825.93</v>
      </c>
      <c r="K17" s="349">
        <v>17028.9</v>
      </c>
      <c r="L17" s="349">
        <v>13397.83</v>
      </c>
      <c r="M17" s="349">
        <v>10977.79</v>
      </c>
      <c r="N17" s="349">
        <v>14178.65</v>
      </c>
      <c r="O17" s="349">
        <v>19579.31</v>
      </c>
      <c r="P17" s="349">
        <v>17923.96</v>
      </c>
      <c r="Q17" s="349">
        <v>17121.73</v>
      </c>
      <c r="R17" s="349">
        <v>7919.38</v>
      </c>
      <c r="S17" s="138">
        <v>14118.96</v>
      </c>
      <c r="T17" s="349">
        <v>12662.5</v>
      </c>
      <c r="U17" s="138">
        <v>18657.19</v>
      </c>
      <c r="V17" s="138">
        <v>15148.98</v>
      </c>
      <c r="W17" s="138">
        <v>18426.12</v>
      </c>
      <c r="X17" s="138">
        <v>16067.5</v>
      </c>
      <c r="Y17" s="138">
        <v>7934.14</v>
      </c>
      <c r="Z17" s="138">
        <v>9221.02</v>
      </c>
      <c r="AA17" s="138">
        <v>4261.21</v>
      </c>
      <c r="AB17" s="349">
        <v>7567.93</v>
      </c>
      <c r="AC17" s="349">
        <v>5416.74</v>
      </c>
      <c r="AD17" s="349">
        <v>5924.43</v>
      </c>
      <c r="AE17" s="349">
        <v>4314.2</v>
      </c>
      <c r="AF17" s="349">
        <v>7496.05</v>
      </c>
      <c r="AG17" s="350">
        <f t="shared" si="1"/>
        <v>403625.77</v>
      </c>
    </row>
    <row r="18">
      <c r="A18" s="337" t="s">
        <v>109</v>
      </c>
      <c r="B18" s="348">
        <v>12359.29</v>
      </c>
      <c r="C18" s="349">
        <v>15714.44</v>
      </c>
      <c r="D18" s="349">
        <v>12992.16</v>
      </c>
      <c r="E18" s="349">
        <v>14130.15</v>
      </c>
      <c r="F18" s="349">
        <v>12779.82</v>
      </c>
      <c r="G18" s="349">
        <v>13797.36</v>
      </c>
      <c r="H18" s="349">
        <v>13621.06</v>
      </c>
      <c r="I18" s="349">
        <v>16193.95</v>
      </c>
      <c r="J18" s="349">
        <v>15558.05</v>
      </c>
      <c r="K18" s="349">
        <v>17274.51</v>
      </c>
      <c r="L18" s="349">
        <v>18071.04</v>
      </c>
      <c r="M18" s="349">
        <v>18496.68</v>
      </c>
      <c r="N18" s="349">
        <v>19977.39</v>
      </c>
      <c r="O18" s="349">
        <v>14636.37</v>
      </c>
      <c r="P18" s="349">
        <v>14578.95</v>
      </c>
      <c r="Q18" s="349">
        <v>14867.89</v>
      </c>
      <c r="R18" s="349">
        <v>9667.93</v>
      </c>
      <c r="S18" s="138">
        <v>14155.55</v>
      </c>
      <c r="T18" s="349">
        <v>17455.8</v>
      </c>
      <c r="U18" s="138">
        <v>14739.52</v>
      </c>
      <c r="V18" s="138">
        <v>13885.52</v>
      </c>
      <c r="W18" s="138">
        <v>12885.06</v>
      </c>
      <c r="X18" s="138">
        <v>15358.08</v>
      </c>
      <c r="Y18" s="138">
        <v>11022.06</v>
      </c>
      <c r="Z18" s="138">
        <v>11322.51</v>
      </c>
      <c r="AA18" s="138">
        <v>12117.25</v>
      </c>
      <c r="AB18" s="138">
        <v>12457.81</v>
      </c>
      <c r="AC18" s="138">
        <v>13306.27</v>
      </c>
      <c r="AD18" s="138">
        <v>8931.61</v>
      </c>
      <c r="AE18" s="138">
        <v>13855.82</v>
      </c>
      <c r="AF18" s="138">
        <v>9278.69</v>
      </c>
      <c r="AG18" s="350">
        <f t="shared" si="1"/>
        <v>435488.59</v>
      </c>
    </row>
    <row r="19">
      <c r="A19" s="42" t="s">
        <v>116</v>
      </c>
      <c r="B19" s="349"/>
      <c r="C19" s="349"/>
      <c r="D19" s="349"/>
      <c r="E19" s="349"/>
      <c r="F19" s="349"/>
      <c r="G19" s="349"/>
      <c r="H19" s="349"/>
      <c r="I19" s="349"/>
      <c r="J19" s="349"/>
      <c r="K19" s="349"/>
      <c r="L19" s="349"/>
      <c r="M19" s="349">
        <v>0.0</v>
      </c>
      <c r="N19" s="349">
        <v>0.0</v>
      </c>
      <c r="O19" s="349">
        <v>0.0</v>
      </c>
      <c r="P19" s="349">
        <v>0.0</v>
      </c>
      <c r="Q19" s="349">
        <v>0.0</v>
      </c>
      <c r="R19" s="349">
        <v>0.0</v>
      </c>
      <c r="S19" s="349">
        <v>0.0</v>
      </c>
      <c r="T19" s="349">
        <v>0.0</v>
      </c>
      <c r="U19" s="349">
        <v>0.0</v>
      </c>
      <c r="V19" s="349">
        <v>0.0</v>
      </c>
      <c r="W19" s="349">
        <v>0.0</v>
      </c>
      <c r="X19" s="349">
        <v>0.0</v>
      </c>
      <c r="Y19" s="349">
        <v>0.0</v>
      </c>
      <c r="Z19" s="349">
        <v>0.0</v>
      </c>
      <c r="AA19" s="349">
        <v>0.0</v>
      </c>
      <c r="AB19" s="349">
        <v>0.0</v>
      </c>
      <c r="AC19" s="349">
        <v>0.0</v>
      </c>
      <c r="AD19" s="349">
        <v>0.0</v>
      </c>
      <c r="AE19" s="349">
        <v>0.0</v>
      </c>
      <c r="AF19" s="349">
        <v>0.0</v>
      </c>
      <c r="AG19" s="350">
        <f t="shared" si="1"/>
        <v>0</v>
      </c>
    </row>
    <row r="20">
      <c r="A20" s="302" t="s">
        <v>120</v>
      </c>
      <c r="B20" s="348">
        <v>381.38</v>
      </c>
      <c r="C20" s="349">
        <v>380.76</v>
      </c>
      <c r="D20" s="349">
        <v>86.4</v>
      </c>
      <c r="E20" s="349">
        <v>774.99</v>
      </c>
      <c r="F20" s="349">
        <v>441.39</v>
      </c>
      <c r="G20" s="349">
        <v>632.04</v>
      </c>
      <c r="H20" s="349">
        <v>249.31</v>
      </c>
      <c r="I20" s="349">
        <v>304.66</v>
      </c>
      <c r="J20" s="349">
        <v>2048.44</v>
      </c>
      <c r="K20" s="349">
        <v>1113.52</v>
      </c>
      <c r="L20" s="349">
        <v>713.3</v>
      </c>
      <c r="M20" s="349">
        <v>771.48</v>
      </c>
      <c r="N20" s="349">
        <v>292.98</v>
      </c>
      <c r="O20" s="349">
        <v>551.04</v>
      </c>
      <c r="P20" s="349">
        <v>292.66</v>
      </c>
      <c r="Q20" s="349">
        <v>845.41</v>
      </c>
      <c r="R20" s="349">
        <v>25.44</v>
      </c>
      <c r="S20" s="140">
        <v>85.41</v>
      </c>
      <c r="T20" s="349">
        <v>0.0</v>
      </c>
      <c r="U20" s="349">
        <v>638.28</v>
      </c>
      <c r="V20" s="138">
        <v>1353.82</v>
      </c>
      <c r="W20" s="138">
        <v>1682.28</v>
      </c>
      <c r="X20" s="138">
        <v>430.18</v>
      </c>
      <c r="Y20" s="138">
        <v>299.38</v>
      </c>
      <c r="Z20" s="138">
        <v>342.0</v>
      </c>
      <c r="AA20" s="349">
        <v>68.21</v>
      </c>
      <c r="AB20" s="138">
        <v>297.14</v>
      </c>
      <c r="AC20" s="138">
        <v>602.4</v>
      </c>
      <c r="AD20" s="138">
        <v>0.0</v>
      </c>
      <c r="AE20" s="138">
        <v>295.14</v>
      </c>
      <c r="AF20" s="138">
        <v>297.48</v>
      </c>
      <c r="AG20" s="350">
        <f t="shared" si="1"/>
        <v>16296.92</v>
      </c>
    </row>
    <row r="21" ht="17.25" customHeight="1">
      <c r="A21" s="302" t="s">
        <v>410</v>
      </c>
      <c r="B21" s="351"/>
      <c r="C21" s="352"/>
      <c r="D21" s="353"/>
      <c r="E21" s="352"/>
      <c r="F21" s="352"/>
      <c r="G21" s="353"/>
      <c r="H21" s="353"/>
      <c r="I21" s="353"/>
      <c r="J21" s="353"/>
      <c r="K21" s="353"/>
      <c r="L21" s="353"/>
      <c r="M21" s="352"/>
      <c r="N21" s="352"/>
      <c r="O21" s="352"/>
      <c r="P21" s="352"/>
      <c r="Q21" s="352"/>
      <c r="R21" s="352"/>
      <c r="S21" s="352"/>
      <c r="T21" s="352"/>
      <c r="U21" s="352"/>
      <c r="V21" s="352"/>
      <c r="W21" s="352"/>
      <c r="X21" s="352"/>
      <c r="Y21" s="352"/>
      <c r="Z21" s="352"/>
      <c r="AA21" s="352"/>
      <c r="AB21" s="352"/>
      <c r="AC21" s="352"/>
      <c r="AD21" s="352"/>
      <c r="AE21" s="352"/>
      <c r="AF21" s="352"/>
      <c r="AG21" s="350">
        <f t="shared" si="1"/>
        <v>0</v>
      </c>
    </row>
    <row r="22">
      <c r="A22" s="337" t="s">
        <v>134</v>
      </c>
      <c r="B22" s="140">
        <v>0.0</v>
      </c>
      <c r="C22" s="140">
        <v>0.0</v>
      </c>
      <c r="D22" s="140">
        <v>0.0</v>
      </c>
      <c r="E22" s="140">
        <v>0.0</v>
      </c>
      <c r="F22" s="140">
        <v>0.0</v>
      </c>
      <c r="G22" s="140">
        <v>0.0</v>
      </c>
      <c r="H22" s="140">
        <v>0.0</v>
      </c>
      <c r="I22" s="140">
        <v>0.0</v>
      </c>
      <c r="J22" s="140">
        <v>0.0</v>
      </c>
      <c r="K22" s="140">
        <v>0.0</v>
      </c>
      <c r="L22" s="140">
        <v>0.0</v>
      </c>
      <c r="M22" s="140">
        <v>0.0</v>
      </c>
      <c r="N22" s="140">
        <v>0.0</v>
      </c>
      <c r="O22" s="140">
        <v>0.0</v>
      </c>
      <c r="P22" s="140">
        <v>0.0</v>
      </c>
      <c r="Q22" s="349">
        <v>0.0</v>
      </c>
      <c r="R22" s="140">
        <v>0.0</v>
      </c>
      <c r="S22" s="349">
        <v>780.81</v>
      </c>
      <c r="T22" s="140">
        <v>541.79</v>
      </c>
      <c r="U22" s="140">
        <v>925.45</v>
      </c>
      <c r="V22" s="140">
        <v>1184.57</v>
      </c>
      <c r="W22" s="140">
        <v>531.95</v>
      </c>
      <c r="X22" s="140">
        <v>938.33</v>
      </c>
      <c r="Y22" s="140">
        <v>1148.46</v>
      </c>
      <c r="Z22" s="140">
        <v>785.1</v>
      </c>
      <c r="AA22" s="140">
        <v>543.06</v>
      </c>
      <c r="AB22" s="140">
        <v>908.25</v>
      </c>
      <c r="AC22" s="140">
        <v>245.27</v>
      </c>
      <c r="AD22" s="140">
        <v>0.0</v>
      </c>
      <c r="AE22" s="140">
        <v>682.12</v>
      </c>
      <c r="AF22" s="140">
        <v>0.0</v>
      </c>
      <c r="AG22" s="350">
        <f t="shared" si="1"/>
        <v>9215.16</v>
      </c>
    </row>
    <row r="23">
      <c r="A23" s="42" t="s">
        <v>413</v>
      </c>
      <c r="B23" s="352"/>
      <c r="C23" s="352"/>
      <c r="D23" s="352"/>
      <c r="E23" s="354"/>
      <c r="F23" s="354"/>
      <c r="G23" s="354"/>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c r="AF23" s="354"/>
      <c r="AG23" s="350">
        <f t="shared" si="1"/>
        <v>0</v>
      </c>
    </row>
    <row r="24">
      <c r="A24" s="42" t="s">
        <v>415</v>
      </c>
      <c r="B24" s="352"/>
      <c r="C24" s="352"/>
      <c r="D24" s="352"/>
      <c r="E24" s="354"/>
      <c r="F24" s="354"/>
      <c r="G24" s="354"/>
      <c r="H24" s="354"/>
      <c r="I24" s="354"/>
      <c r="J24" s="352"/>
      <c r="K24" s="354"/>
      <c r="L24" s="354"/>
      <c r="M24" s="354"/>
      <c r="N24" s="354"/>
      <c r="O24" s="354"/>
      <c r="P24" s="354"/>
      <c r="Q24" s="354"/>
      <c r="R24" s="354"/>
      <c r="S24" s="354"/>
      <c r="T24" s="354"/>
      <c r="U24" s="354"/>
      <c r="V24" s="354"/>
      <c r="W24" s="354"/>
      <c r="X24" s="354"/>
      <c r="Y24" s="354"/>
      <c r="Z24" s="354"/>
      <c r="AA24" s="354"/>
      <c r="AB24" s="354"/>
      <c r="AC24" s="354"/>
      <c r="AD24" s="354"/>
      <c r="AE24" s="354"/>
      <c r="AF24" s="354"/>
      <c r="AG24" s="350">
        <f t="shared" si="1"/>
        <v>0</v>
      </c>
    </row>
    <row r="25">
      <c r="A25" s="343" t="s">
        <v>141</v>
      </c>
      <c r="B25" s="355">
        <v>815.46</v>
      </c>
      <c r="C25" s="355">
        <v>1741.69</v>
      </c>
      <c r="D25" s="355">
        <v>759.15</v>
      </c>
      <c r="E25" s="355">
        <v>509.74</v>
      </c>
      <c r="F25" s="355">
        <v>204.7</v>
      </c>
      <c r="G25" s="355">
        <v>266.63</v>
      </c>
      <c r="H25" s="355">
        <v>0.0</v>
      </c>
      <c r="I25" s="355">
        <v>30.74</v>
      </c>
      <c r="J25" s="355">
        <v>425.14</v>
      </c>
      <c r="K25" s="355">
        <v>543.68</v>
      </c>
      <c r="L25" s="355">
        <v>63.0</v>
      </c>
      <c r="M25" s="355">
        <v>348.11</v>
      </c>
      <c r="N25" s="355">
        <v>21081.09</v>
      </c>
      <c r="O25" s="148">
        <v>19052.55</v>
      </c>
      <c r="P25" s="356">
        <v>6531.28</v>
      </c>
      <c r="Q25" s="356">
        <v>3775.83</v>
      </c>
      <c r="R25" s="355">
        <v>6537.36</v>
      </c>
      <c r="S25" s="356">
        <v>7669.01</v>
      </c>
      <c r="T25" s="356">
        <v>238.68</v>
      </c>
      <c r="U25" s="356">
        <v>825.72</v>
      </c>
      <c r="V25" s="356">
        <v>465.42</v>
      </c>
      <c r="W25" s="357">
        <v>309.71</v>
      </c>
      <c r="X25" s="356">
        <v>1222.39</v>
      </c>
      <c r="Y25" s="356">
        <v>351.79</v>
      </c>
      <c r="Z25" s="356">
        <v>24.84</v>
      </c>
      <c r="AA25" s="356">
        <v>0.0</v>
      </c>
      <c r="AB25" s="356">
        <v>1047.31</v>
      </c>
      <c r="AC25" s="356">
        <v>576.18</v>
      </c>
      <c r="AD25" s="358">
        <v>124.94</v>
      </c>
      <c r="AE25" s="358">
        <v>646.42</v>
      </c>
      <c r="AF25" s="356">
        <v>1000.93</v>
      </c>
      <c r="AG25" s="350">
        <f t="shared" si="1"/>
        <v>77189.49</v>
      </c>
    </row>
    <row r="26">
      <c r="A26" s="346" t="s">
        <v>151</v>
      </c>
      <c r="B26" s="153">
        <f t="shared" ref="B26:AF26" si="3">SUM(B17:B25)</f>
        <v>22170.03</v>
      </c>
      <c r="C26" s="153">
        <f t="shared" si="3"/>
        <v>33561.29</v>
      </c>
      <c r="D26" s="153">
        <f t="shared" si="3"/>
        <v>21862.95</v>
      </c>
      <c r="E26" s="153">
        <f t="shared" si="3"/>
        <v>31503.18</v>
      </c>
      <c r="F26" s="153">
        <f t="shared" si="3"/>
        <v>26329.73</v>
      </c>
      <c r="G26" s="153">
        <f t="shared" si="3"/>
        <v>29579.84</v>
      </c>
      <c r="H26" s="153">
        <f t="shared" si="3"/>
        <v>30140.77</v>
      </c>
      <c r="I26" s="153">
        <f t="shared" si="3"/>
        <v>42474.8</v>
      </c>
      <c r="J26" s="153">
        <f t="shared" si="3"/>
        <v>37857.56</v>
      </c>
      <c r="K26" s="153">
        <f t="shared" si="3"/>
        <v>35960.61</v>
      </c>
      <c r="L26" s="153">
        <f t="shared" si="3"/>
        <v>32245.17</v>
      </c>
      <c r="M26" s="153">
        <f t="shared" si="3"/>
        <v>30594.06</v>
      </c>
      <c r="N26" s="153">
        <f t="shared" si="3"/>
        <v>55530.11</v>
      </c>
      <c r="O26" s="153">
        <f t="shared" si="3"/>
        <v>53819.27</v>
      </c>
      <c r="P26" s="153">
        <f t="shared" si="3"/>
        <v>39326.85</v>
      </c>
      <c r="Q26" s="153">
        <f t="shared" si="3"/>
        <v>36610.86</v>
      </c>
      <c r="R26" s="153">
        <f t="shared" si="3"/>
        <v>24150.11</v>
      </c>
      <c r="S26" s="153">
        <f t="shared" si="3"/>
        <v>36809.74</v>
      </c>
      <c r="T26" s="153">
        <f t="shared" si="3"/>
        <v>30898.77</v>
      </c>
      <c r="U26" s="153">
        <f t="shared" si="3"/>
        <v>35786.16</v>
      </c>
      <c r="V26" s="153">
        <f t="shared" si="3"/>
        <v>32038.31</v>
      </c>
      <c r="W26" s="153">
        <f t="shared" si="3"/>
        <v>33835.12</v>
      </c>
      <c r="X26" s="153">
        <f t="shared" si="3"/>
        <v>34016.48</v>
      </c>
      <c r="Y26" s="153">
        <f t="shared" si="3"/>
        <v>20755.83</v>
      </c>
      <c r="Z26" s="153">
        <f t="shared" si="3"/>
        <v>21695.47</v>
      </c>
      <c r="AA26" s="153">
        <f t="shared" si="3"/>
        <v>16989.73</v>
      </c>
      <c r="AB26" s="153">
        <f t="shared" si="3"/>
        <v>22278.44</v>
      </c>
      <c r="AC26" s="153">
        <f t="shared" si="3"/>
        <v>20146.86</v>
      </c>
      <c r="AD26" s="359">
        <f t="shared" si="3"/>
        <v>14980.98</v>
      </c>
      <c r="AE26" s="359">
        <f t="shared" si="3"/>
        <v>19793.7</v>
      </c>
      <c r="AF26" s="359">
        <f t="shared" si="3"/>
        <v>18073.15</v>
      </c>
      <c r="AG26" s="360">
        <f t="shared" si="1"/>
        <v>941815.93</v>
      </c>
    </row>
    <row r="27">
      <c r="A27" s="42"/>
      <c r="B27" s="327"/>
      <c r="C27" s="327"/>
      <c r="D27" s="327"/>
      <c r="E27" s="327"/>
      <c r="F27" s="327"/>
      <c r="G27" s="327"/>
      <c r="H27" s="327"/>
      <c r="I27" s="327"/>
      <c r="J27" s="327"/>
      <c r="K27" s="327"/>
      <c r="L27" s="327"/>
      <c r="M27" s="327"/>
      <c r="N27" s="327"/>
      <c r="O27" s="327"/>
      <c r="P27" s="327"/>
      <c r="Q27" s="327"/>
      <c r="R27" s="327"/>
      <c r="S27" s="327"/>
      <c r="T27" s="327"/>
      <c r="U27" s="327"/>
      <c r="V27" s="327"/>
      <c r="W27" s="327"/>
      <c r="X27" s="327"/>
      <c r="Y27" s="327"/>
      <c r="Z27" s="327"/>
      <c r="AA27" s="327"/>
      <c r="AB27" s="327"/>
      <c r="AC27" s="327"/>
      <c r="AD27" s="327"/>
      <c r="AE27" s="327"/>
      <c r="AF27" s="327"/>
      <c r="AG27" s="336">
        <f t="shared" si="1"/>
        <v>0</v>
      </c>
    </row>
    <row r="28">
      <c r="A28" s="361" t="s">
        <v>205</v>
      </c>
      <c r="B28" s="327"/>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c r="AA28" s="327"/>
      <c r="AB28" s="327"/>
      <c r="AC28" s="327"/>
      <c r="AD28" s="327"/>
      <c r="AE28" s="327"/>
      <c r="AF28" s="327"/>
      <c r="AG28" s="336">
        <f t="shared" si="1"/>
        <v>0</v>
      </c>
    </row>
    <row r="29">
      <c r="A29" s="42" t="s">
        <v>427</v>
      </c>
      <c r="B29" s="362">
        <f>'OLD Sales'!B20</f>
        <v>7590.32</v>
      </c>
      <c r="C29" s="362">
        <f>'OLD Sales'!C20</f>
        <v>9939.48</v>
      </c>
      <c r="D29" s="362">
        <f>'OLD Sales'!D20</f>
        <v>11857.85</v>
      </c>
      <c r="E29" s="362">
        <f>'OLD Sales'!E20</f>
        <v>13975.77</v>
      </c>
      <c r="F29" s="362">
        <f>'OLD Sales'!F20</f>
        <v>13627.08</v>
      </c>
      <c r="G29" s="362">
        <f>'OLD Sales'!G20</f>
        <v>13435.73</v>
      </c>
      <c r="H29" s="362">
        <f>'OLD Sales'!H20</f>
        <v>13643.57</v>
      </c>
      <c r="I29" s="362">
        <f>'OLD Sales'!I20</f>
        <v>14020.82</v>
      </c>
      <c r="J29" s="362">
        <f>'OLD Sales'!J20</f>
        <v>16923.12</v>
      </c>
      <c r="K29" s="362">
        <f>'OLD Sales'!K20</f>
        <v>16638.37</v>
      </c>
      <c r="L29" s="362">
        <f>'OLD Sales'!L20</f>
        <v>14685.47</v>
      </c>
      <c r="M29" s="362">
        <f>'OLD Sales'!M20</f>
        <v>9643.71</v>
      </c>
      <c r="N29" s="362">
        <f>'OLD Sales'!N20</f>
        <v>9544.29</v>
      </c>
      <c r="O29" s="362">
        <f>'OLD Sales'!O20</f>
        <v>13137.58</v>
      </c>
      <c r="P29" s="362">
        <f>'OLD Sales'!P20</f>
        <v>17548.71</v>
      </c>
      <c r="Q29" s="362">
        <f>'OLD Sales'!Q20</f>
        <v>20371.34</v>
      </c>
      <c r="R29" s="362">
        <f>'OLD Sales'!R20</f>
        <v>14875.41</v>
      </c>
      <c r="S29" s="362">
        <f>'OLD Sales'!S20</f>
        <v>14651</v>
      </c>
      <c r="T29" s="362">
        <f>'OLD Sales'!T20</f>
        <v>15983.11</v>
      </c>
      <c r="U29" s="362">
        <f>'OLD Sales'!U20</f>
        <v>16495.31</v>
      </c>
      <c r="V29" s="362">
        <f>'OLD Sales'!V20</f>
        <v>16540.43</v>
      </c>
      <c r="W29" s="362">
        <f>'OLD Sales'!W20</f>
        <v>16840.85</v>
      </c>
      <c r="X29" s="362">
        <f>'OLD Sales'!X20</f>
        <v>17566.45</v>
      </c>
      <c r="Y29" s="362">
        <f>'OLD Sales'!Y20</f>
        <v>11293.8</v>
      </c>
      <c r="Z29" s="362">
        <f>'OLD Sales'!Z20</f>
        <v>9326.51</v>
      </c>
      <c r="AA29" s="362">
        <f>'OLD Sales'!AA20</f>
        <v>9853.2</v>
      </c>
      <c r="AB29" s="362">
        <f>'OLD Sales'!AB20</f>
        <v>7316.48</v>
      </c>
      <c r="AC29" s="362">
        <f>'OLD Sales'!AC20</f>
        <v>6685.51</v>
      </c>
      <c r="AD29" s="362">
        <f>'OLD Sales'!AD20</f>
        <v>6692.13</v>
      </c>
      <c r="AE29" s="362">
        <f>'OLD Sales'!AE20</f>
        <v>7810.96</v>
      </c>
      <c r="AF29" s="362">
        <f>'OLD Sales'!AF20</f>
        <v>7705.29</v>
      </c>
      <c r="AG29" s="360">
        <f t="shared" si="1"/>
        <v>396219.65</v>
      </c>
    </row>
    <row r="30">
      <c r="A30" s="337" t="s">
        <v>143</v>
      </c>
      <c r="B30" s="362">
        <f>'OLD Sales'!B21</f>
        <v>3493.03</v>
      </c>
      <c r="C30" s="362">
        <f>'OLD Sales'!C21</f>
        <v>3318.69</v>
      </c>
      <c r="D30" s="362">
        <f>'OLD Sales'!D21</f>
        <v>3105.04</v>
      </c>
      <c r="E30" s="362">
        <f>'OLD Sales'!E21</f>
        <v>3164.26</v>
      </c>
      <c r="F30" s="362">
        <f>'OLD Sales'!F21</f>
        <v>2740.55</v>
      </c>
      <c r="G30" s="362">
        <f>'OLD Sales'!G21</f>
        <v>3020.34</v>
      </c>
      <c r="H30" s="362">
        <f>'OLD Sales'!H21</f>
        <v>3129.51</v>
      </c>
      <c r="I30" s="362">
        <f>'OLD Sales'!I21</f>
        <v>3393.25</v>
      </c>
      <c r="J30" s="362">
        <f>'OLD Sales'!J21</f>
        <v>3789.9</v>
      </c>
      <c r="K30" s="362">
        <f>'OLD Sales'!K21</f>
        <v>3108.44</v>
      </c>
      <c r="L30" s="362">
        <f>'OLD Sales'!L21</f>
        <v>3475.99</v>
      </c>
      <c r="M30" s="362">
        <f>'OLD Sales'!M21</f>
        <v>3368.31</v>
      </c>
      <c r="N30" s="362">
        <f>'OLD Sales'!N21</f>
        <v>3891.75</v>
      </c>
      <c r="O30" s="362">
        <f>'OLD Sales'!O21</f>
        <v>4289.75</v>
      </c>
      <c r="P30" s="362">
        <f>'OLD Sales'!P21</f>
        <v>4978.18</v>
      </c>
      <c r="Q30" s="362">
        <f>'OLD Sales'!Q21</f>
        <v>5350.38</v>
      </c>
      <c r="R30" s="362">
        <f>'OLD Sales'!R21</f>
        <v>4262.94</v>
      </c>
      <c r="S30" s="362">
        <f>'OLD Sales'!S21</f>
        <v>5867.41</v>
      </c>
      <c r="T30" s="362">
        <f>'OLD Sales'!T21</f>
        <v>3955.4</v>
      </c>
      <c r="U30" s="362">
        <f>'OLD Sales'!U21</f>
        <v>3443.43</v>
      </c>
      <c r="V30" s="362">
        <f>'OLD Sales'!V21</f>
        <v>4404.04</v>
      </c>
      <c r="W30" s="362">
        <f>'OLD Sales'!W21</f>
        <v>6179.63</v>
      </c>
      <c r="X30" s="362">
        <f>'OLD Sales'!X21</f>
        <v>7876.81</v>
      </c>
      <c r="Y30" s="362">
        <f>'OLD Sales'!Y21</f>
        <v>6931.42</v>
      </c>
      <c r="Z30" s="362">
        <f>'OLD Sales'!Z21</f>
        <v>6903.19</v>
      </c>
      <c r="AA30" s="362">
        <f>'OLD Sales'!AA21</f>
        <v>5631.54</v>
      </c>
      <c r="AB30" s="362">
        <f>'OLD Sales'!AB21</f>
        <v>6483.21</v>
      </c>
      <c r="AC30" s="362">
        <f>'OLD Sales'!AC21</f>
        <v>6665.27</v>
      </c>
      <c r="AD30" s="362">
        <f>'OLD Sales'!AD21</f>
        <v>5627.76</v>
      </c>
      <c r="AE30" s="362">
        <f>'OLD Sales'!AE21</f>
        <v>3929.84</v>
      </c>
      <c r="AF30" s="362">
        <f>'OLD Sales'!AF21</f>
        <v>2235.27</v>
      </c>
      <c r="AG30" s="360">
        <f t="shared" si="1"/>
        <v>138014.53</v>
      </c>
    </row>
    <row r="31">
      <c r="A31" s="42" t="s">
        <v>148</v>
      </c>
      <c r="B31" s="362">
        <f>'OLD Sales'!B23</f>
        <v>0</v>
      </c>
      <c r="C31" s="362">
        <f>'OLD Sales'!C23</f>
        <v>0</v>
      </c>
      <c r="D31" s="362">
        <f>'OLD Sales'!D23</f>
        <v>0</v>
      </c>
      <c r="E31" s="362">
        <f>'OLD Sales'!E23</f>
        <v>0</v>
      </c>
      <c r="F31" s="362">
        <f>'OLD Sales'!F23</f>
        <v>0</v>
      </c>
      <c r="G31" s="362">
        <f>'OLD Sales'!G23</f>
        <v>0</v>
      </c>
      <c r="H31" s="362">
        <f>'OLD Sales'!H23</f>
        <v>0</v>
      </c>
      <c r="I31" s="362">
        <f>'OLD Sales'!I23</f>
        <v>0</v>
      </c>
      <c r="J31" s="362">
        <f>'OLD Sales'!J23</f>
        <v>0</v>
      </c>
      <c r="K31" s="362">
        <f>'OLD Sales'!K23</f>
        <v>0</v>
      </c>
      <c r="L31" s="362">
        <f>'OLD Sales'!L23</f>
        <v>0</v>
      </c>
      <c r="M31" s="362">
        <f>'OLD Sales'!M23</f>
        <v>0</v>
      </c>
      <c r="N31" s="362">
        <f>'OLD Sales'!N23</f>
        <v>0</v>
      </c>
      <c r="O31" s="362">
        <f>'OLD Sales'!O23</f>
        <v>0</v>
      </c>
      <c r="P31" s="362">
        <f>'OLD Sales'!P23</f>
        <v>0</v>
      </c>
      <c r="Q31" s="362">
        <f>'OLD Sales'!Q23</f>
        <v>0</v>
      </c>
      <c r="R31" s="362">
        <f>'OLD Sales'!R23</f>
        <v>0</v>
      </c>
      <c r="S31" s="362">
        <f>'OLD Sales'!S23</f>
        <v>0</v>
      </c>
      <c r="T31" s="362">
        <f>'OLD Sales'!T23</f>
        <v>0</v>
      </c>
      <c r="U31" s="362">
        <f>'OLD Sales'!U23</f>
        <v>0</v>
      </c>
      <c r="V31" s="362">
        <f>'OLD Sales'!V23</f>
        <v>0</v>
      </c>
      <c r="W31" s="362">
        <f>'OLD Sales'!W23</f>
        <v>0</v>
      </c>
      <c r="X31" s="362">
        <f>'OLD Sales'!X23</f>
        <v>0</v>
      </c>
      <c r="Y31" s="362">
        <f>'OLD Sales'!Y23</f>
        <v>0</v>
      </c>
      <c r="Z31" s="362">
        <f>'OLD Sales'!Z23</f>
        <v>0</v>
      </c>
      <c r="AA31" s="362">
        <f>'OLD Sales'!AA23</f>
        <v>0</v>
      </c>
      <c r="AB31" s="362">
        <f>'OLD Sales'!AB23</f>
        <v>0</v>
      </c>
      <c r="AC31" s="362">
        <f>'OLD Sales'!AC23</f>
        <v>0</v>
      </c>
      <c r="AD31" s="362">
        <f>'OLD Sales'!AD23</f>
        <v>0</v>
      </c>
      <c r="AE31" s="362">
        <f>'OLD Sales'!AE23</f>
        <v>0</v>
      </c>
      <c r="AF31" s="362"/>
      <c r="AG31" s="360">
        <f t="shared" si="1"/>
        <v>0</v>
      </c>
    </row>
    <row r="32">
      <c r="A32" s="337" t="s">
        <v>146</v>
      </c>
      <c r="B32" s="362">
        <f>'OLD Sales'!B22</f>
        <v>244.51</v>
      </c>
      <c r="C32" s="362">
        <f>'OLD Sales'!C22</f>
        <v>259.8</v>
      </c>
      <c r="D32" s="362">
        <f>'OLD Sales'!D22</f>
        <v>259.73</v>
      </c>
      <c r="E32" s="362">
        <f>'OLD Sales'!E22</f>
        <v>251.56</v>
      </c>
      <c r="F32" s="362">
        <f>'OLD Sales'!F22</f>
        <v>260.93</v>
      </c>
      <c r="G32" s="362">
        <f>'OLD Sales'!G22</f>
        <v>252.96</v>
      </c>
      <c r="H32" s="362">
        <f>'OLD Sales'!H22</f>
        <v>250.94</v>
      </c>
      <c r="I32" s="362">
        <f>'OLD Sales'!I22</f>
        <v>249.85</v>
      </c>
      <c r="J32" s="362">
        <f>'OLD Sales'!J22</f>
        <v>248.72</v>
      </c>
      <c r="K32" s="362">
        <f>'OLD Sales'!K22</f>
        <v>245.95</v>
      </c>
      <c r="L32" s="362">
        <f>'OLD Sales'!L22</f>
        <v>250.54</v>
      </c>
      <c r="M32" s="362">
        <f>'OLD Sales'!M22</f>
        <v>247.66</v>
      </c>
      <c r="N32" s="362">
        <f>'OLD Sales'!N22</f>
        <v>82.36</v>
      </c>
      <c r="O32" s="362">
        <f>'OLD Sales'!O22</f>
        <v>0</v>
      </c>
      <c r="P32" s="362">
        <f>'OLD Sales'!P22</f>
        <v>0</v>
      </c>
      <c r="Q32" s="362">
        <f>'OLD Sales'!Q22</f>
        <v>0</v>
      </c>
      <c r="R32" s="362">
        <f>'OLD Sales'!R22</f>
        <v>0</v>
      </c>
      <c r="S32" s="362">
        <f>'OLD Sales'!S22</f>
        <v>0</v>
      </c>
      <c r="T32" s="362">
        <f>'OLD Sales'!T22</f>
        <v>130.29</v>
      </c>
      <c r="U32" s="362">
        <f>'OLD Sales'!U22</f>
        <v>247.33</v>
      </c>
      <c r="V32" s="362">
        <f>'OLD Sales'!V22</f>
        <v>241.87</v>
      </c>
      <c r="W32" s="362">
        <f>'OLD Sales'!W22</f>
        <v>267.6</v>
      </c>
      <c r="X32" s="362">
        <f>'OLD Sales'!X22</f>
        <v>243.5</v>
      </c>
      <c r="Y32" s="362">
        <f>'OLD Sales'!Y22</f>
        <v>239.41</v>
      </c>
      <c r="Z32" s="362">
        <f>'OLD Sales'!Z22</f>
        <v>253.25</v>
      </c>
      <c r="AA32" s="362">
        <f>'OLD Sales'!AA22</f>
        <v>274.45</v>
      </c>
      <c r="AB32" s="362">
        <f>'OLD Sales'!AB22</f>
        <v>262.48</v>
      </c>
      <c r="AC32" s="362">
        <f>'OLD Sales'!AC22</f>
        <v>301.09</v>
      </c>
      <c r="AD32" s="362">
        <f>'OLD Sales'!AD22</f>
        <v>283.72</v>
      </c>
      <c r="AE32" s="362">
        <f>'OLD Sales'!AE22</f>
        <v>289.28</v>
      </c>
      <c r="AF32" s="362">
        <f>'OLD Sales'!AF22</f>
        <v>296.9</v>
      </c>
      <c r="AG32" s="360">
        <f t="shared" si="1"/>
        <v>6436.68</v>
      </c>
    </row>
    <row r="33">
      <c r="A33" s="337" t="s">
        <v>410</v>
      </c>
      <c r="B33" s="366" t="str">
        <f>'OLD Sales'!B24</f>
        <v/>
      </c>
      <c r="C33" s="366" t="str">
        <f>'OLD Sales'!C24</f>
        <v/>
      </c>
      <c r="D33" s="366" t="str">
        <f>'OLD Sales'!D24</f>
        <v/>
      </c>
      <c r="E33" s="366" t="str">
        <f>'OLD Sales'!E24</f>
        <v/>
      </c>
      <c r="F33" s="366" t="str">
        <f>'OLD Sales'!F24</f>
        <v/>
      </c>
      <c r="G33" s="366" t="str">
        <f>'OLD Sales'!G24</f>
        <v/>
      </c>
      <c r="H33" s="366" t="str">
        <f>'OLD Sales'!H24</f>
        <v/>
      </c>
      <c r="I33" s="366" t="str">
        <f>'OLD Sales'!I24</f>
        <v/>
      </c>
      <c r="J33" s="366" t="str">
        <f>'OLD Sales'!J24</f>
        <v/>
      </c>
      <c r="K33" s="366" t="str">
        <f>'OLD Sales'!K24</f>
        <v/>
      </c>
      <c r="L33" s="366" t="str">
        <f>'OLD Sales'!L24</f>
        <v/>
      </c>
      <c r="M33" s="366" t="str">
        <f>'OLD Sales'!M24</f>
        <v/>
      </c>
      <c r="N33" s="366" t="str">
        <f>'OLD Sales'!N24</f>
        <v/>
      </c>
      <c r="O33" s="366" t="str">
        <f>'OLD Sales'!O24</f>
        <v/>
      </c>
      <c r="P33" s="366" t="str">
        <f>'OLD Sales'!P24</f>
        <v/>
      </c>
      <c r="Q33" s="366" t="str">
        <f>'OLD Sales'!Q24</f>
        <v/>
      </c>
      <c r="R33" s="366" t="str">
        <f>'OLD Sales'!R24</f>
        <v/>
      </c>
      <c r="S33" s="366" t="str">
        <f>'OLD Sales'!S24</f>
        <v/>
      </c>
      <c r="T33" s="366" t="str">
        <f>'OLD Sales'!T24</f>
        <v/>
      </c>
      <c r="U33" s="366" t="str">
        <f>'OLD Sales'!U24</f>
        <v/>
      </c>
      <c r="V33" s="366" t="str">
        <f>'OLD Sales'!V24</f>
        <v/>
      </c>
      <c r="W33" s="366" t="str">
        <f>'OLD Sales'!W24</f>
        <v/>
      </c>
      <c r="X33" s="366" t="str">
        <f>'OLD Sales'!X24</f>
        <v/>
      </c>
      <c r="Y33" s="366" t="str">
        <f>'OLD Sales'!Y24</f>
        <v/>
      </c>
      <c r="Z33" s="366" t="str">
        <f>'OLD Sales'!Z24</f>
        <v/>
      </c>
      <c r="AA33" s="366" t="str">
        <f>'OLD Sales'!AA24</f>
        <v/>
      </c>
      <c r="AB33" s="366" t="str">
        <f>'OLD Sales'!AB24</f>
        <v/>
      </c>
      <c r="AC33" s="366" t="str">
        <f>'OLD Sales'!AC24</f>
        <v/>
      </c>
      <c r="AD33" s="366" t="str">
        <f>'OLD Sales'!AD24</f>
        <v/>
      </c>
      <c r="AE33" s="366" t="str">
        <f>'OLD Sales'!AE24</f>
        <v/>
      </c>
      <c r="AF33" s="366"/>
      <c r="AG33" s="360">
        <f t="shared" si="1"/>
        <v>0</v>
      </c>
    </row>
    <row r="34">
      <c r="A34" s="337" t="s">
        <v>441</v>
      </c>
      <c r="B34" s="366">
        <f t="shared" ref="B34:S34" si="4">B21*0.15</f>
        <v>0</v>
      </c>
      <c r="C34" s="366">
        <f t="shared" si="4"/>
        <v>0</v>
      </c>
      <c r="D34" s="366">
        <f t="shared" si="4"/>
        <v>0</v>
      </c>
      <c r="E34" s="366">
        <f t="shared" si="4"/>
        <v>0</v>
      </c>
      <c r="F34" s="366">
        <f t="shared" si="4"/>
        <v>0</v>
      </c>
      <c r="G34" s="366">
        <f t="shared" si="4"/>
        <v>0</v>
      </c>
      <c r="H34" s="366">
        <f t="shared" si="4"/>
        <v>0</v>
      </c>
      <c r="I34" s="366">
        <f t="shared" si="4"/>
        <v>0</v>
      </c>
      <c r="J34" s="366">
        <f t="shared" si="4"/>
        <v>0</v>
      </c>
      <c r="K34" s="366">
        <f t="shared" si="4"/>
        <v>0</v>
      </c>
      <c r="L34" s="366">
        <f t="shared" si="4"/>
        <v>0</v>
      </c>
      <c r="M34" s="366">
        <f t="shared" si="4"/>
        <v>0</v>
      </c>
      <c r="N34" s="366">
        <f t="shared" si="4"/>
        <v>0</v>
      </c>
      <c r="O34" s="366">
        <f t="shared" si="4"/>
        <v>0</v>
      </c>
      <c r="P34" s="366">
        <f t="shared" si="4"/>
        <v>0</v>
      </c>
      <c r="Q34" s="366">
        <f t="shared" si="4"/>
        <v>0</v>
      </c>
      <c r="R34" s="366">
        <f t="shared" si="4"/>
        <v>0</v>
      </c>
      <c r="S34" s="366">
        <f t="shared" si="4"/>
        <v>0</v>
      </c>
      <c r="T34" s="366"/>
      <c r="U34" s="366">
        <f t="shared" ref="U34:AC34" si="5">U21*0.15</f>
        <v>0</v>
      </c>
      <c r="V34" s="366">
        <f t="shared" si="5"/>
        <v>0</v>
      </c>
      <c r="W34" s="366">
        <f t="shared" si="5"/>
        <v>0</v>
      </c>
      <c r="X34" s="366">
        <f t="shared" si="5"/>
        <v>0</v>
      </c>
      <c r="Y34" s="366">
        <f t="shared" si="5"/>
        <v>0</v>
      </c>
      <c r="Z34" s="366">
        <f t="shared" si="5"/>
        <v>0</v>
      </c>
      <c r="AA34" s="366">
        <f t="shared" si="5"/>
        <v>0</v>
      </c>
      <c r="AB34" s="366">
        <f t="shared" si="5"/>
        <v>0</v>
      </c>
      <c r="AC34" s="366">
        <f t="shared" si="5"/>
        <v>0</v>
      </c>
      <c r="AD34" s="366"/>
      <c r="AE34" s="366"/>
      <c r="AF34" s="366"/>
      <c r="AG34" s="360">
        <f t="shared" si="1"/>
        <v>0</v>
      </c>
    </row>
    <row r="35">
      <c r="A35" s="337" t="s">
        <v>444</v>
      </c>
      <c r="B35" s="370"/>
      <c r="C35" s="370"/>
      <c r="D35" s="370"/>
      <c r="E35" s="370"/>
      <c r="F35" s="370"/>
      <c r="G35" s="370"/>
      <c r="H35" s="370"/>
      <c r="I35" s="370"/>
      <c r="J35" s="370"/>
      <c r="K35" s="370"/>
      <c r="L35" s="370"/>
      <c r="M35" s="370"/>
      <c r="N35" s="370"/>
      <c r="O35" s="370"/>
      <c r="P35" s="370"/>
      <c r="Q35" s="370"/>
      <c r="R35" s="370"/>
      <c r="S35" s="370"/>
      <c r="T35" s="370"/>
      <c r="U35" s="370"/>
      <c r="V35" s="370"/>
      <c r="W35" s="370"/>
      <c r="X35" s="370"/>
      <c r="Y35" s="370"/>
      <c r="Z35" s="370"/>
      <c r="AA35" s="370"/>
      <c r="AB35" s="370"/>
      <c r="AC35" s="370"/>
      <c r="AD35" s="370"/>
      <c r="AE35" s="370"/>
      <c r="AF35" s="370"/>
      <c r="AG35" s="360">
        <f t="shared" si="1"/>
        <v>0</v>
      </c>
    </row>
    <row r="36">
      <c r="A36" s="372" t="s">
        <v>446</v>
      </c>
      <c r="B36" s="373"/>
      <c r="C36" s="370"/>
      <c r="D36" s="370"/>
      <c r="E36" s="370"/>
      <c r="F36" s="370"/>
      <c r="G36" s="370"/>
      <c r="H36" s="370"/>
      <c r="I36" s="370"/>
      <c r="J36" s="370"/>
      <c r="K36" s="370"/>
      <c r="L36" s="370"/>
      <c r="M36" s="370"/>
      <c r="N36" s="370"/>
      <c r="O36" s="370"/>
      <c r="P36" s="370"/>
      <c r="Q36" s="370"/>
      <c r="R36" s="370"/>
      <c r="S36" s="370"/>
      <c r="T36" s="370"/>
      <c r="U36" s="370"/>
      <c r="V36" s="370"/>
      <c r="W36" s="370"/>
      <c r="X36" s="370"/>
      <c r="Y36" s="370"/>
      <c r="Z36" s="370"/>
      <c r="AA36" s="370"/>
      <c r="AB36" s="370"/>
      <c r="AC36" s="370"/>
      <c r="AD36" s="370"/>
      <c r="AE36" s="370"/>
      <c r="AF36" s="370"/>
      <c r="AG36" s="360">
        <f t="shared" si="1"/>
        <v>0</v>
      </c>
    </row>
    <row r="37">
      <c r="A37" s="372" t="s">
        <v>448</v>
      </c>
      <c r="B37" s="377">
        <f>'OLD Sales'!B25</f>
        <v>0</v>
      </c>
      <c r="C37" s="380">
        <f>'OLD Sales'!C25</f>
        <v>0</v>
      </c>
      <c r="D37" s="380">
        <f>'OLD Sales'!D25</f>
        <v>0</v>
      </c>
      <c r="E37" s="380">
        <f>'OLD Sales'!E25</f>
        <v>0</v>
      </c>
      <c r="F37" s="380">
        <f>'OLD Sales'!F25</f>
        <v>0</v>
      </c>
      <c r="G37" s="380">
        <f>'OLD Sales'!G25</f>
        <v>0</v>
      </c>
      <c r="H37" s="380">
        <f>'OLD Sales'!H25</f>
        <v>0</v>
      </c>
      <c r="I37" s="380">
        <f>'OLD Sales'!I25</f>
        <v>0</v>
      </c>
      <c r="J37" s="380">
        <f>'OLD Sales'!J25</f>
        <v>0</v>
      </c>
      <c r="K37" s="380">
        <f>'OLD Sales'!K25</f>
        <v>0</v>
      </c>
      <c r="L37" s="380">
        <f>'OLD Sales'!L25</f>
        <v>0</v>
      </c>
      <c r="M37" s="380">
        <f>'OLD Sales'!M25</f>
        <v>0</v>
      </c>
      <c r="N37" s="380">
        <f>'OLD Sales'!N25</f>
        <v>0</v>
      </c>
      <c r="O37" s="380">
        <f>'OLD Sales'!O25</f>
        <v>0</v>
      </c>
      <c r="P37" s="380">
        <f>'OLD Sales'!P25</f>
        <v>0</v>
      </c>
      <c r="Q37" s="380">
        <f>'OLD Sales'!Q25</f>
        <v>0</v>
      </c>
      <c r="R37" s="380">
        <f>'OLD Sales'!R25</f>
        <v>0</v>
      </c>
      <c r="S37" s="380">
        <f>'OLD Sales'!S25</f>
        <v>156.16</v>
      </c>
      <c r="T37" s="380">
        <f>'OLD Sales'!T25</f>
        <v>131.12</v>
      </c>
      <c r="U37" s="380">
        <f>'OLD Sales'!U25</f>
        <v>215.27</v>
      </c>
      <c r="V37" s="380">
        <f>'OLD Sales'!V25</f>
        <v>264.81</v>
      </c>
      <c r="W37" s="380">
        <f>'OLD Sales'!W25</f>
        <v>122.94</v>
      </c>
      <c r="X37" s="380">
        <f>'OLD Sales'!X25</f>
        <v>187.67</v>
      </c>
      <c r="Y37" s="380">
        <f>'OLD Sales'!Y25</f>
        <v>229.7</v>
      </c>
      <c r="Z37" s="380">
        <f>'OLD Sales'!Z25</f>
        <v>157.02</v>
      </c>
      <c r="AA37" s="380">
        <f>'OLD Sales'!AA25</f>
        <v>108.61</v>
      </c>
      <c r="AB37" s="380">
        <f>'OLD Sales'!AB25</f>
        <v>196.05</v>
      </c>
      <c r="AC37" s="380">
        <f>'OLD Sales'!AC25</f>
        <v>49.05</v>
      </c>
      <c r="AD37" s="380">
        <f>'OLD Sales'!AD25</f>
        <v>0</v>
      </c>
      <c r="AE37" s="380">
        <f>'OLD Sales'!AE25</f>
        <v>136.42</v>
      </c>
      <c r="AF37" s="380">
        <f>'OLD Sales'!AF25</f>
        <v>0</v>
      </c>
      <c r="AG37" s="360">
        <f t="shared" si="1"/>
        <v>1954.82</v>
      </c>
    </row>
    <row r="38">
      <c r="A38" s="42" t="s">
        <v>449</v>
      </c>
      <c r="B38" s="370"/>
      <c r="C38" s="370"/>
      <c r="D38" s="370"/>
      <c r="E38" s="370"/>
      <c r="F38" s="370"/>
      <c r="G38" s="370"/>
      <c r="H38" s="370"/>
      <c r="I38" s="370"/>
      <c r="J38" s="370"/>
      <c r="K38" s="370"/>
      <c r="L38" s="370"/>
      <c r="M38" s="370"/>
      <c r="N38" s="370"/>
      <c r="O38" s="370"/>
      <c r="P38" s="370"/>
      <c r="Q38" s="370"/>
      <c r="R38" s="370"/>
      <c r="S38" s="370"/>
      <c r="T38" s="370"/>
      <c r="U38" s="370"/>
      <c r="V38" s="370"/>
      <c r="W38" s="370"/>
      <c r="X38" s="370"/>
      <c r="Y38" s="370"/>
      <c r="Z38" s="370"/>
      <c r="AA38" s="370"/>
      <c r="AB38" s="370"/>
      <c r="AC38" s="370"/>
      <c r="AD38" s="370"/>
      <c r="AE38" s="370"/>
      <c r="AF38" s="370"/>
      <c r="AG38" s="360">
        <f t="shared" si="1"/>
        <v>0</v>
      </c>
    </row>
    <row r="39">
      <c r="A39" s="42" t="s">
        <v>451</v>
      </c>
      <c r="B39" s="370"/>
      <c r="C39" s="370"/>
      <c r="D39" s="370"/>
      <c r="E39" s="370"/>
      <c r="F39" s="370"/>
      <c r="G39" s="370"/>
      <c r="H39" s="370"/>
      <c r="I39" s="370"/>
      <c r="J39" s="370"/>
      <c r="K39" s="370"/>
      <c r="L39" s="370"/>
      <c r="M39" s="370"/>
      <c r="N39" s="370"/>
      <c r="O39" s="370"/>
      <c r="P39" s="370"/>
      <c r="Q39" s="370"/>
      <c r="R39" s="370"/>
      <c r="S39" s="370"/>
      <c r="T39" s="370"/>
      <c r="U39" s="370"/>
      <c r="V39" s="370"/>
      <c r="W39" s="370"/>
      <c r="X39" s="370"/>
      <c r="Y39" s="370"/>
      <c r="Z39" s="370"/>
      <c r="AA39" s="370"/>
      <c r="AB39" s="370"/>
      <c r="AC39" s="370"/>
      <c r="AD39" s="370"/>
      <c r="AE39" s="370"/>
      <c r="AF39" s="370"/>
      <c r="AG39" s="360">
        <f t="shared" si="1"/>
        <v>0</v>
      </c>
    </row>
    <row r="40">
      <c r="A40" s="42" t="s">
        <v>452</v>
      </c>
      <c r="B40" s="370"/>
      <c r="C40" s="370"/>
      <c r="D40" s="370"/>
      <c r="E40" s="370"/>
      <c r="F40" s="370"/>
      <c r="G40" s="370"/>
      <c r="H40" s="370"/>
      <c r="I40" s="370"/>
      <c r="J40" s="370"/>
      <c r="K40" s="370"/>
      <c r="L40" s="370"/>
      <c r="M40" s="370"/>
      <c r="N40" s="370"/>
      <c r="O40" s="370"/>
      <c r="P40" s="370"/>
      <c r="Q40" s="370"/>
      <c r="R40" s="370"/>
      <c r="S40" s="370"/>
      <c r="T40" s="370"/>
      <c r="U40" s="370"/>
      <c r="V40" s="370"/>
      <c r="W40" s="370"/>
      <c r="X40" s="370"/>
      <c r="Y40" s="370"/>
      <c r="Z40" s="370"/>
      <c r="AA40" s="370"/>
      <c r="AB40" s="370"/>
      <c r="AC40" s="370"/>
      <c r="AD40" s="370"/>
      <c r="AE40" s="370"/>
      <c r="AF40" s="370"/>
      <c r="AG40" s="360">
        <f t="shared" si="1"/>
        <v>0</v>
      </c>
    </row>
    <row r="41">
      <c r="A41" s="146" t="s">
        <v>453</v>
      </c>
      <c r="B41" s="394"/>
      <c r="C41" s="394"/>
      <c r="D41" s="394"/>
      <c r="E41" s="394"/>
      <c r="F41" s="394"/>
      <c r="G41" s="394"/>
      <c r="H41" s="394"/>
      <c r="I41" s="394"/>
      <c r="J41" s="394"/>
      <c r="K41" s="394"/>
      <c r="L41" s="394"/>
      <c r="M41" s="394"/>
      <c r="N41" s="394"/>
      <c r="O41" s="394"/>
      <c r="P41" s="394"/>
      <c r="Q41" s="394"/>
      <c r="R41" s="394"/>
      <c r="S41" s="394"/>
      <c r="T41" s="394"/>
      <c r="U41" s="394"/>
      <c r="V41" s="394"/>
      <c r="W41" s="394"/>
      <c r="X41" s="394"/>
      <c r="Y41" s="394"/>
      <c r="Z41" s="394"/>
      <c r="AA41" s="394"/>
      <c r="AB41" s="394"/>
      <c r="AC41" s="394"/>
      <c r="AD41" s="370"/>
      <c r="AE41" s="370"/>
      <c r="AF41" s="394"/>
      <c r="AG41" s="360">
        <f t="shared" si="1"/>
        <v>0</v>
      </c>
    </row>
    <row r="42">
      <c r="A42" s="346" t="s">
        <v>151</v>
      </c>
      <c r="B42" s="153">
        <f t="shared" ref="B42:AF42" si="6">SUM(B29:B41)</f>
        <v>11327.86</v>
      </c>
      <c r="C42" s="153">
        <f t="shared" si="6"/>
        <v>13517.97</v>
      </c>
      <c r="D42" s="153">
        <f t="shared" si="6"/>
        <v>15222.62</v>
      </c>
      <c r="E42" s="153">
        <f t="shared" si="6"/>
        <v>17391.59</v>
      </c>
      <c r="F42" s="153">
        <f t="shared" si="6"/>
        <v>16628.56</v>
      </c>
      <c r="G42" s="153">
        <f t="shared" si="6"/>
        <v>16709.03</v>
      </c>
      <c r="H42" s="153">
        <f t="shared" si="6"/>
        <v>17024.02</v>
      </c>
      <c r="I42" s="153">
        <f t="shared" si="6"/>
        <v>17663.92</v>
      </c>
      <c r="J42" s="153">
        <f t="shared" si="6"/>
        <v>20961.74</v>
      </c>
      <c r="K42" s="153">
        <f t="shared" si="6"/>
        <v>19992.76</v>
      </c>
      <c r="L42" s="153">
        <f t="shared" si="6"/>
        <v>18412</v>
      </c>
      <c r="M42" s="153">
        <f t="shared" si="6"/>
        <v>13259.68</v>
      </c>
      <c r="N42" s="153">
        <f t="shared" si="6"/>
        <v>13518.4</v>
      </c>
      <c r="O42" s="153">
        <f t="shared" si="6"/>
        <v>17427.33</v>
      </c>
      <c r="P42" s="153">
        <f t="shared" si="6"/>
        <v>22526.89</v>
      </c>
      <c r="Q42" s="153">
        <f t="shared" si="6"/>
        <v>25721.72</v>
      </c>
      <c r="R42" s="153">
        <f t="shared" si="6"/>
        <v>19138.35</v>
      </c>
      <c r="S42" s="153">
        <f t="shared" si="6"/>
        <v>20674.57</v>
      </c>
      <c r="T42" s="153">
        <f t="shared" si="6"/>
        <v>20199.92</v>
      </c>
      <c r="U42" s="153">
        <f t="shared" si="6"/>
        <v>20401.34</v>
      </c>
      <c r="V42" s="153">
        <f t="shared" si="6"/>
        <v>21451.15</v>
      </c>
      <c r="W42" s="153">
        <f t="shared" si="6"/>
        <v>23411.02</v>
      </c>
      <c r="X42" s="153">
        <f t="shared" si="6"/>
        <v>25874.43</v>
      </c>
      <c r="Y42" s="153">
        <f t="shared" si="6"/>
        <v>18694.33</v>
      </c>
      <c r="Z42" s="153">
        <f t="shared" si="6"/>
        <v>16639.97</v>
      </c>
      <c r="AA42" s="153">
        <f t="shared" si="6"/>
        <v>15867.8</v>
      </c>
      <c r="AB42" s="153">
        <f t="shared" si="6"/>
        <v>14258.22</v>
      </c>
      <c r="AC42" s="153">
        <f t="shared" si="6"/>
        <v>13700.92</v>
      </c>
      <c r="AD42" s="359">
        <f t="shared" si="6"/>
        <v>12603.61</v>
      </c>
      <c r="AE42" s="359">
        <f t="shared" si="6"/>
        <v>12166.5</v>
      </c>
      <c r="AF42" s="359">
        <f t="shared" si="6"/>
        <v>10237.46</v>
      </c>
      <c r="AG42" s="360">
        <f t="shared" si="1"/>
        <v>542625.68</v>
      </c>
    </row>
    <row r="43">
      <c r="A43" s="42"/>
      <c r="B43" s="327"/>
      <c r="C43" s="327"/>
      <c r="D43" s="327"/>
      <c r="E43" s="327"/>
      <c r="F43" s="327"/>
      <c r="G43" s="327"/>
      <c r="H43" s="327"/>
      <c r="I43" s="327"/>
      <c r="J43" s="327"/>
      <c r="K43" s="327"/>
      <c r="L43" s="327"/>
      <c r="M43" s="327"/>
      <c r="N43" s="327"/>
      <c r="O43" s="327"/>
      <c r="P43" s="327"/>
      <c r="Q43" s="327"/>
      <c r="R43" s="327"/>
      <c r="S43" s="327"/>
      <c r="T43" s="327"/>
      <c r="U43" s="327"/>
      <c r="V43" s="327"/>
      <c r="W43" s="327"/>
      <c r="X43" s="327"/>
      <c r="Y43" s="327"/>
      <c r="Z43" s="327"/>
      <c r="AA43" s="327"/>
      <c r="AB43" s="327"/>
      <c r="AC43" s="327"/>
      <c r="AD43" s="327"/>
      <c r="AE43" s="327"/>
      <c r="AF43" s="327"/>
      <c r="AG43" s="336">
        <f t="shared" si="1"/>
        <v>0</v>
      </c>
    </row>
    <row r="44">
      <c r="A44" s="361" t="s">
        <v>455</v>
      </c>
      <c r="B44" s="302"/>
      <c r="C44" s="327"/>
      <c r="D44" s="327"/>
      <c r="E44" s="327"/>
      <c r="F44" s="327"/>
      <c r="G44" s="327"/>
      <c r="H44" s="327"/>
      <c r="I44" s="327"/>
      <c r="J44" s="327"/>
      <c r="K44" s="327"/>
      <c r="L44" s="327"/>
      <c r="M44" s="327"/>
      <c r="N44" s="327"/>
      <c r="O44" s="327"/>
      <c r="P44" s="327"/>
      <c r="Q44" s="327"/>
      <c r="R44" s="327"/>
      <c r="S44" s="327"/>
      <c r="T44" s="327"/>
      <c r="U44" s="327"/>
      <c r="V44" s="327"/>
      <c r="W44" s="327"/>
      <c r="X44" s="327"/>
      <c r="Y44" s="327"/>
      <c r="Z44" s="327"/>
      <c r="AA44" s="327"/>
      <c r="AB44" s="327"/>
      <c r="AC44" s="327"/>
      <c r="AD44" s="327"/>
      <c r="AE44" s="327"/>
      <c r="AF44" s="327"/>
      <c r="AG44" s="336">
        <f t="shared" si="1"/>
        <v>0</v>
      </c>
    </row>
    <row r="45">
      <c r="A45" s="337" t="s">
        <v>456</v>
      </c>
      <c r="B45" s="276">
        <f>B14*'OLD Formulas'!$C21</f>
        <v>8322.304447</v>
      </c>
      <c r="C45" s="276">
        <f>C14*'OLD Formulas'!$C21</f>
        <v>11651.22623</v>
      </c>
      <c r="D45" s="276">
        <f>D14*'OLD Formulas'!$C21</f>
        <v>8044.894299</v>
      </c>
      <c r="E45" s="276">
        <f>E14*'OLD Formulas'!$C21</f>
        <v>11743.69627</v>
      </c>
      <c r="F45" s="276">
        <f>F14*'OLD Formulas'!$C21</f>
        <v>10171.70544</v>
      </c>
      <c r="G45" s="276">
        <f>G14*'OLD Formulas'!$C21</f>
        <v>11281.34603</v>
      </c>
      <c r="H45" s="276">
        <f>H14*'OLD Formulas'!$C21</f>
        <v>11743.69627</v>
      </c>
      <c r="I45" s="276">
        <f>I14*'OLD Formulas'!$C21</f>
        <v>15812.37845</v>
      </c>
      <c r="J45" s="276">
        <f>J14*'OLD Formulas'!$C21</f>
        <v>13870.50741</v>
      </c>
      <c r="K45" s="276">
        <f>K14*'OLD Formulas'!$C21</f>
        <v>13870.50741</v>
      </c>
      <c r="L45" s="276">
        <f>L14*'OLD Formulas'!$C21</f>
        <v>12390.98662</v>
      </c>
      <c r="M45" s="276">
        <f>M14*'OLD Formulas'!$C21</f>
        <v>11466.28613</v>
      </c>
      <c r="N45" s="276">
        <f>N14*'OLD Formulas'!$C21</f>
        <v>21453.05146</v>
      </c>
      <c r="O45" s="276">
        <f>O14*'OLD Formulas'!$C21</f>
        <v>19881.06062</v>
      </c>
      <c r="P45" s="276">
        <f>P14*'OLD Formulas'!$C21</f>
        <v>15072.61805</v>
      </c>
      <c r="Q45" s="276">
        <f>Q14*'OLD Formulas'!$C21</f>
        <v>14055.44751</v>
      </c>
      <c r="R45" s="276">
        <f>R14*'OLD Formulas'!$C21</f>
        <v>9247.004941</v>
      </c>
      <c r="S45" s="276">
        <f>S14*'OLD Formulas'!$C21</f>
        <v>14240.38761</v>
      </c>
      <c r="T45" s="276">
        <f>T14*'OLD Formulas'!$C21</f>
        <v>11466.28613</v>
      </c>
      <c r="U45" s="276">
        <f>U14*'OLD Formulas'!$C21</f>
        <v>13038.27697</v>
      </c>
      <c r="V45" s="276">
        <f>V14*'OLD Formulas'!$C21</f>
        <v>12113.57647</v>
      </c>
      <c r="W45" s="276">
        <f>W14*'OLD Formulas'!$C21</f>
        <v>12298.51657</v>
      </c>
      <c r="X45" s="276">
        <f>X14*'OLD Formulas'!$C21</f>
        <v>13223.21707</v>
      </c>
      <c r="Y45" s="276">
        <f>Y14*'OLD Formulas'!$C21</f>
        <v>7675.014101</v>
      </c>
      <c r="Z45" s="276">
        <f>Z14*'OLD Formulas'!$C21</f>
        <v>7027.723755</v>
      </c>
      <c r="AA45" s="276">
        <f>AA14*'OLD Formulas'!$C21</f>
        <v>5918.083162</v>
      </c>
      <c r="AB45" s="276">
        <f>AB14*'OLD Formulas'!$C21</f>
        <v>7490.074002</v>
      </c>
      <c r="AC45" s="276">
        <f>AC14*'OLD Formulas'!$C21</f>
        <v>7027.723755</v>
      </c>
      <c r="AD45" s="276">
        <f>AD14*'OLD Formulas'!$C21</f>
        <v>5640.673014</v>
      </c>
      <c r="AE45" s="276">
        <f>AE14*'OLD Formulas'!$C21</f>
        <v>7212.663854</v>
      </c>
      <c r="AF45" s="276">
        <f>AF14*'OLD Formulas'!$C21</f>
        <v>6010.553212</v>
      </c>
      <c r="AG45" s="360">
        <f t="shared" si="1"/>
        <v>350461.4873</v>
      </c>
    </row>
    <row r="46">
      <c r="A46" s="302" t="s">
        <v>458</v>
      </c>
      <c r="B46" s="396">
        <f>B14*'OLD Formulas'!$C22</f>
        <v>1175.337</v>
      </c>
      <c r="C46" s="276">
        <f>C14*'OLD Formulas'!$C22</f>
        <v>1645.4718</v>
      </c>
      <c r="D46" s="276">
        <f>D14*'OLD Formulas'!$C22</f>
        <v>1136.1591</v>
      </c>
      <c r="E46" s="276">
        <f>E14*'OLD Formulas'!$C22</f>
        <v>1658.5311</v>
      </c>
      <c r="F46" s="276">
        <f>F14*'OLD Formulas'!$C22</f>
        <v>1436.523</v>
      </c>
      <c r="G46" s="276">
        <f>G14*'OLD Formulas'!$C22</f>
        <v>1593.2346</v>
      </c>
      <c r="H46" s="276">
        <f>H14*'OLD Formulas'!$C22</f>
        <v>1658.5311</v>
      </c>
      <c r="I46" s="276">
        <f>I14*'OLD Formulas'!$C22</f>
        <v>2233.1403</v>
      </c>
      <c r="J46" s="276">
        <f>J14*'OLD Formulas'!$C22</f>
        <v>1958.895</v>
      </c>
      <c r="K46" s="276">
        <f>K14*'OLD Formulas'!$C22</f>
        <v>1958.895</v>
      </c>
      <c r="L46" s="276">
        <f>L14*'OLD Formulas'!$C22</f>
        <v>1749.9462</v>
      </c>
      <c r="M46" s="276">
        <f>M14*'OLD Formulas'!$C22</f>
        <v>1619.3532</v>
      </c>
      <c r="N46" s="276">
        <f>N14*'OLD Formulas'!$C22</f>
        <v>3029.7576</v>
      </c>
      <c r="O46" s="276">
        <f>O14*'OLD Formulas'!$C22</f>
        <v>2807.7495</v>
      </c>
      <c r="P46" s="276">
        <f>P14*'OLD Formulas'!$C22</f>
        <v>2128.6659</v>
      </c>
      <c r="Q46" s="276">
        <f>Q14*'OLD Formulas'!$C22</f>
        <v>1985.0136</v>
      </c>
      <c r="R46" s="276">
        <f>R14*'OLD Formulas'!$C22</f>
        <v>1305.93</v>
      </c>
      <c r="S46" s="276">
        <f>S14*'OLD Formulas'!$C22</f>
        <v>2011.1322</v>
      </c>
      <c r="T46" s="276">
        <f>T14*'OLD Formulas'!$C22</f>
        <v>1619.3532</v>
      </c>
      <c r="U46" s="276">
        <f>U14*'OLD Formulas'!$C22</f>
        <v>1841.3613</v>
      </c>
      <c r="V46" s="276">
        <f>V14*'OLD Formulas'!$C22</f>
        <v>1710.7683</v>
      </c>
      <c r="W46" s="276">
        <f>W14*'OLD Formulas'!$C22</f>
        <v>1736.8869</v>
      </c>
      <c r="X46" s="276">
        <f>X14*'OLD Formulas'!$C22</f>
        <v>1867.4799</v>
      </c>
      <c r="Y46" s="276">
        <f>Y14*'OLD Formulas'!$C22</f>
        <v>1083.9219</v>
      </c>
      <c r="Z46" s="276">
        <f>Z14*'OLD Formulas'!$C22</f>
        <v>992.5068</v>
      </c>
      <c r="AA46" s="276">
        <f>AA14*'OLD Formulas'!$C22</f>
        <v>835.7952</v>
      </c>
      <c r="AB46" s="276">
        <f>AB14*'OLD Formulas'!$C22</f>
        <v>1057.8033</v>
      </c>
      <c r="AC46" s="276">
        <f>AC14*'OLD Formulas'!$C22</f>
        <v>992.5068</v>
      </c>
      <c r="AD46" s="276">
        <f>AD14*'OLD Formulas'!$C22</f>
        <v>796.6173</v>
      </c>
      <c r="AE46" s="276">
        <f>AE14*'OLD Formulas'!$C22</f>
        <v>1018.6254</v>
      </c>
      <c r="AF46" s="276">
        <f>AF14*'OLD Formulas'!$C22</f>
        <v>848.8545</v>
      </c>
      <c r="AG46" s="360">
        <f t="shared" si="1"/>
        <v>49494.747</v>
      </c>
    </row>
    <row r="47">
      <c r="A47" s="302" t="s">
        <v>466</v>
      </c>
      <c r="B47" s="396">
        <f>B14*'OLD Formulas'!$C23</f>
        <v>1355.4</v>
      </c>
      <c r="C47" s="276">
        <f>C14*'OLD Formulas'!$C23</f>
        <v>1897.56</v>
      </c>
      <c r="D47" s="276">
        <f>D14*'OLD Formulas'!$C23</f>
        <v>1310.22</v>
      </c>
      <c r="E47" s="276">
        <f>E14*'OLD Formulas'!$C23</f>
        <v>1912.62</v>
      </c>
      <c r="F47" s="276">
        <f>F14*'OLD Formulas'!$C23</f>
        <v>1656.6</v>
      </c>
      <c r="G47" s="276">
        <f>G14*'OLD Formulas'!$C23</f>
        <v>1837.32</v>
      </c>
      <c r="H47" s="276">
        <f>H14*'OLD Formulas'!$C23</f>
        <v>1912.62</v>
      </c>
      <c r="I47" s="276">
        <f>I14*'OLD Formulas'!$C23</f>
        <v>2575.26</v>
      </c>
      <c r="J47" s="276">
        <f>J14*'OLD Formulas'!$C23</f>
        <v>2259</v>
      </c>
      <c r="K47" s="276">
        <f>K14*'OLD Formulas'!$C23</f>
        <v>2259</v>
      </c>
      <c r="L47" s="276">
        <f>L14*'OLD Formulas'!$C23</f>
        <v>2018.04</v>
      </c>
      <c r="M47" s="276">
        <f>M14*'OLD Formulas'!$C23</f>
        <v>1867.44</v>
      </c>
      <c r="N47" s="276">
        <f>N14*'OLD Formulas'!$C23</f>
        <v>3493.92</v>
      </c>
      <c r="O47" s="276">
        <f>O14*'OLD Formulas'!$C23</f>
        <v>3237.9</v>
      </c>
      <c r="P47" s="276">
        <f>P14*'OLD Formulas'!$C23</f>
        <v>2454.78</v>
      </c>
      <c r="Q47" s="276">
        <f>Q14*'OLD Formulas'!$C23</f>
        <v>2289.12</v>
      </c>
      <c r="R47" s="276">
        <f>R14*'OLD Formulas'!$C23</f>
        <v>1506</v>
      </c>
      <c r="S47" s="276">
        <f>S14*'OLD Formulas'!$C23</f>
        <v>2319.24</v>
      </c>
      <c r="T47" s="276">
        <f>T14*'OLD Formulas'!$C23</f>
        <v>1867.44</v>
      </c>
      <c r="U47" s="276">
        <f>U14*'OLD Formulas'!$C23</f>
        <v>2123.46</v>
      </c>
      <c r="V47" s="276">
        <f>V14*'OLD Formulas'!$C23</f>
        <v>1972.86</v>
      </c>
      <c r="W47" s="276">
        <f>W14*'OLD Formulas'!$C23</f>
        <v>2002.98</v>
      </c>
      <c r="X47" s="276">
        <f>X14*'OLD Formulas'!$C23</f>
        <v>2153.58</v>
      </c>
      <c r="Y47" s="276">
        <f>Y14*'OLD Formulas'!$C23</f>
        <v>1249.98</v>
      </c>
      <c r="Z47" s="276">
        <f>Z14*'OLD Formulas'!$C23</f>
        <v>1144.56</v>
      </c>
      <c r="AA47" s="276">
        <f>AA14*'OLD Formulas'!$C23</f>
        <v>963.84</v>
      </c>
      <c r="AB47" s="276">
        <f>AB14*'OLD Formulas'!$C23</f>
        <v>1219.86</v>
      </c>
      <c r="AC47" s="276">
        <f>AC14*'OLD Formulas'!$C23</f>
        <v>1144.56</v>
      </c>
      <c r="AD47" s="276">
        <f>AD14*'OLD Formulas'!$C23</f>
        <v>918.66</v>
      </c>
      <c r="AE47" s="276">
        <f>AE14*'OLD Formulas'!$C23</f>
        <v>1174.68</v>
      </c>
      <c r="AF47" s="276">
        <f>AF14*'OLD Formulas'!$C23</f>
        <v>978.9</v>
      </c>
      <c r="AG47" s="360">
        <f t="shared" si="1"/>
        <v>57077.4</v>
      </c>
    </row>
    <row r="48">
      <c r="A48" s="302" t="s">
        <v>474</v>
      </c>
      <c r="B48" s="396">
        <f>B14*'OLD Formulas'!$C24</f>
        <v>980.1</v>
      </c>
      <c r="C48" s="276">
        <f>C14*'OLD Formulas'!$C24</f>
        <v>1372.14</v>
      </c>
      <c r="D48" s="276">
        <f>D14*'OLD Formulas'!$C24</f>
        <v>947.43</v>
      </c>
      <c r="E48" s="276">
        <f>E14*'OLD Formulas'!$C24</f>
        <v>1383.03</v>
      </c>
      <c r="F48" s="276">
        <f>F14*'OLD Formulas'!$C24</f>
        <v>1197.9</v>
      </c>
      <c r="G48" s="276">
        <f>G14*'OLD Formulas'!$C24</f>
        <v>1328.58</v>
      </c>
      <c r="H48" s="276">
        <f>H14*'OLD Formulas'!$C24</f>
        <v>1383.03</v>
      </c>
      <c r="I48" s="276">
        <f>I14*'OLD Formulas'!$C24</f>
        <v>1862.19</v>
      </c>
      <c r="J48" s="276">
        <f>J14*'OLD Formulas'!$C24</f>
        <v>1633.5</v>
      </c>
      <c r="K48" s="276">
        <f>K14*'OLD Formulas'!$C24</f>
        <v>1633.5</v>
      </c>
      <c r="L48" s="276">
        <f>L14*'OLD Formulas'!$C24</f>
        <v>1459.26</v>
      </c>
      <c r="M48" s="276">
        <f>M14*'OLD Formulas'!$C24</f>
        <v>1350.36</v>
      </c>
      <c r="N48" s="276">
        <f>N14*'OLD Formulas'!$C24</f>
        <v>2526.48</v>
      </c>
      <c r="O48" s="276">
        <f>O14*'OLD Formulas'!$C24</f>
        <v>2341.35</v>
      </c>
      <c r="P48" s="276">
        <f>P14*'OLD Formulas'!$C24</f>
        <v>1775.07</v>
      </c>
      <c r="Q48" s="276">
        <f>Q14*'OLD Formulas'!$C24</f>
        <v>1655.28</v>
      </c>
      <c r="R48" s="276">
        <f>R14*'OLD Formulas'!$C24</f>
        <v>1089</v>
      </c>
      <c r="S48" s="276">
        <f>S14*'OLD Formulas'!$C24</f>
        <v>1677.06</v>
      </c>
      <c r="T48" s="276">
        <f>T14*'OLD Formulas'!$C24</f>
        <v>1350.36</v>
      </c>
      <c r="U48" s="276">
        <f>U14*'OLD Formulas'!$C24</f>
        <v>1535.49</v>
      </c>
      <c r="V48" s="276">
        <f>V14*'OLD Formulas'!$C24</f>
        <v>1426.59</v>
      </c>
      <c r="W48" s="276">
        <f>W14*'OLD Formulas'!$C24</f>
        <v>1448.37</v>
      </c>
      <c r="X48" s="276">
        <f>X14*'OLD Formulas'!$C24</f>
        <v>1557.27</v>
      </c>
      <c r="Y48" s="276">
        <f>Y14*'OLD Formulas'!$C24</f>
        <v>903.87</v>
      </c>
      <c r="Z48" s="276">
        <f>Z14*'OLD Formulas'!$C24</f>
        <v>827.64</v>
      </c>
      <c r="AA48" s="276">
        <f>AA14*'OLD Formulas'!$C24</f>
        <v>696.96</v>
      </c>
      <c r="AB48" s="276">
        <f>AB14*'OLD Formulas'!$C24</f>
        <v>882.09</v>
      </c>
      <c r="AC48" s="276">
        <f>AC14*'OLD Formulas'!$C24</f>
        <v>827.64</v>
      </c>
      <c r="AD48" s="276">
        <f>AD14*'OLD Formulas'!$C24</f>
        <v>664.29</v>
      </c>
      <c r="AE48" s="276">
        <f>AE14*'OLD Formulas'!$C24</f>
        <v>849.42</v>
      </c>
      <c r="AF48" s="276">
        <f>AF14*'OLD Formulas'!$C24</f>
        <v>707.85</v>
      </c>
      <c r="AG48" s="360">
        <f t="shared" si="1"/>
        <v>41273.1</v>
      </c>
    </row>
    <row r="49">
      <c r="A49" s="302" t="s">
        <v>144</v>
      </c>
      <c r="B49" s="396">
        <f>B14*'OLD Formulas'!$C25</f>
        <v>624.1728335</v>
      </c>
      <c r="C49" s="276">
        <f>C14*'OLD Formulas'!$C25</f>
        <v>873.8419669</v>
      </c>
      <c r="D49" s="276">
        <f>D14*'OLD Formulas'!$C25</f>
        <v>603.3670724</v>
      </c>
      <c r="E49" s="276">
        <f>E14*'OLD Formulas'!$C25</f>
        <v>880.7772206</v>
      </c>
      <c r="F49" s="276">
        <f>F14*'OLD Formulas'!$C25</f>
        <v>762.8779076</v>
      </c>
      <c r="G49" s="276">
        <f>G14*'OLD Formulas'!$C25</f>
        <v>846.1009521</v>
      </c>
      <c r="H49" s="276">
        <f>H14*'OLD Formulas'!$C25</f>
        <v>880.7772206</v>
      </c>
      <c r="I49" s="276">
        <f>I14*'OLD Formulas'!$C25</f>
        <v>1185.928384</v>
      </c>
      <c r="J49" s="276">
        <f>J14*'OLD Formulas'!$C25</f>
        <v>1040.288056</v>
      </c>
      <c r="K49" s="276">
        <f>K14*'OLD Formulas'!$C25</f>
        <v>1040.288056</v>
      </c>
      <c r="L49" s="276">
        <f>L14*'OLD Formulas'!$C25</f>
        <v>929.3239966</v>
      </c>
      <c r="M49" s="276">
        <f>M14*'OLD Formulas'!$C25</f>
        <v>859.9714595</v>
      </c>
      <c r="N49" s="276">
        <f>N14*'OLD Formulas'!$C25</f>
        <v>1608.97886</v>
      </c>
      <c r="O49" s="276">
        <f>O14*'OLD Formulas'!$C25</f>
        <v>1491.079547</v>
      </c>
      <c r="P49" s="276">
        <f>P14*'OLD Formulas'!$C25</f>
        <v>1130.446354</v>
      </c>
      <c r="Q49" s="276">
        <f>Q14*'OLD Formulas'!$C25</f>
        <v>1054.158563</v>
      </c>
      <c r="R49" s="276">
        <f>R14*'OLD Formulas'!$C25</f>
        <v>693.5253706</v>
      </c>
      <c r="S49" s="276">
        <f>S14*'OLD Formulas'!$C25</f>
        <v>1068.029071</v>
      </c>
      <c r="T49" s="276">
        <f>T14*'OLD Formulas'!$C25</f>
        <v>859.9714595</v>
      </c>
      <c r="U49" s="276">
        <f>U14*'OLD Formulas'!$C25</f>
        <v>977.8707725</v>
      </c>
      <c r="V49" s="276">
        <f>V14*'OLD Formulas'!$C25</f>
        <v>908.5182354</v>
      </c>
      <c r="W49" s="276">
        <f>W14*'OLD Formulas'!$C25</f>
        <v>922.3887429</v>
      </c>
      <c r="X49" s="276">
        <f>X14*'OLD Formulas'!$C25</f>
        <v>991.7412799</v>
      </c>
      <c r="Y49" s="276">
        <f>Y14*'OLD Formulas'!$C25</f>
        <v>575.6260576</v>
      </c>
      <c r="Z49" s="276">
        <f>Z14*'OLD Formulas'!$C25</f>
        <v>527.0792816</v>
      </c>
      <c r="AA49" s="276">
        <f>AA14*'OLD Formulas'!$C25</f>
        <v>443.8562372</v>
      </c>
      <c r="AB49" s="276">
        <f>AB14*'OLD Formulas'!$C25</f>
        <v>561.7555502</v>
      </c>
      <c r="AC49" s="276">
        <f>AC14*'OLD Formulas'!$C25</f>
        <v>527.0792816</v>
      </c>
      <c r="AD49" s="276">
        <f>AD14*'OLD Formulas'!$C25</f>
        <v>423.050476</v>
      </c>
      <c r="AE49" s="276">
        <f>AE14*'OLD Formulas'!$C25</f>
        <v>540.949789</v>
      </c>
      <c r="AF49" s="276">
        <f>AF14*'OLD Formulas'!$C25</f>
        <v>450.7914909</v>
      </c>
      <c r="AG49" s="360">
        <f t="shared" si="1"/>
        <v>26284.61154</v>
      </c>
    </row>
    <row r="50">
      <c r="A50" s="302" t="s">
        <v>149</v>
      </c>
      <c r="B50" s="396">
        <f>B14*'OLD Formulas'!$C26</f>
        <v>11.8018075</v>
      </c>
      <c r="C50" s="276">
        <f>C14*'OLD Formulas'!$C26</f>
        <v>16.52253049</v>
      </c>
      <c r="D50" s="276">
        <f>D14*'OLD Formulas'!$C26</f>
        <v>11.40841391</v>
      </c>
      <c r="E50" s="276">
        <f>E14*'OLD Formulas'!$C26</f>
        <v>16.65366169</v>
      </c>
      <c r="F50" s="276">
        <f>F14*'OLD Formulas'!$C26</f>
        <v>14.42443138</v>
      </c>
      <c r="G50" s="276">
        <f>G14*'OLD Formulas'!$C26</f>
        <v>15.99800572</v>
      </c>
      <c r="H50" s="276">
        <f>H14*'OLD Formulas'!$C26</f>
        <v>16.65366169</v>
      </c>
      <c r="I50" s="276">
        <f>I14*'OLD Formulas'!$C26</f>
        <v>22.42343424</v>
      </c>
      <c r="J50" s="276">
        <f>J14*'OLD Formulas'!$C26</f>
        <v>19.66967916</v>
      </c>
      <c r="K50" s="276">
        <f>K14*'OLD Formulas'!$C26</f>
        <v>19.66967916</v>
      </c>
      <c r="L50" s="276">
        <f>L14*'OLD Formulas'!$C26</f>
        <v>17.57158005</v>
      </c>
      <c r="M50" s="276">
        <f>M14*'OLD Formulas'!$C26</f>
        <v>16.2602681</v>
      </c>
      <c r="N50" s="276">
        <f>N14*'OLD Formulas'!$C26</f>
        <v>30.4224371</v>
      </c>
      <c r="O50" s="276">
        <f>O14*'OLD Formulas'!$C26</f>
        <v>28.19320679</v>
      </c>
      <c r="P50" s="276">
        <f>P14*'OLD Formulas'!$C26</f>
        <v>21.37438469</v>
      </c>
      <c r="Q50" s="276">
        <f>Q14*'OLD Formulas'!$C26</f>
        <v>19.93194155</v>
      </c>
      <c r="R50" s="276">
        <f>R14*'OLD Formulas'!$C26</f>
        <v>13.11311944</v>
      </c>
      <c r="S50" s="276">
        <f>S14*'OLD Formulas'!$C26</f>
        <v>20.19420394</v>
      </c>
      <c r="T50" s="276">
        <f>T14*'OLD Formulas'!$C26</f>
        <v>16.2602681</v>
      </c>
      <c r="U50" s="276">
        <f>U14*'OLD Formulas'!$C26</f>
        <v>18.48949841</v>
      </c>
      <c r="V50" s="276">
        <f>V14*'OLD Formulas'!$C26</f>
        <v>17.17818647</v>
      </c>
      <c r="W50" s="276">
        <f>W14*'OLD Formulas'!$C26</f>
        <v>17.44044885</v>
      </c>
      <c r="X50" s="276">
        <f>X14*'OLD Formulas'!$C26</f>
        <v>18.7517608</v>
      </c>
      <c r="Y50" s="276">
        <f>Y14*'OLD Formulas'!$C26</f>
        <v>10.88388913</v>
      </c>
      <c r="Z50" s="276">
        <f>Z14*'OLD Formulas'!$C26</f>
        <v>9.965970774</v>
      </c>
      <c r="AA50" s="276">
        <f>AA14*'OLD Formulas'!$C26</f>
        <v>8.392396441</v>
      </c>
      <c r="AB50" s="276">
        <f>AB14*'OLD Formulas'!$C26</f>
        <v>10.62162675</v>
      </c>
      <c r="AC50" s="276">
        <f>AC14*'OLD Formulas'!$C26</f>
        <v>9.965970774</v>
      </c>
      <c r="AD50" s="276">
        <f>AD14*'OLD Formulas'!$C26</f>
        <v>7.999002858</v>
      </c>
      <c r="AE50" s="276">
        <f>AE14*'OLD Formulas'!$C26</f>
        <v>10.22823316</v>
      </c>
      <c r="AF50" s="276">
        <f>AF14*'OLD Formulas'!$C26</f>
        <v>8.523527635</v>
      </c>
      <c r="AG50" s="360">
        <f t="shared" si="1"/>
        <v>496.9872267</v>
      </c>
    </row>
    <row r="51">
      <c r="A51" s="302" t="s">
        <v>483</v>
      </c>
      <c r="B51" s="396">
        <f>B14*'OLD Formulas'!$C29</f>
        <v>0</v>
      </c>
      <c r="C51" s="276">
        <f>C14*'OLD Formulas'!$C29</f>
        <v>0</v>
      </c>
      <c r="D51" s="276">
        <f>D14*'OLD Formulas'!$C29</f>
        <v>0</v>
      </c>
      <c r="E51" s="276">
        <f>E14*'OLD Formulas'!$C29</f>
        <v>0</v>
      </c>
      <c r="F51" s="276">
        <f>F14*'OLD Formulas'!$C29</f>
        <v>0</v>
      </c>
      <c r="G51" s="276">
        <f>G14*'OLD Formulas'!$C29</f>
        <v>0</v>
      </c>
      <c r="H51" s="276">
        <f>H14*'OLD Formulas'!$C29</f>
        <v>0</v>
      </c>
      <c r="I51" s="276">
        <f>I14*'OLD Formulas'!$C29</f>
        <v>0</v>
      </c>
      <c r="J51" s="276">
        <f>J14*'OLD Formulas'!$C29</f>
        <v>0</v>
      </c>
      <c r="K51" s="276">
        <f>K14*'OLD Formulas'!$C29</f>
        <v>0</v>
      </c>
      <c r="L51" s="276">
        <f>L14*'OLD Formulas'!$C29</f>
        <v>0</v>
      </c>
      <c r="M51" s="276">
        <f>M14*'OLD Formulas'!$C29</f>
        <v>0</v>
      </c>
      <c r="N51" s="276">
        <f>N14*'OLD Formulas'!$C29</f>
        <v>0</v>
      </c>
      <c r="O51" s="276">
        <f>O14*'OLD Formulas'!$C29</f>
        <v>0</v>
      </c>
      <c r="P51" s="276">
        <f>P14*'OLD Formulas'!$C29</f>
        <v>0</v>
      </c>
      <c r="Q51" s="276">
        <f>Q14*'OLD Formulas'!$C29</f>
        <v>0</v>
      </c>
      <c r="R51" s="276">
        <f>R14*'OLD Formulas'!$C29</f>
        <v>0</v>
      </c>
      <c r="S51" s="276">
        <f>S14*'OLD Formulas'!$C29</f>
        <v>0</v>
      </c>
      <c r="T51" s="276">
        <f>T14*'OLD Formulas'!$C29</f>
        <v>0</v>
      </c>
      <c r="U51" s="276">
        <f>U14*'OLD Formulas'!$C29</f>
        <v>0</v>
      </c>
      <c r="V51" s="276">
        <f>V14*'OLD Formulas'!$C29</f>
        <v>0</v>
      </c>
      <c r="W51" s="276">
        <f>W14*'OLD Formulas'!$C29</f>
        <v>0</v>
      </c>
      <c r="X51" s="276">
        <f>X14*'OLD Formulas'!$C29</f>
        <v>0</v>
      </c>
      <c r="Y51" s="276">
        <f>Y14*'OLD Formulas'!$C29</f>
        <v>0</v>
      </c>
      <c r="Z51" s="276">
        <f>Z14*'OLD Formulas'!$C29</f>
        <v>0</v>
      </c>
      <c r="AA51" s="276">
        <f>AA14*'OLD Formulas'!$C29</f>
        <v>0</v>
      </c>
      <c r="AB51" s="276">
        <f>AB14*'OLD Formulas'!$C29</f>
        <v>0</v>
      </c>
      <c r="AC51" s="276">
        <f>AC14*'OLD Formulas'!$C29</f>
        <v>0</v>
      </c>
      <c r="AD51" s="276">
        <f>AD14*'OLD Formulas'!$C29</f>
        <v>0</v>
      </c>
      <c r="AE51" s="276">
        <f>AE14*'OLD Formulas'!$C29</f>
        <v>0</v>
      </c>
      <c r="AF51" s="276">
        <f>AF14*'OLD Formulas'!$C29</f>
        <v>0</v>
      </c>
      <c r="AG51" s="360">
        <f t="shared" si="1"/>
        <v>0</v>
      </c>
    </row>
    <row r="52">
      <c r="A52" s="302" t="s">
        <v>490</v>
      </c>
      <c r="B52" s="396">
        <f>B14*'OLD Formulas'!$C30</f>
        <v>27</v>
      </c>
      <c r="C52" s="276">
        <f>C14*'OLD Formulas'!$C30</f>
        <v>37.8</v>
      </c>
      <c r="D52" s="276">
        <f>D14*'OLD Formulas'!$C30</f>
        <v>26.1</v>
      </c>
      <c r="E52" s="276">
        <f>E14*'OLD Formulas'!$C30</f>
        <v>38.1</v>
      </c>
      <c r="F52" s="276">
        <f>F14*'OLD Formulas'!$C30</f>
        <v>33</v>
      </c>
      <c r="G52" s="276">
        <f>G14*'OLD Formulas'!$C30</f>
        <v>36.6</v>
      </c>
      <c r="H52" s="276">
        <f>H14*'OLD Formulas'!$C30</f>
        <v>38.1</v>
      </c>
      <c r="I52" s="276">
        <f>I14*'OLD Formulas'!$C30</f>
        <v>51.3</v>
      </c>
      <c r="J52" s="276">
        <f>J14*'OLD Formulas'!$C30</f>
        <v>45</v>
      </c>
      <c r="K52" s="276">
        <f>K14*'OLD Formulas'!$C30</f>
        <v>45</v>
      </c>
      <c r="L52" s="276">
        <f>L14*'OLD Formulas'!$C30</f>
        <v>40.2</v>
      </c>
      <c r="M52" s="276">
        <f>M14*'OLD Formulas'!$C30</f>
        <v>37.2</v>
      </c>
      <c r="N52" s="276">
        <f>N14*'OLD Formulas'!$C30</f>
        <v>69.6</v>
      </c>
      <c r="O52" s="276">
        <f>O14*'OLD Formulas'!$C30</f>
        <v>64.5</v>
      </c>
      <c r="P52" s="276">
        <f>P14*'OLD Formulas'!$C30</f>
        <v>48.9</v>
      </c>
      <c r="Q52" s="276">
        <f>Q14*'OLD Formulas'!$C30</f>
        <v>45.6</v>
      </c>
      <c r="R52" s="276">
        <f>R14*'OLD Formulas'!$C30</f>
        <v>30</v>
      </c>
      <c r="S52" s="276">
        <f>S14*'OLD Formulas'!$C30</f>
        <v>46.2</v>
      </c>
      <c r="T52" s="276">
        <f>T14*'OLD Formulas'!$C30</f>
        <v>37.2</v>
      </c>
      <c r="U52" s="276">
        <f>U14*'OLD Formulas'!$C30</f>
        <v>42.3</v>
      </c>
      <c r="V52" s="276">
        <f>V14*'OLD Formulas'!$C30</f>
        <v>39.3</v>
      </c>
      <c r="W52" s="276">
        <f>W14*'OLD Formulas'!$C30</f>
        <v>39.9</v>
      </c>
      <c r="X52" s="276">
        <f>X14*'OLD Formulas'!$C30</f>
        <v>42.9</v>
      </c>
      <c r="Y52" s="276">
        <f>Y14*'OLD Formulas'!$C30</f>
        <v>24.9</v>
      </c>
      <c r="Z52" s="276">
        <f>Z14*'OLD Formulas'!$C30</f>
        <v>22.8</v>
      </c>
      <c r="AA52" s="276">
        <f>AA14*'OLD Formulas'!$C30</f>
        <v>19.2</v>
      </c>
      <c r="AB52" s="276">
        <f>AB14*'OLD Formulas'!$C30</f>
        <v>24.3</v>
      </c>
      <c r="AC52" s="276">
        <f>AC14*'OLD Formulas'!$C30</f>
        <v>22.8</v>
      </c>
      <c r="AD52" s="276">
        <f>AD14*'OLD Formulas'!$C30</f>
        <v>18.3</v>
      </c>
      <c r="AE52" s="276">
        <f>AE14*'OLD Formulas'!$C30</f>
        <v>23.4</v>
      </c>
      <c r="AF52" s="276">
        <f>AF14*'OLD Formulas'!$C30</f>
        <v>19.5</v>
      </c>
      <c r="AG52" s="360">
        <f t="shared" si="1"/>
        <v>1137</v>
      </c>
    </row>
    <row r="53">
      <c r="A53" s="337" t="s">
        <v>491</v>
      </c>
      <c r="B53" s="276">
        <f>B26*'OLD Formulas'!$C35</f>
        <v>642.93087</v>
      </c>
      <c r="C53" s="276">
        <f>C26*'OLD Formulas'!$C35</f>
        <v>973.27741</v>
      </c>
      <c r="D53" s="276">
        <f>D26*'OLD Formulas'!$C35</f>
        <v>634.02555</v>
      </c>
      <c r="E53" s="276">
        <f>E26*'OLD Formulas'!$C35</f>
        <v>913.59222</v>
      </c>
      <c r="F53" s="276">
        <f>F26*'OLD Formulas'!$C35</f>
        <v>763.56217</v>
      </c>
      <c r="G53" s="276">
        <f>G26*'OLD Formulas'!$C35</f>
        <v>857.81536</v>
      </c>
      <c r="H53" s="276">
        <f>H26*'OLD Formulas'!$C35</f>
        <v>874.08233</v>
      </c>
      <c r="I53" s="276">
        <f>I26*'OLD Formulas'!$C35</f>
        <v>1231.7692</v>
      </c>
      <c r="J53" s="276">
        <f>J26*'OLD Formulas'!$C35</f>
        <v>1097.86924</v>
      </c>
      <c r="K53" s="276">
        <f>K26*'OLD Formulas'!$C35</f>
        <v>1042.85769</v>
      </c>
      <c r="L53" s="276">
        <f>L26*'OLD Formulas'!$C35</f>
        <v>935.10993</v>
      </c>
      <c r="M53" s="276">
        <f>M26*'OLD Formulas'!$C35</f>
        <v>887.22774</v>
      </c>
      <c r="N53" s="276">
        <f>N26*'OLD Formulas'!$C35</f>
        <v>1610.37319</v>
      </c>
      <c r="O53" s="276">
        <f>O26*'OLD Formulas'!$C35</f>
        <v>1560.75883</v>
      </c>
      <c r="P53" s="276">
        <f>P26*'OLD Formulas'!$C35</f>
        <v>1140.47865</v>
      </c>
      <c r="Q53" s="276">
        <f>Q26*'OLD Formulas'!$C35</f>
        <v>1061.71494</v>
      </c>
      <c r="R53" s="276">
        <f>R26*'OLD Formulas'!$C35</f>
        <v>700.35319</v>
      </c>
      <c r="S53" s="276">
        <f>S26*'OLD Formulas'!$C35</f>
        <v>1067.48246</v>
      </c>
      <c r="T53" s="276">
        <f>T26*'OLD Formulas'!$C35</f>
        <v>896.06433</v>
      </c>
      <c r="U53" s="276">
        <f>U26*'OLD Formulas'!$C35</f>
        <v>1037.79864</v>
      </c>
      <c r="V53" s="276">
        <f>V26*'OLD Formulas'!$C35</f>
        <v>929.11099</v>
      </c>
      <c r="W53" s="276">
        <f>W26*'OLD Formulas'!$C35</f>
        <v>981.21848</v>
      </c>
      <c r="X53" s="276">
        <f>X26*'OLD Formulas'!$C35</f>
        <v>986.47792</v>
      </c>
      <c r="Y53" s="276">
        <f>Y26*'OLD Formulas'!$C35</f>
        <v>601.91907</v>
      </c>
      <c r="Z53" s="276">
        <f>Z26*'OLD Formulas'!$C35</f>
        <v>629.16863</v>
      </c>
      <c r="AA53" s="276">
        <f>AA26*'OLD Formulas'!$C35</f>
        <v>492.70217</v>
      </c>
      <c r="AB53" s="276">
        <f>AB26*'OLD Formulas'!$C35</f>
        <v>646.07476</v>
      </c>
      <c r="AC53" s="276">
        <f>AC26*'OLD Formulas'!$C35</f>
        <v>584.25894</v>
      </c>
      <c r="AD53" s="276">
        <f>AD26*'OLD Formulas'!$C35</f>
        <v>434.44842</v>
      </c>
      <c r="AE53" s="276">
        <f>AE26*'OLD Formulas'!$C35</f>
        <v>574.0173</v>
      </c>
      <c r="AF53" s="276">
        <f>AF26*'OLD Formulas'!$C35</f>
        <v>524.12135</v>
      </c>
      <c r="AG53" s="360">
        <f t="shared" si="1"/>
        <v>27312.66197</v>
      </c>
    </row>
    <row r="54">
      <c r="A54" s="343" t="s">
        <v>493</v>
      </c>
      <c r="B54" s="462">
        <f>B14*'OLD Formulas'!$C28</f>
        <v>27</v>
      </c>
      <c r="C54" s="462">
        <f>C14*'OLD Formulas'!$C28</f>
        <v>37.8</v>
      </c>
      <c r="D54" s="462">
        <f>D14*'OLD Formulas'!$C28</f>
        <v>26.1</v>
      </c>
      <c r="E54" s="462">
        <f>E14*'OLD Formulas'!$C28</f>
        <v>38.1</v>
      </c>
      <c r="F54" s="462">
        <f>F14*'OLD Formulas'!$C28</f>
        <v>33</v>
      </c>
      <c r="G54" s="462">
        <f>G14*'OLD Formulas'!$C28</f>
        <v>36.6</v>
      </c>
      <c r="H54" s="462">
        <f>H14*'OLD Formulas'!$C28</f>
        <v>38.1</v>
      </c>
      <c r="I54" s="462">
        <f>I14*'OLD Formulas'!$C28</f>
        <v>51.3</v>
      </c>
      <c r="J54" s="462">
        <f>J14*'OLD Formulas'!$C28</f>
        <v>45</v>
      </c>
      <c r="K54" s="462">
        <f>K14*'OLD Formulas'!$C28</f>
        <v>45</v>
      </c>
      <c r="L54" s="462">
        <f>L14*'OLD Formulas'!$C28</f>
        <v>40.2</v>
      </c>
      <c r="M54" s="462">
        <f>M14*'OLD Formulas'!$C28</f>
        <v>37.2</v>
      </c>
      <c r="N54" s="462">
        <f>N14*'OLD Formulas'!$C28</f>
        <v>69.6</v>
      </c>
      <c r="O54" s="462">
        <f>O14*'OLD Formulas'!$C28</f>
        <v>64.5</v>
      </c>
      <c r="P54" s="462">
        <f>P14*'OLD Formulas'!$C28</f>
        <v>48.9</v>
      </c>
      <c r="Q54" s="462">
        <f>Q14*'OLD Formulas'!$C28</f>
        <v>45.6</v>
      </c>
      <c r="R54" s="462">
        <f>R14*'OLD Formulas'!$C28</f>
        <v>30</v>
      </c>
      <c r="S54" s="462">
        <f>S14*'OLD Formulas'!$C28</f>
        <v>46.2</v>
      </c>
      <c r="T54" s="462">
        <f>T14*'OLD Formulas'!$C28</f>
        <v>37.2</v>
      </c>
      <c r="U54" s="462">
        <f>U14*'OLD Formulas'!$C28</f>
        <v>42.3</v>
      </c>
      <c r="V54" s="462">
        <f>V14*'OLD Formulas'!$C28</f>
        <v>39.3</v>
      </c>
      <c r="W54" s="462">
        <f>W14*'OLD Formulas'!$C28</f>
        <v>39.9</v>
      </c>
      <c r="X54" s="462">
        <f>X14*'OLD Formulas'!$C28</f>
        <v>42.9</v>
      </c>
      <c r="Y54" s="462">
        <f>Y14*'OLD Formulas'!$C28</f>
        <v>24.9</v>
      </c>
      <c r="Z54" s="462">
        <f>Z14*'OLD Formulas'!$C28</f>
        <v>22.8</v>
      </c>
      <c r="AA54" s="462">
        <f>AA14*'OLD Formulas'!$C28</f>
        <v>19.2</v>
      </c>
      <c r="AB54" s="462">
        <f>AB14*'OLD Formulas'!$C28</f>
        <v>24.3</v>
      </c>
      <c r="AC54" s="462">
        <f>AC14*'OLD Formulas'!$C28</f>
        <v>22.8</v>
      </c>
      <c r="AD54" s="462">
        <f>AD14*'OLD Formulas'!$C28</f>
        <v>18.3</v>
      </c>
      <c r="AE54" s="462">
        <f>AE14*'OLD Formulas'!$C28</f>
        <v>23.4</v>
      </c>
      <c r="AF54" s="462">
        <f>AF14*'OLD Formulas'!$C28</f>
        <v>19.5</v>
      </c>
      <c r="AG54" s="360">
        <f t="shared" si="1"/>
        <v>1137</v>
      </c>
    </row>
    <row r="55">
      <c r="A55" s="346" t="s">
        <v>151</v>
      </c>
      <c r="B55" s="153">
        <f t="shared" ref="B55:AF55" si="7">SUM(B45:B54)</f>
        <v>13166.04696</v>
      </c>
      <c r="C55" s="153">
        <f t="shared" si="7"/>
        <v>18505.63993</v>
      </c>
      <c r="D55" s="153">
        <f t="shared" si="7"/>
        <v>12739.70443</v>
      </c>
      <c r="E55" s="153">
        <f t="shared" si="7"/>
        <v>18585.10048</v>
      </c>
      <c r="F55" s="153">
        <f t="shared" si="7"/>
        <v>16069.59294</v>
      </c>
      <c r="G55" s="153">
        <f t="shared" si="7"/>
        <v>17833.59495</v>
      </c>
      <c r="H55" s="153">
        <f t="shared" si="7"/>
        <v>18545.59059</v>
      </c>
      <c r="I55" s="153">
        <f t="shared" si="7"/>
        <v>25025.68977</v>
      </c>
      <c r="J55" s="153">
        <f t="shared" si="7"/>
        <v>21969.72939</v>
      </c>
      <c r="K55" s="153">
        <f t="shared" si="7"/>
        <v>21914.71784</v>
      </c>
      <c r="L55" s="153">
        <f t="shared" si="7"/>
        <v>19580.63833</v>
      </c>
      <c r="M55" s="153">
        <f t="shared" si="7"/>
        <v>18141.29879</v>
      </c>
      <c r="N55" s="153">
        <f t="shared" si="7"/>
        <v>33892.18355</v>
      </c>
      <c r="O55" s="153">
        <f t="shared" si="7"/>
        <v>31477.09171</v>
      </c>
      <c r="P55" s="153">
        <f t="shared" si="7"/>
        <v>23821.23334</v>
      </c>
      <c r="Q55" s="153">
        <f t="shared" si="7"/>
        <v>22211.86656</v>
      </c>
      <c r="R55" s="153">
        <f t="shared" si="7"/>
        <v>14614.92662</v>
      </c>
      <c r="S55" s="153">
        <f t="shared" si="7"/>
        <v>22495.92554</v>
      </c>
      <c r="T55" s="153">
        <f t="shared" si="7"/>
        <v>18150.13538</v>
      </c>
      <c r="U55" s="153">
        <f t="shared" si="7"/>
        <v>20657.34718</v>
      </c>
      <c r="V55" s="153">
        <f t="shared" si="7"/>
        <v>19157.20218</v>
      </c>
      <c r="W55" s="153">
        <f t="shared" si="7"/>
        <v>19487.60114</v>
      </c>
      <c r="X55" s="153">
        <f t="shared" si="7"/>
        <v>20884.31793</v>
      </c>
      <c r="Y55" s="153">
        <f t="shared" si="7"/>
        <v>12151.01502</v>
      </c>
      <c r="Z55" s="153">
        <f t="shared" si="7"/>
        <v>11204.24444</v>
      </c>
      <c r="AA55" s="153">
        <f t="shared" si="7"/>
        <v>9398.029166</v>
      </c>
      <c r="AB55" s="153">
        <f t="shared" si="7"/>
        <v>11916.87924</v>
      </c>
      <c r="AC55" s="153">
        <f t="shared" si="7"/>
        <v>11159.33475</v>
      </c>
      <c r="AD55" s="153">
        <f t="shared" si="7"/>
        <v>8922.338213</v>
      </c>
      <c r="AE55" s="153">
        <f t="shared" si="7"/>
        <v>11427.38458</v>
      </c>
      <c r="AF55" s="153">
        <f t="shared" si="7"/>
        <v>9568.59408</v>
      </c>
      <c r="AG55" s="360">
        <f t="shared" si="1"/>
        <v>554674.995</v>
      </c>
    </row>
    <row r="56">
      <c r="A56" s="42"/>
      <c r="B56" s="465"/>
      <c r="C56" s="465"/>
      <c r="D56" s="465"/>
      <c r="E56" s="465"/>
      <c r="F56" s="465"/>
      <c r="G56" s="465"/>
      <c r="H56" s="465"/>
      <c r="I56" s="465"/>
      <c r="J56" s="465"/>
      <c r="K56" s="465"/>
      <c r="L56" s="465"/>
      <c r="M56" s="465"/>
      <c r="N56" s="465"/>
      <c r="O56" s="465"/>
      <c r="P56" s="465"/>
      <c r="Q56" s="465"/>
      <c r="R56" s="465"/>
      <c r="S56" s="465"/>
      <c r="T56" s="465"/>
      <c r="U56" s="465"/>
      <c r="V56" s="465"/>
      <c r="W56" s="465"/>
      <c r="X56" s="465"/>
      <c r="Y56" s="465"/>
      <c r="Z56" s="465"/>
      <c r="AA56" s="465"/>
      <c r="AB56" s="465"/>
      <c r="AC56" s="465"/>
      <c r="AD56" s="465"/>
      <c r="AE56" s="465"/>
      <c r="AF56" s="465"/>
      <c r="AG56" s="360">
        <f t="shared" si="1"/>
        <v>0</v>
      </c>
    </row>
    <row r="57">
      <c r="A57" s="347" t="s">
        <v>496</v>
      </c>
      <c r="B57" s="276">
        <f t="shared" ref="B57:AF57" si="8">B26-B42-B55</f>
        <v>-2323.876958</v>
      </c>
      <c r="C57" s="276">
        <f t="shared" si="8"/>
        <v>1537.680067</v>
      </c>
      <c r="D57" s="276">
        <f t="shared" si="8"/>
        <v>-6099.374435</v>
      </c>
      <c r="E57" s="276">
        <f t="shared" si="8"/>
        <v>-4473.510477</v>
      </c>
      <c r="F57" s="276">
        <f t="shared" si="8"/>
        <v>-6368.422944</v>
      </c>
      <c r="G57" s="276">
        <f t="shared" si="8"/>
        <v>-4962.784946</v>
      </c>
      <c r="H57" s="276">
        <f t="shared" si="8"/>
        <v>-5428.840587</v>
      </c>
      <c r="I57" s="276">
        <f t="shared" si="8"/>
        <v>-214.8097669</v>
      </c>
      <c r="J57" s="276">
        <f t="shared" si="8"/>
        <v>-5073.909386</v>
      </c>
      <c r="K57" s="276">
        <f t="shared" si="8"/>
        <v>-5946.867836</v>
      </c>
      <c r="L57" s="276">
        <f t="shared" si="8"/>
        <v>-5747.468327</v>
      </c>
      <c r="M57" s="276">
        <f t="shared" si="8"/>
        <v>-806.9187944</v>
      </c>
      <c r="N57" s="276">
        <f t="shared" si="8"/>
        <v>8119.52645</v>
      </c>
      <c r="O57" s="276">
        <f t="shared" si="8"/>
        <v>4914.848293</v>
      </c>
      <c r="P57" s="276">
        <f t="shared" si="8"/>
        <v>-7021.273342</v>
      </c>
      <c r="Q57" s="276">
        <f t="shared" si="8"/>
        <v>-11322.72656</v>
      </c>
      <c r="R57" s="276">
        <f t="shared" si="8"/>
        <v>-9603.166621</v>
      </c>
      <c r="S57" s="276">
        <f t="shared" si="8"/>
        <v>-6360.755544</v>
      </c>
      <c r="T57" s="276">
        <f t="shared" si="8"/>
        <v>-7451.285384</v>
      </c>
      <c r="U57" s="276">
        <f t="shared" si="8"/>
        <v>-5272.527178</v>
      </c>
      <c r="V57" s="276">
        <f t="shared" si="8"/>
        <v>-8570.042185</v>
      </c>
      <c r="W57" s="276">
        <f t="shared" si="8"/>
        <v>-9063.501143</v>
      </c>
      <c r="X57" s="276">
        <f t="shared" si="8"/>
        <v>-12742.26793</v>
      </c>
      <c r="Y57" s="276">
        <f t="shared" si="8"/>
        <v>-10089.51502</v>
      </c>
      <c r="Z57" s="276">
        <f t="shared" si="8"/>
        <v>-6148.744438</v>
      </c>
      <c r="AA57" s="276">
        <f t="shared" si="8"/>
        <v>-8276.099166</v>
      </c>
      <c r="AB57" s="276">
        <f t="shared" si="8"/>
        <v>-3896.659239</v>
      </c>
      <c r="AC57" s="276">
        <f t="shared" si="8"/>
        <v>-4713.394748</v>
      </c>
      <c r="AD57" s="276">
        <f t="shared" si="8"/>
        <v>-6544.968213</v>
      </c>
      <c r="AE57" s="276">
        <f t="shared" si="8"/>
        <v>-3800.184576</v>
      </c>
      <c r="AF57" s="276">
        <f t="shared" si="8"/>
        <v>-1732.90408</v>
      </c>
      <c r="AG57" s="360">
        <f t="shared" si="1"/>
        <v>-155484.745</v>
      </c>
    </row>
    <row r="58">
      <c r="A58" s="468">
        <f>SUM(B57:AC57)</f>
        <v>-143406.6881</v>
      </c>
      <c r="B58" s="327"/>
      <c r="C58" s="327"/>
      <c r="D58" s="327"/>
      <c r="E58" s="327"/>
      <c r="F58" s="327"/>
      <c r="G58" s="327"/>
      <c r="H58" s="327"/>
      <c r="I58" s="327"/>
      <c r="J58" s="327"/>
      <c r="K58" s="327"/>
      <c r="L58" s="327"/>
      <c r="M58" s="327"/>
      <c r="N58" s="327"/>
      <c r="O58" s="327"/>
      <c r="P58" s="327"/>
      <c r="Q58" s="327"/>
      <c r="R58" s="327"/>
      <c r="S58" s="327"/>
      <c r="T58" s="327"/>
      <c r="U58" s="327"/>
      <c r="V58" s="327"/>
      <c r="W58" s="327"/>
      <c r="X58" s="327"/>
      <c r="Y58" s="327"/>
      <c r="Z58" s="327"/>
      <c r="AA58" s="327"/>
      <c r="AB58" s="327"/>
      <c r="AC58" s="327"/>
      <c r="AD58" s="327"/>
      <c r="AE58" s="327"/>
      <c r="AF58" s="327"/>
      <c r="AG58" s="330"/>
    </row>
    <row r="59">
      <c r="A59" s="42"/>
      <c r="B59" s="327"/>
      <c r="C59" s="327"/>
      <c r="D59" s="302"/>
      <c r="E59" s="327"/>
      <c r="F59" s="327"/>
      <c r="G59" s="327"/>
      <c r="H59" s="19"/>
      <c r="I59" s="327"/>
      <c r="J59" s="327"/>
      <c r="K59" s="327"/>
      <c r="L59" s="327"/>
      <c r="M59" s="327"/>
      <c r="N59" s="327"/>
      <c r="O59" s="327"/>
      <c r="P59" s="327"/>
      <c r="Q59" s="327"/>
      <c r="R59" s="327"/>
      <c r="S59" s="327"/>
      <c r="T59" s="327"/>
      <c r="U59" s="327"/>
      <c r="V59" s="327"/>
      <c r="W59" s="327"/>
      <c r="X59" s="327"/>
      <c r="Y59" s="327"/>
      <c r="Z59" s="327"/>
      <c r="AA59" s="327"/>
      <c r="AB59" s="327"/>
      <c r="AC59" s="327"/>
      <c r="AD59" s="327"/>
      <c r="AE59" s="327"/>
      <c r="AF59" s="327"/>
      <c r="AG59" s="330"/>
    </row>
    <row r="60">
      <c r="A60" s="471"/>
      <c r="B60" s="472"/>
      <c r="C60" s="472"/>
      <c r="D60" s="472"/>
      <c r="E60" s="472"/>
      <c r="F60" s="472"/>
      <c r="G60" s="472"/>
      <c r="H60" s="472"/>
      <c r="I60" s="472"/>
      <c r="J60" s="472"/>
      <c r="K60" s="472"/>
      <c r="L60" s="472"/>
      <c r="M60" s="472"/>
      <c r="N60" s="472"/>
      <c r="O60" s="472"/>
      <c r="P60" s="472"/>
      <c r="Q60" s="472"/>
      <c r="R60" s="472"/>
      <c r="S60" s="472"/>
      <c r="T60" s="472"/>
      <c r="U60" s="472"/>
      <c r="V60" s="472"/>
      <c r="W60" s="472"/>
      <c r="X60" s="472"/>
      <c r="Y60" s="472"/>
      <c r="Z60" s="472"/>
      <c r="AA60" s="472"/>
      <c r="AB60" s="472"/>
      <c r="AC60" s="472"/>
      <c r="AD60" s="472"/>
      <c r="AE60" s="472"/>
      <c r="AF60" s="472"/>
      <c r="AG60" s="476"/>
    </row>
    <row r="61">
      <c r="A61" s="42"/>
      <c r="B61" s="327"/>
      <c r="C61" s="327"/>
      <c r="D61" s="327"/>
      <c r="E61" s="327"/>
      <c r="F61" s="327"/>
      <c r="G61" s="327"/>
      <c r="H61" s="327"/>
      <c r="I61" s="327"/>
      <c r="J61" s="327"/>
      <c r="K61" s="327"/>
      <c r="L61" s="327"/>
      <c r="M61" s="327"/>
      <c r="N61" s="327"/>
      <c r="O61" s="327"/>
      <c r="P61" s="327"/>
      <c r="Q61" s="327"/>
      <c r="R61" s="327"/>
      <c r="S61" s="327"/>
      <c r="T61" s="327"/>
      <c r="U61" s="327"/>
      <c r="V61" s="327"/>
      <c r="W61" s="327"/>
      <c r="X61" s="327"/>
      <c r="Y61" s="327"/>
      <c r="Z61" s="327"/>
      <c r="AA61" s="327"/>
      <c r="AB61" s="327"/>
      <c r="AC61" s="327"/>
      <c r="AD61" s="327"/>
      <c r="AE61" s="327"/>
      <c r="AF61" s="327"/>
      <c r="AG61" s="330"/>
    </row>
    <row r="62">
      <c r="A62" s="23" t="s">
        <v>500</v>
      </c>
      <c r="B62" s="327"/>
      <c r="C62" s="327"/>
      <c r="D62" s="327"/>
      <c r="E62" s="327"/>
      <c r="F62" s="327"/>
      <c r="G62" s="327"/>
      <c r="H62" s="327"/>
      <c r="I62" s="327"/>
      <c r="J62" s="327"/>
      <c r="K62" s="327"/>
      <c r="L62" s="327"/>
      <c r="M62" s="327"/>
      <c r="N62" s="327"/>
      <c r="O62" s="327"/>
      <c r="P62" s="327"/>
      <c r="Q62" s="327"/>
      <c r="R62" s="327"/>
      <c r="S62" s="327"/>
      <c r="T62" s="327"/>
      <c r="U62" s="327"/>
      <c r="V62" s="327"/>
      <c r="W62" s="327"/>
      <c r="X62" s="327"/>
      <c r="Y62" s="327"/>
      <c r="Z62" s="480">
        <v>3.11</v>
      </c>
      <c r="AA62" s="481">
        <v>1.8</v>
      </c>
      <c r="AB62" s="327"/>
      <c r="AC62" s="327"/>
      <c r="AD62" s="327"/>
      <c r="AE62" s="327"/>
      <c r="AF62" s="327"/>
      <c r="AG62" s="482"/>
    </row>
    <row r="63">
      <c r="A63" s="483" t="s">
        <v>501</v>
      </c>
      <c r="B63" s="276">
        <f>B17-(B5*'OLD Formulas'!$C32)-B29</f>
        <v>-3227.444312</v>
      </c>
      <c r="C63" s="276">
        <f>C17-(C5*'OLD Formulas'!$C32)-C29</f>
        <v>-2423.954534</v>
      </c>
      <c r="D63" s="276">
        <f>D17-(D5*'OLD Formulas'!$C32)-D29</f>
        <v>-8376.808402</v>
      </c>
      <c r="E63" s="276">
        <f>E17-(E5*'OLD Formulas'!$C32)-E29</f>
        <v>-6536.105669</v>
      </c>
      <c r="F63" s="276">
        <f>F17-(F5*'OLD Formulas'!$C32)-F29</f>
        <v>-7612.851126</v>
      </c>
      <c r="G63" s="276">
        <f>G17-(G5*'OLD Formulas'!$C32)-G29</f>
        <v>-7347.142714</v>
      </c>
      <c r="H63" s="276">
        <f>H17-(H5*'OLD Formulas'!$C32)-H29</f>
        <v>-6754.740895</v>
      </c>
      <c r="I63" s="276">
        <f>I17-(I5*'OLD Formulas'!$C32)-I29</f>
        <v>-1121.617026</v>
      </c>
      <c r="J63" s="276">
        <f>J17-(J5*'OLD Formulas'!$C32)-J29</f>
        <v>-8091.218393</v>
      </c>
      <c r="K63" s="276">
        <f>K17-(K5*'OLD Formulas'!$C32)-K29</f>
        <v>-8697.866805</v>
      </c>
      <c r="L63" s="276">
        <f>L17-(L5*'OLD Formulas'!$C32)-L29</f>
        <v>-8763.579307</v>
      </c>
      <c r="M63" s="276">
        <f>M17-(M5*'OLD Formulas'!$C32)-M29</f>
        <v>-4822.5759</v>
      </c>
      <c r="N63" s="276">
        <f>N17-(N5*'OLD Formulas'!$C32)-N29</f>
        <v>-3134.753398</v>
      </c>
      <c r="O63" s="276">
        <f>O17-(O5*'OLD Formulas'!$C32)-O29</f>
        <v>-4259.124303</v>
      </c>
      <c r="P63" s="276">
        <f>P17-(P5*'OLD Formulas'!$C32)-P29</f>
        <v>-9592.669076</v>
      </c>
      <c r="Q63" s="276">
        <f>Q17-(Q5*'OLD Formulas'!$C32)-Q29</f>
        <v>-13070.94203</v>
      </c>
      <c r="R63" s="276">
        <f>R17-(R5*'OLD Formulas'!$C32)-R29</f>
        <v>-11060.46727</v>
      </c>
      <c r="S63" s="276">
        <f>S17-(S5*'OLD Formulas'!$C32)-S29</f>
        <v>-7568.218172</v>
      </c>
      <c r="T63" s="276">
        <f>T17-(T5*'OLD Formulas'!$C32)-T29</f>
        <v>-11089.7234</v>
      </c>
      <c r="U63" s="276">
        <f>U17-(U5*'OLD Formulas'!$C32)-U29</f>
        <v>-7219.690895</v>
      </c>
      <c r="V63" s="276">
        <f>V17-(V5*'OLD Formulas'!$C32)-V29</f>
        <v>-10186.67271</v>
      </c>
      <c r="W63" s="276">
        <f>W17-(W5*'OLD Formulas'!$C32)-W29</f>
        <v>-7942.887941</v>
      </c>
      <c r="X63" s="276">
        <f>X17-(X5*'OLD Formulas'!$C32)-X29</f>
        <v>-11027.10794</v>
      </c>
      <c r="Y63" s="276">
        <f>Y17-(Y5*'OLD Formulas'!$C32)-Y29</f>
        <v>-7757.271357</v>
      </c>
      <c r="Z63" s="276">
        <f>Z17-(Z5*'OLD Formulas'!$C32)-Z29</f>
        <v>-4649.688402</v>
      </c>
      <c r="AA63" s="276">
        <f>AA17-(AA5*'OLD Formulas'!$C32)-AA29</f>
        <v>-7351.034543</v>
      </c>
      <c r="AB63" s="276">
        <f>AB17-(AB5*'OLD Formulas'!$C32)-AB29</f>
        <v>-3706.400222</v>
      </c>
      <c r="AC63" s="276">
        <f>AC17-(AC5*'OLD Formulas'!$C32)-AC29</f>
        <v>-4347.09795</v>
      </c>
      <c r="AD63" s="276">
        <f>AD17-(AD5*'OLD Formulas'!$C32)-AD29</f>
        <v>-3846.02795</v>
      </c>
      <c r="AE63" s="276">
        <f>AE17-(AE5*'OLD Formulas'!$C32)-AE29</f>
        <v>-6135.326814</v>
      </c>
      <c r="AF63" s="276">
        <f>AF17-(AF5*'OLD Formulas'!$C32)-AF29</f>
        <v>-3727.329086</v>
      </c>
      <c r="AG63" s="482">
        <f>SUM(B63:AF63)</f>
        <v>-211448.3385</v>
      </c>
    </row>
    <row r="64">
      <c r="A64" s="483" t="s">
        <v>234</v>
      </c>
      <c r="B64" s="485">
        <f t="shared" ref="B64:AF64" si="9">B17/B29</f>
        <v>1.13485334</v>
      </c>
      <c r="C64" s="485">
        <f t="shared" si="9"/>
        <v>1.582014351</v>
      </c>
      <c r="D64" s="485">
        <f t="shared" si="9"/>
        <v>0.6767871073</v>
      </c>
      <c r="E64" s="485">
        <f t="shared" si="9"/>
        <v>1.151156609</v>
      </c>
      <c r="F64" s="485">
        <f t="shared" si="9"/>
        <v>0.9469247997</v>
      </c>
      <c r="G64" s="485">
        <f t="shared" si="9"/>
        <v>1.10777829</v>
      </c>
      <c r="H64" s="485">
        <f t="shared" si="9"/>
        <v>1.192532453</v>
      </c>
      <c r="I64" s="485">
        <f t="shared" si="9"/>
        <v>1.850494479</v>
      </c>
      <c r="J64" s="485">
        <f t="shared" si="9"/>
        <v>1.171529245</v>
      </c>
      <c r="K64" s="485">
        <f t="shared" si="9"/>
        <v>1.02347165</v>
      </c>
      <c r="L64" s="485">
        <f t="shared" si="9"/>
        <v>0.912318775</v>
      </c>
      <c r="M64" s="485">
        <f t="shared" si="9"/>
        <v>1.138336802</v>
      </c>
      <c r="N64" s="485">
        <f t="shared" si="9"/>
        <v>1.48556362</v>
      </c>
      <c r="O64" s="485">
        <f t="shared" si="9"/>
        <v>1.490328508</v>
      </c>
      <c r="P64" s="485">
        <f t="shared" si="9"/>
        <v>1.021383338</v>
      </c>
      <c r="Q64" s="485">
        <f t="shared" si="9"/>
        <v>0.840481284</v>
      </c>
      <c r="R64" s="485">
        <f t="shared" si="9"/>
        <v>0.5323806201</v>
      </c>
      <c r="S64" s="485">
        <f t="shared" si="9"/>
        <v>0.9636857552</v>
      </c>
      <c r="T64" s="485">
        <f t="shared" si="9"/>
        <v>0.7922425611</v>
      </c>
      <c r="U64" s="485">
        <f t="shared" si="9"/>
        <v>1.131060283</v>
      </c>
      <c r="V64" s="485">
        <f t="shared" si="9"/>
        <v>0.9158758267</v>
      </c>
      <c r="W64" s="485">
        <f t="shared" si="9"/>
        <v>1.094132422</v>
      </c>
      <c r="X64" s="485">
        <f t="shared" si="9"/>
        <v>0.9146697255</v>
      </c>
      <c r="Y64" s="485">
        <f t="shared" si="9"/>
        <v>0.7025217376</v>
      </c>
      <c r="Z64" s="485">
        <f t="shared" si="9"/>
        <v>0.988689231</v>
      </c>
      <c r="AA64" s="485">
        <f t="shared" si="9"/>
        <v>0.4324696545</v>
      </c>
      <c r="AB64" s="485">
        <f t="shared" si="9"/>
        <v>1.034367619</v>
      </c>
      <c r="AC64" s="485">
        <f t="shared" si="9"/>
        <v>0.8102209106</v>
      </c>
      <c r="AD64" s="485">
        <f t="shared" si="9"/>
        <v>0.885283161</v>
      </c>
      <c r="AE64" s="485">
        <f t="shared" si="9"/>
        <v>0.5523264746</v>
      </c>
      <c r="AF64" s="485">
        <f t="shared" si="9"/>
        <v>0.9728446301</v>
      </c>
      <c r="AG64" s="482"/>
    </row>
    <row r="65">
      <c r="A65" s="483" t="s">
        <v>508</v>
      </c>
      <c r="B65" s="488">
        <f t="shared" ref="B65:AF65" si="10">B29/B5</f>
        <v>261.7351724</v>
      </c>
      <c r="C65" s="488">
        <f t="shared" si="10"/>
        <v>177.4907143</v>
      </c>
      <c r="D65" s="488">
        <f t="shared" si="10"/>
        <v>382.5112903</v>
      </c>
      <c r="E65" s="488">
        <f t="shared" si="10"/>
        <v>236.8774576</v>
      </c>
      <c r="F65" s="488">
        <f t="shared" si="10"/>
        <v>289.9378723</v>
      </c>
      <c r="G65" s="488">
        <f t="shared" si="10"/>
        <v>223.9288333</v>
      </c>
      <c r="H65" s="488">
        <f t="shared" si="10"/>
        <v>213.1807813</v>
      </c>
      <c r="I65" s="488">
        <f t="shared" si="10"/>
        <v>157.5373034</v>
      </c>
      <c r="J65" s="488">
        <f t="shared" si="10"/>
        <v>225.6416</v>
      </c>
      <c r="K65" s="488">
        <f t="shared" si="10"/>
        <v>268.3608065</v>
      </c>
      <c r="L65" s="488">
        <f t="shared" si="10"/>
        <v>287.9503922</v>
      </c>
      <c r="M65" s="488">
        <f t="shared" si="10"/>
        <v>229.6121429</v>
      </c>
      <c r="N65" s="488">
        <f t="shared" si="10"/>
        <v>180.0809434</v>
      </c>
      <c r="O65" s="488">
        <f t="shared" si="10"/>
        <v>179.9668493</v>
      </c>
      <c r="P65" s="488">
        <f t="shared" si="10"/>
        <v>258.0692647</v>
      </c>
      <c r="Q65" s="488">
        <f t="shared" si="10"/>
        <v>304.0498507</v>
      </c>
      <c r="R65" s="488">
        <f t="shared" si="10"/>
        <v>531.2646429</v>
      </c>
      <c r="S65" s="488">
        <f t="shared" si="10"/>
        <v>305.2291667</v>
      </c>
      <c r="T65" s="488">
        <f t="shared" si="10"/>
        <v>301.5681132</v>
      </c>
      <c r="U65" s="488">
        <f t="shared" si="10"/>
        <v>257.7392188</v>
      </c>
      <c r="V65" s="488">
        <f t="shared" si="10"/>
        <v>275.6738333</v>
      </c>
      <c r="W65" s="488">
        <f t="shared" si="10"/>
        <v>259.09</v>
      </c>
      <c r="X65" s="488">
        <f t="shared" si="10"/>
        <v>270.2530769</v>
      </c>
      <c r="Y65" s="488">
        <f t="shared" si="10"/>
        <v>376.46</v>
      </c>
      <c r="Z65" s="488">
        <f t="shared" si="10"/>
        <v>300.8551613</v>
      </c>
      <c r="AA65" s="488">
        <f t="shared" si="10"/>
        <v>821.1</v>
      </c>
      <c r="AB65" s="488">
        <f t="shared" si="10"/>
        <v>270.9807407</v>
      </c>
      <c r="AC65" s="488">
        <f t="shared" si="10"/>
        <v>318.357619</v>
      </c>
      <c r="AD65" s="488">
        <f t="shared" si="10"/>
        <v>318.6728571</v>
      </c>
      <c r="AE65" s="488">
        <f t="shared" si="10"/>
        <v>433.9422222</v>
      </c>
      <c r="AF65" s="488">
        <f t="shared" si="10"/>
        <v>321.05375</v>
      </c>
      <c r="AG65" s="482"/>
    </row>
    <row r="66">
      <c r="A66" s="489" t="s">
        <v>509</v>
      </c>
      <c r="B66" s="490">
        <f>B17/('OLD Formulas'!$C32*B5+B29)</f>
        <v>0.7274427441</v>
      </c>
      <c r="C66" s="490">
        <f>C17/('OLD Formulas'!$C32*C5+C29)</f>
        <v>0.8664366773</v>
      </c>
      <c r="D66" s="490">
        <f>D17/('OLD Formulas'!$C32*D5+D29)</f>
        <v>0.4892827898</v>
      </c>
      <c r="E66" s="490">
        <f>E17/('OLD Formulas'!$C32*E5+E29)</f>
        <v>0.7111037627</v>
      </c>
      <c r="F66" s="490">
        <f>F17/('OLD Formulas'!$C32*F5+F29)</f>
        <v>0.6289431614</v>
      </c>
      <c r="G66" s="490">
        <f>G17/('OLD Formulas'!$C32*G5+G29)</f>
        <v>0.6695084188</v>
      </c>
      <c r="H66" s="490">
        <f>H17/('OLD Formulas'!$C32*H5+H29)</f>
        <v>0.706636284</v>
      </c>
      <c r="I66" s="490">
        <f>I17/('OLD Formulas'!$C32*I5+I29)</f>
        <v>0.9585615602</v>
      </c>
      <c r="J66" s="490">
        <f>J17/('OLD Formulas'!$C32*J5+J29)</f>
        <v>0.7101703126</v>
      </c>
      <c r="K66" s="490">
        <f>K17/('OLD Formulas'!$C32*K5+K29)</f>
        <v>0.6619137231</v>
      </c>
      <c r="L66" s="490">
        <f>L17/('OLD Formulas'!$C32*L5+L29)</f>
        <v>0.6045567687</v>
      </c>
      <c r="M66" s="490">
        <f>M17/('OLD Formulas'!$C32*M5+M29)</f>
        <v>0.6947807455</v>
      </c>
      <c r="N66" s="490">
        <f>N17/('OLD Formulas'!$C32*N5+N29)</f>
        <v>0.8189406597</v>
      </c>
      <c r="O66" s="490">
        <f>O17/('OLD Formulas'!$C32*O5+O29)</f>
        <v>0.8213337232</v>
      </c>
      <c r="P66" s="490">
        <f>P17/('OLD Formulas'!$C32*P5+P29)</f>
        <v>0.6513864743</v>
      </c>
      <c r="Q66" s="490">
        <f>Q17/('OLD Formulas'!$C32*Q5+Q29)</f>
        <v>0.5670823034</v>
      </c>
      <c r="R66" s="490">
        <f>R17/('OLD Formulas'!$C32*R5+R29)</f>
        <v>0.4172520405</v>
      </c>
      <c r="S66" s="490">
        <f>S17/('OLD Formulas'!$C32*S5+S29)</f>
        <v>0.6510279894</v>
      </c>
      <c r="T66" s="490">
        <f>T17/('OLD Formulas'!$C32*T5+T29)</f>
        <v>0.5331079869</v>
      </c>
      <c r="U66" s="490">
        <f>U17/('OLD Formulas'!$C32*U5+U29)</f>
        <v>0.7209984107</v>
      </c>
      <c r="V66" s="490">
        <f>V17/('OLD Formulas'!$C32*V5+V29)</f>
        <v>0.5979313093</v>
      </c>
      <c r="W66" s="490">
        <f>W17/('OLD Formulas'!$C32*W5+W29)</f>
        <v>0.6987794172</v>
      </c>
      <c r="X66" s="490">
        <f>X17/('OLD Formulas'!$C32*X5+X29)</f>
        <v>0.5930146705</v>
      </c>
      <c r="Y66" s="490">
        <f>Y17/('OLD Formulas'!$C32*Y5+Y29)</f>
        <v>0.5056358424</v>
      </c>
      <c r="Z66" s="490">
        <f>Z17/('OLD Formulas'!$C32*Z5+Z29)</f>
        <v>0.6647836385</v>
      </c>
      <c r="AA66" s="490">
        <f>AA17/('OLD Formulas'!$C32*AA5+AA29)</f>
        <v>0.3669583416</v>
      </c>
      <c r="AB66" s="490">
        <f>AB17/('OLD Formulas'!$C32*AB5+AB29)</f>
        <v>0.6712531788</v>
      </c>
      <c r="AC66" s="490">
        <f>AC17/('OLD Formulas'!$C32*AC5+AC29)</f>
        <v>0.5547756966</v>
      </c>
      <c r="AD66" s="490">
        <f>AD17/('OLD Formulas'!$C32*AD5+AD29)</f>
        <v>0.6063615473</v>
      </c>
      <c r="AE66" s="490">
        <f>AE17/('OLD Formulas'!$C32*AE5+AE29)</f>
        <v>0.4128608</v>
      </c>
      <c r="AF66" s="490">
        <f>AF17/('OLD Formulas'!$C32*AF5+AF29)</f>
        <v>0.6678960002</v>
      </c>
      <c r="AG66" s="482"/>
    </row>
    <row r="67">
      <c r="A67" s="327"/>
      <c r="B67" s="327"/>
      <c r="C67" s="327"/>
      <c r="D67" s="327"/>
      <c r="E67" s="327"/>
      <c r="F67" s="327"/>
      <c r="G67" s="327"/>
      <c r="H67" s="327"/>
      <c r="I67" s="327"/>
      <c r="J67" s="327"/>
      <c r="K67" s="327"/>
      <c r="L67" s="327"/>
      <c r="M67" s="327"/>
      <c r="N67" s="327"/>
      <c r="O67" s="327"/>
      <c r="P67" s="327"/>
      <c r="Q67" s="327"/>
      <c r="R67" s="327"/>
      <c r="S67" s="327"/>
      <c r="T67" s="327"/>
      <c r="U67" s="327"/>
      <c r="V67" s="327"/>
      <c r="W67" s="327"/>
      <c r="X67" s="327"/>
      <c r="Y67" s="327"/>
      <c r="Z67" s="327"/>
      <c r="AA67" s="327"/>
      <c r="AB67" s="327"/>
      <c r="AC67" s="327"/>
      <c r="AD67" s="327"/>
      <c r="AE67" s="327"/>
      <c r="AF67" s="327"/>
      <c r="AG67" s="482"/>
    </row>
    <row r="68">
      <c r="A68" s="493" t="s">
        <v>555</v>
      </c>
      <c r="B68" s="327"/>
      <c r="C68" s="327"/>
      <c r="D68" s="327"/>
      <c r="E68" s="327"/>
      <c r="F68" s="327"/>
      <c r="G68" s="327"/>
      <c r="H68" s="327"/>
      <c r="I68" s="327"/>
      <c r="J68" s="327"/>
      <c r="K68" s="327"/>
      <c r="L68" s="327"/>
      <c r="M68" s="327"/>
      <c r="N68" s="327"/>
      <c r="O68" s="327"/>
      <c r="P68" s="327"/>
      <c r="Q68" s="327"/>
      <c r="R68" s="327"/>
      <c r="S68" s="327"/>
      <c r="T68" s="327"/>
      <c r="U68" s="327"/>
      <c r="V68" s="327"/>
      <c r="W68" s="327"/>
      <c r="X68" s="327"/>
      <c r="Y68" s="327"/>
      <c r="Z68" s="327"/>
      <c r="AA68" s="302"/>
      <c r="AB68" s="327"/>
      <c r="AC68" s="327"/>
      <c r="AD68" s="327"/>
      <c r="AE68" s="327"/>
      <c r="AF68" s="327"/>
      <c r="AG68" s="330"/>
    </row>
    <row r="69">
      <c r="A69" s="494" t="s">
        <v>501</v>
      </c>
      <c r="B69" s="276">
        <f>B18-(B6*'OLD Formulas'!$C32)-B30</f>
        <v>803.9725117</v>
      </c>
      <c r="C69" s="276">
        <f>C18-(C6*'OLD Formulas'!$C32)-C30</f>
        <v>3307.353195</v>
      </c>
      <c r="D69" s="276">
        <f>D18-(D6*'OLD Formulas'!$C32)-D30</f>
        <v>2264.593647</v>
      </c>
      <c r="E69" s="276">
        <f>E18-(E6*'OLD Formulas'!$C32)-E30</f>
        <v>1877.493195</v>
      </c>
      <c r="F69" s="276">
        <f>F18-(F6*'OLD Formulas'!$C32)-F30</f>
        <v>1390.634331</v>
      </c>
      <c r="G69" s="276">
        <f>G18-(G6*'OLD Formulas'!$C32)-G30</f>
        <v>2128.384331</v>
      </c>
      <c r="H69" s="276">
        <f>H18-(H6*'OLD Formulas'!$C32)-H30</f>
        <v>1403.153195</v>
      </c>
      <c r="I69" s="276">
        <f>I18-(I6*'OLD Formulas'!$C32)-I30</f>
        <v>1220.323426</v>
      </c>
      <c r="J69" s="276">
        <f>J18-(J6*'OLD Formulas'!$C32)-J30</f>
        <v>1946.817969</v>
      </c>
      <c r="K69" s="276">
        <f>K18-(K6*'OLD Formulas'!$C32)-K30</f>
        <v>2439.106381</v>
      </c>
      <c r="L69" s="276">
        <f>L18-(L6*'OLD Formulas'!$C32)-L30</f>
        <v>3161.260471</v>
      </c>
      <c r="M69" s="276">
        <f>M18-(M6*'OLD Formulas'!$C32)-M30</f>
        <v>3841.167516</v>
      </c>
      <c r="N69" s="276">
        <f>N18-(N6*'OLD Formulas'!$C32)-N30</f>
        <v>3772.3282</v>
      </c>
      <c r="O69" s="276">
        <f>O18-(O6*'OLD Formulas'!$C32)-O30</f>
        <v>1111.63615</v>
      </c>
      <c r="P69" s="276">
        <f>P18-(P6*'OLD Formulas'!$C32)-P30</f>
        <v>-513.7361217</v>
      </c>
      <c r="Q69" s="276">
        <f>Q18-(Q6*'OLD Formulas'!$C32)-Q30</f>
        <v>-10.64794069</v>
      </c>
      <c r="R69" s="276">
        <f>R18-(R6*'OLD Formulas'!$C32)-R30</f>
        <v>-751.6659001</v>
      </c>
      <c r="S69" s="276">
        <f>S18-(S6*'OLD Formulas'!$C32)-S30</f>
        <v>-946.8438502</v>
      </c>
      <c r="T69" s="276">
        <f>T18-(T6*'OLD Formulas'!$C32)-T30</f>
        <v>3825.655014</v>
      </c>
      <c r="U69" s="276">
        <f>U18-(U6*'OLD Formulas'!$C32)-U30</f>
        <v>1621.345014</v>
      </c>
      <c r="V69" s="276">
        <f>V18-(V6*'OLD Formulas'!$C32)-V30</f>
        <v>979.431376</v>
      </c>
      <c r="W69" s="276">
        <f>W18-(W6*'OLD Formulas'!$C32)-W30</f>
        <v>-1650.031579</v>
      </c>
      <c r="X69" s="276">
        <f>X18-(X6*'OLD Formulas'!$C32)-X30</f>
        <v>-2046.887941</v>
      </c>
      <c r="Y69" s="276">
        <f>Y18-(Y6*'OLD Formulas'!$C32)-Y30</f>
        <v>-2505.777036</v>
      </c>
      <c r="Z69" s="276">
        <f>Z18-(Z6*'OLD Formulas'!$C32)-Z30</f>
        <v>-1444.16181</v>
      </c>
      <c r="AA69" s="276">
        <f>AA18-(AA6*'OLD Formulas'!$C32)-AA30</f>
        <v>-697.0552168</v>
      </c>
      <c r="AB69" s="276">
        <f>AB18-(AB6*'OLD Formulas'!$C32)-AB30</f>
        <v>-768.4040811</v>
      </c>
      <c r="AC69" s="276">
        <f>AC18-(AC6*'OLD Formulas'!$C32)-AC30</f>
        <v>-1128.113398</v>
      </c>
      <c r="AD69" s="276">
        <f>AD18-(AD6*'OLD Formulas'!$C32)-AD30</f>
        <v>-2413.044764</v>
      </c>
      <c r="AE69" s="276">
        <f>AE18-(AE6*'OLD Formulas'!$C32)-AE30</f>
        <v>2450.040693</v>
      </c>
      <c r="AF69" s="276">
        <f>AF18-(AF6*'OLD Formulas'!$C32)-AF30</f>
        <v>1766.286371</v>
      </c>
      <c r="AG69" s="482">
        <f>SUM(B69:AF69)</f>
        <v>26434.61335</v>
      </c>
    </row>
    <row r="70">
      <c r="A70" s="494" t="s">
        <v>234</v>
      </c>
      <c r="B70" s="485">
        <f t="shared" ref="B70:AF70" si="11">B18/B30</f>
        <v>3.53827193</v>
      </c>
      <c r="C70" s="485">
        <f t="shared" si="11"/>
        <v>4.735133441</v>
      </c>
      <c r="D70" s="485">
        <f t="shared" si="11"/>
        <v>4.184216628</v>
      </c>
      <c r="E70" s="485">
        <f t="shared" si="11"/>
        <v>4.465546447</v>
      </c>
      <c r="F70" s="485">
        <f t="shared" si="11"/>
        <v>4.663231833</v>
      </c>
      <c r="G70" s="485">
        <f t="shared" si="11"/>
        <v>4.568147957</v>
      </c>
      <c r="H70" s="485">
        <f t="shared" si="11"/>
        <v>4.352457733</v>
      </c>
      <c r="I70" s="485">
        <f t="shared" si="11"/>
        <v>4.77240109</v>
      </c>
      <c r="J70" s="485">
        <f t="shared" si="11"/>
        <v>4.1051347</v>
      </c>
      <c r="K70" s="485">
        <f t="shared" si="11"/>
        <v>5.557292404</v>
      </c>
      <c r="L70" s="485">
        <f t="shared" si="11"/>
        <v>5.198818178</v>
      </c>
      <c r="M70" s="485">
        <f t="shared" si="11"/>
        <v>5.491382919</v>
      </c>
      <c r="N70" s="485">
        <f t="shared" si="11"/>
        <v>5.133266525</v>
      </c>
      <c r="O70" s="485">
        <f t="shared" si="11"/>
        <v>3.41194009</v>
      </c>
      <c r="P70" s="485">
        <f t="shared" si="11"/>
        <v>2.928570281</v>
      </c>
      <c r="Q70" s="485">
        <f t="shared" si="11"/>
        <v>2.778847484</v>
      </c>
      <c r="R70" s="485">
        <f t="shared" si="11"/>
        <v>2.267901964</v>
      </c>
      <c r="S70" s="485">
        <f t="shared" si="11"/>
        <v>2.412572157</v>
      </c>
      <c r="T70" s="485">
        <f t="shared" si="11"/>
        <v>4.413156697</v>
      </c>
      <c r="U70" s="485">
        <f t="shared" si="11"/>
        <v>4.280476153</v>
      </c>
      <c r="V70" s="485">
        <f t="shared" si="11"/>
        <v>3.15290506</v>
      </c>
      <c r="W70" s="485">
        <f t="shared" si="11"/>
        <v>2.085086</v>
      </c>
      <c r="X70" s="485">
        <f t="shared" si="11"/>
        <v>1.94978424</v>
      </c>
      <c r="Y70" s="485">
        <f t="shared" si="11"/>
        <v>1.590159015</v>
      </c>
      <c r="Z70" s="485">
        <f t="shared" si="11"/>
        <v>1.64018519</v>
      </c>
      <c r="AA70" s="485">
        <f t="shared" si="11"/>
        <v>2.151676096</v>
      </c>
      <c r="AB70" s="485">
        <f t="shared" si="11"/>
        <v>1.921549664</v>
      </c>
      <c r="AC70" s="485">
        <f t="shared" si="11"/>
        <v>1.996358737</v>
      </c>
      <c r="AD70" s="485">
        <f t="shared" si="11"/>
        <v>1.587063059</v>
      </c>
      <c r="AE70" s="485">
        <f t="shared" si="11"/>
        <v>3.525797488</v>
      </c>
      <c r="AF70" s="485">
        <f t="shared" si="11"/>
        <v>4.151037682</v>
      </c>
      <c r="AG70" s="482"/>
    </row>
    <row r="71">
      <c r="A71" s="494" t="s">
        <v>508</v>
      </c>
      <c r="B71" s="488">
        <f t="shared" ref="B71:AF71" si="12">B30/B6</f>
        <v>63.50963636</v>
      </c>
      <c r="C71" s="488">
        <f t="shared" si="12"/>
        <v>53.52725806</v>
      </c>
      <c r="D71" s="488">
        <f t="shared" si="12"/>
        <v>59.71230769</v>
      </c>
      <c r="E71" s="488">
        <f t="shared" si="12"/>
        <v>51.03645161</v>
      </c>
      <c r="F71" s="488">
        <f t="shared" si="12"/>
        <v>46.45</v>
      </c>
      <c r="G71" s="488">
        <f t="shared" si="12"/>
        <v>51.19220339</v>
      </c>
      <c r="H71" s="488">
        <f t="shared" si="12"/>
        <v>50.47596774</v>
      </c>
      <c r="I71" s="488">
        <f t="shared" si="12"/>
        <v>42.95253165</v>
      </c>
      <c r="J71" s="488">
        <f t="shared" si="12"/>
        <v>56.56567164</v>
      </c>
      <c r="K71" s="488">
        <f t="shared" si="12"/>
        <v>38.8555</v>
      </c>
      <c r="L71" s="488">
        <f t="shared" si="12"/>
        <v>44.56397436</v>
      </c>
      <c r="M71" s="488">
        <f t="shared" si="12"/>
        <v>43.74428571</v>
      </c>
      <c r="N71" s="488">
        <f t="shared" si="12"/>
        <v>46.33035714</v>
      </c>
      <c r="O71" s="488">
        <f t="shared" si="12"/>
        <v>68.09126984</v>
      </c>
      <c r="P71" s="488">
        <f t="shared" si="12"/>
        <v>72.14753623</v>
      </c>
      <c r="Q71" s="488">
        <f t="shared" si="12"/>
        <v>82.31353846</v>
      </c>
      <c r="R71" s="488">
        <f t="shared" si="12"/>
        <v>101.4985714</v>
      </c>
      <c r="S71" s="488">
        <f t="shared" si="12"/>
        <v>93.13349206</v>
      </c>
      <c r="T71" s="488">
        <f t="shared" si="12"/>
        <v>59.93030303</v>
      </c>
      <c r="U71" s="488">
        <f t="shared" si="12"/>
        <v>52.17318182</v>
      </c>
      <c r="V71" s="488">
        <f t="shared" si="12"/>
        <v>75.93172414</v>
      </c>
      <c r="W71" s="488">
        <f t="shared" si="12"/>
        <v>108.4145614</v>
      </c>
      <c r="X71" s="488">
        <f t="shared" si="12"/>
        <v>121.1816923</v>
      </c>
      <c r="Y71" s="488">
        <f t="shared" si="12"/>
        <v>154.0315556</v>
      </c>
      <c r="Z71" s="488">
        <f t="shared" si="12"/>
        <v>172.57975</v>
      </c>
      <c r="AA71" s="488">
        <f t="shared" si="12"/>
        <v>114.9293878</v>
      </c>
      <c r="AB71" s="488">
        <f t="shared" si="12"/>
        <v>140.9393478</v>
      </c>
      <c r="AC71" s="488">
        <f t="shared" si="12"/>
        <v>125.7598113</v>
      </c>
      <c r="AD71" s="488">
        <f t="shared" si="12"/>
        <v>144.3015385</v>
      </c>
      <c r="AE71" s="488">
        <f t="shared" si="12"/>
        <v>77.05568627</v>
      </c>
      <c r="AF71" s="488">
        <f t="shared" si="12"/>
        <v>62.09083333</v>
      </c>
      <c r="AG71" s="482"/>
    </row>
    <row r="72">
      <c r="A72" s="502" t="s">
        <v>509</v>
      </c>
      <c r="B72" s="490">
        <f>B18/('OLD Formulas'!$C32*B6+B30)</f>
        <v>1.069575978</v>
      </c>
      <c r="C72" s="490">
        <f>C18/('OLD Formulas'!$C32*C6+C30)</f>
        <v>1.266569683</v>
      </c>
      <c r="D72" s="490">
        <f>D18/('OLD Formulas'!$C32*D6+D30)</f>
        <v>1.211100409</v>
      </c>
      <c r="E72" s="490">
        <f>E18/('OLD Formulas'!$C32*E6+E30)</f>
        <v>1.153231517</v>
      </c>
      <c r="F72" s="490">
        <f>F18/('OLD Formulas'!$C32*F6+F30)</f>
        <v>1.122101296</v>
      </c>
      <c r="G72" s="490">
        <f>G18/('OLD Formulas'!$C32*G6+G30)</f>
        <v>1.182396844</v>
      </c>
      <c r="H72" s="490">
        <f>H18/('OLD Formulas'!$C32*H6+H30)</f>
        <v>1.114843992</v>
      </c>
      <c r="I72" s="490">
        <f>I18/('OLD Formulas'!$C32*I6+I30)</f>
        <v>1.081498187</v>
      </c>
      <c r="J72" s="490">
        <f>J18/('OLD Formulas'!$C32*J6+J30)</f>
        <v>1.143030254</v>
      </c>
      <c r="K72" s="490">
        <f>K18/('OLD Formulas'!$C32*K6+K30)</f>
        <v>1.164411191</v>
      </c>
      <c r="L72" s="490">
        <f>L18/('OLD Formulas'!$C32*L6+L30)</f>
        <v>1.21202597</v>
      </c>
      <c r="M72" s="490">
        <f>M18/('OLD Formulas'!$C32*M6+M30)</f>
        <v>1.262097113</v>
      </c>
      <c r="N72" s="490">
        <f>N18/('OLD Formulas'!$C32*N6+N30)</f>
        <v>1.23278703</v>
      </c>
      <c r="O72" s="490">
        <f>O18/('OLD Formulas'!$C32*O6+O30)</f>
        <v>1.08219283</v>
      </c>
      <c r="P72" s="490">
        <f>P18/('OLD Formulas'!$C32*P6+P30)</f>
        <v>0.9659612532</v>
      </c>
      <c r="Q72" s="490">
        <f>Q18/('OLD Formulas'!$C32*Q6+Q30)</f>
        <v>0.9992843423</v>
      </c>
      <c r="R72" s="490">
        <f>R18/('OLD Formulas'!$C32*R6+R30)</f>
        <v>0.9278603597</v>
      </c>
      <c r="S72" s="490">
        <f>S18/('OLD Formulas'!$C32*S6+S30)</f>
        <v>0.9373050485</v>
      </c>
      <c r="T72" s="490">
        <f>T18/('OLD Formulas'!$C32*T6+T30)</f>
        <v>1.280676032</v>
      </c>
      <c r="U72" s="490">
        <f>U18/('OLD Formulas'!$C32*U6+U30)</f>
        <v>1.123595318</v>
      </c>
      <c r="V72" s="490">
        <f>V18/('OLD Formulas'!$C32*V6+V30)</f>
        <v>1.075889094</v>
      </c>
      <c r="W72" s="490">
        <f>W18/('OLD Formulas'!$C32*W6+W30)</f>
        <v>0.8864794508</v>
      </c>
      <c r="X72" s="490">
        <f>X18/('OLD Formulas'!$C32*X6+X30)</f>
        <v>0.8823963395</v>
      </c>
      <c r="Y72" s="490">
        <f>Y18/('OLD Formulas'!$C32*Y6+Y30)</f>
        <v>0.8147688334</v>
      </c>
      <c r="Z72" s="490">
        <f>Z18/('OLD Formulas'!$C32*Z6+Z30)</f>
        <v>0.8868803216</v>
      </c>
      <c r="AA72" s="490">
        <f>AA18/('OLD Formulas'!$C32*AA6+AA30)</f>
        <v>0.9456033546</v>
      </c>
      <c r="AB72" s="490">
        <f>AB18/('OLD Formulas'!$C32*AB6+AB30)</f>
        <v>0.9419029454</v>
      </c>
      <c r="AC72" s="490">
        <f>AC18/('OLD Formulas'!$C32*AC6+AC30)</f>
        <v>0.9218454044</v>
      </c>
      <c r="AD72" s="490">
        <f>AD18/('OLD Formulas'!$C32*AD6+AD30)</f>
        <v>0.7872967653</v>
      </c>
      <c r="AE72" s="490">
        <f>AE18/('OLD Formulas'!$C32*AE6+AE30)</f>
        <v>1.214806952</v>
      </c>
      <c r="AF72" s="490">
        <f>AF18/('OLD Formulas'!$C32*AF6+AF30)</f>
        <v>1.235116011</v>
      </c>
      <c r="AG72" s="482"/>
    </row>
    <row r="73">
      <c r="A73" s="42"/>
      <c r="B73" s="327"/>
      <c r="C73" s="327"/>
      <c r="D73" s="327"/>
      <c r="E73" s="327"/>
      <c r="F73" s="327"/>
      <c r="G73" s="327"/>
      <c r="H73" s="327"/>
      <c r="I73" s="327"/>
      <c r="J73" s="327"/>
      <c r="K73" s="327"/>
      <c r="L73" s="327"/>
      <c r="M73" s="327"/>
      <c r="N73" s="327"/>
      <c r="O73" s="327"/>
      <c r="P73" s="327"/>
      <c r="Q73" s="327"/>
      <c r="R73" s="327"/>
      <c r="S73" s="327"/>
      <c r="T73" s="327"/>
      <c r="U73" s="327"/>
      <c r="V73" s="327"/>
      <c r="W73" s="327"/>
      <c r="X73" s="327"/>
      <c r="Y73" s="327"/>
      <c r="Z73" s="327"/>
      <c r="AA73" s="327"/>
      <c r="AB73" s="327"/>
      <c r="AC73" s="327"/>
      <c r="AD73" s="327"/>
      <c r="AE73" s="327"/>
      <c r="AF73" s="327"/>
      <c r="AG73" s="482"/>
    </row>
    <row r="74">
      <c r="A74" s="525" t="s">
        <v>602</v>
      </c>
      <c r="B74" s="327"/>
      <c r="C74" s="327"/>
      <c r="D74" s="327"/>
      <c r="E74" s="327"/>
      <c r="F74" s="327"/>
      <c r="G74" s="327"/>
      <c r="H74" s="327"/>
      <c r="I74" s="327"/>
      <c r="J74" s="327"/>
      <c r="K74" s="327"/>
      <c r="L74" s="327"/>
      <c r="M74" s="327"/>
      <c r="N74" s="327"/>
      <c r="O74" s="327"/>
      <c r="P74" s="327"/>
      <c r="Q74" s="327"/>
      <c r="R74" s="327"/>
      <c r="S74" s="327"/>
      <c r="T74" s="327"/>
      <c r="U74" s="327"/>
      <c r="V74" s="327"/>
      <c r="W74" s="327"/>
      <c r="X74" s="327"/>
      <c r="Y74" s="327"/>
      <c r="Z74" s="327"/>
      <c r="AA74" s="327"/>
      <c r="AB74" s="327"/>
      <c r="AC74" s="327"/>
      <c r="AD74" s="327"/>
      <c r="AE74" s="327"/>
      <c r="AF74" s="327"/>
      <c r="AG74" s="482"/>
    </row>
    <row r="75">
      <c r="A75" s="347" t="s">
        <v>501</v>
      </c>
      <c r="B75" s="276">
        <f>B19-(B7*'OLD Formulas'!$C32)-B31</f>
        <v>0</v>
      </c>
      <c r="C75" s="276">
        <f>C19-(C7*'OLD Formulas'!$C32)-C31</f>
        <v>0</v>
      </c>
      <c r="D75" s="276">
        <f>D19-(D7*'OLD Formulas'!$C32)-D31</f>
        <v>0</v>
      </c>
      <c r="E75" s="276">
        <f>E19-(E7*'OLD Formulas'!$C32)-E31</f>
        <v>0</v>
      </c>
      <c r="F75" s="276">
        <f>F19-(F7*'OLD Formulas'!$C32)-F31</f>
        <v>0</v>
      </c>
      <c r="G75" s="276">
        <f>G19-(G7*'OLD Formulas'!$C32)-G31</f>
        <v>0</v>
      </c>
      <c r="H75" s="276">
        <f>H19-(H7*'OLD Formulas'!$C32)-H31</f>
        <v>0</v>
      </c>
      <c r="I75" s="276">
        <f>I19-(I7*'OLD Formulas'!$C32)-I31</f>
        <v>0</v>
      </c>
      <c r="J75" s="276">
        <f>J19-(J7*'OLD Formulas'!$C32)-J31</f>
        <v>0</v>
      </c>
      <c r="K75" s="276">
        <f>K19-(K7*'OLD Formulas'!$C32)-K31</f>
        <v>0</v>
      </c>
      <c r="L75" s="276">
        <f>L19-(L7*'OLD Formulas'!$C32)-L31</f>
        <v>0</v>
      </c>
      <c r="M75" s="276">
        <f>M19-(M7*'OLD Formulas'!$C32)-M31</f>
        <v>0</v>
      </c>
      <c r="N75" s="276">
        <f>N19-(N7*'OLD Formulas'!$C32)-N31</f>
        <v>0</v>
      </c>
      <c r="O75" s="276">
        <f>O19-(O7*'OLD Formulas'!$C32)-O31</f>
        <v>0</v>
      </c>
      <c r="P75" s="276">
        <f>P19-(P7*'OLD Formulas'!$C32)-P31</f>
        <v>0</v>
      </c>
      <c r="Q75" s="276">
        <f>Q19-(Q7*'OLD Formulas'!$C32)-Q31</f>
        <v>0</v>
      </c>
      <c r="R75" s="276">
        <f>R19-(R7*'OLD Formulas'!$C32)-R31</f>
        <v>0</v>
      </c>
      <c r="S75" s="276">
        <f>S19-(S7*'OLD Formulas'!$C32)-S31</f>
        <v>0</v>
      </c>
      <c r="T75" s="276">
        <f>T19-(T7*'OLD Formulas'!$C32)-T31</f>
        <v>0</v>
      </c>
      <c r="U75" s="276">
        <f>U19-(U7*'OLD Formulas'!$C32)-U31</f>
        <v>0</v>
      </c>
      <c r="V75" s="276">
        <f>V19-(V7*'OLD Formulas'!$C32)-V31</f>
        <v>0</v>
      </c>
      <c r="W75" s="276">
        <f>W19-(W7*'OLD Formulas'!$C32)-W31</f>
        <v>0</v>
      </c>
      <c r="X75" s="276">
        <f>X19-(X7*'OLD Formulas'!$C32)-X31</f>
        <v>0</v>
      </c>
      <c r="Y75" s="276">
        <f>Y19-(Y7*'OLD Formulas'!$C32)-Y31</f>
        <v>0</v>
      </c>
      <c r="Z75" s="276">
        <f>Z19-(Z7*'OLD Formulas'!$C32)-Z31</f>
        <v>0</v>
      </c>
      <c r="AA75" s="276">
        <f>AA19-(AA7*'OLD Formulas'!$C32)-AA31</f>
        <v>0</v>
      </c>
      <c r="AB75" s="276">
        <f>AB19-(AB7*'OLD Formulas'!$C32)-AB31</f>
        <v>0</v>
      </c>
      <c r="AC75" s="276">
        <f>AC19-(AC7*'OLD Formulas'!$C32)-AC31</f>
        <v>0</v>
      </c>
      <c r="AD75" s="276">
        <f>AD19-(AD7*'OLD Formulas'!$C32)-AD31</f>
        <v>0</v>
      </c>
      <c r="AE75" s="276">
        <f>AE19-(AE7*'OLD Formulas'!$C32)-AE31</f>
        <v>0</v>
      </c>
      <c r="AF75" s="276">
        <f>AF19-(AF7*'OLD Formulas'!$C32)-AF31</f>
        <v>0</v>
      </c>
      <c r="AG75" s="482">
        <f>SUM(B75:AF75)</f>
        <v>0</v>
      </c>
    </row>
    <row r="76">
      <c r="A76" s="347" t="s">
        <v>234</v>
      </c>
      <c r="B76" s="485" t="str">
        <f t="shared" ref="B76:AF76" si="13">B19/B31</f>
        <v>#DIV/0!</v>
      </c>
      <c r="C76" s="485" t="str">
        <f t="shared" si="13"/>
        <v>#DIV/0!</v>
      </c>
      <c r="D76" s="485" t="str">
        <f t="shared" si="13"/>
        <v>#DIV/0!</v>
      </c>
      <c r="E76" s="485" t="str">
        <f t="shared" si="13"/>
        <v>#DIV/0!</v>
      </c>
      <c r="F76" s="485" t="str">
        <f t="shared" si="13"/>
        <v>#DIV/0!</v>
      </c>
      <c r="G76" s="485" t="str">
        <f t="shared" si="13"/>
        <v>#DIV/0!</v>
      </c>
      <c r="H76" s="485" t="str">
        <f t="shared" si="13"/>
        <v>#DIV/0!</v>
      </c>
      <c r="I76" s="485" t="str">
        <f t="shared" si="13"/>
        <v>#DIV/0!</v>
      </c>
      <c r="J76" s="485" t="str">
        <f t="shared" si="13"/>
        <v>#DIV/0!</v>
      </c>
      <c r="K76" s="485" t="str">
        <f t="shared" si="13"/>
        <v>#DIV/0!</v>
      </c>
      <c r="L76" s="485" t="str">
        <f t="shared" si="13"/>
        <v>#DIV/0!</v>
      </c>
      <c r="M76" s="485" t="str">
        <f t="shared" si="13"/>
        <v>#DIV/0!</v>
      </c>
      <c r="N76" s="485" t="str">
        <f t="shared" si="13"/>
        <v>#DIV/0!</v>
      </c>
      <c r="O76" s="485" t="str">
        <f t="shared" si="13"/>
        <v>#DIV/0!</v>
      </c>
      <c r="P76" s="485" t="str">
        <f t="shared" si="13"/>
        <v>#DIV/0!</v>
      </c>
      <c r="Q76" s="485" t="str">
        <f t="shared" si="13"/>
        <v>#DIV/0!</v>
      </c>
      <c r="R76" s="485" t="str">
        <f t="shared" si="13"/>
        <v>#DIV/0!</v>
      </c>
      <c r="S76" s="485" t="str">
        <f t="shared" si="13"/>
        <v>#DIV/0!</v>
      </c>
      <c r="T76" s="485" t="str">
        <f t="shared" si="13"/>
        <v>#DIV/0!</v>
      </c>
      <c r="U76" s="485" t="str">
        <f t="shared" si="13"/>
        <v>#DIV/0!</v>
      </c>
      <c r="V76" s="485" t="str">
        <f t="shared" si="13"/>
        <v>#DIV/0!</v>
      </c>
      <c r="W76" s="485" t="str">
        <f t="shared" si="13"/>
        <v>#DIV/0!</v>
      </c>
      <c r="X76" s="485" t="str">
        <f t="shared" si="13"/>
        <v>#DIV/0!</v>
      </c>
      <c r="Y76" s="485" t="str">
        <f t="shared" si="13"/>
        <v>#DIV/0!</v>
      </c>
      <c r="Z76" s="485" t="str">
        <f t="shared" si="13"/>
        <v>#DIV/0!</v>
      </c>
      <c r="AA76" s="485" t="str">
        <f t="shared" si="13"/>
        <v>#DIV/0!</v>
      </c>
      <c r="AB76" s="485" t="str">
        <f t="shared" si="13"/>
        <v>#DIV/0!</v>
      </c>
      <c r="AC76" s="485" t="str">
        <f t="shared" si="13"/>
        <v>#DIV/0!</v>
      </c>
      <c r="AD76" s="485" t="str">
        <f t="shared" si="13"/>
        <v>#DIV/0!</v>
      </c>
      <c r="AE76" s="485" t="str">
        <f t="shared" si="13"/>
        <v>#DIV/0!</v>
      </c>
      <c r="AF76" s="485" t="str">
        <f t="shared" si="13"/>
        <v>#DIV/0!</v>
      </c>
      <c r="AG76" s="482"/>
    </row>
    <row r="77">
      <c r="A77" s="347" t="s">
        <v>508</v>
      </c>
      <c r="B77" s="488" t="str">
        <f t="shared" ref="B77:AF77" si="14">B31/B7</f>
        <v>#DIV/0!</v>
      </c>
      <c r="C77" s="488" t="str">
        <f t="shared" si="14"/>
        <v>#DIV/0!</v>
      </c>
      <c r="D77" s="488" t="str">
        <f t="shared" si="14"/>
        <v>#DIV/0!</v>
      </c>
      <c r="E77" s="488" t="str">
        <f t="shared" si="14"/>
        <v>#DIV/0!</v>
      </c>
      <c r="F77" s="488" t="str">
        <f t="shared" si="14"/>
        <v>#DIV/0!</v>
      </c>
      <c r="G77" s="488" t="str">
        <f t="shared" si="14"/>
        <v>#DIV/0!</v>
      </c>
      <c r="H77" s="488" t="str">
        <f t="shared" si="14"/>
        <v>#DIV/0!</v>
      </c>
      <c r="I77" s="488" t="str">
        <f t="shared" si="14"/>
        <v>#DIV/0!</v>
      </c>
      <c r="J77" s="488" t="str">
        <f t="shared" si="14"/>
        <v>#DIV/0!</v>
      </c>
      <c r="K77" s="488" t="str">
        <f t="shared" si="14"/>
        <v>#DIV/0!</v>
      </c>
      <c r="L77" s="488" t="str">
        <f t="shared" si="14"/>
        <v>#DIV/0!</v>
      </c>
      <c r="M77" s="488" t="str">
        <f t="shared" si="14"/>
        <v>#DIV/0!</v>
      </c>
      <c r="N77" s="488" t="str">
        <f t="shared" si="14"/>
        <v>#DIV/0!</v>
      </c>
      <c r="O77" s="488" t="str">
        <f t="shared" si="14"/>
        <v>#DIV/0!</v>
      </c>
      <c r="P77" s="488" t="str">
        <f t="shared" si="14"/>
        <v>#DIV/0!</v>
      </c>
      <c r="Q77" s="488" t="str">
        <f t="shared" si="14"/>
        <v>#DIV/0!</v>
      </c>
      <c r="R77" s="488" t="str">
        <f t="shared" si="14"/>
        <v>#DIV/0!</v>
      </c>
      <c r="S77" s="488" t="str">
        <f t="shared" si="14"/>
        <v>#DIV/0!</v>
      </c>
      <c r="T77" s="488" t="str">
        <f t="shared" si="14"/>
        <v>#DIV/0!</v>
      </c>
      <c r="U77" s="488" t="str">
        <f t="shared" si="14"/>
        <v>#DIV/0!</v>
      </c>
      <c r="V77" s="488" t="str">
        <f t="shared" si="14"/>
        <v>#DIV/0!</v>
      </c>
      <c r="W77" s="488" t="str">
        <f t="shared" si="14"/>
        <v>#DIV/0!</v>
      </c>
      <c r="X77" s="488" t="str">
        <f t="shared" si="14"/>
        <v>#DIV/0!</v>
      </c>
      <c r="Y77" s="488" t="str">
        <f t="shared" si="14"/>
        <v>#DIV/0!</v>
      </c>
      <c r="Z77" s="488" t="str">
        <f t="shared" si="14"/>
        <v>#DIV/0!</v>
      </c>
      <c r="AA77" s="488" t="str">
        <f t="shared" si="14"/>
        <v>#DIV/0!</v>
      </c>
      <c r="AB77" s="488" t="str">
        <f t="shared" si="14"/>
        <v>#DIV/0!</v>
      </c>
      <c r="AC77" s="488" t="str">
        <f t="shared" si="14"/>
        <v>#DIV/0!</v>
      </c>
      <c r="AD77" s="488" t="str">
        <f t="shared" si="14"/>
        <v>#DIV/0!</v>
      </c>
      <c r="AE77" s="488" t="str">
        <f t="shared" si="14"/>
        <v>#DIV/0!</v>
      </c>
      <c r="AF77" s="488" t="str">
        <f t="shared" si="14"/>
        <v>#DIV/0!</v>
      </c>
      <c r="AG77" s="482"/>
    </row>
    <row r="78">
      <c r="A78" s="100" t="s">
        <v>509</v>
      </c>
      <c r="B78" s="490" t="str">
        <f>B19/('OLD Formulas'!$C32*B7+B31)</f>
        <v>#DIV/0!</v>
      </c>
      <c r="C78" s="490" t="str">
        <f>C19/('OLD Formulas'!$C32*C7+C31)</f>
        <v>#DIV/0!</v>
      </c>
      <c r="D78" s="490" t="str">
        <f>D19/('OLD Formulas'!$C32*D7+D31)</f>
        <v>#DIV/0!</v>
      </c>
      <c r="E78" s="490" t="str">
        <f>E19/('OLD Formulas'!$C32*E7+E31)</f>
        <v>#DIV/0!</v>
      </c>
      <c r="F78" s="490" t="str">
        <f>F19/('OLD Formulas'!$C32*F7+F31)</f>
        <v>#DIV/0!</v>
      </c>
      <c r="G78" s="490" t="str">
        <f>G19/('OLD Formulas'!$C32*G7+G31)</f>
        <v>#DIV/0!</v>
      </c>
      <c r="H78" s="490" t="str">
        <f>H19/('OLD Formulas'!$C32*H7+H31)</f>
        <v>#DIV/0!</v>
      </c>
      <c r="I78" s="490" t="str">
        <f>I19/('OLD Formulas'!$C32*I7+I31)</f>
        <v>#DIV/0!</v>
      </c>
      <c r="J78" s="490" t="str">
        <f>J19/('OLD Formulas'!$C32*J7+J31)</f>
        <v>#DIV/0!</v>
      </c>
      <c r="K78" s="490" t="str">
        <f>K19/('OLD Formulas'!$C32*K7+K31)</f>
        <v>#DIV/0!</v>
      </c>
      <c r="L78" s="490" t="str">
        <f>L19/('OLD Formulas'!$C32*L7+L31)</f>
        <v>#DIV/0!</v>
      </c>
      <c r="M78" s="490" t="str">
        <f>M19/('OLD Formulas'!$C32*M7+M31)</f>
        <v>#DIV/0!</v>
      </c>
      <c r="N78" s="490" t="str">
        <f>N19/('OLD Formulas'!$C32*N7+N31)</f>
        <v>#DIV/0!</v>
      </c>
      <c r="O78" s="490" t="str">
        <f>O19/('OLD Formulas'!$C32*O7+O31)</f>
        <v>#DIV/0!</v>
      </c>
      <c r="P78" s="490" t="str">
        <f>P19/('OLD Formulas'!$C32*P7+P31)</f>
        <v>#DIV/0!</v>
      </c>
      <c r="Q78" s="490" t="str">
        <f>Q19/('OLD Formulas'!$C32*Q7+Q31)</f>
        <v>#DIV/0!</v>
      </c>
      <c r="R78" s="490" t="str">
        <f>R19/('OLD Formulas'!$C32*R7+R31)</f>
        <v>#DIV/0!</v>
      </c>
      <c r="S78" s="490" t="str">
        <f>S19/('OLD Formulas'!$C32*S7+S31)</f>
        <v>#DIV/0!</v>
      </c>
      <c r="T78" s="490" t="str">
        <f>T19/('OLD Formulas'!$C32*T7+T31)</f>
        <v>#DIV/0!</v>
      </c>
      <c r="U78" s="490" t="str">
        <f>U19/('OLD Formulas'!$C32*U7+U31)</f>
        <v>#DIV/0!</v>
      </c>
      <c r="V78" s="490" t="str">
        <f>V19/('OLD Formulas'!$C32*V7+V31)</f>
        <v>#DIV/0!</v>
      </c>
      <c r="W78" s="490" t="str">
        <f>W19/('OLD Formulas'!$C32*W7+W31)</f>
        <v>#DIV/0!</v>
      </c>
      <c r="X78" s="490" t="str">
        <f>X19/('OLD Formulas'!$C32*X7+X31)</f>
        <v>#DIV/0!</v>
      </c>
      <c r="Y78" s="490" t="str">
        <f>Y19/('OLD Formulas'!$C32*Y7+Y31)</f>
        <v>#DIV/0!</v>
      </c>
      <c r="Z78" s="490" t="str">
        <f>Z19/('OLD Formulas'!$C32*Z7+Z31)</f>
        <v>#DIV/0!</v>
      </c>
      <c r="AA78" s="490" t="str">
        <f>AA19/('OLD Formulas'!$C32*AA7+AA31)</f>
        <v>#DIV/0!</v>
      </c>
      <c r="AB78" s="490" t="str">
        <f>AB19/('OLD Formulas'!$C32*AB7+AB31)</f>
        <v>#DIV/0!</v>
      </c>
      <c r="AC78" s="490" t="str">
        <f>AC19/('OLD Formulas'!$C32*AC7+AC31)</f>
        <v>#DIV/0!</v>
      </c>
      <c r="AD78" s="490" t="str">
        <f>AD19/('OLD Formulas'!$C32*AD7+AD31)</f>
        <v>#DIV/0!</v>
      </c>
      <c r="AE78" s="490" t="str">
        <f>AE19/('OLD Formulas'!$C32*AE7+AE31)</f>
        <v>#DIV/0!</v>
      </c>
      <c r="AF78" s="490" t="str">
        <f>AF19/('OLD Formulas'!$C32*AF7+AF31)</f>
        <v>#DIV/0!</v>
      </c>
      <c r="AG78" s="482"/>
    </row>
    <row r="79">
      <c r="A79" s="327"/>
      <c r="B79" s="327"/>
      <c r="C79" s="327"/>
      <c r="D79" s="327"/>
      <c r="E79" s="327"/>
      <c r="F79" s="327"/>
      <c r="G79" s="327"/>
      <c r="H79" s="327"/>
      <c r="I79" s="327"/>
      <c r="J79" s="327"/>
      <c r="K79" s="327"/>
      <c r="L79" s="327"/>
      <c r="M79" s="327"/>
      <c r="N79" s="327"/>
      <c r="O79" s="327"/>
      <c r="P79" s="327"/>
      <c r="Q79" s="327"/>
      <c r="R79" s="327"/>
      <c r="S79" s="327"/>
      <c r="T79" s="327"/>
      <c r="U79" s="327"/>
      <c r="V79" s="327"/>
      <c r="W79" s="327"/>
      <c r="X79" s="327"/>
      <c r="Y79" s="327"/>
      <c r="Z79" s="327"/>
      <c r="AA79" s="327"/>
      <c r="AB79" s="327"/>
      <c r="AC79" s="327"/>
      <c r="AD79" s="327"/>
      <c r="AE79" s="327"/>
      <c r="AF79" s="327"/>
      <c r="AG79" s="482"/>
    </row>
    <row r="80">
      <c r="A80" s="540" t="s">
        <v>621</v>
      </c>
      <c r="B80" s="542"/>
      <c r="C80" s="542"/>
      <c r="D80" s="542"/>
      <c r="E80" s="542"/>
      <c r="F80" s="542"/>
      <c r="G80" s="542"/>
      <c r="H80" s="542"/>
      <c r="I80" s="542"/>
      <c r="J80" s="542"/>
      <c r="K80" s="542"/>
      <c r="L80" s="542"/>
      <c r="M80" s="542"/>
      <c r="N80" s="542"/>
      <c r="O80" s="542"/>
      <c r="P80" s="542"/>
      <c r="Q80" s="542"/>
      <c r="R80" s="542"/>
      <c r="S80" s="542"/>
      <c r="T80" s="542"/>
      <c r="U80" s="542"/>
      <c r="V80" s="542"/>
      <c r="W80" s="542"/>
      <c r="X80" s="542"/>
      <c r="Y80" s="542"/>
      <c r="Z80" s="542"/>
      <c r="AA80" s="542"/>
      <c r="AB80" s="542"/>
      <c r="AC80" s="542"/>
      <c r="AD80" s="542"/>
      <c r="AE80" s="542"/>
      <c r="AF80" s="542"/>
      <c r="AG80" s="482"/>
    </row>
    <row r="81">
      <c r="A81" s="550" t="s">
        <v>501</v>
      </c>
      <c r="B81" s="276">
        <f>B20-(B8*'OLD Formulas'!$C32)-B32</f>
        <v>-156.3040905</v>
      </c>
      <c r="C81" s="276">
        <f>C20-(C8*'OLD Formulas'!$C32)-C32</f>
        <v>-172.2140905</v>
      </c>
      <c r="D81" s="276">
        <f>D20-(D8*'OLD Formulas'!$C32)-D32</f>
        <v>-319.9170452</v>
      </c>
      <c r="E81" s="276">
        <f>E20-(E8*'OLD Formulas'!$C32)-E32</f>
        <v>-62.91818097</v>
      </c>
      <c r="F81" s="276">
        <f>F20-(F8*'OLD Formulas'!$C32)-F32</f>
        <v>-259.3011357</v>
      </c>
      <c r="G81" s="276">
        <f>G20-(G8*'OLD Formulas'!$C32)-G32</f>
        <v>85.90590952</v>
      </c>
      <c r="H81" s="276">
        <f>H20-(H8*'OLD Formulas'!$C32)-H32</f>
        <v>-148.2170452</v>
      </c>
      <c r="I81" s="276">
        <f>I20-(I8*'OLD Formulas'!$C32)-I32</f>
        <v>-238.3640905</v>
      </c>
      <c r="J81" s="276">
        <f>J20-(J8*'OLD Formulas'!$C32)-J32</f>
        <v>920.1977286</v>
      </c>
      <c r="K81" s="276">
        <f>K20-(K8*'OLD Formulas'!$C32)-K32</f>
        <v>134.6347738</v>
      </c>
      <c r="L81" s="276">
        <f>L20-(L8*'OLD Formulas'!$C32)-L32</f>
        <v>-123.588181</v>
      </c>
      <c r="M81" s="276">
        <f>M20-(M8*'OLD Formulas'!$C32)-M32</f>
        <v>84.05886428</v>
      </c>
      <c r="N81" s="276">
        <f>N20-(N8*'OLD Formulas'!$C32)-N32</f>
        <v>64.03295476</v>
      </c>
      <c r="O81" s="276">
        <f>O20-(O8*'OLD Formulas'!$C32)-O32</f>
        <v>111.2788643</v>
      </c>
      <c r="P81" s="276">
        <f>P20-(P8*'OLD Formulas'!$C32)-P32</f>
        <v>146.0729548</v>
      </c>
      <c r="Q81" s="276">
        <f>Q20-(Q8*'OLD Formulas'!$C32)-Q32</f>
        <v>405.6488643</v>
      </c>
      <c r="R81" s="276">
        <f>R20-(R8*'OLD Formulas'!$C32)-R32</f>
        <v>-121.1470452</v>
      </c>
      <c r="S81" s="276">
        <f>S20-(S8*'OLD Formulas'!$C32)-S32</f>
        <v>-61.17704524</v>
      </c>
      <c r="T81" s="276">
        <f>T20-(T8*'OLD Formulas'!$C32)-T32</f>
        <v>-130.29</v>
      </c>
      <c r="U81" s="276">
        <f>U20-(U8*'OLD Formulas'!$C32)-U32</f>
        <v>-195.398181</v>
      </c>
      <c r="V81" s="276">
        <f>V20-(V8*'OLD Formulas'!$C32)-V32</f>
        <v>232.4277286</v>
      </c>
      <c r="W81" s="276">
        <f>W20-(W8*'OLD Formulas'!$C32)-W32</f>
        <v>388.5706833</v>
      </c>
      <c r="X81" s="276">
        <f>X20-(X8*'OLD Formulas'!$C32)-X32</f>
        <v>-399.668181</v>
      </c>
      <c r="Y81" s="276">
        <f>Y20-(Y8*'OLD Formulas'!$C32)-Y32</f>
        <v>-86.61704524</v>
      </c>
      <c r="Z81" s="276">
        <f>Z20-(Z8*'OLD Formulas'!$C32)-Z32</f>
        <v>-57.83704524</v>
      </c>
      <c r="AA81" s="276">
        <f>AA20-(AA8*'OLD Formulas'!$C32)-AA32</f>
        <v>-352.8270452</v>
      </c>
      <c r="AB81" s="276">
        <f>AB20-(AB8*'OLD Formulas'!$C32)-AB32</f>
        <v>-111.9270452</v>
      </c>
      <c r="AC81" s="276">
        <f>AC20-(AC8*'OLD Formulas'!$C32)-AC32</f>
        <v>154.7229548</v>
      </c>
      <c r="AD81" s="276">
        <f>AD20-(AD8*'OLD Formulas'!$C32)-AD32</f>
        <v>-283.72</v>
      </c>
      <c r="AE81" s="276">
        <f>AE20-(AE8*'OLD Formulas'!$C32)-AE32</f>
        <v>-140.7270452</v>
      </c>
      <c r="AF81" s="276">
        <f>AF20-(AF8*'OLD Formulas'!$C32)-AF32</f>
        <v>-146.0070452</v>
      </c>
      <c r="AG81" s="482">
        <f>SUM(B81:AF81)</f>
        <v>-840.6143026</v>
      </c>
    </row>
    <row r="82">
      <c r="A82" s="550" t="s">
        <v>234</v>
      </c>
      <c r="B82" s="485">
        <f t="shared" ref="B82:AF82" si="15">B20/B32</f>
        <v>1.559772606</v>
      </c>
      <c r="C82" s="485">
        <f t="shared" si="15"/>
        <v>1.465588915</v>
      </c>
      <c r="D82" s="485">
        <f t="shared" si="15"/>
        <v>0.3326531398</v>
      </c>
      <c r="E82" s="485">
        <f t="shared" si="15"/>
        <v>3.080736206</v>
      </c>
      <c r="F82" s="485">
        <f t="shared" si="15"/>
        <v>1.691603112</v>
      </c>
      <c r="G82" s="485">
        <f t="shared" si="15"/>
        <v>2.49857685</v>
      </c>
      <c r="H82" s="485">
        <f t="shared" si="15"/>
        <v>0.9935044234</v>
      </c>
      <c r="I82" s="485">
        <f t="shared" si="15"/>
        <v>1.219371623</v>
      </c>
      <c r="J82" s="485">
        <f t="shared" si="15"/>
        <v>8.235927951</v>
      </c>
      <c r="K82" s="485">
        <f t="shared" si="15"/>
        <v>4.527424273</v>
      </c>
      <c r="L82" s="485">
        <f t="shared" si="15"/>
        <v>2.847050371</v>
      </c>
      <c r="M82" s="485">
        <f t="shared" si="15"/>
        <v>3.115077122</v>
      </c>
      <c r="N82" s="485">
        <f t="shared" si="15"/>
        <v>3.557309373</v>
      </c>
      <c r="O82" s="485" t="str">
        <f t="shared" si="15"/>
        <v>#DIV/0!</v>
      </c>
      <c r="P82" s="485" t="str">
        <f t="shared" si="15"/>
        <v>#DIV/0!</v>
      </c>
      <c r="Q82" s="485" t="str">
        <f t="shared" si="15"/>
        <v>#DIV/0!</v>
      </c>
      <c r="R82" s="485" t="str">
        <f t="shared" si="15"/>
        <v>#DIV/0!</v>
      </c>
      <c r="S82" s="485" t="str">
        <f t="shared" si="15"/>
        <v>#DIV/0!</v>
      </c>
      <c r="T82" s="485">
        <f t="shared" si="15"/>
        <v>0</v>
      </c>
      <c r="U82" s="485">
        <f t="shared" si="15"/>
        <v>2.58068168</v>
      </c>
      <c r="V82" s="485">
        <f t="shared" si="15"/>
        <v>5.597304337</v>
      </c>
      <c r="W82" s="485">
        <f t="shared" si="15"/>
        <v>6.286547085</v>
      </c>
      <c r="X82" s="485">
        <f t="shared" si="15"/>
        <v>1.766652977</v>
      </c>
      <c r="Y82" s="485">
        <f t="shared" si="15"/>
        <v>1.25049079</v>
      </c>
      <c r="Z82" s="485">
        <f t="shared" si="15"/>
        <v>1.350444225</v>
      </c>
      <c r="AA82" s="485">
        <f t="shared" si="15"/>
        <v>0.2485334305</v>
      </c>
      <c r="AB82" s="485">
        <f t="shared" si="15"/>
        <v>1.132048156</v>
      </c>
      <c r="AC82" s="485">
        <f t="shared" si="15"/>
        <v>2.000730679</v>
      </c>
      <c r="AD82" s="485">
        <f t="shared" si="15"/>
        <v>0</v>
      </c>
      <c r="AE82" s="485">
        <f t="shared" si="15"/>
        <v>1.02025719</v>
      </c>
      <c r="AF82" s="485">
        <f t="shared" si="15"/>
        <v>1.00195352</v>
      </c>
      <c r="AG82" s="482"/>
    </row>
    <row r="83">
      <c r="A83" s="550" t="s">
        <v>508</v>
      </c>
      <c r="B83" s="488">
        <f t="shared" ref="B83:AF83" si="16">B32/B8</f>
        <v>122.255</v>
      </c>
      <c r="C83" s="488">
        <f t="shared" si="16"/>
        <v>129.9</v>
      </c>
      <c r="D83" s="488">
        <f t="shared" si="16"/>
        <v>259.73</v>
      </c>
      <c r="E83" s="488">
        <f t="shared" si="16"/>
        <v>62.89</v>
      </c>
      <c r="F83" s="488">
        <f t="shared" si="16"/>
        <v>86.97666667</v>
      </c>
      <c r="G83" s="488">
        <f t="shared" si="16"/>
        <v>126.48</v>
      </c>
      <c r="H83" s="488">
        <f t="shared" si="16"/>
        <v>250.94</v>
      </c>
      <c r="I83" s="488">
        <f t="shared" si="16"/>
        <v>124.925</v>
      </c>
      <c r="J83" s="488">
        <f t="shared" si="16"/>
        <v>41.45333333</v>
      </c>
      <c r="K83" s="488">
        <f t="shared" si="16"/>
        <v>49.19</v>
      </c>
      <c r="L83" s="488">
        <f t="shared" si="16"/>
        <v>62.635</v>
      </c>
      <c r="M83" s="488">
        <f t="shared" si="16"/>
        <v>82.55333333</v>
      </c>
      <c r="N83" s="488">
        <f t="shared" si="16"/>
        <v>82.36</v>
      </c>
      <c r="O83" s="488">
        <f t="shared" si="16"/>
        <v>0</v>
      </c>
      <c r="P83" s="488">
        <f t="shared" si="16"/>
        <v>0</v>
      </c>
      <c r="Q83" s="488">
        <f t="shared" si="16"/>
        <v>0</v>
      </c>
      <c r="R83" s="488">
        <f t="shared" si="16"/>
        <v>0</v>
      </c>
      <c r="S83" s="488">
        <f t="shared" si="16"/>
        <v>0</v>
      </c>
      <c r="T83" s="488" t="str">
        <f t="shared" si="16"/>
        <v>#DIV/0!</v>
      </c>
      <c r="U83" s="488">
        <f t="shared" si="16"/>
        <v>61.8325</v>
      </c>
      <c r="V83" s="488">
        <f t="shared" si="16"/>
        <v>40.31166667</v>
      </c>
      <c r="W83" s="488">
        <f t="shared" si="16"/>
        <v>38.22857143</v>
      </c>
      <c r="X83" s="488">
        <f t="shared" si="16"/>
        <v>60.875</v>
      </c>
      <c r="Y83" s="488">
        <f t="shared" si="16"/>
        <v>239.41</v>
      </c>
      <c r="Z83" s="488">
        <f t="shared" si="16"/>
        <v>253.25</v>
      </c>
      <c r="AA83" s="488">
        <f t="shared" si="16"/>
        <v>274.45</v>
      </c>
      <c r="AB83" s="488">
        <f t="shared" si="16"/>
        <v>262.48</v>
      </c>
      <c r="AC83" s="488">
        <f t="shared" si="16"/>
        <v>301.09</v>
      </c>
      <c r="AD83" s="488" t="str">
        <f t="shared" si="16"/>
        <v>#DIV/0!</v>
      </c>
      <c r="AE83" s="488">
        <f t="shared" si="16"/>
        <v>289.28</v>
      </c>
      <c r="AF83" s="488">
        <f t="shared" si="16"/>
        <v>296.9</v>
      </c>
      <c r="AG83" s="482"/>
    </row>
    <row r="84">
      <c r="A84" s="599" t="s">
        <v>509</v>
      </c>
      <c r="B84" s="490">
        <f>B20/('OLD Formulas'!$C32*B8+B32)</f>
        <v>0.7093012547</v>
      </c>
      <c r="C84" s="490">
        <f>C20/('OLD Formulas'!$C32*C8+C32)</f>
        <v>0.6885675234</v>
      </c>
      <c r="D84" s="490">
        <f>D20/('OLD Formulas'!$C32*D8+D32)</f>
        <v>0.2126418299</v>
      </c>
      <c r="E84" s="490">
        <f>E20/('OLD Formulas'!$C32*E8+E32)</f>
        <v>0.924910411</v>
      </c>
      <c r="F84" s="490">
        <f>F20/('OLD Formulas'!$C32*F8+F32)</f>
        <v>0.6299351847</v>
      </c>
      <c r="G84" s="490">
        <f>G20/('OLD Formulas'!$C32*G8+G32)</f>
        <v>1.1572982</v>
      </c>
      <c r="H84" s="490">
        <f>H20/('OLD Formulas'!$C32*H8+H32)</f>
        <v>0.6271522982</v>
      </c>
      <c r="I84" s="490">
        <f>I20/('OLD Formulas'!$C32*I8+I32)</f>
        <v>0.561043249</v>
      </c>
      <c r="J84" s="490">
        <f>J20/('OLD Formulas'!$C32*J8+J32)</f>
        <v>1.815602953</v>
      </c>
      <c r="K84" s="490">
        <f>K20/('OLD Formulas'!$C32*K8+K32)</f>
        <v>1.137538876</v>
      </c>
      <c r="L84" s="490">
        <f>L20/('OLD Formulas'!$C32*L8+L32)</f>
        <v>0.8523241411</v>
      </c>
      <c r="M84" s="490">
        <f>M20/('OLD Formulas'!$C32*M8+M32)</f>
        <v>1.122281466</v>
      </c>
      <c r="N84" s="490">
        <f>N20/('OLD Formulas'!$C32*N8+N32)</f>
        <v>1.279684565</v>
      </c>
      <c r="O84" s="490">
        <f>O20/('OLD Formulas'!$C32*O8+O32)</f>
        <v>1.25304388</v>
      </c>
      <c r="P84" s="490">
        <f>P20/('OLD Formulas'!$C32*P8+P32)</f>
        <v>1.996492934</v>
      </c>
      <c r="Q84" s="490">
        <f>Q20/('OLD Formulas'!$C32*Q8+Q32)</f>
        <v>1.92243</v>
      </c>
      <c r="R84" s="490">
        <f>R20/('OLD Formulas'!$C32*R8+R32)</f>
        <v>0.1735487605</v>
      </c>
      <c r="S84" s="490">
        <f>S20/('OLD Formulas'!$C32*S8+S32)</f>
        <v>0.5826572182</v>
      </c>
      <c r="T84" s="490">
        <f>T20/('OLD Formulas'!$C32*T8+T32)</f>
        <v>0</v>
      </c>
      <c r="U84" s="490">
        <f>U20/('OLD Formulas'!$C32*U8+U32)</f>
        <v>0.7656191736</v>
      </c>
      <c r="V84" s="490">
        <f>V20/('OLD Formulas'!$C32*V8+V32)</f>
        <v>1.207267104</v>
      </c>
      <c r="W84" s="490">
        <f>W20/('OLD Formulas'!$C32*W8+W32)</f>
        <v>1.300353934</v>
      </c>
      <c r="X84" s="490">
        <f>X20/('OLD Formulas'!$C32*X8+X32)</f>
        <v>0.5183839766</v>
      </c>
      <c r="Y84" s="490">
        <f>Y20/('OLD Formulas'!$C32*Y8+Y32)</f>
        <v>0.775601792</v>
      </c>
      <c r="Z84" s="490">
        <f>Z20/('OLD Formulas'!$C32*Z8+Z32)</f>
        <v>0.8553484578</v>
      </c>
      <c r="AA84" s="490">
        <f>AA20/('OLD Formulas'!$C32*AA8+AA32)</f>
        <v>0.162004747</v>
      </c>
      <c r="AB84" s="490">
        <f>AB20/('OLD Formulas'!$C32*AB8+AB32)</f>
        <v>0.726384595</v>
      </c>
      <c r="AC84" s="490">
        <f>AC20/('OLD Formulas'!$C32*AC8+AC32)</f>
        <v>1.345612884</v>
      </c>
      <c r="AD84" s="490">
        <f>AD20/('OLD Formulas'!$C32*AD8+AD32)</f>
        <v>0</v>
      </c>
      <c r="AE84" s="490">
        <f>AE20/('OLD Formulas'!$C32*AE8+AE32)</f>
        <v>0.6771330919</v>
      </c>
      <c r="AF84" s="490">
        <f>AF20/('OLD Formulas'!$C32*AF8+AF32)</f>
        <v>0.6707749487</v>
      </c>
      <c r="AG84" s="482"/>
    </row>
    <row r="85">
      <c r="A85" s="327"/>
      <c r="B85" s="327"/>
      <c r="C85" s="327"/>
      <c r="D85" s="327"/>
      <c r="E85" s="327"/>
      <c r="F85" s="327"/>
      <c r="G85" s="327"/>
      <c r="H85" s="327"/>
      <c r="I85" s="327"/>
      <c r="J85" s="327"/>
      <c r="K85" s="327"/>
      <c r="L85" s="327"/>
      <c r="M85" s="327"/>
      <c r="N85" s="327"/>
      <c r="O85" s="327"/>
      <c r="P85" s="327"/>
      <c r="Q85" s="327"/>
      <c r="R85" s="327"/>
      <c r="S85" s="327"/>
      <c r="T85" s="327"/>
      <c r="U85" s="327"/>
      <c r="V85" s="327"/>
      <c r="W85" s="327"/>
      <c r="X85" s="327"/>
      <c r="Y85" s="327"/>
      <c r="Z85" s="327"/>
      <c r="AA85" s="327"/>
      <c r="AB85" s="327"/>
      <c r="AC85" s="327"/>
      <c r="AD85" s="327"/>
      <c r="AE85" s="327"/>
      <c r="AF85" s="327"/>
      <c r="AG85" s="482"/>
    </row>
    <row r="86">
      <c r="A86" s="648" t="s">
        <v>410</v>
      </c>
      <c r="B86" s="327"/>
      <c r="C86" s="327"/>
      <c r="D86" s="327"/>
      <c r="E86" s="327"/>
      <c r="F86" s="327"/>
      <c r="G86" s="327"/>
      <c r="H86" s="327"/>
      <c r="I86" s="327"/>
      <c r="J86" s="327"/>
      <c r="K86" s="327"/>
      <c r="L86" s="327"/>
      <c r="M86" s="327"/>
      <c r="N86" s="327"/>
      <c r="O86" s="327"/>
      <c r="P86" s="327"/>
      <c r="Q86" s="327"/>
      <c r="R86" s="327"/>
      <c r="S86" s="327"/>
      <c r="T86" s="327"/>
      <c r="U86" s="327"/>
      <c r="V86" s="327"/>
      <c r="W86" s="327"/>
      <c r="X86" s="327"/>
      <c r="Y86" s="327"/>
      <c r="Z86" s="327"/>
      <c r="AA86" s="327"/>
      <c r="AB86" s="327"/>
      <c r="AC86" s="327"/>
      <c r="AD86" s="327"/>
      <c r="AE86" s="327"/>
      <c r="AF86" s="327"/>
      <c r="AG86" s="482"/>
    </row>
    <row r="87">
      <c r="A87" s="652" t="s">
        <v>501</v>
      </c>
      <c r="B87" s="276">
        <f>B21-(B9*'OLD Formulas'!$C32)-B33</f>
        <v>0</v>
      </c>
      <c r="C87" s="276">
        <f>C21-(C9*'OLD Formulas'!$C32)-C33</f>
        <v>0</v>
      </c>
      <c r="D87" s="276">
        <f>D21-(D9*'OLD Formulas'!$C32)-D33</f>
        <v>0</v>
      </c>
      <c r="E87" s="276">
        <f>E21-(E9*'OLD Formulas'!$C32)-E33</f>
        <v>0</v>
      </c>
      <c r="F87" s="276">
        <f>F21-(F9*'OLD Formulas'!$C32)-F33</f>
        <v>0</v>
      </c>
      <c r="G87" s="276">
        <f>G21-(G9*'OLD Formulas'!$C32)-G33</f>
        <v>0</v>
      </c>
      <c r="H87" s="276">
        <f>H21-(H9*'OLD Formulas'!$C32)-H33</f>
        <v>0</v>
      </c>
      <c r="I87" s="276">
        <f>I21-(I9*'OLD Formulas'!$C32)-I33</f>
        <v>0</v>
      </c>
      <c r="J87" s="276">
        <f>J21-(J9*'OLD Formulas'!$C32)-J33</f>
        <v>0</v>
      </c>
      <c r="K87" s="276">
        <f>K21-(K9*'OLD Formulas'!$C32)-K33</f>
        <v>0</v>
      </c>
      <c r="L87" s="276">
        <f>L21-(L9*'OLD Formulas'!$C32)-L33</f>
        <v>0</v>
      </c>
      <c r="M87" s="276">
        <f>M21-(M9*'OLD Formulas'!$C32)-M33</f>
        <v>0</v>
      </c>
      <c r="N87" s="276">
        <f>N21-(N9*'OLD Formulas'!$C32)-N33</f>
        <v>0</v>
      </c>
      <c r="O87" s="276">
        <f>O21-(O9*'OLD Formulas'!$C32)-O33</f>
        <v>0</v>
      </c>
      <c r="P87" s="276">
        <f>P21-(P9*'OLD Formulas'!$C32)-P33</f>
        <v>0</v>
      </c>
      <c r="Q87" s="276">
        <f>Q21-(Q9*'OLD Formulas'!$C32)-Q33</f>
        <v>0</v>
      </c>
      <c r="R87" s="276">
        <f>R21-(R9*'OLD Formulas'!$C32)-R33</f>
        <v>0</v>
      </c>
      <c r="S87" s="276">
        <f>S21-(S9*'OLD Formulas'!$C32)-S33</f>
        <v>0</v>
      </c>
      <c r="T87" s="276">
        <f>T21-(T9*'OLD Formulas'!$C32)-T33</f>
        <v>0</v>
      </c>
      <c r="U87" s="276">
        <f>U21-(U9*'OLD Formulas'!$C32)-U33</f>
        <v>0</v>
      </c>
      <c r="V87" s="276">
        <f>V21-(V9*'OLD Formulas'!$C32)-V33</f>
        <v>0</v>
      </c>
      <c r="W87" s="276">
        <f>W21-(W9*'OLD Formulas'!$C32)-W33</f>
        <v>0</v>
      </c>
      <c r="X87" s="276">
        <f>X21-(X9*'OLD Formulas'!$C32)-X33</f>
        <v>0</v>
      </c>
      <c r="Y87" s="276">
        <f>Y21-(Y9*'OLD Formulas'!$C32)-Y33</f>
        <v>0</v>
      </c>
      <c r="Z87" s="276">
        <f>Z21-(Z9*'OLD Formulas'!$C32)-Z33</f>
        <v>0</v>
      </c>
      <c r="AA87" s="276">
        <f>AA21-(AA9*'OLD Formulas'!$C32)-AA33</f>
        <v>0</v>
      </c>
      <c r="AB87" s="276">
        <f>AB21-(AB9*'OLD Formulas'!$C32)-AB33</f>
        <v>0</v>
      </c>
      <c r="AC87" s="276">
        <f>AC21-(AC9*'OLD Formulas'!$C32)-AC33</f>
        <v>0</v>
      </c>
      <c r="AD87" s="276">
        <f>AD21-(AD9*'OLD Formulas'!$C32)-AD33</f>
        <v>0</v>
      </c>
      <c r="AE87" s="276">
        <f>AE21-(AE9*'OLD Formulas'!$C32)-AE33</f>
        <v>0</v>
      </c>
      <c r="AF87" s="276">
        <f>AF21-(AF9*'OLD Formulas'!$C32)-AF33</f>
        <v>0</v>
      </c>
      <c r="AG87" s="482">
        <f>SUM(B87:AF87)</f>
        <v>0</v>
      </c>
    </row>
    <row r="88">
      <c r="A88" s="652" t="s">
        <v>234</v>
      </c>
      <c r="B88" s="485" t="str">
        <f t="shared" ref="B88:AF88" si="17">B21/B33</f>
        <v>#DIV/0!</v>
      </c>
      <c r="C88" s="485" t="str">
        <f t="shared" si="17"/>
        <v>#DIV/0!</v>
      </c>
      <c r="D88" s="485" t="str">
        <f t="shared" si="17"/>
        <v>#DIV/0!</v>
      </c>
      <c r="E88" s="485" t="str">
        <f t="shared" si="17"/>
        <v>#DIV/0!</v>
      </c>
      <c r="F88" s="485" t="str">
        <f t="shared" si="17"/>
        <v>#DIV/0!</v>
      </c>
      <c r="G88" s="485" t="str">
        <f t="shared" si="17"/>
        <v>#DIV/0!</v>
      </c>
      <c r="H88" s="485" t="str">
        <f t="shared" si="17"/>
        <v>#DIV/0!</v>
      </c>
      <c r="I88" s="485" t="str">
        <f t="shared" si="17"/>
        <v>#DIV/0!</v>
      </c>
      <c r="J88" s="485" t="str">
        <f t="shared" si="17"/>
        <v>#DIV/0!</v>
      </c>
      <c r="K88" s="485" t="str">
        <f t="shared" si="17"/>
        <v>#DIV/0!</v>
      </c>
      <c r="L88" s="485" t="str">
        <f t="shared" si="17"/>
        <v>#DIV/0!</v>
      </c>
      <c r="M88" s="485" t="str">
        <f t="shared" si="17"/>
        <v>#DIV/0!</v>
      </c>
      <c r="N88" s="485" t="str">
        <f t="shared" si="17"/>
        <v>#DIV/0!</v>
      </c>
      <c r="O88" s="485" t="str">
        <f t="shared" si="17"/>
        <v>#DIV/0!</v>
      </c>
      <c r="P88" s="485" t="str">
        <f t="shared" si="17"/>
        <v>#DIV/0!</v>
      </c>
      <c r="Q88" s="485" t="str">
        <f t="shared" si="17"/>
        <v>#DIV/0!</v>
      </c>
      <c r="R88" s="485" t="str">
        <f t="shared" si="17"/>
        <v>#DIV/0!</v>
      </c>
      <c r="S88" s="485" t="str">
        <f t="shared" si="17"/>
        <v>#DIV/0!</v>
      </c>
      <c r="T88" s="485" t="str">
        <f t="shared" si="17"/>
        <v>#DIV/0!</v>
      </c>
      <c r="U88" s="485" t="str">
        <f t="shared" si="17"/>
        <v>#DIV/0!</v>
      </c>
      <c r="V88" s="485" t="str">
        <f t="shared" si="17"/>
        <v>#DIV/0!</v>
      </c>
      <c r="W88" s="485" t="str">
        <f t="shared" si="17"/>
        <v>#DIV/0!</v>
      </c>
      <c r="X88" s="485" t="str">
        <f t="shared" si="17"/>
        <v>#DIV/0!</v>
      </c>
      <c r="Y88" s="485" t="str">
        <f t="shared" si="17"/>
        <v>#DIV/0!</v>
      </c>
      <c r="Z88" s="485" t="str">
        <f t="shared" si="17"/>
        <v>#DIV/0!</v>
      </c>
      <c r="AA88" s="485" t="str">
        <f t="shared" si="17"/>
        <v>#DIV/0!</v>
      </c>
      <c r="AB88" s="485" t="str">
        <f t="shared" si="17"/>
        <v>#DIV/0!</v>
      </c>
      <c r="AC88" s="485" t="str">
        <f t="shared" si="17"/>
        <v>#DIV/0!</v>
      </c>
      <c r="AD88" s="485" t="str">
        <f t="shared" si="17"/>
        <v>#DIV/0!</v>
      </c>
      <c r="AE88" s="485" t="str">
        <f t="shared" si="17"/>
        <v>#DIV/0!</v>
      </c>
      <c r="AF88" s="485" t="str">
        <f t="shared" si="17"/>
        <v>#DIV/0!</v>
      </c>
      <c r="AG88" s="482"/>
    </row>
    <row r="89">
      <c r="A89" s="652" t="s">
        <v>508</v>
      </c>
      <c r="B89" s="488" t="str">
        <f t="shared" ref="B89:AF89" si="18">B33/B9</f>
        <v>#DIV/0!</v>
      </c>
      <c r="C89" s="488" t="str">
        <f t="shared" si="18"/>
        <v>#DIV/0!</v>
      </c>
      <c r="D89" s="488" t="str">
        <f t="shared" si="18"/>
        <v>#DIV/0!</v>
      </c>
      <c r="E89" s="488" t="str">
        <f t="shared" si="18"/>
        <v>#DIV/0!</v>
      </c>
      <c r="F89" s="488" t="str">
        <f t="shared" si="18"/>
        <v>#DIV/0!</v>
      </c>
      <c r="G89" s="488" t="str">
        <f t="shared" si="18"/>
        <v>#DIV/0!</v>
      </c>
      <c r="H89" s="488" t="str">
        <f t="shared" si="18"/>
        <v>#DIV/0!</v>
      </c>
      <c r="I89" s="488" t="str">
        <f t="shared" si="18"/>
        <v>#DIV/0!</v>
      </c>
      <c r="J89" s="488" t="str">
        <f t="shared" si="18"/>
        <v>#DIV/0!</v>
      </c>
      <c r="K89" s="488" t="str">
        <f t="shared" si="18"/>
        <v>#DIV/0!</v>
      </c>
      <c r="L89" s="488" t="str">
        <f t="shared" si="18"/>
        <v>#DIV/0!</v>
      </c>
      <c r="M89" s="488" t="str">
        <f t="shared" si="18"/>
        <v>#DIV/0!</v>
      </c>
      <c r="N89" s="488" t="str">
        <f t="shared" si="18"/>
        <v>#DIV/0!</v>
      </c>
      <c r="O89" s="488" t="str">
        <f t="shared" si="18"/>
        <v>#DIV/0!</v>
      </c>
      <c r="P89" s="488" t="str">
        <f t="shared" si="18"/>
        <v>#DIV/0!</v>
      </c>
      <c r="Q89" s="488" t="str">
        <f t="shared" si="18"/>
        <v>#DIV/0!</v>
      </c>
      <c r="R89" s="488" t="str">
        <f t="shared" si="18"/>
        <v>#DIV/0!</v>
      </c>
      <c r="S89" s="488" t="str">
        <f t="shared" si="18"/>
        <v>#DIV/0!</v>
      </c>
      <c r="T89" s="488" t="str">
        <f t="shared" si="18"/>
        <v>#DIV/0!</v>
      </c>
      <c r="U89" s="488" t="str">
        <f t="shared" si="18"/>
        <v>#DIV/0!</v>
      </c>
      <c r="V89" s="488" t="str">
        <f t="shared" si="18"/>
        <v>#DIV/0!</v>
      </c>
      <c r="W89" s="488" t="str">
        <f t="shared" si="18"/>
        <v>#DIV/0!</v>
      </c>
      <c r="X89" s="488" t="str">
        <f t="shared" si="18"/>
        <v>#DIV/0!</v>
      </c>
      <c r="Y89" s="488" t="str">
        <f t="shared" si="18"/>
        <v>#DIV/0!</v>
      </c>
      <c r="Z89" s="488" t="str">
        <f t="shared" si="18"/>
        <v>#DIV/0!</v>
      </c>
      <c r="AA89" s="488" t="str">
        <f t="shared" si="18"/>
        <v>#DIV/0!</v>
      </c>
      <c r="AB89" s="488" t="str">
        <f t="shared" si="18"/>
        <v>#DIV/0!</v>
      </c>
      <c r="AC89" s="488" t="str">
        <f t="shared" si="18"/>
        <v>#DIV/0!</v>
      </c>
      <c r="AD89" s="488" t="str">
        <f t="shared" si="18"/>
        <v>#DIV/0!</v>
      </c>
      <c r="AE89" s="488" t="str">
        <f t="shared" si="18"/>
        <v>#DIV/0!</v>
      </c>
      <c r="AF89" s="488" t="str">
        <f t="shared" si="18"/>
        <v>#DIV/0!</v>
      </c>
      <c r="AG89" s="482"/>
    </row>
    <row r="90">
      <c r="A90" s="681" t="s">
        <v>509</v>
      </c>
      <c r="B90" s="490" t="str">
        <f>B21/('OLD Formulas'!$C32*B9+B33)</f>
        <v>#DIV/0!</v>
      </c>
      <c r="C90" s="490" t="str">
        <f>C21/('OLD Formulas'!$C32*C9+C33)</f>
        <v>#DIV/0!</v>
      </c>
      <c r="D90" s="490" t="str">
        <f>D21/('OLD Formulas'!$C32*D9+D33)</f>
        <v>#DIV/0!</v>
      </c>
      <c r="E90" s="490" t="str">
        <f>E21/('OLD Formulas'!$C32*E9+E33)</f>
        <v>#DIV/0!</v>
      </c>
      <c r="F90" s="490" t="str">
        <f>F21/('OLD Formulas'!$C32*F9+F33)</f>
        <v>#DIV/0!</v>
      </c>
      <c r="G90" s="490" t="str">
        <f>G21/('OLD Formulas'!$C32*G9+G33)</f>
        <v>#DIV/0!</v>
      </c>
      <c r="H90" s="490" t="str">
        <f>H21/('OLD Formulas'!$C32*H9+H33)</f>
        <v>#DIV/0!</v>
      </c>
      <c r="I90" s="490" t="str">
        <f>I21/('OLD Formulas'!$C32*I9+I33)</f>
        <v>#DIV/0!</v>
      </c>
      <c r="J90" s="490" t="str">
        <f>J21/('OLD Formulas'!$C32*J9+J33)</f>
        <v>#DIV/0!</v>
      </c>
      <c r="K90" s="490" t="str">
        <f>K21/('OLD Formulas'!$C32*K9+K33)</f>
        <v>#DIV/0!</v>
      </c>
      <c r="L90" s="490" t="str">
        <f>L21/('OLD Formulas'!$C32*L9+L33)</f>
        <v>#DIV/0!</v>
      </c>
      <c r="M90" s="490" t="str">
        <f>M21/('OLD Formulas'!$C32*M9+M33)</f>
        <v>#DIV/0!</v>
      </c>
      <c r="N90" s="490" t="str">
        <f>N21/('OLD Formulas'!$C32*N9+N33)</f>
        <v>#DIV/0!</v>
      </c>
      <c r="O90" s="490" t="str">
        <f>O21/('OLD Formulas'!$C32*O9+O33)</f>
        <v>#DIV/0!</v>
      </c>
      <c r="P90" s="490" t="str">
        <f>P21/('OLD Formulas'!$C32*P9+P33)</f>
        <v>#DIV/0!</v>
      </c>
      <c r="Q90" s="490" t="str">
        <f>Q21/('OLD Formulas'!$C32*Q9+Q33)</f>
        <v>#DIV/0!</v>
      </c>
      <c r="R90" s="490" t="str">
        <f>R21/('OLD Formulas'!$C32*R9+R33)</f>
        <v>#DIV/0!</v>
      </c>
      <c r="S90" s="490" t="str">
        <f>S21/('OLD Formulas'!$C32*S9+S33)</f>
        <v>#DIV/0!</v>
      </c>
      <c r="T90" s="490" t="str">
        <f>T21/('OLD Formulas'!$C32*T9+T33)</f>
        <v>#DIV/0!</v>
      </c>
      <c r="U90" s="490" t="str">
        <f>U21/('OLD Formulas'!$C32*U9+U33)</f>
        <v>#DIV/0!</v>
      </c>
      <c r="V90" s="490" t="str">
        <f>V21/('OLD Formulas'!$C32*V9+V33)</f>
        <v>#DIV/0!</v>
      </c>
      <c r="W90" s="490" t="str">
        <f>W21/('OLD Formulas'!$C32*W9+W33)</f>
        <v>#DIV/0!</v>
      </c>
      <c r="X90" s="490" t="str">
        <f>X21/('OLD Formulas'!$C32*X9+X33)</f>
        <v>#DIV/0!</v>
      </c>
      <c r="Y90" s="490" t="str">
        <f>Y21/('OLD Formulas'!$C32*Y9+Y33)</f>
        <v>#DIV/0!</v>
      </c>
      <c r="Z90" s="490" t="str">
        <f>Z21/('OLD Formulas'!$C32*Z9+Z33)</f>
        <v>#DIV/0!</v>
      </c>
      <c r="AA90" s="490" t="str">
        <f>AA21/('OLD Formulas'!$C32*AA9+AA33)</f>
        <v>#DIV/0!</v>
      </c>
      <c r="AB90" s="490" t="str">
        <f>AB21/('OLD Formulas'!$C32*AB9+AB33)</f>
        <v>#DIV/0!</v>
      </c>
      <c r="AC90" s="490" t="str">
        <f>AC21/('OLD Formulas'!$C32*AC9+AC33)</f>
        <v>#DIV/0!</v>
      </c>
      <c r="AD90" s="490" t="str">
        <f>AD21/('OLD Formulas'!$C32*AD9+AD33)</f>
        <v>#DIV/0!</v>
      </c>
      <c r="AE90" s="490" t="str">
        <f>AE21/('OLD Formulas'!$C32*AE9+AE33)</f>
        <v>#DIV/0!</v>
      </c>
      <c r="AF90" s="490" t="str">
        <f>AF21/('OLD Formulas'!$C32*AF9+AF33)</f>
        <v>#DIV/0!</v>
      </c>
      <c r="AG90" s="482"/>
    </row>
    <row r="91">
      <c r="A91" s="42"/>
      <c r="B91" s="327"/>
      <c r="C91" s="327"/>
      <c r="D91" s="327"/>
      <c r="E91" s="327"/>
      <c r="F91" s="327"/>
      <c r="G91" s="327"/>
      <c r="H91" s="327"/>
      <c r="I91" s="327"/>
      <c r="J91" s="327"/>
      <c r="K91" s="327"/>
      <c r="L91" s="327"/>
      <c r="M91" s="327"/>
      <c r="N91" s="327"/>
      <c r="O91" s="327"/>
      <c r="P91" s="327"/>
      <c r="Q91" s="327"/>
      <c r="R91" s="276"/>
      <c r="S91" s="327"/>
      <c r="T91" s="327"/>
      <c r="U91" s="327"/>
      <c r="V91" s="327"/>
      <c r="W91" s="327"/>
      <c r="X91" s="327"/>
      <c r="Y91" s="327"/>
      <c r="Z91" s="327"/>
      <c r="AA91" s="327"/>
      <c r="AB91" s="327"/>
      <c r="AC91" s="327"/>
      <c r="AD91" s="327"/>
      <c r="AE91" s="327"/>
      <c r="AF91" s="327"/>
      <c r="AG91" s="482"/>
    </row>
    <row r="92">
      <c r="A92" s="687" t="s">
        <v>677</v>
      </c>
      <c r="B92" s="327"/>
      <c r="C92" s="327"/>
      <c r="D92" s="327"/>
      <c r="E92" s="327"/>
      <c r="F92" s="327"/>
      <c r="G92" s="327"/>
      <c r="H92" s="327"/>
      <c r="I92" s="327"/>
      <c r="J92" s="327"/>
      <c r="K92" s="327"/>
      <c r="L92" s="327"/>
      <c r="M92" s="327"/>
      <c r="N92" s="327"/>
      <c r="O92" s="327"/>
      <c r="P92" s="327"/>
      <c r="Q92" s="327"/>
      <c r="R92" s="327"/>
      <c r="S92" s="327"/>
      <c r="T92" s="327"/>
      <c r="U92" s="327"/>
      <c r="V92" s="327"/>
      <c r="W92" s="327"/>
      <c r="X92" s="327"/>
      <c r="Y92" s="327"/>
      <c r="Z92" s="327"/>
      <c r="AA92" s="327"/>
      <c r="AB92" s="327"/>
      <c r="AC92" s="327"/>
      <c r="AD92" s="327"/>
      <c r="AE92" s="327"/>
      <c r="AF92" s="327"/>
      <c r="AG92" s="482"/>
    </row>
    <row r="93">
      <c r="A93" s="688" t="s">
        <v>501</v>
      </c>
      <c r="B93" s="689"/>
      <c r="C93" s="689"/>
      <c r="D93" s="689"/>
      <c r="E93" s="689"/>
      <c r="F93" s="689"/>
      <c r="G93" s="689"/>
      <c r="H93" s="689"/>
      <c r="I93" s="689"/>
      <c r="J93" s="689"/>
      <c r="K93" s="689"/>
      <c r="L93" s="689"/>
      <c r="M93" s="689"/>
      <c r="N93" s="689"/>
      <c r="O93" s="689"/>
      <c r="P93" s="689"/>
      <c r="Q93" s="689"/>
      <c r="R93" s="689"/>
      <c r="S93" s="689"/>
      <c r="T93" s="689"/>
      <c r="U93" s="689"/>
      <c r="V93" s="689"/>
      <c r="W93" s="689"/>
      <c r="X93" s="689"/>
      <c r="Y93" s="689"/>
      <c r="Z93" s="689"/>
      <c r="AA93" s="689"/>
      <c r="AB93" s="689"/>
      <c r="AC93" s="689"/>
      <c r="AD93" s="689"/>
      <c r="AE93" s="689"/>
      <c r="AF93" s="689"/>
      <c r="AG93" s="482">
        <f>SUM(B93:AF93)</f>
        <v>0</v>
      </c>
    </row>
    <row r="94">
      <c r="A94" s="688" t="s">
        <v>234</v>
      </c>
      <c r="B94" s="689"/>
      <c r="C94" s="689"/>
      <c r="D94" s="689"/>
      <c r="E94" s="689"/>
      <c r="F94" s="689"/>
      <c r="G94" s="689"/>
      <c r="H94" s="689"/>
      <c r="I94" s="689"/>
      <c r="J94" s="689"/>
      <c r="K94" s="689"/>
      <c r="L94" s="689"/>
      <c r="M94" s="689"/>
      <c r="N94" s="689"/>
      <c r="O94" s="689"/>
      <c r="P94" s="689"/>
      <c r="Q94" s="689"/>
      <c r="R94" s="689"/>
      <c r="S94" s="689"/>
      <c r="T94" s="689"/>
      <c r="U94" s="689"/>
      <c r="V94" s="689"/>
      <c r="W94" s="689"/>
      <c r="X94" s="689"/>
      <c r="Y94" s="689"/>
      <c r="Z94" s="689"/>
      <c r="AA94" s="689"/>
      <c r="AB94" s="689"/>
      <c r="AC94" s="689"/>
      <c r="AD94" s="689"/>
      <c r="AE94" s="689"/>
      <c r="AF94" s="689"/>
      <c r="AG94" s="482"/>
    </row>
    <row r="95">
      <c r="A95" s="688" t="s">
        <v>508</v>
      </c>
      <c r="B95" s="689"/>
      <c r="C95" s="689"/>
      <c r="D95" s="689"/>
      <c r="E95" s="689"/>
      <c r="F95" s="689"/>
      <c r="G95" s="689"/>
      <c r="H95" s="689"/>
      <c r="I95" s="689"/>
      <c r="J95" s="689"/>
      <c r="K95" s="689"/>
      <c r="L95" s="689"/>
      <c r="M95" s="689"/>
      <c r="N95" s="689"/>
      <c r="O95" s="689"/>
      <c r="P95" s="689"/>
      <c r="Q95" s="689"/>
      <c r="R95" s="689"/>
      <c r="S95" s="689"/>
      <c r="T95" s="689"/>
      <c r="U95" s="689"/>
      <c r="V95" s="689"/>
      <c r="W95" s="689"/>
      <c r="X95" s="689"/>
      <c r="Y95" s="689"/>
      <c r="Z95" s="689"/>
      <c r="AA95" s="689"/>
      <c r="AB95" s="689"/>
      <c r="AC95" s="689"/>
      <c r="AD95" s="689"/>
      <c r="AE95" s="689"/>
      <c r="AF95" s="689"/>
      <c r="AG95" s="482"/>
    </row>
    <row r="96">
      <c r="A96" s="690" t="s">
        <v>509</v>
      </c>
      <c r="B96" s="689"/>
      <c r="C96" s="689"/>
      <c r="D96" s="689"/>
      <c r="E96" s="689"/>
      <c r="F96" s="689"/>
      <c r="G96" s="689"/>
      <c r="H96" s="689"/>
      <c r="I96" s="689"/>
      <c r="J96" s="689"/>
      <c r="K96" s="689"/>
      <c r="L96" s="689"/>
      <c r="M96" s="689"/>
      <c r="N96" s="689"/>
      <c r="O96" s="689"/>
      <c r="P96" s="689"/>
      <c r="Q96" s="689"/>
      <c r="R96" s="689"/>
      <c r="S96" s="689"/>
      <c r="T96" s="689"/>
      <c r="U96" s="689"/>
      <c r="V96" s="689"/>
      <c r="W96" s="689"/>
      <c r="X96" s="689"/>
      <c r="Y96" s="689"/>
      <c r="Z96" s="689"/>
      <c r="AA96" s="689"/>
      <c r="AB96" s="689"/>
      <c r="AC96" s="689"/>
      <c r="AD96" s="689"/>
      <c r="AE96" s="689"/>
      <c r="AF96" s="689"/>
      <c r="AG96" s="482"/>
    </row>
    <row r="97">
      <c r="A97" s="42"/>
      <c r="B97" s="542"/>
      <c r="C97" s="542"/>
      <c r="D97" s="542"/>
      <c r="E97" s="542"/>
      <c r="F97" s="542"/>
      <c r="G97" s="542"/>
      <c r="H97" s="542"/>
      <c r="I97" s="542"/>
      <c r="J97" s="542"/>
      <c r="K97" s="542"/>
      <c r="L97" s="542"/>
      <c r="M97" s="542"/>
      <c r="N97" s="542"/>
      <c r="O97" s="542"/>
      <c r="P97" s="542"/>
      <c r="Q97" s="542"/>
      <c r="R97" s="542"/>
      <c r="S97" s="542"/>
      <c r="T97" s="542"/>
      <c r="U97" s="542"/>
      <c r="V97" s="542"/>
      <c r="W97" s="542"/>
      <c r="X97" s="542"/>
      <c r="Y97" s="542"/>
      <c r="Z97" s="542"/>
      <c r="AA97" s="542"/>
      <c r="AB97" s="542"/>
      <c r="AC97" s="542"/>
      <c r="AD97" s="542"/>
      <c r="AE97" s="542"/>
      <c r="AF97" s="542"/>
      <c r="AG97" s="482"/>
    </row>
    <row r="98">
      <c r="A98" s="599" t="s">
        <v>678</v>
      </c>
      <c r="B98" s="327"/>
      <c r="C98" s="327"/>
      <c r="D98" s="327"/>
      <c r="E98" s="327"/>
      <c r="F98" s="327"/>
      <c r="G98" s="327"/>
      <c r="H98" s="327"/>
      <c r="I98" s="327"/>
      <c r="J98" s="327"/>
      <c r="K98" s="327"/>
      <c r="L98" s="327"/>
      <c r="M98" s="327"/>
      <c r="N98" s="327"/>
      <c r="O98" s="327"/>
      <c r="P98" s="327"/>
      <c r="Q98" s="327"/>
      <c r="R98" s="327"/>
      <c r="S98" s="327"/>
      <c r="T98" s="327"/>
      <c r="U98" s="327"/>
      <c r="V98" s="327"/>
      <c r="W98" s="327"/>
      <c r="X98" s="327"/>
      <c r="Y98" s="327"/>
      <c r="Z98" s="327"/>
      <c r="AA98" s="327"/>
      <c r="AB98" s="327"/>
      <c r="AC98" s="327"/>
      <c r="AD98" s="327"/>
      <c r="AE98" s="327"/>
      <c r="AF98" s="327"/>
      <c r="AG98" s="482"/>
    </row>
    <row r="99">
      <c r="A99" s="691" t="s">
        <v>501</v>
      </c>
      <c r="B99" s="689"/>
      <c r="C99" s="689"/>
      <c r="D99" s="689"/>
      <c r="E99" s="689"/>
      <c r="F99" s="689"/>
      <c r="G99" s="689"/>
      <c r="H99" s="689"/>
      <c r="I99" s="689"/>
      <c r="J99" s="689"/>
      <c r="K99" s="689"/>
      <c r="L99" s="689"/>
      <c r="M99" s="689"/>
      <c r="N99" s="689"/>
      <c r="O99" s="689"/>
      <c r="P99" s="689"/>
      <c r="Q99" s="689"/>
      <c r="R99" s="689"/>
      <c r="S99" s="689"/>
      <c r="T99" s="689"/>
      <c r="U99" s="689"/>
      <c r="V99" s="689"/>
      <c r="W99" s="689"/>
      <c r="X99" s="689"/>
      <c r="Y99" s="689"/>
      <c r="Z99" s="689"/>
      <c r="AA99" s="689"/>
      <c r="AB99" s="689"/>
      <c r="AC99" s="689"/>
      <c r="AD99" s="689"/>
      <c r="AE99" s="689"/>
      <c r="AF99" s="689"/>
      <c r="AG99" s="482">
        <f>SUM(B99:AF99)</f>
        <v>0</v>
      </c>
    </row>
    <row r="100">
      <c r="A100" s="691" t="s">
        <v>234</v>
      </c>
      <c r="B100" s="694"/>
      <c r="C100" s="694"/>
      <c r="D100" s="694"/>
      <c r="E100" s="694"/>
      <c r="F100" s="694"/>
      <c r="G100" s="694"/>
      <c r="H100" s="694"/>
      <c r="I100" s="694"/>
      <c r="J100" s="694"/>
      <c r="K100" s="694"/>
      <c r="L100" s="694"/>
      <c r="M100" s="694"/>
      <c r="N100" s="694"/>
      <c r="O100" s="694"/>
      <c r="P100" s="694"/>
      <c r="Q100" s="694"/>
      <c r="R100" s="694"/>
      <c r="S100" s="694"/>
      <c r="T100" s="694"/>
      <c r="U100" s="694"/>
      <c r="V100" s="694"/>
      <c r="W100" s="694"/>
      <c r="X100" s="694"/>
      <c r="Y100" s="694"/>
      <c r="Z100" s="694"/>
      <c r="AA100" s="694"/>
      <c r="AB100" s="694"/>
      <c r="AC100" s="694"/>
      <c r="AD100" s="694"/>
      <c r="AE100" s="694"/>
      <c r="AF100" s="694"/>
      <c r="AG100" s="482"/>
    </row>
    <row r="101">
      <c r="A101" s="691" t="s">
        <v>508</v>
      </c>
      <c r="B101" s="697"/>
      <c r="C101" s="697"/>
      <c r="D101" s="697"/>
      <c r="E101" s="697"/>
      <c r="F101" s="697"/>
      <c r="G101" s="697"/>
      <c r="H101" s="697"/>
      <c r="I101" s="697"/>
      <c r="J101" s="697"/>
      <c r="K101" s="697"/>
      <c r="L101" s="697"/>
      <c r="M101" s="697"/>
      <c r="N101" s="697"/>
      <c r="O101" s="697"/>
      <c r="P101" s="697"/>
      <c r="Q101" s="697"/>
      <c r="R101" s="697"/>
      <c r="S101" s="697"/>
      <c r="T101" s="697"/>
      <c r="U101" s="697"/>
      <c r="V101" s="697"/>
      <c r="W101" s="697"/>
      <c r="X101" s="697"/>
      <c r="Y101" s="697"/>
      <c r="Z101" s="697"/>
      <c r="AA101" s="697"/>
      <c r="AB101" s="697"/>
      <c r="AC101" s="697"/>
      <c r="AD101" s="697"/>
      <c r="AE101" s="697"/>
      <c r="AF101" s="697"/>
      <c r="AG101" s="482"/>
    </row>
    <row r="102">
      <c r="A102" s="292" t="s">
        <v>509</v>
      </c>
      <c r="B102" s="694"/>
      <c r="C102" s="694"/>
      <c r="D102" s="694"/>
      <c r="E102" s="694"/>
      <c r="F102" s="694"/>
      <c r="G102" s="694"/>
      <c r="H102" s="694"/>
      <c r="I102" s="694"/>
      <c r="J102" s="694"/>
      <c r="K102" s="694"/>
      <c r="L102" s="694"/>
      <c r="M102" s="694"/>
      <c r="N102" s="694"/>
      <c r="O102" s="694"/>
      <c r="P102" s="694"/>
      <c r="Q102" s="694"/>
      <c r="R102" s="694"/>
      <c r="S102" s="694"/>
      <c r="T102" s="694"/>
      <c r="U102" s="694"/>
      <c r="V102" s="694"/>
      <c r="W102" s="694"/>
      <c r="X102" s="694"/>
      <c r="Y102" s="694"/>
      <c r="Z102" s="694"/>
      <c r="AA102" s="694"/>
      <c r="AB102" s="694"/>
      <c r="AC102" s="694"/>
      <c r="AD102" s="694"/>
      <c r="AE102" s="694"/>
      <c r="AF102" s="694"/>
      <c r="AG102" s="482"/>
    </row>
    <row r="103">
      <c r="A103" s="42"/>
      <c r="B103" s="703"/>
      <c r="C103" s="703"/>
      <c r="D103" s="703"/>
      <c r="E103" s="703"/>
      <c r="F103" s="703"/>
      <c r="G103" s="703"/>
      <c r="H103" s="703"/>
      <c r="I103" s="703"/>
      <c r="J103" s="703"/>
      <c r="K103" s="703"/>
      <c r="L103" s="703"/>
      <c r="M103" s="703"/>
      <c r="N103" s="703"/>
      <c r="O103" s="703"/>
      <c r="P103" s="703"/>
      <c r="Q103" s="703"/>
      <c r="R103" s="703"/>
      <c r="S103" s="703"/>
      <c r="T103" s="703"/>
      <c r="U103" s="703"/>
      <c r="V103" s="703"/>
      <c r="W103" s="703"/>
      <c r="X103" s="703"/>
      <c r="Y103" s="703"/>
      <c r="Z103" s="703"/>
      <c r="AA103" s="703"/>
      <c r="AB103" s="703"/>
      <c r="AC103" s="703"/>
      <c r="AD103" s="703"/>
      <c r="AE103" s="703"/>
      <c r="AF103" s="703"/>
      <c r="AG103" s="482"/>
    </row>
    <row r="104">
      <c r="A104" s="706" t="s">
        <v>682</v>
      </c>
      <c r="B104" s="542"/>
      <c r="C104" s="542"/>
      <c r="D104" s="542"/>
      <c r="E104" s="542"/>
      <c r="F104" s="542"/>
      <c r="G104" s="542"/>
      <c r="H104" s="542"/>
      <c r="I104" s="542"/>
      <c r="J104" s="542"/>
      <c r="K104" s="542"/>
      <c r="L104" s="542"/>
      <c r="M104" s="542"/>
      <c r="N104" s="542"/>
      <c r="O104" s="542"/>
      <c r="P104" s="542"/>
      <c r="Q104" s="542"/>
      <c r="R104" s="542"/>
      <c r="S104" s="542"/>
      <c r="T104" s="542"/>
      <c r="U104" s="542"/>
      <c r="V104" s="542"/>
      <c r="W104" s="542"/>
      <c r="X104" s="542"/>
      <c r="Y104" s="542"/>
      <c r="Z104" s="542"/>
      <c r="AA104" s="542"/>
      <c r="AB104" s="542"/>
      <c r="AC104" s="542"/>
      <c r="AD104" s="542"/>
      <c r="AE104" s="542"/>
      <c r="AF104" s="542"/>
      <c r="AG104" s="482"/>
    </row>
    <row r="105">
      <c r="A105" s="494" t="s">
        <v>501</v>
      </c>
      <c r="B105" s="689"/>
      <c r="C105" s="689"/>
      <c r="D105" s="689"/>
      <c r="E105" s="689"/>
      <c r="F105" s="689"/>
      <c r="G105" s="689"/>
      <c r="H105" s="689"/>
      <c r="I105" s="689"/>
      <c r="J105" s="689"/>
      <c r="K105" s="689"/>
      <c r="L105" s="689"/>
      <c r="M105" s="689"/>
      <c r="N105" s="689"/>
      <c r="O105" s="689"/>
      <c r="P105" s="689"/>
      <c r="Q105" s="689"/>
      <c r="R105" s="689"/>
      <c r="S105" s="689"/>
      <c r="T105" s="689"/>
      <c r="U105" s="689"/>
      <c r="V105" s="689"/>
      <c r="W105" s="689"/>
      <c r="X105" s="689"/>
      <c r="Y105" s="689"/>
      <c r="Z105" s="689"/>
      <c r="AA105" s="689"/>
      <c r="AB105" s="689"/>
      <c r="AC105" s="689"/>
      <c r="AD105" s="689"/>
      <c r="AE105" s="689"/>
      <c r="AF105" s="689"/>
      <c r="AG105" s="482">
        <f>SUM(B105:AF105)</f>
        <v>0</v>
      </c>
    </row>
    <row r="106">
      <c r="A106" s="494" t="s">
        <v>234</v>
      </c>
      <c r="B106" s="694"/>
      <c r="C106" s="694"/>
      <c r="D106" s="694"/>
      <c r="E106" s="694"/>
      <c r="F106" s="694"/>
      <c r="G106" s="694"/>
      <c r="H106" s="694"/>
      <c r="I106" s="694"/>
      <c r="J106" s="694"/>
      <c r="K106" s="694"/>
      <c r="L106" s="694"/>
      <c r="M106" s="694"/>
      <c r="N106" s="694"/>
      <c r="O106" s="694"/>
      <c r="P106" s="694"/>
      <c r="Q106" s="694"/>
      <c r="R106" s="694"/>
      <c r="S106" s="694"/>
      <c r="T106" s="694"/>
      <c r="U106" s="694"/>
      <c r="V106" s="694"/>
      <c r="W106" s="694"/>
      <c r="X106" s="694"/>
      <c r="Y106" s="694"/>
      <c r="Z106" s="694"/>
      <c r="AA106" s="694"/>
      <c r="AB106" s="694"/>
      <c r="AC106" s="694"/>
      <c r="AD106" s="694"/>
      <c r="AE106" s="694"/>
      <c r="AF106" s="694"/>
      <c r="AG106" s="482"/>
    </row>
    <row r="107">
      <c r="A107" s="494" t="s">
        <v>508</v>
      </c>
      <c r="B107" s="697"/>
      <c r="C107" s="697"/>
      <c r="D107" s="697"/>
      <c r="E107" s="697"/>
      <c r="F107" s="697"/>
      <c r="G107" s="697"/>
      <c r="H107" s="697"/>
      <c r="I107" s="697"/>
      <c r="J107" s="697"/>
      <c r="K107" s="697"/>
      <c r="L107" s="697"/>
      <c r="M107" s="697"/>
      <c r="N107" s="697"/>
      <c r="O107" s="697"/>
      <c r="P107" s="697"/>
      <c r="Q107" s="697"/>
      <c r="R107" s="697"/>
      <c r="S107" s="697"/>
      <c r="T107" s="697"/>
      <c r="U107" s="697"/>
      <c r="V107" s="697"/>
      <c r="W107" s="697"/>
      <c r="X107" s="697"/>
      <c r="Y107" s="697"/>
      <c r="Z107" s="697"/>
      <c r="AA107" s="697"/>
      <c r="AB107" s="697"/>
      <c r="AC107" s="697"/>
      <c r="AD107" s="697"/>
      <c r="AE107" s="697"/>
      <c r="AF107" s="697"/>
      <c r="AG107" s="482"/>
    </row>
    <row r="108">
      <c r="A108" s="502" t="s">
        <v>509</v>
      </c>
      <c r="B108" s="694"/>
      <c r="C108" s="694"/>
      <c r="D108" s="694"/>
      <c r="E108" s="694"/>
      <c r="F108" s="694"/>
      <c r="G108" s="694"/>
      <c r="H108" s="694"/>
      <c r="I108" s="694"/>
      <c r="J108" s="694"/>
      <c r="K108" s="694"/>
      <c r="L108" s="694"/>
      <c r="M108" s="694"/>
      <c r="N108" s="694"/>
      <c r="O108" s="694"/>
      <c r="P108" s="694"/>
      <c r="Q108" s="694"/>
      <c r="R108" s="694"/>
      <c r="S108" s="694"/>
      <c r="T108" s="694"/>
      <c r="U108" s="694"/>
      <c r="V108" s="694"/>
      <c r="W108" s="694"/>
      <c r="X108" s="694"/>
      <c r="Y108" s="694"/>
      <c r="Z108" s="694"/>
      <c r="AA108" s="694"/>
      <c r="AB108" s="694"/>
      <c r="AC108" s="694"/>
      <c r="AD108" s="694"/>
      <c r="AE108" s="694"/>
      <c r="AF108" s="694"/>
      <c r="AG108" s="482"/>
    </row>
    <row r="109">
      <c r="A109" s="708"/>
      <c r="B109" s="542"/>
      <c r="C109" s="542"/>
      <c r="D109" s="542"/>
      <c r="E109" s="542"/>
      <c r="F109" s="542"/>
      <c r="G109" s="542"/>
      <c r="H109" s="542"/>
      <c r="I109" s="542"/>
      <c r="J109" s="542"/>
      <c r="K109" s="542"/>
      <c r="L109" s="542"/>
      <c r="M109" s="542"/>
      <c r="N109" s="542"/>
      <c r="O109" s="542"/>
      <c r="P109" s="542"/>
      <c r="Q109" s="542"/>
      <c r="R109" s="542"/>
      <c r="S109" s="542"/>
      <c r="T109" s="542"/>
      <c r="U109" s="542"/>
      <c r="V109" s="542"/>
      <c r="W109" s="542"/>
      <c r="X109" s="542"/>
      <c r="Y109" s="542"/>
      <c r="Z109" s="542"/>
      <c r="AA109" s="542"/>
      <c r="AB109" s="542"/>
      <c r="AC109" s="542"/>
      <c r="AD109" s="542"/>
      <c r="AE109" s="542"/>
      <c r="AF109" s="542"/>
      <c r="AG109" s="482"/>
    </row>
    <row r="110">
      <c r="A110" s="708"/>
      <c r="B110" s="542"/>
      <c r="C110" s="542"/>
      <c r="D110" s="542"/>
      <c r="E110" s="542"/>
      <c r="F110" s="542"/>
      <c r="G110" s="542"/>
      <c r="H110" s="542"/>
      <c r="I110" s="542"/>
      <c r="J110" s="542"/>
      <c r="K110" s="542"/>
      <c r="L110" s="542"/>
      <c r="M110" s="542"/>
      <c r="N110" s="542"/>
      <c r="O110" s="542"/>
      <c r="P110" s="542"/>
      <c r="Q110" s="542"/>
      <c r="R110" s="542"/>
      <c r="S110" s="542"/>
      <c r="T110" s="542"/>
      <c r="U110" s="542"/>
      <c r="V110" s="542"/>
      <c r="W110" s="542"/>
      <c r="X110" s="542"/>
      <c r="Y110" s="542"/>
      <c r="Z110" s="542"/>
      <c r="AA110" s="542"/>
      <c r="AB110" s="542"/>
      <c r="AC110" s="542"/>
      <c r="AD110" s="542"/>
      <c r="AE110" s="542"/>
      <c r="AF110" s="542"/>
      <c r="AG110" s="482"/>
    </row>
    <row r="111">
      <c r="A111" s="710" t="s">
        <v>684</v>
      </c>
      <c r="B111" s="542"/>
      <c r="C111" s="542"/>
      <c r="D111" s="542"/>
      <c r="E111" s="542"/>
      <c r="F111" s="542"/>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482"/>
    </row>
    <row r="112">
      <c r="A112" s="493" t="s">
        <v>501</v>
      </c>
      <c r="B112" s="276">
        <f>B25-(B13*'OLD Formulas'!$C32)</f>
        <v>229.111819</v>
      </c>
      <c r="C112" s="276">
        <f>C25-(C13*'OLD Formulas'!$C32)</f>
        <v>862.1677286</v>
      </c>
      <c r="D112" s="276">
        <f>D25-(D13*'OLD Formulas'!$C32)</f>
        <v>319.3888643</v>
      </c>
      <c r="E112" s="276">
        <f>E25-(E13*'OLD Formulas'!$C32)</f>
        <v>216.5659095</v>
      </c>
      <c r="F112" s="276">
        <f>F25-(F13*'OLD Formulas'!$C32)</f>
        <v>58.11295476</v>
      </c>
      <c r="G112" s="276">
        <f>G25-(G13*'OLD Formulas'!$C32)</f>
        <v>120.0429548</v>
      </c>
      <c r="H112" s="276">
        <f>H25-(H13*'OLD Formulas'!$C32)</f>
        <v>0</v>
      </c>
      <c r="I112" s="276">
        <f>I25-(I13*'OLD Formulas'!$C32)</f>
        <v>-115.8470452</v>
      </c>
      <c r="J112" s="276">
        <f>J25-(J13*'OLD Formulas'!$C32)</f>
        <v>131.9659095</v>
      </c>
      <c r="K112" s="276">
        <f>K25-(K13*'OLD Formulas'!$C32)</f>
        <v>103.9188643</v>
      </c>
      <c r="L112" s="276">
        <f>L25-(L13*'OLD Formulas'!$C32)</f>
        <v>-83.58704524</v>
      </c>
      <c r="M112" s="276">
        <f>M25-(M13*'OLD Formulas'!$C32)</f>
        <v>54.93590952</v>
      </c>
      <c r="N112" s="276">
        <f>N25-(N13*'OLD Formulas'!$C32)</f>
        <v>7301.907747</v>
      </c>
      <c r="O112" s="276">
        <f>O25-(O13*'OLD Formulas'!$C32)</f>
        <v>7911.934562</v>
      </c>
      <c r="P112" s="276">
        <f>P25-(P13*'OLD Formulas'!$C32)</f>
        <v>2866.603869</v>
      </c>
      <c r="Q112" s="276">
        <f>Q25-(Q13*'OLD Formulas'!$C32)</f>
        <v>1283.850231</v>
      </c>
      <c r="R112" s="276">
        <f>R25-(R13*'OLD Formulas'!$C32)</f>
        <v>2286.335688</v>
      </c>
      <c r="S112" s="276">
        <f>S25-(S13*'OLD Formulas'!$C32)</f>
        <v>2098.702281</v>
      </c>
      <c r="T112" s="276">
        <f>T25-(T13*'OLD Formulas'!$C32)</f>
        <v>-54.49409048</v>
      </c>
      <c r="U112" s="276">
        <f>U25-(U13*'OLD Formulas'!$C32)</f>
        <v>239.371819</v>
      </c>
      <c r="V112" s="276">
        <f>V25-(V13*'OLD Formulas'!$C32)</f>
        <v>25.65886428</v>
      </c>
      <c r="W112" s="276">
        <f>W25-(W13*'OLD Formulas'!$C32)</f>
        <v>16.53590952</v>
      </c>
      <c r="X112" s="276">
        <f>X25-(X13*'OLD Formulas'!$C32)</f>
        <v>342.8677286</v>
      </c>
      <c r="Y112" s="276">
        <f>Y25-(Y13*'OLD Formulas'!$C32)</f>
        <v>58.61590952</v>
      </c>
      <c r="Z112" s="276">
        <f>Z25-(Z13*'OLD Formulas'!$C32)</f>
        <v>-121.7470452</v>
      </c>
      <c r="AA112" s="276">
        <f>AA25-(AA13*'OLD Formulas'!$C32)</f>
        <v>0</v>
      </c>
      <c r="AB112" s="276">
        <f>AB25-(AB13*'OLD Formulas'!$C32)</f>
        <v>460.961819</v>
      </c>
      <c r="AC112" s="276">
        <f>AC25-(AC13*'OLD Formulas'!$C32)</f>
        <v>576.18</v>
      </c>
      <c r="AD112" s="276">
        <f>AD25-(AD13*'OLD Formulas'!$C32)</f>
        <v>-21.64704524</v>
      </c>
      <c r="AE112" s="276">
        <f>AE25-(AE13*'OLD Formulas'!$C32)</f>
        <v>60.07181903</v>
      </c>
      <c r="AF112" s="276">
        <f>AF25-(AF13*'OLD Formulas'!$C32)</f>
        <v>414.581819</v>
      </c>
      <c r="AG112" s="482">
        <f>SUM(B112:AF112)</f>
        <v>27643.06871</v>
      </c>
    </row>
    <row r="113">
      <c r="A113" s="493" t="s">
        <v>234</v>
      </c>
      <c r="B113" s="694"/>
      <c r="C113" s="694"/>
      <c r="D113" s="694"/>
      <c r="E113" s="694"/>
      <c r="F113" s="694"/>
      <c r="G113" s="694"/>
      <c r="H113" s="694"/>
      <c r="I113" s="694"/>
      <c r="J113" s="694"/>
      <c r="K113" s="694"/>
      <c r="L113" s="694"/>
      <c r="M113" s="694"/>
      <c r="N113" s="694"/>
      <c r="O113" s="694"/>
      <c r="P113" s="694"/>
      <c r="Q113" s="694"/>
      <c r="R113" s="694"/>
      <c r="S113" s="694"/>
      <c r="T113" s="694"/>
      <c r="U113" s="694"/>
      <c r="V113" s="694"/>
      <c r="W113" s="694"/>
      <c r="X113" s="694"/>
      <c r="Y113" s="694"/>
      <c r="Z113" s="694"/>
      <c r="AA113" s="694"/>
      <c r="AB113" s="694"/>
      <c r="AC113" s="694"/>
      <c r="AD113" s="694"/>
      <c r="AE113" s="694"/>
      <c r="AF113" s="694"/>
      <c r="AG113" s="482"/>
    </row>
    <row r="114">
      <c r="A114" s="493" t="s">
        <v>508</v>
      </c>
      <c r="B114" s="697"/>
      <c r="C114" s="697"/>
      <c r="D114" s="697"/>
      <c r="E114" s="697"/>
      <c r="F114" s="697"/>
      <c r="G114" s="697"/>
      <c r="H114" s="697"/>
      <c r="I114" s="697"/>
      <c r="J114" s="697"/>
      <c r="K114" s="697"/>
      <c r="L114" s="697"/>
      <c r="M114" s="697"/>
      <c r="N114" s="697"/>
      <c r="O114" s="697"/>
      <c r="P114" s="697"/>
      <c r="Q114" s="697"/>
      <c r="R114" s="697"/>
      <c r="S114" s="697"/>
      <c r="T114" s="697"/>
      <c r="U114" s="697"/>
      <c r="V114" s="697"/>
      <c r="W114" s="697"/>
      <c r="X114" s="697"/>
      <c r="Y114" s="697"/>
      <c r="Z114" s="697"/>
      <c r="AA114" s="697"/>
      <c r="AB114" s="697"/>
      <c r="AC114" s="697"/>
      <c r="AD114" s="697"/>
      <c r="AE114" s="697"/>
      <c r="AF114" s="697"/>
      <c r="AG114" s="482"/>
    </row>
    <row r="115">
      <c r="A115" s="713" t="s">
        <v>509</v>
      </c>
      <c r="B115" s="276">
        <f>B25/('OLD Formulas'!$C32*B13)</f>
        <v>1.390743634</v>
      </c>
      <c r="C115" s="276">
        <f>C25/('OLD Formulas'!$C32*C13)</f>
        <v>1.980268217</v>
      </c>
      <c r="D115" s="276">
        <f>D25/('OLD Formulas'!$C32*D13)</f>
        <v>1.726278059</v>
      </c>
      <c r="E115" s="276">
        <f>E25/('OLD Formulas'!$C32*E13)</f>
        <v>1.738693891</v>
      </c>
      <c r="F115" s="276">
        <f>F25/('OLD Formulas'!$C32*F13)</f>
        <v>1.396439908</v>
      </c>
      <c r="G115" s="276">
        <f>G25/('OLD Formulas'!$C32*G13)</f>
        <v>1.818919261</v>
      </c>
      <c r="H115" s="276" t="str">
        <f>H25/('OLD Formulas'!$C32*H13)</f>
        <v>#DIV/0!</v>
      </c>
      <c r="I115" s="276">
        <f>I25/('OLD Formulas'!$C32*I13)</f>
        <v>0.2097047522</v>
      </c>
      <c r="J115" s="276">
        <f>J25/('OLD Formulas'!$C32*J13)</f>
        <v>1.450128145</v>
      </c>
      <c r="K115" s="276">
        <f>K25/('OLD Formulas'!$C32*K13)</f>
        <v>1.236307522</v>
      </c>
      <c r="L115" s="276">
        <f>L25/('OLD Formulas'!$C32*L13)</f>
        <v>0.42977877</v>
      </c>
      <c r="M115" s="276">
        <f>M25/('OLD Formulas'!$C32*M13)</f>
        <v>1.187383235</v>
      </c>
      <c r="N115" s="276">
        <f>N25/('OLD Formulas'!$C32*N13)</f>
        <v>1.529923156</v>
      </c>
      <c r="O115" s="276">
        <f>O25/('OLD Formulas'!$C32*O13)</f>
        <v>1.710188284</v>
      </c>
      <c r="P115" s="276">
        <f>P25/('OLD Formulas'!$C32*P13)</f>
        <v>1.782225705</v>
      </c>
      <c r="Q115" s="276">
        <f>Q25/('OLD Formulas'!$C32*Q13)</f>
        <v>1.515192879</v>
      </c>
      <c r="R115" s="276">
        <f>R25/('OLD Formulas'!$C32*R13)</f>
        <v>1.537831713</v>
      </c>
      <c r="S115" s="276">
        <f>S25/('OLD Formulas'!$C32*S13)</f>
        <v>1.37676595</v>
      </c>
      <c r="T115" s="276">
        <f>T25/('OLD Formulas'!$C32*T13)</f>
        <v>0.8141237843</v>
      </c>
      <c r="U115" s="276">
        <f>U25/('OLD Formulas'!$C32*U13)</f>
        <v>1.40824177</v>
      </c>
      <c r="V115" s="276">
        <f>V25/('OLD Formulas'!$C32*V13)</f>
        <v>1.058347276</v>
      </c>
      <c r="W115" s="276">
        <f>W25/('OLD Formulas'!$C32*W13)</f>
        <v>1.056403039</v>
      </c>
      <c r="X115" s="276">
        <f>X25/('OLD Formulas'!$C32*X13)</f>
        <v>1.389834049</v>
      </c>
      <c r="Y115" s="276">
        <f>Y25/('OLD Formulas'!$C32*Y13)</f>
        <v>1.199935504</v>
      </c>
      <c r="Z115" s="276">
        <f>Z25/('OLD Formulas'!$C32*Z13)</f>
        <v>0.1694556293</v>
      </c>
      <c r="AA115" s="276" t="str">
        <f>AA25/('OLD Formulas'!$C32*AA13)</f>
        <v>#DIV/0!</v>
      </c>
      <c r="AB115" s="276">
        <f>AB25/('OLD Formulas'!$C32*AB13)</f>
        <v>1.786157157</v>
      </c>
      <c r="AC115" s="276" t="str">
        <f>AC25/('OLD Formulas'!$C32*AC13)</f>
        <v>#DIV/0!</v>
      </c>
      <c r="AD115" s="276">
        <f>AD25/('OLD Formulas'!$C32*AD13)</f>
        <v>0.8523263416</v>
      </c>
      <c r="AE115" s="276">
        <f>AE25/('OLD Formulas'!$C32*AE13)</f>
        <v>1.102450764</v>
      </c>
      <c r="AF115" s="276">
        <f>AF25/('OLD Formulas'!$C32*AF13)</f>
        <v>1.707057398</v>
      </c>
      <c r="AG115" s="482"/>
    </row>
    <row r="116">
      <c r="A116" s="708"/>
      <c r="B116" s="542"/>
      <c r="C116" s="542"/>
      <c r="D116" s="542"/>
      <c r="E116" s="542"/>
      <c r="F116" s="542"/>
      <c r="G116" s="542"/>
      <c r="H116" s="542"/>
      <c r="I116" s="542"/>
      <c r="J116" s="542"/>
      <c r="K116" s="542"/>
      <c r="L116" s="542"/>
      <c r="M116" s="542"/>
      <c r="N116" s="542"/>
      <c r="O116" s="542"/>
      <c r="P116" s="542"/>
      <c r="Q116" s="542"/>
      <c r="R116" s="542"/>
      <c r="S116" s="542"/>
      <c r="T116" s="542"/>
      <c r="U116" s="542"/>
      <c r="V116" s="542"/>
      <c r="W116" s="542"/>
      <c r="X116" s="542"/>
      <c r="Y116" s="542"/>
      <c r="Z116" s="542"/>
      <c r="AA116" s="542"/>
      <c r="AB116" s="542"/>
      <c r="AC116" s="542"/>
      <c r="AD116" s="542"/>
      <c r="AE116" s="542"/>
      <c r="AF116" s="542"/>
      <c r="AG116" s="739"/>
    </row>
    <row r="117">
      <c r="A117" s="740"/>
      <c r="B117" s="472"/>
      <c r="C117" s="472"/>
      <c r="D117" s="472"/>
      <c r="E117" s="472"/>
      <c r="F117" s="472"/>
      <c r="G117" s="472"/>
      <c r="H117" s="472"/>
      <c r="I117" s="472"/>
      <c r="J117" s="472"/>
      <c r="K117" s="472"/>
      <c r="L117" s="472"/>
      <c r="M117" s="472"/>
      <c r="N117" s="472"/>
      <c r="O117" s="472"/>
      <c r="P117" s="472"/>
      <c r="Q117" s="472"/>
      <c r="R117" s="472"/>
      <c r="S117" s="472"/>
      <c r="T117" s="472"/>
      <c r="U117" s="472"/>
      <c r="V117" s="472"/>
      <c r="W117" s="472"/>
      <c r="X117" s="472"/>
      <c r="Y117" s="472"/>
      <c r="Z117" s="472"/>
      <c r="AA117" s="472"/>
      <c r="AB117" s="472"/>
      <c r="AC117" s="472"/>
      <c r="AD117" s="472"/>
      <c r="AE117" s="472"/>
      <c r="AF117" s="472"/>
      <c r="AG117" s="476"/>
    </row>
    <row r="118">
      <c r="A118" s="42"/>
      <c r="B118" s="743"/>
      <c r="C118" s="743"/>
      <c r="D118" s="743"/>
      <c r="E118" s="743"/>
      <c r="F118" s="743"/>
      <c r="G118" s="743"/>
      <c r="H118" s="743"/>
      <c r="I118" s="743"/>
      <c r="J118" s="743"/>
      <c r="K118" s="743"/>
      <c r="L118" s="743"/>
      <c r="M118" s="743"/>
      <c r="N118" s="743"/>
      <c r="O118" s="743"/>
      <c r="P118" s="743"/>
      <c r="Q118" s="743"/>
      <c r="R118" s="743"/>
      <c r="S118" s="743"/>
      <c r="T118" s="743"/>
      <c r="U118" s="743"/>
      <c r="V118" s="743"/>
      <c r="W118" s="743"/>
      <c r="X118" s="743"/>
      <c r="Y118" s="743"/>
      <c r="Z118" s="743"/>
      <c r="AA118" s="743"/>
      <c r="AB118" s="743"/>
      <c r="AC118" s="743"/>
      <c r="AD118" s="743"/>
      <c r="AE118" s="743"/>
      <c r="AF118" s="743"/>
      <c r="AG118" s="330"/>
    </row>
    <row r="119">
      <c r="A119" s="274" t="s">
        <v>167</v>
      </c>
      <c r="B119" s="327"/>
      <c r="C119" s="327"/>
      <c r="D119" s="327"/>
      <c r="E119" s="327"/>
      <c r="F119" s="327"/>
      <c r="G119" s="327"/>
      <c r="H119" s="327"/>
      <c r="I119" s="327"/>
      <c r="J119" s="327"/>
      <c r="K119" s="327"/>
      <c r="L119" s="327"/>
      <c r="M119" s="327"/>
      <c r="N119" s="327"/>
      <c r="O119" s="327"/>
      <c r="P119" s="327"/>
      <c r="Q119" s="327"/>
      <c r="R119" s="327"/>
      <c r="S119" s="327"/>
      <c r="T119" s="327"/>
      <c r="U119" s="327"/>
      <c r="V119" s="327"/>
      <c r="W119" s="327"/>
      <c r="X119" s="327"/>
      <c r="Y119" s="327"/>
      <c r="Z119" s="327"/>
      <c r="AA119" s="327"/>
      <c r="AB119" s="327"/>
      <c r="AC119" s="327"/>
      <c r="AD119" s="327"/>
      <c r="AE119" s="327"/>
      <c r="AF119" s="327"/>
      <c r="AG119" s="330"/>
    </row>
    <row r="120">
      <c r="A120" s="275" t="s">
        <v>689</v>
      </c>
      <c r="B120" s="276">
        <f>'OLD Sales'!B8</f>
        <v>49127.2</v>
      </c>
      <c r="C120" s="276">
        <f>'OLD Sales'!C8</f>
        <v>44359.94</v>
      </c>
      <c r="D120" s="276">
        <f>'OLD Sales'!D8</f>
        <v>41176.95</v>
      </c>
      <c r="E120" s="276">
        <f>'OLD Sales'!E8</f>
        <v>43682.34</v>
      </c>
      <c r="F120" s="276">
        <f>'OLD Sales'!F8</f>
        <v>40447.23</v>
      </c>
      <c r="G120" s="276">
        <f>'OLD Sales'!G8</f>
        <v>43380.21</v>
      </c>
      <c r="H120" s="276">
        <f>'OLD Sales'!H8</f>
        <v>47720.49</v>
      </c>
      <c r="I120" s="276">
        <f>'OLD Sales'!I8</f>
        <v>53389.16</v>
      </c>
      <c r="J120" s="276">
        <f>'OLD Sales'!J8</f>
        <v>55427.36</v>
      </c>
      <c r="K120" s="276">
        <f>'OLD Sales'!K8</f>
        <v>45887.67</v>
      </c>
      <c r="L120" s="276">
        <f>'OLD Sales'!L8</f>
        <v>51043.74</v>
      </c>
      <c r="M120" s="276">
        <f>'OLD Sales'!M8</f>
        <v>51340.77</v>
      </c>
      <c r="N120" s="276">
        <f>'OLD Sales'!N8</f>
        <v>80153.53</v>
      </c>
      <c r="O120" s="276">
        <f>'OLD Sales'!O8</f>
        <v>68572.56</v>
      </c>
      <c r="P120" s="276">
        <f>'OLD Sales'!P8</f>
        <v>60624.25</v>
      </c>
      <c r="Q120" s="276">
        <f>'OLD Sales'!Q8</f>
        <v>59856.53</v>
      </c>
      <c r="R120" s="276">
        <f>'OLD Sales'!R8</f>
        <v>32044.25</v>
      </c>
      <c r="S120" s="276">
        <f>'OLD Sales'!S8</f>
        <v>60316.3</v>
      </c>
      <c r="T120" s="276">
        <f>'OLD Sales'!T8</f>
        <v>43139.27</v>
      </c>
      <c r="U120" s="276">
        <f>'OLD Sales'!U8</f>
        <v>47288.79</v>
      </c>
      <c r="V120" s="276">
        <f>'OLD Sales'!V8</f>
        <v>48826.1</v>
      </c>
      <c r="W120" s="276">
        <f>'OLD Sales'!W8</f>
        <v>41957.56</v>
      </c>
      <c r="X120" s="276">
        <f>'OLD Sales'!X8</f>
        <v>40174.12</v>
      </c>
      <c r="Y120" s="276">
        <f>'OLD Sales'!Y8</f>
        <v>31487.95</v>
      </c>
      <c r="Z120" s="276">
        <f>'OLD Sales'!Z8</f>
        <v>36143.33</v>
      </c>
      <c r="AA120" s="276">
        <f>'OLD Sales'!AA8</f>
        <v>30366.88</v>
      </c>
      <c r="AB120" s="276">
        <f>'OLD Sales'!AB8</f>
        <v>34701.54</v>
      </c>
      <c r="AC120" s="276">
        <f>'OLD Sales'!AC8</f>
        <v>30849.69</v>
      </c>
      <c r="AD120" s="276">
        <f>'OLD Sales'!AD8</f>
        <v>32381.7</v>
      </c>
      <c r="AE120" s="276">
        <f>'OLD Sales'!AE8</f>
        <v>31165.57</v>
      </c>
      <c r="AF120" s="276">
        <f>'OLD Sales'!AF8</f>
        <v>34474.77</v>
      </c>
      <c r="AG120" s="768">
        <f>sum(B120:AF120)</f>
        <v>1411507.75</v>
      </c>
    </row>
    <row r="121">
      <c r="A121" s="275" t="s">
        <v>702</v>
      </c>
      <c r="B121" s="770">
        <f t="shared" ref="B121:AF121" si="19">SUM(B120)</f>
        <v>49127.2</v>
      </c>
      <c r="C121" s="770">
        <f t="shared" si="19"/>
        <v>44359.94</v>
      </c>
      <c r="D121" s="770">
        <f t="shared" si="19"/>
        <v>41176.95</v>
      </c>
      <c r="E121" s="770">
        <f t="shared" si="19"/>
        <v>43682.34</v>
      </c>
      <c r="F121" s="770">
        <f t="shared" si="19"/>
        <v>40447.23</v>
      </c>
      <c r="G121" s="770">
        <f t="shared" si="19"/>
        <v>43380.21</v>
      </c>
      <c r="H121" s="770">
        <f t="shared" si="19"/>
        <v>47720.49</v>
      </c>
      <c r="I121" s="770">
        <f t="shared" si="19"/>
        <v>53389.16</v>
      </c>
      <c r="J121" s="770">
        <f t="shared" si="19"/>
        <v>55427.36</v>
      </c>
      <c r="K121" s="770">
        <f t="shared" si="19"/>
        <v>45887.67</v>
      </c>
      <c r="L121" s="770">
        <f t="shared" si="19"/>
        <v>51043.74</v>
      </c>
      <c r="M121" s="770">
        <f t="shared" si="19"/>
        <v>51340.77</v>
      </c>
      <c r="N121" s="770">
        <f t="shared" si="19"/>
        <v>80153.53</v>
      </c>
      <c r="O121" s="770">
        <f t="shared" si="19"/>
        <v>68572.56</v>
      </c>
      <c r="P121" s="770">
        <f t="shared" si="19"/>
        <v>60624.25</v>
      </c>
      <c r="Q121" s="770">
        <f t="shared" si="19"/>
        <v>59856.53</v>
      </c>
      <c r="R121" s="770">
        <f t="shared" si="19"/>
        <v>32044.25</v>
      </c>
      <c r="S121" s="770">
        <f t="shared" si="19"/>
        <v>60316.3</v>
      </c>
      <c r="T121" s="770">
        <f t="shared" si="19"/>
        <v>43139.27</v>
      </c>
      <c r="U121" s="770">
        <f t="shared" si="19"/>
        <v>47288.79</v>
      </c>
      <c r="V121" s="770">
        <f t="shared" si="19"/>
        <v>48826.1</v>
      </c>
      <c r="W121" s="770">
        <f t="shared" si="19"/>
        <v>41957.56</v>
      </c>
      <c r="X121" s="770">
        <f t="shared" si="19"/>
        <v>40174.12</v>
      </c>
      <c r="Y121" s="770">
        <f t="shared" si="19"/>
        <v>31487.95</v>
      </c>
      <c r="Z121" s="770">
        <f t="shared" si="19"/>
        <v>36143.33</v>
      </c>
      <c r="AA121" s="770">
        <f t="shared" si="19"/>
        <v>30366.88</v>
      </c>
      <c r="AB121" s="770">
        <f t="shared" si="19"/>
        <v>34701.54</v>
      </c>
      <c r="AC121" s="770">
        <f t="shared" si="19"/>
        <v>30849.69</v>
      </c>
      <c r="AD121" s="770">
        <f t="shared" si="19"/>
        <v>32381.7</v>
      </c>
      <c r="AE121" s="770">
        <f t="shared" si="19"/>
        <v>31165.57</v>
      </c>
      <c r="AF121" s="770">
        <f t="shared" si="19"/>
        <v>34474.77</v>
      </c>
      <c r="AG121" s="360">
        <f>SUM(B121:AF121)</f>
        <v>1411507.75</v>
      </c>
    </row>
    <row r="122">
      <c r="A122" s="42"/>
      <c r="B122" s="327"/>
      <c r="C122" s="327"/>
      <c r="D122" s="327"/>
      <c r="E122" s="327"/>
      <c r="F122" s="327"/>
      <c r="G122" s="327"/>
      <c r="H122" s="327"/>
      <c r="I122" s="327"/>
      <c r="J122" s="327"/>
      <c r="K122" s="327"/>
      <c r="L122" s="327"/>
      <c r="M122" s="327"/>
      <c r="N122" s="327"/>
      <c r="O122" s="327"/>
      <c r="P122" s="327"/>
      <c r="Q122" s="327"/>
      <c r="R122" s="327"/>
      <c r="S122" s="327"/>
      <c r="T122" s="327"/>
      <c r="U122" s="327"/>
      <c r="V122" s="327"/>
      <c r="W122" s="327"/>
      <c r="X122" s="327"/>
      <c r="Y122" s="327"/>
      <c r="Z122" s="327"/>
      <c r="AA122" s="327"/>
      <c r="AB122" s="327"/>
      <c r="AC122" s="327"/>
      <c r="AD122" s="327"/>
      <c r="AE122" s="327"/>
      <c r="AF122" s="327"/>
      <c r="AG122" s="776"/>
    </row>
    <row r="123">
      <c r="A123" s="274" t="s">
        <v>402</v>
      </c>
      <c r="B123" s="327"/>
      <c r="C123" s="327"/>
      <c r="D123" s="327"/>
      <c r="E123" s="327"/>
      <c r="F123" s="327"/>
      <c r="G123" s="327"/>
      <c r="H123" s="327"/>
      <c r="I123" s="327"/>
      <c r="J123" s="327"/>
      <c r="K123" s="327"/>
      <c r="L123" s="327"/>
      <c r="M123" s="327"/>
      <c r="N123" s="327"/>
      <c r="O123" s="327"/>
      <c r="P123" s="327"/>
      <c r="Q123" s="327"/>
      <c r="R123" s="327"/>
      <c r="S123" s="327"/>
      <c r="T123" s="327"/>
      <c r="U123" s="327"/>
      <c r="V123" s="327"/>
      <c r="W123" s="327"/>
      <c r="X123" s="327"/>
      <c r="Y123" s="327"/>
      <c r="Z123" s="327"/>
      <c r="AA123" s="327"/>
      <c r="AB123" s="327"/>
      <c r="AC123" s="327"/>
      <c r="AD123" s="327"/>
      <c r="AE123" s="327"/>
      <c r="AF123" s="327"/>
      <c r="AG123" s="776"/>
    </row>
    <row r="124">
      <c r="A124" s="280" t="s">
        <v>707</v>
      </c>
      <c r="B124" s="295">
        <f>'OLD Sales'!B15</f>
        <v>173</v>
      </c>
      <c r="C124" s="777">
        <f>'OLD Sales'!C15</f>
        <v>181</v>
      </c>
      <c r="D124" s="777">
        <f>'OLD Sales'!D15</f>
        <v>159</v>
      </c>
      <c r="E124" s="777">
        <f>'OLD Sales'!E15</f>
        <v>184</v>
      </c>
      <c r="F124" s="777">
        <f>'OLD Sales'!F15</f>
        <v>171</v>
      </c>
      <c r="G124" s="777">
        <f>'OLD Sales'!G15</f>
        <v>187</v>
      </c>
      <c r="H124" s="777">
        <f>'OLD Sales'!H15</f>
        <v>193</v>
      </c>
      <c r="I124" s="777">
        <f>'OLD Sales'!I15</f>
        <v>236</v>
      </c>
      <c r="J124" s="777">
        <f>'OLD Sales'!J15</f>
        <v>216</v>
      </c>
      <c r="K124" s="777">
        <f>'OLD Sales'!K15</f>
        <v>214</v>
      </c>
      <c r="L124" s="777">
        <f>'OLD Sales'!L15</f>
        <v>204</v>
      </c>
      <c r="M124" s="777">
        <f>'OLD Sales'!M15</f>
        <v>198</v>
      </c>
      <c r="N124" s="777">
        <f>'OLD Sales'!N15</f>
        <v>326</v>
      </c>
      <c r="O124" s="777">
        <f>'OLD Sales'!O15</f>
        <v>288</v>
      </c>
      <c r="P124" s="777">
        <f>'OLD Sales'!P15</f>
        <v>252</v>
      </c>
      <c r="Q124" s="777">
        <f>'OLD Sales'!Q15</f>
        <v>249</v>
      </c>
      <c r="R124" s="777">
        <f>'OLD Sales'!R15</f>
        <v>147</v>
      </c>
      <c r="S124" s="777">
        <f>'OLD Sales'!S15</f>
        <v>234</v>
      </c>
      <c r="T124" s="777">
        <f>'OLD Sales'!T15</f>
        <v>172</v>
      </c>
      <c r="U124" s="777">
        <f>'OLD Sales'!U15</f>
        <v>198</v>
      </c>
      <c r="V124" s="777">
        <f>'OLD Sales'!V15</f>
        <v>188</v>
      </c>
      <c r="W124" s="777">
        <f>'OLD Sales'!W15</f>
        <v>187</v>
      </c>
      <c r="X124" s="777">
        <f>'OLD Sales'!X15</f>
        <v>171</v>
      </c>
      <c r="Y124" s="777">
        <f>'OLD Sales'!Y15</f>
        <v>126</v>
      </c>
      <c r="Z124" s="777">
        <f>'OLD Sales'!Z15</f>
        <v>129</v>
      </c>
      <c r="AA124" s="293">
        <f>'OLD Sales'!AA15</f>
        <v>114</v>
      </c>
      <c r="AB124" s="777">
        <f>'OLD Sales'!AB15</f>
        <v>128</v>
      </c>
      <c r="AC124" s="777">
        <f>'OLD Sales'!AC15</f>
        <v>130</v>
      </c>
      <c r="AD124" s="777">
        <f>'OLD Sales'!AD15</f>
        <v>126</v>
      </c>
      <c r="AE124" s="777">
        <f>'OLD Sales'!AE15</f>
        <v>128</v>
      </c>
      <c r="AF124" s="777">
        <f>'OLD Sales'!AF15</f>
        <v>131</v>
      </c>
      <c r="AG124" s="768">
        <f t="shared" ref="AG124:AG125" si="21">sum(B124:AF124)</f>
        <v>5740</v>
      </c>
    </row>
    <row r="125">
      <c r="A125" s="280" t="s">
        <v>713</v>
      </c>
      <c r="B125" s="783">
        <f t="shared" ref="B125:AF125" si="20">SUM(B124)</f>
        <v>173</v>
      </c>
      <c r="C125" s="784">
        <f t="shared" si="20"/>
        <v>181</v>
      </c>
      <c r="D125" s="784">
        <f t="shared" si="20"/>
        <v>159</v>
      </c>
      <c r="E125" s="784">
        <f t="shared" si="20"/>
        <v>184</v>
      </c>
      <c r="F125" s="784">
        <f t="shared" si="20"/>
        <v>171</v>
      </c>
      <c r="G125" s="784">
        <f t="shared" si="20"/>
        <v>187</v>
      </c>
      <c r="H125" s="784">
        <f t="shared" si="20"/>
        <v>193</v>
      </c>
      <c r="I125" s="784">
        <f t="shared" si="20"/>
        <v>236</v>
      </c>
      <c r="J125" s="784">
        <f t="shared" si="20"/>
        <v>216</v>
      </c>
      <c r="K125" s="784">
        <f t="shared" si="20"/>
        <v>214</v>
      </c>
      <c r="L125" s="784">
        <f t="shared" si="20"/>
        <v>204</v>
      </c>
      <c r="M125" s="784">
        <f t="shared" si="20"/>
        <v>198</v>
      </c>
      <c r="N125" s="784">
        <f t="shared" si="20"/>
        <v>326</v>
      </c>
      <c r="O125" s="784">
        <f t="shared" si="20"/>
        <v>288</v>
      </c>
      <c r="P125" s="784">
        <f t="shared" si="20"/>
        <v>252</v>
      </c>
      <c r="Q125" s="784">
        <f t="shared" si="20"/>
        <v>249</v>
      </c>
      <c r="R125" s="784">
        <f t="shared" si="20"/>
        <v>147</v>
      </c>
      <c r="S125" s="784">
        <f t="shared" si="20"/>
        <v>234</v>
      </c>
      <c r="T125" s="784">
        <f t="shared" si="20"/>
        <v>172</v>
      </c>
      <c r="U125" s="784">
        <f t="shared" si="20"/>
        <v>198</v>
      </c>
      <c r="V125" s="784">
        <f t="shared" si="20"/>
        <v>188</v>
      </c>
      <c r="W125" s="784">
        <f t="shared" si="20"/>
        <v>187</v>
      </c>
      <c r="X125" s="784">
        <f t="shared" si="20"/>
        <v>171</v>
      </c>
      <c r="Y125" s="784">
        <f t="shared" si="20"/>
        <v>126</v>
      </c>
      <c r="Z125" s="784">
        <f t="shared" si="20"/>
        <v>129</v>
      </c>
      <c r="AA125" s="784">
        <f t="shared" si="20"/>
        <v>114</v>
      </c>
      <c r="AB125" s="784">
        <f t="shared" si="20"/>
        <v>128</v>
      </c>
      <c r="AC125" s="784">
        <f t="shared" si="20"/>
        <v>130</v>
      </c>
      <c r="AD125" s="784">
        <f t="shared" si="20"/>
        <v>126</v>
      </c>
      <c r="AE125" s="784">
        <f t="shared" si="20"/>
        <v>128</v>
      </c>
      <c r="AF125" s="784">
        <f t="shared" si="20"/>
        <v>131</v>
      </c>
      <c r="AG125" s="768">
        <f t="shared" si="21"/>
        <v>5740</v>
      </c>
    </row>
    <row r="126">
      <c r="A126" s="42"/>
      <c r="B126" s="327"/>
      <c r="C126" s="327"/>
      <c r="D126" s="327"/>
      <c r="E126" s="327"/>
      <c r="F126" s="327"/>
      <c r="G126" s="327"/>
      <c r="H126" s="327"/>
      <c r="I126" s="327"/>
      <c r="J126" s="327"/>
      <c r="K126" s="327"/>
      <c r="L126" s="327"/>
      <c r="M126" s="327"/>
      <c r="N126" s="327"/>
      <c r="O126" s="327"/>
      <c r="P126" s="327"/>
      <c r="Q126" s="327"/>
      <c r="R126" s="327"/>
      <c r="S126" s="327"/>
      <c r="T126" s="327"/>
      <c r="U126" s="327"/>
      <c r="V126" s="327"/>
      <c r="W126" s="327"/>
      <c r="X126" s="327"/>
      <c r="Y126" s="327"/>
      <c r="Z126" s="327"/>
      <c r="AA126" s="327"/>
      <c r="AB126" s="327"/>
      <c r="AC126" s="327"/>
      <c r="AD126" s="327"/>
      <c r="AE126" s="327"/>
      <c r="AF126" s="327"/>
      <c r="AG126" s="776"/>
    </row>
    <row r="127">
      <c r="A127" s="274" t="s">
        <v>716</v>
      </c>
      <c r="B127" s="327"/>
      <c r="C127" s="327"/>
      <c r="D127" s="327"/>
      <c r="E127" s="327"/>
      <c r="F127" s="327"/>
      <c r="G127" s="327"/>
      <c r="H127" s="327"/>
      <c r="I127" s="327"/>
      <c r="J127" s="327"/>
      <c r="K127" s="327"/>
      <c r="L127" s="327"/>
      <c r="M127" s="327"/>
      <c r="N127" s="327"/>
      <c r="O127" s="327"/>
      <c r="P127" s="327"/>
      <c r="Q127" s="327"/>
      <c r="R127" s="327"/>
      <c r="S127" s="327"/>
      <c r="T127" s="327"/>
      <c r="U127" s="327"/>
      <c r="V127" s="327"/>
      <c r="W127" s="327"/>
      <c r="X127" s="327"/>
      <c r="Y127" s="327"/>
      <c r="Z127" s="327"/>
      <c r="AA127" s="327"/>
      <c r="AB127" s="327"/>
      <c r="AC127" s="327"/>
      <c r="AD127" s="327"/>
      <c r="AE127" s="327"/>
      <c r="AF127" s="327"/>
      <c r="AG127" s="776"/>
    </row>
    <row r="128">
      <c r="A128" s="284" t="s">
        <v>717</v>
      </c>
      <c r="B128" s="787">
        <v>35794.0</v>
      </c>
      <c r="C128" s="787">
        <v>40434.0</v>
      </c>
      <c r="D128" s="788">
        <v>35870.0</v>
      </c>
      <c r="E128" s="787">
        <v>39683.0</v>
      </c>
      <c r="F128" s="787">
        <v>38047.0</v>
      </c>
      <c r="G128" s="787">
        <v>41568.0</v>
      </c>
      <c r="H128" s="787">
        <v>43431.0</v>
      </c>
      <c r="I128" s="789">
        <v>51150.0</v>
      </c>
      <c r="J128" s="790">
        <v>47897.0</v>
      </c>
      <c r="K128" s="790">
        <v>45949.0</v>
      </c>
      <c r="L128" s="787">
        <v>46432.0</v>
      </c>
      <c r="M128" s="787">
        <v>47282.0</v>
      </c>
      <c r="N128" s="787">
        <v>77829.0</v>
      </c>
      <c r="O128" s="787">
        <v>69661.0</v>
      </c>
      <c r="P128" s="787">
        <v>58744.0</v>
      </c>
      <c r="Q128" s="787">
        <v>57443.0</v>
      </c>
      <c r="R128" s="787">
        <v>31641.1</v>
      </c>
      <c r="S128" s="787">
        <v>56318.0</v>
      </c>
      <c r="T128" s="787">
        <v>40207.0</v>
      </c>
      <c r="U128" s="792">
        <v>46438.0</v>
      </c>
      <c r="V128" s="787">
        <v>40670.0</v>
      </c>
      <c r="W128" s="787">
        <v>39606.0</v>
      </c>
      <c r="X128" s="787">
        <v>35325.0</v>
      </c>
      <c r="Y128" s="792">
        <v>28074.0</v>
      </c>
      <c r="Z128" s="787">
        <v>29685.0</v>
      </c>
      <c r="AA128" s="787">
        <v>27981.2</v>
      </c>
      <c r="AB128" s="787">
        <v>31583.0</v>
      </c>
      <c r="AC128" s="787">
        <v>28913.0</v>
      </c>
      <c r="AD128" s="787">
        <v>27673.2</v>
      </c>
      <c r="AE128" s="787">
        <v>28465.2</v>
      </c>
      <c r="AF128" s="787">
        <v>31337.0</v>
      </c>
      <c r="AG128" s="360">
        <f>SUM(B128:AF128)</f>
        <v>1301130.7</v>
      </c>
    </row>
    <row r="129">
      <c r="A129" s="794" t="s">
        <v>718</v>
      </c>
      <c r="B129" s="787">
        <v>809.0</v>
      </c>
      <c r="C129" s="787">
        <v>670.0</v>
      </c>
      <c r="D129" s="787">
        <v>1371.2</v>
      </c>
      <c r="E129" s="787">
        <v>2488.9</v>
      </c>
      <c r="F129" s="787">
        <v>2499.2</v>
      </c>
      <c r="G129" s="787">
        <v>2311.1</v>
      </c>
      <c r="H129" s="787">
        <v>3085.8</v>
      </c>
      <c r="I129" s="787">
        <v>3300.4</v>
      </c>
      <c r="J129" s="787">
        <v>2771.9</v>
      </c>
      <c r="K129" s="787">
        <v>3034.2</v>
      </c>
      <c r="L129" s="787">
        <v>4020.2</v>
      </c>
      <c r="M129" s="787">
        <v>3904.6</v>
      </c>
      <c r="N129" s="787">
        <v>9724.6</v>
      </c>
      <c r="O129" s="787">
        <v>8735.4</v>
      </c>
      <c r="P129" s="787">
        <v>6295.7</v>
      </c>
      <c r="Q129" s="792">
        <v>5445.5</v>
      </c>
      <c r="R129" s="787">
        <v>3261.9</v>
      </c>
      <c r="S129" s="787">
        <v>5056.3</v>
      </c>
      <c r="T129" s="787">
        <v>3111.0</v>
      </c>
      <c r="U129" s="792">
        <v>2934.8</v>
      </c>
      <c r="V129" s="787">
        <v>1797.5</v>
      </c>
      <c r="W129" s="787">
        <v>659.7</v>
      </c>
      <c r="X129" s="787">
        <v>804.8</v>
      </c>
      <c r="Y129" s="787">
        <v>241.7</v>
      </c>
      <c r="Z129" s="787">
        <v>822.6</v>
      </c>
      <c r="AA129" s="787">
        <v>994.0</v>
      </c>
      <c r="AB129" s="787">
        <v>724.2</v>
      </c>
      <c r="AC129" s="787">
        <v>803.4</v>
      </c>
      <c r="AD129" s="787">
        <v>1101.0</v>
      </c>
      <c r="AE129" s="787">
        <v>952.6</v>
      </c>
      <c r="AF129" s="787">
        <v>887.1</v>
      </c>
      <c r="AG129" s="360"/>
    </row>
    <row r="130">
      <c r="A130" s="284" t="s">
        <v>719</v>
      </c>
      <c r="B130" s="787">
        <v>2301.91</v>
      </c>
      <c r="C130" s="797">
        <v>2585.0</v>
      </c>
      <c r="D130" s="787">
        <v>2250.0</v>
      </c>
      <c r="E130" s="787">
        <v>2535.0</v>
      </c>
      <c r="F130" s="787">
        <v>2300.0</v>
      </c>
      <c r="G130" s="787">
        <v>2320.0</v>
      </c>
      <c r="H130" s="787">
        <v>2578.95</v>
      </c>
      <c r="I130" s="787">
        <v>2955.0</v>
      </c>
      <c r="J130" s="787">
        <v>2895.0</v>
      </c>
      <c r="K130" s="787">
        <v>2885.0</v>
      </c>
      <c r="L130" s="787">
        <v>2500.0</v>
      </c>
      <c r="M130" s="787">
        <v>2610.0</v>
      </c>
      <c r="N130" s="787">
        <v>4250.0</v>
      </c>
      <c r="O130" s="787">
        <v>3835.0</v>
      </c>
      <c r="P130" s="787">
        <v>3400.0</v>
      </c>
      <c r="Q130" s="792">
        <v>3440.0</v>
      </c>
      <c r="R130" s="787">
        <v>1885.0</v>
      </c>
      <c r="S130" s="787">
        <v>3070.0</v>
      </c>
      <c r="T130" s="787">
        <v>2390.0</v>
      </c>
      <c r="U130" s="792">
        <v>2650.0</v>
      </c>
      <c r="V130" s="787">
        <v>2480.0</v>
      </c>
      <c r="W130" s="787">
        <v>2360.0</v>
      </c>
      <c r="X130" s="787">
        <v>2285.0</v>
      </c>
      <c r="Y130" s="787">
        <v>1740.0</v>
      </c>
      <c r="Z130" s="787">
        <v>1760.0</v>
      </c>
      <c r="AA130" s="787">
        <v>1705.0</v>
      </c>
      <c r="AB130" s="787">
        <v>1780.0</v>
      </c>
      <c r="AC130" s="787">
        <v>1905.0</v>
      </c>
      <c r="AD130" s="787">
        <v>1630.0</v>
      </c>
      <c r="AE130" s="787">
        <v>1775.0</v>
      </c>
      <c r="AF130" s="787">
        <v>1745.0</v>
      </c>
      <c r="AG130" s="360">
        <f t="shared" ref="AG130:AG132" si="22">SUM(B130:AF130)</f>
        <v>76800.86</v>
      </c>
    </row>
    <row r="131">
      <c r="A131" s="794" t="s">
        <v>721</v>
      </c>
      <c r="B131" s="787">
        <v>2405.0</v>
      </c>
      <c r="C131" s="787">
        <v>2823.24</v>
      </c>
      <c r="D131" s="787">
        <v>2179.75</v>
      </c>
      <c r="E131" s="787">
        <v>2224.15</v>
      </c>
      <c r="F131" s="787">
        <v>2263.06</v>
      </c>
      <c r="G131" s="787">
        <v>2560.91</v>
      </c>
      <c r="H131" s="787">
        <v>2475.0</v>
      </c>
      <c r="I131" s="787">
        <v>3139.62</v>
      </c>
      <c r="J131" s="787">
        <v>2878.18</v>
      </c>
      <c r="K131" s="787">
        <v>2687.08</v>
      </c>
      <c r="L131" s="787">
        <v>2857.92</v>
      </c>
      <c r="M131" s="787">
        <v>2742.77</v>
      </c>
      <c r="N131" s="787">
        <v>4420.83</v>
      </c>
      <c r="O131" s="787">
        <v>4041.71</v>
      </c>
      <c r="P131" s="787">
        <v>3417.03</v>
      </c>
      <c r="Q131" s="787">
        <v>3275.52</v>
      </c>
      <c r="R131" s="787">
        <v>1843.91</v>
      </c>
      <c r="S131" s="787">
        <v>3460.94</v>
      </c>
      <c r="T131" s="787">
        <v>2473.56</v>
      </c>
      <c r="U131" s="787">
        <v>2781.55</v>
      </c>
      <c r="V131" s="787">
        <v>2567.44</v>
      </c>
      <c r="W131" s="787">
        <v>2549.56</v>
      </c>
      <c r="X131" s="787">
        <v>2241.14</v>
      </c>
      <c r="Y131" s="787">
        <v>1706.5</v>
      </c>
      <c r="Z131" s="787">
        <v>1795.56</v>
      </c>
      <c r="AA131" s="787">
        <v>1705.31</v>
      </c>
      <c r="AB131" s="787">
        <v>1833.59</v>
      </c>
      <c r="AC131" s="787">
        <v>1625.61</v>
      </c>
      <c r="AD131" s="787">
        <v>1729.55</v>
      </c>
      <c r="AE131" s="787">
        <v>1831.39</v>
      </c>
      <c r="AF131" s="787">
        <v>1827.95</v>
      </c>
      <c r="AG131" s="360">
        <f t="shared" si="22"/>
        <v>78365.33</v>
      </c>
    </row>
    <row r="132">
      <c r="A132" s="799" t="s">
        <v>722</v>
      </c>
      <c r="B132" s="800">
        <f t="shared" ref="B132:AF132" si="23">(B128+B130+B131)-B129</f>
        <v>39691.91</v>
      </c>
      <c r="C132" s="800">
        <f t="shared" si="23"/>
        <v>45172.24</v>
      </c>
      <c r="D132" s="800">
        <f t="shared" si="23"/>
        <v>38928.55</v>
      </c>
      <c r="E132" s="800">
        <f t="shared" si="23"/>
        <v>41953.25</v>
      </c>
      <c r="F132" s="800">
        <f t="shared" si="23"/>
        <v>40110.86</v>
      </c>
      <c r="G132" s="800">
        <f t="shared" si="23"/>
        <v>44137.81</v>
      </c>
      <c r="H132" s="800">
        <f t="shared" si="23"/>
        <v>45399.15</v>
      </c>
      <c r="I132" s="800">
        <f t="shared" si="23"/>
        <v>53944.22</v>
      </c>
      <c r="J132" s="800">
        <f t="shared" si="23"/>
        <v>50898.28</v>
      </c>
      <c r="K132" s="800">
        <f t="shared" si="23"/>
        <v>48486.88</v>
      </c>
      <c r="L132" s="800">
        <f t="shared" si="23"/>
        <v>47769.72</v>
      </c>
      <c r="M132" s="800">
        <f t="shared" si="23"/>
        <v>48730.17</v>
      </c>
      <c r="N132" s="800">
        <f t="shared" si="23"/>
        <v>76775.23</v>
      </c>
      <c r="O132" s="800">
        <f t="shared" si="23"/>
        <v>68802.31</v>
      </c>
      <c r="P132" s="800">
        <f t="shared" si="23"/>
        <v>59265.33</v>
      </c>
      <c r="Q132" s="800">
        <f t="shared" si="23"/>
        <v>58713.02</v>
      </c>
      <c r="R132" s="800">
        <f t="shared" si="23"/>
        <v>32108.11</v>
      </c>
      <c r="S132" s="800">
        <f t="shared" si="23"/>
        <v>57792.64</v>
      </c>
      <c r="T132" s="800">
        <f t="shared" si="23"/>
        <v>41959.56</v>
      </c>
      <c r="U132" s="800">
        <f t="shared" si="23"/>
        <v>48934.75</v>
      </c>
      <c r="V132" s="800">
        <f t="shared" si="23"/>
        <v>43919.94</v>
      </c>
      <c r="W132" s="800">
        <f t="shared" si="23"/>
        <v>43855.86</v>
      </c>
      <c r="X132" s="800">
        <f t="shared" si="23"/>
        <v>39046.34</v>
      </c>
      <c r="Y132" s="800">
        <f t="shared" si="23"/>
        <v>31278.8</v>
      </c>
      <c r="Z132" s="800">
        <f t="shared" si="23"/>
        <v>32417.96</v>
      </c>
      <c r="AA132" s="800">
        <f t="shared" si="23"/>
        <v>30397.51</v>
      </c>
      <c r="AB132" s="800">
        <f t="shared" si="23"/>
        <v>34472.39</v>
      </c>
      <c r="AC132" s="800">
        <f t="shared" si="23"/>
        <v>31640.21</v>
      </c>
      <c r="AD132" s="800">
        <f t="shared" si="23"/>
        <v>29931.75</v>
      </c>
      <c r="AE132" s="800">
        <f t="shared" si="23"/>
        <v>31118.99</v>
      </c>
      <c r="AF132" s="800">
        <f t="shared" si="23"/>
        <v>34022.85</v>
      </c>
      <c r="AG132" s="360">
        <f t="shared" si="22"/>
        <v>1371676.59</v>
      </c>
    </row>
    <row r="133">
      <c r="A133" s="42"/>
      <c r="B133" s="327"/>
      <c r="C133" s="327"/>
      <c r="D133" s="327"/>
      <c r="E133" s="327"/>
      <c r="F133" s="327"/>
      <c r="G133" s="327"/>
      <c r="H133" s="327"/>
      <c r="I133" s="327"/>
      <c r="J133" s="327"/>
      <c r="K133" s="327"/>
      <c r="L133" s="327"/>
      <c r="M133" s="327"/>
      <c r="N133" s="327"/>
      <c r="O133" s="327"/>
      <c r="P133" s="327"/>
      <c r="Q133" s="327"/>
      <c r="R133" s="327"/>
      <c r="S133" s="327"/>
      <c r="T133" s="327"/>
      <c r="U133" s="327"/>
      <c r="V133" s="327"/>
      <c r="W133" s="327"/>
      <c r="X133" s="327"/>
      <c r="Y133" s="327"/>
      <c r="Z133" s="327"/>
      <c r="AA133" s="327"/>
      <c r="AB133" s="327"/>
      <c r="AC133" s="327"/>
      <c r="AD133" s="327"/>
      <c r="AE133" s="327"/>
      <c r="AF133" s="327"/>
      <c r="AG133" s="776"/>
    </row>
    <row r="134">
      <c r="A134" s="274" t="s">
        <v>723</v>
      </c>
      <c r="B134" s="327"/>
      <c r="C134" s="327"/>
      <c r="D134" s="327"/>
      <c r="E134" s="327"/>
      <c r="F134" s="327"/>
      <c r="G134" s="327"/>
      <c r="H134" s="327"/>
      <c r="I134" s="327"/>
      <c r="J134" s="327"/>
      <c r="K134" s="327"/>
      <c r="L134" s="327"/>
      <c r="M134" s="327"/>
      <c r="N134" s="327"/>
      <c r="O134" s="327"/>
      <c r="P134" s="327"/>
      <c r="Q134" s="327"/>
      <c r="R134" s="327"/>
      <c r="S134" s="327"/>
      <c r="T134" s="327"/>
      <c r="U134" s="327"/>
      <c r="V134" s="327"/>
      <c r="W134" s="327"/>
      <c r="X134" s="327"/>
      <c r="Y134" s="327"/>
      <c r="Z134" s="327"/>
      <c r="AA134" s="327"/>
      <c r="AB134" s="327"/>
      <c r="AC134" s="327"/>
      <c r="AD134" s="327"/>
      <c r="AE134" s="327"/>
      <c r="AF134" s="327"/>
      <c r="AG134" s="776"/>
    </row>
    <row r="135">
      <c r="A135" s="799" t="s">
        <v>702</v>
      </c>
      <c r="B135" s="804">
        <v>39691.91</v>
      </c>
      <c r="C135" s="804">
        <v>45172.24</v>
      </c>
      <c r="D135" s="804">
        <v>38928.55</v>
      </c>
      <c r="E135" s="804">
        <v>41953.25</v>
      </c>
      <c r="F135" s="804">
        <v>39882.86</v>
      </c>
      <c r="G135" s="804">
        <v>44067.81</v>
      </c>
      <c r="H135" s="804">
        <v>45399.149999999994</v>
      </c>
      <c r="I135" s="804">
        <v>53944.22</v>
      </c>
      <c r="J135" s="804">
        <v>50898.28</v>
      </c>
      <c r="K135" s="804">
        <v>48486.88</v>
      </c>
      <c r="L135" s="804">
        <v>47769.72</v>
      </c>
      <c r="M135" s="804">
        <v>48730.17</v>
      </c>
      <c r="N135" s="804">
        <v>76715.23</v>
      </c>
      <c r="O135" s="804">
        <v>68802.31</v>
      </c>
      <c r="P135" s="804">
        <v>59238.43</v>
      </c>
      <c r="Q135" s="804">
        <v>58669.22</v>
      </c>
      <c r="R135" s="804">
        <v>31885.01</v>
      </c>
      <c r="S135" s="804">
        <v>57346.54</v>
      </c>
      <c r="T135" s="804">
        <v>41831.46</v>
      </c>
      <c r="U135" s="804">
        <v>48612.33</v>
      </c>
      <c r="V135" s="804">
        <v>43560.84</v>
      </c>
      <c r="W135" s="804">
        <v>43855.86</v>
      </c>
      <c r="X135" s="804">
        <v>38937.83</v>
      </c>
      <c r="Y135" s="804">
        <v>29988.7</v>
      </c>
      <c r="Z135" s="804">
        <v>32351.06</v>
      </c>
      <c r="AA135" s="804">
        <v>30337.51</v>
      </c>
      <c r="AB135" s="804">
        <v>34177.29</v>
      </c>
      <c r="AC135" s="804">
        <v>31353.11</v>
      </c>
      <c r="AD135" s="804">
        <v>29931.75</v>
      </c>
      <c r="AE135" s="804">
        <v>30775.09</v>
      </c>
      <c r="AF135" s="804">
        <v>33355.85</v>
      </c>
      <c r="AG135" s="360">
        <f t="shared" ref="AG135:AG136" si="24">SUM(B135:AF135)</f>
        <v>1366650.46</v>
      </c>
    </row>
    <row r="136">
      <c r="A136" s="799" t="s">
        <v>713</v>
      </c>
      <c r="B136" s="805">
        <v>173.0</v>
      </c>
      <c r="C136" s="806">
        <v>181.0</v>
      </c>
      <c r="D136" s="806">
        <v>159.0</v>
      </c>
      <c r="E136" s="806">
        <v>184.0</v>
      </c>
      <c r="F136" s="806">
        <v>171.0</v>
      </c>
      <c r="G136" s="806">
        <v>187.0</v>
      </c>
      <c r="H136" s="806">
        <v>193.0</v>
      </c>
      <c r="I136" s="806">
        <v>236.0</v>
      </c>
      <c r="J136" s="806">
        <v>216.0</v>
      </c>
      <c r="K136" s="806">
        <v>214.0</v>
      </c>
      <c r="L136" s="806">
        <v>204.0</v>
      </c>
      <c r="M136" s="806">
        <v>198.0</v>
      </c>
      <c r="N136" s="806">
        <v>326.0</v>
      </c>
      <c r="O136" s="806">
        <v>288.0</v>
      </c>
      <c r="P136" s="806">
        <v>252.0</v>
      </c>
      <c r="Q136" s="806">
        <v>249.0</v>
      </c>
      <c r="R136" s="806">
        <v>147.0</v>
      </c>
      <c r="S136" s="806">
        <v>234.0</v>
      </c>
      <c r="T136" s="806">
        <v>172.0</v>
      </c>
      <c r="U136" s="806">
        <v>198.0</v>
      </c>
      <c r="V136" s="806">
        <v>188.0</v>
      </c>
      <c r="W136" s="806">
        <v>187.0</v>
      </c>
      <c r="X136" s="806">
        <v>171.0</v>
      </c>
      <c r="Y136" s="806">
        <v>126.0</v>
      </c>
      <c r="Z136" s="806">
        <v>129.0</v>
      </c>
      <c r="AA136" s="807">
        <v>114.0</v>
      </c>
      <c r="AB136" s="806">
        <v>128.0</v>
      </c>
      <c r="AC136" s="806">
        <v>130.0</v>
      </c>
      <c r="AD136" s="806">
        <v>126.0</v>
      </c>
      <c r="AE136" s="806">
        <v>128.0</v>
      </c>
      <c r="AF136" s="806">
        <v>131.0</v>
      </c>
      <c r="AG136" s="360">
        <f t="shared" si="24"/>
        <v>5740</v>
      </c>
    </row>
    <row r="137">
      <c r="A137" s="42"/>
      <c r="B137" s="327"/>
      <c r="C137" s="327"/>
      <c r="D137" s="327"/>
      <c r="E137" s="327"/>
      <c r="F137" s="327"/>
      <c r="G137" s="327"/>
      <c r="H137" s="327"/>
      <c r="I137" s="327"/>
      <c r="J137" s="327"/>
      <c r="K137" s="327"/>
      <c r="L137" s="327"/>
      <c r="M137" s="327"/>
      <c r="N137" s="327"/>
      <c r="O137" s="327"/>
      <c r="P137" s="327"/>
      <c r="Q137" s="327"/>
      <c r="R137" s="327"/>
      <c r="S137" s="327"/>
      <c r="T137" s="327"/>
      <c r="U137" s="327"/>
      <c r="V137" s="327"/>
      <c r="W137" s="327"/>
      <c r="X137" s="327"/>
      <c r="Y137" s="327"/>
      <c r="Z137" s="327"/>
      <c r="AA137" s="327"/>
      <c r="AB137" s="327"/>
      <c r="AC137" s="327"/>
      <c r="AD137" s="327"/>
      <c r="AE137" s="327"/>
      <c r="AF137" s="327"/>
      <c r="AG137" s="776"/>
    </row>
    <row r="138">
      <c r="A138" s="648" t="s">
        <v>249</v>
      </c>
      <c r="B138" s="294"/>
      <c r="C138" s="327"/>
      <c r="D138" s="327"/>
      <c r="E138" s="327"/>
      <c r="F138" s="327"/>
      <c r="G138" s="327"/>
      <c r="H138" s="327"/>
      <c r="I138" s="327"/>
      <c r="J138" s="327"/>
      <c r="K138" s="327"/>
      <c r="L138" s="327"/>
      <c r="M138" s="327"/>
      <c r="N138" s="327"/>
      <c r="O138" s="327"/>
      <c r="P138" s="327"/>
      <c r="Q138" s="327"/>
      <c r="R138" s="327"/>
      <c r="S138" s="327"/>
      <c r="T138" s="327"/>
      <c r="U138" s="327"/>
      <c r="V138" s="327"/>
      <c r="W138" s="327"/>
      <c r="X138" s="327"/>
      <c r="Y138" s="327"/>
      <c r="Z138" s="327"/>
      <c r="AA138" s="327"/>
      <c r="AB138" s="327"/>
      <c r="AC138" s="327"/>
      <c r="AD138" s="327"/>
      <c r="AE138" s="327"/>
      <c r="AF138" s="327"/>
      <c r="AG138" s="776"/>
    </row>
    <row r="139">
      <c r="A139" s="691" t="s">
        <v>106</v>
      </c>
      <c r="B139" s="808">
        <v>37.0</v>
      </c>
      <c r="C139" s="294">
        <v>57.0</v>
      </c>
      <c r="D139" s="294">
        <v>45.0</v>
      </c>
      <c r="E139" s="294">
        <v>38.0</v>
      </c>
      <c r="F139" s="294">
        <v>47.0</v>
      </c>
      <c r="G139" s="294">
        <v>50.0</v>
      </c>
      <c r="H139" s="294">
        <v>63.0</v>
      </c>
      <c r="I139" s="293">
        <v>53.0</v>
      </c>
      <c r="J139" s="293">
        <v>51.0</v>
      </c>
      <c r="K139" s="293">
        <v>62.0</v>
      </c>
      <c r="L139" s="293">
        <v>55.0</v>
      </c>
      <c r="M139" s="293">
        <v>57.0</v>
      </c>
      <c r="N139" s="293">
        <v>60.0</v>
      </c>
      <c r="O139" s="295">
        <v>70.0</v>
      </c>
      <c r="P139" s="293">
        <v>62.0</v>
      </c>
      <c r="Q139" s="293">
        <v>72.0</v>
      </c>
      <c r="R139" s="293">
        <v>29.0</v>
      </c>
      <c r="S139" s="302">
        <v>57.0</v>
      </c>
      <c r="T139" s="302">
        <v>43.0</v>
      </c>
      <c r="U139" s="302">
        <v>47.0</v>
      </c>
      <c r="V139" s="302">
        <v>48.0</v>
      </c>
      <c r="W139" s="302">
        <v>29.0</v>
      </c>
      <c r="X139" s="302">
        <v>27.0</v>
      </c>
      <c r="Y139" s="302">
        <v>18.0</v>
      </c>
      <c r="Z139" s="809">
        <v>26.0</v>
      </c>
      <c r="AA139" s="302">
        <v>24.0</v>
      </c>
      <c r="AB139" s="302">
        <v>35.0</v>
      </c>
      <c r="AC139" s="809">
        <v>33.0</v>
      </c>
      <c r="AD139" s="809">
        <v>17.0</v>
      </c>
      <c r="AE139" s="809">
        <v>29.0</v>
      </c>
      <c r="AF139" s="809">
        <v>22.0</v>
      </c>
      <c r="AG139" s="768">
        <f t="shared" ref="AG139:AG141" si="25">sum(B139:AF139)</f>
        <v>1363</v>
      </c>
    </row>
    <row r="140">
      <c r="A140" s="691" t="s">
        <v>119</v>
      </c>
      <c r="B140" s="294">
        <v>90.0</v>
      </c>
      <c r="C140" s="294">
        <v>92.0</v>
      </c>
      <c r="D140" s="294">
        <v>89.0</v>
      </c>
      <c r="E140" s="294">
        <v>105.0</v>
      </c>
      <c r="F140" s="294">
        <v>95.0</v>
      </c>
      <c r="G140" s="294">
        <v>105.0</v>
      </c>
      <c r="H140" s="294">
        <v>103.0</v>
      </c>
      <c r="I140" s="293">
        <v>133.0</v>
      </c>
      <c r="J140" s="293">
        <v>122.0</v>
      </c>
      <c r="K140" s="293">
        <v>107.0</v>
      </c>
      <c r="L140" s="293">
        <v>120.0</v>
      </c>
      <c r="M140" s="293">
        <v>122.0</v>
      </c>
      <c r="N140" s="293">
        <v>221.0</v>
      </c>
      <c r="O140" s="295">
        <v>187.0</v>
      </c>
      <c r="P140" s="293">
        <v>152.0</v>
      </c>
      <c r="Q140" s="293">
        <v>143.0</v>
      </c>
      <c r="R140" s="293">
        <v>85.0</v>
      </c>
      <c r="S140" s="302">
        <v>149.0</v>
      </c>
      <c r="T140" s="302">
        <v>106.0</v>
      </c>
      <c r="U140" s="302">
        <v>121.0</v>
      </c>
      <c r="V140" s="302">
        <v>101.0</v>
      </c>
      <c r="W140" s="302">
        <v>112.0</v>
      </c>
      <c r="X140" s="302">
        <v>96.0</v>
      </c>
      <c r="Y140" s="302">
        <v>77.0</v>
      </c>
      <c r="Z140" s="811">
        <v>81.0</v>
      </c>
      <c r="AA140" s="302">
        <v>78.0</v>
      </c>
      <c r="AB140" s="302">
        <v>82.0</v>
      </c>
      <c r="AC140" s="302">
        <v>74.0</v>
      </c>
      <c r="AD140" s="302">
        <v>80.0</v>
      </c>
      <c r="AE140" s="302">
        <v>73.0</v>
      </c>
      <c r="AF140" s="302">
        <v>88.0</v>
      </c>
      <c r="AG140" s="768">
        <f t="shared" si="25"/>
        <v>3389</v>
      </c>
    </row>
    <row r="141">
      <c r="A141" s="812" t="s">
        <v>725</v>
      </c>
      <c r="B141" s="813">
        <f t="shared" ref="B141:AF141" si="26">SUM(B139:B140)</f>
        <v>127</v>
      </c>
      <c r="C141" s="813">
        <f t="shared" si="26"/>
        <v>149</v>
      </c>
      <c r="D141" s="813">
        <f t="shared" si="26"/>
        <v>134</v>
      </c>
      <c r="E141" s="813">
        <f t="shared" si="26"/>
        <v>143</v>
      </c>
      <c r="F141" s="813">
        <f t="shared" si="26"/>
        <v>142</v>
      </c>
      <c r="G141" s="813">
        <f t="shared" si="26"/>
        <v>155</v>
      </c>
      <c r="H141" s="813">
        <f t="shared" si="26"/>
        <v>166</v>
      </c>
      <c r="I141" s="813">
        <f t="shared" si="26"/>
        <v>186</v>
      </c>
      <c r="J141" s="813">
        <f t="shared" si="26"/>
        <v>173</v>
      </c>
      <c r="K141" s="813">
        <f t="shared" si="26"/>
        <v>169</v>
      </c>
      <c r="L141" s="813">
        <f t="shared" si="26"/>
        <v>175</v>
      </c>
      <c r="M141" s="813">
        <f t="shared" si="26"/>
        <v>179</v>
      </c>
      <c r="N141" s="813">
        <f t="shared" si="26"/>
        <v>281</v>
      </c>
      <c r="O141" s="813">
        <f t="shared" si="26"/>
        <v>257</v>
      </c>
      <c r="P141" s="813">
        <f t="shared" si="26"/>
        <v>214</v>
      </c>
      <c r="Q141" s="813">
        <f t="shared" si="26"/>
        <v>215</v>
      </c>
      <c r="R141" s="813">
        <f t="shared" si="26"/>
        <v>114</v>
      </c>
      <c r="S141" s="813">
        <f t="shared" si="26"/>
        <v>206</v>
      </c>
      <c r="T141" s="813">
        <f t="shared" si="26"/>
        <v>149</v>
      </c>
      <c r="U141" s="813">
        <f t="shared" si="26"/>
        <v>168</v>
      </c>
      <c r="V141" s="813">
        <f t="shared" si="26"/>
        <v>149</v>
      </c>
      <c r="W141" s="813">
        <f t="shared" si="26"/>
        <v>141</v>
      </c>
      <c r="X141" s="813">
        <f t="shared" si="26"/>
        <v>123</v>
      </c>
      <c r="Y141" s="813">
        <f t="shared" si="26"/>
        <v>95</v>
      </c>
      <c r="Z141" s="813">
        <f t="shared" si="26"/>
        <v>107</v>
      </c>
      <c r="AA141" s="813">
        <f t="shared" si="26"/>
        <v>102</v>
      </c>
      <c r="AB141" s="813">
        <f t="shared" si="26"/>
        <v>117</v>
      </c>
      <c r="AC141" s="813">
        <f t="shared" si="26"/>
        <v>107</v>
      </c>
      <c r="AD141" s="813">
        <f t="shared" si="26"/>
        <v>97</v>
      </c>
      <c r="AE141" s="813">
        <f t="shared" si="26"/>
        <v>102</v>
      </c>
      <c r="AF141" s="813">
        <f t="shared" si="26"/>
        <v>110</v>
      </c>
      <c r="AG141" s="768">
        <f t="shared" si="25"/>
        <v>4752</v>
      </c>
    </row>
    <row r="142">
      <c r="A142" s="42"/>
      <c r="B142" s="823"/>
      <c r="C142" s="823"/>
      <c r="D142" s="823"/>
      <c r="E142" s="823"/>
      <c r="F142" s="823"/>
      <c r="G142" s="823"/>
      <c r="H142" s="823"/>
      <c r="I142" s="823"/>
      <c r="J142" s="327"/>
      <c r="K142" s="327"/>
      <c r="L142" s="327"/>
      <c r="M142" s="327"/>
      <c r="N142" s="327"/>
      <c r="O142" s="327"/>
      <c r="P142" s="327"/>
      <c r="Q142" s="327"/>
      <c r="R142" s="327"/>
      <c r="S142" s="327"/>
      <c r="T142" s="327"/>
      <c r="U142" s="327"/>
      <c r="V142" s="327"/>
      <c r="W142" s="327"/>
      <c r="X142" s="327"/>
      <c r="Y142" s="327"/>
      <c r="Z142" s="327"/>
      <c r="AA142" s="327"/>
      <c r="AB142" s="327"/>
      <c r="AC142" s="327"/>
      <c r="AD142" s="327"/>
      <c r="AE142" s="327"/>
      <c r="AF142" s="327"/>
      <c r="AG142" s="827"/>
    </row>
    <row r="143">
      <c r="A143" s="691" t="s">
        <v>121</v>
      </c>
      <c r="B143" s="294">
        <v>50.0</v>
      </c>
      <c r="C143" s="294">
        <v>52.0</v>
      </c>
      <c r="D143" s="294">
        <v>32.0</v>
      </c>
      <c r="E143" s="294">
        <v>37.0</v>
      </c>
      <c r="F143" s="294">
        <v>45.0</v>
      </c>
      <c r="G143" s="294">
        <v>42.0</v>
      </c>
      <c r="H143" s="294">
        <v>48.0</v>
      </c>
      <c r="I143" s="293">
        <v>70.0</v>
      </c>
      <c r="J143" s="293">
        <v>72.0</v>
      </c>
      <c r="K143" s="293">
        <v>62.0</v>
      </c>
      <c r="L143" s="293">
        <v>55.0</v>
      </c>
      <c r="M143" s="293">
        <v>45.0</v>
      </c>
      <c r="N143" s="293">
        <v>83.0</v>
      </c>
      <c r="O143" s="293">
        <v>66.0</v>
      </c>
      <c r="P143" s="293">
        <v>85.0</v>
      </c>
      <c r="Q143" s="293">
        <v>79.0</v>
      </c>
      <c r="R143" s="293">
        <v>32.0</v>
      </c>
      <c r="S143" s="302">
        <v>76.0</v>
      </c>
      <c r="T143" s="302">
        <v>44.0</v>
      </c>
      <c r="U143" s="302">
        <v>58.0</v>
      </c>
      <c r="V143" s="302">
        <v>47.0</v>
      </c>
      <c r="W143" s="302">
        <v>57.0</v>
      </c>
      <c r="X143" s="302">
        <v>55.0</v>
      </c>
      <c r="Y143" s="302">
        <v>35.0</v>
      </c>
      <c r="Z143" s="829">
        <v>37.0</v>
      </c>
      <c r="AA143" s="302">
        <v>26.0</v>
      </c>
      <c r="AB143" s="302">
        <v>39.0</v>
      </c>
      <c r="AC143" s="829">
        <v>32.0</v>
      </c>
      <c r="AD143" s="829">
        <v>40.0</v>
      </c>
      <c r="AE143" s="829">
        <v>33.0</v>
      </c>
      <c r="AF143" s="829">
        <v>45.0</v>
      </c>
      <c r="AG143" s="768">
        <f t="shared" ref="AG143:AG147" si="27">sum(B143:AF143)</f>
        <v>1579</v>
      </c>
    </row>
    <row r="144">
      <c r="A144" s="691" t="s">
        <v>129</v>
      </c>
      <c r="B144" s="294">
        <v>0.0</v>
      </c>
      <c r="C144" s="294">
        <v>0.0</v>
      </c>
      <c r="D144" s="294">
        <v>0.0</v>
      </c>
      <c r="E144" s="294">
        <v>0.0</v>
      </c>
      <c r="F144" s="294">
        <v>0.0</v>
      </c>
      <c r="G144" s="294">
        <v>0.0</v>
      </c>
      <c r="H144" s="294">
        <v>0.0</v>
      </c>
      <c r="I144" s="294">
        <v>0.0</v>
      </c>
      <c r="J144" s="294">
        <v>0.0</v>
      </c>
      <c r="K144" s="294">
        <v>0.0</v>
      </c>
      <c r="L144" s="294">
        <v>0.0</v>
      </c>
      <c r="M144" s="294">
        <v>0.0</v>
      </c>
      <c r="N144" s="294">
        <v>0.0</v>
      </c>
      <c r="O144" s="294">
        <v>0.0</v>
      </c>
      <c r="P144" s="294">
        <v>0.0</v>
      </c>
      <c r="Q144" s="293">
        <v>0.0</v>
      </c>
      <c r="R144" s="293">
        <v>0.0</v>
      </c>
      <c r="S144" s="293">
        <v>0.0</v>
      </c>
      <c r="T144" s="293">
        <v>0.0</v>
      </c>
      <c r="U144" s="293">
        <v>0.0</v>
      </c>
      <c r="V144" s="302">
        <v>0.0</v>
      </c>
      <c r="W144" s="302">
        <v>0.0</v>
      </c>
      <c r="X144" s="302">
        <v>0.0</v>
      </c>
      <c r="Y144" s="302">
        <v>0.0</v>
      </c>
      <c r="Z144" s="302">
        <v>0.0</v>
      </c>
      <c r="AA144" s="302">
        <v>0.0</v>
      </c>
      <c r="AB144" s="302">
        <v>0.0</v>
      </c>
      <c r="AC144" s="302">
        <v>0.0</v>
      </c>
      <c r="AD144" s="302">
        <v>0.0</v>
      </c>
      <c r="AE144" s="302">
        <v>0.0</v>
      </c>
      <c r="AF144" s="302">
        <v>0.0</v>
      </c>
      <c r="AG144" s="768">
        <f t="shared" si="27"/>
        <v>0</v>
      </c>
    </row>
    <row r="145">
      <c r="A145" s="691" t="s">
        <v>137</v>
      </c>
      <c r="B145" s="294">
        <v>24.0</v>
      </c>
      <c r="C145" s="294">
        <v>37.0</v>
      </c>
      <c r="D145" s="294">
        <v>22.0</v>
      </c>
      <c r="E145" s="294">
        <v>28.0</v>
      </c>
      <c r="F145" s="294">
        <v>25.0</v>
      </c>
      <c r="G145" s="294">
        <v>18.0</v>
      </c>
      <c r="H145" s="294">
        <v>16.0</v>
      </c>
      <c r="I145" s="293">
        <v>31.0</v>
      </c>
      <c r="J145" s="293">
        <v>25.0</v>
      </c>
      <c r="K145" s="293">
        <v>29.0</v>
      </c>
      <c r="L145" s="293">
        <v>23.0</v>
      </c>
      <c r="M145" s="293">
        <v>24.0</v>
      </c>
      <c r="N145" s="294">
        <v>48.0</v>
      </c>
      <c r="O145" s="293">
        <v>38.0</v>
      </c>
      <c r="P145" s="293">
        <v>39.0</v>
      </c>
      <c r="Q145" s="293">
        <v>37.0</v>
      </c>
      <c r="R145" s="293">
        <v>24.0</v>
      </c>
      <c r="S145" s="302">
        <v>35.0</v>
      </c>
      <c r="T145" s="302">
        <v>33.0</v>
      </c>
      <c r="U145" s="302">
        <v>32.0</v>
      </c>
      <c r="V145" s="302">
        <v>25.0</v>
      </c>
      <c r="W145" s="302">
        <v>27.0</v>
      </c>
      <c r="X145" s="302">
        <v>26.0</v>
      </c>
      <c r="Y145" s="302">
        <v>23.0</v>
      </c>
      <c r="Z145" s="809">
        <v>17.0</v>
      </c>
      <c r="AA145" s="831">
        <v>21.0</v>
      </c>
      <c r="AB145" s="302">
        <v>14.0</v>
      </c>
      <c r="AC145" s="831">
        <v>15.0</v>
      </c>
      <c r="AD145" s="831">
        <v>18.0</v>
      </c>
      <c r="AE145" s="831">
        <v>23.0</v>
      </c>
      <c r="AF145" s="831">
        <v>15.0</v>
      </c>
      <c r="AG145" s="768">
        <f t="shared" si="27"/>
        <v>812</v>
      </c>
    </row>
    <row r="146">
      <c r="A146" s="691" t="s">
        <v>153</v>
      </c>
      <c r="B146" s="294">
        <v>33.0</v>
      </c>
      <c r="C146" s="294">
        <v>43.0</v>
      </c>
      <c r="D146" s="294">
        <v>22.0</v>
      </c>
      <c r="E146" s="294">
        <v>34.0</v>
      </c>
      <c r="F146" s="294">
        <v>21.0</v>
      </c>
      <c r="G146" s="294">
        <v>27.0</v>
      </c>
      <c r="H146" s="294">
        <v>19.0</v>
      </c>
      <c r="I146" s="294">
        <v>38.0</v>
      </c>
      <c r="J146" s="294">
        <v>38.0</v>
      </c>
      <c r="K146" s="294">
        <v>36.0</v>
      </c>
      <c r="L146" s="294">
        <v>25.0</v>
      </c>
      <c r="M146" s="294">
        <v>25.0</v>
      </c>
      <c r="N146" s="294">
        <v>55.0</v>
      </c>
      <c r="O146" s="294">
        <v>47.0</v>
      </c>
      <c r="P146" s="294">
        <v>48.0</v>
      </c>
      <c r="Q146" s="294">
        <v>36.0</v>
      </c>
      <c r="R146" s="294">
        <v>18.0</v>
      </c>
      <c r="S146" s="294">
        <v>33.0</v>
      </c>
      <c r="T146" s="294">
        <v>30.0</v>
      </c>
      <c r="U146" s="294">
        <v>33.0</v>
      </c>
      <c r="V146" s="294">
        <v>35.0</v>
      </c>
      <c r="W146" s="294">
        <v>29.0</v>
      </c>
      <c r="X146" s="294">
        <v>35.0</v>
      </c>
      <c r="Y146" s="294">
        <v>20.0</v>
      </c>
      <c r="Z146" s="832">
        <v>14.0</v>
      </c>
      <c r="AA146" s="294">
        <v>24.0</v>
      </c>
      <c r="AB146" s="294">
        <v>14.0</v>
      </c>
      <c r="AC146" s="832">
        <v>17.0</v>
      </c>
      <c r="AD146" s="832">
        <v>11.0</v>
      </c>
      <c r="AE146" s="832">
        <v>23.0</v>
      </c>
      <c r="AF146" s="832">
        <v>17.0</v>
      </c>
      <c r="AG146" s="768">
        <f t="shared" si="27"/>
        <v>900</v>
      </c>
    </row>
    <row r="147">
      <c r="A147" s="691" t="s">
        <v>127</v>
      </c>
      <c r="B147" s="294">
        <v>18.0</v>
      </c>
      <c r="C147" s="294">
        <v>19.0</v>
      </c>
      <c r="D147" s="294">
        <v>18.0</v>
      </c>
      <c r="E147" s="294">
        <v>23.0</v>
      </c>
      <c r="F147" s="294">
        <v>13.0</v>
      </c>
      <c r="G147" s="294">
        <v>18.0</v>
      </c>
      <c r="H147" s="294">
        <v>18.0</v>
      </c>
      <c r="I147" s="294">
        <v>23.0</v>
      </c>
      <c r="J147" s="294">
        <v>25.0</v>
      </c>
      <c r="K147" s="294">
        <v>27.0</v>
      </c>
      <c r="L147" s="294">
        <v>12.0</v>
      </c>
      <c r="M147" s="294">
        <v>14.0</v>
      </c>
      <c r="N147" s="294">
        <v>35.0</v>
      </c>
      <c r="O147" s="294">
        <v>24.0</v>
      </c>
      <c r="P147" s="294">
        <v>22.0</v>
      </c>
      <c r="Q147" s="294">
        <v>17.0</v>
      </c>
      <c r="R147" s="294">
        <v>16.0</v>
      </c>
      <c r="S147" s="294">
        <v>19.0</v>
      </c>
      <c r="T147" s="294">
        <v>10.0</v>
      </c>
      <c r="U147" s="294">
        <v>21.0</v>
      </c>
      <c r="V147" s="294">
        <v>16.0</v>
      </c>
      <c r="W147" s="294">
        <v>16.0</v>
      </c>
      <c r="X147" s="294">
        <v>20.0</v>
      </c>
      <c r="Y147" s="294">
        <v>10.0</v>
      </c>
      <c r="Z147" s="294">
        <v>17.0</v>
      </c>
      <c r="AA147" s="302">
        <v>11.0</v>
      </c>
      <c r="AB147" s="294">
        <v>10.0</v>
      </c>
      <c r="AC147" s="832">
        <v>10.0</v>
      </c>
      <c r="AD147" s="832">
        <v>20.0</v>
      </c>
      <c r="AE147" s="832">
        <v>16.0</v>
      </c>
      <c r="AF147" s="832">
        <v>11.0</v>
      </c>
      <c r="AG147" s="768">
        <f t="shared" si="27"/>
        <v>549</v>
      </c>
    </row>
    <row r="148">
      <c r="A148" s="812" t="s">
        <v>151</v>
      </c>
      <c r="B148" s="813">
        <f t="shared" ref="B148:AF148" si="28">SUM(B143:B147)</f>
        <v>125</v>
      </c>
      <c r="C148" s="813">
        <f t="shared" si="28"/>
        <v>151</v>
      </c>
      <c r="D148" s="813">
        <f t="shared" si="28"/>
        <v>94</v>
      </c>
      <c r="E148" s="813">
        <f t="shared" si="28"/>
        <v>122</v>
      </c>
      <c r="F148" s="813">
        <f t="shared" si="28"/>
        <v>104</v>
      </c>
      <c r="G148" s="813">
        <f t="shared" si="28"/>
        <v>105</v>
      </c>
      <c r="H148" s="813">
        <f t="shared" si="28"/>
        <v>101</v>
      </c>
      <c r="I148" s="813">
        <f t="shared" si="28"/>
        <v>162</v>
      </c>
      <c r="J148" s="813">
        <f t="shared" si="28"/>
        <v>160</v>
      </c>
      <c r="K148" s="813">
        <f t="shared" si="28"/>
        <v>154</v>
      </c>
      <c r="L148" s="813">
        <f t="shared" si="28"/>
        <v>115</v>
      </c>
      <c r="M148" s="813">
        <f t="shared" si="28"/>
        <v>108</v>
      </c>
      <c r="N148" s="813">
        <f t="shared" si="28"/>
        <v>221</v>
      </c>
      <c r="O148" s="813">
        <f t="shared" si="28"/>
        <v>175</v>
      </c>
      <c r="P148" s="813">
        <f t="shared" si="28"/>
        <v>194</v>
      </c>
      <c r="Q148" s="813">
        <f t="shared" si="28"/>
        <v>169</v>
      </c>
      <c r="R148" s="813">
        <f t="shared" si="28"/>
        <v>90</v>
      </c>
      <c r="S148" s="813">
        <f t="shared" si="28"/>
        <v>163</v>
      </c>
      <c r="T148" s="813">
        <f t="shared" si="28"/>
        <v>117</v>
      </c>
      <c r="U148" s="813">
        <f t="shared" si="28"/>
        <v>144</v>
      </c>
      <c r="V148" s="813">
        <f t="shared" si="28"/>
        <v>123</v>
      </c>
      <c r="W148" s="813">
        <f t="shared" si="28"/>
        <v>129</v>
      </c>
      <c r="X148" s="813">
        <f t="shared" si="28"/>
        <v>136</v>
      </c>
      <c r="Y148" s="813">
        <f t="shared" si="28"/>
        <v>88</v>
      </c>
      <c r="Z148" s="813">
        <f t="shared" si="28"/>
        <v>85</v>
      </c>
      <c r="AA148" s="813">
        <f t="shared" si="28"/>
        <v>82</v>
      </c>
      <c r="AB148" s="813">
        <f t="shared" si="28"/>
        <v>77</v>
      </c>
      <c r="AC148" s="813">
        <f t="shared" si="28"/>
        <v>74</v>
      </c>
      <c r="AD148" s="813">
        <f t="shared" si="28"/>
        <v>89</v>
      </c>
      <c r="AE148" s="813">
        <f t="shared" si="28"/>
        <v>95</v>
      </c>
      <c r="AF148" s="813">
        <f t="shared" si="28"/>
        <v>88</v>
      </c>
      <c r="AG148" s="768">
        <f>sum(B148:AE148)</f>
        <v>3752</v>
      </c>
    </row>
    <row r="149">
      <c r="A149" s="835"/>
      <c r="AG149" s="768"/>
    </row>
    <row r="150">
      <c r="A150" s="691" t="s">
        <v>727</v>
      </c>
      <c r="B150" s="836"/>
      <c r="C150" s="836"/>
      <c r="D150" s="836"/>
      <c r="E150" s="836"/>
      <c r="F150" s="836"/>
      <c r="G150" s="836"/>
      <c r="H150" s="836"/>
      <c r="I150" s="836"/>
      <c r="J150" s="836"/>
      <c r="K150" s="836"/>
      <c r="L150" s="836"/>
      <c r="M150" s="836"/>
      <c r="N150" s="836"/>
      <c r="O150" s="836"/>
      <c r="P150" s="836"/>
      <c r="Q150" s="836"/>
      <c r="R150" s="836"/>
      <c r="S150" s="836"/>
      <c r="T150" s="836"/>
      <c r="U150" s="836"/>
      <c r="V150" s="836"/>
      <c r="W150" s="836"/>
      <c r="X150" s="836"/>
      <c r="Y150" s="836"/>
      <c r="Z150" s="836"/>
      <c r="AA150" s="836"/>
      <c r="AB150" s="836"/>
      <c r="AC150" s="836"/>
      <c r="AD150" s="836"/>
      <c r="AE150" s="836"/>
      <c r="AF150" s="836"/>
      <c r="AG150" s="768">
        <f t="shared" ref="AG150:AG152" si="29">sum(B150:AF150)</f>
        <v>0</v>
      </c>
    </row>
    <row r="151">
      <c r="A151" s="691" t="s">
        <v>728</v>
      </c>
      <c r="B151" s="836"/>
      <c r="C151" s="836"/>
      <c r="D151" s="836"/>
      <c r="E151" s="836"/>
      <c r="F151" s="836"/>
      <c r="G151" s="836"/>
      <c r="H151" s="836"/>
      <c r="I151" s="836"/>
      <c r="J151" s="836"/>
      <c r="K151" s="836"/>
      <c r="L151" s="836"/>
      <c r="M151" s="836"/>
      <c r="N151" s="836"/>
      <c r="O151" s="836"/>
      <c r="P151" s="836"/>
      <c r="Q151" s="836"/>
      <c r="R151" s="836"/>
      <c r="S151" s="836"/>
      <c r="T151" s="836"/>
      <c r="U151" s="836"/>
      <c r="V151" s="836"/>
      <c r="W151" s="836"/>
      <c r="X151" s="836"/>
      <c r="Y151" s="836"/>
      <c r="Z151" s="836"/>
      <c r="AA151" s="836"/>
      <c r="AB151" s="836"/>
      <c r="AC151" s="836"/>
      <c r="AD151" s="836"/>
      <c r="AE151" s="836"/>
      <c r="AF151" s="836"/>
      <c r="AG151" s="768">
        <f t="shared" si="29"/>
        <v>0</v>
      </c>
    </row>
    <row r="152">
      <c r="A152" s="812" t="s">
        <v>151</v>
      </c>
      <c r="B152" s="813">
        <f t="shared" ref="B152:AF152" si="30">SUM(B150:B151)</f>
        <v>0</v>
      </c>
      <c r="C152" s="813">
        <f t="shared" si="30"/>
        <v>0</v>
      </c>
      <c r="D152" s="813">
        <f t="shared" si="30"/>
        <v>0</v>
      </c>
      <c r="E152" s="813">
        <f t="shared" si="30"/>
        <v>0</v>
      </c>
      <c r="F152" s="813">
        <f t="shared" si="30"/>
        <v>0</v>
      </c>
      <c r="G152" s="813">
        <f t="shared" si="30"/>
        <v>0</v>
      </c>
      <c r="H152" s="813">
        <f t="shared" si="30"/>
        <v>0</v>
      </c>
      <c r="I152" s="813">
        <f t="shared" si="30"/>
        <v>0</v>
      </c>
      <c r="J152" s="813">
        <f t="shared" si="30"/>
        <v>0</v>
      </c>
      <c r="K152" s="813">
        <f t="shared" si="30"/>
        <v>0</v>
      </c>
      <c r="L152" s="813">
        <f t="shared" si="30"/>
        <v>0</v>
      </c>
      <c r="M152" s="813">
        <f t="shared" si="30"/>
        <v>0</v>
      </c>
      <c r="N152" s="813">
        <f t="shared" si="30"/>
        <v>0</v>
      </c>
      <c r="O152" s="813">
        <f t="shared" si="30"/>
        <v>0</v>
      </c>
      <c r="P152" s="813">
        <f t="shared" si="30"/>
        <v>0</v>
      </c>
      <c r="Q152" s="813">
        <f t="shared" si="30"/>
        <v>0</v>
      </c>
      <c r="R152" s="813">
        <f t="shared" si="30"/>
        <v>0</v>
      </c>
      <c r="S152" s="813">
        <f t="shared" si="30"/>
        <v>0</v>
      </c>
      <c r="T152" s="813">
        <f t="shared" si="30"/>
        <v>0</v>
      </c>
      <c r="U152" s="813">
        <f t="shared" si="30"/>
        <v>0</v>
      </c>
      <c r="V152" s="813">
        <f t="shared" si="30"/>
        <v>0</v>
      </c>
      <c r="W152" s="813">
        <f t="shared" si="30"/>
        <v>0</v>
      </c>
      <c r="X152" s="813">
        <f t="shared" si="30"/>
        <v>0</v>
      </c>
      <c r="Y152" s="813">
        <f t="shared" si="30"/>
        <v>0</v>
      </c>
      <c r="Z152" s="813">
        <f t="shared" si="30"/>
        <v>0</v>
      </c>
      <c r="AA152" s="813">
        <f t="shared" si="30"/>
        <v>0</v>
      </c>
      <c r="AB152" s="813">
        <f t="shared" si="30"/>
        <v>0</v>
      </c>
      <c r="AC152" s="813">
        <f t="shared" si="30"/>
        <v>0</v>
      </c>
      <c r="AD152" s="813">
        <f t="shared" si="30"/>
        <v>0</v>
      </c>
      <c r="AE152" s="813">
        <f t="shared" si="30"/>
        <v>0</v>
      </c>
      <c r="AF152" s="813">
        <f t="shared" si="30"/>
        <v>0</v>
      </c>
      <c r="AG152" s="768">
        <f t="shared" si="29"/>
        <v>0</v>
      </c>
    </row>
    <row r="153">
      <c r="A153" s="835"/>
      <c r="AG153" s="768"/>
    </row>
    <row r="154">
      <c r="A154" s="691" t="s">
        <v>730</v>
      </c>
      <c r="B154" s="837"/>
      <c r="C154" s="837"/>
      <c r="D154" s="837"/>
      <c r="E154" s="837"/>
      <c r="F154" s="837"/>
      <c r="G154" s="837"/>
      <c r="H154" s="837"/>
      <c r="I154" s="837"/>
      <c r="J154" s="837"/>
      <c r="K154" s="837"/>
      <c r="L154" s="837"/>
      <c r="M154" s="837"/>
      <c r="N154" s="837"/>
      <c r="O154" s="837"/>
      <c r="P154" s="837"/>
      <c r="Q154" s="837"/>
      <c r="R154" s="837"/>
      <c r="S154" s="837"/>
      <c r="T154" s="837"/>
      <c r="U154" s="837"/>
      <c r="V154" s="837"/>
      <c r="W154" s="837"/>
      <c r="X154" s="837"/>
      <c r="Y154" s="837"/>
      <c r="Z154" s="837"/>
      <c r="AA154" s="837"/>
      <c r="AB154" s="837"/>
      <c r="AC154" s="837"/>
      <c r="AD154" s="837"/>
      <c r="AE154" s="837"/>
      <c r="AF154" s="837"/>
      <c r="AG154" s="768">
        <f t="shared" ref="AG154:AG156" si="31">sum(B154:AF154)</f>
        <v>0</v>
      </c>
    </row>
    <row r="155">
      <c r="A155" s="691" t="s">
        <v>732</v>
      </c>
      <c r="B155" s="837"/>
      <c r="C155" s="837"/>
      <c r="D155" s="837"/>
      <c r="E155" s="837"/>
      <c r="F155" s="837"/>
      <c r="G155" s="837"/>
      <c r="H155" s="837"/>
      <c r="I155" s="837"/>
      <c r="J155" s="837"/>
      <c r="K155" s="837"/>
      <c r="L155" s="837"/>
      <c r="M155" s="837"/>
      <c r="N155" s="837"/>
      <c r="O155" s="837"/>
      <c r="P155" s="837"/>
      <c r="Q155" s="837"/>
      <c r="R155" s="837"/>
      <c r="S155" s="837"/>
      <c r="T155" s="837"/>
      <c r="U155" s="837"/>
      <c r="V155" s="837"/>
      <c r="W155" s="837"/>
      <c r="X155" s="837"/>
      <c r="Y155" s="837"/>
      <c r="Z155" s="837"/>
      <c r="AA155" s="837"/>
      <c r="AB155" s="837"/>
      <c r="AC155" s="837"/>
      <c r="AD155" s="837"/>
      <c r="AE155" s="837"/>
      <c r="AF155" s="837"/>
      <c r="AG155" s="768">
        <f t="shared" si="31"/>
        <v>0</v>
      </c>
    </row>
    <row r="156">
      <c r="A156" s="812" t="s">
        <v>151</v>
      </c>
      <c r="B156" s="838">
        <f t="shared" ref="B156:AF156" si="32">SUM(B154:B155)</f>
        <v>0</v>
      </c>
      <c r="C156" s="838">
        <f t="shared" si="32"/>
        <v>0</v>
      </c>
      <c r="D156" s="838">
        <f t="shared" si="32"/>
        <v>0</v>
      </c>
      <c r="E156" s="838">
        <f t="shared" si="32"/>
        <v>0</v>
      </c>
      <c r="F156" s="838">
        <f t="shared" si="32"/>
        <v>0</v>
      </c>
      <c r="G156" s="838">
        <f t="shared" si="32"/>
        <v>0</v>
      </c>
      <c r="H156" s="838">
        <f t="shared" si="32"/>
        <v>0</v>
      </c>
      <c r="I156" s="838">
        <f t="shared" si="32"/>
        <v>0</v>
      </c>
      <c r="J156" s="838">
        <f t="shared" si="32"/>
        <v>0</v>
      </c>
      <c r="K156" s="838">
        <f t="shared" si="32"/>
        <v>0</v>
      </c>
      <c r="L156" s="838">
        <f t="shared" si="32"/>
        <v>0</v>
      </c>
      <c r="M156" s="838">
        <f t="shared" si="32"/>
        <v>0</v>
      </c>
      <c r="N156" s="838">
        <f t="shared" si="32"/>
        <v>0</v>
      </c>
      <c r="O156" s="838">
        <f t="shared" si="32"/>
        <v>0</v>
      </c>
      <c r="P156" s="838">
        <f t="shared" si="32"/>
        <v>0</v>
      </c>
      <c r="Q156" s="838">
        <f t="shared" si="32"/>
        <v>0</v>
      </c>
      <c r="R156" s="838">
        <f t="shared" si="32"/>
        <v>0</v>
      </c>
      <c r="S156" s="838">
        <f t="shared" si="32"/>
        <v>0</v>
      </c>
      <c r="T156" s="838">
        <f t="shared" si="32"/>
        <v>0</v>
      </c>
      <c r="U156" s="838">
        <f t="shared" si="32"/>
        <v>0</v>
      </c>
      <c r="V156" s="838">
        <f t="shared" si="32"/>
        <v>0</v>
      </c>
      <c r="W156" s="838">
        <f t="shared" si="32"/>
        <v>0</v>
      </c>
      <c r="X156" s="838">
        <f t="shared" si="32"/>
        <v>0</v>
      </c>
      <c r="Y156" s="838">
        <f t="shared" si="32"/>
        <v>0</v>
      </c>
      <c r="Z156" s="838">
        <f t="shared" si="32"/>
        <v>0</v>
      </c>
      <c r="AA156" s="838">
        <f t="shared" si="32"/>
        <v>0</v>
      </c>
      <c r="AB156" s="838">
        <f t="shared" si="32"/>
        <v>0</v>
      </c>
      <c r="AC156" s="838">
        <f t="shared" si="32"/>
        <v>0</v>
      </c>
      <c r="AD156" s="838">
        <f t="shared" si="32"/>
        <v>0</v>
      </c>
      <c r="AE156" s="838">
        <f t="shared" si="32"/>
        <v>0</v>
      </c>
      <c r="AF156" s="838">
        <f t="shared" si="32"/>
        <v>0</v>
      </c>
      <c r="AG156" s="768">
        <f t="shared" si="31"/>
        <v>0</v>
      </c>
    </row>
    <row r="157">
      <c r="A157" s="835"/>
      <c r="AG157" s="768"/>
    </row>
    <row r="158">
      <c r="A158" s="691" t="s">
        <v>734</v>
      </c>
      <c r="B158" s="294">
        <v>0.0</v>
      </c>
      <c r="C158" s="294">
        <v>0.0</v>
      </c>
      <c r="D158" s="294">
        <v>0.0</v>
      </c>
      <c r="E158" s="294">
        <v>0.0</v>
      </c>
      <c r="F158" s="294">
        <v>0.0</v>
      </c>
      <c r="G158" s="294">
        <v>0.0</v>
      </c>
      <c r="H158" s="294">
        <v>0.0</v>
      </c>
      <c r="I158" s="294">
        <v>0.0</v>
      </c>
      <c r="J158" s="294">
        <v>0.0</v>
      </c>
      <c r="K158" s="294">
        <v>0.0</v>
      </c>
      <c r="L158" s="294">
        <v>0.0</v>
      </c>
      <c r="M158" s="294">
        <v>0.0</v>
      </c>
      <c r="N158" s="294">
        <v>0.0</v>
      </c>
      <c r="O158" s="294">
        <v>0.0</v>
      </c>
      <c r="P158" s="294">
        <v>0.0</v>
      </c>
      <c r="Q158" s="294">
        <v>0.0</v>
      </c>
      <c r="R158" s="294">
        <v>0.0</v>
      </c>
      <c r="S158" s="294">
        <v>0.0</v>
      </c>
      <c r="T158" s="294">
        <v>0.0</v>
      </c>
      <c r="U158" s="294">
        <v>0.0</v>
      </c>
      <c r="V158" s="294">
        <v>0.0</v>
      </c>
      <c r="W158" s="294">
        <v>0.0</v>
      </c>
      <c r="X158" s="294">
        <v>0.0</v>
      </c>
      <c r="Y158" s="294">
        <v>0.0</v>
      </c>
      <c r="Z158" s="294">
        <v>0.0</v>
      </c>
      <c r="AA158" s="294">
        <v>0.0</v>
      </c>
      <c r="AB158" s="294">
        <v>0.0</v>
      </c>
      <c r="AC158" s="294">
        <v>0.0</v>
      </c>
      <c r="AD158" s="294">
        <v>0.0</v>
      </c>
      <c r="AE158" s="294">
        <v>0.0</v>
      </c>
      <c r="AF158" s="294">
        <v>0.0</v>
      </c>
      <c r="AG158" s="768"/>
    </row>
    <row r="159">
      <c r="A159" s="812" t="s">
        <v>151</v>
      </c>
      <c r="B159" s="838">
        <f t="shared" ref="B159:AF159" si="33">B158</f>
        <v>0</v>
      </c>
      <c r="C159" s="838">
        <f t="shared" si="33"/>
        <v>0</v>
      </c>
      <c r="D159" s="838">
        <f t="shared" si="33"/>
        <v>0</v>
      </c>
      <c r="E159" s="838">
        <f t="shared" si="33"/>
        <v>0</v>
      </c>
      <c r="F159" s="838">
        <f t="shared" si="33"/>
        <v>0</v>
      </c>
      <c r="G159" s="838">
        <f t="shared" si="33"/>
        <v>0</v>
      </c>
      <c r="H159" s="838">
        <f t="shared" si="33"/>
        <v>0</v>
      </c>
      <c r="I159" s="838">
        <f t="shared" si="33"/>
        <v>0</v>
      </c>
      <c r="J159" s="838">
        <f t="shared" si="33"/>
        <v>0</v>
      </c>
      <c r="K159" s="838">
        <f t="shared" si="33"/>
        <v>0</v>
      </c>
      <c r="L159" s="838">
        <f t="shared" si="33"/>
        <v>0</v>
      </c>
      <c r="M159" s="838">
        <f t="shared" si="33"/>
        <v>0</v>
      </c>
      <c r="N159" s="838">
        <f t="shared" si="33"/>
        <v>0</v>
      </c>
      <c r="O159" s="838">
        <f t="shared" si="33"/>
        <v>0</v>
      </c>
      <c r="P159" s="838">
        <f t="shared" si="33"/>
        <v>0</v>
      </c>
      <c r="Q159" s="838">
        <f t="shared" si="33"/>
        <v>0</v>
      </c>
      <c r="R159" s="838">
        <f t="shared" si="33"/>
        <v>0</v>
      </c>
      <c r="S159" s="838">
        <f t="shared" si="33"/>
        <v>0</v>
      </c>
      <c r="T159" s="838">
        <f t="shared" si="33"/>
        <v>0</v>
      </c>
      <c r="U159" s="838">
        <f t="shared" si="33"/>
        <v>0</v>
      </c>
      <c r="V159" s="838">
        <f t="shared" si="33"/>
        <v>0</v>
      </c>
      <c r="W159" s="838">
        <f t="shared" si="33"/>
        <v>0</v>
      </c>
      <c r="X159" s="838">
        <f t="shared" si="33"/>
        <v>0</v>
      </c>
      <c r="Y159" s="838">
        <f t="shared" si="33"/>
        <v>0</v>
      </c>
      <c r="Z159" s="838">
        <f t="shared" si="33"/>
        <v>0</v>
      </c>
      <c r="AA159" s="838">
        <f t="shared" si="33"/>
        <v>0</v>
      </c>
      <c r="AB159" s="838">
        <f t="shared" si="33"/>
        <v>0</v>
      </c>
      <c r="AC159" s="838">
        <f t="shared" si="33"/>
        <v>0</v>
      </c>
      <c r="AD159" s="838">
        <f t="shared" si="33"/>
        <v>0</v>
      </c>
      <c r="AE159" s="838">
        <f t="shared" si="33"/>
        <v>0</v>
      </c>
      <c r="AF159" s="838">
        <f t="shared" si="33"/>
        <v>0</v>
      </c>
      <c r="AG159" s="768">
        <f>sum(B159:AF159)</f>
        <v>0</v>
      </c>
    </row>
    <row r="160">
      <c r="A160" s="835"/>
      <c r="AG160" s="768"/>
    </row>
    <row r="161">
      <c r="A161" s="648" t="s">
        <v>264</v>
      </c>
      <c r="AG161" s="768">
        <f t="shared" ref="AG161:AG164" si="36">sum(B161:AF161)</f>
        <v>0</v>
      </c>
    </row>
    <row r="162">
      <c r="A162" s="691" t="s">
        <v>106</v>
      </c>
      <c r="B162" s="844">
        <v>37.0</v>
      </c>
      <c r="C162" s="844">
        <v>57.0</v>
      </c>
      <c r="D162" s="844">
        <v>44.0</v>
      </c>
      <c r="E162" s="844">
        <f t="shared" ref="E162:AB162" si="34">E139-E174</f>
        <v>38</v>
      </c>
      <c r="F162" s="844">
        <f t="shared" si="34"/>
        <v>47</v>
      </c>
      <c r="G162" s="844">
        <f t="shared" si="34"/>
        <v>48</v>
      </c>
      <c r="H162" s="844">
        <f t="shared" si="34"/>
        <v>63</v>
      </c>
      <c r="I162" s="844">
        <f t="shared" si="34"/>
        <v>53</v>
      </c>
      <c r="J162" s="844">
        <f t="shared" si="34"/>
        <v>50</v>
      </c>
      <c r="K162" s="844">
        <f t="shared" si="34"/>
        <v>59</v>
      </c>
      <c r="L162" s="844">
        <f t="shared" si="34"/>
        <v>55</v>
      </c>
      <c r="M162" s="844">
        <f t="shared" si="34"/>
        <v>57</v>
      </c>
      <c r="N162" s="844">
        <f t="shared" si="34"/>
        <v>60</v>
      </c>
      <c r="O162" s="844">
        <f t="shared" si="34"/>
        <v>67</v>
      </c>
      <c r="P162" s="844">
        <f t="shared" si="34"/>
        <v>61</v>
      </c>
      <c r="Q162" s="844">
        <f t="shared" si="34"/>
        <v>70</v>
      </c>
      <c r="R162" s="844">
        <f t="shared" si="34"/>
        <v>28</v>
      </c>
      <c r="S162" s="844">
        <f t="shared" si="34"/>
        <v>56</v>
      </c>
      <c r="T162" s="844">
        <f t="shared" si="34"/>
        <v>43</v>
      </c>
      <c r="U162" s="844">
        <f t="shared" si="34"/>
        <v>47</v>
      </c>
      <c r="V162" s="844">
        <f t="shared" si="34"/>
        <v>46</v>
      </c>
      <c r="W162" s="844">
        <f t="shared" si="34"/>
        <v>29</v>
      </c>
      <c r="X162" s="844">
        <f t="shared" si="34"/>
        <v>26</v>
      </c>
      <c r="Y162" s="844">
        <f t="shared" si="34"/>
        <v>18</v>
      </c>
      <c r="Z162" s="844">
        <f t="shared" si="34"/>
        <v>25</v>
      </c>
      <c r="AA162" s="844">
        <f t="shared" si="34"/>
        <v>24</v>
      </c>
      <c r="AB162" s="844">
        <f t="shared" si="34"/>
        <v>35</v>
      </c>
      <c r="AC162" s="809">
        <v>33.0</v>
      </c>
      <c r="AD162" s="809">
        <v>17.0</v>
      </c>
      <c r="AE162" s="844">
        <f t="shared" ref="AE162:AF162" si="35">AE139-AE174</f>
        <v>29</v>
      </c>
      <c r="AF162" s="844">
        <f t="shared" si="35"/>
        <v>21</v>
      </c>
      <c r="AG162" s="768">
        <f t="shared" si="36"/>
        <v>1343</v>
      </c>
    </row>
    <row r="163">
      <c r="A163" s="691" t="s">
        <v>119</v>
      </c>
      <c r="B163" s="844">
        <v>90.0</v>
      </c>
      <c r="C163" s="844">
        <v>92.0</v>
      </c>
      <c r="D163" s="844">
        <v>87.0</v>
      </c>
      <c r="E163" s="844">
        <f t="shared" ref="E163:AB163" si="37">E140-E175</f>
        <v>103</v>
      </c>
      <c r="F163" s="844">
        <f t="shared" si="37"/>
        <v>92</v>
      </c>
      <c r="G163" s="844">
        <f t="shared" si="37"/>
        <v>101</v>
      </c>
      <c r="H163" s="844">
        <f t="shared" si="37"/>
        <v>103</v>
      </c>
      <c r="I163" s="844">
        <f t="shared" si="37"/>
        <v>133</v>
      </c>
      <c r="J163" s="844">
        <f t="shared" si="37"/>
        <v>122</v>
      </c>
      <c r="K163" s="844">
        <f t="shared" si="37"/>
        <v>106</v>
      </c>
      <c r="L163" s="844">
        <f t="shared" si="37"/>
        <v>117</v>
      </c>
      <c r="M163" s="844">
        <f t="shared" si="37"/>
        <v>121</v>
      </c>
      <c r="N163" s="844">
        <f t="shared" si="37"/>
        <v>216</v>
      </c>
      <c r="O163" s="844">
        <f t="shared" si="37"/>
        <v>181</v>
      </c>
      <c r="P163" s="844">
        <f t="shared" si="37"/>
        <v>147</v>
      </c>
      <c r="Q163" s="844">
        <f t="shared" si="37"/>
        <v>139</v>
      </c>
      <c r="R163" s="844">
        <f t="shared" si="37"/>
        <v>84</v>
      </c>
      <c r="S163" s="844">
        <f t="shared" si="37"/>
        <v>141</v>
      </c>
      <c r="T163" s="844">
        <f t="shared" si="37"/>
        <v>106</v>
      </c>
      <c r="U163" s="844">
        <f t="shared" si="37"/>
        <v>117</v>
      </c>
      <c r="V163" s="844">
        <f t="shared" si="37"/>
        <v>99</v>
      </c>
      <c r="W163" s="844">
        <f t="shared" si="37"/>
        <v>110</v>
      </c>
      <c r="X163" s="844">
        <f t="shared" si="37"/>
        <v>94</v>
      </c>
      <c r="Y163" s="844">
        <f t="shared" si="37"/>
        <v>75</v>
      </c>
      <c r="Z163" s="844">
        <f t="shared" si="37"/>
        <v>80</v>
      </c>
      <c r="AA163" s="844">
        <f t="shared" si="37"/>
        <v>78</v>
      </c>
      <c r="AB163" s="844">
        <f t="shared" si="37"/>
        <v>82</v>
      </c>
      <c r="AC163" s="302">
        <v>74.0</v>
      </c>
      <c r="AD163" s="302">
        <v>80.0</v>
      </c>
      <c r="AE163" s="844">
        <f t="shared" ref="AE163:AF163" si="38">AE140-AE175</f>
        <v>71</v>
      </c>
      <c r="AF163" s="844">
        <f t="shared" si="38"/>
        <v>87</v>
      </c>
      <c r="AG163" s="768">
        <f t="shared" si="36"/>
        <v>3328</v>
      </c>
    </row>
    <row r="164">
      <c r="A164" s="812" t="s">
        <v>725</v>
      </c>
      <c r="B164" s="838">
        <f t="shared" ref="B164:AE164" si="39">SUM(B162:B163)</f>
        <v>127</v>
      </c>
      <c r="C164" s="838">
        <f t="shared" si="39"/>
        <v>149</v>
      </c>
      <c r="D164" s="838">
        <f t="shared" si="39"/>
        <v>131</v>
      </c>
      <c r="E164" s="838">
        <f t="shared" si="39"/>
        <v>141</v>
      </c>
      <c r="F164" s="838">
        <f t="shared" si="39"/>
        <v>139</v>
      </c>
      <c r="G164" s="838">
        <f t="shared" si="39"/>
        <v>149</v>
      </c>
      <c r="H164" s="838">
        <f t="shared" si="39"/>
        <v>166</v>
      </c>
      <c r="I164" s="838">
        <f t="shared" si="39"/>
        <v>186</v>
      </c>
      <c r="J164" s="838">
        <f t="shared" si="39"/>
        <v>172</v>
      </c>
      <c r="K164" s="838">
        <f t="shared" si="39"/>
        <v>165</v>
      </c>
      <c r="L164" s="838">
        <f t="shared" si="39"/>
        <v>172</v>
      </c>
      <c r="M164" s="838">
        <f t="shared" si="39"/>
        <v>178</v>
      </c>
      <c r="N164" s="838">
        <f t="shared" si="39"/>
        <v>276</v>
      </c>
      <c r="O164" s="838">
        <f t="shared" si="39"/>
        <v>248</v>
      </c>
      <c r="P164" s="838">
        <f t="shared" si="39"/>
        <v>208</v>
      </c>
      <c r="Q164" s="838">
        <f t="shared" si="39"/>
        <v>209</v>
      </c>
      <c r="R164" s="838">
        <f t="shared" si="39"/>
        <v>112</v>
      </c>
      <c r="S164" s="838">
        <f t="shared" si="39"/>
        <v>197</v>
      </c>
      <c r="T164" s="838">
        <f t="shared" si="39"/>
        <v>149</v>
      </c>
      <c r="U164" s="838">
        <f t="shared" si="39"/>
        <v>164</v>
      </c>
      <c r="V164" s="838">
        <f t="shared" si="39"/>
        <v>145</v>
      </c>
      <c r="W164" s="838">
        <f t="shared" si="39"/>
        <v>139</v>
      </c>
      <c r="X164" s="838">
        <f t="shared" si="39"/>
        <v>120</v>
      </c>
      <c r="Y164" s="838">
        <f t="shared" si="39"/>
        <v>93</v>
      </c>
      <c r="Z164" s="838">
        <f t="shared" si="39"/>
        <v>105</v>
      </c>
      <c r="AA164" s="838">
        <f t="shared" si="39"/>
        <v>102</v>
      </c>
      <c r="AB164" s="838">
        <f t="shared" si="39"/>
        <v>117</v>
      </c>
      <c r="AC164" s="838">
        <f t="shared" si="39"/>
        <v>107</v>
      </c>
      <c r="AD164" s="838">
        <f t="shared" si="39"/>
        <v>97</v>
      </c>
      <c r="AE164" s="838">
        <f t="shared" si="39"/>
        <v>100</v>
      </c>
      <c r="AF164" s="838"/>
      <c r="AG164" s="768">
        <f t="shared" si="36"/>
        <v>4563</v>
      </c>
    </row>
    <row r="165">
      <c r="A165" s="42"/>
      <c r="AG165" s="768"/>
    </row>
    <row r="166">
      <c r="A166" s="691" t="s">
        <v>121</v>
      </c>
      <c r="B166" s="844">
        <v>50.0</v>
      </c>
      <c r="C166" s="844">
        <v>52.0</v>
      </c>
      <c r="D166" s="844">
        <v>32.0</v>
      </c>
      <c r="E166" s="844">
        <f t="shared" ref="E166:AB166" si="40">E143-E178</f>
        <v>35</v>
      </c>
      <c r="F166" s="844">
        <f t="shared" si="40"/>
        <v>44</v>
      </c>
      <c r="G166" s="844">
        <f t="shared" si="40"/>
        <v>42</v>
      </c>
      <c r="H166" s="844">
        <f t="shared" si="40"/>
        <v>48</v>
      </c>
      <c r="I166" s="844">
        <f t="shared" si="40"/>
        <v>70</v>
      </c>
      <c r="J166" s="844">
        <f t="shared" si="40"/>
        <v>72</v>
      </c>
      <c r="K166" s="844">
        <f t="shared" si="40"/>
        <v>62</v>
      </c>
      <c r="L166" s="844">
        <f t="shared" si="40"/>
        <v>53</v>
      </c>
      <c r="M166" s="844">
        <f t="shared" si="40"/>
        <v>44</v>
      </c>
      <c r="N166" s="844">
        <f t="shared" si="40"/>
        <v>83</v>
      </c>
      <c r="O166" s="844">
        <f t="shared" si="40"/>
        <v>62</v>
      </c>
      <c r="P166" s="844">
        <f t="shared" si="40"/>
        <v>81</v>
      </c>
      <c r="Q166" s="844">
        <f t="shared" si="40"/>
        <v>76</v>
      </c>
      <c r="R166" s="844">
        <f t="shared" si="40"/>
        <v>29</v>
      </c>
      <c r="S166" s="844">
        <f t="shared" si="40"/>
        <v>76</v>
      </c>
      <c r="T166" s="844">
        <f t="shared" si="40"/>
        <v>41</v>
      </c>
      <c r="U166" s="844">
        <f t="shared" si="40"/>
        <v>56</v>
      </c>
      <c r="V166" s="844">
        <f t="shared" si="40"/>
        <v>45</v>
      </c>
      <c r="W166" s="844">
        <f t="shared" si="40"/>
        <v>56</v>
      </c>
      <c r="X166" s="844">
        <f t="shared" si="40"/>
        <v>52</v>
      </c>
      <c r="Y166" s="844">
        <f t="shared" si="40"/>
        <v>29</v>
      </c>
      <c r="Z166" s="844">
        <f t="shared" si="40"/>
        <v>36</v>
      </c>
      <c r="AA166" s="844">
        <f t="shared" si="40"/>
        <v>26</v>
      </c>
      <c r="AB166" s="844">
        <f t="shared" si="40"/>
        <v>38</v>
      </c>
      <c r="AC166" s="844">
        <v>32.0</v>
      </c>
      <c r="AD166" s="829">
        <v>40.0</v>
      </c>
      <c r="AE166" s="844">
        <f t="shared" ref="AE166:AF166" si="41">AE143-AE178</f>
        <v>32</v>
      </c>
      <c r="AF166" s="844">
        <f t="shared" si="41"/>
        <v>39</v>
      </c>
      <c r="AG166" s="768">
        <f t="shared" ref="AG166:AG171" si="43">sum(B166:AF166)</f>
        <v>1533</v>
      </c>
    </row>
    <row r="167">
      <c r="A167" s="691" t="s">
        <v>129</v>
      </c>
      <c r="B167" s="844">
        <v>0.0</v>
      </c>
      <c r="C167" s="844">
        <v>0.0</v>
      </c>
      <c r="D167" s="844">
        <v>0.0</v>
      </c>
      <c r="E167" s="844">
        <f t="shared" ref="E167:E170" si="44">E144-E179</f>
        <v>0</v>
      </c>
      <c r="F167" s="844">
        <v>0.0</v>
      </c>
      <c r="G167" s="844">
        <v>0.0</v>
      </c>
      <c r="H167" s="844">
        <v>0.0</v>
      </c>
      <c r="I167" s="844">
        <v>0.0</v>
      </c>
      <c r="J167" s="294">
        <v>0.0</v>
      </c>
      <c r="K167" s="844">
        <v>0.0</v>
      </c>
      <c r="L167" s="844">
        <v>0.0</v>
      </c>
      <c r="M167" s="844">
        <v>0.0</v>
      </c>
      <c r="N167" s="844">
        <v>0.0</v>
      </c>
      <c r="O167" s="844">
        <v>0.0</v>
      </c>
      <c r="P167" s="844">
        <v>0.0</v>
      </c>
      <c r="Q167" s="844">
        <v>0.0</v>
      </c>
      <c r="R167" s="844">
        <v>0.0</v>
      </c>
      <c r="S167" s="844">
        <v>0.0</v>
      </c>
      <c r="T167" s="844">
        <v>0.0</v>
      </c>
      <c r="U167" s="844">
        <v>0.0</v>
      </c>
      <c r="V167" s="844">
        <v>0.0</v>
      </c>
      <c r="W167" s="844">
        <v>0.0</v>
      </c>
      <c r="X167" s="844">
        <v>0.0</v>
      </c>
      <c r="Y167" s="844">
        <v>0.0</v>
      </c>
      <c r="Z167" s="844">
        <v>0.0</v>
      </c>
      <c r="AA167" s="844">
        <v>0.0</v>
      </c>
      <c r="AB167" s="844">
        <v>0.0</v>
      </c>
      <c r="AC167" s="844">
        <v>0.0</v>
      </c>
      <c r="AD167" s="302">
        <v>0.0</v>
      </c>
      <c r="AE167" s="844">
        <f t="shared" ref="AE167:AF167" si="42">AE144-AE179</f>
        <v>0</v>
      </c>
      <c r="AF167" s="844">
        <f t="shared" si="42"/>
        <v>0</v>
      </c>
      <c r="AG167" s="768">
        <f t="shared" si="43"/>
        <v>0</v>
      </c>
    </row>
    <row r="168">
      <c r="A168" s="691" t="s">
        <v>137</v>
      </c>
      <c r="B168" s="844">
        <v>24.0</v>
      </c>
      <c r="C168" s="844">
        <v>37.0</v>
      </c>
      <c r="D168" s="844">
        <v>19.0</v>
      </c>
      <c r="E168" s="844">
        <f t="shared" si="44"/>
        <v>27</v>
      </c>
      <c r="F168" s="844">
        <f t="shared" ref="F168:AB168" si="45">F145-F180</f>
        <v>23</v>
      </c>
      <c r="G168" s="844">
        <f t="shared" si="45"/>
        <v>18</v>
      </c>
      <c r="H168" s="844">
        <f t="shared" si="45"/>
        <v>16</v>
      </c>
      <c r="I168" s="844">
        <f t="shared" si="45"/>
        <v>31</v>
      </c>
      <c r="J168" s="844">
        <f t="shared" si="45"/>
        <v>25</v>
      </c>
      <c r="K168" s="844">
        <f t="shared" si="45"/>
        <v>28</v>
      </c>
      <c r="L168" s="844">
        <f t="shared" si="45"/>
        <v>23</v>
      </c>
      <c r="M168" s="844">
        <f t="shared" si="45"/>
        <v>24</v>
      </c>
      <c r="N168" s="844">
        <f t="shared" si="45"/>
        <v>46</v>
      </c>
      <c r="O168" s="844">
        <f t="shared" si="45"/>
        <v>37</v>
      </c>
      <c r="P168" s="844">
        <f t="shared" si="45"/>
        <v>38</v>
      </c>
      <c r="Q168" s="844">
        <f t="shared" si="45"/>
        <v>33</v>
      </c>
      <c r="R168" s="844">
        <f t="shared" si="45"/>
        <v>23</v>
      </c>
      <c r="S168" s="844">
        <f t="shared" si="45"/>
        <v>32</v>
      </c>
      <c r="T168" s="844">
        <f t="shared" si="45"/>
        <v>29</v>
      </c>
      <c r="U168" s="844">
        <f t="shared" si="45"/>
        <v>31</v>
      </c>
      <c r="V168" s="844">
        <f t="shared" si="45"/>
        <v>23</v>
      </c>
      <c r="W168" s="844">
        <f t="shared" si="45"/>
        <v>27</v>
      </c>
      <c r="X168" s="844">
        <f t="shared" si="45"/>
        <v>26</v>
      </c>
      <c r="Y168" s="844">
        <f t="shared" si="45"/>
        <v>17</v>
      </c>
      <c r="Z168" s="844">
        <f t="shared" si="45"/>
        <v>17</v>
      </c>
      <c r="AA168" s="844">
        <f t="shared" si="45"/>
        <v>21</v>
      </c>
      <c r="AB168" s="844">
        <f t="shared" si="45"/>
        <v>13</v>
      </c>
      <c r="AC168" s="831">
        <v>15.0</v>
      </c>
      <c r="AD168" s="831">
        <v>18.0</v>
      </c>
      <c r="AE168" s="844">
        <f t="shared" ref="AE168:AF168" si="46">AE145-AE180</f>
        <v>20</v>
      </c>
      <c r="AF168" s="844">
        <f t="shared" si="46"/>
        <v>15</v>
      </c>
      <c r="AG168" s="768">
        <f t="shared" si="43"/>
        <v>776</v>
      </c>
    </row>
    <row r="169">
      <c r="A169" s="691" t="s">
        <v>153</v>
      </c>
      <c r="B169" s="844">
        <v>33.0</v>
      </c>
      <c r="C169" s="844">
        <v>43.0</v>
      </c>
      <c r="D169" s="844">
        <v>21.0</v>
      </c>
      <c r="E169" s="844">
        <f t="shared" si="44"/>
        <v>33</v>
      </c>
      <c r="F169" s="844">
        <f t="shared" ref="F169:AB169" si="47">F146-F181</f>
        <v>19</v>
      </c>
      <c r="G169" s="844">
        <f t="shared" si="47"/>
        <v>27</v>
      </c>
      <c r="H169" s="844">
        <f t="shared" si="47"/>
        <v>19</v>
      </c>
      <c r="I169" s="844">
        <f t="shared" si="47"/>
        <v>38</v>
      </c>
      <c r="J169" s="844">
        <f t="shared" si="47"/>
        <v>38</v>
      </c>
      <c r="K169" s="844">
        <f t="shared" si="47"/>
        <v>32</v>
      </c>
      <c r="L169" s="844">
        <f t="shared" si="47"/>
        <v>25</v>
      </c>
      <c r="M169" s="844">
        <f t="shared" si="47"/>
        <v>25</v>
      </c>
      <c r="N169" s="844">
        <f t="shared" si="47"/>
        <v>53</v>
      </c>
      <c r="O169" s="844">
        <f t="shared" si="47"/>
        <v>46</v>
      </c>
      <c r="P169" s="844">
        <f t="shared" si="47"/>
        <v>45</v>
      </c>
      <c r="Q169" s="844">
        <f t="shared" si="47"/>
        <v>32</v>
      </c>
      <c r="R169" s="844">
        <f t="shared" si="47"/>
        <v>18</v>
      </c>
      <c r="S169" s="844">
        <f t="shared" si="47"/>
        <v>32</v>
      </c>
      <c r="T169" s="844">
        <f t="shared" si="47"/>
        <v>25</v>
      </c>
      <c r="U169" s="844">
        <f t="shared" si="47"/>
        <v>33</v>
      </c>
      <c r="V169" s="844">
        <f t="shared" si="47"/>
        <v>31</v>
      </c>
      <c r="W169" s="844">
        <f t="shared" si="47"/>
        <v>27</v>
      </c>
      <c r="X169" s="844">
        <f t="shared" si="47"/>
        <v>35</v>
      </c>
      <c r="Y169" s="844">
        <f t="shared" si="47"/>
        <v>16</v>
      </c>
      <c r="Z169" s="844">
        <f t="shared" si="47"/>
        <v>14</v>
      </c>
      <c r="AA169" s="844">
        <f t="shared" si="47"/>
        <v>24</v>
      </c>
      <c r="AB169" s="844">
        <f t="shared" si="47"/>
        <v>13</v>
      </c>
      <c r="AC169" s="832">
        <v>17.0</v>
      </c>
      <c r="AD169" s="832">
        <v>11.0</v>
      </c>
      <c r="AE169" s="844">
        <f t="shared" ref="AE169:AF169" si="48">AE146-AE181</f>
        <v>23</v>
      </c>
      <c r="AF169" s="844">
        <f t="shared" si="48"/>
        <v>17</v>
      </c>
      <c r="AG169" s="768">
        <f t="shared" si="43"/>
        <v>865</v>
      </c>
    </row>
    <row r="170">
      <c r="A170" s="691" t="s">
        <v>127</v>
      </c>
      <c r="B170" s="844">
        <v>18.0</v>
      </c>
      <c r="C170" s="844">
        <v>19.0</v>
      </c>
      <c r="D170" s="844">
        <v>17.0</v>
      </c>
      <c r="E170" s="844">
        <f t="shared" si="44"/>
        <v>22</v>
      </c>
      <c r="F170" s="844">
        <f t="shared" ref="F170:AB170" si="49">F147-F182</f>
        <v>13</v>
      </c>
      <c r="G170" s="844">
        <f t="shared" si="49"/>
        <v>18</v>
      </c>
      <c r="H170" s="844">
        <f t="shared" si="49"/>
        <v>18</v>
      </c>
      <c r="I170" s="844">
        <f t="shared" si="49"/>
        <v>23</v>
      </c>
      <c r="J170" s="844">
        <f t="shared" si="49"/>
        <v>24</v>
      </c>
      <c r="K170" s="844">
        <f t="shared" si="49"/>
        <v>26</v>
      </c>
      <c r="L170" s="844">
        <f t="shared" si="49"/>
        <v>11</v>
      </c>
      <c r="M170" s="844">
        <f t="shared" si="49"/>
        <v>13</v>
      </c>
      <c r="N170" s="844">
        <f t="shared" si="49"/>
        <v>34</v>
      </c>
      <c r="O170" s="844">
        <f t="shared" si="49"/>
        <v>23</v>
      </c>
      <c r="P170" s="844">
        <f t="shared" si="49"/>
        <v>20</v>
      </c>
      <c r="Q170" s="844">
        <f t="shared" si="49"/>
        <v>15</v>
      </c>
      <c r="R170" s="844">
        <f t="shared" si="49"/>
        <v>14</v>
      </c>
      <c r="S170" s="844">
        <f t="shared" si="49"/>
        <v>19</v>
      </c>
      <c r="T170" s="844">
        <f t="shared" si="49"/>
        <v>10</v>
      </c>
      <c r="U170" s="844">
        <f t="shared" si="49"/>
        <v>21</v>
      </c>
      <c r="V170" s="844">
        <f t="shared" si="49"/>
        <v>15</v>
      </c>
      <c r="W170" s="844">
        <f t="shared" si="49"/>
        <v>15</v>
      </c>
      <c r="X170" s="844">
        <f t="shared" si="49"/>
        <v>17</v>
      </c>
      <c r="Y170" s="844">
        <f t="shared" si="49"/>
        <v>8</v>
      </c>
      <c r="Z170" s="844">
        <f t="shared" si="49"/>
        <v>17</v>
      </c>
      <c r="AA170" s="844">
        <f t="shared" si="49"/>
        <v>9</v>
      </c>
      <c r="AB170" s="844">
        <f t="shared" si="49"/>
        <v>10</v>
      </c>
      <c r="AC170" s="832">
        <v>10.0</v>
      </c>
      <c r="AD170" s="832">
        <v>20.0</v>
      </c>
      <c r="AE170" s="844">
        <f t="shared" ref="AE170:AF170" si="50">AE147-AE182</f>
        <v>13</v>
      </c>
      <c r="AF170" s="844">
        <f t="shared" si="50"/>
        <v>11</v>
      </c>
      <c r="AG170" s="768">
        <f t="shared" si="43"/>
        <v>523</v>
      </c>
    </row>
    <row r="171">
      <c r="A171" s="812" t="s">
        <v>151</v>
      </c>
      <c r="B171" s="838">
        <f t="shared" ref="B171:AE171" si="51">SUM(B166:B170)</f>
        <v>125</v>
      </c>
      <c r="C171" s="838">
        <f t="shared" si="51"/>
        <v>151</v>
      </c>
      <c r="D171" s="838">
        <f t="shared" si="51"/>
        <v>89</v>
      </c>
      <c r="E171" s="838">
        <f t="shared" si="51"/>
        <v>117</v>
      </c>
      <c r="F171" s="838">
        <f t="shared" si="51"/>
        <v>99</v>
      </c>
      <c r="G171" s="838">
        <f t="shared" si="51"/>
        <v>105</v>
      </c>
      <c r="H171" s="838">
        <f t="shared" si="51"/>
        <v>101</v>
      </c>
      <c r="I171" s="838">
        <f t="shared" si="51"/>
        <v>162</v>
      </c>
      <c r="J171" s="838">
        <f t="shared" si="51"/>
        <v>159</v>
      </c>
      <c r="K171" s="838">
        <f t="shared" si="51"/>
        <v>148</v>
      </c>
      <c r="L171" s="838">
        <f t="shared" si="51"/>
        <v>112</v>
      </c>
      <c r="M171" s="838">
        <f t="shared" si="51"/>
        <v>106</v>
      </c>
      <c r="N171" s="838">
        <f t="shared" si="51"/>
        <v>216</v>
      </c>
      <c r="O171" s="838">
        <f t="shared" si="51"/>
        <v>168</v>
      </c>
      <c r="P171" s="838">
        <f t="shared" si="51"/>
        <v>184</v>
      </c>
      <c r="Q171" s="838">
        <f t="shared" si="51"/>
        <v>156</v>
      </c>
      <c r="R171" s="838">
        <f t="shared" si="51"/>
        <v>84</v>
      </c>
      <c r="S171" s="838">
        <f t="shared" si="51"/>
        <v>159</v>
      </c>
      <c r="T171" s="838">
        <f t="shared" si="51"/>
        <v>105</v>
      </c>
      <c r="U171" s="838">
        <f t="shared" si="51"/>
        <v>141</v>
      </c>
      <c r="V171" s="838">
        <f t="shared" si="51"/>
        <v>114</v>
      </c>
      <c r="W171" s="838">
        <f t="shared" si="51"/>
        <v>125</v>
      </c>
      <c r="X171" s="838">
        <f t="shared" si="51"/>
        <v>130</v>
      </c>
      <c r="Y171" s="838">
        <f t="shared" si="51"/>
        <v>70</v>
      </c>
      <c r="Z171" s="838">
        <f t="shared" si="51"/>
        <v>84</v>
      </c>
      <c r="AA171" s="838">
        <f t="shared" si="51"/>
        <v>80</v>
      </c>
      <c r="AB171" s="838">
        <f t="shared" si="51"/>
        <v>74</v>
      </c>
      <c r="AC171" s="838">
        <f t="shared" si="51"/>
        <v>74</v>
      </c>
      <c r="AD171" s="838">
        <f t="shared" si="51"/>
        <v>89</v>
      </c>
      <c r="AE171" s="838">
        <f t="shared" si="51"/>
        <v>88</v>
      </c>
      <c r="AF171" s="838"/>
      <c r="AG171" s="768">
        <f t="shared" si="43"/>
        <v>3615</v>
      </c>
    </row>
    <row r="172">
      <c r="A172" s="835"/>
      <c r="AG172" s="768"/>
    </row>
    <row r="173">
      <c r="A173" s="648" t="s">
        <v>275</v>
      </c>
      <c r="AG173" s="768">
        <f t="shared" ref="AG173:AG176" si="52">sum(B173:AF173)</f>
        <v>0</v>
      </c>
    </row>
    <row r="174">
      <c r="A174" s="691" t="s">
        <v>106</v>
      </c>
      <c r="B174" s="844">
        <v>0.0</v>
      </c>
      <c r="C174" s="844">
        <v>0.0</v>
      </c>
      <c r="D174" s="844">
        <v>0.0</v>
      </c>
      <c r="E174" s="844">
        <v>0.0</v>
      </c>
      <c r="F174" s="844">
        <v>0.0</v>
      </c>
      <c r="G174" s="844">
        <v>2.0</v>
      </c>
      <c r="H174" s="844">
        <v>0.0</v>
      </c>
      <c r="I174" s="844">
        <v>0.0</v>
      </c>
      <c r="J174" s="844">
        <v>1.0</v>
      </c>
      <c r="K174" s="844">
        <v>3.0</v>
      </c>
      <c r="L174" s="844">
        <v>0.0</v>
      </c>
      <c r="M174" s="844">
        <v>0.0</v>
      </c>
      <c r="N174" s="844">
        <v>0.0</v>
      </c>
      <c r="O174" s="844">
        <v>3.0</v>
      </c>
      <c r="P174" s="844">
        <v>1.0</v>
      </c>
      <c r="Q174" s="844">
        <v>2.0</v>
      </c>
      <c r="R174" s="844">
        <v>1.0</v>
      </c>
      <c r="S174" s="844">
        <v>1.0</v>
      </c>
      <c r="T174" s="844">
        <v>0.0</v>
      </c>
      <c r="U174" s="844">
        <v>0.0</v>
      </c>
      <c r="V174" s="844">
        <v>2.0</v>
      </c>
      <c r="W174" s="844">
        <v>0.0</v>
      </c>
      <c r="X174" s="844">
        <v>1.0</v>
      </c>
      <c r="Y174" s="844">
        <v>0.0</v>
      </c>
      <c r="Z174" s="844">
        <v>1.0</v>
      </c>
      <c r="AA174" s="859">
        <v>0.0</v>
      </c>
      <c r="AB174" s="844">
        <v>0.0</v>
      </c>
      <c r="AC174" s="844">
        <v>0.0</v>
      </c>
      <c r="AD174" s="844">
        <v>0.0</v>
      </c>
      <c r="AE174" s="844">
        <v>0.0</v>
      </c>
      <c r="AF174" s="844">
        <v>1.0</v>
      </c>
      <c r="AG174" s="768">
        <f t="shared" si="52"/>
        <v>19</v>
      </c>
    </row>
    <row r="175">
      <c r="A175" s="691" t="s">
        <v>119</v>
      </c>
      <c r="B175" s="844">
        <v>0.0</v>
      </c>
      <c r="C175" s="844">
        <v>0.0</v>
      </c>
      <c r="D175" s="844">
        <v>1.0</v>
      </c>
      <c r="E175" s="844">
        <v>2.0</v>
      </c>
      <c r="F175" s="844">
        <v>3.0</v>
      </c>
      <c r="G175" s="844">
        <v>4.0</v>
      </c>
      <c r="H175" s="844">
        <v>0.0</v>
      </c>
      <c r="I175" s="844">
        <v>0.0</v>
      </c>
      <c r="J175" s="844">
        <v>0.0</v>
      </c>
      <c r="K175" s="844">
        <v>1.0</v>
      </c>
      <c r="L175" s="844">
        <v>3.0</v>
      </c>
      <c r="M175" s="844">
        <v>1.0</v>
      </c>
      <c r="N175" s="844">
        <v>5.0</v>
      </c>
      <c r="O175" s="844">
        <v>6.0</v>
      </c>
      <c r="P175" s="844">
        <v>5.0</v>
      </c>
      <c r="Q175" s="844">
        <v>4.0</v>
      </c>
      <c r="R175" s="844">
        <v>1.0</v>
      </c>
      <c r="S175" s="844">
        <v>8.0</v>
      </c>
      <c r="T175" s="844">
        <v>0.0</v>
      </c>
      <c r="U175" s="844">
        <v>4.0</v>
      </c>
      <c r="V175" s="844">
        <v>2.0</v>
      </c>
      <c r="W175" s="844">
        <v>2.0</v>
      </c>
      <c r="X175" s="844">
        <v>2.0</v>
      </c>
      <c r="Y175" s="844">
        <v>2.0</v>
      </c>
      <c r="Z175" s="844">
        <v>1.0</v>
      </c>
      <c r="AA175" s="859">
        <v>0.0</v>
      </c>
      <c r="AB175" s="844">
        <v>0.0</v>
      </c>
      <c r="AC175" s="844">
        <v>0.0</v>
      </c>
      <c r="AD175" s="844">
        <v>0.0</v>
      </c>
      <c r="AE175" s="844">
        <v>2.0</v>
      </c>
      <c r="AF175" s="844">
        <v>1.0</v>
      </c>
      <c r="AG175" s="768">
        <f t="shared" si="52"/>
        <v>60</v>
      </c>
    </row>
    <row r="176">
      <c r="A176" s="812" t="s">
        <v>725</v>
      </c>
      <c r="B176" s="838">
        <f t="shared" ref="B176:AE176" si="53">SUM(B174:B175)</f>
        <v>0</v>
      </c>
      <c r="C176" s="838">
        <f t="shared" si="53"/>
        <v>0</v>
      </c>
      <c r="D176" s="838">
        <f t="shared" si="53"/>
        <v>1</v>
      </c>
      <c r="E176" s="838">
        <f t="shared" si="53"/>
        <v>2</v>
      </c>
      <c r="F176" s="838">
        <f t="shared" si="53"/>
        <v>3</v>
      </c>
      <c r="G176" s="838">
        <f t="shared" si="53"/>
        <v>6</v>
      </c>
      <c r="H176" s="838">
        <f t="shared" si="53"/>
        <v>0</v>
      </c>
      <c r="I176" s="838">
        <f t="shared" si="53"/>
        <v>0</v>
      </c>
      <c r="J176" s="838">
        <f t="shared" si="53"/>
        <v>1</v>
      </c>
      <c r="K176" s="838">
        <f t="shared" si="53"/>
        <v>4</v>
      </c>
      <c r="L176" s="838">
        <f t="shared" si="53"/>
        <v>3</v>
      </c>
      <c r="M176" s="838">
        <f t="shared" si="53"/>
        <v>1</v>
      </c>
      <c r="N176" s="838">
        <f t="shared" si="53"/>
        <v>5</v>
      </c>
      <c r="O176" s="838">
        <f t="shared" si="53"/>
        <v>9</v>
      </c>
      <c r="P176" s="838">
        <f t="shared" si="53"/>
        <v>6</v>
      </c>
      <c r="Q176" s="838">
        <f t="shared" si="53"/>
        <v>6</v>
      </c>
      <c r="R176" s="838">
        <f t="shared" si="53"/>
        <v>2</v>
      </c>
      <c r="S176" s="838">
        <f t="shared" si="53"/>
        <v>9</v>
      </c>
      <c r="T176" s="838">
        <f t="shared" si="53"/>
        <v>0</v>
      </c>
      <c r="U176" s="838">
        <f t="shared" si="53"/>
        <v>4</v>
      </c>
      <c r="V176" s="838">
        <f t="shared" si="53"/>
        <v>4</v>
      </c>
      <c r="W176" s="838">
        <f t="shared" si="53"/>
        <v>2</v>
      </c>
      <c r="X176" s="838">
        <f t="shared" si="53"/>
        <v>3</v>
      </c>
      <c r="Y176" s="838">
        <f t="shared" si="53"/>
        <v>2</v>
      </c>
      <c r="Z176" s="838">
        <f t="shared" si="53"/>
        <v>2</v>
      </c>
      <c r="AA176" s="838">
        <f t="shared" si="53"/>
        <v>0</v>
      </c>
      <c r="AB176" s="838">
        <f t="shared" si="53"/>
        <v>0</v>
      </c>
      <c r="AC176" s="838">
        <f t="shared" si="53"/>
        <v>0</v>
      </c>
      <c r="AD176" s="838">
        <f t="shared" si="53"/>
        <v>0</v>
      </c>
      <c r="AE176" s="838">
        <f t="shared" si="53"/>
        <v>2</v>
      </c>
      <c r="AF176" s="838"/>
      <c r="AG176" s="768">
        <f t="shared" si="52"/>
        <v>77</v>
      </c>
    </row>
    <row r="177">
      <c r="A177" s="42"/>
      <c r="AG177" s="768"/>
    </row>
    <row r="178">
      <c r="A178" s="691" t="s">
        <v>121</v>
      </c>
      <c r="B178" s="844">
        <v>0.0</v>
      </c>
      <c r="C178" s="844">
        <v>0.0</v>
      </c>
      <c r="D178" s="844">
        <v>0.0</v>
      </c>
      <c r="E178" s="844">
        <v>2.0</v>
      </c>
      <c r="F178" s="844">
        <v>1.0</v>
      </c>
      <c r="G178" s="844">
        <v>0.0</v>
      </c>
      <c r="H178" s="844">
        <v>0.0</v>
      </c>
      <c r="I178" s="844">
        <v>0.0</v>
      </c>
      <c r="J178" s="844">
        <v>0.0</v>
      </c>
      <c r="K178" s="844">
        <v>0.0</v>
      </c>
      <c r="L178" s="844">
        <v>2.0</v>
      </c>
      <c r="M178" s="844">
        <v>1.0</v>
      </c>
      <c r="N178" s="844">
        <v>0.0</v>
      </c>
      <c r="O178" s="844">
        <v>4.0</v>
      </c>
      <c r="P178" s="844">
        <v>4.0</v>
      </c>
      <c r="Q178" s="844">
        <v>3.0</v>
      </c>
      <c r="R178" s="844">
        <v>3.0</v>
      </c>
      <c r="S178" s="844">
        <v>0.0</v>
      </c>
      <c r="T178" s="844">
        <v>3.0</v>
      </c>
      <c r="U178" s="844">
        <v>2.0</v>
      </c>
      <c r="V178" s="844">
        <v>2.0</v>
      </c>
      <c r="W178" s="844">
        <v>1.0</v>
      </c>
      <c r="X178" s="844">
        <v>3.0</v>
      </c>
      <c r="Y178" s="844">
        <v>6.0</v>
      </c>
      <c r="Z178" s="844">
        <v>1.0</v>
      </c>
      <c r="AA178" s="844">
        <v>0.0</v>
      </c>
      <c r="AB178" s="844">
        <v>1.0</v>
      </c>
      <c r="AC178" s="844">
        <v>0.0</v>
      </c>
      <c r="AD178" s="844">
        <v>0.0</v>
      </c>
      <c r="AE178" s="844">
        <v>1.0</v>
      </c>
      <c r="AF178" s="844">
        <v>6.0</v>
      </c>
      <c r="AG178" s="768">
        <f t="shared" ref="AG178:AG183" si="54">sum(B178:AF178)</f>
        <v>46</v>
      </c>
    </row>
    <row r="179">
      <c r="A179" s="691" t="s">
        <v>129</v>
      </c>
      <c r="B179" s="844">
        <v>0.0</v>
      </c>
      <c r="C179" s="844">
        <v>0.0</v>
      </c>
      <c r="D179" s="844">
        <v>0.0</v>
      </c>
      <c r="E179" s="844">
        <v>0.0</v>
      </c>
      <c r="F179" s="844">
        <v>0.0</v>
      </c>
      <c r="G179" s="844">
        <v>0.0</v>
      </c>
      <c r="H179" s="844">
        <v>0.0</v>
      </c>
      <c r="I179" s="844">
        <v>0.0</v>
      </c>
      <c r="J179" s="844">
        <v>0.0</v>
      </c>
      <c r="K179" s="844">
        <v>0.0</v>
      </c>
      <c r="L179" s="844">
        <v>0.0</v>
      </c>
      <c r="M179" s="844">
        <v>0.0</v>
      </c>
      <c r="N179" s="844">
        <v>0.0</v>
      </c>
      <c r="O179" s="844">
        <v>0.0</v>
      </c>
      <c r="P179" s="844">
        <v>0.0</v>
      </c>
      <c r="Q179" s="844">
        <v>0.0</v>
      </c>
      <c r="R179" s="844">
        <v>0.0</v>
      </c>
      <c r="S179" s="844">
        <v>0.0</v>
      </c>
      <c r="T179" s="844">
        <v>0.0</v>
      </c>
      <c r="U179" s="844">
        <v>0.0</v>
      </c>
      <c r="V179" s="844">
        <v>0.0</v>
      </c>
      <c r="W179" s="844">
        <v>0.0</v>
      </c>
      <c r="X179" s="844">
        <v>0.0</v>
      </c>
      <c r="Y179" s="844">
        <v>0.0</v>
      </c>
      <c r="Z179" s="844">
        <v>0.0</v>
      </c>
      <c r="AA179" s="844">
        <v>0.0</v>
      </c>
      <c r="AB179" s="844">
        <v>0.0</v>
      </c>
      <c r="AC179" s="844">
        <v>0.0</v>
      </c>
      <c r="AD179" s="844">
        <v>0.0</v>
      </c>
      <c r="AE179" s="844">
        <v>0.0</v>
      </c>
      <c r="AF179" s="844">
        <v>0.0</v>
      </c>
      <c r="AG179" s="768">
        <f t="shared" si="54"/>
        <v>0</v>
      </c>
    </row>
    <row r="180">
      <c r="A180" s="691" t="s">
        <v>137</v>
      </c>
      <c r="B180" s="844">
        <v>0.0</v>
      </c>
      <c r="C180" s="844">
        <v>0.0</v>
      </c>
      <c r="D180" s="844">
        <v>1.0</v>
      </c>
      <c r="E180" s="844">
        <v>1.0</v>
      </c>
      <c r="F180" s="844">
        <v>2.0</v>
      </c>
      <c r="G180" s="844">
        <v>0.0</v>
      </c>
      <c r="H180" s="844">
        <v>0.0</v>
      </c>
      <c r="I180" s="844">
        <v>0.0</v>
      </c>
      <c r="J180" s="844">
        <v>0.0</v>
      </c>
      <c r="K180" s="844">
        <v>1.0</v>
      </c>
      <c r="L180" s="844">
        <v>0.0</v>
      </c>
      <c r="M180" s="844">
        <v>0.0</v>
      </c>
      <c r="N180" s="844">
        <v>2.0</v>
      </c>
      <c r="O180" s="844">
        <v>1.0</v>
      </c>
      <c r="P180" s="844">
        <v>1.0</v>
      </c>
      <c r="Q180" s="844">
        <v>4.0</v>
      </c>
      <c r="R180" s="844">
        <v>1.0</v>
      </c>
      <c r="S180" s="844">
        <v>3.0</v>
      </c>
      <c r="T180" s="844">
        <v>4.0</v>
      </c>
      <c r="U180" s="844">
        <v>1.0</v>
      </c>
      <c r="V180" s="844">
        <v>2.0</v>
      </c>
      <c r="W180" s="844">
        <v>0.0</v>
      </c>
      <c r="X180" s="844">
        <v>0.0</v>
      </c>
      <c r="Y180" s="844">
        <v>6.0</v>
      </c>
      <c r="Z180" s="844">
        <v>0.0</v>
      </c>
      <c r="AA180" s="844">
        <v>0.0</v>
      </c>
      <c r="AB180" s="844">
        <v>1.0</v>
      </c>
      <c r="AC180" s="844">
        <v>0.0</v>
      </c>
      <c r="AD180" s="844">
        <v>0.0</v>
      </c>
      <c r="AE180" s="844">
        <v>3.0</v>
      </c>
      <c r="AF180" s="844">
        <v>0.0</v>
      </c>
      <c r="AG180" s="768">
        <f t="shared" si="54"/>
        <v>34</v>
      </c>
    </row>
    <row r="181">
      <c r="A181" s="691" t="s">
        <v>153</v>
      </c>
      <c r="B181" s="844">
        <v>0.0</v>
      </c>
      <c r="C181" s="844">
        <v>0.0</v>
      </c>
      <c r="D181" s="844">
        <v>1.0</v>
      </c>
      <c r="E181" s="844">
        <v>1.0</v>
      </c>
      <c r="F181" s="844">
        <v>2.0</v>
      </c>
      <c r="G181" s="844">
        <v>0.0</v>
      </c>
      <c r="H181" s="844">
        <v>0.0</v>
      </c>
      <c r="I181" s="844">
        <v>0.0</v>
      </c>
      <c r="J181" s="844">
        <v>0.0</v>
      </c>
      <c r="K181" s="844">
        <v>4.0</v>
      </c>
      <c r="L181" s="844">
        <v>0.0</v>
      </c>
      <c r="M181" s="844">
        <v>0.0</v>
      </c>
      <c r="N181" s="844">
        <v>2.0</v>
      </c>
      <c r="O181" s="844">
        <v>1.0</v>
      </c>
      <c r="P181" s="844">
        <v>3.0</v>
      </c>
      <c r="Q181" s="844">
        <v>4.0</v>
      </c>
      <c r="R181" s="844">
        <v>0.0</v>
      </c>
      <c r="S181" s="844">
        <v>1.0</v>
      </c>
      <c r="T181" s="844">
        <v>5.0</v>
      </c>
      <c r="U181" s="844">
        <v>0.0</v>
      </c>
      <c r="V181" s="844">
        <v>4.0</v>
      </c>
      <c r="W181" s="844">
        <v>2.0</v>
      </c>
      <c r="X181" s="844">
        <v>0.0</v>
      </c>
      <c r="Y181" s="844">
        <v>4.0</v>
      </c>
      <c r="Z181" s="844">
        <v>0.0</v>
      </c>
      <c r="AA181" s="844">
        <v>0.0</v>
      </c>
      <c r="AB181" s="844">
        <v>1.0</v>
      </c>
      <c r="AC181" s="844">
        <v>0.0</v>
      </c>
      <c r="AD181" s="844">
        <v>0.0</v>
      </c>
      <c r="AE181" s="844">
        <v>0.0</v>
      </c>
      <c r="AF181" s="844">
        <v>0.0</v>
      </c>
      <c r="AG181" s="768">
        <f t="shared" si="54"/>
        <v>35</v>
      </c>
    </row>
    <row r="182">
      <c r="A182" s="691" t="s">
        <v>127</v>
      </c>
      <c r="B182" s="844">
        <v>0.0</v>
      </c>
      <c r="C182" s="844">
        <v>0.0</v>
      </c>
      <c r="D182" s="844">
        <v>0.0</v>
      </c>
      <c r="E182" s="844">
        <v>1.0</v>
      </c>
      <c r="F182" s="844">
        <v>0.0</v>
      </c>
      <c r="G182" s="844">
        <v>0.0</v>
      </c>
      <c r="H182" s="844">
        <v>0.0</v>
      </c>
      <c r="I182" s="844">
        <v>0.0</v>
      </c>
      <c r="J182" s="844">
        <v>1.0</v>
      </c>
      <c r="K182" s="844">
        <v>1.0</v>
      </c>
      <c r="L182" s="844">
        <v>1.0</v>
      </c>
      <c r="M182" s="844">
        <v>1.0</v>
      </c>
      <c r="N182" s="844">
        <v>1.0</v>
      </c>
      <c r="O182" s="844">
        <v>1.0</v>
      </c>
      <c r="P182" s="844">
        <v>2.0</v>
      </c>
      <c r="Q182" s="844">
        <v>2.0</v>
      </c>
      <c r="R182" s="844">
        <v>2.0</v>
      </c>
      <c r="S182" s="844">
        <v>0.0</v>
      </c>
      <c r="T182" s="844">
        <v>0.0</v>
      </c>
      <c r="U182" s="844">
        <v>0.0</v>
      </c>
      <c r="V182" s="844">
        <v>1.0</v>
      </c>
      <c r="W182" s="844">
        <v>1.0</v>
      </c>
      <c r="X182" s="844">
        <v>3.0</v>
      </c>
      <c r="Y182" s="844">
        <v>2.0</v>
      </c>
      <c r="Z182" s="844">
        <v>0.0</v>
      </c>
      <c r="AA182" s="844">
        <v>2.0</v>
      </c>
      <c r="AB182" s="844">
        <v>0.0</v>
      </c>
      <c r="AC182" s="844">
        <v>0.0</v>
      </c>
      <c r="AD182" s="844">
        <v>0.0</v>
      </c>
      <c r="AE182" s="844">
        <v>3.0</v>
      </c>
      <c r="AF182" s="844">
        <v>0.0</v>
      </c>
      <c r="AG182" s="768">
        <f t="shared" si="54"/>
        <v>25</v>
      </c>
    </row>
    <row r="183">
      <c r="A183" s="812" t="s">
        <v>151</v>
      </c>
      <c r="B183" s="838">
        <f t="shared" ref="B183:AE183" si="55">SUM(B178:B182)</f>
        <v>0</v>
      </c>
      <c r="C183" s="838">
        <f t="shared" si="55"/>
        <v>0</v>
      </c>
      <c r="D183" s="838">
        <f t="shared" si="55"/>
        <v>2</v>
      </c>
      <c r="E183" s="838">
        <f t="shared" si="55"/>
        <v>5</v>
      </c>
      <c r="F183" s="838">
        <f t="shared" si="55"/>
        <v>5</v>
      </c>
      <c r="G183" s="838">
        <f t="shared" si="55"/>
        <v>0</v>
      </c>
      <c r="H183" s="838">
        <f t="shared" si="55"/>
        <v>0</v>
      </c>
      <c r="I183" s="838">
        <f t="shared" si="55"/>
        <v>0</v>
      </c>
      <c r="J183" s="838">
        <f t="shared" si="55"/>
        <v>1</v>
      </c>
      <c r="K183" s="838">
        <f t="shared" si="55"/>
        <v>6</v>
      </c>
      <c r="L183" s="838">
        <f t="shared" si="55"/>
        <v>3</v>
      </c>
      <c r="M183" s="838">
        <f t="shared" si="55"/>
        <v>2</v>
      </c>
      <c r="N183" s="838">
        <f t="shared" si="55"/>
        <v>5</v>
      </c>
      <c r="O183" s="838">
        <f t="shared" si="55"/>
        <v>7</v>
      </c>
      <c r="P183" s="838">
        <f t="shared" si="55"/>
        <v>10</v>
      </c>
      <c r="Q183" s="838">
        <f t="shared" si="55"/>
        <v>13</v>
      </c>
      <c r="R183" s="838">
        <f t="shared" si="55"/>
        <v>6</v>
      </c>
      <c r="S183" s="838">
        <f t="shared" si="55"/>
        <v>4</v>
      </c>
      <c r="T183" s="838">
        <f t="shared" si="55"/>
        <v>12</v>
      </c>
      <c r="U183" s="838">
        <f t="shared" si="55"/>
        <v>3</v>
      </c>
      <c r="V183" s="838">
        <f t="shared" si="55"/>
        <v>9</v>
      </c>
      <c r="W183" s="838">
        <f t="shared" si="55"/>
        <v>4</v>
      </c>
      <c r="X183" s="838">
        <f t="shared" si="55"/>
        <v>6</v>
      </c>
      <c r="Y183" s="838">
        <f t="shared" si="55"/>
        <v>18</v>
      </c>
      <c r="Z183" s="838">
        <f t="shared" si="55"/>
        <v>1</v>
      </c>
      <c r="AA183" s="838">
        <f t="shared" si="55"/>
        <v>2</v>
      </c>
      <c r="AB183" s="838">
        <f t="shared" si="55"/>
        <v>3</v>
      </c>
      <c r="AC183" s="838">
        <f t="shared" si="55"/>
        <v>0</v>
      </c>
      <c r="AD183" s="838">
        <f t="shared" si="55"/>
        <v>0</v>
      </c>
      <c r="AE183" s="838">
        <f t="shared" si="55"/>
        <v>7</v>
      </c>
      <c r="AF183" s="838"/>
      <c r="AG183" s="768">
        <f t="shared" si="54"/>
        <v>134</v>
      </c>
    </row>
    <row r="184">
      <c r="A184" s="835"/>
      <c r="AG184" s="768"/>
    </row>
    <row r="185">
      <c r="A185" s="648" t="s">
        <v>286</v>
      </c>
      <c r="B185" s="294"/>
      <c r="C185" s="327"/>
      <c r="D185" s="327"/>
      <c r="E185" s="327"/>
      <c r="F185" s="327"/>
      <c r="G185" s="327"/>
      <c r="H185" s="327"/>
      <c r="I185" s="327"/>
      <c r="J185" s="327"/>
      <c r="K185" s="327"/>
      <c r="L185" s="327"/>
      <c r="M185" s="327"/>
      <c r="N185" s="327"/>
      <c r="O185" s="327"/>
      <c r="P185" s="327"/>
      <c r="Q185" s="327"/>
      <c r="R185" s="327"/>
      <c r="S185" s="327"/>
      <c r="T185" s="327"/>
      <c r="U185" s="327"/>
      <c r="V185" s="327"/>
      <c r="W185" s="327"/>
      <c r="X185" s="327"/>
      <c r="Y185" s="327"/>
      <c r="Z185" s="327"/>
      <c r="AA185" s="327"/>
      <c r="AB185" s="327"/>
      <c r="AC185" s="327"/>
      <c r="AD185" s="327"/>
      <c r="AE185" s="327"/>
      <c r="AF185" s="327"/>
      <c r="AG185" s="768"/>
    </row>
    <row r="186">
      <c r="A186" s="691" t="s">
        <v>106</v>
      </c>
      <c r="B186" s="871">
        <f t="shared" ref="B186:AF186" si="56">B139-B288</f>
        <v>37</v>
      </c>
      <c r="C186" s="871">
        <f t="shared" si="56"/>
        <v>57</v>
      </c>
      <c r="D186" s="871">
        <f t="shared" si="56"/>
        <v>45</v>
      </c>
      <c r="E186" s="871">
        <f t="shared" si="56"/>
        <v>38</v>
      </c>
      <c r="F186" s="871">
        <f t="shared" si="56"/>
        <v>43</v>
      </c>
      <c r="G186" s="871">
        <f t="shared" si="56"/>
        <v>47</v>
      </c>
      <c r="H186" s="871">
        <f t="shared" si="56"/>
        <v>63</v>
      </c>
      <c r="I186" s="871">
        <f t="shared" si="56"/>
        <v>53</v>
      </c>
      <c r="J186" s="871">
        <f t="shared" si="56"/>
        <v>51</v>
      </c>
      <c r="K186" s="871">
        <f t="shared" si="56"/>
        <v>60</v>
      </c>
      <c r="L186" s="871">
        <f t="shared" si="56"/>
        <v>54</v>
      </c>
      <c r="M186" s="871">
        <f t="shared" si="56"/>
        <v>57</v>
      </c>
      <c r="N186" s="871">
        <f t="shared" si="56"/>
        <v>60</v>
      </c>
      <c r="O186" s="872">
        <f t="shared" si="56"/>
        <v>70</v>
      </c>
      <c r="P186" s="871">
        <f t="shared" si="56"/>
        <v>62</v>
      </c>
      <c r="Q186" s="871">
        <f t="shared" si="56"/>
        <v>72</v>
      </c>
      <c r="R186" s="871">
        <f t="shared" si="56"/>
        <v>27</v>
      </c>
      <c r="S186" s="871">
        <f t="shared" si="56"/>
        <v>55</v>
      </c>
      <c r="T186" s="871">
        <f t="shared" si="56"/>
        <v>43</v>
      </c>
      <c r="U186" s="871">
        <f t="shared" si="56"/>
        <v>46</v>
      </c>
      <c r="V186" s="871">
        <f t="shared" si="56"/>
        <v>47</v>
      </c>
      <c r="W186" s="871">
        <f t="shared" si="56"/>
        <v>29</v>
      </c>
      <c r="X186" s="871">
        <f t="shared" si="56"/>
        <v>26</v>
      </c>
      <c r="Y186" s="871">
        <f t="shared" si="56"/>
        <v>13</v>
      </c>
      <c r="Z186" s="872">
        <f t="shared" si="56"/>
        <v>24</v>
      </c>
      <c r="AA186" s="871">
        <f t="shared" si="56"/>
        <v>23</v>
      </c>
      <c r="AB186" s="871">
        <f t="shared" si="56"/>
        <v>34</v>
      </c>
      <c r="AC186" s="872">
        <f t="shared" si="56"/>
        <v>30</v>
      </c>
      <c r="AD186" s="872">
        <f t="shared" si="56"/>
        <v>17</v>
      </c>
      <c r="AE186" s="872">
        <f t="shared" si="56"/>
        <v>26</v>
      </c>
      <c r="AF186" s="872">
        <f t="shared" si="56"/>
        <v>17</v>
      </c>
      <c r="AG186" s="768">
        <f t="shared" ref="AG186:AG188" si="58">sum(B186:AF186)</f>
        <v>1326</v>
      </c>
    </row>
    <row r="187">
      <c r="A187" s="691" t="s">
        <v>119</v>
      </c>
      <c r="B187" s="871">
        <f t="shared" ref="B187:AF187" si="57">B140-B289</f>
        <v>90</v>
      </c>
      <c r="C187" s="871">
        <f t="shared" si="57"/>
        <v>92</v>
      </c>
      <c r="D187" s="871">
        <f t="shared" si="57"/>
        <v>89</v>
      </c>
      <c r="E187" s="871">
        <f t="shared" si="57"/>
        <v>105</v>
      </c>
      <c r="F187" s="871">
        <f t="shared" si="57"/>
        <v>94</v>
      </c>
      <c r="G187" s="871">
        <f t="shared" si="57"/>
        <v>103</v>
      </c>
      <c r="H187" s="871">
        <f t="shared" si="57"/>
        <v>103</v>
      </c>
      <c r="I187" s="871">
        <f t="shared" si="57"/>
        <v>133</v>
      </c>
      <c r="J187" s="871">
        <f t="shared" si="57"/>
        <v>122</v>
      </c>
      <c r="K187" s="871">
        <f t="shared" si="57"/>
        <v>106</v>
      </c>
      <c r="L187" s="871">
        <f t="shared" si="57"/>
        <v>120</v>
      </c>
      <c r="M187" s="871">
        <f t="shared" si="57"/>
        <v>122</v>
      </c>
      <c r="N187" s="871">
        <f t="shared" si="57"/>
        <v>221</v>
      </c>
      <c r="O187" s="872">
        <f t="shared" si="57"/>
        <v>187</v>
      </c>
      <c r="P187" s="871">
        <f t="shared" si="57"/>
        <v>152</v>
      </c>
      <c r="Q187" s="871">
        <f t="shared" si="57"/>
        <v>143</v>
      </c>
      <c r="R187" s="871">
        <f t="shared" si="57"/>
        <v>85</v>
      </c>
      <c r="S187" s="871">
        <f t="shared" si="57"/>
        <v>147</v>
      </c>
      <c r="T187" s="871">
        <f t="shared" si="57"/>
        <v>106</v>
      </c>
      <c r="U187" s="871">
        <f t="shared" si="57"/>
        <v>120</v>
      </c>
      <c r="V187" s="871">
        <f t="shared" si="57"/>
        <v>100</v>
      </c>
      <c r="W187" s="871">
        <f t="shared" si="57"/>
        <v>112</v>
      </c>
      <c r="X187" s="871">
        <f t="shared" si="57"/>
        <v>95</v>
      </c>
      <c r="Y187" s="871">
        <f t="shared" si="57"/>
        <v>74</v>
      </c>
      <c r="Z187" s="871">
        <f t="shared" si="57"/>
        <v>81</v>
      </c>
      <c r="AA187" s="871">
        <f t="shared" si="57"/>
        <v>77</v>
      </c>
      <c r="AB187" s="871">
        <f t="shared" si="57"/>
        <v>81</v>
      </c>
      <c r="AC187" s="871">
        <f t="shared" si="57"/>
        <v>72</v>
      </c>
      <c r="AD187" s="871">
        <f t="shared" si="57"/>
        <v>80</v>
      </c>
      <c r="AE187" s="871">
        <f t="shared" si="57"/>
        <v>71</v>
      </c>
      <c r="AF187" s="871">
        <f t="shared" si="57"/>
        <v>86</v>
      </c>
      <c r="AG187" s="768">
        <f t="shared" si="58"/>
        <v>3369</v>
      </c>
    </row>
    <row r="188">
      <c r="A188" s="812" t="s">
        <v>725</v>
      </c>
      <c r="B188" s="813">
        <f t="shared" ref="B188:AF188" si="59">SUM(B186:B187)</f>
        <v>127</v>
      </c>
      <c r="C188" s="813">
        <f t="shared" si="59"/>
        <v>149</v>
      </c>
      <c r="D188" s="813">
        <f t="shared" si="59"/>
        <v>134</v>
      </c>
      <c r="E188" s="813">
        <f t="shared" si="59"/>
        <v>143</v>
      </c>
      <c r="F188" s="813">
        <f t="shared" si="59"/>
        <v>137</v>
      </c>
      <c r="G188" s="813">
        <f t="shared" si="59"/>
        <v>150</v>
      </c>
      <c r="H188" s="813">
        <f t="shared" si="59"/>
        <v>166</v>
      </c>
      <c r="I188" s="813">
        <f t="shared" si="59"/>
        <v>186</v>
      </c>
      <c r="J188" s="813">
        <f t="shared" si="59"/>
        <v>173</v>
      </c>
      <c r="K188" s="813">
        <f t="shared" si="59"/>
        <v>166</v>
      </c>
      <c r="L188" s="813">
        <f t="shared" si="59"/>
        <v>174</v>
      </c>
      <c r="M188" s="813">
        <f t="shared" si="59"/>
        <v>179</v>
      </c>
      <c r="N188" s="813">
        <f t="shared" si="59"/>
        <v>281</v>
      </c>
      <c r="O188" s="813">
        <f t="shared" si="59"/>
        <v>257</v>
      </c>
      <c r="P188" s="813">
        <f t="shared" si="59"/>
        <v>214</v>
      </c>
      <c r="Q188" s="813">
        <f t="shared" si="59"/>
        <v>215</v>
      </c>
      <c r="R188" s="813">
        <f t="shared" si="59"/>
        <v>112</v>
      </c>
      <c r="S188" s="813">
        <f t="shared" si="59"/>
        <v>202</v>
      </c>
      <c r="T188" s="813">
        <f t="shared" si="59"/>
        <v>149</v>
      </c>
      <c r="U188" s="813">
        <f t="shared" si="59"/>
        <v>166</v>
      </c>
      <c r="V188" s="813">
        <f t="shared" si="59"/>
        <v>147</v>
      </c>
      <c r="W188" s="813">
        <f t="shared" si="59"/>
        <v>141</v>
      </c>
      <c r="X188" s="813">
        <f t="shared" si="59"/>
        <v>121</v>
      </c>
      <c r="Y188" s="813">
        <f t="shared" si="59"/>
        <v>87</v>
      </c>
      <c r="Z188" s="813">
        <f t="shared" si="59"/>
        <v>105</v>
      </c>
      <c r="AA188" s="813">
        <f t="shared" si="59"/>
        <v>100</v>
      </c>
      <c r="AB188" s="813">
        <f t="shared" si="59"/>
        <v>115</v>
      </c>
      <c r="AC188" s="813">
        <f t="shared" si="59"/>
        <v>102</v>
      </c>
      <c r="AD188" s="813">
        <f t="shared" si="59"/>
        <v>97</v>
      </c>
      <c r="AE188" s="813">
        <f t="shared" si="59"/>
        <v>97</v>
      </c>
      <c r="AF188" s="813">
        <f t="shared" si="59"/>
        <v>103</v>
      </c>
      <c r="AG188" s="768">
        <f t="shared" si="58"/>
        <v>4695</v>
      </c>
    </row>
    <row r="189">
      <c r="A189" s="42"/>
      <c r="B189" s="823"/>
      <c r="C189" s="823"/>
      <c r="D189" s="823"/>
      <c r="E189" s="823"/>
      <c r="F189" s="823"/>
      <c r="G189" s="823"/>
      <c r="H189" s="823"/>
      <c r="I189" s="823"/>
      <c r="J189" s="327"/>
      <c r="K189" s="327"/>
      <c r="L189" s="327"/>
      <c r="M189" s="327"/>
      <c r="N189" s="327"/>
      <c r="O189" s="327"/>
      <c r="P189" s="327"/>
      <c r="Q189" s="327"/>
      <c r="R189" s="327"/>
      <c r="S189" s="327"/>
      <c r="T189" s="327"/>
      <c r="U189" s="327"/>
      <c r="V189" s="327"/>
      <c r="W189" s="327"/>
      <c r="X189" s="327"/>
      <c r="Y189" s="327"/>
      <c r="Z189" s="327"/>
      <c r="AA189" s="327"/>
      <c r="AB189" s="327"/>
      <c r="AC189" s="327"/>
      <c r="AD189" s="327"/>
      <c r="AE189" s="327"/>
      <c r="AF189" s="327"/>
      <c r="AG189" s="768"/>
    </row>
    <row r="190">
      <c r="A190" s="691" t="s">
        <v>121</v>
      </c>
      <c r="B190" s="300">
        <f t="shared" ref="B190:AF190" si="60">B143-B291-B298-B305</f>
        <v>50</v>
      </c>
      <c r="C190" s="300">
        <f t="shared" si="60"/>
        <v>52</v>
      </c>
      <c r="D190" s="300">
        <f t="shared" si="60"/>
        <v>32</v>
      </c>
      <c r="E190" s="300">
        <f t="shared" si="60"/>
        <v>37</v>
      </c>
      <c r="F190" s="300">
        <f t="shared" si="60"/>
        <v>43</v>
      </c>
      <c r="G190" s="300">
        <f t="shared" si="60"/>
        <v>41</v>
      </c>
      <c r="H190" s="300">
        <f t="shared" si="60"/>
        <v>48</v>
      </c>
      <c r="I190" s="300">
        <f t="shared" si="60"/>
        <v>70</v>
      </c>
      <c r="J190" s="300">
        <f t="shared" si="60"/>
        <v>72</v>
      </c>
      <c r="K190" s="300">
        <f t="shared" si="60"/>
        <v>62</v>
      </c>
      <c r="L190" s="300">
        <f t="shared" si="60"/>
        <v>55</v>
      </c>
      <c r="M190" s="300">
        <f t="shared" si="60"/>
        <v>45</v>
      </c>
      <c r="N190" s="300">
        <f t="shared" si="60"/>
        <v>83</v>
      </c>
      <c r="O190" s="300">
        <f t="shared" si="60"/>
        <v>66</v>
      </c>
      <c r="P190" s="300">
        <f t="shared" si="60"/>
        <v>85</v>
      </c>
      <c r="Q190" s="300">
        <f t="shared" si="60"/>
        <v>79</v>
      </c>
      <c r="R190" s="300">
        <f t="shared" si="60"/>
        <v>32</v>
      </c>
      <c r="S190" s="300">
        <f t="shared" si="60"/>
        <v>73</v>
      </c>
      <c r="T190" s="300">
        <f t="shared" si="60"/>
        <v>43</v>
      </c>
      <c r="U190" s="300">
        <f t="shared" si="60"/>
        <v>58</v>
      </c>
      <c r="V190" s="300">
        <f t="shared" si="60"/>
        <v>46</v>
      </c>
      <c r="W190" s="300">
        <f t="shared" si="60"/>
        <v>57</v>
      </c>
      <c r="X190" s="300">
        <f t="shared" si="60"/>
        <v>55</v>
      </c>
      <c r="Y190" s="300">
        <f t="shared" si="60"/>
        <v>34</v>
      </c>
      <c r="Z190" s="300">
        <f t="shared" si="60"/>
        <v>37</v>
      </c>
      <c r="AA190" s="300">
        <f t="shared" si="60"/>
        <v>24</v>
      </c>
      <c r="AB190" s="300">
        <f t="shared" si="60"/>
        <v>39</v>
      </c>
      <c r="AC190" s="300">
        <f t="shared" si="60"/>
        <v>28</v>
      </c>
      <c r="AD190" s="300">
        <f t="shared" si="60"/>
        <v>37</v>
      </c>
      <c r="AE190" s="300">
        <f t="shared" si="60"/>
        <v>29</v>
      </c>
      <c r="AF190" s="300">
        <f t="shared" si="60"/>
        <v>31</v>
      </c>
      <c r="AG190" s="768">
        <f t="shared" ref="AG190:AG195" si="62">sum(B190:AF190)</f>
        <v>1543</v>
      </c>
    </row>
    <row r="191">
      <c r="A191" s="691" t="s">
        <v>129</v>
      </c>
      <c r="B191" s="300">
        <f t="shared" ref="B191:AF191" si="61">B144-B292-B299-B306</f>
        <v>0</v>
      </c>
      <c r="C191" s="300">
        <f t="shared" si="61"/>
        <v>0</v>
      </c>
      <c r="D191" s="300">
        <f t="shared" si="61"/>
        <v>0</v>
      </c>
      <c r="E191" s="300">
        <f t="shared" si="61"/>
        <v>0</v>
      </c>
      <c r="F191" s="300">
        <f t="shared" si="61"/>
        <v>0</v>
      </c>
      <c r="G191" s="300">
        <f t="shared" si="61"/>
        <v>0</v>
      </c>
      <c r="H191" s="300">
        <f t="shared" si="61"/>
        <v>0</v>
      </c>
      <c r="I191" s="300">
        <f t="shared" si="61"/>
        <v>0</v>
      </c>
      <c r="J191" s="300">
        <f t="shared" si="61"/>
        <v>0</v>
      </c>
      <c r="K191" s="300">
        <f t="shared" si="61"/>
        <v>0</v>
      </c>
      <c r="L191" s="300">
        <f t="shared" si="61"/>
        <v>0</v>
      </c>
      <c r="M191" s="300">
        <f t="shared" si="61"/>
        <v>0</v>
      </c>
      <c r="N191" s="300">
        <f t="shared" si="61"/>
        <v>0</v>
      </c>
      <c r="O191" s="300">
        <f t="shared" si="61"/>
        <v>0</v>
      </c>
      <c r="P191" s="300">
        <f t="shared" si="61"/>
        <v>0</v>
      </c>
      <c r="Q191" s="300">
        <f t="shared" si="61"/>
        <v>0</v>
      </c>
      <c r="R191" s="300">
        <f t="shared" si="61"/>
        <v>0</v>
      </c>
      <c r="S191" s="300">
        <f t="shared" si="61"/>
        <v>0</v>
      </c>
      <c r="T191" s="300">
        <f t="shared" si="61"/>
        <v>0</v>
      </c>
      <c r="U191" s="300">
        <f t="shared" si="61"/>
        <v>0</v>
      </c>
      <c r="V191" s="300">
        <f t="shared" si="61"/>
        <v>0</v>
      </c>
      <c r="W191" s="300">
        <f t="shared" si="61"/>
        <v>0</v>
      </c>
      <c r="X191" s="300">
        <f t="shared" si="61"/>
        <v>0</v>
      </c>
      <c r="Y191" s="300">
        <f t="shared" si="61"/>
        <v>0</v>
      </c>
      <c r="Z191" s="300">
        <f t="shared" si="61"/>
        <v>0</v>
      </c>
      <c r="AA191" s="300">
        <f t="shared" si="61"/>
        <v>0</v>
      </c>
      <c r="AB191" s="300">
        <f t="shared" si="61"/>
        <v>0</v>
      </c>
      <c r="AC191" s="300">
        <f t="shared" si="61"/>
        <v>0</v>
      </c>
      <c r="AD191" s="300">
        <f t="shared" si="61"/>
        <v>-1</v>
      </c>
      <c r="AE191" s="300">
        <f t="shared" si="61"/>
        <v>-1</v>
      </c>
      <c r="AF191" s="300">
        <f t="shared" si="61"/>
        <v>0</v>
      </c>
      <c r="AG191" s="768">
        <f t="shared" si="62"/>
        <v>-2</v>
      </c>
    </row>
    <row r="192">
      <c r="A192" s="691" t="s">
        <v>137</v>
      </c>
      <c r="B192" s="300">
        <f t="shared" ref="B192:AF192" si="63">B145-B293-B300-B307</f>
        <v>24</v>
      </c>
      <c r="C192" s="300">
        <f t="shared" si="63"/>
        <v>37</v>
      </c>
      <c r="D192" s="300">
        <f t="shared" si="63"/>
        <v>22</v>
      </c>
      <c r="E192" s="300">
        <f t="shared" si="63"/>
        <v>28</v>
      </c>
      <c r="F192" s="300">
        <f t="shared" si="63"/>
        <v>25</v>
      </c>
      <c r="G192" s="300">
        <f t="shared" si="63"/>
        <v>18</v>
      </c>
      <c r="H192" s="300">
        <f t="shared" si="63"/>
        <v>16</v>
      </c>
      <c r="I192" s="300">
        <f t="shared" si="63"/>
        <v>31</v>
      </c>
      <c r="J192" s="300">
        <f t="shared" si="63"/>
        <v>25</v>
      </c>
      <c r="K192" s="300">
        <f t="shared" si="63"/>
        <v>28</v>
      </c>
      <c r="L192" s="300">
        <f t="shared" si="63"/>
        <v>23</v>
      </c>
      <c r="M192" s="300">
        <f t="shared" si="63"/>
        <v>24</v>
      </c>
      <c r="N192" s="300">
        <f t="shared" si="63"/>
        <v>48</v>
      </c>
      <c r="O192" s="300">
        <f t="shared" si="63"/>
        <v>38</v>
      </c>
      <c r="P192" s="300">
        <f t="shared" si="63"/>
        <v>39</v>
      </c>
      <c r="Q192" s="300">
        <f t="shared" si="63"/>
        <v>37</v>
      </c>
      <c r="R192" s="300">
        <f t="shared" si="63"/>
        <v>24</v>
      </c>
      <c r="S192" s="300">
        <f t="shared" si="63"/>
        <v>34</v>
      </c>
      <c r="T192" s="300">
        <f t="shared" si="63"/>
        <v>33</v>
      </c>
      <c r="U192" s="300">
        <f t="shared" si="63"/>
        <v>32</v>
      </c>
      <c r="V192" s="300">
        <f t="shared" si="63"/>
        <v>24</v>
      </c>
      <c r="W192" s="300">
        <f t="shared" si="63"/>
        <v>27</v>
      </c>
      <c r="X192" s="300">
        <f t="shared" si="63"/>
        <v>26</v>
      </c>
      <c r="Y192" s="300">
        <f t="shared" si="63"/>
        <v>22</v>
      </c>
      <c r="Z192" s="300">
        <f t="shared" si="63"/>
        <v>16</v>
      </c>
      <c r="AA192" s="300">
        <f t="shared" si="63"/>
        <v>20</v>
      </c>
      <c r="AB192" s="300">
        <f t="shared" si="63"/>
        <v>14</v>
      </c>
      <c r="AC192" s="300">
        <f t="shared" si="63"/>
        <v>15</v>
      </c>
      <c r="AD192" s="300">
        <f t="shared" si="63"/>
        <v>16</v>
      </c>
      <c r="AE192" s="300">
        <f t="shared" si="63"/>
        <v>23</v>
      </c>
      <c r="AF192" s="300">
        <f t="shared" si="63"/>
        <v>13</v>
      </c>
      <c r="AG192" s="768">
        <f t="shared" si="62"/>
        <v>802</v>
      </c>
    </row>
    <row r="193">
      <c r="A193" s="691" t="s">
        <v>153</v>
      </c>
      <c r="B193" s="300">
        <f t="shared" ref="B193:AF193" si="64">B146-B294-B301-B308</f>
        <v>33</v>
      </c>
      <c r="C193" s="300">
        <f t="shared" si="64"/>
        <v>43</v>
      </c>
      <c r="D193" s="300">
        <f t="shared" si="64"/>
        <v>22</v>
      </c>
      <c r="E193" s="300">
        <f t="shared" si="64"/>
        <v>34</v>
      </c>
      <c r="F193" s="300">
        <f t="shared" si="64"/>
        <v>21</v>
      </c>
      <c r="G193" s="300">
        <f t="shared" si="64"/>
        <v>27</v>
      </c>
      <c r="H193" s="300">
        <f t="shared" si="64"/>
        <v>19</v>
      </c>
      <c r="I193" s="300">
        <f t="shared" si="64"/>
        <v>38</v>
      </c>
      <c r="J193" s="300">
        <f t="shared" si="64"/>
        <v>38</v>
      </c>
      <c r="K193" s="300">
        <f t="shared" si="64"/>
        <v>36</v>
      </c>
      <c r="L193" s="300">
        <f t="shared" si="64"/>
        <v>25</v>
      </c>
      <c r="M193" s="300">
        <f t="shared" si="64"/>
        <v>25</v>
      </c>
      <c r="N193" s="300">
        <f t="shared" si="64"/>
        <v>55</v>
      </c>
      <c r="O193" s="300">
        <f t="shared" si="64"/>
        <v>47</v>
      </c>
      <c r="P193" s="300">
        <f t="shared" si="64"/>
        <v>48</v>
      </c>
      <c r="Q193" s="300">
        <f t="shared" si="64"/>
        <v>36</v>
      </c>
      <c r="R193" s="300">
        <f t="shared" si="64"/>
        <v>18</v>
      </c>
      <c r="S193" s="300">
        <f t="shared" si="64"/>
        <v>32</v>
      </c>
      <c r="T193" s="300">
        <f t="shared" si="64"/>
        <v>30</v>
      </c>
      <c r="U193" s="300">
        <f t="shared" si="64"/>
        <v>33</v>
      </c>
      <c r="V193" s="300">
        <f t="shared" si="64"/>
        <v>34</v>
      </c>
      <c r="W193" s="300">
        <f t="shared" si="64"/>
        <v>28</v>
      </c>
      <c r="X193" s="300">
        <f t="shared" si="64"/>
        <v>35</v>
      </c>
      <c r="Y193" s="300">
        <f t="shared" si="64"/>
        <v>20</v>
      </c>
      <c r="Z193" s="300">
        <f t="shared" si="64"/>
        <v>13</v>
      </c>
      <c r="AA193" s="300">
        <f t="shared" si="64"/>
        <v>22</v>
      </c>
      <c r="AB193" s="300">
        <f t="shared" si="64"/>
        <v>14</v>
      </c>
      <c r="AC193" s="300">
        <f t="shared" si="64"/>
        <v>15</v>
      </c>
      <c r="AD193" s="300">
        <f t="shared" si="64"/>
        <v>10</v>
      </c>
      <c r="AE193" s="300">
        <f t="shared" si="64"/>
        <v>21</v>
      </c>
      <c r="AF193" s="300">
        <f t="shared" si="64"/>
        <v>14</v>
      </c>
      <c r="AG193" s="768">
        <f t="shared" si="62"/>
        <v>886</v>
      </c>
    </row>
    <row r="194">
      <c r="A194" s="691" t="s">
        <v>127</v>
      </c>
      <c r="B194" s="300">
        <f t="shared" ref="B194:AF194" si="65">B147-B295-B302-B309</f>
        <v>18</v>
      </c>
      <c r="C194" s="300">
        <f t="shared" si="65"/>
        <v>19</v>
      </c>
      <c r="D194" s="300">
        <f t="shared" si="65"/>
        <v>18</v>
      </c>
      <c r="E194" s="300">
        <f t="shared" si="65"/>
        <v>23</v>
      </c>
      <c r="F194" s="300">
        <f t="shared" si="65"/>
        <v>11</v>
      </c>
      <c r="G194" s="300">
        <f t="shared" si="65"/>
        <v>17</v>
      </c>
      <c r="H194" s="300">
        <f t="shared" si="65"/>
        <v>18</v>
      </c>
      <c r="I194" s="300">
        <f t="shared" si="65"/>
        <v>23</v>
      </c>
      <c r="J194" s="300">
        <f t="shared" si="65"/>
        <v>25</v>
      </c>
      <c r="K194" s="300">
        <f t="shared" si="65"/>
        <v>27</v>
      </c>
      <c r="L194" s="300">
        <f t="shared" si="65"/>
        <v>12</v>
      </c>
      <c r="M194" s="300">
        <f t="shared" si="65"/>
        <v>14</v>
      </c>
      <c r="N194" s="300">
        <f t="shared" si="65"/>
        <v>35</v>
      </c>
      <c r="O194" s="300">
        <f t="shared" si="65"/>
        <v>24</v>
      </c>
      <c r="P194" s="300">
        <f t="shared" si="65"/>
        <v>22</v>
      </c>
      <c r="Q194" s="300">
        <f t="shared" si="65"/>
        <v>17</v>
      </c>
      <c r="R194" s="300">
        <f t="shared" si="65"/>
        <v>15</v>
      </c>
      <c r="S194" s="300">
        <f t="shared" si="65"/>
        <v>19</v>
      </c>
      <c r="T194" s="300">
        <f t="shared" si="65"/>
        <v>10</v>
      </c>
      <c r="U194" s="300">
        <f t="shared" si="65"/>
        <v>21</v>
      </c>
      <c r="V194" s="300">
        <f t="shared" si="65"/>
        <v>16</v>
      </c>
      <c r="W194" s="300">
        <f t="shared" si="65"/>
        <v>16</v>
      </c>
      <c r="X194" s="300">
        <f t="shared" si="65"/>
        <v>20</v>
      </c>
      <c r="Y194" s="300">
        <f t="shared" si="65"/>
        <v>9</v>
      </c>
      <c r="Z194" s="300">
        <f t="shared" si="65"/>
        <v>17</v>
      </c>
      <c r="AA194" s="300">
        <f t="shared" si="65"/>
        <v>11</v>
      </c>
      <c r="AB194" s="300">
        <f t="shared" si="65"/>
        <v>10</v>
      </c>
      <c r="AC194" s="300">
        <f t="shared" si="65"/>
        <v>10</v>
      </c>
      <c r="AD194" s="300">
        <f t="shared" si="65"/>
        <v>20</v>
      </c>
      <c r="AE194" s="300">
        <f t="shared" si="65"/>
        <v>14</v>
      </c>
      <c r="AF194" s="300">
        <f t="shared" si="65"/>
        <v>9</v>
      </c>
      <c r="AG194" s="768">
        <f t="shared" si="62"/>
        <v>540</v>
      </c>
    </row>
    <row r="195">
      <c r="A195" s="812" t="s">
        <v>151</v>
      </c>
      <c r="B195" s="813">
        <f t="shared" ref="B195:AF195" si="66">SUM(B190:B194)</f>
        <v>125</v>
      </c>
      <c r="C195" s="813">
        <f t="shared" si="66"/>
        <v>151</v>
      </c>
      <c r="D195" s="813">
        <f t="shared" si="66"/>
        <v>94</v>
      </c>
      <c r="E195" s="813">
        <f t="shared" si="66"/>
        <v>122</v>
      </c>
      <c r="F195" s="813">
        <f t="shared" si="66"/>
        <v>100</v>
      </c>
      <c r="G195" s="813">
        <f t="shared" si="66"/>
        <v>103</v>
      </c>
      <c r="H195" s="813">
        <f t="shared" si="66"/>
        <v>101</v>
      </c>
      <c r="I195" s="813">
        <f t="shared" si="66"/>
        <v>162</v>
      </c>
      <c r="J195" s="813">
        <f t="shared" si="66"/>
        <v>160</v>
      </c>
      <c r="K195" s="813">
        <f t="shared" si="66"/>
        <v>153</v>
      </c>
      <c r="L195" s="813">
        <f t="shared" si="66"/>
        <v>115</v>
      </c>
      <c r="M195" s="813">
        <f t="shared" si="66"/>
        <v>108</v>
      </c>
      <c r="N195" s="813">
        <f t="shared" si="66"/>
        <v>221</v>
      </c>
      <c r="O195" s="813">
        <f t="shared" si="66"/>
        <v>175</v>
      </c>
      <c r="P195" s="813">
        <f t="shared" si="66"/>
        <v>194</v>
      </c>
      <c r="Q195" s="813">
        <f t="shared" si="66"/>
        <v>169</v>
      </c>
      <c r="R195" s="813">
        <f t="shared" si="66"/>
        <v>89</v>
      </c>
      <c r="S195" s="813">
        <f t="shared" si="66"/>
        <v>158</v>
      </c>
      <c r="T195" s="813">
        <f t="shared" si="66"/>
        <v>116</v>
      </c>
      <c r="U195" s="813">
        <f t="shared" si="66"/>
        <v>144</v>
      </c>
      <c r="V195" s="813">
        <f t="shared" si="66"/>
        <v>120</v>
      </c>
      <c r="W195" s="813">
        <f t="shared" si="66"/>
        <v>128</v>
      </c>
      <c r="X195" s="813">
        <f t="shared" si="66"/>
        <v>136</v>
      </c>
      <c r="Y195" s="813">
        <f t="shared" si="66"/>
        <v>85</v>
      </c>
      <c r="Z195" s="813">
        <f t="shared" si="66"/>
        <v>83</v>
      </c>
      <c r="AA195" s="813">
        <f t="shared" si="66"/>
        <v>77</v>
      </c>
      <c r="AB195" s="813">
        <f t="shared" si="66"/>
        <v>77</v>
      </c>
      <c r="AC195" s="813">
        <f t="shared" si="66"/>
        <v>68</v>
      </c>
      <c r="AD195" s="813">
        <f t="shared" si="66"/>
        <v>82</v>
      </c>
      <c r="AE195" s="813">
        <f t="shared" si="66"/>
        <v>86</v>
      </c>
      <c r="AF195" s="813">
        <f t="shared" si="66"/>
        <v>67</v>
      </c>
      <c r="AG195" s="768">
        <f t="shared" si="62"/>
        <v>3769</v>
      </c>
    </row>
    <row r="196">
      <c r="A196" s="835"/>
      <c r="AG196" s="768"/>
    </row>
    <row r="197">
      <c r="A197" s="691" t="s">
        <v>727</v>
      </c>
      <c r="B197" s="836"/>
      <c r="C197" s="836"/>
      <c r="D197" s="836"/>
      <c r="E197" s="836"/>
      <c r="F197" s="836"/>
      <c r="G197" s="836"/>
      <c r="H197" s="836"/>
      <c r="I197" s="836"/>
      <c r="J197" s="836"/>
      <c r="K197" s="836"/>
      <c r="L197" s="836"/>
      <c r="M197" s="836"/>
      <c r="N197" s="836"/>
      <c r="O197" s="836"/>
      <c r="P197" s="836"/>
      <c r="Q197" s="836"/>
      <c r="R197" s="836"/>
      <c r="S197" s="836"/>
      <c r="T197" s="836"/>
      <c r="U197" s="836"/>
      <c r="V197" s="836"/>
      <c r="W197" s="836"/>
      <c r="X197" s="836"/>
      <c r="Y197" s="836"/>
      <c r="Z197" s="836"/>
      <c r="AA197" s="836"/>
      <c r="AB197" s="836"/>
      <c r="AC197" s="836"/>
      <c r="AD197" s="836"/>
      <c r="AE197" s="836"/>
      <c r="AF197" s="836"/>
      <c r="AG197" s="768">
        <f t="shared" ref="AG197:AG199" si="67">sum(B197:AF197)</f>
        <v>0</v>
      </c>
    </row>
    <row r="198">
      <c r="A198" s="691" t="s">
        <v>728</v>
      </c>
      <c r="B198" s="836"/>
      <c r="C198" s="836"/>
      <c r="D198" s="836"/>
      <c r="E198" s="836"/>
      <c r="F198" s="836"/>
      <c r="G198" s="836"/>
      <c r="H198" s="836"/>
      <c r="I198" s="836"/>
      <c r="J198" s="836"/>
      <c r="K198" s="836"/>
      <c r="L198" s="836"/>
      <c r="M198" s="836"/>
      <c r="N198" s="836"/>
      <c r="O198" s="836"/>
      <c r="P198" s="836"/>
      <c r="Q198" s="836"/>
      <c r="R198" s="836"/>
      <c r="S198" s="836"/>
      <c r="T198" s="836"/>
      <c r="U198" s="836"/>
      <c r="V198" s="836"/>
      <c r="W198" s="836"/>
      <c r="X198" s="836"/>
      <c r="Y198" s="836"/>
      <c r="Z198" s="836"/>
      <c r="AA198" s="836"/>
      <c r="AB198" s="836"/>
      <c r="AC198" s="836"/>
      <c r="AD198" s="836"/>
      <c r="AE198" s="836"/>
      <c r="AF198" s="836"/>
      <c r="AG198" s="768">
        <f t="shared" si="67"/>
        <v>0</v>
      </c>
    </row>
    <row r="199">
      <c r="A199" s="812" t="s">
        <v>151</v>
      </c>
      <c r="B199" s="813">
        <f t="shared" ref="B199:AF199" si="68">SUM(B197:B198)</f>
        <v>0</v>
      </c>
      <c r="C199" s="813">
        <f t="shared" si="68"/>
        <v>0</v>
      </c>
      <c r="D199" s="813">
        <f t="shared" si="68"/>
        <v>0</v>
      </c>
      <c r="E199" s="813">
        <f t="shared" si="68"/>
        <v>0</v>
      </c>
      <c r="F199" s="813">
        <f t="shared" si="68"/>
        <v>0</v>
      </c>
      <c r="G199" s="813">
        <f t="shared" si="68"/>
        <v>0</v>
      </c>
      <c r="H199" s="813">
        <f t="shared" si="68"/>
        <v>0</v>
      </c>
      <c r="I199" s="813">
        <f t="shared" si="68"/>
        <v>0</v>
      </c>
      <c r="J199" s="813">
        <f t="shared" si="68"/>
        <v>0</v>
      </c>
      <c r="K199" s="813">
        <f t="shared" si="68"/>
        <v>0</v>
      </c>
      <c r="L199" s="813">
        <f t="shared" si="68"/>
        <v>0</v>
      </c>
      <c r="M199" s="813">
        <f t="shared" si="68"/>
        <v>0</v>
      </c>
      <c r="N199" s="813">
        <f t="shared" si="68"/>
        <v>0</v>
      </c>
      <c r="O199" s="813">
        <f t="shared" si="68"/>
        <v>0</v>
      </c>
      <c r="P199" s="813">
        <f t="shared" si="68"/>
        <v>0</v>
      </c>
      <c r="Q199" s="813">
        <f t="shared" si="68"/>
        <v>0</v>
      </c>
      <c r="R199" s="813">
        <f t="shared" si="68"/>
        <v>0</v>
      </c>
      <c r="S199" s="813">
        <f t="shared" si="68"/>
        <v>0</v>
      </c>
      <c r="T199" s="813">
        <f t="shared" si="68"/>
        <v>0</v>
      </c>
      <c r="U199" s="813">
        <f t="shared" si="68"/>
        <v>0</v>
      </c>
      <c r="V199" s="813">
        <f t="shared" si="68"/>
        <v>0</v>
      </c>
      <c r="W199" s="813">
        <f t="shared" si="68"/>
        <v>0</v>
      </c>
      <c r="X199" s="813">
        <f t="shared" si="68"/>
        <v>0</v>
      </c>
      <c r="Y199" s="813">
        <f t="shared" si="68"/>
        <v>0</v>
      </c>
      <c r="Z199" s="813">
        <f t="shared" si="68"/>
        <v>0</v>
      </c>
      <c r="AA199" s="813">
        <f t="shared" si="68"/>
        <v>0</v>
      </c>
      <c r="AB199" s="813">
        <f t="shared" si="68"/>
        <v>0</v>
      </c>
      <c r="AC199" s="813">
        <f t="shared" si="68"/>
        <v>0</v>
      </c>
      <c r="AD199" s="813">
        <f t="shared" si="68"/>
        <v>0</v>
      </c>
      <c r="AE199" s="813">
        <f t="shared" si="68"/>
        <v>0</v>
      </c>
      <c r="AF199" s="813">
        <f t="shared" si="68"/>
        <v>0</v>
      </c>
      <c r="AG199" s="768">
        <f t="shared" si="67"/>
        <v>0</v>
      </c>
    </row>
    <row r="200">
      <c r="A200" s="835"/>
      <c r="AG200" s="11"/>
    </row>
    <row r="201">
      <c r="A201" s="691" t="s">
        <v>730</v>
      </c>
      <c r="B201" s="873"/>
      <c r="C201" s="873"/>
      <c r="D201" s="873"/>
      <c r="E201" s="873"/>
      <c r="F201" s="873"/>
      <c r="G201" s="873"/>
      <c r="H201" s="873"/>
      <c r="I201" s="873"/>
      <c r="J201" s="873"/>
      <c r="K201" s="873"/>
      <c r="L201" s="873"/>
      <c r="M201" s="873"/>
      <c r="N201" s="873"/>
      <c r="O201" s="873"/>
      <c r="P201" s="873"/>
      <c r="Q201" s="873"/>
      <c r="R201" s="873"/>
      <c r="S201" s="873"/>
      <c r="T201" s="873"/>
      <c r="U201" s="873"/>
      <c r="V201" s="873"/>
      <c r="W201" s="873"/>
      <c r="X201" s="873"/>
      <c r="Y201" s="873"/>
      <c r="Z201" s="873"/>
      <c r="AA201" s="873"/>
      <c r="AB201" s="873"/>
      <c r="AC201" s="873"/>
      <c r="AD201" s="873"/>
      <c r="AE201" s="873"/>
      <c r="AF201" s="873"/>
      <c r="AG201" s="768">
        <f t="shared" ref="AG201:AG203" si="69">sum(B201:AF201)</f>
        <v>0</v>
      </c>
    </row>
    <row r="202">
      <c r="A202" s="691" t="s">
        <v>732</v>
      </c>
      <c r="B202" s="873"/>
      <c r="C202" s="873"/>
      <c r="D202" s="873"/>
      <c r="E202" s="873"/>
      <c r="F202" s="873"/>
      <c r="G202" s="873"/>
      <c r="H202" s="873"/>
      <c r="I202" s="873"/>
      <c r="J202" s="873"/>
      <c r="K202" s="873"/>
      <c r="L202" s="873"/>
      <c r="M202" s="873"/>
      <c r="N202" s="873"/>
      <c r="O202" s="873"/>
      <c r="P202" s="873"/>
      <c r="Q202" s="873"/>
      <c r="R202" s="873"/>
      <c r="S202" s="873"/>
      <c r="T202" s="873"/>
      <c r="U202" s="873"/>
      <c r="V202" s="873"/>
      <c r="W202" s="873"/>
      <c r="X202" s="873"/>
      <c r="Y202" s="873"/>
      <c r="Z202" s="873"/>
      <c r="AA202" s="873"/>
      <c r="AB202" s="873"/>
      <c r="AC202" s="873"/>
      <c r="AD202" s="873"/>
      <c r="AE202" s="873"/>
      <c r="AF202" s="873"/>
      <c r="AG202" s="768">
        <f t="shared" si="69"/>
        <v>0</v>
      </c>
    </row>
    <row r="203">
      <c r="A203" s="812" t="s">
        <v>151</v>
      </c>
      <c r="B203" s="838">
        <f t="shared" ref="B203:AF203" si="70">SUM(B201:B202)</f>
        <v>0</v>
      </c>
      <c r="C203" s="838">
        <f t="shared" si="70"/>
        <v>0</v>
      </c>
      <c r="D203" s="838">
        <f t="shared" si="70"/>
        <v>0</v>
      </c>
      <c r="E203" s="838">
        <f t="shared" si="70"/>
        <v>0</v>
      </c>
      <c r="F203" s="838">
        <f t="shared" si="70"/>
        <v>0</v>
      </c>
      <c r="G203" s="838">
        <f t="shared" si="70"/>
        <v>0</v>
      </c>
      <c r="H203" s="838">
        <f t="shared" si="70"/>
        <v>0</v>
      </c>
      <c r="I203" s="838">
        <f t="shared" si="70"/>
        <v>0</v>
      </c>
      <c r="J203" s="838">
        <f t="shared" si="70"/>
        <v>0</v>
      </c>
      <c r="K203" s="838">
        <f t="shared" si="70"/>
        <v>0</v>
      </c>
      <c r="L203" s="838">
        <f t="shared" si="70"/>
        <v>0</v>
      </c>
      <c r="M203" s="838">
        <f t="shared" si="70"/>
        <v>0</v>
      </c>
      <c r="N203" s="838">
        <f t="shared" si="70"/>
        <v>0</v>
      </c>
      <c r="O203" s="838">
        <f t="shared" si="70"/>
        <v>0</v>
      </c>
      <c r="P203" s="838">
        <f t="shared" si="70"/>
        <v>0</v>
      </c>
      <c r="Q203" s="838">
        <f t="shared" si="70"/>
        <v>0</v>
      </c>
      <c r="R203" s="838">
        <f t="shared" si="70"/>
        <v>0</v>
      </c>
      <c r="S203" s="838">
        <f t="shared" si="70"/>
        <v>0</v>
      </c>
      <c r="T203" s="838">
        <f t="shared" si="70"/>
        <v>0</v>
      </c>
      <c r="U203" s="838">
        <f t="shared" si="70"/>
        <v>0</v>
      </c>
      <c r="V203" s="838">
        <f t="shared" si="70"/>
        <v>0</v>
      </c>
      <c r="W203" s="838">
        <f t="shared" si="70"/>
        <v>0</v>
      </c>
      <c r="X203" s="838">
        <f t="shared" si="70"/>
        <v>0</v>
      </c>
      <c r="Y203" s="838">
        <f t="shared" si="70"/>
        <v>0</v>
      </c>
      <c r="Z203" s="838">
        <f t="shared" si="70"/>
        <v>0</v>
      </c>
      <c r="AA203" s="838">
        <f t="shared" si="70"/>
        <v>0</v>
      </c>
      <c r="AB203" s="838">
        <f t="shared" si="70"/>
        <v>0</v>
      </c>
      <c r="AC203" s="838">
        <f t="shared" si="70"/>
        <v>0</v>
      </c>
      <c r="AD203" s="838">
        <f t="shared" si="70"/>
        <v>0</v>
      </c>
      <c r="AE203" s="838">
        <f t="shared" si="70"/>
        <v>0</v>
      </c>
      <c r="AF203" s="838">
        <f t="shared" si="70"/>
        <v>0</v>
      </c>
      <c r="AG203" s="768">
        <f t="shared" si="69"/>
        <v>0</v>
      </c>
    </row>
    <row r="204">
      <c r="A204" s="835"/>
      <c r="B204" s="874"/>
      <c r="AG204" s="11"/>
    </row>
    <row r="205">
      <c r="A205" s="691" t="s">
        <v>734</v>
      </c>
      <c r="B205" s="300">
        <f t="shared" ref="B205:AF205" si="71">B158-B320</f>
        <v>0</v>
      </c>
      <c r="C205" s="300">
        <f t="shared" si="71"/>
        <v>0</v>
      </c>
      <c r="D205" s="300">
        <f t="shared" si="71"/>
        <v>0</v>
      </c>
      <c r="E205" s="300">
        <f t="shared" si="71"/>
        <v>0</v>
      </c>
      <c r="F205" s="300">
        <f t="shared" si="71"/>
        <v>0</v>
      </c>
      <c r="G205" s="300">
        <f t="shared" si="71"/>
        <v>0</v>
      </c>
      <c r="H205" s="300">
        <f t="shared" si="71"/>
        <v>0</v>
      </c>
      <c r="I205" s="300">
        <f t="shared" si="71"/>
        <v>0</v>
      </c>
      <c r="J205" s="300">
        <f t="shared" si="71"/>
        <v>0</v>
      </c>
      <c r="K205" s="300">
        <f t="shared" si="71"/>
        <v>0</v>
      </c>
      <c r="L205" s="300">
        <f t="shared" si="71"/>
        <v>0</v>
      </c>
      <c r="M205" s="300">
        <f t="shared" si="71"/>
        <v>0</v>
      </c>
      <c r="N205" s="300">
        <f t="shared" si="71"/>
        <v>0</v>
      </c>
      <c r="O205" s="300">
        <f t="shared" si="71"/>
        <v>0</v>
      </c>
      <c r="P205" s="300">
        <f t="shared" si="71"/>
        <v>0</v>
      </c>
      <c r="Q205" s="300">
        <f t="shared" si="71"/>
        <v>0</v>
      </c>
      <c r="R205" s="300">
        <f t="shared" si="71"/>
        <v>0</v>
      </c>
      <c r="S205" s="300">
        <f t="shared" si="71"/>
        <v>0</v>
      </c>
      <c r="T205" s="300">
        <f t="shared" si="71"/>
        <v>0</v>
      </c>
      <c r="U205" s="300">
        <f t="shared" si="71"/>
        <v>0</v>
      </c>
      <c r="V205" s="300">
        <f t="shared" si="71"/>
        <v>0</v>
      </c>
      <c r="W205" s="300">
        <f t="shared" si="71"/>
        <v>0</v>
      </c>
      <c r="X205" s="300">
        <f t="shared" si="71"/>
        <v>0</v>
      </c>
      <c r="Y205" s="300">
        <f t="shared" si="71"/>
        <v>0</v>
      </c>
      <c r="Z205" s="300">
        <f t="shared" si="71"/>
        <v>0</v>
      </c>
      <c r="AA205" s="300">
        <f t="shared" si="71"/>
        <v>0</v>
      </c>
      <c r="AB205" s="300">
        <f t="shared" si="71"/>
        <v>0</v>
      </c>
      <c r="AC205" s="300">
        <f t="shared" si="71"/>
        <v>0</v>
      </c>
      <c r="AD205" s="300">
        <f t="shared" si="71"/>
        <v>0</v>
      </c>
      <c r="AE205" s="300">
        <f t="shared" si="71"/>
        <v>0</v>
      </c>
      <c r="AF205" s="300">
        <f t="shared" si="71"/>
        <v>0</v>
      </c>
      <c r="AG205" s="768">
        <f t="shared" ref="AG205:AG206" si="73">sum(B205:AF205)</f>
        <v>0</v>
      </c>
    </row>
    <row r="206">
      <c r="A206" s="812" t="s">
        <v>151</v>
      </c>
      <c r="B206" s="838">
        <f t="shared" ref="B206:AF206" si="72">B205</f>
        <v>0</v>
      </c>
      <c r="C206" s="838">
        <f t="shared" si="72"/>
        <v>0</v>
      </c>
      <c r="D206" s="838">
        <f t="shared" si="72"/>
        <v>0</v>
      </c>
      <c r="E206" s="838">
        <f t="shared" si="72"/>
        <v>0</v>
      </c>
      <c r="F206" s="838">
        <f t="shared" si="72"/>
        <v>0</v>
      </c>
      <c r="G206" s="838">
        <f t="shared" si="72"/>
        <v>0</v>
      </c>
      <c r="H206" s="838">
        <f t="shared" si="72"/>
        <v>0</v>
      </c>
      <c r="I206" s="838">
        <f t="shared" si="72"/>
        <v>0</v>
      </c>
      <c r="J206" s="838">
        <f t="shared" si="72"/>
        <v>0</v>
      </c>
      <c r="K206" s="838">
        <f t="shared" si="72"/>
        <v>0</v>
      </c>
      <c r="L206" s="838">
        <f t="shared" si="72"/>
        <v>0</v>
      </c>
      <c r="M206" s="838">
        <f t="shared" si="72"/>
        <v>0</v>
      </c>
      <c r="N206" s="838">
        <f t="shared" si="72"/>
        <v>0</v>
      </c>
      <c r="O206" s="838">
        <f t="shared" si="72"/>
        <v>0</v>
      </c>
      <c r="P206" s="838">
        <f t="shared" si="72"/>
        <v>0</v>
      </c>
      <c r="Q206" s="838">
        <f t="shared" si="72"/>
        <v>0</v>
      </c>
      <c r="R206" s="838">
        <f t="shared" si="72"/>
        <v>0</v>
      </c>
      <c r="S206" s="838">
        <f t="shared" si="72"/>
        <v>0</v>
      </c>
      <c r="T206" s="838">
        <f t="shared" si="72"/>
        <v>0</v>
      </c>
      <c r="U206" s="838">
        <f t="shared" si="72"/>
        <v>0</v>
      </c>
      <c r="V206" s="838">
        <f t="shared" si="72"/>
        <v>0</v>
      </c>
      <c r="W206" s="838">
        <f t="shared" si="72"/>
        <v>0</v>
      </c>
      <c r="X206" s="838">
        <f t="shared" si="72"/>
        <v>0</v>
      </c>
      <c r="Y206" s="838">
        <f t="shared" si="72"/>
        <v>0</v>
      </c>
      <c r="Z206" s="838">
        <f t="shared" si="72"/>
        <v>0</v>
      </c>
      <c r="AA206" s="838">
        <f t="shared" si="72"/>
        <v>0</v>
      </c>
      <c r="AB206" s="838">
        <f t="shared" si="72"/>
        <v>0</v>
      </c>
      <c r="AC206" s="838">
        <f t="shared" si="72"/>
        <v>0</v>
      </c>
      <c r="AD206" s="838">
        <f t="shared" si="72"/>
        <v>0</v>
      </c>
      <c r="AE206" s="838">
        <f t="shared" si="72"/>
        <v>0</v>
      </c>
      <c r="AF206" s="838">
        <f t="shared" si="72"/>
        <v>0</v>
      </c>
      <c r="AG206" s="768">
        <f t="shared" si="73"/>
        <v>0</v>
      </c>
    </row>
    <row r="207">
      <c r="A207" s="835"/>
      <c r="AG207" s="11"/>
    </row>
    <row r="208">
      <c r="A208" s="875" t="s">
        <v>751</v>
      </c>
      <c r="B208" s="542"/>
      <c r="C208" s="542"/>
      <c r="D208" s="542"/>
      <c r="E208" s="542"/>
      <c r="F208" s="542"/>
      <c r="G208" s="542"/>
      <c r="H208" s="542"/>
      <c r="I208" s="327"/>
      <c r="J208" s="327"/>
      <c r="K208" s="327"/>
      <c r="L208" s="327"/>
      <c r="M208" s="327"/>
      <c r="N208" s="327"/>
      <c r="O208" s="327"/>
      <c r="P208" s="327"/>
      <c r="Q208" s="327"/>
      <c r="R208" s="327"/>
      <c r="S208" s="327"/>
      <c r="T208" s="327"/>
      <c r="U208" s="327"/>
      <c r="V208" s="327"/>
      <c r="W208" s="327"/>
      <c r="X208" s="327"/>
      <c r="Y208" s="327"/>
      <c r="Z208" s="327"/>
      <c r="AA208" s="327"/>
      <c r="AB208" s="327"/>
      <c r="AC208" s="327"/>
      <c r="AD208" s="327"/>
      <c r="AE208" s="327"/>
      <c r="AF208" s="327"/>
      <c r="AG208" s="768"/>
    </row>
    <row r="209">
      <c r="A209" s="876" t="s">
        <v>752</v>
      </c>
      <c r="B209" s="877">
        <v>35.0</v>
      </c>
      <c r="C209" s="877">
        <v>53.0</v>
      </c>
      <c r="D209" s="877">
        <v>40.0</v>
      </c>
      <c r="E209" s="877">
        <v>36.0</v>
      </c>
      <c r="F209" s="877">
        <v>45.0</v>
      </c>
      <c r="G209" s="877">
        <v>45.0</v>
      </c>
      <c r="H209" s="301">
        <v>61.0</v>
      </c>
      <c r="I209" s="301">
        <v>50.0</v>
      </c>
      <c r="J209" s="301">
        <v>48.0</v>
      </c>
      <c r="K209" s="301">
        <v>60.0</v>
      </c>
      <c r="L209" s="301">
        <v>54.0</v>
      </c>
      <c r="M209" s="877">
        <v>55.0</v>
      </c>
      <c r="N209" s="301">
        <v>57.0</v>
      </c>
      <c r="O209" s="301">
        <v>64.0</v>
      </c>
      <c r="P209" s="301">
        <v>61.0</v>
      </c>
      <c r="Q209" s="301">
        <v>68.0</v>
      </c>
      <c r="R209" s="877">
        <v>29.0</v>
      </c>
      <c r="S209" s="877">
        <v>57.0</v>
      </c>
      <c r="T209" s="301">
        <v>43.0</v>
      </c>
      <c r="U209" s="301">
        <v>44.0</v>
      </c>
      <c r="V209" s="301">
        <v>45.0</v>
      </c>
      <c r="W209" s="301">
        <v>29.0</v>
      </c>
      <c r="X209" s="877">
        <v>26.0</v>
      </c>
      <c r="Y209" s="877">
        <v>18.0</v>
      </c>
      <c r="Z209" s="301">
        <v>25.0</v>
      </c>
      <c r="AA209" s="877">
        <v>19.0</v>
      </c>
      <c r="AB209" s="301">
        <v>33.0</v>
      </c>
      <c r="AC209" s="301">
        <v>24.0</v>
      </c>
      <c r="AD209" s="301">
        <v>17.0</v>
      </c>
      <c r="AE209" s="301">
        <v>28.0</v>
      </c>
      <c r="AF209" s="877">
        <v>23.0</v>
      </c>
      <c r="AG209" s="768">
        <f t="shared" ref="AG209:AG216" si="74">sum(B209:AF209)</f>
        <v>1292</v>
      </c>
    </row>
    <row r="210">
      <c r="A210" s="876" t="s">
        <v>753</v>
      </c>
      <c r="B210" s="877">
        <v>85.0</v>
      </c>
      <c r="C210" s="877">
        <v>89.0</v>
      </c>
      <c r="D210" s="877">
        <v>85.0</v>
      </c>
      <c r="E210" s="877">
        <v>101.0</v>
      </c>
      <c r="F210" s="877">
        <v>91.0</v>
      </c>
      <c r="G210" s="877">
        <v>100.0</v>
      </c>
      <c r="H210" s="301">
        <v>97.0</v>
      </c>
      <c r="I210" s="301">
        <v>128.0</v>
      </c>
      <c r="J210" s="301">
        <v>119.0</v>
      </c>
      <c r="K210" s="301">
        <v>101.0</v>
      </c>
      <c r="L210" s="301">
        <v>117.0</v>
      </c>
      <c r="M210" s="877">
        <v>115.0</v>
      </c>
      <c r="N210" s="301">
        <v>215.0</v>
      </c>
      <c r="O210" s="301">
        <v>181.0</v>
      </c>
      <c r="P210" s="301">
        <v>147.0</v>
      </c>
      <c r="Q210" s="301">
        <v>136.0</v>
      </c>
      <c r="R210" s="877">
        <v>82.0</v>
      </c>
      <c r="S210" s="877">
        <v>144.0</v>
      </c>
      <c r="T210" s="301">
        <v>103.0</v>
      </c>
      <c r="U210" s="301">
        <v>117.0</v>
      </c>
      <c r="V210" s="301">
        <v>99.0</v>
      </c>
      <c r="W210" s="301">
        <v>109.0</v>
      </c>
      <c r="X210" s="877">
        <v>93.0</v>
      </c>
      <c r="Y210" s="877">
        <v>73.0</v>
      </c>
      <c r="Z210" s="301">
        <v>74.0</v>
      </c>
      <c r="AA210" s="877">
        <v>76.0</v>
      </c>
      <c r="AB210" s="301">
        <v>80.0</v>
      </c>
      <c r="AC210" s="301">
        <v>70.0</v>
      </c>
      <c r="AD210" s="301">
        <v>75.0</v>
      </c>
      <c r="AE210" s="301">
        <v>73.0</v>
      </c>
      <c r="AF210" s="877">
        <v>85.0</v>
      </c>
      <c r="AG210" s="768">
        <f t="shared" si="74"/>
        <v>3260</v>
      </c>
    </row>
    <row r="211">
      <c r="A211" s="876" t="s">
        <v>754</v>
      </c>
      <c r="B211" s="877">
        <v>2.0</v>
      </c>
      <c r="C211" s="877">
        <v>3.0</v>
      </c>
      <c r="D211" s="877">
        <v>5.0</v>
      </c>
      <c r="E211" s="877">
        <v>2.0</v>
      </c>
      <c r="F211" s="877">
        <v>3.0</v>
      </c>
      <c r="G211" s="877">
        <v>3.0</v>
      </c>
      <c r="H211" s="301">
        <v>2.0</v>
      </c>
      <c r="I211" s="301">
        <v>3.0</v>
      </c>
      <c r="J211" s="301">
        <v>3.0</v>
      </c>
      <c r="K211" s="301">
        <v>2.0</v>
      </c>
      <c r="L211" s="301">
        <v>1.0</v>
      </c>
      <c r="M211" s="877">
        <v>1.0</v>
      </c>
      <c r="N211" s="301">
        <v>3.0</v>
      </c>
      <c r="O211" s="301">
        <v>6.0</v>
      </c>
      <c r="P211" s="301">
        <v>1.0</v>
      </c>
      <c r="Q211" s="301">
        <v>4.0</v>
      </c>
      <c r="R211" s="877">
        <v>1.0</v>
      </c>
      <c r="S211" s="877">
        <v>0.0</v>
      </c>
      <c r="T211" s="301">
        <v>0.0</v>
      </c>
      <c r="U211" s="301">
        <v>3.0</v>
      </c>
      <c r="V211" s="301">
        <v>3.0</v>
      </c>
      <c r="W211" s="301">
        <v>0.0</v>
      </c>
      <c r="X211" s="877">
        <v>1.0</v>
      </c>
      <c r="Y211" s="877">
        <v>1.0</v>
      </c>
      <c r="Z211" s="301">
        <v>1.0</v>
      </c>
      <c r="AA211" s="877">
        <v>3.0</v>
      </c>
      <c r="AB211" s="301">
        <v>2.0</v>
      </c>
      <c r="AC211" s="301">
        <v>9.0</v>
      </c>
      <c r="AD211" s="301">
        <v>0.0</v>
      </c>
      <c r="AE211" s="301">
        <v>1.0</v>
      </c>
      <c r="AF211" s="877">
        <v>1.0</v>
      </c>
      <c r="AG211" s="768">
        <f t="shared" si="74"/>
        <v>70</v>
      </c>
    </row>
    <row r="212">
      <c r="A212" s="876" t="s">
        <v>755</v>
      </c>
      <c r="B212" s="877">
        <v>4.0</v>
      </c>
      <c r="C212" s="877">
        <v>2.0</v>
      </c>
      <c r="D212" s="877">
        <v>4.0</v>
      </c>
      <c r="E212" s="877">
        <v>4.0</v>
      </c>
      <c r="F212" s="877">
        <v>3.0</v>
      </c>
      <c r="G212" s="877">
        <v>5.0</v>
      </c>
      <c r="H212" s="301">
        <v>4.0</v>
      </c>
      <c r="I212" s="301">
        <v>3.0</v>
      </c>
      <c r="J212" s="301">
        <v>3.0</v>
      </c>
      <c r="K212" s="301">
        <v>5.0</v>
      </c>
      <c r="L212" s="301">
        <v>3.0</v>
      </c>
      <c r="M212" s="877">
        <v>7.0</v>
      </c>
      <c r="N212" s="301">
        <v>5.0</v>
      </c>
      <c r="O212" s="301">
        <v>6.0</v>
      </c>
      <c r="P212" s="301">
        <v>5.0</v>
      </c>
      <c r="Q212" s="301">
        <v>7.0</v>
      </c>
      <c r="R212" s="877">
        <v>2.0</v>
      </c>
      <c r="S212" s="877">
        <v>6.0</v>
      </c>
      <c r="T212" s="301">
        <v>2.0</v>
      </c>
      <c r="U212" s="301">
        <v>5.0</v>
      </c>
      <c r="V212" s="301">
        <v>3.0</v>
      </c>
      <c r="W212" s="301">
        <v>3.0</v>
      </c>
      <c r="X212" s="877">
        <v>3.0</v>
      </c>
      <c r="Y212" s="877">
        <v>4.0</v>
      </c>
      <c r="Z212" s="301">
        <v>5.0</v>
      </c>
      <c r="AA212" s="877">
        <v>1.0</v>
      </c>
      <c r="AB212" s="301">
        <v>3.0</v>
      </c>
      <c r="AC212" s="301">
        <v>4.0</v>
      </c>
      <c r="AD212" s="301">
        <v>5.0</v>
      </c>
      <c r="AE212" s="301">
        <v>1.0</v>
      </c>
      <c r="AF212" s="877">
        <v>4.0</v>
      </c>
      <c r="AG212" s="768">
        <f t="shared" si="74"/>
        <v>121</v>
      </c>
    </row>
    <row r="213">
      <c r="A213" s="876" t="s">
        <v>756</v>
      </c>
      <c r="B213" s="836"/>
      <c r="C213" s="836"/>
      <c r="D213" s="54"/>
      <c r="E213" s="878"/>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768">
        <f t="shared" si="74"/>
        <v>0</v>
      </c>
    </row>
    <row r="214">
      <c r="A214" s="876" t="s">
        <v>757</v>
      </c>
      <c r="B214" s="879"/>
      <c r="C214" s="54">
        <v>1.0</v>
      </c>
      <c r="D214" s="836"/>
      <c r="E214" s="878"/>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768">
        <f t="shared" si="74"/>
        <v>1</v>
      </c>
    </row>
    <row r="215">
      <c r="A215" s="880" t="s">
        <v>725</v>
      </c>
      <c r="B215" s="881">
        <f t="shared" ref="B215:B216" si="76">B209+B211+B213</f>
        <v>37</v>
      </c>
      <c r="C215" s="881">
        <f t="shared" ref="C215:AF215" si="75">SUM(C209:C214)</f>
        <v>148</v>
      </c>
      <c r="D215" s="881">
        <f t="shared" si="75"/>
        <v>134</v>
      </c>
      <c r="E215" s="881">
        <f t="shared" si="75"/>
        <v>143</v>
      </c>
      <c r="F215" s="881">
        <f t="shared" si="75"/>
        <v>142</v>
      </c>
      <c r="G215" s="881">
        <f t="shared" si="75"/>
        <v>153</v>
      </c>
      <c r="H215" s="881">
        <f t="shared" si="75"/>
        <v>164</v>
      </c>
      <c r="I215" s="881">
        <f t="shared" si="75"/>
        <v>184</v>
      </c>
      <c r="J215" s="881">
        <f t="shared" si="75"/>
        <v>173</v>
      </c>
      <c r="K215" s="881">
        <f t="shared" si="75"/>
        <v>168</v>
      </c>
      <c r="L215" s="881">
        <f t="shared" si="75"/>
        <v>175</v>
      </c>
      <c r="M215" s="881">
        <f t="shared" si="75"/>
        <v>178</v>
      </c>
      <c r="N215" s="881">
        <f t="shared" si="75"/>
        <v>280</v>
      </c>
      <c r="O215" s="881">
        <f t="shared" si="75"/>
        <v>257</v>
      </c>
      <c r="P215" s="881">
        <f t="shared" si="75"/>
        <v>214</v>
      </c>
      <c r="Q215" s="881">
        <f t="shared" si="75"/>
        <v>215</v>
      </c>
      <c r="R215" s="881">
        <f t="shared" si="75"/>
        <v>114</v>
      </c>
      <c r="S215" s="881">
        <f t="shared" si="75"/>
        <v>207</v>
      </c>
      <c r="T215" s="881">
        <f t="shared" si="75"/>
        <v>148</v>
      </c>
      <c r="U215" s="881">
        <f t="shared" si="75"/>
        <v>169</v>
      </c>
      <c r="V215" s="881">
        <f t="shared" si="75"/>
        <v>150</v>
      </c>
      <c r="W215" s="881">
        <f t="shared" si="75"/>
        <v>141</v>
      </c>
      <c r="X215" s="881">
        <f t="shared" si="75"/>
        <v>123</v>
      </c>
      <c r="Y215" s="881">
        <f t="shared" si="75"/>
        <v>96</v>
      </c>
      <c r="Z215" s="881">
        <f t="shared" si="75"/>
        <v>105</v>
      </c>
      <c r="AA215" s="881">
        <f t="shared" si="75"/>
        <v>99</v>
      </c>
      <c r="AB215" s="881">
        <f t="shared" si="75"/>
        <v>118</v>
      </c>
      <c r="AC215" s="881">
        <f t="shared" si="75"/>
        <v>107</v>
      </c>
      <c r="AD215" s="881">
        <f t="shared" si="75"/>
        <v>97</v>
      </c>
      <c r="AE215" s="881">
        <f t="shared" si="75"/>
        <v>103</v>
      </c>
      <c r="AF215" s="881">
        <f t="shared" si="75"/>
        <v>113</v>
      </c>
      <c r="AG215" s="768">
        <f t="shared" si="74"/>
        <v>4655</v>
      </c>
    </row>
    <row r="216">
      <c r="A216" s="880" t="s">
        <v>758</v>
      </c>
      <c r="B216" s="881">
        <f t="shared" si="76"/>
        <v>89</v>
      </c>
      <c r="C216" s="881">
        <f t="shared" ref="C216:AF216" si="77">C210+C212+C214</f>
        <v>92</v>
      </c>
      <c r="D216" s="881">
        <f t="shared" si="77"/>
        <v>89</v>
      </c>
      <c r="E216" s="881">
        <f t="shared" si="77"/>
        <v>105</v>
      </c>
      <c r="F216" s="881">
        <f t="shared" si="77"/>
        <v>94</v>
      </c>
      <c r="G216" s="881">
        <f t="shared" si="77"/>
        <v>105</v>
      </c>
      <c r="H216" s="881">
        <f t="shared" si="77"/>
        <v>101</v>
      </c>
      <c r="I216" s="881">
        <f t="shared" si="77"/>
        <v>131</v>
      </c>
      <c r="J216" s="881">
        <f t="shared" si="77"/>
        <v>122</v>
      </c>
      <c r="K216" s="881">
        <f t="shared" si="77"/>
        <v>106</v>
      </c>
      <c r="L216" s="881">
        <f t="shared" si="77"/>
        <v>120</v>
      </c>
      <c r="M216" s="881">
        <f t="shared" si="77"/>
        <v>122</v>
      </c>
      <c r="N216" s="881">
        <f t="shared" si="77"/>
        <v>220</v>
      </c>
      <c r="O216" s="881">
        <f t="shared" si="77"/>
        <v>187</v>
      </c>
      <c r="P216" s="881">
        <f t="shared" si="77"/>
        <v>152</v>
      </c>
      <c r="Q216" s="881">
        <f t="shared" si="77"/>
        <v>143</v>
      </c>
      <c r="R216" s="881">
        <f t="shared" si="77"/>
        <v>84</v>
      </c>
      <c r="S216" s="881">
        <f t="shared" si="77"/>
        <v>150</v>
      </c>
      <c r="T216" s="881">
        <f t="shared" si="77"/>
        <v>105</v>
      </c>
      <c r="U216" s="881">
        <f t="shared" si="77"/>
        <v>122</v>
      </c>
      <c r="V216" s="881">
        <f t="shared" si="77"/>
        <v>102</v>
      </c>
      <c r="W216" s="881">
        <f t="shared" si="77"/>
        <v>112</v>
      </c>
      <c r="X216" s="881">
        <f t="shared" si="77"/>
        <v>96</v>
      </c>
      <c r="Y216" s="881">
        <f t="shared" si="77"/>
        <v>77</v>
      </c>
      <c r="Z216" s="881">
        <f t="shared" si="77"/>
        <v>79</v>
      </c>
      <c r="AA216" s="881">
        <f t="shared" si="77"/>
        <v>77</v>
      </c>
      <c r="AB216" s="881">
        <f t="shared" si="77"/>
        <v>83</v>
      </c>
      <c r="AC216" s="881">
        <f t="shared" si="77"/>
        <v>74</v>
      </c>
      <c r="AD216" s="881">
        <f t="shared" si="77"/>
        <v>80</v>
      </c>
      <c r="AE216" s="881">
        <f t="shared" si="77"/>
        <v>74</v>
      </c>
      <c r="AF216" s="881">
        <f t="shared" si="77"/>
        <v>89</v>
      </c>
      <c r="AG216" s="768">
        <f t="shared" si="74"/>
        <v>3382</v>
      </c>
    </row>
    <row r="217" ht="21.0" customHeight="1">
      <c r="A217" s="42"/>
      <c r="B217" s="542"/>
      <c r="C217" s="542"/>
      <c r="D217" s="542"/>
      <c r="E217" s="542"/>
      <c r="F217" s="542"/>
      <c r="G217" s="542"/>
      <c r="H217" s="542"/>
      <c r="I217" s="327"/>
      <c r="J217" s="327"/>
      <c r="K217" s="327"/>
      <c r="L217" s="327"/>
      <c r="M217" s="327"/>
      <c r="N217" s="327"/>
      <c r="O217" s="327"/>
      <c r="P217" s="327"/>
      <c r="Q217" s="327"/>
      <c r="R217" s="327"/>
      <c r="S217" s="327"/>
      <c r="T217" s="327"/>
      <c r="U217" s="327"/>
      <c r="V217" s="327"/>
      <c r="W217" s="327"/>
      <c r="X217" s="327"/>
      <c r="Y217" s="327"/>
      <c r="Z217" s="327"/>
      <c r="AA217" s="327"/>
      <c r="AB217" s="327"/>
      <c r="AC217" s="327"/>
      <c r="AD217" s="327"/>
      <c r="AE217" s="327"/>
      <c r="AF217" s="327"/>
      <c r="AG217" s="768"/>
    </row>
    <row r="218">
      <c r="A218" s="876" t="s">
        <v>760</v>
      </c>
      <c r="B218" s="877">
        <v>47.0</v>
      </c>
      <c r="C218" s="877">
        <v>51.0</v>
      </c>
      <c r="D218" s="877">
        <v>31.0</v>
      </c>
      <c r="E218" s="877">
        <v>36.0</v>
      </c>
      <c r="F218" s="877">
        <v>40.0</v>
      </c>
      <c r="G218" s="877">
        <v>36.0</v>
      </c>
      <c r="H218" s="301">
        <v>48.0</v>
      </c>
      <c r="I218" s="301">
        <v>66.0</v>
      </c>
      <c r="J218" s="301">
        <v>71.0</v>
      </c>
      <c r="K218" s="301">
        <v>58.0</v>
      </c>
      <c r="L218" s="301">
        <v>53.0</v>
      </c>
      <c r="M218" s="877">
        <v>39.0</v>
      </c>
      <c r="N218" s="301">
        <v>81.0</v>
      </c>
      <c r="O218" s="301">
        <v>58.0</v>
      </c>
      <c r="P218" s="301">
        <v>83.0</v>
      </c>
      <c r="Q218" s="301">
        <v>72.0</v>
      </c>
      <c r="R218" s="877">
        <v>31.0</v>
      </c>
      <c r="S218" s="877">
        <v>73.0</v>
      </c>
      <c r="T218" s="301">
        <v>45.0</v>
      </c>
      <c r="U218" s="302">
        <v>53.0</v>
      </c>
      <c r="V218" s="302">
        <v>43.0</v>
      </c>
      <c r="W218" s="301">
        <v>53.0</v>
      </c>
      <c r="X218" s="877">
        <v>54.0</v>
      </c>
      <c r="Y218" s="877">
        <v>34.0</v>
      </c>
      <c r="Z218" s="301">
        <v>35.0</v>
      </c>
      <c r="AA218" s="877">
        <v>22.0</v>
      </c>
      <c r="AB218" s="301">
        <v>37.0</v>
      </c>
      <c r="AC218" s="301">
        <v>28.0</v>
      </c>
      <c r="AD218" s="301">
        <v>37.0</v>
      </c>
      <c r="AE218" s="301">
        <v>35.0</v>
      </c>
      <c r="AF218" s="877">
        <v>42.0</v>
      </c>
      <c r="AG218" s="768">
        <f t="shared" ref="AG218:AG223" si="78">sum(B218:AF218)</f>
        <v>1492</v>
      </c>
    </row>
    <row r="219">
      <c r="A219" s="876" t="s">
        <v>761</v>
      </c>
      <c r="B219" s="877">
        <v>0.0</v>
      </c>
      <c r="C219" s="877">
        <v>0.0</v>
      </c>
      <c r="D219" s="877">
        <v>0.0</v>
      </c>
      <c r="E219" s="877">
        <v>0.0</v>
      </c>
      <c r="F219" s="877">
        <v>0.0</v>
      </c>
      <c r="G219" s="877">
        <v>0.0</v>
      </c>
      <c r="H219" s="301">
        <v>0.0</v>
      </c>
      <c r="I219" s="301">
        <v>0.0</v>
      </c>
      <c r="J219" s="301">
        <v>0.0</v>
      </c>
      <c r="K219" s="301">
        <v>0.0</v>
      </c>
      <c r="L219" s="301">
        <v>0.0</v>
      </c>
      <c r="M219" s="877">
        <v>0.0</v>
      </c>
      <c r="N219" s="301">
        <v>0.0</v>
      </c>
      <c r="O219" s="301">
        <v>0.0</v>
      </c>
      <c r="P219" s="301">
        <v>0.0</v>
      </c>
      <c r="Q219" s="301">
        <v>0.0</v>
      </c>
      <c r="R219" s="877">
        <v>0.0</v>
      </c>
      <c r="S219" s="877">
        <v>0.0</v>
      </c>
      <c r="T219" s="301">
        <v>0.0</v>
      </c>
      <c r="U219" s="301">
        <v>0.0</v>
      </c>
      <c r="V219" s="302">
        <v>0.0</v>
      </c>
      <c r="W219" s="302">
        <v>0.0</v>
      </c>
      <c r="X219" s="882">
        <v>0.0</v>
      </c>
      <c r="Y219" s="877">
        <v>0.0</v>
      </c>
      <c r="Z219" s="301">
        <v>0.0</v>
      </c>
      <c r="AA219" s="877">
        <v>0.0</v>
      </c>
      <c r="AB219" s="301">
        <v>0.0</v>
      </c>
      <c r="AC219" s="301">
        <v>0.0</v>
      </c>
      <c r="AD219" s="301">
        <v>0.0</v>
      </c>
      <c r="AE219" s="301">
        <v>0.0</v>
      </c>
      <c r="AF219" s="877">
        <v>0.0</v>
      </c>
      <c r="AG219" s="768">
        <f t="shared" si="78"/>
        <v>0</v>
      </c>
    </row>
    <row r="220">
      <c r="A220" s="876" t="s">
        <v>762</v>
      </c>
      <c r="B220" s="877">
        <v>22.0</v>
      </c>
      <c r="C220" s="877">
        <v>37.0</v>
      </c>
      <c r="D220" s="877">
        <v>21.0</v>
      </c>
      <c r="E220" s="877">
        <v>26.0</v>
      </c>
      <c r="F220" s="877">
        <v>22.0</v>
      </c>
      <c r="G220" s="877">
        <v>14.0</v>
      </c>
      <c r="H220" s="301">
        <v>16.0</v>
      </c>
      <c r="I220" s="301">
        <v>29.0</v>
      </c>
      <c r="J220" s="301">
        <v>25.0</v>
      </c>
      <c r="K220" s="301">
        <v>27.0</v>
      </c>
      <c r="L220" s="301">
        <v>22.0</v>
      </c>
      <c r="M220" s="877">
        <v>24.0</v>
      </c>
      <c r="N220" s="301">
        <v>47.0</v>
      </c>
      <c r="O220" s="301">
        <v>37.0</v>
      </c>
      <c r="P220" s="301">
        <v>36.0</v>
      </c>
      <c r="Q220" s="301">
        <v>35.0</v>
      </c>
      <c r="R220" s="877">
        <v>23.0</v>
      </c>
      <c r="S220" s="877">
        <v>34.0</v>
      </c>
      <c r="T220" s="301">
        <v>32.0</v>
      </c>
      <c r="U220" s="302">
        <v>31.0</v>
      </c>
      <c r="V220" s="302">
        <v>24.0</v>
      </c>
      <c r="W220" s="301">
        <v>26.0</v>
      </c>
      <c r="X220" s="877">
        <v>23.0</v>
      </c>
      <c r="Y220" s="877">
        <v>23.0</v>
      </c>
      <c r="Z220" s="301">
        <v>16.0</v>
      </c>
      <c r="AA220" s="877">
        <v>18.0</v>
      </c>
      <c r="AB220" s="301">
        <v>14.0</v>
      </c>
      <c r="AC220" s="301">
        <v>14.0</v>
      </c>
      <c r="AD220" s="301">
        <v>17.0</v>
      </c>
      <c r="AE220" s="301">
        <v>22.0</v>
      </c>
      <c r="AF220" s="877">
        <v>15.0</v>
      </c>
      <c r="AG220" s="768">
        <f t="shared" si="78"/>
        <v>772</v>
      </c>
    </row>
    <row r="221">
      <c r="A221" s="876" t="s">
        <v>763</v>
      </c>
      <c r="B221" s="877">
        <v>31.0</v>
      </c>
      <c r="C221" s="877">
        <v>41.0</v>
      </c>
      <c r="D221" s="877">
        <v>22.0</v>
      </c>
      <c r="E221" s="877">
        <v>31.0</v>
      </c>
      <c r="F221" s="877">
        <v>18.0</v>
      </c>
      <c r="G221" s="877">
        <v>23.0</v>
      </c>
      <c r="H221" s="301">
        <v>18.0</v>
      </c>
      <c r="I221" s="301">
        <v>36.0</v>
      </c>
      <c r="J221" s="301">
        <v>38.0</v>
      </c>
      <c r="K221" s="301">
        <v>33.0</v>
      </c>
      <c r="L221" s="301">
        <v>23.0</v>
      </c>
      <c r="M221" s="877">
        <v>22.0</v>
      </c>
      <c r="N221" s="301">
        <v>55.0</v>
      </c>
      <c r="O221" s="301">
        <v>46.0</v>
      </c>
      <c r="P221" s="301">
        <v>45.0</v>
      </c>
      <c r="Q221" s="301">
        <v>33.0</v>
      </c>
      <c r="R221" s="877">
        <v>17.0</v>
      </c>
      <c r="S221" s="877">
        <v>33.0</v>
      </c>
      <c r="T221" s="301">
        <v>30.0</v>
      </c>
      <c r="U221" s="294">
        <v>32.0</v>
      </c>
      <c r="V221" s="294">
        <v>33.0</v>
      </c>
      <c r="W221" s="301">
        <v>28.0</v>
      </c>
      <c r="X221" s="882">
        <v>35.0</v>
      </c>
      <c r="Y221" s="877">
        <v>19.0</v>
      </c>
      <c r="Z221" s="301">
        <v>13.0</v>
      </c>
      <c r="AA221" s="877">
        <v>22.0</v>
      </c>
      <c r="AB221" s="301">
        <v>14.0</v>
      </c>
      <c r="AC221" s="301">
        <v>15.0</v>
      </c>
      <c r="AD221" s="301">
        <v>11.0</v>
      </c>
      <c r="AE221" s="301">
        <v>23.0</v>
      </c>
      <c r="AF221" s="877">
        <v>18.0</v>
      </c>
      <c r="AG221" s="768">
        <f t="shared" si="78"/>
        <v>858</v>
      </c>
    </row>
    <row r="222">
      <c r="A222" s="876" t="s">
        <v>764</v>
      </c>
      <c r="B222" s="877">
        <v>17.0</v>
      </c>
      <c r="C222" s="877">
        <v>17.0</v>
      </c>
      <c r="D222" s="877">
        <v>14.0</v>
      </c>
      <c r="E222" s="877">
        <v>17.0</v>
      </c>
      <c r="F222" s="877">
        <v>13.0</v>
      </c>
      <c r="G222" s="877">
        <v>19.0</v>
      </c>
      <c r="H222" s="301">
        <v>17.0</v>
      </c>
      <c r="I222" s="301">
        <v>18.0</v>
      </c>
      <c r="J222" s="301">
        <v>22.0</v>
      </c>
      <c r="K222" s="301">
        <v>25.0</v>
      </c>
      <c r="L222" s="301">
        <v>10.0</v>
      </c>
      <c r="M222" s="877">
        <v>9.0</v>
      </c>
      <c r="N222" s="301">
        <v>35.0</v>
      </c>
      <c r="O222" s="301">
        <v>23.0</v>
      </c>
      <c r="P222" s="301">
        <v>21.0</v>
      </c>
      <c r="Q222" s="301">
        <v>16.0</v>
      </c>
      <c r="R222" s="877">
        <v>17.0</v>
      </c>
      <c r="S222" s="877">
        <v>18.0</v>
      </c>
      <c r="T222" s="301">
        <v>9.0</v>
      </c>
      <c r="U222" s="294">
        <v>18.0</v>
      </c>
      <c r="V222" s="294">
        <v>15.0</v>
      </c>
      <c r="W222" s="301">
        <v>14.0</v>
      </c>
      <c r="X222" s="877">
        <v>20.0</v>
      </c>
      <c r="Y222" s="877">
        <v>11.0</v>
      </c>
      <c r="Z222" s="301">
        <v>13.0</v>
      </c>
      <c r="AA222" s="877">
        <v>11.0</v>
      </c>
      <c r="AB222" s="301">
        <v>10.0</v>
      </c>
      <c r="AC222" s="301">
        <v>8.0</v>
      </c>
      <c r="AD222" s="301">
        <v>16.0</v>
      </c>
      <c r="AE222" s="301">
        <v>15.0</v>
      </c>
      <c r="AF222" s="877">
        <v>10.0</v>
      </c>
      <c r="AG222" s="768">
        <f t="shared" si="78"/>
        <v>498</v>
      </c>
    </row>
    <row r="223">
      <c r="A223" s="880" t="s">
        <v>765</v>
      </c>
      <c r="B223" s="881">
        <f t="shared" ref="B223:AF223" si="79">SUM(B218:B222)</f>
        <v>117</v>
      </c>
      <c r="C223" s="881">
        <f t="shared" si="79"/>
        <v>146</v>
      </c>
      <c r="D223" s="881">
        <f t="shared" si="79"/>
        <v>88</v>
      </c>
      <c r="E223" s="881">
        <f t="shared" si="79"/>
        <v>110</v>
      </c>
      <c r="F223" s="881">
        <f t="shared" si="79"/>
        <v>93</v>
      </c>
      <c r="G223" s="881">
        <f t="shared" si="79"/>
        <v>92</v>
      </c>
      <c r="H223" s="881">
        <f t="shared" si="79"/>
        <v>99</v>
      </c>
      <c r="I223" s="881">
        <f t="shared" si="79"/>
        <v>149</v>
      </c>
      <c r="J223" s="881">
        <f t="shared" si="79"/>
        <v>156</v>
      </c>
      <c r="K223" s="881">
        <f t="shared" si="79"/>
        <v>143</v>
      </c>
      <c r="L223" s="881">
        <f t="shared" si="79"/>
        <v>108</v>
      </c>
      <c r="M223" s="881">
        <f t="shared" si="79"/>
        <v>94</v>
      </c>
      <c r="N223" s="881">
        <f t="shared" si="79"/>
        <v>218</v>
      </c>
      <c r="O223" s="881">
        <f t="shared" si="79"/>
        <v>164</v>
      </c>
      <c r="P223" s="881">
        <f t="shared" si="79"/>
        <v>185</v>
      </c>
      <c r="Q223" s="881">
        <f t="shared" si="79"/>
        <v>156</v>
      </c>
      <c r="R223" s="881">
        <f t="shared" si="79"/>
        <v>88</v>
      </c>
      <c r="S223" s="881">
        <f t="shared" si="79"/>
        <v>158</v>
      </c>
      <c r="T223" s="881">
        <f t="shared" si="79"/>
        <v>116</v>
      </c>
      <c r="U223" s="881">
        <f t="shared" si="79"/>
        <v>134</v>
      </c>
      <c r="V223" s="881">
        <f t="shared" si="79"/>
        <v>115</v>
      </c>
      <c r="W223" s="881">
        <f t="shared" si="79"/>
        <v>121</v>
      </c>
      <c r="X223" s="881">
        <f t="shared" si="79"/>
        <v>132</v>
      </c>
      <c r="Y223" s="881">
        <f t="shared" si="79"/>
        <v>87</v>
      </c>
      <c r="Z223" s="881">
        <f t="shared" si="79"/>
        <v>77</v>
      </c>
      <c r="AA223" s="881">
        <f t="shared" si="79"/>
        <v>73</v>
      </c>
      <c r="AB223" s="881">
        <f t="shared" si="79"/>
        <v>75</v>
      </c>
      <c r="AC223" s="881">
        <f t="shared" si="79"/>
        <v>65</v>
      </c>
      <c r="AD223" s="881">
        <f t="shared" si="79"/>
        <v>81</v>
      </c>
      <c r="AE223" s="881">
        <f t="shared" si="79"/>
        <v>95</v>
      </c>
      <c r="AF223" s="881">
        <f t="shared" si="79"/>
        <v>85</v>
      </c>
      <c r="AG223" s="768">
        <f t="shared" si="78"/>
        <v>3620</v>
      </c>
    </row>
    <row r="224">
      <c r="A224" s="42"/>
      <c r="B224" s="542"/>
      <c r="C224" s="542"/>
      <c r="D224" s="542"/>
      <c r="E224" s="542"/>
      <c r="F224" s="542"/>
      <c r="G224" s="542"/>
      <c r="H224" s="542"/>
      <c r="I224" s="327"/>
      <c r="J224" s="327"/>
      <c r="K224" s="327"/>
      <c r="L224" s="327"/>
      <c r="M224" s="327"/>
      <c r="N224" s="327"/>
      <c r="O224" s="327"/>
      <c r="P224" s="327"/>
      <c r="Q224" s="327"/>
      <c r="R224" s="327"/>
      <c r="S224" s="327"/>
      <c r="T224" s="327"/>
      <c r="U224" s="327"/>
      <c r="V224" s="327"/>
      <c r="W224" s="327"/>
      <c r="X224" s="327"/>
      <c r="Y224" s="327"/>
      <c r="Z224" s="327"/>
      <c r="AA224" s="327"/>
      <c r="AB224" s="327"/>
      <c r="AC224" s="327"/>
      <c r="AD224" s="327"/>
      <c r="AE224" s="327"/>
      <c r="AF224" s="327"/>
      <c r="AG224" s="768"/>
    </row>
    <row r="225">
      <c r="A225" s="876" t="s">
        <v>767</v>
      </c>
      <c r="B225" s="877">
        <v>3.0</v>
      </c>
      <c r="C225" s="877">
        <v>1.0</v>
      </c>
      <c r="D225" s="877">
        <v>1.0</v>
      </c>
      <c r="E225" s="877">
        <v>1.0</v>
      </c>
      <c r="F225" s="877">
        <v>4.0</v>
      </c>
      <c r="G225" s="877">
        <v>6.0</v>
      </c>
      <c r="H225" s="301">
        <v>0.0</v>
      </c>
      <c r="I225" s="301">
        <v>4.0</v>
      </c>
      <c r="J225" s="301">
        <v>1.0</v>
      </c>
      <c r="K225" s="301">
        <v>4.0</v>
      </c>
      <c r="L225" s="301">
        <v>2.0</v>
      </c>
      <c r="M225" s="877">
        <v>6.0</v>
      </c>
      <c r="N225" s="301">
        <v>2.0</v>
      </c>
      <c r="O225" s="301">
        <v>8.0</v>
      </c>
      <c r="P225" s="301">
        <v>2.0</v>
      </c>
      <c r="Q225" s="301">
        <v>7.0</v>
      </c>
      <c r="R225" s="877">
        <v>1.0</v>
      </c>
      <c r="S225" s="877">
        <v>4.0</v>
      </c>
      <c r="T225" s="301">
        <v>1.0</v>
      </c>
      <c r="U225" s="301">
        <v>5.0</v>
      </c>
      <c r="V225" s="301">
        <v>5.0</v>
      </c>
      <c r="W225" s="301">
        <v>4.0</v>
      </c>
      <c r="X225" s="301">
        <v>1.0</v>
      </c>
      <c r="Y225" s="877">
        <v>3.0</v>
      </c>
      <c r="Z225" s="301">
        <v>2.0</v>
      </c>
      <c r="AA225" s="877">
        <v>3.0</v>
      </c>
      <c r="AB225" s="301">
        <v>3.0</v>
      </c>
      <c r="AC225" s="301">
        <v>4.0</v>
      </c>
      <c r="AD225" s="301">
        <v>3.0</v>
      </c>
      <c r="AE225" s="301">
        <v>0.0</v>
      </c>
      <c r="AF225" s="877">
        <v>4.0</v>
      </c>
      <c r="AG225" s="768">
        <f t="shared" ref="AG225:AG230" si="80">sum(B225:AF225)</f>
        <v>95</v>
      </c>
    </row>
    <row r="226">
      <c r="A226" s="876" t="s">
        <v>769</v>
      </c>
      <c r="B226" s="877">
        <v>0.0</v>
      </c>
      <c r="C226" s="877">
        <v>0.0</v>
      </c>
      <c r="D226" s="877">
        <v>0.0</v>
      </c>
      <c r="E226" s="877">
        <v>0.0</v>
      </c>
      <c r="F226" s="877">
        <v>0.0</v>
      </c>
      <c r="G226" s="877">
        <v>0.0</v>
      </c>
      <c r="H226" s="301">
        <v>0.0</v>
      </c>
      <c r="I226" s="301">
        <v>0.0</v>
      </c>
      <c r="J226" s="301">
        <v>0.0</v>
      </c>
      <c r="K226" s="301">
        <v>0.0</v>
      </c>
      <c r="L226" s="301">
        <v>0.0</v>
      </c>
      <c r="M226" s="877">
        <v>0.0</v>
      </c>
      <c r="N226" s="301">
        <v>0.0</v>
      </c>
      <c r="O226" s="301">
        <v>0.0</v>
      </c>
      <c r="P226" s="301">
        <v>0.0</v>
      </c>
      <c r="Q226" s="301">
        <v>0.0</v>
      </c>
      <c r="R226" s="877">
        <v>0.0</v>
      </c>
      <c r="S226" s="877">
        <v>0.0</v>
      </c>
      <c r="T226" s="301">
        <v>0.0</v>
      </c>
      <c r="U226" s="301">
        <v>0.0</v>
      </c>
      <c r="V226" s="301">
        <v>0.0</v>
      </c>
      <c r="W226" s="301">
        <v>0.0</v>
      </c>
      <c r="X226" s="301">
        <v>0.0</v>
      </c>
      <c r="Y226" s="877">
        <v>0.0</v>
      </c>
      <c r="Z226" s="301">
        <v>0.0</v>
      </c>
      <c r="AA226" s="877">
        <v>0.0</v>
      </c>
      <c r="AB226" s="301">
        <v>0.0</v>
      </c>
      <c r="AC226" s="301">
        <v>0.0</v>
      </c>
      <c r="AD226" s="301">
        <v>0.0</v>
      </c>
      <c r="AE226" s="301">
        <v>0.0</v>
      </c>
      <c r="AF226" s="877">
        <v>0.0</v>
      </c>
      <c r="AG226" s="768">
        <f t="shared" si="80"/>
        <v>0</v>
      </c>
    </row>
    <row r="227">
      <c r="A227" s="876" t="s">
        <v>770</v>
      </c>
      <c r="B227" s="877">
        <v>2.0</v>
      </c>
      <c r="C227" s="877">
        <v>0.0</v>
      </c>
      <c r="D227" s="877">
        <v>1.0</v>
      </c>
      <c r="E227" s="877">
        <v>2.0</v>
      </c>
      <c r="F227" s="877">
        <v>2.0</v>
      </c>
      <c r="G227" s="877">
        <v>4.0</v>
      </c>
      <c r="H227" s="301">
        <v>0.0</v>
      </c>
      <c r="I227" s="301">
        <v>2.0</v>
      </c>
      <c r="J227" s="301">
        <v>0.0</v>
      </c>
      <c r="K227" s="301">
        <v>2.0</v>
      </c>
      <c r="L227" s="301">
        <v>1.0</v>
      </c>
      <c r="M227" s="877">
        <v>0.0</v>
      </c>
      <c r="N227" s="301">
        <v>1.0</v>
      </c>
      <c r="O227" s="301">
        <v>1.0</v>
      </c>
      <c r="P227" s="301">
        <v>3.0</v>
      </c>
      <c r="Q227" s="301">
        <v>2.0</v>
      </c>
      <c r="R227" s="877">
        <v>1.0</v>
      </c>
      <c r="S227" s="877">
        <v>1.0</v>
      </c>
      <c r="T227" s="301">
        <v>1.0</v>
      </c>
      <c r="U227" s="301">
        <v>1.0</v>
      </c>
      <c r="V227" s="301">
        <v>2.0</v>
      </c>
      <c r="W227" s="301">
        <v>1.0</v>
      </c>
      <c r="X227" s="301">
        <v>3.0</v>
      </c>
      <c r="Y227" s="877">
        <v>1.0</v>
      </c>
      <c r="Z227" s="301">
        <v>1.0</v>
      </c>
      <c r="AA227" s="877">
        <v>14.0</v>
      </c>
      <c r="AB227" s="301">
        <v>1.0</v>
      </c>
      <c r="AC227" s="301">
        <v>1.0</v>
      </c>
      <c r="AD227" s="301">
        <v>1.0</v>
      </c>
      <c r="AE227" s="301">
        <v>1.0</v>
      </c>
      <c r="AF227" s="877">
        <v>1.0</v>
      </c>
      <c r="AG227" s="768">
        <f t="shared" si="80"/>
        <v>54</v>
      </c>
    </row>
    <row r="228">
      <c r="A228" s="876" t="s">
        <v>771</v>
      </c>
      <c r="B228" s="877">
        <v>2.0</v>
      </c>
      <c r="C228" s="877">
        <v>2.0</v>
      </c>
      <c r="D228" s="877">
        <v>0.0</v>
      </c>
      <c r="E228" s="877">
        <v>3.0</v>
      </c>
      <c r="F228" s="877">
        <v>4.0</v>
      </c>
      <c r="G228" s="877">
        <v>4.0</v>
      </c>
      <c r="H228" s="301">
        <v>1.0</v>
      </c>
      <c r="I228" s="301">
        <v>2.0</v>
      </c>
      <c r="J228" s="301">
        <v>0.0</v>
      </c>
      <c r="K228" s="301">
        <v>3.0</v>
      </c>
      <c r="L228" s="301">
        <v>2.0</v>
      </c>
      <c r="M228" s="877">
        <v>3.0</v>
      </c>
      <c r="N228" s="301">
        <v>0.0</v>
      </c>
      <c r="O228" s="301">
        <v>1.0</v>
      </c>
      <c r="P228" s="301">
        <v>3.0</v>
      </c>
      <c r="Q228" s="301">
        <v>3.0</v>
      </c>
      <c r="R228" s="877">
        <v>1.0</v>
      </c>
      <c r="S228" s="877">
        <v>0.0</v>
      </c>
      <c r="T228" s="301">
        <v>0.0</v>
      </c>
      <c r="U228" s="301">
        <v>1.0</v>
      </c>
      <c r="V228" s="301">
        <v>3.0</v>
      </c>
      <c r="W228" s="301">
        <v>1.0</v>
      </c>
      <c r="X228" s="301">
        <v>1.0</v>
      </c>
      <c r="Y228" s="877">
        <v>1.0</v>
      </c>
      <c r="Z228" s="301">
        <v>1.0</v>
      </c>
      <c r="AA228" s="877">
        <v>1.0</v>
      </c>
      <c r="AB228" s="301">
        <v>0.0</v>
      </c>
      <c r="AC228" s="301">
        <v>2.0</v>
      </c>
      <c r="AD228" s="301">
        <v>0.0</v>
      </c>
      <c r="AE228" s="301">
        <v>0.0</v>
      </c>
      <c r="AF228" s="877">
        <v>0.0</v>
      </c>
      <c r="AG228" s="768">
        <f t="shared" si="80"/>
        <v>45</v>
      </c>
    </row>
    <row r="229">
      <c r="A229" s="876" t="s">
        <v>772</v>
      </c>
      <c r="B229" s="877">
        <v>0.0</v>
      </c>
      <c r="C229" s="877">
        <v>1.0</v>
      </c>
      <c r="D229" s="877">
        <v>3.0</v>
      </c>
      <c r="E229" s="877">
        <v>3.0</v>
      </c>
      <c r="F229" s="877">
        <v>0.0</v>
      </c>
      <c r="G229" s="877">
        <v>0.0</v>
      </c>
      <c r="H229" s="301">
        <v>1.0</v>
      </c>
      <c r="I229" s="301">
        <v>5.0</v>
      </c>
      <c r="J229" s="301">
        <v>3.0</v>
      </c>
      <c r="K229" s="301">
        <v>2.0</v>
      </c>
      <c r="L229" s="301">
        <v>2.0</v>
      </c>
      <c r="M229" s="877">
        <v>5.0</v>
      </c>
      <c r="N229" s="301">
        <v>0.0</v>
      </c>
      <c r="O229" s="301">
        <v>1.0</v>
      </c>
      <c r="P229" s="301">
        <v>1.0</v>
      </c>
      <c r="Q229" s="301">
        <v>1.0</v>
      </c>
      <c r="R229" s="877">
        <v>0.0</v>
      </c>
      <c r="S229" s="877">
        <v>1.0</v>
      </c>
      <c r="T229" s="301">
        <v>1.0</v>
      </c>
      <c r="U229" s="301">
        <v>3.0</v>
      </c>
      <c r="V229" s="301">
        <v>1.0</v>
      </c>
      <c r="W229" s="301">
        <v>2.0</v>
      </c>
      <c r="X229" s="301">
        <v>0.0</v>
      </c>
      <c r="Y229" s="877">
        <v>0.0</v>
      </c>
      <c r="Z229" s="301">
        <v>4.0</v>
      </c>
      <c r="AA229" s="877">
        <v>0.0</v>
      </c>
      <c r="AB229" s="301">
        <v>0.0</v>
      </c>
      <c r="AC229" s="301">
        <v>2.0</v>
      </c>
      <c r="AD229" s="301">
        <v>4.0</v>
      </c>
      <c r="AE229" s="301">
        <v>1.0</v>
      </c>
      <c r="AF229" s="877">
        <v>1.0</v>
      </c>
      <c r="AG229" s="768">
        <f t="shared" si="80"/>
        <v>48</v>
      </c>
    </row>
    <row r="230">
      <c r="A230" s="883" t="s">
        <v>773</v>
      </c>
      <c r="B230" s="881">
        <f t="shared" ref="B230:AF230" si="81">SUM(B225:B229)</f>
        <v>7</v>
      </c>
      <c r="C230" s="881">
        <f t="shared" si="81"/>
        <v>4</v>
      </c>
      <c r="D230" s="881">
        <f t="shared" si="81"/>
        <v>5</v>
      </c>
      <c r="E230" s="881">
        <f t="shared" si="81"/>
        <v>9</v>
      </c>
      <c r="F230" s="881">
        <f t="shared" si="81"/>
        <v>10</v>
      </c>
      <c r="G230" s="881">
        <f t="shared" si="81"/>
        <v>14</v>
      </c>
      <c r="H230" s="881">
        <f t="shared" si="81"/>
        <v>2</v>
      </c>
      <c r="I230" s="881">
        <f t="shared" si="81"/>
        <v>13</v>
      </c>
      <c r="J230" s="881">
        <f t="shared" si="81"/>
        <v>4</v>
      </c>
      <c r="K230" s="881">
        <f t="shared" si="81"/>
        <v>11</v>
      </c>
      <c r="L230" s="881">
        <f t="shared" si="81"/>
        <v>7</v>
      </c>
      <c r="M230" s="881">
        <f t="shared" si="81"/>
        <v>14</v>
      </c>
      <c r="N230" s="881">
        <f t="shared" si="81"/>
        <v>3</v>
      </c>
      <c r="O230" s="881">
        <f t="shared" si="81"/>
        <v>11</v>
      </c>
      <c r="P230" s="881">
        <f t="shared" si="81"/>
        <v>9</v>
      </c>
      <c r="Q230" s="881">
        <f t="shared" si="81"/>
        <v>13</v>
      </c>
      <c r="R230" s="881">
        <f t="shared" si="81"/>
        <v>3</v>
      </c>
      <c r="S230" s="881">
        <f t="shared" si="81"/>
        <v>6</v>
      </c>
      <c r="T230" s="881">
        <f t="shared" si="81"/>
        <v>3</v>
      </c>
      <c r="U230" s="881">
        <f t="shared" si="81"/>
        <v>10</v>
      </c>
      <c r="V230" s="881">
        <f t="shared" si="81"/>
        <v>11</v>
      </c>
      <c r="W230" s="881">
        <f t="shared" si="81"/>
        <v>8</v>
      </c>
      <c r="X230" s="881">
        <f t="shared" si="81"/>
        <v>5</v>
      </c>
      <c r="Y230" s="881">
        <f t="shared" si="81"/>
        <v>5</v>
      </c>
      <c r="Z230" s="881">
        <f t="shared" si="81"/>
        <v>8</v>
      </c>
      <c r="AA230" s="881">
        <f t="shared" si="81"/>
        <v>18</v>
      </c>
      <c r="AB230" s="881">
        <f t="shared" si="81"/>
        <v>4</v>
      </c>
      <c r="AC230" s="881">
        <f t="shared" si="81"/>
        <v>9</v>
      </c>
      <c r="AD230" s="881">
        <f t="shared" si="81"/>
        <v>8</v>
      </c>
      <c r="AE230" s="881">
        <f t="shared" si="81"/>
        <v>2</v>
      </c>
      <c r="AF230" s="881">
        <f t="shared" si="81"/>
        <v>6</v>
      </c>
      <c r="AG230" s="768">
        <f t="shared" si="80"/>
        <v>242</v>
      </c>
    </row>
    <row r="231">
      <c r="A231" s="42"/>
      <c r="B231" s="542"/>
      <c r="C231" s="542"/>
      <c r="D231" s="542"/>
      <c r="E231" s="542"/>
      <c r="F231" s="542"/>
      <c r="G231" s="542"/>
      <c r="H231" s="542"/>
      <c r="I231" s="327"/>
      <c r="J231" s="327"/>
      <c r="K231" s="327"/>
      <c r="L231" s="327"/>
      <c r="M231" s="327"/>
      <c r="N231" s="327"/>
      <c r="O231" s="327"/>
      <c r="P231" s="327"/>
      <c r="Q231" s="327"/>
      <c r="R231" s="327"/>
      <c r="S231" s="327"/>
      <c r="T231" s="327"/>
      <c r="U231" s="327"/>
      <c r="V231" s="327"/>
      <c r="W231" s="327"/>
      <c r="X231" s="327"/>
      <c r="Y231" s="327"/>
      <c r="Z231" s="327"/>
      <c r="AA231" s="327"/>
      <c r="AB231" s="327"/>
      <c r="AC231" s="327"/>
      <c r="AD231" s="327"/>
      <c r="AE231" s="327"/>
      <c r="AF231" s="327"/>
      <c r="AG231" s="768"/>
    </row>
    <row r="232">
      <c r="A232" s="876" t="s">
        <v>774</v>
      </c>
      <c r="B232" s="836"/>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8"/>
      <c r="AD232" s="878"/>
      <c r="AE232" s="878"/>
      <c r="AF232" s="878"/>
      <c r="AG232" s="768">
        <f t="shared" ref="AG232:AG237" si="82">sum(B232:AF232)</f>
        <v>0</v>
      </c>
    </row>
    <row r="233">
      <c r="A233" s="876" t="s">
        <v>775</v>
      </c>
      <c r="B233" s="836"/>
      <c r="C233" s="884"/>
      <c r="D233" s="54"/>
      <c r="E233" s="878"/>
      <c r="F233" s="878"/>
      <c r="G233" s="878"/>
      <c r="H233" s="878"/>
      <c r="I233" s="878"/>
      <c r="J233" s="878"/>
      <c r="K233" s="878"/>
      <c r="L233" s="878"/>
      <c r="M233" s="878"/>
      <c r="N233" s="878"/>
      <c r="O233" s="878"/>
      <c r="P233" s="878"/>
      <c r="Q233" s="878"/>
      <c r="R233" s="878"/>
      <c r="S233" s="878"/>
      <c r="T233" s="878"/>
      <c r="U233" s="878"/>
      <c r="V233" s="878"/>
      <c r="W233" s="878"/>
      <c r="X233" s="878"/>
      <c r="Y233" s="878"/>
      <c r="Z233" s="878"/>
      <c r="AA233" s="878"/>
      <c r="AB233" s="878"/>
      <c r="AC233" s="878"/>
      <c r="AD233" s="878"/>
      <c r="AE233" s="878"/>
      <c r="AF233" s="878"/>
      <c r="AG233" s="768">
        <f t="shared" si="82"/>
        <v>0</v>
      </c>
    </row>
    <row r="234">
      <c r="A234" s="876" t="s">
        <v>776</v>
      </c>
      <c r="B234" s="836"/>
      <c r="C234" s="878"/>
      <c r="D234" s="878"/>
      <c r="E234" s="878"/>
      <c r="F234" s="878"/>
      <c r="G234" s="878"/>
      <c r="H234" s="878"/>
      <c r="I234" s="878"/>
      <c r="J234" s="878"/>
      <c r="K234" s="878"/>
      <c r="L234" s="878"/>
      <c r="M234" s="878"/>
      <c r="N234" s="878"/>
      <c r="O234" s="878"/>
      <c r="P234" s="878"/>
      <c r="Q234" s="878"/>
      <c r="R234" s="878"/>
      <c r="S234" s="878"/>
      <c r="T234" s="878"/>
      <c r="U234" s="878"/>
      <c r="V234" s="878"/>
      <c r="W234" s="878"/>
      <c r="X234" s="878"/>
      <c r="Y234" s="878"/>
      <c r="Z234" s="878"/>
      <c r="AA234" s="878"/>
      <c r="AB234" s="878"/>
      <c r="AC234" s="878"/>
      <c r="AD234" s="878"/>
      <c r="AE234" s="878"/>
      <c r="AF234" s="878"/>
      <c r="AG234" s="768">
        <f t="shared" si="82"/>
        <v>0</v>
      </c>
    </row>
    <row r="235">
      <c r="A235" s="876" t="s">
        <v>777</v>
      </c>
      <c r="B235" s="836"/>
      <c r="C235" s="878"/>
      <c r="D235" s="878"/>
      <c r="E235" s="878"/>
      <c r="F235" s="878"/>
      <c r="G235" s="878"/>
      <c r="H235" s="878"/>
      <c r="I235" s="878"/>
      <c r="J235" s="878"/>
      <c r="K235" s="878"/>
      <c r="L235" s="878"/>
      <c r="M235" s="878"/>
      <c r="N235" s="878"/>
      <c r="O235" s="878"/>
      <c r="P235" s="878"/>
      <c r="Q235" s="878"/>
      <c r="R235" s="878"/>
      <c r="S235" s="878"/>
      <c r="T235" s="878"/>
      <c r="U235" s="878"/>
      <c r="V235" s="878"/>
      <c r="W235" s="878"/>
      <c r="X235" s="878"/>
      <c r="Y235" s="878"/>
      <c r="Z235" s="878"/>
      <c r="AA235" s="878"/>
      <c r="AB235" s="878"/>
      <c r="AC235" s="878"/>
      <c r="AD235" s="878"/>
      <c r="AE235" s="878"/>
      <c r="AF235" s="878"/>
      <c r="AG235" s="768">
        <f t="shared" si="82"/>
        <v>0</v>
      </c>
    </row>
    <row r="236">
      <c r="A236" s="876" t="s">
        <v>778</v>
      </c>
      <c r="B236" s="878">
        <v>1.0</v>
      </c>
      <c r="C236" s="884"/>
      <c r="D236" s="878"/>
      <c r="E236" s="878"/>
      <c r="F236" s="878"/>
      <c r="G236" s="878"/>
      <c r="H236" s="878"/>
      <c r="I236" s="878"/>
      <c r="J236" s="878"/>
      <c r="K236" s="878"/>
      <c r="L236" s="878"/>
      <c r="M236" s="878"/>
      <c r="N236" s="878"/>
      <c r="O236" s="878"/>
      <c r="P236" s="878"/>
      <c r="Q236" s="878"/>
      <c r="R236" s="878"/>
      <c r="S236" s="878"/>
      <c r="T236" s="878"/>
      <c r="U236" s="878"/>
      <c r="V236" s="878"/>
      <c r="W236" s="878"/>
      <c r="X236" s="878"/>
      <c r="Y236" s="878"/>
      <c r="Z236" s="878"/>
      <c r="AA236" s="878"/>
      <c r="AB236" s="878"/>
      <c r="AC236" s="878"/>
      <c r="AD236" s="878"/>
      <c r="AE236" s="878"/>
      <c r="AF236" s="878"/>
      <c r="AG236" s="768">
        <f t="shared" si="82"/>
        <v>1</v>
      </c>
    </row>
    <row r="237">
      <c r="A237" s="883" t="s">
        <v>779</v>
      </c>
      <c r="B237" s="881">
        <f>SUM(B232:B236)</f>
        <v>1</v>
      </c>
      <c r="C237" s="881">
        <f>SUM(C232:C235)</f>
        <v>0</v>
      </c>
      <c r="D237" s="881">
        <f t="shared" ref="D237:F237" si="83">SUM(D232:D236)</f>
        <v>0</v>
      </c>
      <c r="E237" s="881">
        <f t="shared" si="83"/>
        <v>0</v>
      </c>
      <c r="F237" s="881">
        <f t="shared" si="83"/>
        <v>0</v>
      </c>
      <c r="G237" s="881">
        <f t="shared" ref="G237:V237" si="84">SUM(G232:G235)</f>
        <v>0</v>
      </c>
      <c r="H237" s="881">
        <f t="shared" si="84"/>
        <v>0</v>
      </c>
      <c r="I237" s="881">
        <f t="shared" si="84"/>
        <v>0</v>
      </c>
      <c r="J237" s="881">
        <f t="shared" si="84"/>
        <v>0</v>
      </c>
      <c r="K237" s="881">
        <f t="shared" si="84"/>
        <v>0</v>
      </c>
      <c r="L237" s="881">
        <f t="shared" si="84"/>
        <v>0</v>
      </c>
      <c r="M237" s="881">
        <f t="shared" si="84"/>
        <v>0</v>
      </c>
      <c r="N237" s="881">
        <f t="shared" si="84"/>
        <v>0</v>
      </c>
      <c r="O237" s="881">
        <f t="shared" si="84"/>
        <v>0</v>
      </c>
      <c r="P237" s="881">
        <f t="shared" si="84"/>
        <v>0</v>
      </c>
      <c r="Q237" s="881">
        <f t="shared" si="84"/>
        <v>0</v>
      </c>
      <c r="R237" s="881">
        <f t="shared" si="84"/>
        <v>0</v>
      </c>
      <c r="S237" s="881">
        <f t="shared" si="84"/>
        <v>0</v>
      </c>
      <c r="T237" s="881">
        <f t="shared" si="84"/>
        <v>0</v>
      </c>
      <c r="U237" s="881">
        <f t="shared" si="84"/>
        <v>0</v>
      </c>
      <c r="V237" s="881">
        <f t="shared" si="84"/>
        <v>0</v>
      </c>
      <c r="W237" s="881">
        <f>SUM(W232:W236)</f>
        <v>0</v>
      </c>
      <c r="X237" s="881">
        <f t="shared" ref="X237:AF237" si="85">SUM(X232:X235)</f>
        <v>0</v>
      </c>
      <c r="Y237" s="881">
        <f t="shared" si="85"/>
        <v>0</v>
      </c>
      <c r="Z237" s="881">
        <f t="shared" si="85"/>
        <v>0</v>
      </c>
      <c r="AA237" s="881">
        <f t="shared" si="85"/>
        <v>0</v>
      </c>
      <c r="AB237" s="881">
        <f t="shared" si="85"/>
        <v>0</v>
      </c>
      <c r="AC237" s="881">
        <f t="shared" si="85"/>
        <v>0</v>
      </c>
      <c r="AD237" s="881">
        <f t="shared" si="85"/>
        <v>0</v>
      </c>
      <c r="AE237" s="881">
        <f t="shared" si="85"/>
        <v>0</v>
      </c>
      <c r="AF237" s="881">
        <f t="shared" si="85"/>
        <v>0</v>
      </c>
      <c r="AG237" s="768">
        <f t="shared" si="82"/>
        <v>1</v>
      </c>
    </row>
    <row r="238">
      <c r="A238" s="42"/>
      <c r="B238" s="542"/>
      <c r="C238" s="542"/>
      <c r="D238" s="542"/>
      <c r="E238" s="542"/>
      <c r="F238" s="542"/>
      <c r="G238" s="542"/>
      <c r="H238" s="542"/>
      <c r="I238" s="327"/>
      <c r="J238" s="327"/>
      <c r="K238" s="327"/>
      <c r="L238" s="327"/>
      <c r="M238" s="327"/>
      <c r="N238" s="327"/>
      <c r="O238" s="327"/>
      <c r="P238" s="327"/>
      <c r="Q238" s="327"/>
      <c r="R238" s="327"/>
      <c r="S238" s="327"/>
      <c r="T238" s="327"/>
      <c r="U238" s="327"/>
      <c r="V238" s="327"/>
      <c r="W238" s="327"/>
      <c r="X238" s="327"/>
      <c r="Y238" s="327"/>
      <c r="Z238" s="327"/>
      <c r="AA238" s="327"/>
      <c r="AB238" s="327"/>
      <c r="AC238" s="327"/>
      <c r="AD238" s="327"/>
      <c r="AE238" s="327"/>
      <c r="AF238" s="327"/>
      <c r="AG238" s="768"/>
    </row>
    <row r="239">
      <c r="A239" s="648" t="s">
        <v>780</v>
      </c>
      <c r="B239" s="542"/>
      <c r="C239" s="542"/>
      <c r="D239" s="542"/>
      <c r="E239" s="542"/>
      <c r="F239" s="542"/>
      <c r="G239" s="542"/>
      <c r="H239" s="542"/>
      <c r="I239" s="327"/>
      <c r="J239" s="327"/>
      <c r="K239" s="327"/>
      <c r="L239" s="327"/>
      <c r="M239" s="327"/>
      <c r="N239" s="327"/>
      <c r="O239" s="327"/>
      <c r="P239" s="327"/>
      <c r="Q239" s="327"/>
      <c r="R239" s="327"/>
      <c r="S239" s="327"/>
      <c r="T239" s="327"/>
      <c r="U239" s="327"/>
      <c r="V239" s="327"/>
      <c r="W239" s="327"/>
      <c r="X239" s="327"/>
      <c r="Y239" s="327"/>
      <c r="Z239" s="327"/>
      <c r="AA239" s="327"/>
      <c r="AB239" s="327"/>
      <c r="AC239" s="327"/>
      <c r="AD239" s="327"/>
      <c r="AE239" s="327"/>
      <c r="AF239" s="327"/>
      <c r="AG239" s="768"/>
    </row>
    <row r="240">
      <c r="A240" s="876" t="s">
        <v>752</v>
      </c>
      <c r="B240" s="885">
        <v>6755.0</v>
      </c>
      <c r="C240" s="885">
        <v>10317.0</v>
      </c>
      <c r="D240" s="885">
        <v>7511.7</v>
      </c>
      <c r="E240" s="885">
        <v>6626.7</v>
      </c>
      <c r="F240" s="885">
        <v>8312.36</v>
      </c>
      <c r="G240" s="885">
        <v>8487.3</v>
      </c>
      <c r="H240" s="311">
        <v>11193.7</v>
      </c>
      <c r="I240" s="311">
        <v>9313.1</v>
      </c>
      <c r="J240" s="311">
        <v>8825.5</v>
      </c>
      <c r="K240" s="311">
        <v>11044.4</v>
      </c>
      <c r="L240" s="311">
        <v>9830.6</v>
      </c>
      <c r="M240" s="885">
        <v>10148.9</v>
      </c>
      <c r="N240" s="311">
        <v>9776.0</v>
      </c>
      <c r="O240" s="311">
        <v>10910.6</v>
      </c>
      <c r="P240" s="311">
        <v>10638.0</v>
      </c>
      <c r="Q240" s="311">
        <v>12056.9</v>
      </c>
      <c r="R240" s="885">
        <v>5250.6</v>
      </c>
      <c r="S240" s="885">
        <v>10391.2</v>
      </c>
      <c r="T240" s="311">
        <v>7910.1</v>
      </c>
      <c r="U240" s="311">
        <v>8188.8</v>
      </c>
      <c r="V240" s="311">
        <v>8457.4</v>
      </c>
      <c r="W240" s="311">
        <v>5611.6</v>
      </c>
      <c r="X240" s="885">
        <v>5119.2</v>
      </c>
      <c r="Y240" s="885">
        <v>4044.0</v>
      </c>
      <c r="Z240" s="311">
        <v>4960.0</v>
      </c>
      <c r="AA240" s="885">
        <v>4523.0</v>
      </c>
      <c r="AB240" s="311">
        <v>6531.16</v>
      </c>
      <c r="AC240" s="311">
        <v>4925.0</v>
      </c>
      <c r="AD240" s="311">
        <v>3475.0</v>
      </c>
      <c r="AE240" s="311">
        <v>5423.4</v>
      </c>
      <c r="AF240" s="885">
        <v>4493.4</v>
      </c>
      <c r="AG240" s="350">
        <f t="shared" ref="AG240:AG247" si="86">SUM(B240:AF240)</f>
        <v>241051.62</v>
      </c>
    </row>
    <row r="241">
      <c r="A241" s="876" t="s">
        <v>753</v>
      </c>
      <c r="B241" s="885">
        <v>22555.0</v>
      </c>
      <c r="C241" s="885">
        <v>23551.0</v>
      </c>
      <c r="D241" s="885">
        <v>22088.9</v>
      </c>
      <c r="E241" s="885">
        <v>25526.9</v>
      </c>
      <c r="F241" s="885">
        <v>23050.2</v>
      </c>
      <c r="G241" s="885">
        <v>25223.86</v>
      </c>
      <c r="H241" s="311">
        <v>24610.4</v>
      </c>
      <c r="I241" s="311">
        <v>32471.86</v>
      </c>
      <c r="J241" s="311">
        <v>30178.7</v>
      </c>
      <c r="K241" s="311">
        <v>25533.56</v>
      </c>
      <c r="L241" s="311">
        <v>28504.0</v>
      </c>
      <c r="M241" s="885">
        <v>28275.46</v>
      </c>
      <c r="N241" s="311">
        <v>50250.7</v>
      </c>
      <c r="O241" s="311">
        <v>42080.7</v>
      </c>
      <c r="P241" s="311">
        <v>35036.4</v>
      </c>
      <c r="Q241" s="311">
        <v>32800.9</v>
      </c>
      <c r="R241" s="885">
        <v>19706.8</v>
      </c>
      <c r="S241" s="885">
        <v>34812.1</v>
      </c>
      <c r="T241" s="311">
        <v>25598.2</v>
      </c>
      <c r="U241" s="311">
        <v>29356.7</v>
      </c>
      <c r="V241" s="311">
        <v>25609.5</v>
      </c>
      <c r="W241" s="885">
        <v>28940.2</v>
      </c>
      <c r="X241" s="885">
        <v>24430.06</v>
      </c>
      <c r="Y241" s="885">
        <v>20903.0</v>
      </c>
      <c r="Z241" s="311">
        <v>19719.89</v>
      </c>
      <c r="AA241" s="885">
        <v>19844.06</v>
      </c>
      <c r="AB241" s="311">
        <v>20994.8</v>
      </c>
      <c r="AC241" s="311">
        <v>19273.0</v>
      </c>
      <c r="AD241" s="311">
        <v>20009.0</v>
      </c>
      <c r="AE241" s="311">
        <v>18770.03</v>
      </c>
      <c r="AF241" s="885">
        <v>22493.5</v>
      </c>
      <c r="AG241" s="350">
        <f t="shared" si="86"/>
        <v>822199.38</v>
      </c>
    </row>
    <row r="242">
      <c r="A242" s="876" t="s">
        <v>754</v>
      </c>
      <c r="B242" s="885">
        <v>388.0</v>
      </c>
      <c r="C242" s="885">
        <v>577.0</v>
      </c>
      <c r="D242" s="885">
        <v>925.2</v>
      </c>
      <c r="E242" s="885">
        <v>378.1</v>
      </c>
      <c r="F242" s="885">
        <v>557.2</v>
      </c>
      <c r="G242" s="885">
        <v>577.1</v>
      </c>
      <c r="H242" s="311">
        <v>398.0</v>
      </c>
      <c r="I242" s="311">
        <v>557.2</v>
      </c>
      <c r="J242" s="311">
        <v>537.3</v>
      </c>
      <c r="K242" s="311">
        <v>358.2</v>
      </c>
      <c r="L242" s="311">
        <v>199.0</v>
      </c>
      <c r="M242" s="885">
        <v>179.1</v>
      </c>
      <c r="N242" s="886">
        <v>537.3</v>
      </c>
      <c r="O242" s="311">
        <v>114.4</v>
      </c>
      <c r="P242" s="885">
        <v>179.1</v>
      </c>
      <c r="Q242" s="311">
        <v>736.3</v>
      </c>
      <c r="R242" s="311">
        <v>179.1</v>
      </c>
      <c r="S242" s="885">
        <v>0.0</v>
      </c>
      <c r="T242" s="311">
        <v>0.0</v>
      </c>
      <c r="U242" s="311">
        <v>552.2</v>
      </c>
      <c r="V242" s="885">
        <v>557.2</v>
      </c>
      <c r="W242" s="311">
        <v>0.0</v>
      </c>
      <c r="X242" s="885">
        <v>199.0</v>
      </c>
      <c r="Y242" s="885">
        <v>199.0</v>
      </c>
      <c r="Z242" s="311">
        <v>199.0</v>
      </c>
      <c r="AA242" s="885">
        <v>592.0</v>
      </c>
      <c r="AB242" s="311">
        <v>398.0</v>
      </c>
      <c r="AC242" s="311">
        <v>1631.0</v>
      </c>
      <c r="AD242" s="311">
        <v>0.0</v>
      </c>
      <c r="AE242" s="311">
        <v>199.0</v>
      </c>
      <c r="AF242" s="885">
        <v>199.0</v>
      </c>
      <c r="AG242" s="350">
        <f t="shared" si="86"/>
        <v>12103</v>
      </c>
    </row>
    <row r="243">
      <c r="A243" s="876" t="s">
        <v>755</v>
      </c>
      <c r="B243" s="885">
        <v>1066.0</v>
      </c>
      <c r="C243" s="885">
        <v>518.0</v>
      </c>
      <c r="D243" s="885">
        <v>1066.0</v>
      </c>
      <c r="E243" s="885">
        <v>968.4</v>
      </c>
      <c r="F243" s="885">
        <v>753.2</v>
      </c>
      <c r="G243" s="885">
        <v>1264.3</v>
      </c>
      <c r="H243" s="311">
        <v>1049.1</v>
      </c>
      <c r="I243" s="311">
        <v>780.1</v>
      </c>
      <c r="J243" s="311">
        <v>699.4</v>
      </c>
      <c r="K243" s="311">
        <v>1264.3</v>
      </c>
      <c r="L243" s="311">
        <v>753.2</v>
      </c>
      <c r="M243" s="885">
        <v>1721.6</v>
      </c>
      <c r="N243" s="311">
        <v>1237.4</v>
      </c>
      <c r="O243" s="311">
        <v>1510.2</v>
      </c>
      <c r="P243" s="311">
        <v>1214.3</v>
      </c>
      <c r="Q243" s="885">
        <v>1775.4</v>
      </c>
      <c r="R243" s="885">
        <v>484.2</v>
      </c>
      <c r="S243" s="887">
        <v>1506.4</v>
      </c>
      <c r="T243" s="311">
        <v>484.2</v>
      </c>
      <c r="U243" s="311">
        <v>1210.5</v>
      </c>
      <c r="V243" s="311">
        <v>669.4</v>
      </c>
      <c r="W243" s="311">
        <v>807.0</v>
      </c>
      <c r="X243" s="885">
        <v>760.1</v>
      </c>
      <c r="Y243" s="311">
        <v>1369.0</v>
      </c>
      <c r="Z243" s="311">
        <v>1335.0</v>
      </c>
      <c r="AA243" s="885">
        <v>269.0</v>
      </c>
      <c r="AB243" s="311">
        <v>807.0</v>
      </c>
      <c r="AC243" s="311">
        <v>1143.0</v>
      </c>
      <c r="AD243" s="311">
        <v>1319.0</v>
      </c>
      <c r="AE243" s="311">
        <v>269.0</v>
      </c>
      <c r="AF243" s="885">
        <v>931.7</v>
      </c>
      <c r="AG243" s="350">
        <f t="shared" si="86"/>
        <v>31005.4</v>
      </c>
    </row>
    <row r="244" ht="20.25" customHeight="1">
      <c r="A244" s="876" t="s">
        <v>756</v>
      </c>
      <c r="B244" s="103"/>
      <c r="C244" s="138"/>
      <c r="D244" s="138"/>
      <c r="E244" s="138"/>
      <c r="F244" s="138"/>
      <c r="G244" s="138"/>
      <c r="H244" s="138"/>
      <c r="I244" s="138"/>
      <c r="J244" s="103"/>
      <c r="K244" s="103"/>
      <c r="L244" s="103"/>
      <c r="M244" s="103"/>
      <c r="N244" s="103"/>
      <c r="O244" s="103"/>
      <c r="P244" s="103"/>
      <c r="Q244" s="103"/>
      <c r="R244" s="103"/>
      <c r="S244" s="103"/>
      <c r="T244" s="103"/>
      <c r="U244" s="103"/>
      <c r="V244" s="103"/>
      <c r="W244" s="138"/>
      <c r="X244" s="103"/>
      <c r="Y244" s="103"/>
      <c r="Z244" s="103"/>
      <c r="AA244" s="103"/>
      <c r="AB244" s="103"/>
      <c r="AC244" s="103"/>
      <c r="AD244" s="103"/>
      <c r="AE244" s="103"/>
      <c r="AF244" s="103"/>
      <c r="AG244" s="350">
        <f t="shared" si="86"/>
        <v>0</v>
      </c>
    </row>
    <row r="245">
      <c r="A245" s="876" t="s">
        <v>757</v>
      </c>
      <c r="B245" s="103"/>
      <c r="C245" s="138">
        <v>269.0</v>
      </c>
      <c r="D245" s="103"/>
      <c r="E245" s="138"/>
      <c r="F245" s="138"/>
      <c r="G245" s="138"/>
      <c r="H245" s="138"/>
      <c r="I245" s="138"/>
      <c r="J245" s="103"/>
      <c r="K245" s="103"/>
      <c r="L245" s="103"/>
      <c r="M245" s="103"/>
      <c r="N245" s="103"/>
      <c r="O245" s="103"/>
      <c r="P245" s="103"/>
      <c r="Q245" s="103"/>
      <c r="R245" s="103"/>
      <c r="S245" s="103"/>
      <c r="T245" s="103"/>
      <c r="U245" s="103"/>
      <c r="V245" s="103"/>
      <c r="W245" s="103"/>
      <c r="X245" s="103"/>
      <c r="Y245" s="103"/>
      <c r="Z245" s="103"/>
      <c r="AA245" s="103"/>
      <c r="AB245" s="103"/>
      <c r="AC245" s="103"/>
      <c r="AD245" s="103"/>
      <c r="AE245" s="103"/>
      <c r="AF245" s="103"/>
      <c r="AG245" s="350">
        <f t="shared" si="86"/>
        <v>269</v>
      </c>
    </row>
    <row r="246">
      <c r="A246" s="880" t="s">
        <v>725</v>
      </c>
      <c r="B246" s="888">
        <f t="shared" ref="B246:AF246" si="87">B240+B242+B244</f>
        <v>7143</v>
      </c>
      <c r="C246" s="888">
        <f t="shared" si="87"/>
        <v>10894</v>
      </c>
      <c r="D246" s="888">
        <f t="shared" si="87"/>
        <v>8436.9</v>
      </c>
      <c r="E246" s="888">
        <f t="shared" si="87"/>
        <v>7004.8</v>
      </c>
      <c r="F246" s="888">
        <f t="shared" si="87"/>
        <v>8869.56</v>
      </c>
      <c r="G246" s="888">
        <f t="shared" si="87"/>
        <v>9064.4</v>
      </c>
      <c r="H246" s="888">
        <f t="shared" si="87"/>
        <v>11591.7</v>
      </c>
      <c r="I246" s="888">
        <f t="shared" si="87"/>
        <v>9870.3</v>
      </c>
      <c r="J246" s="888">
        <f t="shared" si="87"/>
        <v>9362.8</v>
      </c>
      <c r="K246" s="888">
        <f t="shared" si="87"/>
        <v>11402.6</v>
      </c>
      <c r="L246" s="888">
        <f t="shared" si="87"/>
        <v>10029.6</v>
      </c>
      <c r="M246" s="888">
        <f t="shared" si="87"/>
        <v>10328</v>
      </c>
      <c r="N246" s="888">
        <f t="shared" si="87"/>
        <v>10313.3</v>
      </c>
      <c r="O246" s="888">
        <f t="shared" si="87"/>
        <v>11025</v>
      </c>
      <c r="P246" s="888">
        <f t="shared" si="87"/>
        <v>10817.1</v>
      </c>
      <c r="Q246" s="888">
        <f t="shared" si="87"/>
        <v>12793.2</v>
      </c>
      <c r="R246" s="888">
        <f t="shared" si="87"/>
        <v>5429.7</v>
      </c>
      <c r="S246" s="888">
        <f t="shared" si="87"/>
        <v>10391.2</v>
      </c>
      <c r="T246" s="888">
        <f t="shared" si="87"/>
        <v>7910.1</v>
      </c>
      <c r="U246" s="888">
        <f t="shared" si="87"/>
        <v>8741</v>
      </c>
      <c r="V246" s="888">
        <f t="shared" si="87"/>
        <v>9014.6</v>
      </c>
      <c r="W246" s="888">
        <f t="shared" si="87"/>
        <v>5611.6</v>
      </c>
      <c r="X246" s="888">
        <f t="shared" si="87"/>
        <v>5318.2</v>
      </c>
      <c r="Y246" s="888">
        <f t="shared" si="87"/>
        <v>4243</v>
      </c>
      <c r="Z246" s="888">
        <f t="shared" si="87"/>
        <v>5159</v>
      </c>
      <c r="AA246" s="888">
        <f t="shared" si="87"/>
        <v>5115</v>
      </c>
      <c r="AB246" s="888">
        <f t="shared" si="87"/>
        <v>6929.16</v>
      </c>
      <c r="AC246" s="888">
        <f t="shared" si="87"/>
        <v>6556</v>
      </c>
      <c r="AD246" s="888">
        <f t="shared" si="87"/>
        <v>3475</v>
      </c>
      <c r="AE246" s="888">
        <f t="shared" si="87"/>
        <v>5622.4</v>
      </c>
      <c r="AF246" s="888">
        <f t="shared" si="87"/>
        <v>4692.4</v>
      </c>
      <c r="AG246" s="350">
        <f t="shared" si="86"/>
        <v>253154.62</v>
      </c>
    </row>
    <row r="247">
      <c r="A247" s="880" t="s">
        <v>781</v>
      </c>
      <c r="B247" s="888">
        <f t="shared" ref="B247:AF247" si="88">B241+B243+B245</f>
        <v>23621</v>
      </c>
      <c r="C247" s="888">
        <f t="shared" si="88"/>
        <v>24338</v>
      </c>
      <c r="D247" s="888">
        <f t="shared" si="88"/>
        <v>23154.9</v>
      </c>
      <c r="E247" s="888">
        <f t="shared" si="88"/>
        <v>26495.3</v>
      </c>
      <c r="F247" s="888">
        <f t="shared" si="88"/>
        <v>23803.4</v>
      </c>
      <c r="G247" s="888">
        <f t="shared" si="88"/>
        <v>26488.16</v>
      </c>
      <c r="H247" s="888">
        <f t="shared" si="88"/>
        <v>25659.5</v>
      </c>
      <c r="I247" s="888">
        <f t="shared" si="88"/>
        <v>33251.96</v>
      </c>
      <c r="J247" s="888">
        <f t="shared" si="88"/>
        <v>30878.1</v>
      </c>
      <c r="K247" s="888">
        <f t="shared" si="88"/>
        <v>26797.86</v>
      </c>
      <c r="L247" s="888">
        <f t="shared" si="88"/>
        <v>29257.2</v>
      </c>
      <c r="M247" s="888">
        <f t="shared" si="88"/>
        <v>29997.06</v>
      </c>
      <c r="N247" s="888">
        <f t="shared" si="88"/>
        <v>51488.1</v>
      </c>
      <c r="O247" s="888">
        <f t="shared" si="88"/>
        <v>43590.9</v>
      </c>
      <c r="P247" s="888">
        <f t="shared" si="88"/>
        <v>36250.7</v>
      </c>
      <c r="Q247" s="888">
        <f t="shared" si="88"/>
        <v>34576.3</v>
      </c>
      <c r="R247" s="888">
        <f t="shared" si="88"/>
        <v>20191</v>
      </c>
      <c r="S247" s="888">
        <f t="shared" si="88"/>
        <v>36318.5</v>
      </c>
      <c r="T247" s="888">
        <f t="shared" si="88"/>
        <v>26082.4</v>
      </c>
      <c r="U247" s="888">
        <f t="shared" si="88"/>
        <v>30567.2</v>
      </c>
      <c r="V247" s="888">
        <f t="shared" si="88"/>
        <v>26278.9</v>
      </c>
      <c r="W247" s="888">
        <f t="shared" si="88"/>
        <v>29747.2</v>
      </c>
      <c r="X247" s="888">
        <f t="shared" si="88"/>
        <v>25190.16</v>
      </c>
      <c r="Y247" s="888">
        <f t="shared" si="88"/>
        <v>22272</v>
      </c>
      <c r="Z247" s="888">
        <f t="shared" si="88"/>
        <v>21054.89</v>
      </c>
      <c r="AA247" s="888">
        <f t="shared" si="88"/>
        <v>20113.06</v>
      </c>
      <c r="AB247" s="888">
        <f t="shared" si="88"/>
        <v>21801.8</v>
      </c>
      <c r="AC247" s="888">
        <f t="shared" si="88"/>
        <v>20416</v>
      </c>
      <c r="AD247" s="888">
        <f t="shared" si="88"/>
        <v>21328</v>
      </c>
      <c r="AE247" s="888">
        <f t="shared" si="88"/>
        <v>19039.03</v>
      </c>
      <c r="AF247" s="888">
        <f t="shared" si="88"/>
        <v>23425.2</v>
      </c>
      <c r="AG247" s="350">
        <f t="shared" si="86"/>
        <v>853473.78</v>
      </c>
    </row>
    <row r="248" ht="16.5" customHeight="1">
      <c r="A248" s="42"/>
      <c r="B248" s="326"/>
      <c r="C248" s="326"/>
      <c r="D248" s="326"/>
      <c r="E248" s="326"/>
      <c r="F248" s="326"/>
      <c r="G248" s="326"/>
      <c r="H248" s="326"/>
      <c r="I248" s="326"/>
      <c r="J248" s="326"/>
      <c r="K248" s="326"/>
      <c r="L248" s="326"/>
      <c r="M248" s="326"/>
      <c r="N248" s="326"/>
      <c r="O248" s="326"/>
      <c r="P248" s="326"/>
      <c r="Q248" s="326"/>
      <c r="R248" s="326"/>
      <c r="S248" s="326"/>
      <c r="T248" s="326"/>
      <c r="U248" s="326"/>
      <c r="V248" s="326"/>
      <c r="W248" s="326"/>
      <c r="X248" s="326"/>
      <c r="Y248" s="326"/>
      <c r="Z248" s="326"/>
      <c r="AA248" s="326"/>
      <c r="AB248" s="326"/>
      <c r="AC248" s="326"/>
      <c r="AD248" s="326"/>
      <c r="AE248" s="326"/>
      <c r="AF248" s="326"/>
      <c r="AG248" s="350"/>
    </row>
    <row r="249">
      <c r="A249" s="876" t="s">
        <v>760</v>
      </c>
      <c r="B249" s="889">
        <v>1128.0</v>
      </c>
      <c r="C249" s="890">
        <v>2124.0</v>
      </c>
      <c r="D249" s="889">
        <v>729.0</v>
      </c>
      <c r="E249" s="889">
        <v>859.0</v>
      </c>
      <c r="F249" s="889">
        <v>939.17</v>
      </c>
      <c r="G249" s="889">
        <v>845.67</v>
      </c>
      <c r="H249" s="891">
        <v>1132.0</v>
      </c>
      <c r="I249" s="892">
        <v>1569.0</v>
      </c>
      <c r="J249" s="891">
        <v>1684.0</v>
      </c>
      <c r="K249" s="891">
        <v>1387.0</v>
      </c>
      <c r="L249" s="891">
        <v>1242.0</v>
      </c>
      <c r="M249" s="889">
        <v>926.0</v>
      </c>
      <c r="N249" s="891">
        <v>1909.0</v>
      </c>
      <c r="O249" s="891">
        <v>1379.5</v>
      </c>
      <c r="P249" s="891">
        <v>1962.5</v>
      </c>
      <c r="Q249" s="891">
        <v>1728.0</v>
      </c>
      <c r="R249" s="889">
        <v>731.5</v>
      </c>
      <c r="S249" s="889">
        <v>1710.0</v>
      </c>
      <c r="T249" s="891">
        <v>1072.5</v>
      </c>
      <c r="U249" s="889">
        <v>1257.0</v>
      </c>
      <c r="V249" s="891">
        <v>1017.0</v>
      </c>
      <c r="W249" s="891">
        <v>1244.5</v>
      </c>
      <c r="X249" s="889">
        <v>1258.17</v>
      </c>
      <c r="Y249" s="889">
        <v>801.0</v>
      </c>
      <c r="Z249" s="891">
        <v>814.17</v>
      </c>
      <c r="AA249" s="889">
        <v>520.5</v>
      </c>
      <c r="AB249" s="891">
        <v>867.17</v>
      </c>
      <c r="AC249" s="891">
        <v>6756.0</v>
      </c>
      <c r="AD249" s="891">
        <v>7057.0</v>
      </c>
      <c r="AE249" s="891">
        <v>819.17</v>
      </c>
      <c r="AF249" s="889">
        <v>966.0</v>
      </c>
      <c r="AG249" s="350">
        <f t="shared" ref="AG249:AG254" si="89">SUM(B249:AF249)</f>
        <v>48435.52</v>
      </c>
    </row>
    <row r="250">
      <c r="A250" s="876" t="s">
        <v>761</v>
      </c>
      <c r="B250" s="890">
        <v>0.0</v>
      </c>
      <c r="C250" s="890">
        <v>0.0</v>
      </c>
      <c r="D250" s="890">
        <v>0.0</v>
      </c>
      <c r="E250" s="890">
        <v>0.0</v>
      </c>
      <c r="F250" s="890">
        <v>0.0</v>
      </c>
      <c r="G250" s="890">
        <v>0.0</v>
      </c>
      <c r="H250" s="892">
        <v>0.0</v>
      </c>
      <c r="I250" s="892">
        <v>0.0</v>
      </c>
      <c r="J250" s="892">
        <v>0.0</v>
      </c>
      <c r="K250" s="892">
        <v>0.0</v>
      </c>
      <c r="L250" s="890">
        <v>0.0</v>
      </c>
      <c r="M250" s="890">
        <v>0.0</v>
      </c>
      <c r="N250" s="890">
        <v>0.0</v>
      </c>
      <c r="O250" s="890">
        <v>0.0</v>
      </c>
      <c r="P250" s="890">
        <v>0.0</v>
      </c>
      <c r="Q250" s="889">
        <v>0.0</v>
      </c>
      <c r="R250" s="889">
        <v>0.0</v>
      </c>
      <c r="S250" s="889">
        <v>0.0</v>
      </c>
      <c r="T250" s="889">
        <v>0.0</v>
      </c>
      <c r="U250" s="889">
        <v>0.0</v>
      </c>
      <c r="V250" s="889">
        <v>0.0</v>
      </c>
      <c r="W250" s="889">
        <v>0.0</v>
      </c>
      <c r="X250" s="889">
        <v>0.0</v>
      </c>
      <c r="Y250" s="889">
        <v>0.0</v>
      </c>
      <c r="Z250" s="889">
        <v>0.0</v>
      </c>
      <c r="AA250" s="889">
        <v>0.0</v>
      </c>
      <c r="AB250" s="889">
        <v>0.0</v>
      </c>
      <c r="AC250" s="889">
        <v>0.0</v>
      </c>
      <c r="AD250" s="891">
        <v>0.0</v>
      </c>
      <c r="AE250" s="891">
        <v>0.0</v>
      </c>
      <c r="AF250" s="889">
        <v>0.0</v>
      </c>
      <c r="AG250" s="350">
        <f t="shared" si="89"/>
        <v>0</v>
      </c>
    </row>
    <row r="251">
      <c r="A251" s="876" t="s">
        <v>762</v>
      </c>
      <c r="B251" s="889">
        <v>308.0</v>
      </c>
      <c r="C251" s="889">
        <v>518.0</v>
      </c>
      <c r="D251" s="889">
        <v>294.0</v>
      </c>
      <c r="E251" s="889">
        <v>364.0</v>
      </c>
      <c r="F251" s="889">
        <v>295.5</v>
      </c>
      <c r="G251" s="889">
        <v>196.0</v>
      </c>
      <c r="H251" s="891">
        <v>224.0</v>
      </c>
      <c r="I251" s="891">
        <v>402.67</v>
      </c>
      <c r="J251" s="892">
        <v>350.0</v>
      </c>
      <c r="K251" s="891">
        <v>374.67</v>
      </c>
      <c r="L251" s="891">
        <v>308.0</v>
      </c>
      <c r="M251" s="889">
        <v>322.67</v>
      </c>
      <c r="N251" s="891">
        <v>654.67</v>
      </c>
      <c r="O251" s="891">
        <v>515.5</v>
      </c>
      <c r="P251" s="891">
        <v>491.5</v>
      </c>
      <c r="Q251" s="891">
        <v>485.0</v>
      </c>
      <c r="R251" s="889">
        <v>314.5</v>
      </c>
      <c r="S251" s="889">
        <v>471.0</v>
      </c>
      <c r="T251" s="891">
        <v>445.5</v>
      </c>
      <c r="U251" s="891">
        <v>424.0</v>
      </c>
      <c r="V251" s="891">
        <v>331.0</v>
      </c>
      <c r="W251" s="891">
        <v>351.5</v>
      </c>
      <c r="X251" s="889">
        <v>312.84</v>
      </c>
      <c r="Y251" s="889">
        <v>312.0</v>
      </c>
      <c r="Z251" s="891">
        <v>213.17</v>
      </c>
      <c r="AA251" s="889">
        <v>246.17</v>
      </c>
      <c r="AB251" s="891">
        <v>190.17</v>
      </c>
      <c r="AC251" s="891">
        <v>3167.0</v>
      </c>
      <c r="AD251" s="891">
        <v>3618.0</v>
      </c>
      <c r="AE251" s="891">
        <v>300.5</v>
      </c>
      <c r="AF251" s="889">
        <v>200.0</v>
      </c>
      <c r="AG251" s="350">
        <f t="shared" si="89"/>
        <v>17001.53</v>
      </c>
    </row>
    <row r="252">
      <c r="A252" s="876" t="s">
        <v>763</v>
      </c>
      <c r="B252" s="889">
        <v>899.0</v>
      </c>
      <c r="C252" s="889">
        <v>1189.0</v>
      </c>
      <c r="D252" s="889">
        <v>638.0</v>
      </c>
      <c r="E252" s="889">
        <v>889.0</v>
      </c>
      <c r="F252" s="889">
        <v>517.0</v>
      </c>
      <c r="G252" s="889">
        <v>663.67</v>
      </c>
      <c r="H252" s="891">
        <v>522.0</v>
      </c>
      <c r="I252" s="891">
        <v>1025.67</v>
      </c>
      <c r="J252" s="891">
        <v>1102.0</v>
      </c>
      <c r="K252" s="891">
        <v>953.67</v>
      </c>
      <c r="L252" s="891">
        <v>667.0</v>
      </c>
      <c r="M252" s="889">
        <v>634.67</v>
      </c>
      <c r="N252" s="891">
        <v>1571.67</v>
      </c>
      <c r="O252" s="891">
        <v>1325.7</v>
      </c>
      <c r="P252" s="891">
        <v>1292.5</v>
      </c>
      <c r="Q252" s="891">
        <v>957.0</v>
      </c>
      <c r="R252" s="889">
        <v>478.0</v>
      </c>
      <c r="S252" s="889">
        <v>952.0</v>
      </c>
      <c r="T252" s="891">
        <v>867.5</v>
      </c>
      <c r="U252" s="891">
        <v>928.0</v>
      </c>
      <c r="V252" s="891">
        <v>957.0</v>
      </c>
      <c r="W252" s="891">
        <v>789.5</v>
      </c>
      <c r="X252" s="889">
        <v>1004.17</v>
      </c>
      <c r="Y252" s="889">
        <v>546.0</v>
      </c>
      <c r="Z252" s="891">
        <v>371.17</v>
      </c>
      <c r="AA252" s="889">
        <v>622.17</v>
      </c>
      <c r="AB252" s="891">
        <v>398.5</v>
      </c>
      <c r="AC252" s="891">
        <v>3371.0</v>
      </c>
      <c r="AD252" s="891">
        <v>2508.0</v>
      </c>
      <c r="AE252" s="891">
        <v>654.5</v>
      </c>
      <c r="AF252" s="889">
        <v>484.6</v>
      </c>
      <c r="AG252" s="350">
        <f t="shared" si="89"/>
        <v>29779.66</v>
      </c>
    </row>
    <row r="253">
      <c r="A253" s="876" t="s">
        <v>764</v>
      </c>
      <c r="B253" s="889">
        <v>1190.0</v>
      </c>
      <c r="C253" s="889">
        <v>1190.0</v>
      </c>
      <c r="D253" s="889">
        <v>928.0</v>
      </c>
      <c r="E253" s="889">
        <v>1065.0</v>
      </c>
      <c r="F253" s="889">
        <v>883.17</v>
      </c>
      <c r="G253" s="889">
        <v>1309.0</v>
      </c>
      <c r="H253" s="891">
        <v>1117.0</v>
      </c>
      <c r="I253" s="891">
        <v>1219.0</v>
      </c>
      <c r="J253" s="891">
        <v>1519.0</v>
      </c>
      <c r="K253" s="891">
        <v>1648.0</v>
      </c>
      <c r="L253" s="891">
        <v>648.0</v>
      </c>
      <c r="M253" s="889">
        <v>588.0</v>
      </c>
      <c r="N253" s="891">
        <v>2324.66</v>
      </c>
      <c r="O253" s="891">
        <v>1565.0</v>
      </c>
      <c r="P253" s="891">
        <v>1397.0</v>
      </c>
      <c r="Q253" s="891">
        <v>1105.0</v>
      </c>
      <c r="R253" s="889">
        <v>1167.5</v>
      </c>
      <c r="S253" s="889">
        <v>1239.0</v>
      </c>
      <c r="T253" s="891">
        <v>610.0</v>
      </c>
      <c r="U253" s="891">
        <v>1239.0</v>
      </c>
      <c r="V253" s="891">
        <v>974.0</v>
      </c>
      <c r="W253" s="891">
        <v>923.0</v>
      </c>
      <c r="X253" s="889">
        <v>1341.66</v>
      </c>
      <c r="Y253" s="889">
        <v>739.0</v>
      </c>
      <c r="Z253" s="891">
        <v>879.0</v>
      </c>
      <c r="AA253" s="889">
        <v>760.0</v>
      </c>
      <c r="AB253" s="891">
        <v>571.0</v>
      </c>
      <c r="AC253" s="891">
        <v>619.0</v>
      </c>
      <c r="AD253" s="891">
        <v>1639.0</v>
      </c>
      <c r="AE253" s="891">
        <v>993.0</v>
      </c>
      <c r="AF253" s="889">
        <v>690.0</v>
      </c>
      <c r="AG253" s="350">
        <f t="shared" si="89"/>
        <v>34079.99</v>
      </c>
    </row>
    <row r="254">
      <c r="A254" s="893" t="s">
        <v>151</v>
      </c>
      <c r="B254" s="888">
        <f t="shared" ref="B254:AF254" si="90">SUM(B249:B253)</f>
        <v>3525</v>
      </c>
      <c r="C254" s="888">
        <f t="shared" si="90"/>
        <v>5021</v>
      </c>
      <c r="D254" s="888">
        <f t="shared" si="90"/>
        <v>2589</v>
      </c>
      <c r="E254" s="888">
        <f t="shared" si="90"/>
        <v>3177</v>
      </c>
      <c r="F254" s="888">
        <f t="shared" si="90"/>
        <v>2634.84</v>
      </c>
      <c r="G254" s="888">
        <f t="shared" si="90"/>
        <v>3014.34</v>
      </c>
      <c r="H254" s="888">
        <f t="shared" si="90"/>
        <v>2995</v>
      </c>
      <c r="I254" s="888">
        <f t="shared" si="90"/>
        <v>4216.34</v>
      </c>
      <c r="J254" s="888">
        <f t="shared" si="90"/>
        <v>4655</v>
      </c>
      <c r="K254" s="888">
        <f t="shared" si="90"/>
        <v>4363.34</v>
      </c>
      <c r="L254" s="888">
        <f t="shared" si="90"/>
        <v>2865</v>
      </c>
      <c r="M254" s="888">
        <f t="shared" si="90"/>
        <v>2471.34</v>
      </c>
      <c r="N254" s="888">
        <f t="shared" si="90"/>
        <v>6460</v>
      </c>
      <c r="O254" s="888">
        <f t="shared" si="90"/>
        <v>4785.7</v>
      </c>
      <c r="P254" s="888">
        <f t="shared" si="90"/>
        <v>5143.5</v>
      </c>
      <c r="Q254" s="888">
        <f t="shared" si="90"/>
        <v>4275</v>
      </c>
      <c r="R254" s="888">
        <f t="shared" si="90"/>
        <v>2691.5</v>
      </c>
      <c r="S254" s="888">
        <f t="shared" si="90"/>
        <v>4372</v>
      </c>
      <c r="T254" s="888">
        <f t="shared" si="90"/>
        <v>2995.5</v>
      </c>
      <c r="U254" s="888">
        <f t="shared" si="90"/>
        <v>3848</v>
      </c>
      <c r="V254" s="888">
        <f t="shared" si="90"/>
        <v>3279</v>
      </c>
      <c r="W254" s="888">
        <f t="shared" si="90"/>
        <v>3308.5</v>
      </c>
      <c r="X254" s="888">
        <f t="shared" si="90"/>
        <v>3916.84</v>
      </c>
      <c r="Y254" s="888">
        <f t="shared" si="90"/>
        <v>2398</v>
      </c>
      <c r="Z254" s="888">
        <f t="shared" si="90"/>
        <v>2277.51</v>
      </c>
      <c r="AA254" s="888">
        <f t="shared" si="90"/>
        <v>2148.84</v>
      </c>
      <c r="AB254" s="888">
        <f t="shared" si="90"/>
        <v>2026.84</v>
      </c>
      <c r="AC254" s="888">
        <f t="shared" si="90"/>
        <v>13913</v>
      </c>
      <c r="AD254" s="888">
        <f t="shared" si="90"/>
        <v>14822</v>
      </c>
      <c r="AE254" s="888">
        <f t="shared" si="90"/>
        <v>2767.17</v>
      </c>
      <c r="AF254" s="888">
        <f t="shared" si="90"/>
        <v>2340.6</v>
      </c>
      <c r="AG254" s="350">
        <f t="shared" si="89"/>
        <v>129296.7</v>
      </c>
    </row>
    <row r="255">
      <c r="A255" s="42"/>
      <c r="B255" s="326"/>
      <c r="C255" s="326"/>
      <c r="D255" s="326"/>
      <c r="E255" s="326"/>
      <c r="F255" s="326"/>
      <c r="G255" s="326"/>
      <c r="H255" s="326"/>
      <c r="I255" s="326"/>
      <c r="J255" s="326"/>
      <c r="K255" s="326"/>
      <c r="L255" s="326"/>
      <c r="M255" s="326"/>
      <c r="N255" s="326"/>
      <c r="O255" s="326"/>
      <c r="P255" s="326"/>
      <c r="Q255" s="326"/>
      <c r="R255" s="326"/>
      <c r="S255" s="326"/>
      <c r="T255" s="326"/>
      <c r="U255" s="326"/>
      <c r="V255" s="326"/>
      <c r="W255" s="326"/>
      <c r="X255" s="326"/>
      <c r="Y255" s="326"/>
      <c r="Z255" s="326"/>
      <c r="AA255" s="326"/>
      <c r="AB255" s="326"/>
      <c r="AC255" s="326"/>
      <c r="AD255" s="326"/>
      <c r="AE255" s="326"/>
      <c r="AF255" s="326"/>
      <c r="AG255" s="350"/>
    </row>
    <row r="256">
      <c r="A256" s="876" t="s">
        <v>767</v>
      </c>
      <c r="B256" s="885">
        <v>72.0</v>
      </c>
      <c r="C256" s="890">
        <v>24.0</v>
      </c>
      <c r="D256" s="885">
        <v>24.0</v>
      </c>
      <c r="E256" s="889">
        <v>24.0</v>
      </c>
      <c r="F256" s="885">
        <v>96.0</v>
      </c>
      <c r="G256" s="885">
        <v>120.0</v>
      </c>
      <c r="H256" s="311">
        <v>0.0</v>
      </c>
      <c r="I256" s="311">
        <v>96.0</v>
      </c>
      <c r="J256" s="311">
        <v>19.2</v>
      </c>
      <c r="K256" s="311">
        <v>96.0</v>
      </c>
      <c r="L256" s="311">
        <v>48.0</v>
      </c>
      <c r="M256" s="885">
        <v>144.0</v>
      </c>
      <c r="N256" s="311">
        <v>48.0</v>
      </c>
      <c r="O256" s="311">
        <v>192.0</v>
      </c>
      <c r="P256" s="311">
        <v>48.0</v>
      </c>
      <c r="Q256" s="311">
        <v>168.0</v>
      </c>
      <c r="R256" s="885">
        <v>24.0</v>
      </c>
      <c r="S256" s="885">
        <v>96.0</v>
      </c>
      <c r="T256" s="311">
        <v>24.0</v>
      </c>
      <c r="U256" s="311">
        <v>115.0</v>
      </c>
      <c r="V256" s="311">
        <v>110.0</v>
      </c>
      <c r="W256" s="311">
        <v>96.0</v>
      </c>
      <c r="X256" s="311">
        <v>24.0</v>
      </c>
      <c r="Y256" s="885">
        <v>384.0</v>
      </c>
      <c r="Z256" s="311">
        <v>48.0</v>
      </c>
      <c r="AA256" s="885">
        <v>67.0</v>
      </c>
      <c r="AB256" s="311">
        <v>72.0</v>
      </c>
      <c r="AC256" s="311">
        <v>427.0</v>
      </c>
      <c r="AD256" s="311">
        <v>331.0</v>
      </c>
      <c r="AE256" s="311">
        <v>0.0</v>
      </c>
      <c r="AF256" s="885">
        <v>96.0</v>
      </c>
      <c r="AG256" s="350">
        <f t="shared" ref="AG256:AG261" si="91">SUM(B256:AF256)</f>
        <v>3133.2</v>
      </c>
    </row>
    <row r="257">
      <c r="A257" s="876" t="s">
        <v>769</v>
      </c>
      <c r="B257" s="885">
        <v>0.0</v>
      </c>
      <c r="C257" s="890">
        <v>0.0</v>
      </c>
      <c r="D257" s="885">
        <v>0.0</v>
      </c>
      <c r="E257" s="890">
        <v>0.0</v>
      </c>
      <c r="F257" s="885">
        <v>0.0</v>
      </c>
      <c r="G257" s="885">
        <v>0.0</v>
      </c>
      <c r="H257" s="311">
        <v>0.0</v>
      </c>
      <c r="I257" s="311">
        <v>0.0</v>
      </c>
      <c r="J257" s="311">
        <v>0.0</v>
      </c>
      <c r="K257" s="311">
        <v>0.0</v>
      </c>
      <c r="L257" s="311">
        <v>0.0</v>
      </c>
      <c r="M257" s="885">
        <v>0.0</v>
      </c>
      <c r="N257" s="311">
        <v>0.0</v>
      </c>
      <c r="O257" s="311">
        <v>0.0</v>
      </c>
      <c r="P257" s="311">
        <v>0.0</v>
      </c>
      <c r="Q257" s="311">
        <v>0.0</v>
      </c>
      <c r="R257" s="885">
        <v>0.0</v>
      </c>
      <c r="S257" s="885">
        <v>0.0</v>
      </c>
      <c r="T257" s="311">
        <v>0.0</v>
      </c>
      <c r="U257" s="311">
        <v>0.0</v>
      </c>
      <c r="V257" s="311">
        <v>0.0</v>
      </c>
      <c r="W257" s="311">
        <v>0.0</v>
      </c>
      <c r="X257" s="311">
        <v>0.0</v>
      </c>
      <c r="Y257" s="885">
        <v>0.0</v>
      </c>
      <c r="Z257" s="311">
        <v>0.0</v>
      </c>
      <c r="AA257" s="885">
        <v>0.0</v>
      </c>
      <c r="AB257" s="311">
        <v>0.0</v>
      </c>
      <c r="AC257" s="311">
        <v>0.0</v>
      </c>
      <c r="AD257" s="311">
        <v>0.0</v>
      </c>
      <c r="AE257" s="311">
        <v>0.0</v>
      </c>
      <c r="AF257" s="885">
        <v>0.0</v>
      </c>
      <c r="AG257" s="350">
        <f t="shared" si="91"/>
        <v>0</v>
      </c>
    </row>
    <row r="258">
      <c r="A258" s="876" t="s">
        <v>770</v>
      </c>
      <c r="B258" s="885">
        <v>28.0</v>
      </c>
      <c r="C258" s="889">
        <v>0.0</v>
      </c>
      <c r="D258" s="885">
        <v>14.0</v>
      </c>
      <c r="E258" s="889">
        <v>28.0</v>
      </c>
      <c r="F258" s="885">
        <v>28.0</v>
      </c>
      <c r="G258" s="885">
        <v>56.0</v>
      </c>
      <c r="H258" s="311">
        <v>0.0</v>
      </c>
      <c r="I258" s="311">
        <v>28.0</v>
      </c>
      <c r="J258" s="311">
        <v>0.0</v>
      </c>
      <c r="K258" s="311">
        <v>28.0</v>
      </c>
      <c r="L258" s="311">
        <v>14.0</v>
      </c>
      <c r="M258" s="885">
        <v>0.0</v>
      </c>
      <c r="N258" s="311">
        <v>14.0</v>
      </c>
      <c r="O258" s="311">
        <v>14.0</v>
      </c>
      <c r="P258" s="311">
        <v>42.0</v>
      </c>
      <c r="Q258" s="311">
        <v>28.0</v>
      </c>
      <c r="R258" s="885">
        <v>14.0</v>
      </c>
      <c r="S258" s="885">
        <v>14.0</v>
      </c>
      <c r="T258" s="311">
        <v>14.0</v>
      </c>
      <c r="U258" s="311">
        <v>14.0</v>
      </c>
      <c r="V258" s="311">
        <v>28.0</v>
      </c>
      <c r="W258" s="891">
        <v>14.0</v>
      </c>
      <c r="X258" s="311">
        <v>42.0</v>
      </c>
      <c r="Y258" s="311">
        <v>67.0</v>
      </c>
      <c r="Z258" s="311">
        <v>14.0</v>
      </c>
      <c r="AA258" s="885">
        <v>28.0</v>
      </c>
      <c r="AB258" s="311">
        <v>29.0</v>
      </c>
      <c r="AC258" s="311">
        <v>336.0</v>
      </c>
      <c r="AD258" s="311">
        <v>488.0</v>
      </c>
      <c r="AE258" s="311">
        <v>14.0</v>
      </c>
      <c r="AF258" s="885">
        <v>14.0</v>
      </c>
      <c r="AG258" s="350">
        <f t="shared" si="91"/>
        <v>1452</v>
      </c>
    </row>
    <row r="259">
      <c r="A259" s="876" t="s">
        <v>771</v>
      </c>
      <c r="B259" s="885">
        <v>58.0</v>
      </c>
      <c r="C259" s="889">
        <v>58.0</v>
      </c>
      <c r="D259" s="885">
        <v>0.0</v>
      </c>
      <c r="E259" s="889">
        <v>87.0</v>
      </c>
      <c r="F259" s="885">
        <v>116.0</v>
      </c>
      <c r="G259" s="885">
        <v>116.0</v>
      </c>
      <c r="H259" s="311">
        <v>29.0</v>
      </c>
      <c r="I259" s="311">
        <v>58.0</v>
      </c>
      <c r="J259" s="311">
        <v>0.0</v>
      </c>
      <c r="K259" s="311">
        <v>87.0</v>
      </c>
      <c r="L259" s="311">
        <v>58.0</v>
      </c>
      <c r="M259" s="885">
        <v>87.0</v>
      </c>
      <c r="N259" s="311">
        <v>0.0</v>
      </c>
      <c r="O259" s="311">
        <v>29.0</v>
      </c>
      <c r="P259" s="311">
        <v>87.0</v>
      </c>
      <c r="Q259" s="311">
        <v>87.0</v>
      </c>
      <c r="R259" s="885">
        <v>29.0</v>
      </c>
      <c r="S259" s="885">
        <v>0.0</v>
      </c>
      <c r="T259" s="311">
        <v>0.0</v>
      </c>
      <c r="U259" s="311">
        <v>25.0</v>
      </c>
      <c r="V259" s="311">
        <v>62.0</v>
      </c>
      <c r="W259" s="311">
        <v>29.0</v>
      </c>
      <c r="X259" s="311">
        <v>29.0</v>
      </c>
      <c r="Y259" s="885">
        <v>67.0</v>
      </c>
      <c r="Z259" s="311">
        <v>29.0</v>
      </c>
      <c r="AA259" s="885">
        <v>29.0</v>
      </c>
      <c r="AB259" s="311">
        <v>0.0</v>
      </c>
      <c r="AC259" s="311">
        <v>379.0</v>
      </c>
      <c r="AD259" s="311">
        <v>0.0</v>
      </c>
      <c r="AE259" s="311">
        <v>0.0</v>
      </c>
      <c r="AF259" s="885">
        <v>0.0</v>
      </c>
      <c r="AG259" s="350">
        <f t="shared" si="91"/>
        <v>1635</v>
      </c>
    </row>
    <row r="260">
      <c r="A260" s="876" t="s">
        <v>772</v>
      </c>
      <c r="B260" s="885">
        <v>0.0</v>
      </c>
      <c r="C260" s="889">
        <v>70.0</v>
      </c>
      <c r="D260" s="885">
        <v>210.0</v>
      </c>
      <c r="E260" s="889">
        <v>189.0</v>
      </c>
      <c r="F260" s="885">
        <v>0.0</v>
      </c>
      <c r="G260" s="885">
        <v>0.0</v>
      </c>
      <c r="H260" s="311">
        <v>70.0</v>
      </c>
      <c r="I260" s="311">
        <v>329.0</v>
      </c>
      <c r="J260" s="311">
        <v>210.0</v>
      </c>
      <c r="K260" s="311">
        <v>140.0</v>
      </c>
      <c r="L260" s="311">
        <v>140.0</v>
      </c>
      <c r="M260" s="885">
        <v>350.0</v>
      </c>
      <c r="N260" s="311">
        <v>0.0</v>
      </c>
      <c r="O260" s="311">
        <v>70.0</v>
      </c>
      <c r="P260" s="311">
        <v>60.0</v>
      </c>
      <c r="Q260" s="311">
        <v>70.0</v>
      </c>
      <c r="R260" s="885">
        <v>0.0</v>
      </c>
      <c r="S260" s="885">
        <v>70.0</v>
      </c>
      <c r="T260" s="311">
        <v>70.0</v>
      </c>
      <c r="U260" s="311">
        <v>189.0</v>
      </c>
      <c r="V260" s="311">
        <v>70.0</v>
      </c>
      <c r="W260" s="311">
        <v>140.0</v>
      </c>
      <c r="X260" s="311">
        <v>0.0</v>
      </c>
      <c r="Y260" s="885">
        <v>0.0</v>
      </c>
      <c r="Z260" s="311">
        <v>280.0</v>
      </c>
      <c r="AA260" s="885">
        <v>0.0</v>
      </c>
      <c r="AB260" s="311">
        <v>0.0</v>
      </c>
      <c r="AC260" s="311">
        <v>140.0</v>
      </c>
      <c r="AD260" s="311">
        <v>280.0</v>
      </c>
      <c r="AE260" s="311">
        <v>70.0</v>
      </c>
      <c r="AF260" s="885">
        <v>70.0</v>
      </c>
      <c r="AG260" s="350">
        <f t="shared" si="91"/>
        <v>3287</v>
      </c>
    </row>
    <row r="261">
      <c r="A261" s="893" t="s">
        <v>151</v>
      </c>
      <c r="B261" s="888">
        <f t="shared" ref="B261:AF261" si="92">SUM(B256:B260)</f>
        <v>158</v>
      </c>
      <c r="C261" s="888">
        <f t="shared" si="92"/>
        <v>152</v>
      </c>
      <c r="D261" s="888">
        <f t="shared" si="92"/>
        <v>248</v>
      </c>
      <c r="E261" s="888">
        <f t="shared" si="92"/>
        <v>328</v>
      </c>
      <c r="F261" s="888">
        <f t="shared" si="92"/>
        <v>240</v>
      </c>
      <c r="G261" s="888">
        <f t="shared" si="92"/>
        <v>292</v>
      </c>
      <c r="H261" s="888">
        <f t="shared" si="92"/>
        <v>99</v>
      </c>
      <c r="I261" s="888">
        <f t="shared" si="92"/>
        <v>511</v>
      </c>
      <c r="J261" s="888">
        <f t="shared" si="92"/>
        <v>229.2</v>
      </c>
      <c r="K261" s="888">
        <f t="shared" si="92"/>
        <v>351</v>
      </c>
      <c r="L261" s="888">
        <f t="shared" si="92"/>
        <v>260</v>
      </c>
      <c r="M261" s="888">
        <f t="shared" si="92"/>
        <v>581</v>
      </c>
      <c r="N261" s="888">
        <f t="shared" si="92"/>
        <v>62</v>
      </c>
      <c r="O261" s="888">
        <f t="shared" si="92"/>
        <v>305</v>
      </c>
      <c r="P261" s="888">
        <f t="shared" si="92"/>
        <v>237</v>
      </c>
      <c r="Q261" s="888">
        <f t="shared" si="92"/>
        <v>353</v>
      </c>
      <c r="R261" s="888">
        <f t="shared" si="92"/>
        <v>67</v>
      </c>
      <c r="S261" s="888">
        <f t="shared" si="92"/>
        <v>180</v>
      </c>
      <c r="T261" s="888">
        <f t="shared" si="92"/>
        <v>108</v>
      </c>
      <c r="U261" s="888">
        <f t="shared" si="92"/>
        <v>343</v>
      </c>
      <c r="V261" s="888">
        <f t="shared" si="92"/>
        <v>270</v>
      </c>
      <c r="W261" s="888">
        <f t="shared" si="92"/>
        <v>279</v>
      </c>
      <c r="X261" s="888">
        <f t="shared" si="92"/>
        <v>95</v>
      </c>
      <c r="Y261" s="888">
        <f t="shared" si="92"/>
        <v>518</v>
      </c>
      <c r="Z261" s="888">
        <f t="shared" si="92"/>
        <v>371</v>
      </c>
      <c r="AA261" s="888">
        <f t="shared" si="92"/>
        <v>124</v>
      </c>
      <c r="AB261" s="888">
        <f t="shared" si="92"/>
        <v>101</v>
      </c>
      <c r="AC261" s="888">
        <f t="shared" si="92"/>
        <v>1282</v>
      </c>
      <c r="AD261" s="888">
        <f t="shared" si="92"/>
        <v>1099</v>
      </c>
      <c r="AE261" s="888">
        <f t="shared" si="92"/>
        <v>84</v>
      </c>
      <c r="AF261" s="888">
        <f t="shared" si="92"/>
        <v>180</v>
      </c>
      <c r="AG261" s="350">
        <f t="shared" si="91"/>
        <v>9507.2</v>
      </c>
    </row>
    <row r="262">
      <c r="A262" s="42"/>
      <c r="B262" s="326"/>
      <c r="C262" s="326"/>
      <c r="D262" s="326"/>
      <c r="E262" s="326"/>
      <c r="F262" s="326"/>
      <c r="G262" s="326"/>
      <c r="H262" s="326"/>
      <c r="I262" s="326"/>
      <c r="J262" s="326"/>
      <c r="K262" s="326"/>
      <c r="L262" s="326"/>
      <c r="M262" s="326"/>
      <c r="N262" s="326"/>
      <c r="O262" s="326"/>
      <c r="P262" s="326"/>
      <c r="Q262" s="326"/>
      <c r="R262" s="326"/>
      <c r="S262" s="326"/>
      <c r="T262" s="326"/>
      <c r="U262" s="326"/>
      <c r="V262" s="326"/>
      <c r="W262" s="326"/>
      <c r="X262" s="326"/>
      <c r="Y262" s="326"/>
      <c r="Z262" s="326"/>
      <c r="AA262" s="326"/>
      <c r="AB262" s="326"/>
      <c r="AC262" s="326"/>
      <c r="AD262" s="326"/>
      <c r="AE262" s="326"/>
      <c r="AF262" s="326"/>
      <c r="AG262" s="350"/>
    </row>
    <row r="263">
      <c r="A263" s="876" t="s">
        <v>774</v>
      </c>
      <c r="B263" s="103"/>
      <c r="C263" s="138"/>
      <c r="D263" s="103"/>
      <c r="E263" s="138"/>
      <c r="F263" s="138"/>
      <c r="G263" s="138"/>
      <c r="H263" s="138"/>
      <c r="I263" s="138"/>
      <c r="J263" s="103"/>
      <c r="K263" s="103"/>
      <c r="L263" s="103"/>
      <c r="M263" s="103"/>
      <c r="N263" s="103"/>
      <c r="O263" s="103"/>
      <c r="P263" s="103"/>
      <c r="Q263" s="103"/>
      <c r="R263" s="103"/>
      <c r="S263" s="103"/>
      <c r="T263" s="103"/>
      <c r="U263" s="103"/>
      <c r="V263" s="103"/>
      <c r="W263" s="103"/>
      <c r="X263" s="103"/>
      <c r="Y263" s="103"/>
      <c r="Z263" s="103"/>
      <c r="AA263" s="103"/>
      <c r="AB263" s="103"/>
      <c r="AC263" s="103"/>
      <c r="AD263" s="103"/>
      <c r="AE263" s="103"/>
      <c r="AF263" s="103"/>
      <c r="AG263" s="350">
        <f t="shared" ref="AG263:AG268" si="93">SUM(B263:AF263)</f>
        <v>0</v>
      </c>
    </row>
    <row r="264">
      <c r="A264" s="876" t="s">
        <v>775</v>
      </c>
      <c r="B264" s="103"/>
      <c r="C264" s="103"/>
      <c r="D264" s="138"/>
      <c r="E264" s="138"/>
      <c r="F264" s="138"/>
      <c r="G264" s="138"/>
      <c r="H264" s="138"/>
      <c r="I264" s="138"/>
      <c r="J264" s="103"/>
      <c r="K264" s="103"/>
      <c r="L264" s="103"/>
      <c r="M264" s="103"/>
      <c r="N264" s="103"/>
      <c r="O264" s="103"/>
      <c r="P264" s="103"/>
      <c r="Q264" s="103"/>
      <c r="R264" s="103"/>
      <c r="S264" s="103"/>
      <c r="T264" s="103"/>
      <c r="U264" s="103"/>
      <c r="V264" s="103"/>
      <c r="W264" s="103"/>
      <c r="X264" s="103"/>
      <c r="Y264" s="103"/>
      <c r="Z264" s="103"/>
      <c r="AA264" s="103"/>
      <c r="AB264" s="103"/>
      <c r="AC264" s="103"/>
      <c r="AD264" s="103"/>
      <c r="AE264" s="103"/>
      <c r="AF264" s="103"/>
      <c r="AG264" s="350">
        <f t="shared" si="93"/>
        <v>0</v>
      </c>
    </row>
    <row r="265">
      <c r="A265" s="876" t="s">
        <v>776</v>
      </c>
      <c r="B265" s="103"/>
      <c r="C265" s="138"/>
      <c r="D265" s="103"/>
      <c r="E265" s="138"/>
      <c r="F265" s="138"/>
      <c r="G265" s="138"/>
      <c r="H265" s="138"/>
      <c r="I265" s="138"/>
      <c r="J265" s="103"/>
      <c r="K265" s="103"/>
      <c r="L265" s="103"/>
      <c r="M265" s="103"/>
      <c r="N265" s="103"/>
      <c r="O265" s="103"/>
      <c r="P265" s="103"/>
      <c r="Q265" s="103"/>
      <c r="R265" s="103"/>
      <c r="S265" s="103"/>
      <c r="T265" s="103"/>
      <c r="U265" s="103"/>
      <c r="V265" s="103"/>
      <c r="W265" s="103"/>
      <c r="X265" s="103"/>
      <c r="Y265" s="103"/>
      <c r="Z265" s="103"/>
      <c r="AA265" s="103"/>
      <c r="AB265" s="103"/>
      <c r="AC265" s="103"/>
      <c r="AD265" s="103"/>
      <c r="AE265" s="103"/>
      <c r="AF265" s="103"/>
      <c r="AG265" s="350">
        <f t="shared" si="93"/>
        <v>0</v>
      </c>
    </row>
    <row r="266">
      <c r="A266" s="876" t="s">
        <v>777</v>
      </c>
      <c r="B266" s="103"/>
      <c r="C266" s="138"/>
      <c r="D266" s="103"/>
      <c r="E266" s="138"/>
      <c r="F266" s="138"/>
      <c r="G266" s="138"/>
      <c r="H266" s="138"/>
      <c r="I266" s="138"/>
      <c r="J266" s="103"/>
      <c r="K266" s="103"/>
      <c r="L266" s="103"/>
      <c r="M266" s="103"/>
      <c r="N266" s="103"/>
      <c r="O266" s="103"/>
      <c r="P266" s="103"/>
      <c r="Q266" s="103"/>
      <c r="R266" s="103"/>
      <c r="S266" s="103"/>
      <c r="T266" s="103"/>
      <c r="U266" s="103"/>
      <c r="V266" s="103"/>
      <c r="W266" s="103"/>
      <c r="X266" s="103"/>
      <c r="Y266" s="103"/>
      <c r="Z266" s="103"/>
      <c r="AA266" s="103"/>
      <c r="AB266" s="103"/>
      <c r="AC266" s="103"/>
      <c r="AD266" s="103"/>
      <c r="AE266" s="103"/>
      <c r="AF266" s="103"/>
      <c r="AG266" s="350">
        <f t="shared" si="93"/>
        <v>0</v>
      </c>
    </row>
    <row r="267">
      <c r="A267" s="876" t="s">
        <v>778</v>
      </c>
      <c r="B267" s="138">
        <v>70.0</v>
      </c>
      <c r="C267" s="103"/>
      <c r="D267" s="103"/>
      <c r="E267" s="138"/>
      <c r="F267" s="138"/>
      <c r="G267" s="138"/>
      <c r="H267" s="138"/>
      <c r="I267" s="138"/>
      <c r="J267" s="103"/>
      <c r="K267" s="103"/>
      <c r="L267" s="103"/>
      <c r="M267" s="103"/>
      <c r="N267" s="103"/>
      <c r="O267" s="103"/>
      <c r="P267" s="103"/>
      <c r="Q267" s="103"/>
      <c r="R267" s="103"/>
      <c r="S267" s="103"/>
      <c r="T267" s="103"/>
      <c r="U267" s="103"/>
      <c r="V267" s="103"/>
      <c r="W267" s="138"/>
      <c r="X267" s="103"/>
      <c r="Y267" s="103"/>
      <c r="Z267" s="103"/>
      <c r="AA267" s="103"/>
      <c r="AB267" s="103"/>
      <c r="AC267" s="103"/>
      <c r="AD267" s="103"/>
      <c r="AE267" s="103"/>
      <c r="AF267" s="103"/>
      <c r="AG267" s="350">
        <f t="shared" si="93"/>
        <v>70</v>
      </c>
    </row>
    <row r="268">
      <c r="A268" s="893" t="s">
        <v>151</v>
      </c>
      <c r="B268" s="888">
        <f t="shared" ref="B268:AF268" si="94">SUM(B263:B267)</f>
        <v>70</v>
      </c>
      <c r="C268" s="888">
        <f t="shared" si="94"/>
        <v>0</v>
      </c>
      <c r="D268" s="888">
        <f t="shared" si="94"/>
        <v>0</v>
      </c>
      <c r="E268" s="888">
        <f t="shared" si="94"/>
        <v>0</v>
      </c>
      <c r="F268" s="888">
        <f t="shared" si="94"/>
        <v>0</v>
      </c>
      <c r="G268" s="888">
        <f t="shared" si="94"/>
        <v>0</v>
      </c>
      <c r="H268" s="888">
        <f t="shared" si="94"/>
        <v>0</v>
      </c>
      <c r="I268" s="888">
        <f t="shared" si="94"/>
        <v>0</v>
      </c>
      <c r="J268" s="888">
        <f t="shared" si="94"/>
        <v>0</v>
      </c>
      <c r="K268" s="888">
        <f t="shared" si="94"/>
        <v>0</v>
      </c>
      <c r="L268" s="888">
        <f t="shared" si="94"/>
        <v>0</v>
      </c>
      <c r="M268" s="888">
        <f t="shared" si="94"/>
        <v>0</v>
      </c>
      <c r="N268" s="888">
        <f t="shared" si="94"/>
        <v>0</v>
      </c>
      <c r="O268" s="888">
        <f t="shared" si="94"/>
        <v>0</v>
      </c>
      <c r="P268" s="888">
        <f t="shared" si="94"/>
        <v>0</v>
      </c>
      <c r="Q268" s="888">
        <f t="shared" si="94"/>
        <v>0</v>
      </c>
      <c r="R268" s="888">
        <f t="shared" si="94"/>
        <v>0</v>
      </c>
      <c r="S268" s="888">
        <f t="shared" si="94"/>
        <v>0</v>
      </c>
      <c r="T268" s="888">
        <f t="shared" si="94"/>
        <v>0</v>
      </c>
      <c r="U268" s="888">
        <f t="shared" si="94"/>
        <v>0</v>
      </c>
      <c r="V268" s="888">
        <f t="shared" si="94"/>
        <v>0</v>
      </c>
      <c r="W268" s="888">
        <f t="shared" si="94"/>
        <v>0</v>
      </c>
      <c r="X268" s="888">
        <f t="shared" si="94"/>
        <v>0</v>
      </c>
      <c r="Y268" s="888">
        <f t="shared" si="94"/>
        <v>0</v>
      </c>
      <c r="Z268" s="888">
        <f t="shared" si="94"/>
        <v>0</v>
      </c>
      <c r="AA268" s="888">
        <f t="shared" si="94"/>
        <v>0</v>
      </c>
      <c r="AB268" s="888">
        <f t="shared" si="94"/>
        <v>0</v>
      </c>
      <c r="AC268" s="888">
        <f t="shared" si="94"/>
        <v>0</v>
      </c>
      <c r="AD268" s="888">
        <f t="shared" si="94"/>
        <v>0</v>
      </c>
      <c r="AE268" s="888">
        <f t="shared" si="94"/>
        <v>0</v>
      </c>
      <c r="AF268" s="888">
        <f t="shared" si="94"/>
        <v>0</v>
      </c>
      <c r="AG268" s="350">
        <f t="shared" si="93"/>
        <v>70</v>
      </c>
    </row>
    <row r="269">
      <c r="A269" s="835"/>
      <c r="AG269" s="350"/>
    </row>
    <row r="270">
      <c r="A270" s="876" t="s">
        <v>782</v>
      </c>
      <c r="B270" s="103"/>
      <c r="C270" s="103"/>
      <c r="D270" s="103"/>
      <c r="E270" s="103"/>
      <c r="F270" s="103"/>
      <c r="G270" s="103"/>
      <c r="H270" s="103"/>
      <c r="I270" s="103"/>
      <c r="J270" s="103"/>
      <c r="K270" s="103"/>
      <c r="L270" s="103"/>
      <c r="M270" s="138"/>
      <c r="N270" s="138"/>
      <c r="O270" s="138"/>
      <c r="P270" s="138"/>
      <c r="Q270" s="138"/>
      <c r="R270" s="138"/>
      <c r="S270" s="140"/>
      <c r="T270" s="138"/>
      <c r="U270" s="140"/>
      <c r="V270" s="103"/>
      <c r="W270" s="103"/>
      <c r="X270" s="140"/>
      <c r="Y270" s="103"/>
      <c r="Z270" s="103"/>
      <c r="AA270" s="103"/>
      <c r="AB270" s="103"/>
      <c r="AC270" s="103"/>
      <c r="AD270" s="103"/>
      <c r="AE270" s="103"/>
      <c r="AF270" s="103"/>
      <c r="AG270" s="350">
        <f t="shared" ref="AG270:AG272" si="95">SUM(B270:AF270)</f>
        <v>0</v>
      </c>
    </row>
    <row r="271">
      <c r="A271" s="876" t="s">
        <v>783</v>
      </c>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c r="AA271" s="103"/>
      <c r="AB271" s="103"/>
      <c r="AC271" s="103"/>
      <c r="AD271" s="103"/>
      <c r="AE271" s="103"/>
      <c r="AF271" s="103"/>
      <c r="AG271" s="350">
        <f t="shared" si="95"/>
        <v>0</v>
      </c>
    </row>
    <row r="272">
      <c r="A272" s="893" t="s">
        <v>151</v>
      </c>
      <c r="B272" s="888">
        <f t="shared" ref="B272:AF272" si="96">SUM(B270:B271)</f>
        <v>0</v>
      </c>
      <c r="C272" s="888">
        <f t="shared" si="96"/>
        <v>0</v>
      </c>
      <c r="D272" s="888">
        <f t="shared" si="96"/>
        <v>0</v>
      </c>
      <c r="E272" s="888">
        <f t="shared" si="96"/>
        <v>0</v>
      </c>
      <c r="F272" s="888">
        <f t="shared" si="96"/>
        <v>0</v>
      </c>
      <c r="G272" s="888">
        <f t="shared" si="96"/>
        <v>0</v>
      </c>
      <c r="H272" s="888">
        <f t="shared" si="96"/>
        <v>0</v>
      </c>
      <c r="I272" s="888">
        <f t="shared" si="96"/>
        <v>0</v>
      </c>
      <c r="J272" s="888">
        <f t="shared" si="96"/>
        <v>0</v>
      </c>
      <c r="K272" s="888">
        <f t="shared" si="96"/>
        <v>0</v>
      </c>
      <c r="L272" s="888">
        <f t="shared" si="96"/>
        <v>0</v>
      </c>
      <c r="M272" s="888">
        <f t="shared" si="96"/>
        <v>0</v>
      </c>
      <c r="N272" s="888">
        <f t="shared" si="96"/>
        <v>0</v>
      </c>
      <c r="O272" s="888">
        <f t="shared" si="96"/>
        <v>0</v>
      </c>
      <c r="P272" s="888">
        <f t="shared" si="96"/>
        <v>0</v>
      </c>
      <c r="Q272" s="888">
        <f t="shared" si="96"/>
        <v>0</v>
      </c>
      <c r="R272" s="888">
        <f t="shared" si="96"/>
        <v>0</v>
      </c>
      <c r="S272" s="888">
        <f t="shared" si="96"/>
        <v>0</v>
      </c>
      <c r="T272" s="888">
        <f t="shared" si="96"/>
        <v>0</v>
      </c>
      <c r="U272" s="888">
        <f t="shared" si="96"/>
        <v>0</v>
      </c>
      <c r="V272" s="888">
        <f t="shared" si="96"/>
        <v>0</v>
      </c>
      <c r="W272" s="888">
        <f t="shared" si="96"/>
        <v>0</v>
      </c>
      <c r="X272" s="888">
        <f t="shared" si="96"/>
        <v>0</v>
      </c>
      <c r="Y272" s="888">
        <f t="shared" si="96"/>
        <v>0</v>
      </c>
      <c r="Z272" s="888">
        <f t="shared" si="96"/>
        <v>0</v>
      </c>
      <c r="AA272" s="888">
        <f t="shared" si="96"/>
        <v>0</v>
      </c>
      <c r="AB272" s="888">
        <f t="shared" si="96"/>
        <v>0</v>
      </c>
      <c r="AC272" s="888">
        <f t="shared" si="96"/>
        <v>0</v>
      </c>
      <c r="AD272" s="888">
        <f t="shared" si="96"/>
        <v>0</v>
      </c>
      <c r="AE272" s="888">
        <f t="shared" si="96"/>
        <v>0</v>
      </c>
      <c r="AF272" s="888">
        <f t="shared" si="96"/>
        <v>0</v>
      </c>
      <c r="AG272" s="350">
        <f t="shared" si="95"/>
        <v>0</v>
      </c>
    </row>
    <row r="273">
      <c r="A273" s="835"/>
      <c r="AG273" s="11"/>
    </row>
    <row r="274">
      <c r="A274" s="876" t="s">
        <v>730</v>
      </c>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350">
        <f t="shared" ref="AG274:AG276" si="97">SUM(B274:AF274)</f>
        <v>0</v>
      </c>
    </row>
    <row r="275">
      <c r="A275" s="876" t="s">
        <v>732</v>
      </c>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350">
        <f t="shared" si="97"/>
        <v>0</v>
      </c>
    </row>
    <row r="276">
      <c r="A276" s="893" t="s">
        <v>151</v>
      </c>
      <c r="B276" s="888">
        <f t="shared" ref="B276:AF276" si="98">sum(B274:B275)</f>
        <v>0</v>
      </c>
      <c r="C276" s="888">
        <f t="shared" si="98"/>
        <v>0</v>
      </c>
      <c r="D276" s="888">
        <f t="shared" si="98"/>
        <v>0</v>
      </c>
      <c r="E276" s="888">
        <f t="shared" si="98"/>
        <v>0</v>
      </c>
      <c r="F276" s="888">
        <f t="shared" si="98"/>
        <v>0</v>
      </c>
      <c r="G276" s="888">
        <f t="shared" si="98"/>
        <v>0</v>
      </c>
      <c r="H276" s="888">
        <f t="shared" si="98"/>
        <v>0</v>
      </c>
      <c r="I276" s="888">
        <f t="shared" si="98"/>
        <v>0</v>
      </c>
      <c r="J276" s="888">
        <f t="shared" si="98"/>
        <v>0</v>
      </c>
      <c r="K276" s="888">
        <f t="shared" si="98"/>
        <v>0</v>
      </c>
      <c r="L276" s="888">
        <f t="shared" si="98"/>
        <v>0</v>
      </c>
      <c r="M276" s="888">
        <f t="shared" si="98"/>
        <v>0</v>
      </c>
      <c r="N276" s="888">
        <f t="shared" si="98"/>
        <v>0</v>
      </c>
      <c r="O276" s="888">
        <f t="shared" si="98"/>
        <v>0</v>
      </c>
      <c r="P276" s="888">
        <f t="shared" si="98"/>
        <v>0</v>
      </c>
      <c r="Q276" s="888">
        <f t="shared" si="98"/>
        <v>0</v>
      </c>
      <c r="R276" s="888">
        <f t="shared" si="98"/>
        <v>0</v>
      </c>
      <c r="S276" s="888">
        <f t="shared" si="98"/>
        <v>0</v>
      </c>
      <c r="T276" s="888">
        <f t="shared" si="98"/>
        <v>0</v>
      </c>
      <c r="U276" s="888">
        <f t="shared" si="98"/>
        <v>0</v>
      </c>
      <c r="V276" s="888">
        <f t="shared" si="98"/>
        <v>0</v>
      </c>
      <c r="W276" s="888">
        <f t="shared" si="98"/>
        <v>0</v>
      </c>
      <c r="X276" s="888">
        <f t="shared" si="98"/>
        <v>0</v>
      </c>
      <c r="Y276" s="888">
        <f t="shared" si="98"/>
        <v>0</v>
      </c>
      <c r="Z276" s="888">
        <f t="shared" si="98"/>
        <v>0</v>
      </c>
      <c r="AA276" s="888">
        <f t="shared" si="98"/>
        <v>0</v>
      </c>
      <c r="AB276" s="888">
        <f t="shared" si="98"/>
        <v>0</v>
      </c>
      <c r="AC276" s="888">
        <f t="shared" si="98"/>
        <v>0</v>
      </c>
      <c r="AD276" s="888">
        <f t="shared" si="98"/>
        <v>0</v>
      </c>
      <c r="AE276" s="888">
        <f t="shared" si="98"/>
        <v>0</v>
      </c>
      <c r="AF276" s="888">
        <f t="shared" si="98"/>
        <v>0</v>
      </c>
      <c r="AG276" s="350">
        <f t="shared" si="97"/>
        <v>0</v>
      </c>
    </row>
    <row r="277">
      <c r="A277" s="835"/>
      <c r="B277" s="894"/>
      <c r="C277" s="894"/>
      <c r="D277" s="894"/>
      <c r="E277" s="894"/>
      <c r="F277" s="894"/>
      <c r="G277" s="894"/>
      <c r="H277" s="894"/>
      <c r="I277" s="894"/>
      <c r="J277" s="894"/>
      <c r="K277" s="894"/>
      <c r="L277" s="894"/>
      <c r="M277" s="894"/>
      <c r="N277" s="894"/>
      <c r="O277" s="894"/>
      <c r="P277" s="894"/>
      <c r="Q277" s="894"/>
      <c r="R277" s="894"/>
      <c r="S277" s="894"/>
      <c r="T277" s="894"/>
      <c r="U277" s="894"/>
      <c r="V277" s="894"/>
      <c r="W277" s="894"/>
      <c r="X277" s="894"/>
      <c r="Y277" s="894"/>
      <c r="Z277" s="894"/>
      <c r="AA277" s="894"/>
      <c r="AB277" s="894"/>
      <c r="AC277" s="894"/>
      <c r="AD277" s="894"/>
      <c r="AE277" s="894"/>
      <c r="AF277" s="894"/>
      <c r="AG277" s="11"/>
    </row>
    <row r="278">
      <c r="A278" s="876" t="s">
        <v>785</v>
      </c>
      <c r="B278" s="790">
        <v>0.0</v>
      </c>
      <c r="C278" s="311">
        <v>0.0</v>
      </c>
      <c r="D278" s="311">
        <v>0.0</v>
      </c>
      <c r="E278" s="790">
        <v>0.0</v>
      </c>
      <c r="F278" s="790">
        <v>0.0</v>
      </c>
      <c r="G278" s="790">
        <v>0.0</v>
      </c>
      <c r="H278" s="790">
        <v>0.0</v>
      </c>
      <c r="I278" s="790">
        <v>0.0</v>
      </c>
      <c r="J278" s="790">
        <v>0.0</v>
      </c>
      <c r="K278" s="790">
        <v>0.0</v>
      </c>
      <c r="L278" s="790">
        <v>0.0</v>
      </c>
      <c r="M278" s="790">
        <v>0.0</v>
      </c>
      <c r="N278" s="891">
        <v>0.0</v>
      </c>
      <c r="O278" s="790">
        <v>0.0</v>
      </c>
      <c r="P278" s="790">
        <v>0.0</v>
      </c>
      <c r="Q278" s="891">
        <v>0.0</v>
      </c>
      <c r="R278" s="790">
        <v>0.0</v>
      </c>
      <c r="S278" s="790">
        <v>0.0</v>
      </c>
      <c r="T278" s="790">
        <v>0.0</v>
      </c>
      <c r="U278" s="790">
        <v>0.0</v>
      </c>
      <c r="V278" s="790">
        <v>0.0</v>
      </c>
      <c r="W278" s="790">
        <v>0.0</v>
      </c>
      <c r="X278" s="790">
        <v>0.0</v>
      </c>
      <c r="Y278" s="790">
        <v>0.0</v>
      </c>
      <c r="Z278" s="790">
        <v>0.0</v>
      </c>
      <c r="AA278" s="790">
        <v>0.0</v>
      </c>
      <c r="AB278" s="790">
        <v>0.0</v>
      </c>
      <c r="AC278" s="790">
        <v>0.0</v>
      </c>
      <c r="AD278" s="790">
        <v>0.0</v>
      </c>
      <c r="AE278" s="896">
        <v>0.0</v>
      </c>
      <c r="AF278" s="896">
        <v>0.0</v>
      </c>
      <c r="AG278" s="350"/>
    </row>
    <row r="279">
      <c r="A279" s="893" t="s">
        <v>786</v>
      </c>
      <c r="B279" s="888">
        <f t="shared" ref="B279:AF279" si="99">B278</f>
        <v>0</v>
      </c>
      <c r="C279" s="888">
        <f t="shared" si="99"/>
        <v>0</v>
      </c>
      <c r="D279" s="888">
        <f t="shared" si="99"/>
        <v>0</v>
      </c>
      <c r="E279" s="888">
        <f t="shared" si="99"/>
        <v>0</v>
      </c>
      <c r="F279" s="888">
        <f t="shared" si="99"/>
        <v>0</v>
      </c>
      <c r="G279" s="888">
        <f t="shared" si="99"/>
        <v>0</v>
      </c>
      <c r="H279" s="888">
        <f t="shared" si="99"/>
        <v>0</v>
      </c>
      <c r="I279" s="888">
        <f t="shared" si="99"/>
        <v>0</v>
      </c>
      <c r="J279" s="888">
        <f t="shared" si="99"/>
        <v>0</v>
      </c>
      <c r="K279" s="888">
        <f t="shared" si="99"/>
        <v>0</v>
      </c>
      <c r="L279" s="888">
        <f t="shared" si="99"/>
        <v>0</v>
      </c>
      <c r="M279" s="888">
        <f t="shared" si="99"/>
        <v>0</v>
      </c>
      <c r="N279" s="888">
        <f t="shared" si="99"/>
        <v>0</v>
      </c>
      <c r="O279" s="888">
        <f t="shared" si="99"/>
        <v>0</v>
      </c>
      <c r="P279" s="888">
        <f t="shared" si="99"/>
        <v>0</v>
      </c>
      <c r="Q279" s="888">
        <f t="shared" si="99"/>
        <v>0</v>
      </c>
      <c r="R279" s="888">
        <f t="shared" si="99"/>
        <v>0</v>
      </c>
      <c r="S279" s="888">
        <f t="shared" si="99"/>
        <v>0</v>
      </c>
      <c r="T279" s="888">
        <f t="shared" si="99"/>
        <v>0</v>
      </c>
      <c r="U279" s="888">
        <f t="shared" si="99"/>
        <v>0</v>
      </c>
      <c r="V279" s="888">
        <f t="shared" si="99"/>
        <v>0</v>
      </c>
      <c r="W279" s="888">
        <f t="shared" si="99"/>
        <v>0</v>
      </c>
      <c r="X279" s="888">
        <f t="shared" si="99"/>
        <v>0</v>
      </c>
      <c r="Y279" s="888">
        <f t="shared" si="99"/>
        <v>0</v>
      </c>
      <c r="Z279" s="888">
        <f t="shared" si="99"/>
        <v>0</v>
      </c>
      <c r="AA279" s="888">
        <f t="shared" si="99"/>
        <v>0</v>
      </c>
      <c r="AB279" s="888">
        <f t="shared" si="99"/>
        <v>0</v>
      </c>
      <c r="AC279" s="888">
        <f t="shared" si="99"/>
        <v>0</v>
      </c>
      <c r="AD279" s="888">
        <f t="shared" si="99"/>
        <v>0</v>
      </c>
      <c r="AE279" s="888">
        <f t="shared" si="99"/>
        <v>0</v>
      </c>
      <c r="AF279" s="888">
        <f t="shared" si="99"/>
        <v>0</v>
      </c>
      <c r="AG279" s="350">
        <f>sum(B279:AF279)</f>
        <v>0</v>
      </c>
    </row>
    <row r="280">
      <c r="A280" s="835"/>
      <c r="J280" s="1" t="s">
        <v>236</v>
      </c>
      <c r="AG280" s="11"/>
    </row>
    <row r="281">
      <c r="A281" s="648" t="s">
        <v>787</v>
      </c>
      <c r="B281" s="542"/>
      <c r="C281" s="542"/>
      <c r="D281" s="542"/>
      <c r="E281" s="542"/>
      <c r="F281" s="542"/>
      <c r="G281" s="542"/>
      <c r="H281" s="542"/>
      <c r="I281" s="327"/>
      <c r="J281" s="327"/>
      <c r="K281" s="327"/>
      <c r="L281" s="327"/>
      <c r="M281" s="327"/>
      <c r="N281" s="327"/>
      <c r="O281" s="327"/>
      <c r="P281" s="327"/>
      <c r="Q281" s="327"/>
      <c r="R281" s="327"/>
      <c r="S281" s="327"/>
      <c r="T281" s="327"/>
      <c r="U281" s="327"/>
      <c r="V281" s="327"/>
      <c r="W281" s="327"/>
      <c r="X281" s="327"/>
      <c r="Y281" s="327"/>
      <c r="Z281" s="327"/>
      <c r="AA281" s="327"/>
      <c r="AB281" s="327"/>
      <c r="AC281" s="327"/>
      <c r="AD281" s="327"/>
      <c r="AE281" s="327"/>
      <c r="AF281" s="327"/>
      <c r="AG281" s="11"/>
    </row>
    <row r="282">
      <c r="A282" s="897" t="s">
        <v>752</v>
      </c>
      <c r="B282" s="301">
        <v>0.0</v>
      </c>
      <c r="C282" s="301">
        <v>0.0</v>
      </c>
      <c r="D282" s="301">
        <v>0.0</v>
      </c>
      <c r="E282" s="301">
        <v>0.0</v>
      </c>
      <c r="F282" s="877">
        <v>3.0</v>
      </c>
      <c r="G282" s="301">
        <v>0.0</v>
      </c>
      <c r="H282" s="301">
        <v>0.0</v>
      </c>
      <c r="I282" s="301">
        <v>0.0</v>
      </c>
      <c r="J282" s="301">
        <v>0.0</v>
      </c>
      <c r="K282" s="301">
        <v>1.0</v>
      </c>
      <c r="L282" s="301">
        <v>1.0</v>
      </c>
      <c r="M282" s="301">
        <v>0.0</v>
      </c>
      <c r="N282" s="301">
        <v>0.0</v>
      </c>
      <c r="O282" s="301">
        <v>0.0</v>
      </c>
      <c r="P282" s="301">
        <v>0.0</v>
      </c>
      <c r="Q282" s="301">
        <v>0.0</v>
      </c>
      <c r="R282" s="301">
        <v>2.0</v>
      </c>
      <c r="S282" s="877">
        <v>0.0</v>
      </c>
      <c r="T282" s="877">
        <v>0.0</v>
      </c>
      <c r="U282" s="301">
        <v>0.0</v>
      </c>
      <c r="V282" s="301">
        <v>0.0</v>
      </c>
      <c r="W282" s="877">
        <v>0.0</v>
      </c>
      <c r="X282" s="877">
        <v>0.0</v>
      </c>
      <c r="Y282" s="301">
        <v>2.0</v>
      </c>
      <c r="Z282" s="301">
        <v>2.0</v>
      </c>
      <c r="AA282" s="301">
        <v>0.0</v>
      </c>
      <c r="AB282" s="301">
        <v>0.0</v>
      </c>
      <c r="AC282" s="301">
        <v>1.0</v>
      </c>
      <c r="AD282" s="301">
        <v>0.0</v>
      </c>
      <c r="AE282" s="301">
        <v>1.0</v>
      </c>
      <c r="AF282" s="301">
        <v>3.0</v>
      </c>
      <c r="AG282" s="768">
        <f t="shared" ref="AG282:AG289" si="100">SUM(B282:AF282)</f>
        <v>16</v>
      </c>
    </row>
    <row r="283">
      <c r="A283" s="897" t="s">
        <v>753</v>
      </c>
      <c r="B283" s="808">
        <v>0.0</v>
      </c>
      <c r="C283" s="808">
        <v>0.0</v>
      </c>
      <c r="D283" s="808">
        <v>0.0</v>
      </c>
      <c r="E283" s="808">
        <v>0.0</v>
      </c>
      <c r="F283" s="877">
        <v>1.0</v>
      </c>
      <c r="G283" s="301">
        <v>1.0</v>
      </c>
      <c r="H283" s="301">
        <v>0.0</v>
      </c>
      <c r="I283" s="301">
        <v>0.0</v>
      </c>
      <c r="J283" s="301">
        <v>0.0</v>
      </c>
      <c r="K283" s="301">
        <v>1.0</v>
      </c>
      <c r="L283" s="301">
        <v>0.0</v>
      </c>
      <c r="M283" s="301">
        <v>0.0</v>
      </c>
      <c r="N283" s="301">
        <v>0.0</v>
      </c>
      <c r="O283" s="301">
        <v>0.0</v>
      </c>
      <c r="P283" s="301">
        <v>0.0</v>
      </c>
      <c r="Q283" s="301">
        <v>0.0</v>
      </c>
      <c r="R283" s="301">
        <v>0.0</v>
      </c>
      <c r="S283" s="877">
        <v>1.0</v>
      </c>
      <c r="T283" s="877">
        <v>0.0</v>
      </c>
      <c r="U283" s="301">
        <v>1.0</v>
      </c>
      <c r="V283" s="301">
        <v>1.0</v>
      </c>
      <c r="W283" s="877">
        <v>0.0</v>
      </c>
      <c r="X283" s="877">
        <v>1.0</v>
      </c>
      <c r="Y283" s="301">
        <v>3.0</v>
      </c>
      <c r="Z283" s="301">
        <v>0.0</v>
      </c>
      <c r="AA283" s="301">
        <v>1.0</v>
      </c>
      <c r="AB283" s="301">
        <v>1.0</v>
      </c>
      <c r="AC283" s="301">
        <v>2.0</v>
      </c>
      <c r="AD283" s="301">
        <v>0.0</v>
      </c>
      <c r="AE283" s="301">
        <v>2.0</v>
      </c>
      <c r="AF283" s="301">
        <v>2.0</v>
      </c>
      <c r="AG283" s="768">
        <f t="shared" si="100"/>
        <v>18</v>
      </c>
    </row>
    <row r="284">
      <c r="A284" s="897" t="s">
        <v>754</v>
      </c>
      <c r="B284" s="301">
        <v>0.0</v>
      </c>
      <c r="C284" s="301">
        <v>0.0</v>
      </c>
      <c r="D284" s="301">
        <v>0.0</v>
      </c>
      <c r="E284" s="301">
        <v>0.0</v>
      </c>
      <c r="F284" s="877">
        <v>0.0</v>
      </c>
      <c r="G284" s="301">
        <v>1.0</v>
      </c>
      <c r="H284" s="301">
        <v>0.0</v>
      </c>
      <c r="I284" s="301">
        <v>0.0</v>
      </c>
      <c r="J284" s="301">
        <v>0.0</v>
      </c>
      <c r="K284" s="301">
        <v>0.0</v>
      </c>
      <c r="L284" s="301">
        <v>0.0</v>
      </c>
      <c r="M284" s="301">
        <v>0.0</v>
      </c>
      <c r="N284" s="301">
        <v>0.0</v>
      </c>
      <c r="O284" s="301">
        <v>0.0</v>
      </c>
      <c r="P284" s="301">
        <v>0.0</v>
      </c>
      <c r="Q284" s="301">
        <v>0.0</v>
      </c>
      <c r="R284" s="301">
        <v>0.0</v>
      </c>
      <c r="S284" s="877">
        <v>0.0</v>
      </c>
      <c r="T284" s="877">
        <v>0.0</v>
      </c>
      <c r="U284" s="301">
        <v>0.0</v>
      </c>
      <c r="V284" s="301">
        <v>0.0</v>
      </c>
      <c r="W284" s="877">
        <v>0.0</v>
      </c>
      <c r="X284" s="877">
        <v>0.0</v>
      </c>
      <c r="Y284" s="301">
        <v>0.0</v>
      </c>
      <c r="Z284" s="301">
        <v>0.0</v>
      </c>
      <c r="AA284" s="301">
        <v>0.0</v>
      </c>
      <c r="AB284" s="301">
        <v>0.0</v>
      </c>
      <c r="AC284" s="301">
        <v>0.0</v>
      </c>
      <c r="AD284" s="301">
        <v>0.0</v>
      </c>
      <c r="AE284" s="301">
        <v>0.0</v>
      </c>
      <c r="AF284" s="301">
        <v>0.0</v>
      </c>
      <c r="AG284" s="768">
        <f t="shared" si="100"/>
        <v>1</v>
      </c>
    </row>
    <row r="285">
      <c r="A285" s="897" t="s">
        <v>755</v>
      </c>
      <c r="B285" s="301">
        <v>0.0</v>
      </c>
      <c r="C285" s="301">
        <v>0.0</v>
      </c>
      <c r="D285" s="301">
        <v>0.0</v>
      </c>
      <c r="E285" s="301">
        <v>0.0</v>
      </c>
      <c r="F285" s="877">
        <v>0.0</v>
      </c>
      <c r="G285" s="301">
        <v>1.0</v>
      </c>
      <c r="H285" s="301">
        <v>0.0</v>
      </c>
      <c r="I285" s="301">
        <v>0.0</v>
      </c>
      <c r="J285" s="301">
        <v>0.0</v>
      </c>
      <c r="K285" s="301">
        <v>0.0</v>
      </c>
      <c r="L285" s="301">
        <v>0.0</v>
      </c>
      <c r="M285" s="301">
        <v>0.0</v>
      </c>
      <c r="N285" s="301">
        <v>0.0</v>
      </c>
      <c r="O285" s="301">
        <v>0.0</v>
      </c>
      <c r="P285" s="301">
        <v>0.0</v>
      </c>
      <c r="Q285" s="301">
        <v>0.0</v>
      </c>
      <c r="R285" s="301">
        <v>0.0</v>
      </c>
      <c r="S285" s="877">
        <v>1.0</v>
      </c>
      <c r="T285" s="877">
        <v>0.0</v>
      </c>
      <c r="U285" s="301">
        <v>0.0</v>
      </c>
      <c r="V285" s="301">
        <v>0.0</v>
      </c>
      <c r="W285" s="877">
        <v>0.0</v>
      </c>
      <c r="X285" s="877">
        <v>0.0</v>
      </c>
      <c r="Y285" s="301">
        <v>0.0</v>
      </c>
      <c r="Z285" s="301">
        <v>0.0</v>
      </c>
      <c r="AA285" s="301">
        <v>0.0</v>
      </c>
      <c r="AB285" s="301">
        <v>0.0</v>
      </c>
      <c r="AC285" s="301">
        <v>0.0</v>
      </c>
      <c r="AD285" s="301">
        <v>0.0</v>
      </c>
      <c r="AE285" s="301">
        <v>0.0</v>
      </c>
      <c r="AF285" s="301">
        <v>0.0</v>
      </c>
      <c r="AG285" s="768">
        <f t="shared" si="100"/>
        <v>2</v>
      </c>
    </row>
    <row r="286">
      <c r="A286" s="897" t="s">
        <v>756</v>
      </c>
      <c r="B286" s="54"/>
      <c r="C286" s="54"/>
      <c r="D286" s="54"/>
      <c r="E286" s="54"/>
      <c r="F286" s="878"/>
      <c r="G286" s="884"/>
      <c r="H286" s="884"/>
      <c r="I286" s="884"/>
      <c r="J286" s="884"/>
      <c r="K286" s="54"/>
      <c r="L286" s="884"/>
      <c r="M286" s="884"/>
      <c r="N286" s="884"/>
      <c r="O286" s="884"/>
      <c r="P286" s="884"/>
      <c r="Q286" s="884"/>
      <c r="R286" s="884"/>
      <c r="S286" s="884"/>
      <c r="T286" s="884"/>
      <c r="U286" s="884"/>
      <c r="V286" s="884"/>
      <c r="W286" s="884"/>
      <c r="X286" s="884"/>
      <c r="Y286" s="884"/>
      <c r="Z286" s="884"/>
      <c r="AA286" s="884"/>
      <c r="AB286" s="884"/>
      <c r="AC286" s="884"/>
      <c r="AD286" s="884"/>
      <c r="AE286" s="884"/>
      <c r="AF286" s="884"/>
      <c r="AG286" s="768">
        <f t="shared" si="100"/>
        <v>0</v>
      </c>
    </row>
    <row r="287">
      <c r="A287" s="897" t="s">
        <v>757</v>
      </c>
      <c r="B287" s="54"/>
      <c r="C287" s="54"/>
      <c r="D287" s="54"/>
      <c r="E287" s="54"/>
      <c r="F287" s="878"/>
      <c r="G287" s="884"/>
      <c r="H287" s="884"/>
      <c r="I287" s="884"/>
      <c r="J287" s="884"/>
      <c r="K287" s="884"/>
      <c r="L287" s="884"/>
      <c r="M287" s="884"/>
      <c r="N287" s="884"/>
      <c r="O287" s="884"/>
      <c r="P287" s="884"/>
      <c r="Q287" s="884"/>
      <c r="R287" s="884"/>
      <c r="S287" s="884"/>
      <c r="T287" s="884"/>
      <c r="U287" s="884"/>
      <c r="V287" s="884"/>
      <c r="W287" s="884"/>
      <c r="X287" s="884"/>
      <c r="Y287" s="884"/>
      <c r="Z287" s="884"/>
      <c r="AA287" s="884"/>
      <c r="AB287" s="884"/>
      <c r="AC287" s="884"/>
      <c r="AD287" s="884"/>
      <c r="AE287" s="884"/>
      <c r="AF287" s="884"/>
      <c r="AG287" s="768">
        <f t="shared" si="100"/>
        <v>0</v>
      </c>
    </row>
    <row r="288">
      <c r="A288" s="900" t="s">
        <v>725</v>
      </c>
      <c r="B288" s="901">
        <f t="shared" ref="B288:AF288" si="101">SUM(B282:B287)</f>
        <v>0</v>
      </c>
      <c r="C288" s="901">
        <f t="shared" si="101"/>
        <v>0</v>
      </c>
      <c r="D288" s="901">
        <f t="shared" si="101"/>
        <v>0</v>
      </c>
      <c r="E288" s="901">
        <f t="shared" si="101"/>
        <v>0</v>
      </c>
      <c r="F288" s="901">
        <f t="shared" si="101"/>
        <v>4</v>
      </c>
      <c r="G288" s="901">
        <f t="shared" si="101"/>
        <v>3</v>
      </c>
      <c r="H288" s="901">
        <f t="shared" si="101"/>
        <v>0</v>
      </c>
      <c r="I288" s="901">
        <f t="shared" si="101"/>
        <v>0</v>
      </c>
      <c r="J288" s="901">
        <f t="shared" si="101"/>
        <v>0</v>
      </c>
      <c r="K288" s="901">
        <f t="shared" si="101"/>
        <v>2</v>
      </c>
      <c r="L288" s="901">
        <f t="shared" si="101"/>
        <v>1</v>
      </c>
      <c r="M288" s="901">
        <f t="shared" si="101"/>
        <v>0</v>
      </c>
      <c r="N288" s="901">
        <f t="shared" si="101"/>
        <v>0</v>
      </c>
      <c r="O288" s="901">
        <f t="shared" si="101"/>
        <v>0</v>
      </c>
      <c r="P288" s="901">
        <f t="shared" si="101"/>
        <v>0</v>
      </c>
      <c r="Q288" s="901">
        <f t="shared" si="101"/>
        <v>0</v>
      </c>
      <c r="R288" s="901">
        <f t="shared" si="101"/>
        <v>2</v>
      </c>
      <c r="S288" s="901">
        <f t="shared" si="101"/>
        <v>2</v>
      </c>
      <c r="T288" s="901">
        <f t="shared" si="101"/>
        <v>0</v>
      </c>
      <c r="U288" s="901">
        <f t="shared" si="101"/>
        <v>1</v>
      </c>
      <c r="V288" s="901">
        <f t="shared" si="101"/>
        <v>1</v>
      </c>
      <c r="W288" s="901">
        <f t="shared" si="101"/>
        <v>0</v>
      </c>
      <c r="X288" s="901">
        <f t="shared" si="101"/>
        <v>1</v>
      </c>
      <c r="Y288" s="901">
        <f t="shared" si="101"/>
        <v>5</v>
      </c>
      <c r="Z288" s="901">
        <f t="shared" si="101"/>
        <v>2</v>
      </c>
      <c r="AA288" s="901">
        <f t="shared" si="101"/>
        <v>1</v>
      </c>
      <c r="AB288" s="901">
        <f t="shared" si="101"/>
        <v>1</v>
      </c>
      <c r="AC288" s="901">
        <f t="shared" si="101"/>
        <v>3</v>
      </c>
      <c r="AD288" s="901">
        <f t="shared" si="101"/>
        <v>0</v>
      </c>
      <c r="AE288" s="901">
        <f t="shared" si="101"/>
        <v>3</v>
      </c>
      <c r="AF288" s="901">
        <f t="shared" si="101"/>
        <v>5</v>
      </c>
      <c r="AG288" s="768">
        <f t="shared" si="100"/>
        <v>37</v>
      </c>
    </row>
    <row r="289">
      <c r="A289" s="900" t="s">
        <v>758</v>
      </c>
      <c r="B289" s="901">
        <f>B282+B285+B287</f>
        <v>0</v>
      </c>
      <c r="C289" s="901">
        <f t="shared" ref="C289:AF289" si="102">C283+C285+C287</f>
        <v>0</v>
      </c>
      <c r="D289" s="901">
        <f t="shared" si="102"/>
        <v>0</v>
      </c>
      <c r="E289" s="901">
        <f t="shared" si="102"/>
        <v>0</v>
      </c>
      <c r="F289" s="901">
        <f t="shared" si="102"/>
        <v>1</v>
      </c>
      <c r="G289" s="901">
        <f t="shared" si="102"/>
        <v>2</v>
      </c>
      <c r="H289" s="901">
        <f t="shared" si="102"/>
        <v>0</v>
      </c>
      <c r="I289" s="901">
        <f t="shared" si="102"/>
        <v>0</v>
      </c>
      <c r="J289" s="901">
        <f t="shared" si="102"/>
        <v>0</v>
      </c>
      <c r="K289" s="901">
        <f t="shared" si="102"/>
        <v>1</v>
      </c>
      <c r="L289" s="901">
        <f t="shared" si="102"/>
        <v>0</v>
      </c>
      <c r="M289" s="901">
        <f t="shared" si="102"/>
        <v>0</v>
      </c>
      <c r="N289" s="901">
        <f t="shared" si="102"/>
        <v>0</v>
      </c>
      <c r="O289" s="901">
        <f t="shared" si="102"/>
        <v>0</v>
      </c>
      <c r="P289" s="901">
        <f t="shared" si="102"/>
        <v>0</v>
      </c>
      <c r="Q289" s="901">
        <f t="shared" si="102"/>
        <v>0</v>
      </c>
      <c r="R289" s="901">
        <f t="shared" si="102"/>
        <v>0</v>
      </c>
      <c r="S289" s="901">
        <f t="shared" si="102"/>
        <v>2</v>
      </c>
      <c r="T289" s="901">
        <f t="shared" si="102"/>
        <v>0</v>
      </c>
      <c r="U289" s="901">
        <f t="shared" si="102"/>
        <v>1</v>
      </c>
      <c r="V289" s="901">
        <f t="shared" si="102"/>
        <v>1</v>
      </c>
      <c r="W289" s="901">
        <f t="shared" si="102"/>
        <v>0</v>
      </c>
      <c r="X289" s="901">
        <f t="shared" si="102"/>
        <v>1</v>
      </c>
      <c r="Y289" s="901">
        <f t="shared" si="102"/>
        <v>3</v>
      </c>
      <c r="Z289" s="901">
        <f t="shared" si="102"/>
        <v>0</v>
      </c>
      <c r="AA289" s="901">
        <f t="shared" si="102"/>
        <v>1</v>
      </c>
      <c r="AB289" s="901">
        <f t="shared" si="102"/>
        <v>1</v>
      </c>
      <c r="AC289" s="901">
        <f t="shared" si="102"/>
        <v>2</v>
      </c>
      <c r="AD289" s="901">
        <f t="shared" si="102"/>
        <v>0</v>
      </c>
      <c r="AE289" s="901">
        <f t="shared" si="102"/>
        <v>2</v>
      </c>
      <c r="AF289" s="901">
        <f t="shared" si="102"/>
        <v>2</v>
      </c>
      <c r="AG289" s="768">
        <f t="shared" si="100"/>
        <v>20</v>
      </c>
    </row>
    <row r="290">
      <c r="A290" s="42"/>
      <c r="B290" s="542"/>
      <c r="C290" s="542"/>
      <c r="D290" s="542"/>
      <c r="E290" s="542"/>
      <c r="F290" s="542"/>
      <c r="G290" s="542"/>
      <c r="H290" s="542"/>
      <c r="I290" s="327"/>
      <c r="J290" s="327"/>
      <c r="K290" s="327"/>
      <c r="L290" s="327"/>
      <c r="M290" s="327"/>
      <c r="N290" s="327"/>
      <c r="O290" s="327"/>
      <c r="P290" s="327"/>
      <c r="Q290" s="327"/>
      <c r="R290" s="327"/>
      <c r="S290" s="327"/>
      <c r="T290" s="327"/>
      <c r="U290" s="327"/>
      <c r="V290" s="327"/>
      <c r="W290" s="327"/>
      <c r="X290" s="327"/>
      <c r="Y290" s="327"/>
      <c r="Z290" s="327"/>
      <c r="AA290" s="327"/>
      <c r="AB290" s="327"/>
      <c r="AC290" s="327"/>
      <c r="AD290" s="327"/>
      <c r="AE290" s="327"/>
      <c r="AF290" s="327"/>
      <c r="AG290" s="768"/>
    </row>
    <row r="291">
      <c r="A291" s="897" t="s">
        <v>760</v>
      </c>
      <c r="B291" s="301">
        <v>0.0</v>
      </c>
      <c r="C291" s="301">
        <v>0.0</v>
      </c>
      <c r="D291" s="301">
        <v>0.0</v>
      </c>
      <c r="E291" s="301">
        <v>0.0</v>
      </c>
      <c r="F291" s="877">
        <v>2.0</v>
      </c>
      <c r="G291" s="301">
        <v>1.0</v>
      </c>
      <c r="H291" s="301">
        <v>0.0</v>
      </c>
      <c r="I291" s="301">
        <v>0.0</v>
      </c>
      <c r="J291" s="301">
        <v>0.0</v>
      </c>
      <c r="K291" s="301">
        <v>0.0</v>
      </c>
      <c r="L291" s="301">
        <v>0.0</v>
      </c>
      <c r="M291" s="301">
        <v>0.0</v>
      </c>
      <c r="N291" s="301">
        <v>0.0</v>
      </c>
      <c r="O291" s="301">
        <v>0.0</v>
      </c>
      <c r="P291" s="301">
        <v>0.0</v>
      </c>
      <c r="Q291" s="301">
        <v>0.0</v>
      </c>
      <c r="R291" s="301">
        <v>0.0</v>
      </c>
      <c r="S291" s="877">
        <v>1.0</v>
      </c>
      <c r="T291" s="877">
        <v>1.0</v>
      </c>
      <c r="U291" s="301">
        <v>0.0</v>
      </c>
      <c r="V291" s="301">
        <v>1.0</v>
      </c>
      <c r="W291" s="877">
        <v>0.0</v>
      </c>
      <c r="X291" s="877">
        <v>0.0</v>
      </c>
      <c r="Y291" s="301">
        <v>1.0</v>
      </c>
      <c r="Z291" s="301">
        <v>0.0</v>
      </c>
      <c r="AA291" s="301">
        <v>2.0</v>
      </c>
      <c r="AB291" s="301">
        <v>0.0</v>
      </c>
      <c r="AC291" s="301">
        <v>4.0</v>
      </c>
      <c r="AD291" s="301">
        <v>3.0</v>
      </c>
      <c r="AE291" s="301">
        <v>3.0</v>
      </c>
      <c r="AF291" s="301">
        <v>14.0</v>
      </c>
      <c r="AG291" s="768">
        <f t="shared" ref="AG291:AG296" si="103">SUM(B291:AF291)</f>
        <v>33</v>
      </c>
    </row>
    <row r="292">
      <c r="A292" s="897" t="s">
        <v>761</v>
      </c>
      <c r="B292" s="301">
        <v>0.0</v>
      </c>
      <c r="C292" s="301">
        <v>0.0</v>
      </c>
      <c r="D292" s="301">
        <v>0.0</v>
      </c>
      <c r="E292" s="301">
        <v>0.0</v>
      </c>
      <c r="F292" s="877">
        <v>0.0</v>
      </c>
      <c r="G292" s="301">
        <v>0.0</v>
      </c>
      <c r="H292" s="301">
        <v>0.0</v>
      </c>
      <c r="I292" s="301">
        <v>0.0</v>
      </c>
      <c r="J292" s="301">
        <v>0.0</v>
      </c>
      <c r="K292" s="301">
        <v>0.0</v>
      </c>
      <c r="L292" s="301">
        <v>0.0</v>
      </c>
      <c r="M292" s="301">
        <v>0.0</v>
      </c>
      <c r="N292" s="301">
        <v>0.0</v>
      </c>
      <c r="O292" s="301">
        <v>0.0</v>
      </c>
      <c r="P292" s="301">
        <v>0.0</v>
      </c>
      <c r="Q292" s="301">
        <v>0.0</v>
      </c>
      <c r="R292" s="301">
        <v>0.0</v>
      </c>
      <c r="S292" s="877">
        <v>0.0</v>
      </c>
      <c r="T292" s="877">
        <v>0.0</v>
      </c>
      <c r="U292" s="301">
        <v>0.0</v>
      </c>
      <c r="V292" s="301">
        <v>0.0</v>
      </c>
      <c r="W292" s="877">
        <v>0.0</v>
      </c>
      <c r="X292" s="877">
        <v>0.0</v>
      </c>
      <c r="Y292" s="301">
        <v>0.0</v>
      </c>
      <c r="Z292" s="301">
        <v>0.0</v>
      </c>
      <c r="AA292" s="301">
        <v>0.0</v>
      </c>
      <c r="AB292" s="301">
        <v>0.0</v>
      </c>
      <c r="AC292" s="301">
        <v>0.0</v>
      </c>
      <c r="AD292" s="301">
        <v>1.0</v>
      </c>
      <c r="AE292" s="301">
        <v>1.0</v>
      </c>
      <c r="AF292" s="301">
        <v>0.0</v>
      </c>
      <c r="AG292" s="768">
        <f t="shared" si="103"/>
        <v>2</v>
      </c>
    </row>
    <row r="293">
      <c r="A293" s="897" t="s">
        <v>762</v>
      </c>
      <c r="B293" s="301">
        <v>0.0</v>
      </c>
      <c r="C293" s="301">
        <v>0.0</v>
      </c>
      <c r="D293" s="301">
        <v>0.0</v>
      </c>
      <c r="E293" s="301">
        <v>0.0</v>
      </c>
      <c r="F293" s="877">
        <v>0.0</v>
      </c>
      <c r="G293" s="301">
        <v>0.0</v>
      </c>
      <c r="H293" s="301">
        <v>0.0</v>
      </c>
      <c r="I293" s="301">
        <v>0.0</v>
      </c>
      <c r="J293" s="301">
        <v>0.0</v>
      </c>
      <c r="K293" s="301">
        <v>1.0</v>
      </c>
      <c r="L293" s="301">
        <v>0.0</v>
      </c>
      <c r="M293" s="301">
        <v>0.0</v>
      </c>
      <c r="N293" s="301">
        <v>0.0</v>
      </c>
      <c r="O293" s="301">
        <v>0.0</v>
      </c>
      <c r="P293" s="301">
        <v>0.0</v>
      </c>
      <c r="Q293" s="301">
        <v>0.0</v>
      </c>
      <c r="R293" s="301">
        <v>0.0</v>
      </c>
      <c r="S293" s="877">
        <v>1.0</v>
      </c>
      <c r="T293" s="877">
        <v>0.0</v>
      </c>
      <c r="U293" s="301">
        <v>0.0</v>
      </c>
      <c r="V293" s="301">
        <v>1.0</v>
      </c>
      <c r="W293" s="877">
        <v>0.0</v>
      </c>
      <c r="X293" s="877">
        <v>0.0</v>
      </c>
      <c r="Y293" s="301">
        <v>1.0</v>
      </c>
      <c r="Z293" s="301">
        <v>1.0</v>
      </c>
      <c r="AA293" s="301">
        <v>1.0</v>
      </c>
      <c r="AB293" s="301">
        <v>0.0</v>
      </c>
      <c r="AC293" s="301">
        <v>0.0</v>
      </c>
      <c r="AD293" s="301">
        <v>2.0</v>
      </c>
      <c r="AE293" s="301">
        <v>0.0</v>
      </c>
      <c r="AF293" s="301">
        <v>2.0</v>
      </c>
      <c r="AG293" s="768">
        <f t="shared" si="103"/>
        <v>10</v>
      </c>
    </row>
    <row r="294">
      <c r="A294" s="897" t="s">
        <v>763</v>
      </c>
      <c r="B294" s="301">
        <v>0.0</v>
      </c>
      <c r="C294" s="301">
        <v>0.0</v>
      </c>
      <c r="D294" s="301">
        <v>0.0</v>
      </c>
      <c r="E294" s="301">
        <v>0.0</v>
      </c>
      <c r="F294" s="877">
        <v>0.0</v>
      </c>
      <c r="G294" s="301">
        <v>0.0</v>
      </c>
      <c r="H294" s="301">
        <v>0.0</v>
      </c>
      <c r="I294" s="301">
        <v>0.0</v>
      </c>
      <c r="J294" s="301">
        <v>0.0</v>
      </c>
      <c r="K294" s="301">
        <v>0.0</v>
      </c>
      <c r="L294" s="301">
        <v>0.0</v>
      </c>
      <c r="M294" s="301">
        <v>0.0</v>
      </c>
      <c r="N294" s="301">
        <v>0.0</v>
      </c>
      <c r="O294" s="301">
        <v>0.0</v>
      </c>
      <c r="P294" s="301">
        <v>0.0</v>
      </c>
      <c r="Q294" s="301">
        <v>0.0</v>
      </c>
      <c r="R294" s="301">
        <v>0.0</v>
      </c>
      <c r="S294" s="877">
        <v>1.0</v>
      </c>
      <c r="T294" s="877">
        <v>0.0</v>
      </c>
      <c r="U294" s="301">
        <v>0.0</v>
      </c>
      <c r="V294" s="301">
        <v>1.0</v>
      </c>
      <c r="W294" s="877">
        <v>1.0</v>
      </c>
      <c r="X294" s="877">
        <v>0.0</v>
      </c>
      <c r="Y294" s="301">
        <v>0.0</v>
      </c>
      <c r="Z294" s="301">
        <v>1.0</v>
      </c>
      <c r="AA294" s="301">
        <v>2.0</v>
      </c>
      <c r="AB294" s="301">
        <v>0.0</v>
      </c>
      <c r="AC294" s="301">
        <v>2.0</v>
      </c>
      <c r="AD294" s="301">
        <v>1.0</v>
      </c>
      <c r="AE294" s="301">
        <v>1.0</v>
      </c>
      <c r="AF294" s="301">
        <v>3.0</v>
      </c>
      <c r="AG294" s="768">
        <f t="shared" si="103"/>
        <v>13</v>
      </c>
    </row>
    <row r="295">
      <c r="A295" s="897" t="s">
        <v>764</v>
      </c>
      <c r="B295" s="301">
        <v>0.0</v>
      </c>
      <c r="C295" s="301">
        <v>0.0</v>
      </c>
      <c r="D295" s="301">
        <v>0.0</v>
      </c>
      <c r="E295" s="301">
        <v>0.0</v>
      </c>
      <c r="F295" s="877">
        <v>2.0</v>
      </c>
      <c r="G295" s="301">
        <v>1.0</v>
      </c>
      <c r="H295" s="301">
        <v>0.0</v>
      </c>
      <c r="I295" s="301">
        <v>0.0</v>
      </c>
      <c r="J295" s="301">
        <v>0.0</v>
      </c>
      <c r="K295" s="301">
        <v>0.0</v>
      </c>
      <c r="L295" s="301">
        <v>0.0</v>
      </c>
      <c r="M295" s="301">
        <v>0.0</v>
      </c>
      <c r="N295" s="301">
        <v>0.0</v>
      </c>
      <c r="O295" s="301">
        <v>0.0</v>
      </c>
      <c r="P295" s="301">
        <v>0.0</v>
      </c>
      <c r="Q295" s="301">
        <v>0.0</v>
      </c>
      <c r="R295" s="301">
        <v>1.0</v>
      </c>
      <c r="S295" s="877">
        <v>0.0</v>
      </c>
      <c r="T295" s="877">
        <v>0.0</v>
      </c>
      <c r="U295" s="301">
        <v>0.0</v>
      </c>
      <c r="V295" s="301">
        <v>0.0</v>
      </c>
      <c r="W295" s="877">
        <v>0.0</v>
      </c>
      <c r="X295" s="877">
        <v>0.0</v>
      </c>
      <c r="Y295" s="301">
        <v>1.0</v>
      </c>
      <c r="Z295" s="301">
        <v>0.0</v>
      </c>
      <c r="AA295" s="301">
        <v>0.0</v>
      </c>
      <c r="AB295" s="301">
        <v>0.0</v>
      </c>
      <c r="AC295" s="301">
        <v>0.0</v>
      </c>
      <c r="AD295" s="301">
        <v>0.0</v>
      </c>
      <c r="AE295" s="301">
        <v>2.0</v>
      </c>
      <c r="AF295" s="301">
        <v>2.0</v>
      </c>
      <c r="AG295" s="768">
        <f t="shared" si="103"/>
        <v>9</v>
      </c>
    </row>
    <row r="296">
      <c r="A296" s="907" t="s">
        <v>765</v>
      </c>
      <c r="B296" s="901">
        <f t="shared" ref="B296:M296" si="104">SUM(B291:B295)</f>
        <v>0</v>
      </c>
      <c r="C296" s="901">
        <f t="shared" si="104"/>
        <v>0</v>
      </c>
      <c r="D296" s="901">
        <f t="shared" si="104"/>
        <v>0</v>
      </c>
      <c r="E296" s="901">
        <f t="shared" si="104"/>
        <v>0</v>
      </c>
      <c r="F296" s="901">
        <f t="shared" si="104"/>
        <v>4</v>
      </c>
      <c r="G296" s="901">
        <f t="shared" si="104"/>
        <v>2</v>
      </c>
      <c r="H296" s="901">
        <f t="shared" si="104"/>
        <v>0</v>
      </c>
      <c r="I296" s="901">
        <f t="shared" si="104"/>
        <v>0</v>
      </c>
      <c r="J296" s="901">
        <f t="shared" si="104"/>
        <v>0</v>
      </c>
      <c r="K296" s="901">
        <f t="shared" si="104"/>
        <v>1</v>
      </c>
      <c r="L296" s="901">
        <f t="shared" si="104"/>
        <v>0</v>
      </c>
      <c r="M296" s="901">
        <f t="shared" si="104"/>
        <v>0</v>
      </c>
      <c r="N296" s="908">
        <v>0.0</v>
      </c>
      <c r="O296" s="901">
        <f t="shared" ref="O296:AF296" si="105">SUM(O291:O295)</f>
        <v>0</v>
      </c>
      <c r="P296" s="901">
        <f t="shared" si="105"/>
        <v>0</v>
      </c>
      <c r="Q296" s="901">
        <f t="shared" si="105"/>
        <v>0</v>
      </c>
      <c r="R296" s="901">
        <f t="shared" si="105"/>
        <v>1</v>
      </c>
      <c r="S296" s="901">
        <f t="shared" si="105"/>
        <v>3</v>
      </c>
      <c r="T296" s="901">
        <f t="shared" si="105"/>
        <v>1</v>
      </c>
      <c r="U296" s="901">
        <f t="shared" si="105"/>
        <v>0</v>
      </c>
      <c r="V296" s="901">
        <f t="shared" si="105"/>
        <v>3</v>
      </c>
      <c r="W296" s="901">
        <f t="shared" si="105"/>
        <v>1</v>
      </c>
      <c r="X296" s="901">
        <f t="shared" si="105"/>
        <v>0</v>
      </c>
      <c r="Y296" s="901">
        <f t="shared" si="105"/>
        <v>3</v>
      </c>
      <c r="Z296" s="901">
        <f t="shared" si="105"/>
        <v>2</v>
      </c>
      <c r="AA296" s="901">
        <f t="shared" si="105"/>
        <v>5</v>
      </c>
      <c r="AB296" s="901">
        <f t="shared" si="105"/>
        <v>0</v>
      </c>
      <c r="AC296" s="901">
        <f t="shared" si="105"/>
        <v>6</v>
      </c>
      <c r="AD296" s="901">
        <f t="shared" si="105"/>
        <v>7</v>
      </c>
      <c r="AE296" s="901">
        <f t="shared" si="105"/>
        <v>7</v>
      </c>
      <c r="AF296" s="901">
        <f t="shared" si="105"/>
        <v>21</v>
      </c>
      <c r="AG296" s="768">
        <f t="shared" si="103"/>
        <v>67</v>
      </c>
    </row>
    <row r="297">
      <c r="A297" s="42"/>
      <c r="B297" s="542"/>
      <c r="C297" s="542"/>
      <c r="D297" s="542"/>
      <c r="E297" s="542"/>
      <c r="F297" s="542"/>
      <c r="G297" s="542"/>
      <c r="H297" s="542"/>
      <c r="I297" s="327"/>
      <c r="J297" s="327"/>
      <c r="K297" s="327"/>
      <c r="L297" s="327"/>
      <c r="M297" s="327"/>
      <c r="N297" s="327"/>
      <c r="O297" s="327"/>
      <c r="P297" s="327"/>
      <c r="Q297" s="327"/>
      <c r="R297" s="327"/>
      <c r="S297" s="327"/>
      <c r="T297" s="327"/>
      <c r="U297" s="327"/>
      <c r="V297" s="327"/>
      <c r="W297" s="327"/>
      <c r="X297" s="327"/>
      <c r="Y297" s="327"/>
      <c r="Z297" s="327"/>
      <c r="AA297" s="327"/>
      <c r="AB297" s="327"/>
      <c r="AC297" s="327"/>
      <c r="AD297" s="327"/>
      <c r="AE297" s="327"/>
      <c r="AF297" s="327"/>
      <c r="AG297" s="768"/>
    </row>
    <row r="298">
      <c r="A298" s="897" t="s">
        <v>767</v>
      </c>
      <c r="B298" s="301">
        <v>0.0</v>
      </c>
      <c r="C298" s="301">
        <v>0.0</v>
      </c>
      <c r="D298" s="301">
        <v>0.0</v>
      </c>
      <c r="E298" s="301">
        <v>0.0</v>
      </c>
      <c r="F298" s="301">
        <v>0.0</v>
      </c>
      <c r="G298" s="301">
        <v>0.0</v>
      </c>
      <c r="H298" s="301">
        <v>0.0</v>
      </c>
      <c r="I298" s="301">
        <v>0.0</v>
      </c>
      <c r="J298" s="301">
        <v>0.0</v>
      </c>
      <c r="K298" s="301">
        <v>0.0</v>
      </c>
      <c r="L298" s="301">
        <v>0.0</v>
      </c>
      <c r="M298" s="301">
        <v>0.0</v>
      </c>
      <c r="N298" s="301">
        <v>0.0</v>
      </c>
      <c r="O298" s="301">
        <v>0.0</v>
      </c>
      <c r="P298" s="301">
        <v>0.0</v>
      </c>
      <c r="Q298" s="301">
        <v>0.0</v>
      </c>
      <c r="R298" s="301">
        <v>0.0</v>
      </c>
      <c r="S298" s="877">
        <v>2.0</v>
      </c>
      <c r="T298" s="301">
        <v>0.0</v>
      </c>
      <c r="U298" s="301">
        <v>0.0</v>
      </c>
      <c r="V298" s="301">
        <v>0.0</v>
      </c>
      <c r="W298" s="877">
        <v>0.0</v>
      </c>
      <c r="X298" s="877">
        <v>0.0</v>
      </c>
      <c r="Y298" s="877">
        <v>0.0</v>
      </c>
      <c r="Z298" s="301">
        <v>0.0</v>
      </c>
      <c r="AA298" s="301">
        <v>0.0</v>
      </c>
      <c r="AB298" s="301">
        <v>0.0</v>
      </c>
      <c r="AC298" s="301">
        <v>0.0</v>
      </c>
      <c r="AD298" s="301">
        <v>0.0</v>
      </c>
      <c r="AE298" s="301">
        <v>1.0</v>
      </c>
      <c r="AF298" s="301">
        <v>0.0</v>
      </c>
      <c r="AG298" s="768">
        <f t="shared" ref="AG298:AG303" si="106">SUM(B298:AF298)</f>
        <v>3</v>
      </c>
    </row>
    <row r="299">
      <c r="A299" s="897" t="s">
        <v>769</v>
      </c>
      <c r="B299" s="301">
        <v>0.0</v>
      </c>
      <c r="C299" s="301">
        <v>0.0</v>
      </c>
      <c r="D299" s="301">
        <v>0.0</v>
      </c>
      <c r="E299" s="301">
        <v>0.0</v>
      </c>
      <c r="F299" s="301">
        <v>0.0</v>
      </c>
      <c r="G299" s="301">
        <v>0.0</v>
      </c>
      <c r="H299" s="301">
        <v>0.0</v>
      </c>
      <c r="I299" s="301">
        <v>0.0</v>
      </c>
      <c r="J299" s="301">
        <v>0.0</v>
      </c>
      <c r="K299" s="301">
        <v>0.0</v>
      </c>
      <c r="L299" s="301">
        <v>0.0</v>
      </c>
      <c r="M299" s="301">
        <v>0.0</v>
      </c>
      <c r="N299" s="301">
        <v>0.0</v>
      </c>
      <c r="O299" s="301">
        <v>0.0</v>
      </c>
      <c r="P299" s="301">
        <v>0.0</v>
      </c>
      <c r="Q299" s="301">
        <v>0.0</v>
      </c>
      <c r="R299" s="301">
        <v>0.0</v>
      </c>
      <c r="S299" s="877">
        <v>0.0</v>
      </c>
      <c r="T299" s="301">
        <v>0.0</v>
      </c>
      <c r="U299" s="301">
        <v>0.0</v>
      </c>
      <c r="V299" s="301">
        <v>0.0</v>
      </c>
      <c r="W299" s="877">
        <v>0.0</v>
      </c>
      <c r="X299" s="877">
        <v>0.0</v>
      </c>
      <c r="Y299" s="877">
        <v>0.0</v>
      </c>
      <c r="Z299" s="301">
        <v>0.0</v>
      </c>
      <c r="AA299" s="301">
        <v>0.0</v>
      </c>
      <c r="AB299" s="301">
        <v>0.0</v>
      </c>
      <c r="AC299" s="301">
        <v>0.0</v>
      </c>
      <c r="AD299" s="301">
        <v>0.0</v>
      </c>
      <c r="AE299" s="301">
        <v>0.0</v>
      </c>
      <c r="AF299" s="301">
        <v>0.0</v>
      </c>
      <c r="AG299" s="768">
        <f t="shared" si="106"/>
        <v>0</v>
      </c>
    </row>
    <row r="300">
      <c r="A300" s="897" t="s">
        <v>770</v>
      </c>
      <c r="B300" s="301">
        <v>0.0</v>
      </c>
      <c r="C300" s="301">
        <v>0.0</v>
      </c>
      <c r="D300" s="301">
        <v>0.0</v>
      </c>
      <c r="E300" s="301">
        <v>0.0</v>
      </c>
      <c r="F300" s="301">
        <v>0.0</v>
      </c>
      <c r="G300" s="301">
        <v>0.0</v>
      </c>
      <c r="H300" s="301">
        <v>0.0</v>
      </c>
      <c r="I300" s="301">
        <v>0.0</v>
      </c>
      <c r="J300" s="301">
        <v>0.0</v>
      </c>
      <c r="K300" s="301">
        <v>0.0</v>
      </c>
      <c r="L300" s="301">
        <v>0.0</v>
      </c>
      <c r="M300" s="301">
        <v>0.0</v>
      </c>
      <c r="N300" s="301">
        <v>0.0</v>
      </c>
      <c r="O300" s="301">
        <v>0.0</v>
      </c>
      <c r="P300" s="301">
        <v>0.0</v>
      </c>
      <c r="Q300" s="301">
        <v>0.0</v>
      </c>
      <c r="R300" s="301">
        <v>0.0</v>
      </c>
      <c r="S300" s="877">
        <v>0.0</v>
      </c>
      <c r="T300" s="301">
        <v>0.0</v>
      </c>
      <c r="U300" s="301">
        <v>0.0</v>
      </c>
      <c r="V300" s="301">
        <v>0.0</v>
      </c>
      <c r="W300" s="877">
        <v>0.0</v>
      </c>
      <c r="X300" s="877">
        <v>0.0</v>
      </c>
      <c r="Y300" s="877">
        <v>0.0</v>
      </c>
      <c r="Z300" s="301">
        <v>0.0</v>
      </c>
      <c r="AA300" s="301">
        <v>0.0</v>
      </c>
      <c r="AB300" s="301">
        <v>0.0</v>
      </c>
      <c r="AC300" s="301">
        <v>0.0</v>
      </c>
      <c r="AD300" s="301">
        <v>0.0</v>
      </c>
      <c r="AE300" s="301">
        <v>0.0</v>
      </c>
      <c r="AF300" s="301">
        <v>0.0</v>
      </c>
      <c r="AG300" s="768">
        <f t="shared" si="106"/>
        <v>0</v>
      </c>
    </row>
    <row r="301">
      <c r="A301" s="897" t="s">
        <v>771</v>
      </c>
      <c r="B301" s="301">
        <v>0.0</v>
      </c>
      <c r="C301" s="301">
        <v>0.0</v>
      </c>
      <c r="D301" s="301">
        <v>0.0</v>
      </c>
      <c r="E301" s="301">
        <v>0.0</v>
      </c>
      <c r="F301" s="301">
        <v>0.0</v>
      </c>
      <c r="G301" s="301">
        <v>0.0</v>
      </c>
      <c r="H301" s="301">
        <v>0.0</v>
      </c>
      <c r="I301" s="301">
        <v>0.0</v>
      </c>
      <c r="J301" s="301">
        <v>0.0</v>
      </c>
      <c r="K301" s="301">
        <v>0.0</v>
      </c>
      <c r="L301" s="301">
        <v>0.0</v>
      </c>
      <c r="M301" s="301">
        <v>0.0</v>
      </c>
      <c r="N301" s="301">
        <v>0.0</v>
      </c>
      <c r="O301" s="301">
        <v>0.0</v>
      </c>
      <c r="P301" s="301">
        <v>0.0</v>
      </c>
      <c r="Q301" s="301">
        <v>0.0</v>
      </c>
      <c r="R301" s="301">
        <v>0.0</v>
      </c>
      <c r="S301" s="877">
        <v>0.0</v>
      </c>
      <c r="T301" s="301">
        <v>0.0</v>
      </c>
      <c r="U301" s="301">
        <v>0.0</v>
      </c>
      <c r="V301" s="301">
        <v>0.0</v>
      </c>
      <c r="W301" s="877">
        <v>0.0</v>
      </c>
      <c r="X301" s="877">
        <v>0.0</v>
      </c>
      <c r="Y301" s="877">
        <v>0.0</v>
      </c>
      <c r="Z301" s="301">
        <v>0.0</v>
      </c>
      <c r="AA301" s="301">
        <v>0.0</v>
      </c>
      <c r="AB301" s="301">
        <v>0.0</v>
      </c>
      <c r="AC301" s="301">
        <v>0.0</v>
      </c>
      <c r="AD301" s="301">
        <v>0.0</v>
      </c>
      <c r="AE301" s="301">
        <v>1.0</v>
      </c>
      <c r="AF301" s="301">
        <v>0.0</v>
      </c>
      <c r="AG301" s="768">
        <f t="shared" si="106"/>
        <v>1</v>
      </c>
    </row>
    <row r="302">
      <c r="A302" s="897" t="s">
        <v>772</v>
      </c>
      <c r="B302" s="301">
        <v>0.0</v>
      </c>
      <c r="C302" s="301">
        <v>0.0</v>
      </c>
      <c r="D302" s="301">
        <v>0.0</v>
      </c>
      <c r="E302" s="301">
        <v>0.0</v>
      </c>
      <c r="F302" s="301">
        <v>0.0</v>
      </c>
      <c r="G302" s="301">
        <v>0.0</v>
      </c>
      <c r="H302" s="301">
        <v>0.0</v>
      </c>
      <c r="I302" s="301">
        <v>0.0</v>
      </c>
      <c r="J302" s="301">
        <v>0.0</v>
      </c>
      <c r="K302" s="301">
        <v>0.0</v>
      </c>
      <c r="L302" s="301">
        <v>0.0</v>
      </c>
      <c r="M302" s="301">
        <v>0.0</v>
      </c>
      <c r="N302" s="301">
        <v>0.0</v>
      </c>
      <c r="O302" s="301">
        <v>0.0</v>
      </c>
      <c r="P302" s="301">
        <v>0.0</v>
      </c>
      <c r="Q302" s="301">
        <v>0.0</v>
      </c>
      <c r="R302" s="301">
        <v>0.0</v>
      </c>
      <c r="S302" s="877">
        <v>0.0</v>
      </c>
      <c r="T302" s="301">
        <v>0.0</v>
      </c>
      <c r="U302" s="301">
        <v>0.0</v>
      </c>
      <c r="V302" s="301">
        <v>0.0</v>
      </c>
      <c r="W302" s="877">
        <v>0.0</v>
      </c>
      <c r="X302" s="877">
        <v>0.0</v>
      </c>
      <c r="Y302" s="877">
        <v>0.0</v>
      </c>
      <c r="Z302" s="301">
        <v>0.0</v>
      </c>
      <c r="AA302" s="301">
        <v>0.0</v>
      </c>
      <c r="AB302" s="301">
        <v>0.0</v>
      </c>
      <c r="AC302" s="301">
        <v>0.0</v>
      </c>
      <c r="AD302" s="301">
        <v>0.0</v>
      </c>
      <c r="AE302" s="301">
        <v>0.0</v>
      </c>
      <c r="AF302" s="301">
        <v>0.0</v>
      </c>
      <c r="AG302" s="768">
        <f t="shared" si="106"/>
        <v>0</v>
      </c>
    </row>
    <row r="303">
      <c r="A303" s="907" t="s">
        <v>773</v>
      </c>
      <c r="B303" s="901">
        <f t="shared" ref="B303:AF303" si="107">SUM(B298:B302)</f>
        <v>0</v>
      </c>
      <c r="C303" s="901">
        <f t="shared" si="107"/>
        <v>0</v>
      </c>
      <c r="D303" s="901">
        <f t="shared" si="107"/>
        <v>0</v>
      </c>
      <c r="E303" s="901">
        <f t="shared" si="107"/>
        <v>0</v>
      </c>
      <c r="F303" s="901">
        <f t="shared" si="107"/>
        <v>0</v>
      </c>
      <c r="G303" s="901">
        <f t="shared" si="107"/>
        <v>0</v>
      </c>
      <c r="H303" s="901">
        <f t="shared" si="107"/>
        <v>0</v>
      </c>
      <c r="I303" s="901">
        <f t="shared" si="107"/>
        <v>0</v>
      </c>
      <c r="J303" s="901">
        <f t="shared" si="107"/>
        <v>0</v>
      </c>
      <c r="K303" s="901">
        <f t="shared" si="107"/>
        <v>0</v>
      </c>
      <c r="L303" s="901">
        <f t="shared" si="107"/>
        <v>0</v>
      </c>
      <c r="M303" s="901">
        <f t="shared" si="107"/>
        <v>0</v>
      </c>
      <c r="N303" s="901">
        <f t="shared" si="107"/>
        <v>0</v>
      </c>
      <c r="O303" s="901">
        <f t="shared" si="107"/>
        <v>0</v>
      </c>
      <c r="P303" s="901">
        <f t="shared" si="107"/>
        <v>0</v>
      </c>
      <c r="Q303" s="901">
        <f t="shared" si="107"/>
        <v>0</v>
      </c>
      <c r="R303" s="901">
        <f t="shared" si="107"/>
        <v>0</v>
      </c>
      <c r="S303" s="901">
        <f t="shared" si="107"/>
        <v>2</v>
      </c>
      <c r="T303" s="901">
        <f t="shared" si="107"/>
        <v>0</v>
      </c>
      <c r="U303" s="901">
        <f t="shared" si="107"/>
        <v>0</v>
      </c>
      <c r="V303" s="901">
        <f t="shared" si="107"/>
        <v>0</v>
      </c>
      <c r="W303" s="901">
        <f t="shared" si="107"/>
        <v>0</v>
      </c>
      <c r="X303" s="901">
        <f t="shared" si="107"/>
        <v>0</v>
      </c>
      <c r="Y303" s="901">
        <f t="shared" si="107"/>
        <v>0</v>
      </c>
      <c r="Z303" s="901">
        <f t="shared" si="107"/>
        <v>0</v>
      </c>
      <c r="AA303" s="901">
        <f t="shared" si="107"/>
        <v>0</v>
      </c>
      <c r="AB303" s="901">
        <f t="shared" si="107"/>
        <v>0</v>
      </c>
      <c r="AC303" s="901">
        <f t="shared" si="107"/>
        <v>0</v>
      </c>
      <c r="AD303" s="901">
        <f t="shared" si="107"/>
        <v>0</v>
      </c>
      <c r="AE303" s="901">
        <f t="shared" si="107"/>
        <v>2</v>
      </c>
      <c r="AF303" s="901">
        <f t="shared" si="107"/>
        <v>0</v>
      </c>
      <c r="AG303" s="768">
        <f t="shared" si="106"/>
        <v>4</v>
      </c>
    </row>
    <row r="304">
      <c r="A304" s="42"/>
      <c r="B304" s="542"/>
      <c r="C304" s="542"/>
      <c r="D304" s="542"/>
      <c r="E304" s="542"/>
      <c r="F304" s="542"/>
      <c r="G304" s="542"/>
      <c r="H304" s="542"/>
      <c r="I304" s="327"/>
      <c r="J304" s="327"/>
      <c r="K304" s="327"/>
      <c r="L304" s="327"/>
      <c r="M304" s="327"/>
      <c r="N304" s="327"/>
      <c r="O304" s="327"/>
      <c r="P304" s="327"/>
      <c r="Q304" s="327"/>
      <c r="R304" s="327"/>
      <c r="S304" s="327"/>
      <c r="T304" s="327"/>
      <c r="U304" s="327"/>
      <c r="V304" s="327"/>
      <c r="W304" s="327"/>
      <c r="X304" s="327"/>
      <c r="Y304" s="327"/>
      <c r="Z304" s="327"/>
      <c r="AA304" s="327"/>
      <c r="AB304" s="327"/>
      <c r="AC304" s="327"/>
      <c r="AD304" s="327"/>
      <c r="AE304" s="327"/>
      <c r="AF304" s="327"/>
      <c r="AG304" s="768"/>
    </row>
    <row r="305">
      <c r="A305" s="897" t="s">
        <v>774</v>
      </c>
      <c r="B305" s="54"/>
      <c r="C305" s="54"/>
      <c r="D305" s="54"/>
      <c r="E305" s="54"/>
      <c r="F305" s="884"/>
      <c r="G305" s="884"/>
      <c r="H305" s="884"/>
      <c r="I305" s="884"/>
      <c r="J305" s="884"/>
      <c r="K305" s="884"/>
      <c r="L305" s="884"/>
      <c r="M305" s="884"/>
      <c r="N305" s="884"/>
      <c r="O305" s="884"/>
      <c r="P305" s="54"/>
      <c r="Q305" s="884"/>
      <c r="R305" s="884"/>
      <c r="S305" s="884"/>
      <c r="T305" s="54"/>
      <c r="U305" s="884"/>
      <c r="V305" s="884"/>
      <c r="W305" s="884"/>
      <c r="X305" s="884"/>
      <c r="Y305" s="884"/>
      <c r="Z305" s="884"/>
      <c r="AA305" s="884"/>
      <c r="AB305" s="884"/>
      <c r="AC305" s="884"/>
      <c r="AD305" s="884"/>
      <c r="AE305" s="884"/>
      <c r="AF305" s="884"/>
      <c r="AG305" s="768">
        <f t="shared" ref="AG305:AG310" si="108">SUM(B305:AF305)</f>
        <v>0</v>
      </c>
    </row>
    <row r="306">
      <c r="A306" s="897" t="s">
        <v>775</v>
      </c>
      <c r="B306" s="54"/>
      <c r="C306" s="54"/>
      <c r="D306" s="54"/>
      <c r="E306" s="54"/>
      <c r="F306" s="54"/>
      <c r="G306" s="55"/>
      <c r="H306" s="54"/>
      <c r="I306" s="54"/>
      <c r="J306" s="55"/>
      <c r="K306" s="55"/>
      <c r="L306" s="910"/>
      <c r="M306" s="910"/>
      <c r="N306" s="910"/>
      <c r="O306" s="884"/>
      <c r="P306" s="54"/>
      <c r="Q306" s="884"/>
      <c r="R306" s="884"/>
      <c r="S306" s="54"/>
      <c r="T306" s="884"/>
      <c r="U306" s="884"/>
      <c r="V306" s="884"/>
      <c r="W306" s="884"/>
      <c r="X306" s="884"/>
      <c r="Y306" s="884"/>
      <c r="Z306" s="884"/>
      <c r="AA306" s="884"/>
      <c r="AB306" s="884"/>
      <c r="AC306" s="884"/>
      <c r="AD306" s="884"/>
      <c r="AE306" s="884"/>
      <c r="AF306" s="884"/>
      <c r="AG306" s="768">
        <f t="shared" si="108"/>
        <v>0</v>
      </c>
    </row>
    <row r="307">
      <c r="A307" s="897" t="s">
        <v>776</v>
      </c>
      <c r="B307" s="55"/>
      <c r="C307" s="55"/>
      <c r="D307" s="55"/>
      <c r="E307" s="55"/>
      <c r="F307" s="910"/>
      <c r="G307" s="910"/>
      <c r="H307" s="910"/>
      <c r="I307" s="910"/>
      <c r="J307" s="55"/>
      <c r="K307" s="910"/>
      <c r="L307" s="55"/>
      <c r="M307" s="55"/>
      <c r="N307" s="55"/>
      <c r="O307" s="884"/>
      <c r="P307" s="884"/>
      <c r="Q307" s="884"/>
      <c r="R307" s="884"/>
      <c r="S307" s="884"/>
      <c r="T307" s="884"/>
      <c r="U307" s="884"/>
      <c r="V307" s="884"/>
      <c r="W307" s="884"/>
      <c r="X307" s="884"/>
      <c r="Y307" s="884"/>
      <c r="Z307" s="884"/>
      <c r="AA307" s="884"/>
      <c r="AB307" s="884"/>
      <c r="AC307" s="884"/>
      <c r="AD307" s="884"/>
      <c r="AE307" s="884"/>
      <c r="AF307" s="884"/>
      <c r="AG307" s="768">
        <f t="shared" si="108"/>
        <v>0</v>
      </c>
    </row>
    <row r="308">
      <c r="A308" s="897" t="s">
        <v>777</v>
      </c>
      <c r="B308" s="55"/>
      <c r="C308" s="55"/>
      <c r="D308" s="55"/>
      <c r="E308" s="55"/>
      <c r="F308" s="910"/>
      <c r="G308" s="910"/>
      <c r="H308" s="910"/>
      <c r="I308" s="910"/>
      <c r="J308" s="910"/>
      <c r="K308" s="910"/>
      <c r="L308" s="910"/>
      <c r="M308" s="910"/>
      <c r="N308" s="910"/>
      <c r="O308" s="884"/>
      <c r="P308" s="884"/>
      <c r="Q308" s="884"/>
      <c r="R308" s="884"/>
      <c r="S308" s="884"/>
      <c r="T308" s="884"/>
      <c r="U308" s="884"/>
      <c r="V308" s="884"/>
      <c r="W308" s="884"/>
      <c r="X308" s="884"/>
      <c r="Y308" s="884"/>
      <c r="Z308" s="884"/>
      <c r="AA308" s="884"/>
      <c r="AB308" s="884"/>
      <c r="AC308" s="884"/>
      <c r="AD308" s="884"/>
      <c r="AE308" s="884"/>
      <c r="AF308" s="884"/>
      <c r="AG308" s="768">
        <f t="shared" si="108"/>
        <v>0</v>
      </c>
    </row>
    <row r="309">
      <c r="A309" s="897" t="s">
        <v>778</v>
      </c>
      <c r="B309" s="54"/>
      <c r="C309" s="54"/>
      <c r="D309" s="54"/>
      <c r="E309" s="54"/>
      <c r="F309" s="884"/>
      <c r="G309" s="884"/>
      <c r="H309" s="884"/>
      <c r="I309" s="884"/>
      <c r="J309" s="884"/>
      <c r="K309" s="884"/>
      <c r="L309" s="884"/>
      <c r="M309" s="884"/>
      <c r="N309" s="884"/>
      <c r="O309" s="884"/>
      <c r="P309" s="884"/>
      <c r="Q309" s="884"/>
      <c r="R309" s="884"/>
      <c r="S309" s="884"/>
      <c r="T309" s="884"/>
      <c r="U309" s="884"/>
      <c r="V309" s="884"/>
      <c r="W309" s="884"/>
      <c r="X309" s="884"/>
      <c r="Y309" s="884"/>
      <c r="Z309" s="884"/>
      <c r="AA309" s="884"/>
      <c r="AB309" s="884"/>
      <c r="AC309" s="884"/>
      <c r="AD309" s="884"/>
      <c r="AE309" s="884"/>
      <c r="AF309" s="884"/>
      <c r="AG309" s="768">
        <f t="shared" si="108"/>
        <v>0</v>
      </c>
    </row>
    <row r="310">
      <c r="A310" s="907" t="s">
        <v>779</v>
      </c>
      <c r="B310" s="901">
        <f t="shared" ref="B310:AF310" si="109">SUM(B305:B309)</f>
        <v>0</v>
      </c>
      <c r="C310" s="901">
        <f t="shared" si="109"/>
        <v>0</v>
      </c>
      <c r="D310" s="901">
        <f t="shared" si="109"/>
        <v>0</v>
      </c>
      <c r="E310" s="901">
        <f t="shared" si="109"/>
        <v>0</v>
      </c>
      <c r="F310" s="901">
        <f t="shared" si="109"/>
        <v>0</v>
      </c>
      <c r="G310" s="901">
        <f t="shared" si="109"/>
        <v>0</v>
      </c>
      <c r="H310" s="901">
        <f t="shared" si="109"/>
        <v>0</v>
      </c>
      <c r="I310" s="901">
        <f t="shared" si="109"/>
        <v>0</v>
      </c>
      <c r="J310" s="901">
        <f t="shared" si="109"/>
        <v>0</v>
      </c>
      <c r="K310" s="901">
        <f t="shared" si="109"/>
        <v>0</v>
      </c>
      <c r="L310" s="901">
        <f t="shared" si="109"/>
        <v>0</v>
      </c>
      <c r="M310" s="901">
        <f t="shared" si="109"/>
        <v>0</v>
      </c>
      <c r="N310" s="901">
        <f t="shared" si="109"/>
        <v>0</v>
      </c>
      <c r="O310" s="901">
        <f t="shared" si="109"/>
        <v>0</v>
      </c>
      <c r="P310" s="901">
        <f t="shared" si="109"/>
        <v>0</v>
      </c>
      <c r="Q310" s="901">
        <f t="shared" si="109"/>
        <v>0</v>
      </c>
      <c r="R310" s="901">
        <f t="shared" si="109"/>
        <v>0</v>
      </c>
      <c r="S310" s="901">
        <f t="shared" si="109"/>
        <v>0</v>
      </c>
      <c r="T310" s="901">
        <f t="shared" si="109"/>
        <v>0</v>
      </c>
      <c r="U310" s="901">
        <f t="shared" si="109"/>
        <v>0</v>
      </c>
      <c r="V310" s="901">
        <f t="shared" si="109"/>
        <v>0</v>
      </c>
      <c r="W310" s="901">
        <f t="shared" si="109"/>
        <v>0</v>
      </c>
      <c r="X310" s="901">
        <f t="shared" si="109"/>
        <v>0</v>
      </c>
      <c r="Y310" s="901">
        <f t="shared" si="109"/>
        <v>0</v>
      </c>
      <c r="Z310" s="901">
        <f t="shared" si="109"/>
        <v>0</v>
      </c>
      <c r="AA310" s="901">
        <f t="shared" si="109"/>
        <v>0</v>
      </c>
      <c r="AB310" s="901">
        <f t="shared" si="109"/>
        <v>0</v>
      </c>
      <c r="AC310" s="901">
        <f t="shared" si="109"/>
        <v>0</v>
      </c>
      <c r="AD310" s="901">
        <f t="shared" si="109"/>
        <v>0</v>
      </c>
      <c r="AE310" s="901">
        <f t="shared" si="109"/>
        <v>0</v>
      </c>
      <c r="AF310" s="901">
        <f t="shared" si="109"/>
        <v>0</v>
      </c>
      <c r="AG310" s="768">
        <f t="shared" si="108"/>
        <v>0</v>
      </c>
    </row>
    <row r="311">
      <c r="A311" s="835"/>
      <c r="B311" s="911"/>
      <c r="AG311" s="768"/>
    </row>
    <row r="312">
      <c r="A312" s="897" t="s">
        <v>782</v>
      </c>
      <c r="B312" s="54">
        <v>0.0</v>
      </c>
      <c r="C312" s="54">
        <v>0.0</v>
      </c>
      <c r="D312" s="54">
        <v>0.0</v>
      </c>
      <c r="E312" s="54">
        <v>0.0</v>
      </c>
      <c r="F312" s="884"/>
      <c r="G312" s="55"/>
      <c r="H312" s="910"/>
      <c r="I312" s="55"/>
      <c r="J312" s="910"/>
      <c r="K312" s="910"/>
      <c r="L312" s="910"/>
      <c r="M312" s="910"/>
      <c r="N312" s="55"/>
      <c r="O312" s="884"/>
      <c r="P312" s="884"/>
      <c r="Q312" s="884"/>
      <c r="R312" s="884"/>
      <c r="S312" s="884"/>
      <c r="T312" s="884"/>
      <c r="U312" s="884"/>
      <c r="V312" s="884"/>
      <c r="W312" s="884"/>
      <c r="X312" s="884"/>
      <c r="Y312" s="884"/>
      <c r="Z312" s="884"/>
      <c r="AA312" s="884"/>
      <c r="AB312" s="884"/>
      <c r="AC312" s="884"/>
      <c r="AD312" s="884"/>
      <c r="AE312" s="884"/>
      <c r="AF312" s="884"/>
      <c r="AG312" s="768">
        <f t="shared" ref="AG312:AG314" si="110">SUM(B312:AF312)</f>
        <v>0</v>
      </c>
    </row>
    <row r="313">
      <c r="A313" s="897" t="s">
        <v>783</v>
      </c>
      <c r="B313" s="54">
        <v>0.0</v>
      </c>
      <c r="C313" s="54">
        <v>0.0</v>
      </c>
      <c r="D313" s="54">
        <v>0.0</v>
      </c>
      <c r="E313" s="54">
        <v>0.0</v>
      </c>
      <c r="F313" s="884"/>
      <c r="G313" s="910"/>
      <c r="H313" s="910"/>
      <c r="I313" s="910"/>
      <c r="J313" s="910"/>
      <c r="K313" s="910"/>
      <c r="L313" s="910"/>
      <c r="M313" s="910"/>
      <c r="N313" s="910"/>
      <c r="O313" s="884"/>
      <c r="P313" s="884"/>
      <c r="Q313" s="884"/>
      <c r="R313" s="884"/>
      <c r="S313" s="884"/>
      <c r="T313" s="884"/>
      <c r="U313" s="884"/>
      <c r="V313" s="884"/>
      <c r="W313" s="884"/>
      <c r="X313" s="884"/>
      <c r="Y313" s="884"/>
      <c r="Z313" s="884"/>
      <c r="AA313" s="884"/>
      <c r="AB313" s="884"/>
      <c r="AC313" s="884"/>
      <c r="AD313" s="884"/>
      <c r="AE313" s="884"/>
      <c r="AF313" s="884"/>
      <c r="AG313" s="768">
        <f t="shared" si="110"/>
        <v>0</v>
      </c>
    </row>
    <row r="314">
      <c r="A314" s="907" t="s">
        <v>151</v>
      </c>
      <c r="B314" s="912">
        <f t="shared" ref="B314:AF314" si="111">SUM(B312:B313)</f>
        <v>0</v>
      </c>
      <c r="C314" s="901">
        <f t="shared" si="111"/>
        <v>0</v>
      </c>
      <c r="D314" s="901">
        <f t="shared" si="111"/>
        <v>0</v>
      </c>
      <c r="E314" s="901">
        <f t="shared" si="111"/>
        <v>0</v>
      </c>
      <c r="F314" s="901">
        <f t="shared" si="111"/>
        <v>0</v>
      </c>
      <c r="G314" s="901">
        <f t="shared" si="111"/>
        <v>0</v>
      </c>
      <c r="H314" s="901">
        <f t="shared" si="111"/>
        <v>0</v>
      </c>
      <c r="I314" s="901">
        <f t="shared" si="111"/>
        <v>0</v>
      </c>
      <c r="J314" s="901">
        <f t="shared" si="111"/>
        <v>0</v>
      </c>
      <c r="K314" s="901">
        <f t="shared" si="111"/>
        <v>0</v>
      </c>
      <c r="L314" s="901">
        <f t="shared" si="111"/>
        <v>0</v>
      </c>
      <c r="M314" s="901">
        <f t="shared" si="111"/>
        <v>0</v>
      </c>
      <c r="N314" s="901">
        <f t="shared" si="111"/>
        <v>0</v>
      </c>
      <c r="O314" s="901">
        <f t="shared" si="111"/>
        <v>0</v>
      </c>
      <c r="P314" s="901">
        <f t="shared" si="111"/>
        <v>0</v>
      </c>
      <c r="Q314" s="901">
        <f t="shared" si="111"/>
        <v>0</v>
      </c>
      <c r="R314" s="901">
        <f t="shared" si="111"/>
        <v>0</v>
      </c>
      <c r="S314" s="901">
        <f t="shared" si="111"/>
        <v>0</v>
      </c>
      <c r="T314" s="901">
        <f t="shared" si="111"/>
        <v>0</v>
      </c>
      <c r="U314" s="901">
        <f t="shared" si="111"/>
        <v>0</v>
      </c>
      <c r="V314" s="901">
        <f t="shared" si="111"/>
        <v>0</v>
      </c>
      <c r="W314" s="901">
        <f t="shared" si="111"/>
        <v>0</v>
      </c>
      <c r="X314" s="901">
        <f t="shared" si="111"/>
        <v>0</v>
      </c>
      <c r="Y314" s="901">
        <f t="shared" si="111"/>
        <v>0</v>
      </c>
      <c r="Z314" s="901">
        <f t="shared" si="111"/>
        <v>0</v>
      </c>
      <c r="AA314" s="901">
        <f t="shared" si="111"/>
        <v>0</v>
      </c>
      <c r="AB314" s="901">
        <f t="shared" si="111"/>
        <v>0</v>
      </c>
      <c r="AC314" s="901">
        <f t="shared" si="111"/>
        <v>0</v>
      </c>
      <c r="AD314" s="901">
        <f t="shared" si="111"/>
        <v>0</v>
      </c>
      <c r="AE314" s="901">
        <f t="shared" si="111"/>
        <v>0</v>
      </c>
      <c r="AF314" s="901">
        <f t="shared" si="111"/>
        <v>0</v>
      </c>
      <c r="AG314" s="768">
        <f t="shared" si="110"/>
        <v>0</v>
      </c>
    </row>
    <row r="315">
      <c r="A315" s="835"/>
      <c r="B315" s="911"/>
      <c r="AG315" s="11"/>
    </row>
    <row r="316">
      <c r="A316" s="897" t="s">
        <v>730</v>
      </c>
      <c r="B316" s="54">
        <v>0.0</v>
      </c>
      <c r="C316" s="54">
        <v>0.0</v>
      </c>
      <c r="D316" s="54">
        <v>0.0</v>
      </c>
      <c r="E316" s="54">
        <v>0.0</v>
      </c>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768">
        <f t="shared" ref="AG316:AG318" si="112">SUM(B316:AF316)</f>
        <v>0</v>
      </c>
    </row>
    <row r="317">
      <c r="A317" s="897" t="s">
        <v>732</v>
      </c>
      <c r="B317" s="54">
        <v>0.0</v>
      </c>
      <c r="C317" s="54">
        <v>0.0</v>
      </c>
      <c r="D317" s="54">
        <v>0.0</v>
      </c>
      <c r="E317" s="54">
        <v>0.0</v>
      </c>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768">
        <f t="shared" si="112"/>
        <v>0</v>
      </c>
    </row>
    <row r="318">
      <c r="A318" s="907" t="s">
        <v>151</v>
      </c>
      <c r="B318" s="901">
        <f t="shared" ref="B318:AF318" si="113">SUM(B316:B317)</f>
        <v>0</v>
      </c>
      <c r="C318" s="901">
        <f t="shared" si="113"/>
        <v>0</v>
      </c>
      <c r="D318" s="901">
        <f t="shared" si="113"/>
        <v>0</v>
      </c>
      <c r="E318" s="901">
        <f t="shared" si="113"/>
        <v>0</v>
      </c>
      <c r="F318" s="901">
        <f t="shared" si="113"/>
        <v>0</v>
      </c>
      <c r="G318" s="901">
        <f t="shared" si="113"/>
        <v>0</v>
      </c>
      <c r="H318" s="901">
        <f t="shared" si="113"/>
        <v>0</v>
      </c>
      <c r="I318" s="901">
        <f t="shared" si="113"/>
        <v>0</v>
      </c>
      <c r="J318" s="901">
        <f t="shared" si="113"/>
        <v>0</v>
      </c>
      <c r="K318" s="901">
        <f t="shared" si="113"/>
        <v>0</v>
      </c>
      <c r="L318" s="901">
        <f t="shared" si="113"/>
        <v>0</v>
      </c>
      <c r="M318" s="901">
        <f t="shared" si="113"/>
        <v>0</v>
      </c>
      <c r="N318" s="901">
        <f t="shared" si="113"/>
        <v>0</v>
      </c>
      <c r="O318" s="901">
        <f t="shared" si="113"/>
        <v>0</v>
      </c>
      <c r="P318" s="901">
        <f t="shared" si="113"/>
        <v>0</v>
      </c>
      <c r="Q318" s="901">
        <f t="shared" si="113"/>
        <v>0</v>
      </c>
      <c r="R318" s="901">
        <f t="shared" si="113"/>
        <v>0</v>
      </c>
      <c r="S318" s="901">
        <f t="shared" si="113"/>
        <v>0</v>
      </c>
      <c r="T318" s="901">
        <f t="shared" si="113"/>
        <v>0</v>
      </c>
      <c r="U318" s="901">
        <f t="shared" si="113"/>
        <v>0</v>
      </c>
      <c r="V318" s="901">
        <f t="shared" si="113"/>
        <v>0</v>
      </c>
      <c r="W318" s="901">
        <f t="shared" si="113"/>
        <v>0</v>
      </c>
      <c r="X318" s="901">
        <f t="shared" si="113"/>
        <v>0</v>
      </c>
      <c r="Y318" s="901">
        <f t="shared" si="113"/>
        <v>0</v>
      </c>
      <c r="Z318" s="901">
        <f t="shared" si="113"/>
        <v>0</v>
      </c>
      <c r="AA318" s="901">
        <f t="shared" si="113"/>
        <v>0</v>
      </c>
      <c r="AB318" s="901">
        <f t="shared" si="113"/>
        <v>0</v>
      </c>
      <c r="AC318" s="901">
        <f t="shared" si="113"/>
        <v>0</v>
      </c>
      <c r="AD318" s="901">
        <f t="shared" si="113"/>
        <v>0</v>
      </c>
      <c r="AE318" s="901">
        <f t="shared" si="113"/>
        <v>0</v>
      </c>
      <c r="AF318" s="901">
        <f t="shared" si="113"/>
        <v>0</v>
      </c>
      <c r="AG318" s="768">
        <f t="shared" si="112"/>
        <v>0</v>
      </c>
    </row>
    <row r="319">
      <c r="A319" s="835"/>
      <c r="AG319" s="11"/>
    </row>
    <row r="320">
      <c r="A320" s="897" t="s">
        <v>785</v>
      </c>
      <c r="B320" s="301">
        <v>0.0</v>
      </c>
      <c r="C320" s="301">
        <v>0.0</v>
      </c>
      <c r="D320" s="301">
        <v>0.0</v>
      </c>
      <c r="E320" s="301">
        <v>0.0</v>
      </c>
      <c r="F320" s="877">
        <v>0.0</v>
      </c>
      <c r="G320" s="301">
        <v>0.0</v>
      </c>
      <c r="H320" s="301">
        <v>0.0</v>
      </c>
      <c r="I320" s="301">
        <v>0.0</v>
      </c>
      <c r="J320" s="301">
        <v>0.0</v>
      </c>
      <c r="K320" s="301">
        <v>0.0</v>
      </c>
      <c r="L320" s="301">
        <v>0.0</v>
      </c>
      <c r="M320" s="301">
        <v>0.0</v>
      </c>
      <c r="N320" s="301">
        <v>0.0</v>
      </c>
      <c r="O320" s="301">
        <v>0.0</v>
      </c>
      <c r="P320" s="301">
        <v>0.0</v>
      </c>
      <c r="Q320" s="301">
        <v>0.0</v>
      </c>
      <c r="R320" s="301">
        <v>0.0</v>
      </c>
      <c r="S320" s="877">
        <v>0.0</v>
      </c>
      <c r="T320" s="877">
        <v>0.0</v>
      </c>
      <c r="U320" s="877">
        <v>0.0</v>
      </c>
      <c r="V320" s="301">
        <v>0.0</v>
      </c>
      <c r="W320" s="877">
        <v>0.0</v>
      </c>
      <c r="X320" s="877">
        <v>0.0</v>
      </c>
      <c r="Y320" s="877">
        <v>0.0</v>
      </c>
      <c r="Z320" s="301">
        <v>0.0</v>
      </c>
      <c r="AA320" s="301">
        <v>0.0</v>
      </c>
      <c r="AB320" s="301">
        <v>0.0</v>
      </c>
      <c r="AC320" s="301">
        <v>0.0</v>
      </c>
      <c r="AD320" s="301">
        <v>0.0</v>
      </c>
      <c r="AE320" s="301">
        <v>0.0</v>
      </c>
      <c r="AF320" s="301">
        <v>0.0</v>
      </c>
      <c r="AG320" s="768"/>
    </row>
    <row r="321">
      <c r="A321" s="907" t="s">
        <v>786</v>
      </c>
      <c r="B321" s="901">
        <f t="shared" ref="B321:AF321" si="114">B320</f>
        <v>0</v>
      </c>
      <c r="C321" s="901">
        <f t="shared" si="114"/>
        <v>0</v>
      </c>
      <c r="D321" s="901">
        <f t="shared" si="114"/>
        <v>0</v>
      </c>
      <c r="E321" s="901">
        <f t="shared" si="114"/>
        <v>0</v>
      </c>
      <c r="F321" s="901">
        <f t="shared" si="114"/>
        <v>0</v>
      </c>
      <c r="G321" s="901">
        <f t="shared" si="114"/>
        <v>0</v>
      </c>
      <c r="H321" s="901">
        <f t="shared" si="114"/>
        <v>0</v>
      </c>
      <c r="I321" s="901">
        <f t="shared" si="114"/>
        <v>0</v>
      </c>
      <c r="J321" s="901">
        <f t="shared" si="114"/>
        <v>0</v>
      </c>
      <c r="K321" s="901">
        <f t="shared" si="114"/>
        <v>0</v>
      </c>
      <c r="L321" s="901">
        <f t="shared" si="114"/>
        <v>0</v>
      </c>
      <c r="M321" s="901">
        <f t="shared" si="114"/>
        <v>0</v>
      </c>
      <c r="N321" s="901">
        <f t="shared" si="114"/>
        <v>0</v>
      </c>
      <c r="O321" s="901">
        <f t="shared" si="114"/>
        <v>0</v>
      </c>
      <c r="P321" s="901">
        <f t="shared" si="114"/>
        <v>0</v>
      </c>
      <c r="Q321" s="901">
        <f t="shared" si="114"/>
        <v>0</v>
      </c>
      <c r="R321" s="901">
        <f t="shared" si="114"/>
        <v>0</v>
      </c>
      <c r="S321" s="901">
        <f t="shared" si="114"/>
        <v>0</v>
      </c>
      <c r="T321" s="901">
        <f t="shared" si="114"/>
        <v>0</v>
      </c>
      <c r="U321" s="901">
        <f t="shared" si="114"/>
        <v>0</v>
      </c>
      <c r="V321" s="901">
        <f t="shared" si="114"/>
        <v>0</v>
      </c>
      <c r="W321" s="901">
        <f t="shared" si="114"/>
        <v>0</v>
      </c>
      <c r="X321" s="901">
        <f t="shared" si="114"/>
        <v>0</v>
      </c>
      <c r="Y321" s="901">
        <f t="shared" si="114"/>
        <v>0</v>
      </c>
      <c r="Z321" s="901">
        <f t="shared" si="114"/>
        <v>0</v>
      </c>
      <c r="AA321" s="901">
        <f t="shared" si="114"/>
        <v>0</v>
      </c>
      <c r="AB321" s="901">
        <f t="shared" si="114"/>
        <v>0</v>
      </c>
      <c r="AC321" s="901">
        <f t="shared" si="114"/>
        <v>0</v>
      </c>
      <c r="AD321" s="901">
        <f t="shared" si="114"/>
        <v>0</v>
      </c>
      <c r="AE321" s="901">
        <f t="shared" si="114"/>
        <v>0</v>
      </c>
      <c r="AF321" s="901">
        <f t="shared" si="114"/>
        <v>0</v>
      </c>
      <c r="AG321" s="768">
        <f>SUM(B321:AF321)</f>
        <v>0</v>
      </c>
    </row>
    <row r="322">
      <c r="A322" s="835"/>
      <c r="AG322" s="11"/>
    </row>
    <row r="323">
      <c r="A323" s="648" t="s">
        <v>798</v>
      </c>
      <c r="AG323" s="11"/>
    </row>
    <row r="324">
      <c r="A324" s="897" t="s">
        <v>752</v>
      </c>
      <c r="B324" s="301">
        <v>0.0</v>
      </c>
      <c r="C324" s="301">
        <v>0.0</v>
      </c>
      <c r="D324" s="301">
        <v>0.0</v>
      </c>
      <c r="E324" s="301">
        <v>1.0</v>
      </c>
      <c r="F324" s="877">
        <v>0.0</v>
      </c>
      <c r="G324" s="877">
        <v>0.0</v>
      </c>
      <c r="H324" s="301">
        <v>1.0</v>
      </c>
      <c r="I324" s="301">
        <v>0.0</v>
      </c>
      <c r="J324" s="301">
        <v>0.0</v>
      </c>
      <c r="K324" s="301">
        <v>1.0</v>
      </c>
      <c r="L324" s="301">
        <v>2.0</v>
      </c>
      <c r="M324" s="301">
        <v>0.0</v>
      </c>
      <c r="N324" s="301">
        <v>1.0</v>
      </c>
      <c r="O324" s="301">
        <v>3.0</v>
      </c>
      <c r="P324" s="301">
        <v>0.0</v>
      </c>
      <c r="Q324" s="301">
        <v>1.0</v>
      </c>
      <c r="R324" s="301">
        <v>2.0</v>
      </c>
      <c r="S324" s="877">
        <v>1.0</v>
      </c>
      <c r="T324" s="301">
        <v>0.0</v>
      </c>
      <c r="U324" s="301">
        <v>1.0</v>
      </c>
      <c r="V324" s="301">
        <v>0.0</v>
      </c>
      <c r="W324" s="301">
        <v>0.0</v>
      </c>
      <c r="X324" s="301">
        <v>0.0</v>
      </c>
      <c r="Y324" s="301">
        <v>3.0</v>
      </c>
      <c r="Z324" s="301">
        <v>50.0</v>
      </c>
      <c r="AA324" s="301">
        <v>23.0</v>
      </c>
      <c r="AB324" s="301">
        <v>9.0</v>
      </c>
      <c r="AC324" s="301">
        <v>20.0</v>
      </c>
      <c r="AD324" s="301">
        <v>12.0</v>
      </c>
      <c r="AE324" s="301">
        <v>12.0</v>
      </c>
      <c r="AF324" s="301">
        <v>9.0</v>
      </c>
      <c r="AG324" s="768">
        <f t="shared" ref="AG324:AG331" si="115">SUM(B324:AF324)</f>
        <v>152</v>
      </c>
    </row>
    <row r="325">
      <c r="A325" s="897" t="s">
        <v>753</v>
      </c>
      <c r="B325" s="301">
        <v>0.0</v>
      </c>
      <c r="C325" s="301">
        <v>0.0</v>
      </c>
      <c r="D325" s="301">
        <v>0.0</v>
      </c>
      <c r="E325" s="301">
        <v>0.0</v>
      </c>
      <c r="F325" s="877">
        <v>0.0</v>
      </c>
      <c r="G325" s="877">
        <v>0.0</v>
      </c>
      <c r="H325" s="301">
        <v>0.0</v>
      </c>
      <c r="I325" s="301">
        <v>0.0</v>
      </c>
      <c r="J325" s="301">
        <v>0.0</v>
      </c>
      <c r="K325" s="301">
        <v>0.0</v>
      </c>
      <c r="L325" s="301">
        <v>0.0</v>
      </c>
      <c r="M325" s="301">
        <v>0.0</v>
      </c>
      <c r="N325" s="301">
        <v>0.0</v>
      </c>
      <c r="O325" s="301">
        <v>3.0</v>
      </c>
      <c r="P325" s="301">
        <v>0.0</v>
      </c>
      <c r="Q325" s="301">
        <v>0.0</v>
      </c>
      <c r="R325" s="301">
        <v>0.0</v>
      </c>
      <c r="S325" s="877">
        <v>0.0</v>
      </c>
      <c r="T325" s="301">
        <v>1.0</v>
      </c>
      <c r="U325" s="301">
        <v>0.0</v>
      </c>
      <c r="V325" s="301">
        <v>0.0</v>
      </c>
      <c r="W325" s="301">
        <v>0.0</v>
      </c>
      <c r="X325" s="301">
        <v>0.0</v>
      </c>
      <c r="Y325" s="301">
        <v>4.0</v>
      </c>
      <c r="Z325" s="301">
        <v>6.0</v>
      </c>
      <c r="AA325" s="301">
        <v>22.0</v>
      </c>
      <c r="AB325" s="301">
        <v>8.0</v>
      </c>
      <c r="AC325" s="301">
        <v>38.0</v>
      </c>
      <c r="AD325" s="301">
        <v>14.0</v>
      </c>
      <c r="AE325" s="301">
        <v>18.0</v>
      </c>
      <c r="AF325" s="301">
        <v>7.0</v>
      </c>
      <c r="AG325" s="768">
        <f t="shared" si="115"/>
        <v>121</v>
      </c>
    </row>
    <row r="326">
      <c r="A326" s="897" t="s">
        <v>754</v>
      </c>
      <c r="B326" s="301">
        <v>0.0</v>
      </c>
      <c r="C326" s="301">
        <v>0.0</v>
      </c>
      <c r="D326" s="301">
        <v>0.0</v>
      </c>
      <c r="E326" s="301">
        <v>0.0</v>
      </c>
      <c r="F326" s="877">
        <v>0.0</v>
      </c>
      <c r="G326" s="877">
        <v>0.0</v>
      </c>
      <c r="H326" s="301">
        <v>0.0</v>
      </c>
      <c r="I326" s="301">
        <v>0.0</v>
      </c>
      <c r="J326" s="301">
        <v>0.0</v>
      </c>
      <c r="K326" s="301">
        <v>0.0</v>
      </c>
      <c r="L326" s="301">
        <v>0.0</v>
      </c>
      <c r="M326" s="301">
        <v>0.0</v>
      </c>
      <c r="N326" s="301">
        <v>0.0</v>
      </c>
      <c r="O326" s="301">
        <v>0.0</v>
      </c>
      <c r="P326" s="301">
        <v>0.0</v>
      </c>
      <c r="Q326" s="301">
        <v>0.0</v>
      </c>
      <c r="R326" s="301">
        <v>1.0</v>
      </c>
      <c r="S326" s="877">
        <v>1.0</v>
      </c>
      <c r="T326" s="301">
        <v>0.0</v>
      </c>
      <c r="U326" s="301">
        <v>0.0</v>
      </c>
      <c r="V326" s="301">
        <v>0.0</v>
      </c>
      <c r="W326" s="301">
        <v>0.0</v>
      </c>
      <c r="X326" s="301">
        <v>0.0</v>
      </c>
      <c r="Y326" s="301">
        <v>1.0</v>
      </c>
      <c r="Z326" s="301">
        <v>0.0</v>
      </c>
      <c r="AA326" s="301">
        <v>0.0</v>
      </c>
      <c r="AB326" s="301">
        <v>0.0</v>
      </c>
      <c r="AC326" s="301">
        <v>0.0</v>
      </c>
      <c r="AD326" s="301">
        <v>0.0</v>
      </c>
      <c r="AE326" s="301">
        <v>0.0</v>
      </c>
      <c r="AF326" s="301">
        <v>1.0</v>
      </c>
      <c r="AG326" s="768">
        <f t="shared" si="115"/>
        <v>4</v>
      </c>
    </row>
    <row r="327">
      <c r="A327" s="897" t="s">
        <v>755</v>
      </c>
      <c r="B327" s="301">
        <v>0.0</v>
      </c>
      <c r="C327" s="301">
        <v>0.0</v>
      </c>
      <c r="D327" s="301">
        <v>0.0</v>
      </c>
      <c r="E327" s="301">
        <v>0.0</v>
      </c>
      <c r="F327" s="877">
        <v>0.0</v>
      </c>
      <c r="G327" s="877">
        <v>0.0</v>
      </c>
      <c r="H327" s="301">
        <v>0.0</v>
      </c>
      <c r="I327" s="301">
        <v>0.0</v>
      </c>
      <c r="J327" s="301">
        <v>0.0</v>
      </c>
      <c r="K327" s="301">
        <v>0.0</v>
      </c>
      <c r="L327" s="301">
        <v>0.0</v>
      </c>
      <c r="M327" s="301">
        <v>0.0</v>
      </c>
      <c r="N327" s="301">
        <v>0.0</v>
      </c>
      <c r="O327" s="301">
        <v>0.0</v>
      </c>
      <c r="P327" s="301">
        <v>0.0</v>
      </c>
      <c r="Q327" s="301">
        <v>0.0</v>
      </c>
      <c r="R327" s="301">
        <v>0.0</v>
      </c>
      <c r="S327" s="877">
        <v>0.0</v>
      </c>
      <c r="T327" s="301">
        <v>0.0</v>
      </c>
      <c r="U327" s="301">
        <v>0.0</v>
      </c>
      <c r="V327" s="301">
        <v>0.0</v>
      </c>
      <c r="W327" s="301">
        <v>0.0</v>
      </c>
      <c r="X327" s="301">
        <v>0.0</v>
      </c>
      <c r="Y327" s="301">
        <v>0.0</v>
      </c>
      <c r="Z327" s="301">
        <v>0.0</v>
      </c>
      <c r="AA327" s="301">
        <v>0.0</v>
      </c>
      <c r="AB327" s="301">
        <v>0.0</v>
      </c>
      <c r="AC327" s="301">
        <v>0.0</v>
      </c>
      <c r="AD327" s="301">
        <v>0.0</v>
      </c>
      <c r="AE327" s="301">
        <v>0.0</v>
      </c>
      <c r="AF327" s="301">
        <v>0.0</v>
      </c>
      <c r="AG327" s="768">
        <f t="shared" si="115"/>
        <v>0</v>
      </c>
    </row>
    <row r="328">
      <c r="A328" s="897" t="s">
        <v>756</v>
      </c>
      <c r="B328" s="301">
        <v>0.0</v>
      </c>
      <c r="C328" s="301">
        <v>0.0</v>
      </c>
      <c r="D328" s="301">
        <v>0.0</v>
      </c>
      <c r="E328" s="301">
        <v>0.0</v>
      </c>
      <c r="F328" s="877">
        <v>0.0</v>
      </c>
      <c r="G328" s="877">
        <v>0.0</v>
      </c>
      <c r="H328" s="301">
        <v>0.0</v>
      </c>
      <c r="I328" s="301">
        <v>0.0</v>
      </c>
      <c r="J328" s="301">
        <v>0.0</v>
      </c>
      <c r="K328" s="301">
        <v>0.0</v>
      </c>
      <c r="L328" s="301">
        <v>0.0</v>
      </c>
      <c r="M328" s="301">
        <v>0.0</v>
      </c>
      <c r="N328" s="301">
        <v>0.0</v>
      </c>
      <c r="O328" s="301">
        <v>0.0</v>
      </c>
      <c r="P328" s="301">
        <v>0.0</v>
      </c>
      <c r="Q328" s="301">
        <v>0.0</v>
      </c>
      <c r="R328" s="301">
        <v>0.0</v>
      </c>
      <c r="S328" s="877">
        <v>0.0</v>
      </c>
      <c r="T328" s="301">
        <v>0.0</v>
      </c>
      <c r="U328" s="301">
        <v>0.0</v>
      </c>
      <c r="V328" s="301">
        <v>0.0</v>
      </c>
      <c r="W328" s="301">
        <v>0.0</v>
      </c>
      <c r="X328" s="301">
        <v>0.0</v>
      </c>
      <c r="Y328" s="301">
        <v>0.0</v>
      </c>
      <c r="Z328" s="301">
        <v>0.0</v>
      </c>
      <c r="AA328" s="301">
        <v>0.0</v>
      </c>
      <c r="AB328" s="301">
        <v>0.0</v>
      </c>
      <c r="AC328" s="301">
        <v>0.0</v>
      </c>
      <c r="AD328" s="301">
        <v>0.0</v>
      </c>
      <c r="AE328" s="301">
        <v>0.0</v>
      </c>
      <c r="AF328" s="301">
        <v>0.0</v>
      </c>
      <c r="AG328" s="768">
        <f t="shared" si="115"/>
        <v>0</v>
      </c>
    </row>
    <row r="329">
      <c r="A329" s="897" t="s">
        <v>757</v>
      </c>
      <c r="B329" s="301">
        <v>0.0</v>
      </c>
      <c r="C329" s="301">
        <v>0.0</v>
      </c>
      <c r="D329" s="301">
        <v>0.0</v>
      </c>
      <c r="E329" s="301">
        <v>0.0</v>
      </c>
      <c r="F329" s="877">
        <v>0.0</v>
      </c>
      <c r="G329" s="877">
        <v>0.0</v>
      </c>
      <c r="H329" s="301">
        <v>0.0</v>
      </c>
      <c r="I329" s="301">
        <v>0.0</v>
      </c>
      <c r="J329" s="301">
        <v>0.0</v>
      </c>
      <c r="K329" s="301">
        <v>0.0</v>
      </c>
      <c r="L329" s="301">
        <v>0.0</v>
      </c>
      <c r="M329" s="301">
        <v>0.0</v>
      </c>
      <c r="N329" s="301">
        <v>0.0</v>
      </c>
      <c r="O329" s="301">
        <v>0.0</v>
      </c>
      <c r="P329" s="301">
        <v>0.0</v>
      </c>
      <c r="Q329" s="301">
        <v>0.0</v>
      </c>
      <c r="R329" s="301">
        <v>0.0</v>
      </c>
      <c r="S329" s="877">
        <v>0.0</v>
      </c>
      <c r="T329" s="301">
        <v>0.0</v>
      </c>
      <c r="U329" s="301">
        <v>0.0</v>
      </c>
      <c r="V329" s="301">
        <v>0.0</v>
      </c>
      <c r="W329" s="301">
        <v>0.0</v>
      </c>
      <c r="X329" s="301">
        <v>0.0</v>
      </c>
      <c r="Y329" s="301">
        <v>0.0</v>
      </c>
      <c r="Z329" s="301">
        <v>0.0</v>
      </c>
      <c r="AA329" s="301">
        <v>0.0</v>
      </c>
      <c r="AB329" s="301">
        <v>0.0</v>
      </c>
      <c r="AC329" s="301">
        <v>0.0</v>
      </c>
      <c r="AD329" s="301">
        <v>0.0</v>
      </c>
      <c r="AE329" s="301">
        <v>0.0</v>
      </c>
      <c r="AF329" s="301">
        <v>0.0</v>
      </c>
      <c r="AG329" s="768">
        <f t="shared" si="115"/>
        <v>0</v>
      </c>
    </row>
    <row r="330">
      <c r="A330" s="900" t="s">
        <v>725</v>
      </c>
      <c r="B330" s="901">
        <f t="shared" ref="B330:V330" si="116">B324+B326+B328</f>
        <v>0</v>
      </c>
      <c r="C330" s="901">
        <f t="shared" si="116"/>
        <v>0</v>
      </c>
      <c r="D330" s="901">
        <f t="shared" si="116"/>
        <v>0</v>
      </c>
      <c r="E330" s="901">
        <f t="shared" si="116"/>
        <v>1</v>
      </c>
      <c r="F330" s="901">
        <f t="shared" si="116"/>
        <v>0</v>
      </c>
      <c r="G330" s="901">
        <f t="shared" si="116"/>
        <v>0</v>
      </c>
      <c r="H330" s="901">
        <f t="shared" si="116"/>
        <v>1</v>
      </c>
      <c r="I330" s="901">
        <f t="shared" si="116"/>
        <v>0</v>
      </c>
      <c r="J330" s="901">
        <f t="shared" si="116"/>
        <v>0</v>
      </c>
      <c r="K330" s="901">
        <f t="shared" si="116"/>
        <v>1</v>
      </c>
      <c r="L330" s="901">
        <f t="shared" si="116"/>
        <v>2</v>
      </c>
      <c r="M330" s="901">
        <f t="shared" si="116"/>
        <v>0</v>
      </c>
      <c r="N330" s="901">
        <f t="shared" si="116"/>
        <v>1</v>
      </c>
      <c r="O330" s="901">
        <f t="shared" si="116"/>
        <v>3</v>
      </c>
      <c r="P330" s="901">
        <f t="shared" si="116"/>
        <v>0</v>
      </c>
      <c r="Q330" s="901">
        <f t="shared" si="116"/>
        <v>1</v>
      </c>
      <c r="R330" s="901">
        <f t="shared" si="116"/>
        <v>3</v>
      </c>
      <c r="S330" s="901">
        <f t="shared" si="116"/>
        <v>2</v>
      </c>
      <c r="T330" s="901">
        <f t="shared" si="116"/>
        <v>0</v>
      </c>
      <c r="U330" s="901">
        <f t="shared" si="116"/>
        <v>1</v>
      </c>
      <c r="V330" s="901">
        <f t="shared" si="116"/>
        <v>0</v>
      </c>
      <c r="W330" s="901">
        <f>W324+W325+W328</f>
        <v>0</v>
      </c>
      <c r="X330" s="901">
        <f t="shared" ref="X330:AF330" si="117">X324+X326+X328</f>
        <v>0</v>
      </c>
      <c r="Y330" s="901">
        <f t="shared" si="117"/>
        <v>4</v>
      </c>
      <c r="Z330" s="901">
        <f t="shared" si="117"/>
        <v>50</v>
      </c>
      <c r="AA330" s="901">
        <f t="shared" si="117"/>
        <v>23</v>
      </c>
      <c r="AB330" s="901">
        <f t="shared" si="117"/>
        <v>9</v>
      </c>
      <c r="AC330" s="901">
        <f t="shared" si="117"/>
        <v>20</v>
      </c>
      <c r="AD330" s="901">
        <f t="shared" si="117"/>
        <v>12</v>
      </c>
      <c r="AE330" s="901">
        <f t="shared" si="117"/>
        <v>12</v>
      </c>
      <c r="AF330" s="901">
        <f t="shared" si="117"/>
        <v>10</v>
      </c>
      <c r="AG330" s="768">
        <f t="shared" si="115"/>
        <v>156</v>
      </c>
    </row>
    <row r="331">
      <c r="A331" s="900" t="s">
        <v>758</v>
      </c>
      <c r="B331" s="901">
        <f t="shared" ref="B331:AF331" si="118">B325+B327+B329</f>
        <v>0</v>
      </c>
      <c r="C331" s="901">
        <f t="shared" si="118"/>
        <v>0</v>
      </c>
      <c r="D331" s="901">
        <f t="shared" si="118"/>
        <v>0</v>
      </c>
      <c r="E331" s="901">
        <f t="shared" si="118"/>
        <v>0</v>
      </c>
      <c r="F331" s="901">
        <f t="shared" si="118"/>
        <v>0</v>
      </c>
      <c r="G331" s="901">
        <f t="shared" si="118"/>
        <v>0</v>
      </c>
      <c r="H331" s="901">
        <f t="shared" si="118"/>
        <v>0</v>
      </c>
      <c r="I331" s="901">
        <f t="shared" si="118"/>
        <v>0</v>
      </c>
      <c r="J331" s="901">
        <f t="shared" si="118"/>
        <v>0</v>
      </c>
      <c r="K331" s="901">
        <f t="shared" si="118"/>
        <v>0</v>
      </c>
      <c r="L331" s="901">
        <f t="shared" si="118"/>
        <v>0</v>
      </c>
      <c r="M331" s="901">
        <f t="shared" si="118"/>
        <v>0</v>
      </c>
      <c r="N331" s="901">
        <f t="shared" si="118"/>
        <v>0</v>
      </c>
      <c r="O331" s="901">
        <f t="shared" si="118"/>
        <v>3</v>
      </c>
      <c r="P331" s="901">
        <f t="shared" si="118"/>
        <v>0</v>
      </c>
      <c r="Q331" s="901">
        <f t="shared" si="118"/>
        <v>0</v>
      </c>
      <c r="R331" s="901">
        <f t="shared" si="118"/>
        <v>0</v>
      </c>
      <c r="S331" s="901">
        <f t="shared" si="118"/>
        <v>0</v>
      </c>
      <c r="T331" s="901">
        <f t="shared" si="118"/>
        <v>1</v>
      </c>
      <c r="U331" s="901">
        <f t="shared" si="118"/>
        <v>0</v>
      </c>
      <c r="V331" s="901">
        <f t="shared" si="118"/>
        <v>0</v>
      </c>
      <c r="W331" s="901">
        <f t="shared" si="118"/>
        <v>0</v>
      </c>
      <c r="X331" s="901">
        <f t="shared" si="118"/>
        <v>0</v>
      </c>
      <c r="Y331" s="901">
        <f t="shared" si="118"/>
        <v>4</v>
      </c>
      <c r="Z331" s="901">
        <f t="shared" si="118"/>
        <v>6</v>
      </c>
      <c r="AA331" s="901">
        <f t="shared" si="118"/>
        <v>22</v>
      </c>
      <c r="AB331" s="901">
        <f t="shared" si="118"/>
        <v>8</v>
      </c>
      <c r="AC331" s="901">
        <f t="shared" si="118"/>
        <v>38</v>
      </c>
      <c r="AD331" s="901">
        <f t="shared" si="118"/>
        <v>14</v>
      </c>
      <c r="AE331" s="901">
        <f t="shared" si="118"/>
        <v>18</v>
      </c>
      <c r="AF331" s="901">
        <f t="shared" si="118"/>
        <v>7</v>
      </c>
      <c r="AG331" s="768">
        <f t="shared" si="115"/>
        <v>121</v>
      </c>
    </row>
    <row r="332">
      <c r="A332" s="42"/>
      <c r="AG332" s="11"/>
    </row>
    <row r="333">
      <c r="A333" s="897" t="s">
        <v>760</v>
      </c>
      <c r="B333" s="301">
        <v>0.0</v>
      </c>
      <c r="C333" s="301">
        <v>0.0</v>
      </c>
      <c r="D333" s="301">
        <v>0.0</v>
      </c>
      <c r="E333" s="301">
        <v>0.0</v>
      </c>
      <c r="F333" s="301">
        <v>0.0</v>
      </c>
      <c r="G333" s="301">
        <v>0.0</v>
      </c>
      <c r="H333" s="301">
        <v>0.0</v>
      </c>
      <c r="I333" s="301">
        <v>0.0</v>
      </c>
      <c r="J333" s="301">
        <v>0.0</v>
      </c>
      <c r="K333" s="301">
        <v>0.0</v>
      </c>
      <c r="L333" s="301">
        <v>0.0</v>
      </c>
      <c r="M333" s="301">
        <v>0.0</v>
      </c>
      <c r="N333" s="301">
        <v>0.0</v>
      </c>
      <c r="O333" s="301">
        <v>3.0</v>
      </c>
      <c r="P333" s="301">
        <v>0.0</v>
      </c>
      <c r="Q333" s="301">
        <v>0.0</v>
      </c>
      <c r="R333" s="301">
        <v>1.0</v>
      </c>
      <c r="S333" s="877">
        <v>0.0</v>
      </c>
      <c r="T333" s="301">
        <v>1.0</v>
      </c>
      <c r="U333" s="301">
        <v>1.0</v>
      </c>
      <c r="V333" s="301">
        <v>0.0</v>
      </c>
      <c r="W333" s="301">
        <v>0.0</v>
      </c>
      <c r="X333" s="301">
        <v>0.0</v>
      </c>
      <c r="Y333" s="301">
        <v>6.0</v>
      </c>
      <c r="Z333" s="301">
        <v>15.0</v>
      </c>
      <c r="AA333" s="301">
        <v>19.0</v>
      </c>
      <c r="AB333" s="301">
        <v>7.0</v>
      </c>
      <c r="AC333" s="301">
        <v>25.0</v>
      </c>
      <c r="AD333" s="301">
        <v>11.0</v>
      </c>
      <c r="AE333" s="301">
        <v>12.0</v>
      </c>
      <c r="AF333" s="301">
        <v>3.0</v>
      </c>
      <c r="AG333" s="768">
        <f t="shared" ref="AG333:AG338" si="119">SUM(B333:AF333)</f>
        <v>104</v>
      </c>
    </row>
    <row r="334">
      <c r="A334" s="897" t="s">
        <v>761</v>
      </c>
      <c r="B334" s="301">
        <v>0.0</v>
      </c>
      <c r="C334" s="301">
        <v>0.0</v>
      </c>
      <c r="D334" s="301">
        <v>0.0</v>
      </c>
      <c r="E334" s="301">
        <v>0.0</v>
      </c>
      <c r="F334" s="301">
        <v>0.0</v>
      </c>
      <c r="G334" s="301">
        <v>0.0</v>
      </c>
      <c r="H334" s="301">
        <v>0.0</v>
      </c>
      <c r="I334" s="301">
        <v>0.0</v>
      </c>
      <c r="J334" s="301">
        <v>0.0</v>
      </c>
      <c r="K334" s="301">
        <v>0.0</v>
      </c>
      <c r="L334" s="301">
        <v>0.0</v>
      </c>
      <c r="M334" s="301">
        <v>0.0</v>
      </c>
      <c r="N334" s="301">
        <v>0.0</v>
      </c>
      <c r="O334" s="301">
        <v>0.0</v>
      </c>
      <c r="P334" s="301">
        <v>0.0</v>
      </c>
      <c r="Q334" s="301">
        <v>0.0</v>
      </c>
      <c r="R334" s="301">
        <v>1.0</v>
      </c>
      <c r="S334" s="877">
        <v>1.0</v>
      </c>
      <c r="T334" s="301">
        <v>0.0</v>
      </c>
      <c r="U334" s="301">
        <v>0.0</v>
      </c>
      <c r="V334" s="301">
        <v>0.0</v>
      </c>
      <c r="W334" s="301">
        <v>0.0</v>
      </c>
      <c r="X334" s="301">
        <v>0.0</v>
      </c>
      <c r="Y334" s="301">
        <v>0.0</v>
      </c>
      <c r="Z334" s="301">
        <v>0.0</v>
      </c>
      <c r="AA334" s="301">
        <v>0.0</v>
      </c>
      <c r="AB334" s="301">
        <v>0.0</v>
      </c>
      <c r="AC334" s="301">
        <v>1.0</v>
      </c>
      <c r="AD334" s="301">
        <v>0.0</v>
      </c>
      <c r="AE334" s="301">
        <v>0.0</v>
      </c>
      <c r="AF334" s="301">
        <v>0.0</v>
      </c>
      <c r="AG334" s="768">
        <f t="shared" si="119"/>
        <v>3</v>
      </c>
    </row>
    <row r="335">
      <c r="A335" s="897" t="s">
        <v>762</v>
      </c>
      <c r="B335" s="301">
        <v>0.0</v>
      </c>
      <c r="C335" s="301">
        <v>0.0</v>
      </c>
      <c r="D335" s="301">
        <v>0.0</v>
      </c>
      <c r="E335" s="301">
        <v>0.0</v>
      </c>
      <c r="F335" s="301">
        <v>0.0</v>
      </c>
      <c r="G335" s="301">
        <v>0.0</v>
      </c>
      <c r="H335" s="301">
        <v>0.0</v>
      </c>
      <c r="I335" s="301">
        <v>0.0</v>
      </c>
      <c r="J335" s="301">
        <v>0.0</v>
      </c>
      <c r="K335" s="301">
        <v>0.0</v>
      </c>
      <c r="L335" s="301">
        <v>1.0</v>
      </c>
      <c r="M335" s="301">
        <v>0.0</v>
      </c>
      <c r="N335" s="301">
        <v>0.0</v>
      </c>
      <c r="O335" s="301">
        <v>0.0</v>
      </c>
      <c r="P335" s="301">
        <v>0.0</v>
      </c>
      <c r="Q335" s="301">
        <v>1.0</v>
      </c>
      <c r="R335" s="301">
        <v>0.0</v>
      </c>
      <c r="S335" s="877">
        <v>0.0</v>
      </c>
      <c r="T335" s="301">
        <v>1.0</v>
      </c>
      <c r="U335" s="301">
        <v>1.0</v>
      </c>
      <c r="V335" s="301">
        <v>0.0</v>
      </c>
      <c r="W335" s="301">
        <v>0.0</v>
      </c>
      <c r="X335" s="301">
        <v>0.0</v>
      </c>
      <c r="Y335" s="301">
        <v>3.0</v>
      </c>
      <c r="Z335" s="301">
        <v>30.0</v>
      </c>
      <c r="AA335" s="301">
        <v>22.0</v>
      </c>
      <c r="AB335" s="301">
        <v>9.0</v>
      </c>
      <c r="AC335" s="301">
        <v>24.0</v>
      </c>
      <c r="AD335" s="301">
        <v>7.0</v>
      </c>
      <c r="AE335" s="301">
        <v>10.0</v>
      </c>
      <c r="AF335" s="301">
        <v>3.0</v>
      </c>
      <c r="AG335" s="768">
        <f t="shared" si="119"/>
        <v>112</v>
      </c>
    </row>
    <row r="336">
      <c r="A336" s="897" t="s">
        <v>763</v>
      </c>
      <c r="B336" s="301">
        <v>0.0</v>
      </c>
      <c r="C336" s="301">
        <v>0.0</v>
      </c>
      <c r="D336" s="301">
        <v>0.0</v>
      </c>
      <c r="E336" s="301">
        <v>0.0</v>
      </c>
      <c r="F336" s="301">
        <v>0.0</v>
      </c>
      <c r="G336" s="301">
        <v>0.0</v>
      </c>
      <c r="H336" s="301">
        <v>0.0</v>
      </c>
      <c r="I336" s="301">
        <v>0.0</v>
      </c>
      <c r="J336" s="301">
        <v>0.0</v>
      </c>
      <c r="K336" s="301">
        <v>0.0</v>
      </c>
      <c r="L336" s="301">
        <v>0.0</v>
      </c>
      <c r="M336" s="301">
        <v>0.0</v>
      </c>
      <c r="N336" s="301">
        <v>0.0</v>
      </c>
      <c r="O336" s="301">
        <v>0.0</v>
      </c>
      <c r="P336" s="301">
        <v>0.0</v>
      </c>
      <c r="Q336" s="301">
        <v>0.0</v>
      </c>
      <c r="R336" s="301">
        <v>0.0</v>
      </c>
      <c r="S336" s="877">
        <v>0.0</v>
      </c>
      <c r="T336" s="301">
        <v>0.0</v>
      </c>
      <c r="U336" s="301">
        <v>0.0</v>
      </c>
      <c r="V336" s="301">
        <v>0.0</v>
      </c>
      <c r="W336" s="301">
        <v>0.0</v>
      </c>
      <c r="X336" s="301">
        <v>0.0</v>
      </c>
      <c r="Y336" s="301">
        <v>0.0</v>
      </c>
      <c r="Z336" s="301">
        <v>0.0</v>
      </c>
      <c r="AA336" s="301">
        <v>9.0</v>
      </c>
      <c r="AB336" s="301">
        <v>5.0</v>
      </c>
      <c r="AC336" s="301">
        <v>9.0</v>
      </c>
      <c r="AD336" s="301">
        <v>3.0</v>
      </c>
      <c r="AE336" s="301">
        <v>8.0</v>
      </c>
      <c r="AF336" s="301">
        <v>1.0</v>
      </c>
      <c r="AG336" s="768">
        <f t="shared" si="119"/>
        <v>35</v>
      </c>
    </row>
    <row r="337">
      <c r="A337" s="897" t="s">
        <v>764</v>
      </c>
      <c r="B337" s="301">
        <v>0.0</v>
      </c>
      <c r="C337" s="301">
        <v>0.0</v>
      </c>
      <c r="D337" s="301">
        <v>0.0</v>
      </c>
      <c r="E337" s="301">
        <v>0.0</v>
      </c>
      <c r="F337" s="301">
        <v>0.0</v>
      </c>
      <c r="G337" s="301">
        <v>0.0</v>
      </c>
      <c r="H337" s="301">
        <v>0.0</v>
      </c>
      <c r="I337" s="301">
        <v>0.0</v>
      </c>
      <c r="J337" s="301">
        <v>0.0</v>
      </c>
      <c r="K337" s="301">
        <v>0.0</v>
      </c>
      <c r="L337" s="301">
        <v>0.0</v>
      </c>
      <c r="M337" s="301">
        <v>0.0</v>
      </c>
      <c r="N337" s="301">
        <v>0.0</v>
      </c>
      <c r="O337" s="301">
        <v>0.0</v>
      </c>
      <c r="P337" s="301">
        <v>0.0</v>
      </c>
      <c r="Q337" s="301">
        <v>0.0</v>
      </c>
      <c r="R337" s="301">
        <v>0.0</v>
      </c>
      <c r="S337" s="877">
        <v>0.0</v>
      </c>
      <c r="T337" s="301">
        <v>0.0</v>
      </c>
      <c r="U337" s="301">
        <v>1.0</v>
      </c>
      <c r="V337" s="301">
        <v>0.0</v>
      </c>
      <c r="W337" s="301">
        <v>0.0</v>
      </c>
      <c r="X337" s="301">
        <v>0.0</v>
      </c>
      <c r="Y337" s="301">
        <v>2.0</v>
      </c>
      <c r="Z337" s="301">
        <v>11.0</v>
      </c>
      <c r="AA337" s="301">
        <v>4.0</v>
      </c>
      <c r="AB337" s="301">
        <v>0.0</v>
      </c>
      <c r="AC337" s="301">
        <v>13.0</v>
      </c>
      <c r="AD337" s="301">
        <v>3.0</v>
      </c>
      <c r="AE337" s="301">
        <v>5.0</v>
      </c>
      <c r="AF337" s="301">
        <v>2.0</v>
      </c>
      <c r="AG337" s="768">
        <f t="shared" si="119"/>
        <v>41</v>
      </c>
    </row>
    <row r="338">
      <c r="A338" s="907" t="s">
        <v>765</v>
      </c>
      <c r="B338" s="901">
        <f t="shared" ref="B338:G338" si="120">SUM(B333:B337)</f>
        <v>0</v>
      </c>
      <c r="C338" s="901">
        <f t="shared" si="120"/>
        <v>0</v>
      </c>
      <c r="D338" s="901">
        <f t="shared" si="120"/>
        <v>0</v>
      </c>
      <c r="E338" s="901">
        <f t="shared" si="120"/>
        <v>0</v>
      </c>
      <c r="F338" s="901">
        <f t="shared" si="120"/>
        <v>0</v>
      </c>
      <c r="G338" s="901">
        <f t="shared" si="120"/>
        <v>0</v>
      </c>
      <c r="H338" s="908">
        <v>0.0</v>
      </c>
      <c r="I338" s="901">
        <f t="shared" ref="I338:AF338" si="121">SUM(I333:I337)</f>
        <v>0</v>
      </c>
      <c r="J338" s="901">
        <f t="shared" si="121"/>
        <v>0</v>
      </c>
      <c r="K338" s="901">
        <f t="shared" si="121"/>
        <v>0</v>
      </c>
      <c r="L338" s="901">
        <f t="shared" si="121"/>
        <v>1</v>
      </c>
      <c r="M338" s="901">
        <f t="shared" si="121"/>
        <v>0</v>
      </c>
      <c r="N338" s="901">
        <f t="shared" si="121"/>
        <v>0</v>
      </c>
      <c r="O338" s="901">
        <f t="shared" si="121"/>
        <v>3</v>
      </c>
      <c r="P338" s="901">
        <f t="shared" si="121"/>
        <v>0</v>
      </c>
      <c r="Q338" s="901">
        <f t="shared" si="121"/>
        <v>1</v>
      </c>
      <c r="R338" s="901">
        <f t="shared" si="121"/>
        <v>2</v>
      </c>
      <c r="S338" s="901">
        <f t="shared" si="121"/>
        <v>1</v>
      </c>
      <c r="T338" s="901">
        <f t="shared" si="121"/>
        <v>2</v>
      </c>
      <c r="U338" s="901">
        <f t="shared" si="121"/>
        <v>3</v>
      </c>
      <c r="V338" s="901">
        <f t="shared" si="121"/>
        <v>0</v>
      </c>
      <c r="W338" s="901">
        <f t="shared" si="121"/>
        <v>0</v>
      </c>
      <c r="X338" s="901">
        <f t="shared" si="121"/>
        <v>0</v>
      </c>
      <c r="Y338" s="901">
        <f t="shared" si="121"/>
        <v>11</v>
      </c>
      <c r="Z338" s="901">
        <f t="shared" si="121"/>
        <v>56</v>
      </c>
      <c r="AA338" s="901">
        <f t="shared" si="121"/>
        <v>54</v>
      </c>
      <c r="AB338" s="901">
        <f t="shared" si="121"/>
        <v>21</v>
      </c>
      <c r="AC338" s="901">
        <f t="shared" si="121"/>
        <v>72</v>
      </c>
      <c r="AD338" s="901">
        <f t="shared" si="121"/>
        <v>24</v>
      </c>
      <c r="AE338" s="901">
        <f t="shared" si="121"/>
        <v>35</v>
      </c>
      <c r="AF338" s="901">
        <f t="shared" si="121"/>
        <v>9</v>
      </c>
      <c r="AG338" s="768">
        <f t="shared" si="119"/>
        <v>295</v>
      </c>
    </row>
    <row r="339">
      <c r="A339" s="42"/>
      <c r="AG339" s="11"/>
    </row>
    <row r="340">
      <c r="A340" s="897" t="s">
        <v>767</v>
      </c>
      <c r="B340" s="301">
        <v>0.0</v>
      </c>
      <c r="C340" s="301">
        <v>0.0</v>
      </c>
      <c r="D340" s="301">
        <v>0.0</v>
      </c>
      <c r="E340" s="301">
        <v>0.0</v>
      </c>
      <c r="F340" s="301">
        <v>0.0</v>
      </c>
      <c r="G340" s="301">
        <v>0.0</v>
      </c>
      <c r="H340" s="301">
        <v>0.0</v>
      </c>
      <c r="I340" s="301">
        <v>0.0</v>
      </c>
      <c r="J340" s="301">
        <v>0.0</v>
      </c>
      <c r="K340" s="301">
        <v>0.0</v>
      </c>
      <c r="L340" s="301">
        <v>0.0</v>
      </c>
      <c r="M340" s="301">
        <v>0.0</v>
      </c>
      <c r="N340" s="301">
        <v>0.0</v>
      </c>
      <c r="O340" s="301">
        <v>0.0</v>
      </c>
      <c r="P340" s="301">
        <v>0.0</v>
      </c>
      <c r="Q340" s="301">
        <v>0.0</v>
      </c>
      <c r="R340" s="301">
        <v>1.0</v>
      </c>
      <c r="S340" s="877">
        <v>1.0</v>
      </c>
      <c r="T340" s="301">
        <v>0.0</v>
      </c>
      <c r="U340" s="301">
        <v>0.0</v>
      </c>
      <c r="V340" s="301">
        <v>0.0</v>
      </c>
      <c r="W340" s="301">
        <v>0.0</v>
      </c>
      <c r="X340" s="301">
        <v>0.0</v>
      </c>
      <c r="Y340" s="301">
        <v>1.0</v>
      </c>
      <c r="Z340" s="301">
        <v>0.0</v>
      </c>
      <c r="AA340" s="301">
        <v>0.0</v>
      </c>
      <c r="AB340" s="301">
        <v>0.0</v>
      </c>
      <c r="AC340" s="301">
        <v>0.0</v>
      </c>
      <c r="AD340" s="301">
        <v>0.0</v>
      </c>
      <c r="AE340" s="301">
        <v>0.0</v>
      </c>
      <c r="AF340" s="301">
        <v>4.0</v>
      </c>
      <c r="AG340" s="768">
        <f t="shared" ref="AG340:AG345" si="122">SUM(B340:AF340)</f>
        <v>7</v>
      </c>
    </row>
    <row r="341">
      <c r="A341" s="897" t="s">
        <v>769</v>
      </c>
      <c r="B341" s="301">
        <v>0.0</v>
      </c>
      <c r="C341" s="301">
        <v>0.0</v>
      </c>
      <c r="D341" s="301">
        <v>0.0</v>
      </c>
      <c r="E341" s="301">
        <v>0.0</v>
      </c>
      <c r="F341" s="301">
        <v>0.0</v>
      </c>
      <c r="G341" s="301">
        <v>0.0</v>
      </c>
      <c r="H341" s="301">
        <v>0.0</v>
      </c>
      <c r="I341" s="301">
        <v>0.0</v>
      </c>
      <c r="J341" s="301">
        <v>0.0</v>
      </c>
      <c r="K341" s="301">
        <v>0.0</v>
      </c>
      <c r="L341" s="301">
        <v>0.0</v>
      </c>
      <c r="M341" s="301">
        <v>0.0</v>
      </c>
      <c r="N341" s="301">
        <v>0.0</v>
      </c>
      <c r="O341" s="301">
        <v>0.0</v>
      </c>
      <c r="P341" s="301">
        <v>0.0</v>
      </c>
      <c r="Q341" s="301">
        <v>0.0</v>
      </c>
      <c r="R341" s="301">
        <v>0.0</v>
      </c>
      <c r="S341" s="877">
        <v>0.0</v>
      </c>
      <c r="T341" s="301">
        <v>0.0</v>
      </c>
      <c r="U341" s="301">
        <v>0.0</v>
      </c>
      <c r="V341" s="301">
        <v>0.0</v>
      </c>
      <c r="W341" s="301">
        <v>0.0</v>
      </c>
      <c r="X341" s="301">
        <v>0.0</v>
      </c>
      <c r="Y341" s="301">
        <v>0.0</v>
      </c>
      <c r="Z341" s="301">
        <v>0.0</v>
      </c>
      <c r="AA341" s="301">
        <v>0.0</v>
      </c>
      <c r="AB341" s="301">
        <v>0.0</v>
      </c>
      <c r="AC341" s="301">
        <v>0.0</v>
      </c>
      <c r="AD341" s="301">
        <v>0.0</v>
      </c>
      <c r="AE341" s="301">
        <v>0.0</v>
      </c>
      <c r="AF341" s="301">
        <v>0.0</v>
      </c>
      <c r="AG341" s="768">
        <f t="shared" si="122"/>
        <v>0</v>
      </c>
    </row>
    <row r="342">
      <c r="A342" s="897" t="s">
        <v>770</v>
      </c>
      <c r="B342" s="301">
        <v>0.0</v>
      </c>
      <c r="C342" s="301">
        <v>0.0</v>
      </c>
      <c r="D342" s="301">
        <v>0.0</v>
      </c>
      <c r="E342" s="301">
        <v>0.0</v>
      </c>
      <c r="F342" s="301">
        <v>0.0</v>
      </c>
      <c r="G342" s="301">
        <v>0.0</v>
      </c>
      <c r="H342" s="301">
        <v>0.0</v>
      </c>
      <c r="I342" s="301">
        <v>0.0</v>
      </c>
      <c r="J342" s="301">
        <v>0.0</v>
      </c>
      <c r="K342" s="301">
        <v>0.0</v>
      </c>
      <c r="L342" s="301">
        <v>0.0</v>
      </c>
      <c r="M342" s="301">
        <v>0.0</v>
      </c>
      <c r="N342" s="301">
        <v>0.0</v>
      </c>
      <c r="O342" s="301">
        <v>0.0</v>
      </c>
      <c r="P342" s="301">
        <v>0.0</v>
      </c>
      <c r="Q342" s="301">
        <v>0.0</v>
      </c>
      <c r="R342" s="301">
        <v>1.0</v>
      </c>
      <c r="S342" s="877">
        <v>0.0</v>
      </c>
      <c r="T342" s="301">
        <v>0.0</v>
      </c>
      <c r="U342" s="301">
        <v>0.0</v>
      </c>
      <c r="V342" s="301">
        <v>0.0</v>
      </c>
      <c r="W342" s="301">
        <v>0.0</v>
      </c>
      <c r="X342" s="301">
        <v>0.0</v>
      </c>
      <c r="Y342" s="301">
        <v>1.0</v>
      </c>
      <c r="Z342" s="301">
        <v>0.0</v>
      </c>
      <c r="AA342" s="301">
        <v>0.0</v>
      </c>
      <c r="AB342" s="301">
        <v>0.0</v>
      </c>
      <c r="AC342" s="301">
        <v>0.0</v>
      </c>
      <c r="AD342" s="301">
        <v>0.0</v>
      </c>
      <c r="AE342" s="301">
        <v>0.0</v>
      </c>
      <c r="AF342" s="301">
        <v>0.0</v>
      </c>
      <c r="AG342" s="768">
        <f t="shared" si="122"/>
        <v>2</v>
      </c>
    </row>
    <row r="343">
      <c r="A343" s="897" t="s">
        <v>771</v>
      </c>
      <c r="B343" s="301">
        <v>0.0</v>
      </c>
      <c r="C343" s="301">
        <v>0.0</v>
      </c>
      <c r="D343" s="301">
        <v>0.0</v>
      </c>
      <c r="E343" s="301">
        <v>0.0</v>
      </c>
      <c r="F343" s="301">
        <v>0.0</v>
      </c>
      <c r="G343" s="301">
        <v>0.0</v>
      </c>
      <c r="H343" s="301">
        <v>0.0</v>
      </c>
      <c r="I343" s="301">
        <v>0.0</v>
      </c>
      <c r="J343" s="301">
        <v>0.0</v>
      </c>
      <c r="K343" s="301">
        <v>0.0</v>
      </c>
      <c r="L343" s="301">
        <v>0.0</v>
      </c>
      <c r="M343" s="301">
        <v>0.0</v>
      </c>
      <c r="N343" s="301">
        <v>0.0</v>
      </c>
      <c r="O343" s="301">
        <v>0.0</v>
      </c>
      <c r="P343" s="301">
        <v>0.0</v>
      </c>
      <c r="Q343" s="301">
        <v>0.0</v>
      </c>
      <c r="R343" s="301">
        <v>0.0</v>
      </c>
      <c r="S343" s="877">
        <v>0.0</v>
      </c>
      <c r="T343" s="301">
        <v>0.0</v>
      </c>
      <c r="U343" s="301">
        <v>0.0</v>
      </c>
      <c r="V343" s="301">
        <v>0.0</v>
      </c>
      <c r="W343" s="301">
        <v>0.0</v>
      </c>
      <c r="X343" s="301">
        <v>0.0</v>
      </c>
      <c r="Y343" s="301">
        <v>1.0</v>
      </c>
      <c r="Z343" s="301">
        <v>0.0</v>
      </c>
      <c r="AA343" s="301">
        <v>0.0</v>
      </c>
      <c r="AB343" s="301">
        <v>0.0</v>
      </c>
      <c r="AC343" s="301">
        <v>0.0</v>
      </c>
      <c r="AD343" s="301">
        <v>0.0</v>
      </c>
      <c r="AE343" s="301">
        <v>0.0</v>
      </c>
      <c r="AF343" s="301">
        <v>0.0</v>
      </c>
      <c r="AG343" s="768">
        <f t="shared" si="122"/>
        <v>1</v>
      </c>
    </row>
    <row r="344">
      <c r="A344" s="897" t="s">
        <v>772</v>
      </c>
      <c r="B344" s="301">
        <v>0.0</v>
      </c>
      <c r="C344" s="301">
        <v>0.0</v>
      </c>
      <c r="D344" s="301">
        <v>0.0</v>
      </c>
      <c r="E344" s="301">
        <v>0.0</v>
      </c>
      <c r="F344" s="301">
        <v>0.0</v>
      </c>
      <c r="G344" s="301">
        <v>0.0</v>
      </c>
      <c r="H344" s="301">
        <v>0.0</v>
      </c>
      <c r="I344" s="301">
        <v>0.0</v>
      </c>
      <c r="J344" s="301">
        <v>0.0</v>
      </c>
      <c r="K344" s="301">
        <v>0.0</v>
      </c>
      <c r="L344" s="301">
        <v>0.0</v>
      </c>
      <c r="M344" s="301">
        <v>0.0</v>
      </c>
      <c r="N344" s="301">
        <v>0.0</v>
      </c>
      <c r="O344" s="301">
        <v>0.0</v>
      </c>
      <c r="P344" s="301">
        <v>0.0</v>
      </c>
      <c r="Q344" s="301">
        <v>0.0</v>
      </c>
      <c r="R344" s="301">
        <v>0.0</v>
      </c>
      <c r="S344" s="877">
        <v>0.0</v>
      </c>
      <c r="T344" s="301">
        <v>0.0</v>
      </c>
      <c r="U344" s="301">
        <v>0.0</v>
      </c>
      <c r="V344" s="301">
        <v>0.0</v>
      </c>
      <c r="W344" s="301">
        <v>0.0</v>
      </c>
      <c r="X344" s="301">
        <v>0.0</v>
      </c>
      <c r="Y344" s="301">
        <v>0.0</v>
      </c>
      <c r="Z344" s="301">
        <v>0.0</v>
      </c>
      <c r="AA344" s="301">
        <v>0.0</v>
      </c>
      <c r="AB344" s="301">
        <v>0.0</v>
      </c>
      <c r="AC344" s="301">
        <v>0.0</v>
      </c>
      <c r="AD344" s="301">
        <v>0.0</v>
      </c>
      <c r="AE344" s="301">
        <v>0.0</v>
      </c>
      <c r="AF344" s="301">
        <v>0.0</v>
      </c>
      <c r="AG344" s="768">
        <f t="shared" si="122"/>
        <v>0</v>
      </c>
    </row>
    <row r="345">
      <c r="A345" s="907" t="s">
        <v>773</v>
      </c>
      <c r="B345" s="901">
        <f t="shared" ref="B345:R345" si="123">SUM(B340:B344)</f>
        <v>0</v>
      </c>
      <c r="C345" s="901">
        <f t="shared" si="123"/>
        <v>0</v>
      </c>
      <c r="D345" s="901">
        <f t="shared" si="123"/>
        <v>0</v>
      </c>
      <c r="E345" s="901">
        <f t="shared" si="123"/>
        <v>0</v>
      </c>
      <c r="F345" s="901">
        <f t="shared" si="123"/>
        <v>0</v>
      </c>
      <c r="G345" s="901">
        <f t="shared" si="123"/>
        <v>0</v>
      </c>
      <c r="H345" s="901">
        <f t="shared" si="123"/>
        <v>0</v>
      </c>
      <c r="I345" s="901">
        <f t="shared" si="123"/>
        <v>0</v>
      </c>
      <c r="J345" s="901">
        <f t="shared" si="123"/>
        <v>0</v>
      </c>
      <c r="K345" s="901">
        <f t="shared" si="123"/>
        <v>0</v>
      </c>
      <c r="L345" s="901">
        <f t="shared" si="123"/>
        <v>0</v>
      </c>
      <c r="M345" s="901">
        <f t="shared" si="123"/>
        <v>0</v>
      </c>
      <c r="N345" s="901">
        <f t="shared" si="123"/>
        <v>0</v>
      </c>
      <c r="O345" s="901">
        <f t="shared" si="123"/>
        <v>0</v>
      </c>
      <c r="P345" s="901">
        <f t="shared" si="123"/>
        <v>0</v>
      </c>
      <c r="Q345" s="901">
        <f t="shared" si="123"/>
        <v>0</v>
      </c>
      <c r="R345" s="901">
        <f t="shared" si="123"/>
        <v>2</v>
      </c>
      <c r="S345" s="908">
        <v>0.0</v>
      </c>
      <c r="T345" s="901">
        <f t="shared" ref="T345:AF345" si="124">SUM(T340:T344)</f>
        <v>0</v>
      </c>
      <c r="U345" s="901">
        <f t="shared" si="124"/>
        <v>0</v>
      </c>
      <c r="V345" s="901">
        <f t="shared" si="124"/>
        <v>0</v>
      </c>
      <c r="W345" s="901">
        <f t="shared" si="124"/>
        <v>0</v>
      </c>
      <c r="X345" s="901">
        <f t="shared" si="124"/>
        <v>0</v>
      </c>
      <c r="Y345" s="901">
        <f t="shared" si="124"/>
        <v>3</v>
      </c>
      <c r="Z345" s="901">
        <f t="shared" si="124"/>
        <v>0</v>
      </c>
      <c r="AA345" s="901">
        <f t="shared" si="124"/>
        <v>0</v>
      </c>
      <c r="AB345" s="901">
        <f t="shared" si="124"/>
        <v>0</v>
      </c>
      <c r="AC345" s="901">
        <f t="shared" si="124"/>
        <v>0</v>
      </c>
      <c r="AD345" s="901">
        <f t="shared" si="124"/>
        <v>0</v>
      </c>
      <c r="AE345" s="901">
        <f t="shared" si="124"/>
        <v>0</v>
      </c>
      <c r="AF345" s="901">
        <f t="shared" si="124"/>
        <v>4</v>
      </c>
      <c r="AG345" s="768">
        <f t="shared" si="122"/>
        <v>9</v>
      </c>
    </row>
    <row r="346">
      <c r="A346" s="42"/>
      <c r="S346" s="808"/>
      <c r="AG346" s="11"/>
    </row>
    <row r="347">
      <c r="A347" s="897" t="s">
        <v>774</v>
      </c>
      <c r="B347" s="301">
        <v>0.0</v>
      </c>
      <c r="C347" s="301">
        <v>0.0</v>
      </c>
      <c r="D347" s="301">
        <v>0.0</v>
      </c>
      <c r="E347" s="301">
        <v>0.0</v>
      </c>
      <c r="F347" s="301">
        <v>0.0</v>
      </c>
      <c r="G347" s="301">
        <v>0.0</v>
      </c>
      <c r="H347" s="301">
        <v>0.0</v>
      </c>
      <c r="I347" s="301">
        <v>0.0</v>
      </c>
      <c r="J347" s="301">
        <v>0.0</v>
      </c>
      <c r="K347" s="301">
        <v>0.0</v>
      </c>
      <c r="L347" s="301">
        <v>0.0</v>
      </c>
      <c r="M347" s="301">
        <v>0.0</v>
      </c>
      <c r="N347" s="301">
        <v>0.0</v>
      </c>
      <c r="O347" s="301">
        <v>0.0</v>
      </c>
      <c r="P347" s="301">
        <v>0.0</v>
      </c>
      <c r="Q347" s="301">
        <v>0.0</v>
      </c>
      <c r="R347" s="301">
        <v>0.0</v>
      </c>
      <c r="S347" s="877">
        <v>0.0</v>
      </c>
      <c r="T347" s="301">
        <v>0.0</v>
      </c>
      <c r="U347" s="301">
        <v>0.0</v>
      </c>
      <c r="V347" s="301">
        <v>0.0</v>
      </c>
      <c r="W347" s="301">
        <v>0.0</v>
      </c>
      <c r="X347" s="301">
        <v>0.0</v>
      </c>
      <c r="Y347" s="301">
        <v>0.0</v>
      </c>
      <c r="Z347" s="301">
        <v>0.0</v>
      </c>
      <c r="AA347" s="301">
        <v>0.0</v>
      </c>
      <c r="AB347" s="301">
        <v>0.0</v>
      </c>
      <c r="AC347" s="301">
        <v>0.0</v>
      </c>
      <c r="AD347" s="301">
        <v>0.0</v>
      </c>
      <c r="AE347" s="301">
        <v>0.0</v>
      </c>
      <c r="AF347" s="301">
        <v>0.0</v>
      </c>
      <c r="AG347" s="768">
        <f t="shared" ref="AG347:AG352" si="125">SUM(B347:AF347)</f>
        <v>0</v>
      </c>
    </row>
    <row r="348">
      <c r="A348" s="897" t="s">
        <v>775</v>
      </c>
      <c r="B348" s="301">
        <v>0.0</v>
      </c>
      <c r="C348" s="301">
        <v>0.0</v>
      </c>
      <c r="D348" s="301">
        <v>0.0</v>
      </c>
      <c r="E348" s="301">
        <v>0.0</v>
      </c>
      <c r="F348" s="301">
        <v>0.0</v>
      </c>
      <c r="G348" s="301">
        <v>0.0</v>
      </c>
      <c r="H348" s="301">
        <v>0.0</v>
      </c>
      <c r="I348" s="301">
        <v>0.0</v>
      </c>
      <c r="J348" s="301">
        <v>0.0</v>
      </c>
      <c r="K348" s="301">
        <v>0.0</v>
      </c>
      <c r="L348" s="301">
        <v>0.0</v>
      </c>
      <c r="M348" s="301">
        <v>0.0</v>
      </c>
      <c r="N348" s="301">
        <v>0.0</v>
      </c>
      <c r="O348" s="301">
        <v>0.0</v>
      </c>
      <c r="P348" s="301">
        <v>0.0</v>
      </c>
      <c r="Q348" s="301">
        <v>0.0</v>
      </c>
      <c r="R348" s="301">
        <v>0.0</v>
      </c>
      <c r="S348" s="877">
        <v>0.0</v>
      </c>
      <c r="T348" s="301">
        <v>0.0</v>
      </c>
      <c r="U348" s="301">
        <v>0.0</v>
      </c>
      <c r="V348" s="301">
        <v>0.0</v>
      </c>
      <c r="W348" s="301">
        <v>0.0</v>
      </c>
      <c r="X348" s="301">
        <v>0.0</v>
      </c>
      <c r="Y348" s="301">
        <v>0.0</v>
      </c>
      <c r="Z348" s="301">
        <v>0.0</v>
      </c>
      <c r="AA348" s="301">
        <v>0.0</v>
      </c>
      <c r="AB348" s="301">
        <v>0.0</v>
      </c>
      <c r="AC348" s="301">
        <v>0.0</v>
      </c>
      <c r="AD348" s="301">
        <v>0.0</v>
      </c>
      <c r="AE348" s="301">
        <v>0.0</v>
      </c>
      <c r="AF348" s="301">
        <v>0.0</v>
      </c>
      <c r="AG348" s="768">
        <f t="shared" si="125"/>
        <v>0</v>
      </c>
    </row>
    <row r="349">
      <c r="A349" s="897" t="s">
        <v>776</v>
      </c>
      <c r="B349" s="301">
        <v>0.0</v>
      </c>
      <c r="C349" s="301">
        <v>0.0</v>
      </c>
      <c r="D349" s="301">
        <v>0.0</v>
      </c>
      <c r="E349" s="301">
        <v>0.0</v>
      </c>
      <c r="F349" s="301">
        <v>0.0</v>
      </c>
      <c r="G349" s="301">
        <v>0.0</v>
      </c>
      <c r="H349" s="301">
        <v>0.0</v>
      </c>
      <c r="I349" s="301">
        <v>0.0</v>
      </c>
      <c r="J349" s="301">
        <v>0.0</v>
      </c>
      <c r="K349" s="301">
        <v>0.0</v>
      </c>
      <c r="L349" s="301">
        <v>0.0</v>
      </c>
      <c r="M349" s="301">
        <v>0.0</v>
      </c>
      <c r="N349" s="301">
        <v>0.0</v>
      </c>
      <c r="O349" s="301">
        <v>0.0</v>
      </c>
      <c r="P349" s="301">
        <v>0.0</v>
      </c>
      <c r="Q349" s="301">
        <v>0.0</v>
      </c>
      <c r="R349" s="301">
        <v>0.0</v>
      </c>
      <c r="S349" s="877">
        <v>0.0</v>
      </c>
      <c r="T349" s="301">
        <v>0.0</v>
      </c>
      <c r="U349" s="301">
        <v>0.0</v>
      </c>
      <c r="V349" s="301">
        <v>0.0</v>
      </c>
      <c r="W349" s="301">
        <v>0.0</v>
      </c>
      <c r="X349" s="301">
        <v>0.0</v>
      </c>
      <c r="Y349" s="301">
        <v>0.0</v>
      </c>
      <c r="Z349" s="301">
        <v>0.0</v>
      </c>
      <c r="AA349" s="301">
        <v>0.0</v>
      </c>
      <c r="AB349" s="301">
        <v>0.0</v>
      </c>
      <c r="AC349" s="301">
        <v>0.0</v>
      </c>
      <c r="AD349" s="301">
        <v>0.0</v>
      </c>
      <c r="AE349" s="301">
        <v>0.0</v>
      </c>
      <c r="AF349" s="301">
        <v>0.0</v>
      </c>
      <c r="AG349" s="768">
        <f t="shared" si="125"/>
        <v>0</v>
      </c>
    </row>
    <row r="350">
      <c r="A350" s="897" t="s">
        <v>777</v>
      </c>
      <c r="B350" s="301">
        <v>0.0</v>
      </c>
      <c r="C350" s="301">
        <v>0.0</v>
      </c>
      <c r="D350" s="301">
        <v>0.0</v>
      </c>
      <c r="E350" s="301">
        <v>0.0</v>
      </c>
      <c r="F350" s="301">
        <v>0.0</v>
      </c>
      <c r="G350" s="301">
        <v>0.0</v>
      </c>
      <c r="H350" s="301">
        <v>0.0</v>
      </c>
      <c r="I350" s="301">
        <v>0.0</v>
      </c>
      <c r="J350" s="301">
        <v>0.0</v>
      </c>
      <c r="K350" s="301">
        <v>0.0</v>
      </c>
      <c r="L350" s="301">
        <v>0.0</v>
      </c>
      <c r="M350" s="301">
        <v>0.0</v>
      </c>
      <c r="N350" s="301">
        <v>0.0</v>
      </c>
      <c r="O350" s="301">
        <v>0.0</v>
      </c>
      <c r="P350" s="301">
        <v>0.0</v>
      </c>
      <c r="Q350" s="301">
        <v>0.0</v>
      </c>
      <c r="R350" s="301">
        <v>0.0</v>
      </c>
      <c r="S350" s="877">
        <v>0.0</v>
      </c>
      <c r="T350" s="301">
        <v>0.0</v>
      </c>
      <c r="U350" s="301">
        <v>0.0</v>
      </c>
      <c r="V350" s="301">
        <v>0.0</v>
      </c>
      <c r="W350" s="301">
        <v>0.0</v>
      </c>
      <c r="X350" s="301">
        <v>0.0</v>
      </c>
      <c r="Y350" s="301">
        <v>0.0</v>
      </c>
      <c r="Z350" s="301">
        <v>0.0</v>
      </c>
      <c r="AA350" s="301">
        <v>0.0</v>
      </c>
      <c r="AB350" s="301">
        <v>0.0</v>
      </c>
      <c r="AC350" s="301">
        <v>0.0</v>
      </c>
      <c r="AD350" s="301">
        <v>0.0</v>
      </c>
      <c r="AE350" s="301">
        <v>0.0</v>
      </c>
      <c r="AF350" s="301">
        <v>0.0</v>
      </c>
      <c r="AG350" s="768">
        <f t="shared" si="125"/>
        <v>0</v>
      </c>
    </row>
    <row r="351">
      <c r="A351" s="897" t="s">
        <v>778</v>
      </c>
      <c r="B351" s="301">
        <v>0.0</v>
      </c>
      <c r="C351" s="301">
        <v>0.0</v>
      </c>
      <c r="D351" s="301">
        <v>0.0</v>
      </c>
      <c r="E351" s="301">
        <v>0.0</v>
      </c>
      <c r="F351" s="301">
        <v>0.0</v>
      </c>
      <c r="G351" s="301">
        <v>0.0</v>
      </c>
      <c r="H351" s="301">
        <v>0.0</v>
      </c>
      <c r="I351" s="301">
        <v>0.0</v>
      </c>
      <c r="J351" s="301">
        <v>0.0</v>
      </c>
      <c r="K351" s="301">
        <v>0.0</v>
      </c>
      <c r="L351" s="301">
        <v>0.0</v>
      </c>
      <c r="M351" s="301">
        <v>0.0</v>
      </c>
      <c r="N351" s="301">
        <v>0.0</v>
      </c>
      <c r="O351" s="301">
        <v>0.0</v>
      </c>
      <c r="P351" s="301">
        <v>0.0</v>
      </c>
      <c r="Q351" s="301">
        <v>0.0</v>
      </c>
      <c r="R351" s="301">
        <v>0.0</v>
      </c>
      <c r="S351" s="877">
        <v>0.0</v>
      </c>
      <c r="T351" s="301">
        <v>0.0</v>
      </c>
      <c r="U351" s="301">
        <v>0.0</v>
      </c>
      <c r="V351" s="301">
        <v>0.0</v>
      </c>
      <c r="W351" s="301">
        <v>0.0</v>
      </c>
      <c r="X351" s="301">
        <v>0.0</v>
      </c>
      <c r="Y351" s="301">
        <v>0.0</v>
      </c>
      <c r="Z351" s="301">
        <v>0.0</v>
      </c>
      <c r="AA351" s="301">
        <v>0.0</v>
      </c>
      <c r="AB351" s="301">
        <v>0.0</v>
      </c>
      <c r="AC351" s="301">
        <v>0.0</v>
      </c>
      <c r="AD351" s="301">
        <v>0.0</v>
      </c>
      <c r="AE351" s="301">
        <v>0.0</v>
      </c>
      <c r="AF351" s="301">
        <v>0.0</v>
      </c>
      <c r="AG351" s="768">
        <f t="shared" si="125"/>
        <v>0</v>
      </c>
    </row>
    <row r="352">
      <c r="A352" s="907" t="s">
        <v>779</v>
      </c>
      <c r="B352" s="901">
        <f t="shared" ref="B352:AF352" si="126">SUM(B347:B351)</f>
        <v>0</v>
      </c>
      <c r="C352" s="901">
        <f t="shared" si="126"/>
        <v>0</v>
      </c>
      <c r="D352" s="901">
        <f t="shared" si="126"/>
        <v>0</v>
      </c>
      <c r="E352" s="901">
        <f t="shared" si="126"/>
        <v>0</v>
      </c>
      <c r="F352" s="901">
        <f t="shared" si="126"/>
        <v>0</v>
      </c>
      <c r="G352" s="901">
        <f t="shared" si="126"/>
        <v>0</v>
      </c>
      <c r="H352" s="901">
        <f t="shared" si="126"/>
        <v>0</v>
      </c>
      <c r="I352" s="901">
        <f t="shared" si="126"/>
        <v>0</v>
      </c>
      <c r="J352" s="901">
        <f t="shared" si="126"/>
        <v>0</v>
      </c>
      <c r="K352" s="901">
        <f t="shared" si="126"/>
        <v>0</v>
      </c>
      <c r="L352" s="901">
        <f t="shared" si="126"/>
        <v>0</v>
      </c>
      <c r="M352" s="901">
        <f t="shared" si="126"/>
        <v>0</v>
      </c>
      <c r="N352" s="901">
        <f t="shared" si="126"/>
        <v>0</v>
      </c>
      <c r="O352" s="901">
        <f t="shared" si="126"/>
        <v>0</v>
      </c>
      <c r="P352" s="901">
        <f t="shared" si="126"/>
        <v>0</v>
      </c>
      <c r="Q352" s="901">
        <f t="shared" si="126"/>
        <v>0</v>
      </c>
      <c r="R352" s="901">
        <f t="shared" si="126"/>
        <v>0</v>
      </c>
      <c r="S352" s="901">
        <f t="shared" si="126"/>
        <v>0</v>
      </c>
      <c r="T352" s="901">
        <f t="shared" si="126"/>
        <v>0</v>
      </c>
      <c r="U352" s="901">
        <f t="shared" si="126"/>
        <v>0</v>
      </c>
      <c r="V352" s="901">
        <f t="shared" si="126"/>
        <v>0</v>
      </c>
      <c r="W352" s="901">
        <f t="shared" si="126"/>
        <v>0</v>
      </c>
      <c r="X352" s="901">
        <f t="shared" si="126"/>
        <v>0</v>
      </c>
      <c r="Y352" s="901">
        <f t="shared" si="126"/>
        <v>0</v>
      </c>
      <c r="Z352" s="901">
        <f t="shared" si="126"/>
        <v>0</v>
      </c>
      <c r="AA352" s="901">
        <f t="shared" si="126"/>
        <v>0</v>
      </c>
      <c r="AB352" s="901">
        <f t="shared" si="126"/>
        <v>0</v>
      </c>
      <c r="AC352" s="901">
        <f t="shared" si="126"/>
        <v>0</v>
      </c>
      <c r="AD352" s="901">
        <f t="shared" si="126"/>
        <v>0</v>
      </c>
      <c r="AE352" s="901">
        <f t="shared" si="126"/>
        <v>0</v>
      </c>
      <c r="AF352" s="901">
        <f t="shared" si="126"/>
        <v>0</v>
      </c>
      <c r="AG352" s="768">
        <f t="shared" si="125"/>
        <v>0</v>
      </c>
    </row>
    <row r="353">
      <c r="A353" s="835"/>
      <c r="AG353" s="11"/>
    </row>
    <row r="354">
      <c r="A354" s="897" t="s">
        <v>782</v>
      </c>
      <c r="B354" s="301">
        <v>0.0</v>
      </c>
      <c r="C354" s="301">
        <v>0.0</v>
      </c>
      <c r="D354" s="301">
        <v>0.0</v>
      </c>
      <c r="E354" s="301">
        <v>0.0</v>
      </c>
      <c r="F354" s="301">
        <v>0.0</v>
      </c>
      <c r="G354" s="301">
        <v>0.0</v>
      </c>
      <c r="H354" s="301">
        <v>0.0</v>
      </c>
      <c r="I354" s="301">
        <v>0.0</v>
      </c>
      <c r="J354" s="301">
        <v>0.0</v>
      </c>
      <c r="K354" s="301">
        <v>0.0</v>
      </c>
      <c r="L354" s="301">
        <v>0.0</v>
      </c>
      <c r="M354" s="301">
        <v>0.0</v>
      </c>
      <c r="N354" s="301">
        <v>0.0</v>
      </c>
      <c r="O354" s="301">
        <v>0.0</v>
      </c>
      <c r="P354" s="301">
        <v>0.0</v>
      </c>
      <c r="Q354" s="301">
        <v>0.0</v>
      </c>
      <c r="R354" s="301">
        <v>0.0</v>
      </c>
      <c r="S354" s="877">
        <v>0.0</v>
      </c>
      <c r="T354" s="301">
        <v>0.0</v>
      </c>
      <c r="U354" s="301">
        <v>0.0</v>
      </c>
      <c r="V354" s="301">
        <v>0.0</v>
      </c>
      <c r="W354" s="301">
        <v>0.0</v>
      </c>
      <c r="X354" s="301">
        <v>0.0</v>
      </c>
      <c r="Y354" s="301">
        <v>0.0</v>
      </c>
      <c r="Z354" s="301">
        <v>0.0</v>
      </c>
      <c r="AA354" s="301">
        <v>0.0</v>
      </c>
      <c r="AB354" s="301">
        <v>0.0</v>
      </c>
      <c r="AC354" s="301">
        <v>0.0</v>
      </c>
      <c r="AD354" s="301">
        <v>0.0</v>
      </c>
      <c r="AE354" s="301">
        <v>0.0</v>
      </c>
      <c r="AF354" s="301">
        <v>0.0</v>
      </c>
      <c r="AG354" s="768">
        <f t="shared" ref="AG354:AG356" si="127">SUM(B354:AF354)</f>
        <v>0</v>
      </c>
    </row>
    <row r="355">
      <c r="A355" s="897" t="s">
        <v>783</v>
      </c>
      <c r="B355" s="301">
        <v>0.0</v>
      </c>
      <c r="C355" s="301">
        <v>0.0</v>
      </c>
      <c r="D355" s="301">
        <v>0.0</v>
      </c>
      <c r="E355" s="301">
        <v>0.0</v>
      </c>
      <c r="F355" s="301">
        <v>0.0</v>
      </c>
      <c r="G355" s="301">
        <v>0.0</v>
      </c>
      <c r="H355" s="301">
        <v>0.0</v>
      </c>
      <c r="I355" s="301">
        <v>0.0</v>
      </c>
      <c r="J355" s="301">
        <v>0.0</v>
      </c>
      <c r="K355" s="301">
        <v>0.0</v>
      </c>
      <c r="L355" s="301">
        <v>0.0</v>
      </c>
      <c r="M355" s="301">
        <v>0.0</v>
      </c>
      <c r="N355" s="301">
        <v>0.0</v>
      </c>
      <c r="O355" s="301">
        <v>0.0</v>
      </c>
      <c r="P355" s="301">
        <v>0.0</v>
      </c>
      <c r="Q355" s="301">
        <v>0.0</v>
      </c>
      <c r="R355" s="301">
        <v>0.0</v>
      </c>
      <c r="S355" s="877">
        <v>0.0</v>
      </c>
      <c r="T355" s="301">
        <v>0.0</v>
      </c>
      <c r="U355" s="301">
        <v>0.0</v>
      </c>
      <c r="V355" s="301">
        <v>0.0</v>
      </c>
      <c r="W355" s="301">
        <v>0.0</v>
      </c>
      <c r="X355" s="301">
        <v>0.0</v>
      </c>
      <c r="Y355" s="301">
        <v>0.0</v>
      </c>
      <c r="Z355" s="301">
        <v>0.0</v>
      </c>
      <c r="AA355" s="301">
        <v>0.0</v>
      </c>
      <c r="AB355" s="301">
        <v>0.0</v>
      </c>
      <c r="AC355" s="301">
        <v>0.0</v>
      </c>
      <c r="AD355" s="301">
        <v>0.0</v>
      </c>
      <c r="AE355" s="301">
        <v>0.0</v>
      </c>
      <c r="AF355" s="301">
        <v>0.0</v>
      </c>
      <c r="AG355" s="768">
        <f t="shared" si="127"/>
        <v>0</v>
      </c>
    </row>
    <row r="356">
      <c r="A356" s="907" t="s">
        <v>151</v>
      </c>
      <c r="B356" s="901">
        <f t="shared" ref="B356:AF356" si="128">SUM(B354:B355)</f>
        <v>0</v>
      </c>
      <c r="C356" s="901">
        <f t="shared" si="128"/>
        <v>0</v>
      </c>
      <c r="D356" s="901">
        <f t="shared" si="128"/>
        <v>0</v>
      </c>
      <c r="E356" s="901">
        <f t="shared" si="128"/>
        <v>0</v>
      </c>
      <c r="F356" s="901">
        <f t="shared" si="128"/>
        <v>0</v>
      </c>
      <c r="G356" s="901">
        <f t="shared" si="128"/>
        <v>0</v>
      </c>
      <c r="H356" s="901">
        <f t="shared" si="128"/>
        <v>0</v>
      </c>
      <c r="I356" s="901">
        <f t="shared" si="128"/>
        <v>0</v>
      </c>
      <c r="J356" s="901">
        <f t="shared" si="128"/>
        <v>0</v>
      </c>
      <c r="K356" s="901">
        <f t="shared" si="128"/>
        <v>0</v>
      </c>
      <c r="L356" s="901">
        <f t="shared" si="128"/>
        <v>0</v>
      </c>
      <c r="M356" s="901">
        <f t="shared" si="128"/>
        <v>0</v>
      </c>
      <c r="N356" s="901">
        <f t="shared" si="128"/>
        <v>0</v>
      </c>
      <c r="O356" s="901">
        <f t="shared" si="128"/>
        <v>0</v>
      </c>
      <c r="P356" s="901">
        <f t="shared" si="128"/>
        <v>0</v>
      </c>
      <c r="Q356" s="901">
        <f t="shared" si="128"/>
        <v>0</v>
      </c>
      <c r="R356" s="901">
        <f t="shared" si="128"/>
        <v>0</v>
      </c>
      <c r="S356" s="901">
        <f t="shared" si="128"/>
        <v>0</v>
      </c>
      <c r="T356" s="901">
        <f t="shared" si="128"/>
        <v>0</v>
      </c>
      <c r="U356" s="901">
        <f t="shared" si="128"/>
        <v>0</v>
      </c>
      <c r="V356" s="901">
        <f t="shared" si="128"/>
        <v>0</v>
      </c>
      <c r="W356" s="901">
        <f t="shared" si="128"/>
        <v>0</v>
      </c>
      <c r="X356" s="901">
        <f t="shared" si="128"/>
        <v>0</v>
      </c>
      <c r="Y356" s="901">
        <f t="shared" si="128"/>
        <v>0</v>
      </c>
      <c r="Z356" s="901">
        <f t="shared" si="128"/>
        <v>0</v>
      </c>
      <c r="AA356" s="901">
        <f t="shared" si="128"/>
        <v>0</v>
      </c>
      <c r="AB356" s="901">
        <f t="shared" si="128"/>
        <v>0</v>
      </c>
      <c r="AC356" s="901">
        <f t="shared" si="128"/>
        <v>0</v>
      </c>
      <c r="AD356" s="901">
        <f t="shared" si="128"/>
        <v>0</v>
      </c>
      <c r="AE356" s="901">
        <f t="shared" si="128"/>
        <v>0</v>
      </c>
      <c r="AF356" s="901">
        <f t="shared" si="128"/>
        <v>0</v>
      </c>
      <c r="AG356" s="768">
        <f t="shared" si="127"/>
        <v>0</v>
      </c>
    </row>
    <row r="357">
      <c r="A357" s="835"/>
      <c r="AG357" s="11"/>
    </row>
    <row r="358">
      <c r="A358" s="897" t="s">
        <v>730</v>
      </c>
      <c r="B358" s="301">
        <v>0.0</v>
      </c>
      <c r="C358" s="301">
        <v>0.0</v>
      </c>
      <c r="D358" s="301">
        <v>0.0</v>
      </c>
      <c r="E358" s="301">
        <v>0.0</v>
      </c>
      <c r="F358" s="301">
        <v>0.0</v>
      </c>
      <c r="G358" s="301">
        <v>0.0</v>
      </c>
      <c r="H358" s="301">
        <v>0.0</v>
      </c>
      <c r="I358" s="301">
        <v>0.0</v>
      </c>
      <c r="J358" s="301">
        <v>0.0</v>
      </c>
      <c r="K358" s="301">
        <v>0.0</v>
      </c>
      <c r="L358" s="301">
        <v>0.0</v>
      </c>
      <c r="M358" s="301">
        <v>0.0</v>
      </c>
      <c r="N358" s="301">
        <v>0.0</v>
      </c>
      <c r="O358" s="301">
        <v>0.0</v>
      </c>
      <c r="P358" s="301">
        <v>0.0</v>
      </c>
      <c r="Q358" s="301">
        <v>0.0</v>
      </c>
      <c r="R358" s="301">
        <v>0.0</v>
      </c>
      <c r="S358" s="877">
        <v>0.0</v>
      </c>
      <c r="T358" s="301">
        <v>0.0</v>
      </c>
      <c r="U358" s="301">
        <v>0.0</v>
      </c>
      <c r="V358" s="301">
        <v>0.0</v>
      </c>
      <c r="W358" s="301">
        <v>0.0</v>
      </c>
      <c r="X358" s="301">
        <v>0.0</v>
      </c>
      <c r="Y358" s="301">
        <v>0.0</v>
      </c>
      <c r="Z358" s="301">
        <v>0.0</v>
      </c>
      <c r="AA358" s="301">
        <v>0.0</v>
      </c>
      <c r="AB358" s="301">
        <v>0.0</v>
      </c>
      <c r="AC358" s="301">
        <v>0.0</v>
      </c>
      <c r="AD358" s="301">
        <v>0.0</v>
      </c>
      <c r="AE358" s="301">
        <v>0.0</v>
      </c>
      <c r="AF358" s="301">
        <v>0.0</v>
      </c>
      <c r="AG358" s="768">
        <f t="shared" ref="AG358:AG360" si="129">SUM(B358:AF358)</f>
        <v>0</v>
      </c>
    </row>
    <row r="359">
      <c r="A359" s="897" t="s">
        <v>732</v>
      </c>
      <c r="B359" s="301">
        <v>0.0</v>
      </c>
      <c r="C359" s="301">
        <v>0.0</v>
      </c>
      <c r="D359" s="301">
        <v>0.0</v>
      </c>
      <c r="E359" s="301">
        <v>0.0</v>
      </c>
      <c r="F359" s="301">
        <v>0.0</v>
      </c>
      <c r="G359" s="301">
        <v>0.0</v>
      </c>
      <c r="H359" s="301">
        <v>0.0</v>
      </c>
      <c r="I359" s="301">
        <v>0.0</v>
      </c>
      <c r="J359" s="301">
        <v>0.0</v>
      </c>
      <c r="K359" s="301">
        <v>0.0</v>
      </c>
      <c r="L359" s="301">
        <v>0.0</v>
      </c>
      <c r="M359" s="301">
        <v>0.0</v>
      </c>
      <c r="N359" s="301">
        <v>0.0</v>
      </c>
      <c r="O359" s="301">
        <v>0.0</v>
      </c>
      <c r="P359" s="301">
        <v>0.0</v>
      </c>
      <c r="Q359" s="301">
        <v>0.0</v>
      </c>
      <c r="R359" s="301">
        <v>0.0</v>
      </c>
      <c r="S359" s="877">
        <v>0.0</v>
      </c>
      <c r="T359" s="301">
        <v>0.0</v>
      </c>
      <c r="U359" s="301">
        <v>0.0</v>
      </c>
      <c r="V359" s="301">
        <v>0.0</v>
      </c>
      <c r="W359" s="301">
        <v>0.0</v>
      </c>
      <c r="X359" s="301">
        <v>0.0</v>
      </c>
      <c r="Y359" s="301">
        <v>0.0</v>
      </c>
      <c r="Z359" s="301">
        <v>0.0</v>
      </c>
      <c r="AA359" s="301">
        <v>0.0</v>
      </c>
      <c r="AB359" s="301">
        <v>0.0</v>
      </c>
      <c r="AC359" s="301">
        <v>0.0</v>
      </c>
      <c r="AD359" s="301">
        <v>0.0</v>
      </c>
      <c r="AE359" s="301">
        <v>0.0</v>
      </c>
      <c r="AF359" s="301">
        <v>0.0</v>
      </c>
      <c r="AG359" s="768">
        <f t="shared" si="129"/>
        <v>0</v>
      </c>
    </row>
    <row r="360">
      <c r="A360" s="907" t="s">
        <v>151</v>
      </c>
      <c r="B360" s="901">
        <f t="shared" ref="B360:AF360" si="130">SUM(B358:B359)</f>
        <v>0</v>
      </c>
      <c r="C360" s="901">
        <f t="shared" si="130"/>
        <v>0</v>
      </c>
      <c r="D360" s="901">
        <f t="shared" si="130"/>
        <v>0</v>
      </c>
      <c r="E360" s="901">
        <f t="shared" si="130"/>
        <v>0</v>
      </c>
      <c r="F360" s="901">
        <f t="shared" si="130"/>
        <v>0</v>
      </c>
      <c r="G360" s="901">
        <f t="shared" si="130"/>
        <v>0</v>
      </c>
      <c r="H360" s="901">
        <f t="shared" si="130"/>
        <v>0</v>
      </c>
      <c r="I360" s="901">
        <f t="shared" si="130"/>
        <v>0</v>
      </c>
      <c r="J360" s="901">
        <f t="shared" si="130"/>
        <v>0</v>
      </c>
      <c r="K360" s="901">
        <f t="shared" si="130"/>
        <v>0</v>
      </c>
      <c r="L360" s="901">
        <f t="shared" si="130"/>
        <v>0</v>
      </c>
      <c r="M360" s="901">
        <f t="shared" si="130"/>
        <v>0</v>
      </c>
      <c r="N360" s="901">
        <f t="shared" si="130"/>
        <v>0</v>
      </c>
      <c r="O360" s="901">
        <f t="shared" si="130"/>
        <v>0</v>
      </c>
      <c r="P360" s="901">
        <f t="shared" si="130"/>
        <v>0</v>
      </c>
      <c r="Q360" s="901">
        <f t="shared" si="130"/>
        <v>0</v>
      </c>
      <c r="R360" s="901">
        <f t="shared" si="130"/>
        <v>0</v>
      </c>
      <c r="S360" s="901">
        <f t="shared" si="130"/>
        <v>0</v>
      </c>
      <c r="T360" s="901">
        <f t="shared" si="130"/>
        <v>0</v>
      </c>
      <c r="U360" s="901">
        <f t="shared" si="130"/>
        <v>0</v>
      </c>
      <c r="V360" s="901">
        <f t="shared" si="130"/>
        <v>0</v>
      </c>
      <c r="W360" s="901">
        <f t="shared" si="130"/>
        <v>0</v>
      </c>
      <c r="X360" s="901">
        <f t="shared" si="130"/>
        <v>0</v>
      </c>
      <c r="Y360" s="901">
        <f t="shared" si="130"/>
        <v>0</v>
      </c>
      <c r="Z360" s="901">
        <f t="shared" si="130"/>
        <v>0</v>
      </c>
      <c r="AA360" s="901">
        <f t="shared" si="130"/>
        <v>0</v>
      </c>
      <c r="AB360" s="901">
        <f t="shared" si="130"/>
        <v>0</v>
      </c>
      <c r="AC360" s="901">
        <f t="shared" si="130"/>
        <v>0</v>
      </c>
      <c r="AD360" s="901">
        <f t="shared" si="130"/>
        <v>0</v>
      </c>
      <c r="AE360" s="901">
        <f t="shared" si="130"/>
        <v>0</v>
      </c>
      <c r="AF360" s="901">
        <f t="shared" si="130"/>
        <v>0</v>
      </c>
      <c r="AG360" s="768">
        <f t="shared" si="129"/>
        <v>0</v>
      </c>
    </row>
    <row r="361">
      <c r="A361" s="835"/>
      <c r="AG361" s="11"/>
    </row>
    <row r="362">
      <c r="A362" s="897" t="s">
        <v>785</v>
      </c>
      <c r="B362" s="301">
        <v>0.0</v>
      </c>
      <c r="C362" s="301">
        <v>0.0</v>
      </c>
      <c r="D362" s="301">
        <v>0.0</v>
      </c>
      <c r="E362" s="301">
        <v>0.0</v>
      </c>
      <c r="F362" s="301">
        <v>0.0</v>
      </c>
      <c r="G362" s="301">
        <v>0.0</v>
      </c>
      <c r="H362" s="301">
        <v>0.0</v>
      </c>
      <c r="I362" s="301">
        <v>0.0</v>
      </c>
      <c r="J362" s="301">
        <v>0.0</v>
      </c>
      <c r="K362" s="301">
        <v>0.0</v>
      </c>
      <c r="L362" s="301">
        <v>0.0</v>
      </c>
      <c r="M362" s="301">
        <v>0.0</v>
      </c>
      <c r="N362" s="301">
        <v>0.0</v>
      </c>
      <c r="O362" s="301">
        <v>0.0</v>
      </c>
      <c r="P362" s="301">
        <v>0.0</v>
      </c>
      <c r="Q362" s="301">
        <v>0.0</v>
      </c>
      <c r="R362" s="301">
        <v>0.0</v>
      </c>
      <c r="S362" s="877">
        <v>0.0</v>
      </c>
      <c r="T362" s="301">
        <v>0.0</v>
      </c>
      <c r="U362" s="301">
        <v>0.0</v>
      </c>
      <c r="V362" s="301">
        <v>0.0</v>
      </c>
      <c r="W362" s="301">
        <v>0.0</v>
      </c>
      <c r="X362" s="301">
        <v>0.0</v>
      </c>
      <c r="Y362" s="301">
        <v>0.0</v>
      </c>
      <c r="Z362" s="301">
        <v>0.0</v>
      </c>
      <c r="AA362" s="301">
        <v>0.0</v>
      </c>
      <c r="AB362" s="301">
        <v>0.0</v>
      </c>
      <c r="AC362" s="301">
        <v>0.0</v>
      </c>
      <c r="AD362" s="301">
        <v>0.0</v>
      </c>
      <c r="AE362" s="301">
        <v>0.0</v>
      </c>
      <c r="AF362" s="301">
        <v>0.0</v>
      </c>
      <c r="AG362" s="768"/>
    </row>
    <row r="363">
      <c r="A363" s="907" t="s">
        <v>786</v>
      </c>
      <c r="B363" s="901">
        <f t="shared" ref="B363:AF363" si="131">B362</f>
        <v>0</v>
      </c>
      <c r="C363" s="901">
        <f t="shared" si="131"/>
        <v>0</v>
      </c>
      <c r="D363" s="901">
        <f t="shared" si="131"/>
        <v>0</v>
      </c>
      <c r="E363" s="901">
        <f t="shared" si="131"/>
        <v>0</v>
      </c>
      <c r="F363" s="901">
        <f t="shared" si="131"/>
        <v>0</v>
      </c>
      <c r="G363" s="901">
        <f t="shared" si="131"/>
        <v>0</v>
      </c>
      <c r="H363" s="901">
        <f t="shared" si="131"/>
        <v>0</v>
      </c>
      <c r="I363" s="901">
        <f t="shared" si="131"/>
        <v>0</v>
      </c>
      <c r="J363" s="901">
        <f t="shared" si="131"/>
        <v>0</v>
      </c>
      <c r="K363" s="901">
        <f t="shared" si="131"/>
        <v>0</v>
      </c>
      <c r="L363" s="901">
        <f t="shared" si="131"/>
        <v>0</v>
      </c>
      <c r="M363" s="901">
        <f t="shared" si="131"/>
        <v>0</v>
      </c>
      <c r="N363" s="901">
        <f t="shared" si="131"/>
        <v>0</v>
      </c>
      <c r="O363" s="901">
        <f t="shared" si="131"/>
        <v>0</v>
      </c>
      <c r="P363" s="901">
        <f t="shared" si="131"/>
        <v>0</v>
      </c>
      <c r="Q363" s="901">
        <f t="shared" si="131"/>
        <v>0</v>
      </c>
      <c r="R363" s="901">
        <f t="shared" si="131"/>
        <v>0</v>
      </c>
      <c r="S363" s="901">
        <f t="shared" si="131"/>
        <v>0</v>
      </c>
      <c r="T363" s="901">
        <f t="shared" si="131"/>
        <v>0</v>
      </c>
      <c r="U363" s="901">
        <f t="shared" si="131"/>
        <v>0</v>
      </c>
      <c r="V363" s="901">
        <f t="shared" si="131"/>
        <v>0</v>
      </c>
      <c r="W363" s="901">
        <f t="shared" si="131"/>
        <v>0</v>
      </c>
      <c r="X363" s="901">
        <f t="shared" si="131"/>
        <v>0</v>
      </c>
      <c r="Y363" s="901">
        <f t="shared" si="131"/>
        <v>0</v>
      </c>
      <c r="Z363" s="901">
        <f t="shared" si="131"/>
        <v>0</v>
      </c>
      <c r="AA363" s="901">
        <f t="shared" si="131"/>
        <v>0</v>
      </c>
      <c r="AB363" s="901">
        <f t="shared" si="131"/>
        <v>0</v>
      </c>
      <c r="AC363" s="901">
        <f t="shared" si="131"/>
        <v>0</v>
      </c>
      <c r="AD363" s="901">
        <f t="shared" si="131"/>
        <v>0</v>
      </c>
      <c r="AE363" s="901">
        <f t="shared" si="131"/>
        <v>0</v>
      </c>
      <c r="AF363" s="901">
        <f t="shared" si="131"/>
        <v>0</v>
      </c>
      <c r="AG363" s="768">
        <f>SUM(B363:AF363)</f>
        <v>0</v>
      </c>
    </row>
    <row r="364">
      <c r="A364" s="835"/>
      <c r="AG364" s="11"/>
    </row>
    <row r="365">
      <c r="A365" s="897" t="s">
        <v>804</v>
      </c>
      <c r="B365" s="301">
        <v>0.0</v>
      </c>
      <c r="C365" s="301">
        <v>0.0</v>
      </c>
      <c r="D365" s="301">
        <v>0.0</v>
      </c>
      <c r="E365" s="301">
        <v>1.0</v>
      </c>
      <c r="F365" s="877">
        <v>0.0</v>
      </c>
      <c r="G365" s="877">
        <v>0.0</v>
      </c>
      <c r="H365" s="301">
        <v>1.0</v>
      </c>
      <c r="I365" s="301">
        <v>0.0</v>
      </c>
      <c r="J365" s="301">
        <v>0.0</v>
      </c>
      <c r="K365" s="301">
        <v>1.0</v>
      </c>
      <c r="L365" s="301">
        <v>2.0</v>
      </c>
      <c r="M365" s="301">
        <v>0.0</v>
      </c>
      <c r="N365" s="301">
        <v>1.0</v>
      </c>
      <c r="O365" s="301">
        <v>6.0</v>
      </c>
      <c r="P365" s="301">
        <v>0.0</v>
      </c>
      <c r="Q365" s="301">
        <v>1.0</v>
      </c>
      <c r="R365" s="301">
        <v>4.0</v>
      </c>
      <c r="S365" s="877">
        <v>1.0</v>
      </c>
      <c r="T365" s="301">
        <v>1.0</v>
      </c>
      <c r="U365" s="301">
        <v>1.0</v>
      </c>
      <c r="V365" s="301">
        <v>0.0</v>
      </c>
      <c r="W365" s="301">
        <v>0.0</v>
      </c>
      <c r="X365" s="877">
        <v>0.0</v>
      </c>
      <c r="Y365" s="301">
        <v>9.0</v>
      </c>
      <c r="Z365" s="301">
        <v>1.0</v>
      </c>
      <c r="AA365" s="301">
        <v>46.0</v>
      </c>
      <c r="AB365" s="301">
        <v>17.0</v>
      </c>
      <c r="AC365" s="301">
        <v>69.0</v>
      </c>
      <c r="AD365" s="301">
        <v>30.0</v>
      </c>
      <c r="AE365" s="301">
        <v>34.0</v>
      </c>
      <c r="AF365" s="301">
        <v>16.0</v>
      </c>
      <c r="AG365" s="768">
        <f t="shared" ref="AG365:AG368" si="132">SUM(B365:AF365)</f>
        <v>242</v>
      </c>
    </row>
    <row r="366">
      <c r="A366" s="897" t="s">
        <v>806</v>
      </c>
      <c r="B366" s="301">
        <v>0.0</v>
      </c>
      <c r="C366" s="301">
        <v>0.0</v>
      </c>
      <c r="D366" s="301">
        <v>0.0</v>
      </c>
      <c r="E366" s="301">
        <v>0.0</v>
      </c>
      <c r="F366" s="877">
        <v>0.0</v>
      </c>
      <c r="G366" s="877">
        <v>0.0</v>
      </c>
      <c r="H366" s="301">
        <v>0.0</v>
      </c>
      <c r="I366" s="301">
        <v>0.0</v>
      </c>
      <c r="J366" s="301">
        <v>0.0</v>
      </c>
      <c r="K366" s="301">
        <v>0.0</v>
      </c>
      <c r="L366" s="301">
        <v>0.0</v>
      </c>
      <c r="M366" s="301">
        <v>0.0</v>
      </c>
      <c r="N366" s="301">
        <v>0.0</v>
      </c>
      <c r="O366" s="301">
        <v>0.0</v>
      </c>
      <c r="P366" s="301">
        <v>0.0</v>
      </c>
      <c r="Q366" s="301">
        <v>0.0</v>
      </c>
      <c r="R366" s="301">
        <v>1.0</v>
      </c>
      <c r="S366" s="877">
        <v>1.0</v>
      </c>
      <c r="T366" s="301">
        <v>0.0</v>
      </c>
      <c r="U366" s="301">
        <v>0.0</v>
      </c>
      <c r="V366" s="301">
        <v>0.0</v>
      </c>
      <c r="W366" s="301">
        <v>0.0</v>
      </c>
      <c r="X366" s="877">
        <v>0.0</v>
      </c>
      <c r="Y366" s="301">
        <v>1.0</v>
      </c>
      <c r="Z366" s="301">
        <v>0.0</v>
      </c>
      <c r="AA366" s="301">
        <v>0.0</v>
      </c>
      <c r="AB366" s="301">
        <v>0.0</v>
      </c>
      <c r="AC366" s="301">
        <v>0.0</v>
      </c>
      <c r="AD366" s="301">
        <v>0.0</v>
      </c>
      <c r="AE366" s="301">
        <v>0.0</v>
      </c>
      <c r="AF366" s="301">
        <v>3.0</v>
      </c>
      <c r="AG366" s="768">
        <f t="shared" si="132"/>
        <v>6</v>
      </c>
    </row>
    <row r="367">
      <c r="A367" s="897" t="s">
        <v>807</v>
      </c>
      <c r="B367" s="301">
        <v>0.0</v>
      </c>
      <c r="C367" s="301">
        <v>0.0</v>
      </c>
      <c r="D367" s="301">
        <v>0.0</v>
      </c>
      <c r="E367" s="301">
        <v>0.0</v>
      </c>
      <c r="F367" s="877">
        <v>0.0</v>
      </c>
      <c r="G367" s="877">
        <v>0.0</v>
      </c>
      <c r="H367" s="301">
        <v>0.0</v>
      </c>
      <c r="I367" s="301">
        <v>0.0</v>
      </c>
      <c r="J367" s="301">
        <v>0.0</v>
      </c>
      <c r="K367" s="301">
        <v>0.0</v>
      </c>
      <c r="L367" s="301">
        <v>0.0</v>
      </c>
      <c r="M367" s="301">
        <v>0.0</v>
      </c>
      <c r="N367" s="301">
        <v>0.0</v>
      </c>
      <c r="O367" s="301">
        <v>0.0</v>
      </c>
      <c r="P367" s="301">
        <v>0.0</v>
      </c>
      <c r="Q367" s="301">
        <v>0.0</v>
      </c>
      <c r="R367" s="301">
        <v>0.0</v>
      </c>
      <c r="S367" s="877">
        <v>0.0</v>
      </c>
      <c r="T367" s="301">
        <v>0.0</v>
      </c>
      <c r="U367" s="301">
        <v>0.0</v>
      </c>
      <c r="V367" s="301">
        <v>0.0</v>
      </c>
      <c r="W367" s="301">
        <v>0.0</v>
      </c>
      <c r="X367" s="877">
        <v>0.0</v>
      </c>
      <c r="Y367" s="301">
        <v>0.0</v>
      </c>
      <c r="Z367" s="301">
        <v>0.0</v>
      </c>
      <c r="AA367" s="301">
        <v>0.0</v>
      </c>
      <c r="AB367" s="301">
        <v>0.0</v>
      </c>
      <c r="AC367" s="301">
        <v>0.0</v>
      </c>
      <c r="AD367" s="301">
        <v>0.0</v>
      </c>
      <c r="AE367" s="301">
        <v>0.0</v>
      </c>
      <c r="AF367" s="301">
        <v>0.0</v>
      </c>
      <c r="AG367" s="768">
        <f t="shared" si="132"/>
        <v>0</v>
      </c>
    </row>
    <row r="368">
      <c r="A368" s="907" t="s">
        <v>786</v>
      </c>
      <c r="B368" s="901">
        <f t="shared" ref="B368:AF368" si="133">SUM(B365:B367)</f>
        <v>0</v>
      </c>
      <c r="C368" s="901">
        <f t="shared" si="133"/>
        <v>0</v>
      </c>
      <c r="D368" s="901">
        <f t="shared" si="133"/>
        <v>0</v>
      </c>
      <c r="E368" s="901">
        <f t="shared" si="133"/>
        <v>1</v>
      </c>
      <c r="F368" s="901">
        <f t="shared" si="133"/>
        <v>0</v>
      </c>
      <c r="G368" s="901">
        <f t="shared" si="133"/>
        <v>0</v>
      </c>
      <c r="H368" s="901">
        <f t="shared" si="133"/>
        <v>1</v>
      </c>
      <c r="I368" s="901">
        <f t="shared" si="133"/>
        <v>0</v>
      </c>
      <c r="J368" s="901">
        <f t="shared" si="133"/>
        <v>0</v>
      </c>
      <c r="K368" s="901">
        <f t="shared" si="133"/>
        <v>1</v>
      </c>
      <c r="L368" s="901">
        <f t="shared" si="133"/>
        <v>2</v>
      </c>
      <c r="M368" s="901">
        <f t="shared" si="133"/>
        <v>0</v>
      </c>
      <c r="N368" s="901">
        <f t="shared" si="133"/>
        <v>1</v>
      </c>
      <c r="O368" s="901">
        <f t="shared" si="133"/>
        <v>6</v>
      </c>
      <c r="P368" s="901">
        <f t="shared" si="133"/>
        <v>0</v>
      </c>
      <c r="Q368" s="901">
        <f t="shared" si="133"/>
        <v>1</v>
      </c>
      <c r="R368" s="901">
        <f t="shared" si="133"/>
        <v>5</v>
      </c>
      <c r="S368" s="901">
        <f t="shared" si="133"/>
        <v>2</v>
      </c>
      <c r="T368" s="901">
        <f t="shared" si="133"/>
        <v>1</v>
      </c>
      <c r="U368" s="901">
        <f t="shared" si="133"/>
        <v>1</v>
      </c>
      <c r="V368" s="901">
        <f t="shared" si="133"/>
        <v>0</v>
      </c>
      <c r="W368" s="901">
        <f t="shared" si="133"/>
        <v>0</v>
      </c>
      <c r="X368" s="901">
        <f t="shared" si="133"/>
        <v>0</v>
      </c>
      <c r="Y368" s="901">
        <f t="shared" si="133"/>
        <v>10</v>
      </c>
      <c r="Z368" s="901">
        <f t="shared" si="133"/>
        <v>1</v>
      </c>
      <c r="AA368" s="901">
        <f t="shared" si="133"/>
        <v>46</v>
      </c>
      <c r="AB368" s="901">
        <f t="shared" si="133"/>
        <v>17</v>
      </c>
      <c r="AC368" s="901">
        <f t="shared" si="133"/>
        <v>69</v>
      </c>
      <c r="AD368" s="901">
        <f t="shared" si="133"/>
        <v>30</v>
      </c>
      <c r="AE368" s="901">
        <f t="shared" si="133"/>
        <v>34</v>
      </c>
      <c r="AF368" s="901">
        <f t="shared" si="133"/>
        <v>19</v>
      </c>
      <c r="AG368" s="768">
        <f t="shared" si="132"/>
        <v>248</v>
      </c>
    </row>
    <row r="369">
      <c r="A369" s="835"/>
      <c r="B369" s="911"/>
      <c r="AG369" s="11"/>
    </row>
    <row r="370">
      <c r="A370" s="648" t="s">
        <v>808</v>
      </c>
      <c r="B370" s="542"/>
      <c r="C370" s="542"/>
      <c r="D370" s="542"/>
      <c r="E370" s="542"/>
      <c r="F370" s="542"/>
      <c r="G370" s="885"/>
      <c r="H370" s="542"/>
      <c r="I370" s="327"/>
      <c r="J370" s="327"/>
      <c r="K370" s="327"/>
      <c r="L370" s="327"/>
      <c r="M370" s="327"/>
      <c r="N370" s="327"/>
      <c r="O370" s="327"/>
      <c r="P370" s="327"/>
      <c r="Q370" s="327"/>
      <c r="R370" s="327"/>
      <c r="S370" s="327"/>
      <c r="T370" s="327"/>
      <c r="U370" s="327"/>
      <c r="V370" s="327"/>
      <c r="W370" s="327"/>
      <c r="X370" s="327"/>
      <c r="Y370" s="327"/>
      <c r="Z370" s="327"/>
      <c r="AA370" s="327"/>
      <c r="AB370" s="327"/>
      <c r="AC370" s="327"/>
      <c r="AD370" s="327"/>
      <c r="AE370" s="327"/>
      <c r="AF370" s="327"/>
      <c r="AG370" s="11"/>
    </row>
    <row r="371">
      <c r="A371" s="897" t="s">
        <v>809</v>
      </c>
      <c r="B371" s="311">
        <v>0.0</v>
      </c>
      <c r="C371" s="311">
        <v>0.0</v>
      </c>
      <c r="D371" s="311">
        <v>0.0</v>
      </c>
      <c r="E371" s="311">
        <v>0.0</v>
      </c>
      <c r="F371" s="311">
        <v>1672.47</v>
      </c>
      <c r="G371" s="311">
        <v>958.79</v>
      </c>
      <c r="H371" s="311">
        <v>0.0</v>
      </c>
      <c r="I371" s="311">
        <v>0.0</v>
      </c>
      <c r="J371" s="311">
        <v>0.0</v>
      </c>
      <c r="K371" s="311">
        <f>283+199</f>
        <v>482</v>
      </c>
      <c r="L371" s="311">
        <v>199.0</v>
      </c>
      <c r="M371" s="311">
        <v>0.0</v>
      </c>
      <c r="N371" s="311">
        <v>0.0</v>
      </c>
      <c r="O371" s="311">
        <v>0.0</v>
      </c>
      <c r="P371" s="311">
        <v>0.0</v>
      </c>
      <c r="Q371" s="311">
        <v>0.0</v>
      </c>
      <c r="R371" s="311">
        <f>179.1+199+70</f>
        <v>448.1</v>
      </c>
      <c r="S371" s="311">
        <v>720.16</v>
      </c>
      <c r="T371" s="311">
        <v>24.0</v>
      </c>
      <c r="U371" s="311">
        <f>269</f>
        <v>269</v>
      </c>
      <c r="V371" s="311">
        <f>269+24+29+14</f>
        <v>336</v>
      </c>
      <c r="W371" s="311">
        <v>22.0</v>
      </c>
      <c r="X371" s="311">
        <v>269.0</v>
      </c>
      <c r="Y371" s="311">
        <f>269+269+269+24+199+199+70+14+199</f>
        <v>1512</v>
      </c>
      <c r="Z371" s="311">
        <f>29+14+199+199</f>
        <v>441</v>
      </c>
      <c r="AA371" s="311">
        <f>24+22+22 +14+24+269 </f>
        <v>375</v>
      </c>
      <c r="AB371" s="311">
        <v>259.0</v>
      </c>
      <c r="AC371" s="311">
        <v>1199.91</v>
      </c>
      <c r="AD371" s="311">
        <v>177.29</v>
      </c>
      <c r="AE371" s="311">
        <f>24+140+283+199+269+24+22+18</f>
        <v>979</v>
      </c>
      <c r="AF371" s="311">
        <f>24+199+24+19.8+70+24+24+24+24+24+24+24+24+24+24+24+70+269+14+269+24+29+14+199+199+29</f>
        <v>1716.8</v>
      </c>
      <c r="AG371" s="350">
        <f t="shared" ref="AG371:AG374" si="134">SUM(B371:AF371)</f>
        <v>12060.52</v>
      </c>
    </row>
    <row r="372">
      <c r="A372" s="897" t="s">
        <v>811</v>
      </c>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350">
        <f t="shared" si="134"/>
        <v>0</v>
      </c>
    </row>
    <row r="373">
      <c r="A373" s="897" t="s">
        <v>812</v>
      </c>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350">
        <f t="shared" si="134"/>
        <v>0</v>
      </c>
    </row>
    <row r="374">
      <c r="A374" s="914" t="s">
        <v>765</v>
      </c>
      <c r="B374" s="915"/>
      <c r="C374" s="915"/>
      <c r="D374" s="915"/>
      <c r="E374" s="915"/>
      <c r="F374" s="915"/>
      <c r="G374" s="915"/>
      <c r="H374" s="915"/>
      <c r="I374" s="915"/>
      <c r="J374" s="915"/>
      <c r="K374" s="915"/>
      <c r="L374" s="915"/>
      <c r="M374" s="915"/>
      <c r="N374" s="915"/>
      <c r="O374" s="915"/>
      <c r="P374" s="915"/>
      <c r="Q374" s="915"/>
      <c r="R374" s="915"/>
      <c r="S374" s="915"/>
      <c r="T374" s="915"/>
      <c r="U374" s="915"/>
      <c r="V374" s="915"/>
      <c r="W374" s="915"/>
      <c r="X374" s="915"/>
      <c r="Y374" s="915"/>
      <c r="Z374" s="915"/>
      <c r="AA374" s="915"/>
      <c r="AB374" s="915"/>
      <c r="AC374" s="915"/>
      <c r="AD374" s="915"/>
      <c r="AE374" s="915"/>
      <c r="AF374" s="915"/>
      <c r="AG374" s="350">
        <f t="shared" si="134"/>
        <v>0</v>
      </c>
    </row>
    <row r="375">
      <c r="A375" s="835"/>
      <c r="AG375" s="350"/>
    </row>
    <row r="376">
      <c r="A376" s="897" t="s">
        <v>374</v>
      </c>
      <c r="B376" s="311">
        <v>0.0</v>
      </c>
      <c r="C376" s="311">
        <v>0.0</v>
      </c>
      <c r="D376" s="311">
        <v>0.0</v>
      </c>
      <c r="E376" s="311">
        <v>0.0</v>
      </c>
      <c r="F376" s="885">
        <v>0.0</v>
      </c>
      <c r="G376" s="311">
        <f>113.9+269</f>
        <v>382.9</v>
      </c>
      <c r="H376" s="311">
        <v>0.0</v>
      </c>
      <c r="I376" s="311">
        <v>0.0</v>
      </c>
      <c r="J376" s="311">
        <v>0.0</v>
      </c>
      <c r="K376" s="311">
        <v>0.0</v>
      </c>
      <c r="L376" s="311">
        <v>0.0</v>
      </c>
      <c r="M376" s="311">
        <v>0.0</v>
      </c>
      <c r="N376" s="311">
        <v>0.0</v>
      </c>
      <c r="O376" s="311">
        <v>0.0</v>
      </c>
      <c r="P376" s="311">
        <v>0.0</v>
      </c>
      <c r="Q376" s="311">
        <v>0.0</v>
      </c>
      <c r="R376" s="311">
        <v>0.0</v>
      </c>
      <c r="S376" s="311">
        <f>18+242.1+24</f>
        <v>284.1</v>
      </c>
      <c r="T376" s="311">
        <v>0.0</v>
      </c>
      <c r="U376" s="311">
        <v>0.0</v>
      </c>
      <c r="V376" s="311">
        <v>0.0</v>
      </c>
      <c r="W376" s="311">
        <v>0.0</v>
      </c>
      <c r="X376" s="311">
        <v>0.0</v>
      </c>
      <c r="Y376" s="311">
        <v>0.0</v>
      </c>
      <c r="Z376" s="311">
        <v>0.0</v>
      </c>
      <c r="AA376" s="311">
        <v>0.0</v>
      </c>
      <c r="AB376" s="311">
        <v>0.0</v>
      </c>
      <c r="AC376" s="311">
        <v>0.0</v>
      </c>
      <c r="AD376" s="311">
        <v>0.0</v>
      </c>
      <c r="AE376" s="311">
        <v>0.0</v>
      </c>
      <c r="AF376" s="311">
        <v>0.0</v>
      </c>
      <c r="AG376" s="350">
        <f t="shared" ref="AG376:AG379" si="135">SUM(B376:AF376)</f>
        <v>667</v>
      </c>
    </row>
    <row r="377">
      <c r="A377" s="897" t="s">
        <v>375</v>
      </c>
      <c r="B377" s="311">
        <v>0.0</v>
      </c>
      <c r="C377" s="311">
        <v>0.0</v>
      </c>
      <c r="D377" s="311">
        <v>0.0</v>
      </c>
      <c r="E377" s="311">
        <v>0.0</v>
      </c>
      <c r="F377" s="885">
        <v>0.0</v>
      </c>
      <c r="G377" s="311">
        <f>11.9+35</f>
        <v>46.9</v>
      </c>
      <c r="H377" s="311">
        <v>0.0</v>
      </c>
      <c r="I377" s="311">
        <v>0.0</v>
      </c>
      <c r="J377" s="311">
        <v>0.0</v>
      </c>
      <c r="K377" s="311">
        <v>0.0</v>
      </c>
      <c r="L377" s="311">
        <v>0.0</v>
      </c>
      <c r="M377" s="311">
        <v>0.0</v>
      </c>
      <c r="N377" s="311">
        <v>0.0</v>
      </c>
      <c r="O377" s="311">
        <v>0.0</v>
      </c>
      <c r="P377" s="311">
        <v>0.0</v>
      </c>
      <c r="Q377" s="311">
        <v>0.0</v>
      </c>
      <c r="R377" s="311">
        <v>0.0</v>
      </c>
      <c r="S377" s="311">
        <f>32+35</f>
        <v>67</v>
      </c>
      <c r="T377" s="311">
        <v>0.0</v>
      </c>
      <c r="U377" s="311">
        <v>0.0</v>
      </c>
      <c r="V377" s="311">
        <v>0.0</v>
      </c>
      <c r="W377" s="311">
        <v>0.0</v>
      </c>
      <c r="X377" s="311">
        <v>0.0</v>
      </c>
      <c r="Y377" s="311">
        <v>0.0</v>
      </c>
      <c r="Z377" s="311">
        <v>0.0</v>
      </c>
      <c r="AA377" s="311">
        <v>0.0</v>
      </c>
      <c r="AB377" s="311">
        <v>0.0</v>
      </c>
      <c r="AC377" s="311">
        <v>0.0</v>
      </c>
      <c r="AD377" s="311">
        <v>0.0</v>
      </c>
      <c r="AE377" s="311">
        <v>0.0</v>
      </c>
      <c r="AF377" s="311">
        <v>0.0</v>
      </c>
      <c r="AG377" s="350">
        <f t="shared" si="135"/>
        <v>113.9</v>
      </c>
    </row>
    <row r="378">
      <c r="A378" s="897" t="s">
        <v>376</v>
      </c>
      <c r="B378" s="311">
        <f t="shared" ref="B378:AF378" si="136">B376*0.22</f>
        <v>0</v>
      </c>
      <c r="C378" s="311">
        <f t="shared" si="136"/>
        <v>0</v>
      </c>
      <c r="D378" s="311">
        <f t="shared" si="136"/>
        <v>0</v>
      </c>
      <c r="E378" s="311">
        <f t="shared" si="136"/>
        <v>0</v>
      </c>
      <c r="F378" s="311">
        <f t="shared" si="136"/>
        <v>0</v>
      </c>
      <c r="G378" s="311">
        <f t="shared" si="136"/>
        <v>84.238</v>
      </c>
      <c r="H378" s="311">
        <f t="shared" si="136"/>
        <v>0</v>
      </c>
      <c r="I378" s="311">
        <f t="shared" si="136"/>
        <v>0</v>
      </c>
      <c r="J378" s="311">
        <f t="shared" si="136"/>
        <v>0</v>
      </c>
      <c r="K378" s="311">
        <f t="shared" si="136"/>
        <v>0</v>
      </c>
      <c r="L378" s="311">
        <f t="shared" si="136"/>
        <v>0</v>
      </c>
      <c r="M378" s="311">
        <f t="shared" si="136"/>
        <v>0</v>
      </c>
      <c r="N378" s="311">
        <f t="shared" si="136"/>
        <v>0</v>
      </c>
      <c r="O378" s="311">
        <f t="shared" si="136"/>
        <v>0</v>
      </c>
      <c r="P378" s="311">
        <f t="shared" si="136"/>
        <v>0</v>
      </c>
      <c r="Q378" s="311">
        <f t="shared" si="136"/>
        <v>0</v>
      </c>
      <c r="R378" s="311">
        <f t="shared" si="136"/>
        <v>0</v>
      </c>
      <c r="S378" s="311">
        <f t="shared" si="136"/>
        <v>62.502</v>
      </c>
      <c r="T378" s="311">
        <f t="shared" si="136"/>
        <v>0</v>
      </c>
      <c r="U378" s="311">
        <f t="shared" si="136"/>
        <v>0</v>
      </c>
      <c r="V378" s="311">
        <f t="shared" si="136"/>
        <v>0</v>
      </c>
      <c r="W378" s="311">
        <f t="shared" si="136"/>
        <v>0</v>
      </c>
      <c r="X378" s="311">
        <f t="shared" si="136"/>
        <v>0</v>
      </c>
      <c r="Y378" s="311">
        <f t="shared" si="136"/>
        <v>0</v>
      </c>
      <c r="Z378" s="311">
        <f t="shared" si="136"/>
        <v>0</v>
      </c>
      <c r="AA378" s="311">
        <f t="shared" si="136"/>
        <v>0</v>
      </c>
      <c r="AB378" s="311">
        <f t="shared" si="136"/>
        <v>0</v>
      </c>
      <c r="AC378" s="311">
        <f t="shared" si="136"/>
        <v>0</v>
      </c>
      <c r="AD378" s="311">
        <f t="shared" si="136"/>
        <v>0</v>
      </c>
      <c r="AE378" s="311">
        <f t="shared" si="136"/>
        <v>0</v>
      </c>
      <c r="AF378" s="311">
        <f t="shared" si="136"/>
        <v>0</v>
      </c>
      <c r="AG378" s="350">
        <f t="shared" si="135"/>
        <v>146.74</v>
      </c>
    </row>
    <row r="379">
      <c r="A379" s="914" t="s">
        <v>773</v>
      </c>
      <c r="B379" s="915">
        <f t="shared" ref="B379:AF379" si="137">B376+B377</f>
        <v>0</v>
      </c>
      <c r="C379" s="915">
        <f t="shared" si="137"/>
        <v>0</v>
      </c>
      <c r="D379" s="915">
        <f t="shared" si="137"/>
        <v>0</v>
      </c>
      <c r="E379" s="915">
        <f t="shared" si="137"/>
        <v>0</v>
      </c>
      <c r="F379" s="915">
        <f t="shared" si="137"/>
        <v>0</v>
      </c>
      <c r="G379" s="915">
        <f t="shared" si="137"/>
        <v>429.8</v>
      </c>
      <c r="H379" s="915">
        <f t="shared" si="137"/>
        <v>0</v>
      </c>
      <c r="I379" s="915">
        <f t="shared" si="137"/>
        <v>0</v>
      </c>
      <c r="J379" s="915">
        <f t="shared" si="137"/>
        <v>0</v>
      </c>
      <c r="K379" s="915">
        <f t="shared" si="137"/>
        <v>0</v>
      </c>
      <c r="L379" s="915">
        <f t="shared" si="137"/>
        <v>0</v>
      </c>
      <c r="M379" s="915">
        <f t="shared" si="137"/>
        <v>0</v>
      </c>
      <c r="N379" s="915">
        <f t="shared" si="137"/>
        <v>0</v>
      </c>
      <c r="O379" s="915">
        <f t="shared" si="137"/>
        <v>0</v>
      </c>
      <c r="P379" s="915">
        <f t="shared" si="137"/>
        <v>0</v>
      </c>
      <c r="Q379" s="915">
        <f t="shared" si="137"/>
        <v>0</v>
      </c>
      <c r="R379" s="915">
        <f t="shared" si="137"/>
        <v>0</v>
      </c>
      <c r="S379" s="915">
        <f t="shared" si="137"/>
        <v>351.1</v>
      </c>
      <c r="T379" s="915">
        <f t="shared" si="137"/>
        <v>0</v>
      </c>
      <c r="U379" s="915">
        <f t="shared" si="137"/>
        <v>0</v>
      </c>
      <c r="V379" s="915">
        <f t="shared" si="137"/>
        <v>0</v>
      </c>
      <c r="W379" s="915">
        <f t="shared" si="137"/>
        <v>0</v>
      </c>
      <c r="X379" s="915">
        <f t="shared" si="137"/>
        <v>0</v>
      </c>
      <c r="Y379" s="915">
        <f t="shared" si="137"/>
        <v>0</v>
      </c>
      <c r="Z379" s="915">
        <f t="shared" si="137"/>
        <v>0</v>
      </c>
      <c r="AA379" s="915">
        <f t="shared" si="137"/>
        <v>0</v>
      </c>
      <c r="AB379" s="915">
        <f t="shared" si="137"/>
        <v>0</v>
      </c>
      <c r="AC379" s="915">
        <f t="shared" si="137"/>
        <v>0</v>
      </c>
      <c r="AD379" s="915">
        <f t="shared" si="137"/>
        <v>0</v>
      </c>
      <c r="AE379" s="915">
        <f t="shared" si="137"/>
        <v>0</v>
      </c>
      <c r="AF379" s="915">
        <f t="shared" si="137"/>
        <v>0</v>
      </c>
      <c r="AG379" s="350">
        <f t="shared" si="135"/>
        <v>780.9</v>
      </c>
    </row>
    <row r="380">
      <c r="A380" s="835"/>
      <c r="B380" s="301"/>
      <c r="C380" s="301"/>
      <c r="D380" s="301"/>
      <c r="E380" s="301"/>
      <c r="F380" s="301"/>
      <c r="G380" s="301"/>
      <c r="H380" s="301"/>
      <c r="I380" s="301"/>
      <c r="J380" s="301"/>
      <c r="K380" s="301"/>
      <c r="L380" s="301"/>
      <c r="M380" s="301"/>
      <c r="N380" s="301"/>
      <c r="O380" s="823"/>
      <c r="P380" s="823"/>
      <c r="Q380" s="823"/>
      <c r="R380" s="823"/>
      <c r="S380" s="823"/>
      <c r="T380" s="823"/>
      <c r="U380" s="823"/>
      <c r="V380" s="823"/>
      <c r="W380" s="823"/>
      <c r="X380" s="823"/>
      <c r="Y380" s="823"/>
      <c r="Z380" s="823"/>
      <c r="AA380" s="823"/>
      <c r="AB380" s="823"/>
      <c r="AC380" s="823"/>
      <c r="AD380" s="823"/>
      <c r="AE380" s="823"/>
      <c r="AF380" s="823"/>
      <c r="AG380" s="350"/>
    </row>
    <row r="381">
      <c r="A381" s="897" t="s">
        <v>813</v>
      </c>
      <c r="B381" s="138"/>
      <c r="C381" s="138"/>
      <c r="D381" s="138"/>
      <c r="E381" s="916"/>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311">
        <f>24+29</f>
        <v>53</v>
      </c>
      <c r="AF381" s="138"/>
      <c r="AG381" s="350">
        <f t="shared" ref="AG381:AG384" si="138">SUM(B381:AF381)</f>
        <v>53</v>
      </c>
    </row>
    <row r="382">
      <c r="A382" s="897" t="s">
        <v>814</v>
      </c>
      <c r="B382" s="138"/>
      <c r="C382" s="138"/>
      <c r="D382" s="138"/>
      <c r="E382" s="916"/>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311">
        <v>10.0</v>
      </c>
      <c r="AF382" s="138"/>
      <c r="AG382" s="350">
        <f t="shared" si="138"/>
        <v>10</v>
      </c>
    </row>
    <row r="383">
      <c r="A383" s="897" t="s">
        <v>816</v>
      </c>
      <c r="B383" s="138"/>
      <c r="C383" s="138"/>
      <c r="D383" s="138"/>
      <c r="E383" s="916"/>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350">
        <f t="shared" si="138"/>
        <v>0</v>
      </c>
    </row>
    <row r="384">
      <c r="A384" s="914" t="s">
        <v>779</v>
      </c>
      <c r="B384" s="915">
        <f t="shared" ref="B384:AF384" si="139">B381+B382</f>
        <v>0</v>
      </c>
      <c r="C384" s="915">
        <f t="shared" si="139"/>
        <v>0</v>
      </c>
      <c r="D384" s="915">
        <f t="shared" si="139"/>
        <v>0</v>
      </c>
      <c r="E384" s="915">
        <f t="shared" si="139"/>
        <v>0</v>
      </c>
      <c r="F384" s="915">
        <f t="shared" si="139"/>
        <v>0</v>
      </c>
      <c r="G384" s="915">
        <f t="shared" si="139"/>
        <v>0</v>
      </c>
      <c r="H384" s="915">
        <f t="shared" si="139"/>
        <v>0</v>
      </c>
      <c r="I384" s="915">
        <f t="shared" si="139"/>
        <v>0</v>
      </c>
      <c r="J384" s="915">
        <f t="shared" si="139"/>
        <v>0</v>
      </c>
      <c r="K384" s="915">
        <f t="shared" si="139"/>
        <v>0</v>
      </c>
      <c r="L384" s="915">
        <f t="shared" si="139"/>
        <v>0</v>
      </c>
      <c r="M384" s="915">
        <f t="shared" si="139"/>
        <v>0</v>
      </c>
      <c r="N384" s="915">
        <f t="shared" si="139"/>
        <v>0</v>
      </c>
      <c r="O384" s="915">
        <f t="shared" si="139"/>
        <v>0</v>
      </c>
      <c r="P384" s="915">
        <f t="shared" si="139"/>
        <v>0</v>
      </c>
      <c r="Q384" s="915">
        <f t="shared" si="139"/>
        <v>0</v>
      </c>
      <c r="R384" s="915">
        <f t="shared" si="139"/>
        <v>0</v>
      </c>
      <c r="S384" s="915">
        <f t="shared" si="139"/>
        <v>0</v>
      </c>
      <c r="T384" s="915">
        <f t="shared" si="139"/>
        <v>0</v>
      </c>
      <c r="U384" s="915">
        <f t="shared" si="139"/>
        <v>0</v>
      </c>
      <c r="V384" s="915">
        <f t="shared" si="139"/>
        <v>0</v>
      </c>
      <c r="W384" s="915">
        <f t="shared" si="139"/>
        <v>0</v>
      </c>
      <c r="X384" s="915">
        <f t="shared" si="139"/>
        <v>0</v>
      </c>
      <c r="Y384" s="915">
        <f t="shared" si="139"/>
        <v>0</v>
      </c>
      <c r="Z384" s="915">
        <f t="shared" si="139"/>
        <v>0</v>
      </c>
      <c r="AA384" s="915">
        <f t="shared" si="139"/>
        <v>0</v>
      </c>
      <c r="AB384" s="915">
        <f t="shared" si="139"/>
        <v>0</v>
      </c>
      <c r="AC384" s="915">
        <f t="shared" si="139"/>
        <v>0</v>
      </c>
      <c r="AD384" s="915">
        <f t="shared" si="139"/>
        <v>0</v>
      </c>
      <c r="AE384" s="915">
        <f t="shared" si="139"/>
        <v>63</v>
      </c>
      <c r="AF384" s="915">
        <f t="shared" si="139"/>
        <v>0</v>
      </c>
      <c r="AG384" s="350">
        <f t="shared" si="138"/>
        <v>63</v>
      </c>
    </row>
    <row r="385">
      <c r="A385" s="835"/>
      <c r="AG385" s="11"/>
    </row>
    <row r="386">
      <c r="A386" s="648" t="s">
        <v>817</v>
      </c>
      <c r="AG386" s="11"/>
    </row>
    <row r="387">
      <c r="A387" s="897" t="s">
        <v>809</v>
      </c>
      <c r="B387" s="311">
        <v>0.0</v>
      </c>
      <c r="C387" s="311">
        <v>0.0</v>
      </c>
      <c r="D387" s="311">
        <v>0.0</v>
      </c>
      <c r="E387" s="917">
        <v>169.5</v>
      </c>
      <c r="F387" s="917">
        <v>0.0</v>
      </c>
      <c r="G387" s="917">
        <v>0.0</v>
      </c>
      <c r="H387" s="917">
        <v>210.94</v>
      </c>
      <c r="I387" s="917">
        <v>0.0</v>
      </c>
      <c r="J387" s="917">
        <v>0.0</v>
      </c>
      <c r="K387" s="917">
        <v>199.0</v>
      </c>
      <c r="L387" s="917">
        <f>199</f>
        <v>199</v>
      </c>
      <c r="M387" s="917">
        <v>0.0</v>
      </c>
      <c r="N387" s="917">
        <v>199.0</v>
      </c>
      <c r="O387" s="917">
        <v>1387.33</v>
      </c>
      <c r="P387" s="917">
        <v>0.0</v>
      </c>
      <c r="Q387" s="917">
        <f>199</f>
        <v>199</v>
      </c>
      <c r="R387" s="917">
        <f>199+24+189+18</f>
        <v>430</v>
      </c>
      <c r="S387" s="917">
        <v>242.0</v>
      </c>
      <c r="T387" s="917">
        <f>269+24</f>
        <v>293</v>
      </c>
      <c r="U387" s="917">
        <f>199+70+24</f>
        <v>293</v>
      </c>
      <c r="V387" s="917">
        <v>0.0</v>
      </c>
      <c r="W387" s="917">
        <v>0.0</v>
      </c>
      <c r="X387" s="311">
        <v>0.0</v>
      </c>
      <c r="Y387" s="917">
        <v>2565.88</v>
      </c>
      <c r="Z387" s="917">
        <v>14217.31</v>
      </c>
      <c r="AA387" s="917">
        <v>12846.68</v>
      </c>
      <c r="AB387" s="917">
        <v>4715.43</v>
      </c>
      <c r="AC387" s="917">
        <v>17723.99</v>
      </c>
      <c r="AD387" s="917">
        <v>7410.87</v>
      </c>
      <c r="AE387" s="917">
        <f>199+199+174.5+269+24+269+24+22+299+269+269+269+24+70+29+24+14+199+70+24+22+199+199+269+199+70+242.1+21.6+12.6+19.8+269+24+22+269+24+14+29+269+199+269+29+269+24+269+269+14+70+199+199+70+24+22+269+24+269+269+199</f>
        <v>7870.6</v>
      </c>
      <c r="AF387" s="917">
        <f>199+21.55+269+69.99+269+199+269+70+199+269+24+22+269+179.1+199+199+269+24+199+269</f>
        <v>3487.64</v>
      </c>
      <c r="AG387" s="350">
        <f t="shared" ref="AG387:AG390" si="140">SUM(B387:AF387)</f>
        <v>74660.17</v>
      </c>
    </row>
    <row r="388">
      <c r="A388" s="897" t="s">
        <v>811</v>
      </c>
      <c r="B388" s="750"/>
      <c r="C388" s="918"/>
      <c r="D388" s="918"/>
      <c r="E388" s="918"/>
      <c r="F388" s="918"/>
      <c r="G388" s="918"/>
      <c r="H388" s="918"/>
      <c r="I388" s="918"/>
      <c r="J388" s="918"/>
      <c r="K388" s="918"/>
      <c r="L388" s="918"/>
      <c r="M388" s="918"/>
      <c r="N388" s="918"/>
      <c r="O388" s="918"/>
      <c r="P388" s="918"/>
      <c r="Q388" s="918"/>
      <c r="R388" s="918"/>
      <c r="S388" s="918"/>
      <c r="T388" s="918"/>
      <c r="U388" s="918"/>
      <c r="V388" s="918"/>
      <c r="W388" s="918"/>
      <c r="X388" s="918"/>
      <c r="Y388" s="918"/>
      <c r="Z388" s="918"/>
      <c r="AA388" s="918"/>
      <c r="AB388" s="918"/>
      <c r="AC388" s="918"/>
      <c r="AD388" s="918"/>
      <c r="AE388" s="918"/>
      <c r="AF388" s="918"/>
      <c r="AG388" s="350">
        <f t="shared" si="140"/>
        <v>0</v>
      </c>
    </row>
    <row r="389">
      <c r="A389" s="897" t="s">
        <v>812</v>
      </c>
      <c r="B389" s="750"/>
      <c r="C389" s="918"/>
      <c r="D389" s="918"/>
      <c r="E389" s="918"/>
      <c r="F389" s="918"/>
      <c r="G389" s="918"/>
      <c r="H389" s="918"/>
      <c r="I389" s="918"/>
      <c r="J389" s="918"/>
      <c r="K389" s="918"/>
      <c r="L389" s="918"/>
      <c r="M389" s="918"/>
      <c r="N389" s="918"/>
      <c r="O389" s="918"/>
      <c r="P389" s="918"/>
      <c r="Q389" s="918"/>
      <c r="R389" s="918"/>
      <c r="S389" s="918"/>
      <c r="T389" s="918"/>
      <c r="U389" s="918"/>
      <c r="V389" s="918"/>
      <c r="W389" s="918"/>
      <c r="X389" s="918"/>
      <c r="Y389" s="918"/>
      <c r="Z389" s="918"/>
      <c r="AA389" s="918"/>
      <c r="AB389" s="918"/>
      <c r="AC389" s="918"/>
      <c r="AD389" s="918"/>
      <c r="AE389" s="918"/>
      <c r="AF389" s="918"/>
      <c r="AG389" s="350">
        <f t="shared" si="140"/>
        <v>0</v>
      </c>
    </row>
    <row r="390">
      <c r="A390" s="914" t="s">
        <v>765</v>
      </c>
      <c r="B390" s="919">
        <f t="shared" ref="B390:AF390" si="141">sum(B387:B389)</f>
        <v>0</v>
      </c>
      <c r="C390" s="919">
        <f t="shared" si="141"/>
        <v>0</v>
      </c>
      <c r="D390" s="919">
        <f t="shared" si="141"/>
        <v>0</v>
      </c>
      <c r="E390" s="919">
        <f t="shared" si="141"/>
        <v>169.5</v>
      </c>
      <c r="F390" s="919">
        <f t="shared" si="141"/>
        <v>0</v>
      </c>
      <c r="G390" s="919">
        <f t="shared" si="141"/>
        <v>0</v>
      </c>
      <c r="H390" s="919">
        <f t="shared" si="141"/>
        <v>210.94</v>
      </c>
      <c r="I390" s="919">
        <f t="shared" si="141"/>
        <v>0</v>
      </c>
      <c r="J390" s="919">
        <f t="shared" si="141"/>
        <v>0</v>
      </c>
      <c r="K390" s="919">
        <f t="shared" si="141"/>
        <v>199</v>
      </c>
      <c r="L390" s="919">
        <f t="shared" si="141"/>
        <v>199</v>
      </c>
      <c r="M390" s="919">
        <f t="shared" si="141"/>
        <v>0</v>
      </c>
      <c r="N390" s="919">
        <f t="shared" si="141"/>
        <v>199</v>
      </c>
      <c r="O390" s="919">
        <f t="shared" si="141"/>
        <v>1387.33</v>
      </c>
      <c r="P390" s="919">
        <f t="shared" si="141"/>
        <v>0</v>
      </c>
      <c r="Q390" s="919">
        <f t="shared" si="141"/>
        <v>199</v>
      </c>
      <c r="R390" s="919">
        <f t="shared" si="141"/>
        <v>430</v>
      </c>
      <c r="S390" s="919">
        <f t="shared" si="141"/>
        <v>242</v>
      </c>
      <c r="T390" s="919">
        <f t="shared" si="141"/>
        <v>293</v>
      </c>
      <c r="U390" s="919">
        <f t="shared" si="141"/>
        <v>293</v>
      </c>
      <c r="V390" s="919">
        <f t="shared" si="141"/>
        <v>0</v>
      </c>
      <c r="W390" s="919">
        <f t="shared" si="141"/>
        <v>0</v>
      </c>
      <c r="X390" s="919">
        <f t="shared" si="141"/>
        <v>0</v>
      </c>
      <c r="Y390" s="919">
        <f t="shared" si="141"/>
        <v>2565.88</v>
      </c>
      <c r="Z390" s="919">
        <f t="shared" si="141"/>
        <v>14217.31</v>
      </c>
      <c r="AA390" s="919">
        <f t="shared" si="141"/>
        <v>12846.68</v>
      </c>
      <c r="AB390" s="919">
        <f t="shared" si="141"/>
        <v>4715.43</v>
      </c>
      <c r="AC390" s="919">
        <f t="shared" si="141"/>
        <v>17723.99</v>
      </c>
      <c r="AD390" s="919">
        <f t="shared" si="141"/>
        <v>7410.87</v>
      </c>
      <c r="AE390" s="919">
        <f t="shared" si="141"/>
        <v>7870.6</v>
      </c>
      <c r="AF390" s="919">
        <f t="shared" si="141"/>
        <v>3487.64</v>
      </c>
      <c r="AG390" s="350">
        <f t="shared" si="140"/>
        <v>74660.17</v>
      </c>
    </row>
    <row r="391">
      <c r="A391" s="835"/>
      <c r="B391" s="894"/>
      <c r="C391" s="894"/>
      <c r="D391" s="894"/>
      <c r="E391" s="894"/>
      <c r="F391" s="894"/>
      <c r="G391" s="894"/>
      <c r="H391" s="894"/>
      <c r="I391" s="894"/>
      <c r="J391" s="894"/>
      <c r="K391" s="894"/>
      <c r="L391" s="894"/>
      <c r="M391" s="894"/>
      <c r="N391" s="894"/>
      <c r="O391" s="894"/>
      <c r="P391" s="894"/>
      <c r="Q391" s="894"/>
      <c r="R391" s="894"/>
      <c r="S391" s="894"/>
      <c r="T391" s="894"/>
      <c r="U391" s="894"/>
      <c r="V391" s="894"/>
      <c r="W391" s="894"/>
      <c r="X391" s="894"/>
      <c r="Y391" s="894"/>
      <c r="Z391" s="894"/>
      <c r="AA391" s="894"/>
      <c r="AB391" s="894"/>
      <c r="AC391" s="894"/>
      <c r="AD391" s="894"/>
      <c r="AE391" s="894"/>
      <c r="AF391" s="894"/>
      <c r="AG391" s="11"/>
    </row>
    <row r="392">
      <c r="A392" s="897" t="s">
        <v>374</v>
      </c>
      <c r="B392" s="311">
        <v>0.0</v>
      </c>
      <c r="C392" s="311">
        <v>0.0</v>
      </c>
      <c r="D392" s="311">
        <v>0.0</v>
      </c>
      <c r="E392" s="917">
        <v>0.0</v>
      </c>
      <c r="F392" s="885">
        <v>0.0</v>
      </c>
      <c r="G392" s="885">
        <v>0.0</v>
      </c>
      <c r="H392" s="917">
        <v>0.0</v>
      </c>
      <c r="I392" s="917">
        <v>0.0</v>
      </c>
      <c r="J392" s="917">
        <v>0.0</v>
      </c>
      <c r="K392" s="917">
        <v>0.0</v>
      </c>
      <c r="L392" s="917">
        <v>0.0</v>
      </c>
      <c r="M392" s="917">
        <v>0.0</v>
      </c>
      <c r="N392" s="917">
        <v>0.0</v>
      </c>
      <c r="O392" s="917">
        <v>0.0</v>
      </c>
      <c r="P392" s="917">
        <v>0.0</v>
      </c>
      <c r="Q392" s="917">
        <v>0.0</v>
      </c>
      <c r="R392" s="311">
        <f>228.4+18.2</f>
        <v>246.6</v>
      </c>
      <c r="S392" s="917">
        <f>189+18</f>
        <v>207</v>
      </c>
      <c r="T392" s="917">
        <v>0.0</v>
      </c>
      <c r="U392" s="917">
        <v>0.0</v>
      </c>
      <c r="V392" s="917">
        <v>0.0</v>
      </c>
      <c r="W392" s="917">
        <v>0.0</v>
      </c>
      <c r="X392" s="917">
        <v>0.0</v>
      </c>
      <c r="Y392" s="917">
        <f>199+24+22</f>
        <v>245</v>
      </c>
      <c r="Z392" s="917">
        <v>0.0</v>
      </c>
      <c r="AA392" s="917">
        <v>0.0</v>
      </c>
      <c r="AB392" s="917">
        <v>0.0</v>
      </c>
      <c r="AC392" s="917">
        <v>0.0</v>
      </c>
      <c r="AD392" s="917">
        <v>0.0</v>
      </c>
      <c r="AE392" s="917">
        <v>0.0</v>
      </c>
      <c r="AF392" s="917">
        <f>24+167.9+18.1+48</f>
        <v>258</v>
      </c>
      <c r="AG392" s="350">
        <f t="shared" ref="AG392:AG395" si="142">SUM(B392:AF392)</f>
        <v>956.6</v>
      </c>
    </row>
    <row r="393">
      <c r="A393" s="897" t="s">
        <v>375</v>
      </c>
      <c r="B393" s="311">
        <v>0.0</v>
      </c>
      <c r="C393" s="311">
        <v>0.0</v>
      </c>
      <c r="D393" s="311">
        <v>0.0</v>
      </c>
      <c r="E393" s="917">
        <v>0.0</v>
      </c>
      <c r="F393" s="885">
        <v>0.0</v>
      </c>
      <c r="G393" s="885">
        <v>0.0</v>
      </c>
      <c r="H393" s="917">
        <v>0.0</v>
      </c>
      <c r="I393" s="917">
        <v>0.0</v>
      </c>
      <c r="J393" s="917">
        <v>0.0</v>
      </c>
      <c r="K393" s="917">
        <v>0.0</v>
      </c>
      <c r="L393" s="917">
        <v>0.0</v>
      </c>
      <c r="M393" s="917">
        <v>0.0</v>
      </c>
      <c r="N393" s="917">
        <v>0.0</v>
      </c>
      <c r="O393" s="917">
        <v>0.0</v>
      </c>
      <c r="P393" s="917">
        <v>0.0</v>
      </c>
      <c r="Q393" s="917">
        <v>0.0</v>
      </c>
      <c r="R393" s="311">
        <v>13.4</v>
      </c>
      <c r="S393" s="917">
        <f>13</f>
        <v>13</v>
      </c>
      <c r="T393" s="917">
        <v>0.0</v>
      </c>
      <c r="U393" s="917">
        <v>0.0</v>
      </c>
      <c r="V393" s="917">
        <v>0.0</v>
      </c>
      <c r="W393" s="917">
        <v>0.0</v>
      </c>
      <c r="X393" s="917">
        <v>0.0</v>
      </c>
      <c r="Y393" s="917">
        <v>35.0</v>
      </c>
      <c r="Z393" s="917">
        <v>0.0</v>
      </c>
      <c r="AA393" s="917">
        <v>0.0</v>
      </c>
      <c r="AB393" s="917">
        <v>0.0</v>
      </c>
      <c r="AC393" s="917">
        <v>0.0</v>
      </c>
      <c r="AD393" s="917">
        <v>0.0</v>
      </c>
      <c r="AE393" s="917">
        <v>0.0</v>
      </c>
      <c r="AF393" s="917">
        <f>10+13.3+20</f>
        <v>43.3</v>
      </c>
      <c r="AG393" s="350">
        <f t="shared" si="142"/>
        <v>104.7</v>
      </c>
    </row>
    <row r="394">
      <c r="A394" s="897" t="s">
        <v>376</v>
      </c>
      <c r="B394" s="311">
        <v>0.0</v>
      </c>
      <c r="C394" s="311">
        <v>0.0</v>
      </c>
      <c r="D394" s="311">
        <v>0.0</v>
      </c>
      <c r="E394" s="311">
        <v>0.0</v>
      </c>
      <c r="F394" s="885">
        <v>0.0</v>
      </c>
      <c r="G394" s="885">
        <v>0.0</v>
      </c>
      <c r="H394" s="311">
        <v>0.0</v>
      </c>
      <c r="I394" s="311">
        <v>0.0</v>
      </c>
      <c r="J394" s="311">
        <v>0.0</v>
      </c>
      <c r="K394" s="311">
        <v>0.0</v>
      </c>
      <c r="L394" s="311">
        <f t="shared" ref="L394:AF394" si="143">L392*0.22</f>
        <v>0</v>
      </c>
      <c r="M394" s="311">
        <f t="shared" si="143"/>
        <v>0</v>
      </c>
      <c r="N394" s="311">
        <f t="shared" si="143"/>
        <v>0</v>
      </c>
      <c r="O394" s="311">
        <f t="shared" si="143"/>
        <v>0</v>
      </c>
      <c r="P394" s="311">
        <f t="shared" si="143"/>
        <v>0</v>
      </c>
      <c r="Q394" s="311">
        <f t="shared" si="143"/>
        <v>0</v>
      </c>
      <c r="R394" s="311">
        <f t="shared" si="143"/>
        <v>54.252</v>
      </c>
      <c r="S394" s="311">
        <f t="shared" si="143"/>
        <v>45.54</v>
      </c>
      <c r="T394" s="311">
        <f t="shared" si="143"/>
        <v>0</v>
      </c>
      <c r="U394" s="311">
        <f t="shared" si="143"/>
        <v>0</v>
      </c>
      <c r="V394" s="311">
        <f t="shared" si="143"/>
        <v>0</v>
      </c>
      <c r="W394" s="311">
        <f t="shared" si="143"/>
        <v>0</v>
      </c>
      <c r="X394" s="311">
        <f t="shared" si="143"/>
        <v>0</v>
      </c>
      <c r="Y394" s="311">
        <f t="shared" si="143"/>
        <v>53.9</v>
      </c>
      <c r="Z394" s="311">
        <f t="shared" si="143"/>
        <v>0</v>
      </c>
      <c r="AA394" s="311">
        <f t="shared" si="143"/>
        <v>0</v>
      </c>
      <c r="AB394" s="311">
        <f t="shared" si="143"/>
        <v>0</v>
      </c>
      <c r="AC394" s="311">
        <f t="shared" si="143"/>
        <v>0</v>
      </c>
      <c r="AD394" s="311">
        <f t="shared" si="143"/>
        <v>0</v>
      </c>
      <c r="AE394" s="311">
        <f t="shared" si="143"/>
        <v>0</v>
      </c>
      <c r="AF394" s="311">
        <f t="shared" si="143"/>
        <v>56.76</v>
      </c>
      <c r="AG394" s="350">
        <f t="shared" si="142"/>
        <v>210.452</v>
      </c>
    </row>
    <row r="395">
      <c r="A395" s="907" t="s">
        <v>773</v>
      </c>
      <c r="B395" s="915">
        <f t="shared" ref="B395:AF395" si="144">SUM(B392:B394)</f>
        <v>0</v>
      </c>
      <c r="C395" s="915">
        <f t="shared" si="144"/>
        <v>0</v>
      </c>
      <c r="D395" s="915">
        <f t="shared" si="144"/>
        <v>0</v>
      </c>
      <c r="E395" s="915">
        <f t="shared" si="144"/>
        <v>0</v>
      </c>
      <c r="F395" s="915">
        <f t="shared" si="144"/>
        <v>0</v>
      </c>
      <c r="G395" s="915">
        <f t="shared" si="144"/>
        <v>0</v>
      </c>
      <c r="H395" s="915">
        <f t="shared" si="144"/>
        <v>0</v>
      </c>
      <c r="I395" s="915">
        <f t="shared" si="144"/>
        <v>0</v>
      </c>
      <c r="J395" s="915">
        <f t="shared" si="144"/>
        <v>0</v>
      </c>
      <c r="K395" s="915">
        <f t="shared" si="144"/>
        <v>0</v>
      </c>
      <c r="L395" s="915">
        <f t="shared" si="144"/>
        <v>0</v>
      </c>
      <c r="M395" s="915">
        <f t="shared" si="144"/>
        <v>0</v>
      </c>
      <c r="N395" s="915">
        <f t="shared" si="144"/>
        <v>0</v>
      </c>
      <c r="O395" s="915">
        <f t="shared" si="144"/>
        <v>0</v>
      </c>
      <c r="P395" s="915">
        <f t="shared" si="144"/>
        <v>0</v>
      </c>
      <c r="Q395" s="915">
        <f t="shared" si="144"/>
        <v>0</v>
      </c>
      <c r="R395" s="915">
        <f t="shared" si="144"/>
        <v>314.252</v>
      </c>
      <c r="S395" s="915">
        <f t="shared" si="144"/>
        <v>265.54</v>
      </c>
      <c r="T395" s="915">
        <f t="shared" si="144"/>
        <v>0</v>
      </c>
      <c r="U395" s="915">
        <f t="shared" si="144"/>
        <v>0</v>
      </c>
      <c r="V395" s="915">
        <f t="shared" si="144"/>
        <v>0</v>
      </c>
      <c r="W395" s="915">
        <f t="shared" si="144"/>
        <v>0</v>
      </c>
      <c r="X395" s="915">
        <f t="shared" si="144"/>
        <v>0</v>
      </c>
      <c r="Y395" s="915">
        <f t="shared" si="144"/>
        <v>333.9</v>
      </c>
      <c r="Z395" s="915">
        <f t="shared" si="144"/>
        <v>0</v>
      </c>
      <c r="AA395" s="915">
        <f t="shared" si="144"/>
        <v>0</v>
      </c>
      <c r="AB395" s="915">
        <f t="shared" si="144"/>
        <v>0</v>
      </c>
      <c r="AC395" s="915">
        <f t="shared" si="144"/>
        <v>0</v>
      </c>
      <c r="AD395" s="915">
        <f t="shared" si="144"/>
        <v>0</v>
      </c>
      <c r="AE395" s="915">
        <f t="shared" si="144"/>
        <v>0</v>
      </c>
      <c r="AF395" s="915">
        <f t="shared" si="144"/>
        <v>358.06</v>
      </c>
      <c r="AG395" s="350">
        <f t="shared" si="142"/>
        <v>1271.752</v>
      </c>
    </row>
    <row r="396">
      <c r="A396" s="835"/>
      <c r="B396" s="894"/>
      <c r="C396" s="894"/>
      <c r="D396" s="894"/>
      <c r="E396" s="894"/>
      <c r="F396" s="894"/>
      <c r="G396" s="894"/>
      <c r="H396" s="894"/>
      <c r="I396" s="894"/>
      <c r="J396" s="894"/>
      <c r="K396" s="894"/>
      <c r="L396" s="894"/>
      <c r="M396" s="894"/>
      <c r="N396" s="894"/>
      <c r="O396" s="894"/>
      <c r="P396" s="894"/>
      <c r="Q396" s="894"/>
      <c r="R396" s="894"/>
      <c r="S396" s="894"/>
      <c r="T396" s="894"/>
      <c r="U396" s="894"/>
      <c r="V396" s="894"/>
      <c r="W396" s="894"/>
      <c r="X396" s="894"/>
      <c r="Y396" s="894"/>
      <c r="Z396" s="894"/>
      <c r="AA396" s="894"/>
      <c r="AB396" s="894"/>
      <c r="AC396" s="894"/>
      <c r="AD396" s="894"/>
      <c r="AE396" s="894"/>
      <c r="AF396" s="894"/>
      <c r="AG396" s="11"/>
    </row>
    <row r="397">
      <c r="A397" s="897" t="s">
        <v>813</v>
      </c>
      <c r="B397" s="920"/>
      <c r="C397" s="921"/>
      <c r="D397" s="921"/>
      <c r="E397" s="921"/>
      <c r="F397" s="921"/>
      <c r="G397" s="921"/>
      <c r="H397" s="921"/>
      <c r="I397" s="921"/>
      <c r="J397" s="921"/>
      <c r="K397" s="921"/>
      <c r="L397" s="921"/>
      <c r="M397" s="921"/>
      <c r="N397" s="921"/>
      <c r="O397" s="921"/>
      <c r="P397" s="921"/>
      <c r="Q397" s="921"/>
      <c r="R397" s="921"/>
      <c r="S397" s="921"/>
      <c r="T397" s="921"/>
      <c r="U397" s="921"/>
      <c r="V397" s="921"/>
      <c r="W397" s="921"/>
      <c r="X397" s="921"/>
      <c r="Y397" s="921"/>
      <c r="Z397" s="921"/>
      <c r="AA397" s="921"/>
      <c r="AB397" s="921"/>
      <c r="AC397" s="921"/>
      <c r="AD397" s="921"/>
      <c r="AE397" s="921"/>
      <c r="AF397" s="921"/>
      <c r="AG397" s="350">
        <f t="shared" ref="AG397:AG400" si="145">SUM(B397:AF397)</f>
        <v>0</v>
      </c>
    </row>
    <row r="398">
      <c r="A398" s="897" t="s">
        <v>814</v>
      </c>
      <c r="B398" s="920"/>
      <c r="C398" s="921"/>
      <c r="D398" s="921"/>
      <c r="E398" s="921"/>
      <c r="F398" s="921"/>
      <c r="G398" s="921"/>
      <c r="H398" s="921"/>
      <c r="I398" s="921"/>
      <c r="J398" s="921"/>
      <c r="K398" s="921"/>
      <c r="L398" s="921"/>
      <c r="M398" s="921"/>
      <c r="N398" s="921"/>
      <c r="O398" s="921"/>
      <c r="P398" s="921"/>
      <c r="Q398" s="921"/>
      <c r="R398" s="921"/>
      <c r="S398" s="921"/>
      <c r="T398" s="921"/>
      <c r="U398" s="921"/>
      <c r="V398" s="921"/>
      <c r="W398" s="921"/>
      <c r="X398" s="921"/>
      <c r="Y398" s="921"/>
      <c r="Z398" s="921"/>
      <c r="AA398" s="921"/>
      <c r="AB398" s="921"/>
      <c r="AC398" s="921"/>
      <c r="AD398" s="921"/>
      <c r="AE398" s="921"/>
      <c r="AF398" s="921"/>
      <c r="AG398" s="350">
        <f t="shared" si="145"/>
        <v>0</v>
      </c>
    </row>
    <row r="399">
      <c r="A399" s="897" t="s">
        <v>816</v>
      </c>
      <c r="B399" s="920"/>
      <c r="C399" s="921"/>
      <c r="D399" s="921"/>
      <c r="E399" s="921"/>
      <c r="F399" s="921"/>
      <c r="G399" s="921"/>
      <c r="H399" s="921"/>
      <c r="I399" s="921"/>
      <c r="J399" s="921"/>
      <c r="K399" s="921"/>
      <c r="L399" s="921"/>
      <c r="M399" s="921"/>
      <c r="N399" s="921"/>
      <c r="O399" s="921"/>
      <c r="P399" s="921"/>
      <c r="Q399" s="921"/>
      <c r="R399" s="921"/>
      <c r="S399" s="921"/>
      <c r="T399" s="921"/>
      <c r="U399" s="921"/>
      <c r="V399" s="921"/>
      <c r="W399" s="921"/>
      <c r="X399" s="921"/>
      <c r="Y399" s="921"/>
      <c r="Z399" s="921"/>
      <c r="AA399" s="921"/>
      <c r="AB399" s="921"/>
      <c r="AC399" s="921"/>
      <c r="AD399" s="921"/>
      <c r="AE399" s="921"/>
      <c r="AF399" s="921"/>
      <c r="AG399" s="350">
        <f t="shared" si="145"/>
        <v>0</v>
      </c>
    </row>
    <row r="400">
      <c r="A400" s="914" t="s">
        <v>779</v>
      </c>
      <c r="B400" s="915">
        <f t="shared" ref="B400:AF400" si="146">SUM(B397:B399)</f>
        <v>0</v>
      </c>
      <c r="C400" s="915">
        <f t="shared" si="146"/>
        <v>0</v>
      </c>
      <c r="D400" s="915">
        <f t="shared" si="146"/>
        <v>0</v>
      </c>
      <c r="E400" s="915">
        <f t="shared" si="146"/>
        <v>0</v>
      </c>
      <c r="F400" s="915">
        <f t="shared" si="146"/>
        <v>0</v>
      </c>
      <c r="G400" s="915">
        <f t="shared" si="146"/>
        <v>0</v>
      </c>
      <c r="H400" s="915">
        <f t="shared" si="146"/>
        <v>0</v>
      </c>
      <c r="I400" s="915">
        <f t="shared" si="146"/>
        <v>0</v>
      </c>
      <c r="J400" s="915">
        <f t="shared" si="146"/>
        <v>0</v>
      </c>
      <c r="K400" s="915">
        <f t="shared" si="146"/>
        <v>0</v>
      </c>
      <c r="L400" s="915">
        <f t="shared" si="146"/>
        <v>0</v>
      </c>
      <c r="M400" s="915">
        <f t="shared" si="146"/>
        <v>0</v>
      </c>
      <c r="N400" s="915">
        <f t="shared" si="146"/>
        <v>0</v>
      </c>
      <c r="O400" s="915">
        <f t="shared" si="146"/>
        <v>0</v>
      </c>
      <c r="P400" s="915">
        <f t="shared" si="146"/>
        <v>0</v>
      </c>
      <c r="Q400" s="915">
        <f t="shared" si="146"/>
        <v>0</v>
      </c>
      <c r="R400" s="915">
        <f t="shared" si="146"/>
        <v>0</v>
      </c>
      <c r="S400" s="915">
        <f t="shared" si="146"/>
        <v>0</v>
      </c>
      <c r="T400" s="915">
        <f t="shared" si="146"/>
        <v>0</v>
      </c>
      <c r="U400" s="915">
        <f t="shared" si="146"/>
        <v>0</v>
      </c>
      <c r="V400" s="915">
        <f t="shared" si="146"/>
        <v>0</v>
      </c>
      <c r="W400" s="915">
        <f t="shared" si="146"/>
        <v>0</v>
      </c>
      <c r="X400" s="915">
        <f t="shared" si="146"/>
        <v>0</v>
      </c>
      <c r="Y400" s="915">
        <f t="shared" si="146"/>
        <v>0</v>
      </c>
      <c r="Z400" s="915">
        <f t="shared" si="146"/>
        <v>0</v>
      </c>
      <c r="AA400" s="915">
        <f t="shared" si="146"/>
        <v>0</v>
      </c>
      <c r="AB400" s="915">
        <f t="shared" si="146"/>
        <v>0</v>
      </c>
      <c r="AC400" s="915">
        <f t="shared" si="146"/>
        <v>0</v>
      </c>
      <c r="AD400" s="915">
        <f t="shared" si="146"/>
        <v>0</v>
      </c>
      <c r="AE400" s="915">
        <f t="shared" si="146"/>
        <v>0</v>
      </c>
      <c r="AF400" s="915">
        <f t="shared" si="146"/>
        <v>0</v>
      </c>
      <c r="AG400" s="350">
        <f t="shared" si="145"/>
        <v>0</v>
      </c>
    </row>
    <row r="401">
      <c r="A401" s="835"/>
      <c r="AG401" s="11"/>
    </row>
    <row r="402">
      <c r="A402" s="648" t="s">
        <v>819</v>
      </c>
      <c r="AG402" s="11"/>
    </row>
    <row r="403">
      <c r="A403" s="897" t="s">
        <v>752</v>
      </c>
      <c r="B403" s="301">
        <v>0.0</v>
      </c>
      <c r="C403" s="301">
        <v>0.0</v>
      </c>
      <c r="D403" s="301">
        <v>0.0</v>
      </c>
      <c r="E403" s="301">
        <v>0.0</v>
      </c>
      <c r="F403" s="301">
        <v>0.0</v>
      </c>
      <c r="G403" s="301">
        <v>0.0</v>
      </c>
      <c r="H403" s="301">
        <v>0.0</v>
      </c>
      <c r="I403" s="301">
        <v>0.0</v>
      </c>
      <c r="J403" s="301">
        <v>0.0</v>
      </c>
      <c r="K403" s="301">
        <v>0.0</v>
      </c>
      <c r="L403" s="301">
        <v>0.0</v>
      </c>
      <c r="M403" s="301">
        <v>0.0</v>
      </c>
      <c r="N403" s="301">
        <v>0.0</v>
      </c>
      <c r="O403" s="301">
        <v>0.0</v>
      </c>
      <c r="P403" s="301">
        <v>0.0</v>
      </c>
      <c r="Q403" s="301">
        <v>0.0</v>
      </c>
      <c r="R403" s="301">
        <v>0.0</v>
      </c>
      <c r="S403" s="301">
        <v>0.0</v>
      </c>
      <c r="T403" s="301">
        <v>0.0</v>
      </c>
      <c r="U403" s="301">
        <v>0.0</v>
      </c>
      <c r="V403" s="301">
        <v>0.0</v>
      </c>
      <c r="W403" s="301">
        <v>0.0</v>
      </c>
      <c r="X403" s="301">
        <v>0.0</v>
      </c>
      <c r="Y403" s="301">
        <v>0.0</v>
      </c>
      <c r="Z403" s="301">
        <v>0.0</v>
      </c>
      <c r="AA403" s="301">
        <v>0.0</v>
      </c>
      <c r="AB403" s="301">
        <v>0.0</v>
      </c>
      <c r="AC403" s="301">
        <v>0.0</v>
      </c>
      <c r="AD403" s="301">
        <v>0.0</v>
      </c>
      <c r="AE403" s="301">
        <v>0.0</v>
      </c>
      <c r="AF403" s="301">
        <v>0.0</v>
      </c>
      <c r="AG403" s="768">
        <f t="shared" ref="AG403:AG410" si="147">SUM(B403:AF403)</f>
        <v>0</v>
      </c>
    </row>
    <row r="404">
      <c r="A404" s="897" t="s">
        <v>753</v>
      </c>
      <c r="B404" s="301">
        <v>0.0</v>
      </c>
      <c r="C404" s="301">
        <v>0.0</v>
      </c>
      <c r="D404" s="301">
        <v>0.0</v>
      </c>
      <c r="E404" s="301">
        <v>0.0</v>
      </c>
      <c r="F404" s="301">
        <v>0.0</v>
      </c>
      <c r="G404" s="301">
        <v>0.0</v>
      </c>
      <c r="H404" s="301">
        <v>0.0</v>
      </c>
      <c r="I404" s="301">
        <v>0.0</v>
      </c>
      <c r="J404" s="301">
        <v>0.0</v>
      </c>
      <c r="K404" s="301">
        <v>0.0</v>
      </c>
      <c r="L404" s="301">
        <v>0.0</v>
      </c>
      <c r="M404" s="301">
        <v>0.0</v>
      </c>
      <c r="N404" s="301">
        <v>0.0</v>
      </c>
      <c r="O404" s="301">
        <v>0.0</v>
      </c>
      <c r="P404" s="301">
        <v>0.0</v>
      </c>
      <c r="Q404" s="301">
        <v>0.0</v>
      </c>
      <c r="R404" s="301">
        <v>0.0</v>
      </c>
      <c r="S404" s="301">
        <v>0.0</v>
      </c>
      <c r="T404" s="301">
        <v>0.0</v>
      </c>
      <c r="U404" s="301">
        <v>0.0</v>
      </c>
      <c r="V404" s="301">
        <v>0.0</v>
      </c>
      <c r="W404" s="301">
        <v>0.0</v>
      </c>
      <c r="X404" s="301">
        <v>0.0</v>
      </c>
      <c r="Y404" s="301">
        <v>0.0</v>
      </c>
      <c r="Z404" s="301">
        <v>0.0</v>
      </c>
      <c r="AA404" s="301">
        <v>0.0</v>
      </c>
      <c r="AB404" s="301">
        <v>0.0</v>
      </c>
      <c r="AC404" s="301">
        <v>0.0</v>
      </c>
      <c r="AD404" s="301">
        <v>0.0</v>
      </c>
      <c r="AE404" s="301">
        <v>0.0</v>
      </c>
      <c r="AF404" s="301">
        <v>0.0</v>
      </c>
      <c r="AG404" s="768">
        <f t="shared" si="147"/>
        <v>0</v>
      </c>
    </row>
    <row r="405">
      <c r="A405" s="897" t="s">
        <v>754</v>
      </c>
      <c r="B405" s="301">
        <v>0.0</v>
      </c>
      <c r="C405" s="301">
        <v>0.0</v>
      </c>
      <c r="D405" s="301">
        <v>0.0</v>
      </c>
      <c r="E405" s="301">
        <v>0.0</v>
      </c>
      <c r="F405" s="301">
        <v>0.0</v>
      </c>
      <c r="G405" s="301">
        <v>0.0</v>
      </c>
      <c r="H405" s="301">
        <v>0.0</v>
      </c>
      <c r="I405" s="301">
        <v>0.0</v>
      </c>
      <c r="J405" s="301">
        <v>0.0</v>
      </c>
      <c r="K405" s="301">
        <v>0.0</v>
      </c>
      <c r="L405" s="301">
        <v>0.0</v>
      </c>
      <c r="M405" s="301">
        <v>0.0</v>
      </c>
      <c r="N405" s="301">
        <v>0.0</v>
      </c>
      <c r="O405" s="301">
        <v>0.0</v>
      </c>
      <c r="P405" s="301">
        <v>0.0</v>
      </c>
      <c r="Q405" s="301">
        <v>0.0</v>
      </c>
      <c r="R405" s="301">
        <v>0.0</v>
      </c>
      <c r="S405" s="301">
        <v>0.0</v>
      </c>
      <c r="T405" s="301">
        <v>0.0</v>
      </c>
      <c r="U405" s="301">
        <v>0.0</v>
      </c>
      <c r="V405" s="301">
        <v>0.0</v>
      </c>
      <c r="W405" s="301">
        <v>0.0</v>
      </c>
      <c r="X405" s="301">
        <v>0.0</v>
      </c>
      <c r="Y405" s="301">
        <v>0.0</v>
      </c>
      <c r="Z405" s="301">
        <v>0.0</v>
      </c>
      <c r="AA405" s="301">
        <v>0.0</v>
      </c>
      <c r="AB405" s="301">
        <v>0.0</v>
      </c>
      <c r="AC405" s="301">
        <v>0.0</v>
      </c>
      <c r="AD405" s="301">
        <v>0.0</v>
      </c>
      <c r="AE405" s="301">
        <v>0.0</v>
      </c>
      <c r="AF405" s="301">
        <v>0.0</v>
      </c>
      <c r="AG405" s="768">
        <f t="shared" si="147"/>
        <v>0</v>
      </c>
    </row>
    <row r="406">
      <c r="A406" s="897" t="s">
        <v>755</v>
      </c>
      <c r="B406" s="301">
        <v>0.0</v>
      </c>
      <c r="C406" s="301">
        <v>0.0</v>
      </c>
      <c r="D406" s="301">
        <v>0.0</v>
      </c>
      <c r="E406" s="301">
        <v>0.0</v>
      </c>
      <c r="F406" s="301">
        <v>0.0</v>
      </c>
      <c r="G406" s="301">
        <v>0.0</v>
      </c>
      <c r="H406" s="301">
        <v>0.0</v>
      </c>
      <c r="I406" s="301">
        <v>0.0</v>
      </c>
      <c r="J406" s="301">
        <v>0.0</v>
      </c>
      <c r="K406" s="301">
        <v>0.0</v>
      </c>
      <c r="L406" s="301">
        <v>0.0</v>
      </c>
      <c r="M406" s="301">
        <v>0.0</v>
      </c>
      <c r="N406" s="301">
        <v>0.0</v>
      </c>
      <c r="O406" s="301">
        <v>0.0</v>
      </c>
      <c r="P406" s="301">
        <v>0.0</v>
      </c>
      <c r="Q406" s="301">
        <v>0.0</v>
      </c>
      <c r="R406" s="301">
        <v>0.0</v>
      </c>
      <c r="S406" s="301">
        <v>0.0</v>
      </c>
      <c r="T406" s="301">
        <v>0.0</v>
      </c>
      <c r="U406" s="301">
        <v>0.0</v>
      </c>
      <c r="V406" s="301">
        <v>0.0</v>
      </c>
      <c r="W406" s="301">
        <v>0.0</v>
      </c>
      <c r="X406" s="301">
        <v>0.0</v>
      </c>
      <c r="Y406" s="301">
        <v>0.0</v>
      </c>
      <c r="Z406" s="301">
        <v>0.0</v>
      </c>
      <c r="AA406" s="301">
        <v>0.0</v>
      </c>
      <c r="AB406" s="301">
        <v>0.0</v>
      </c>
      <c r="AC406" s="301">
        <v>0.0</v>
      </c>
      <c r="AD406" s="301">
        <v>0.0</v>
      </c>
      <c r="AE406" s="301">
        <v>0.0</v>
      </c>
      <c r="AF406" s="301">
        <v>0.0</v>
      </c>
      <c r="AG406" s="768">
        <f t="shared" si="147"/>
        <v>0</v>
      </c>
    </row>
    <row r="407">
      <c r="A407" s="897" t="s">
        <v>756</v>
      </c>
      <c r="B407" s="301">
        <v>0.0</v>
      </c>
      <c r="C407" s="301">
        <v>0.0</v>
      </c>
      <c r="D407" s="301">
        <v>0.0</v>
      </c>
      <c r="E407" s="301">
        <v>0.0</v>
      </c>
      <c r="F407" s="301">
        <v>0.0</v>
      </c>
      <c r="G407" s="301">
        <v>0.0</v>
      </c>
      <c r="H407" s="301">
        <v>0.0</v>
      </c>
      <c r="I407" s="301">
        <v>0.0</v>
      </c>
      <c r="J407" s="301">
        <v>0.0</v>
      </c>
      <c r="K407" s="301">
        <v>0.0</v>
      </c>
      <c r="L407" s="301">
        <v>0.0</v>
      </c>
      <c r="M407" s="301">
        <v>0.0</v>
      </c>
      <c r="N407" s="301">
        <v>0.0</v>
      </c>
      <c r="O407" s="301">
        <v>0.0</v>
      </c>
      <c r="P407" s="301">
        <v>0.0</v>
      </c>
      <c r="Q407" s="301">
        <v>0.0</v>
      </c>
      <c r="R407" s="301">
        <v>0.0</v>
      </c>
      <c r="S407" s="301">
        <v>0.0</v>
      </c>
      <c r="T407" s="301">
        <v>0.0</v>
      </c>
      <c r="U407" s="301">
        <v>0.0</v>
      </c>
      <c r="V407" s="301">
        <v>0.0</v>
      </c>
      <c r="W407" s="301">
        <v>0.0</v>
      </c>
      <c r="X407" s="301">
        <v>0.0</v>
      </c>
      <c r="Y407" s="301">
        <v>0.0</v>
      </c>
      <c r="Z407" s="301">
        <v>0.0</v>
      </c>
      <c r="AA407" s="301">
        <v>0.0</v>
      </c>
      <c r="AB407" s="301">
        <v>0.0</v>
      </c>
      <c r="AC407" s="301">
        <v>0.0</v>
      </c>
      <c r="AD407" s="301">
        <v>0.0</v>
      </c>
      <c r="AE407" s="301">
        <v>0.0</v>
      </c>
      <c r="AF407" s="301">
        <v>0.0</v>
      </c>
      <c r="AG407" s="768">
        <f t="shared" si="147"/>
        <v>0</v>
      </c>
    </row>
    <row r="408">
      <c r="A408" s="897" t="s">
        <v>757</v>
      </c>
      <c r="B408" s="301">
        <v>0.0</v>
      </c>
      <c r="C408" s="301">
        <v>0.0</v>
      </c>
      <c r="D408" s="301">
        <v>0.0</v>
      </c>
      <c r="E408" s="301">
        <v>0.0</v>
      </c>
      <c r="F408" s="301">
        <v>0.0</v>
      </c>
      <c r="G408" s="301">
        <v>0.0</v>
      </c>
      <c r="H408" s="301">
        <v>0.0</v>
      </c>
      <c r="I408" s="301">
        <v>0.0</v>
      </c>
      <c r="J408" s="301">
        <v>0.0</v>
      </c>
      <c r="K408" s="301">
        <v>0.0</v>
      </c>
      <c r="L408" s="301">
        <v>0.0</v>
      </c>
      <c r="M408" s="301">
        <v>0.0</v>
      </c>
      <c r="N408" s="301">
        <v>0.0</v>
      </c>
      <c r="O408" s="301">
        <v>0.0</v>
      </c>
      <c r="P408" s="301">
        <v>0.0</v>
      </c>
      <c r="Q408" s="301">
        <v>0.0</v>
      </c>
      <c r="R408" s="301">
        <v>0.0</v>
      </c>
      <c r="S408" s="301">
        <v>0.0</v>
      </c>
      <c r="T408" s="301">
        <v>0.0</v>
      </c>
      <c r="U408" s="301">
        <v>0.0</v>
      </c>
      <c r="V408" s="301">
        <v>0.0</v>
      </c>
      <c r="W408" s="301">
        <v>0.0</v>
      </c>
      <c r="X408" s="301">
        <v>0.0</v>
      </c>
      <c r="Y408" s="301">
        <v>0.0</v>
      </c>
      <c r="Z408" s="301">
        <v>0.0</v>
      </c>
      <c r="AA408" s="301">
        <v>0.0</v>
      </c>
      <c r="AB408" s="301">
        <v>0.0</v>
      </c>
      <c r="AC408" s="301">
        <v>0.0</v>
      </c>
      <c r="AD408" s="301">
        <v>0.0</v>
      </c>
      <c r="AE408" s="301">
        <v>0.0</v>
      </c>
      <c r="AF408" s="301">
        <v>0.0</v>
      </c>
      <c r="AG408" s="768">
        <f t="shared" si="147"/>
        <v>0</v>
      </c>
    </row>
    <row r="409">
      <c r="A409" s="369" t="s">
        <v>725</v>
      </c>
      <c r="B409" s="922">
        <f t="shared" ref="B409:AE409" si="148">B403+B405+B407</f>
        <v>0</v>
      </c>
      <c r="C409" s="365">
        <f t="shared" si="148"/>
        <v>0</v>
      </c>
      <c r="D409" s="365">
        <f t="shared" si="148"/>
        <v>0</v>
      </c>
      <c r="E409" s="365">
        <f t="shared" si="148"/>
        <v>0</v>
      </c>
      <c r="F409" s="365">
        <f t="shared" si="148"/>
        <v>0</v>
      </c>
      <c r="G409" s="365">
        <f t="shared" si="148"/>
        <v>0</v>
      </c>
      <c r="H409" s="365">
        <f t="shared" si="148"/>
        <v>0</v>
      </c>
      <c r="I409" s="365">
        <f t="shared" si="148"/>
        <v>0</v>
      </c>
      <c r="J409" s="365">
        <f t="shared" si="148"/>
        <v>0</v>
      </c>
      <c r="K409" s="365">
        <f t="shared" si="148"/>
        <v>0</v>
      </c>
      <c r="L409" s="365">
        <f t="shared" si="148"/>
        <v>0</v>
      </c>
      <c r="M409" s="365">
        <f t="shared" si="148"/>
        <v>0</v>
      </c>
      <c r="N409" s="365">
        <f t="shared" si="148"/>
        <v>0</v>
      </c>
      <c r="O409" s="365">
        <f t="shared" si="148"/>
        <v>0</v>
      </c>
      <c r="P409" s="365">
        <f t="shared" si="148"/>
        <v>0</v>
      </c>
      <c r="Q409" s="365">
        <f t="shared" si="148"/>
        <v>0</v>
      </c>
      <c r="R409" s="365">
        <f t="shared" si="148"/>
        <v>0</v>
      </c>
      <c r="S409" s="365">
        <f t="shared" si="148"/>
        <v>0</v>
      </c>
      <c r="T409" s="365">
        <f t="shared" si="148"/>
        <v>0</v>
      </c>
      <c r="U409" s="365">
        <f t="shared" si="148"/>
        <v>0</v>
      </c>
      <c r="V409" s="365">
        <f t="shared" si="148"/>
        <v>0</v>
      </c>
      <c r="W409" s="365">
        <f t="shared" si="148"/>
        <v>0</v>
      </c>
      <c r="X409" s="365">
        <f t="shared" si="148"/>
        <v>0</v>
      </c>
      <c r="Y409" s="365">
        <f t="shared" si="148"/>
        <v>0</v>
      </c>
      <c r="Z409" s="365">
        <f t="shared" si="148"/>
        <v>0</v>
      </c>
      <c r="AA409" s="365">
        <f t="shared" si="148"/>
        <v>0</v>
      </c>
      <c r="AB409" s="365">
        <f t="shared" si="148"/>
        <v>0</v>
      </c>
      <c r="AC409" s="365">
        <f t="shared" si="148"/>
        <v>0</v>
      </c>
      <c r="AD409" s="365">
        <f t="shared" si="148"/>
        <v>0</v>
      </c>
      <c r="AE409" s="365">
        <f t="shared" si="148"/>
        <v>0</v>
      </c>
      <c r="AF409" s="369"/>
      <c r="AG409" s="768">
        <f t="shared" si="147"/>
        <v>0</v>
      </c>
    </row>
    <row r="410">
      <c r="A410" s="369" t="s">
        <v>758</v>
      </c>
      <c r="B410" s="922">
        <f t="shared" ref="B410:AE410" si="149">B404+B406+B408</f>
        <v>0</v>
      </c>
      <c r="C410" s="365">
        <f t="shared" si="149"/>
        <v>0</v>
      </c>
      <c r="D410" s="365">
        <f t="shared" si="149"/>
        <v>0</v>
      </c>
      <c r="E410" s="365">
        <f t="shared" si="149"/>
        <v>0</v>
      </c>
      <c r="F410" s="365">
        <f t="shared" si="149"/>
        <v>0</v>
      </c>
      <c r="G410" s="365">
        <f t="shared" si="149"/>
        <v>0</v>
      </c>
      <c r="H410" s="365">
        <f t="shared" si="149"/>
        <v>0</v>
      </c>
      <c r="I410" s="365">
        <f t="shared" si="149"/>
        <v>0</v>
      </c>
      <c r="J410" s="365">
        <f t="shared" si="149"/>
        <v>0</v>
      </c>
      <c r="K410" s="365">
        <f t="shared" si="149"/>
        <v>0</v>
      </c>
      <c r="L410" s="365">
        <f t="shared" si="149"/>
        <v>0</v>
      </c>
      <c r="M410" s="365">
        <f t="shared" si="149"/>
        <v>0</v>
      </c>
      <c r="N410" s="365">
        <f t="shared" si="149"/>
        <v>0</v>
      </c>
      <c r="O410" s="365">
        <f t="shared" si="149"/>
        <v>0</v>
      </c>
      <c r="P410" s="365">
        <f t="shared" si="149"/>
        <v>0</v>
      </c>
      <c r="Q410" s="365">
        <f t="shared" si="149"/>
        <v>0</v>
      </c>
      <c r="R410" s="365">
        <f t="shared" si="149"/>
        <v>0</v>
      </c>
      <c r="S410" s="365">
        <f t="shared" si="149"/>
        <v>0</v>
      </c>
      <c r="T410" s="365">
        <f t="shared" si="149"/>
        <v>0</v>
      </c>
      <c r="U410" s="365">
        <f t="shared" si="149"/>
        <v>0</v>
      </c>
      <c r="V410" s="365">
        <f t="shared" si="149"/>
        <v>0</v>
      </c>
      <c r="W410" s="365">
        <f t="shared" si="149"/>
        <v>0</v>
      </c>
      <c r="X410" s="365">
        <f t="shared" si="149"/>
        <v>0</v>
      </c>
      <c r="Y410" s="365">
        <f t="shared" si="149"/>
        <v>0</v>
      </c>
      <c r="Z410" s="365">
        <f t="shared" si="149"/>
        <v>0</v>
      </c>
      <c r="AA410" s="365">
        <f t="shared" si="149"/>
        <v>0</v>
      </c>
      <c r="AB410" s="365">
        <f t="shared" si="149"/>
        <v>0</v>
      </c>
      <c r="AC410" s="365">
        <f t="shared" si="149"/>
        <v>0</v>
      </c>
      <c r="AD410" s="365">
        <f t="shared" si="149"/>
        <v>0</v>
      </c>
      <c r="AE410" s="365">
        <f t="shared" si="149"/>
        <v>0</v>
      </c>
      <c r="AF410" s="369"/>
      <c r="AG410" s="768">
        <f t="shared" si="147"/>
        <v>0</v>
      </c>
    </row>
    <row r="411">
      <c r="A411" s="42"/>
      <c r="B411" s="923"/>
      <c r="C411" s="923"/>
      <c r="D411" s="923"/>
      <c r="E411" s="923"/>
      <c r="F411" s="923"/>
      <c r="G411" s="923"/>
      <c r="H411" s="923"/>
      <c r="I411" s="923"/>
      <c r="J411" s="923"/>
      <c r="K411" s="923"/>
      <c r="L411" s="923"/>
      <c r="M411" s="923"/>
      <c r="N411" s="923"/>
      <c r="O411" s="923"/>
      <c r="P411" s="923"/>
      <c r="Q411" s="923"/>
      <c r="R411" s="923"/>
      <c r="S411" s="923"/>
      <c r="T411" s="923"/>
      <c r="U411" s="923"/>
      <c r="V411" s="923"/>
      <c r="W411" s="923"/>
      <c r="X411" s="923"/>
      <c r="Y411" s="923"/>
      <c r="Z411" s="923"/>
      <c r="AA411" s="923"/>
      <c r="AB411" s="923"/>
      <c r="AC411" s="923"/>
      <c r="AD411" s="923"/>
      <c r="AE411" s="923"/>
      <c r="AF411" s="923"/>
      <c r="AG411" s="11"/>
    </row>
    <row r="412">
      <c r="A412" s="897" t="s">
        <v>760</v>
      </c>
      <c r="B412" s="301">
        <v>0.0</v>
      </c>
      <c r="C412" s="301">
        <v>0.0</v>
      </c>
      <c r="D412" s="301">
        <v>0.0</v>
      </c>
      <c r="E412" s="301">
        <v>0.0</v>
      </c>
      <c r="F412" s="301">
        <v>0.0</v>
      </c>
      <c r="G412" s="301">
        <v>0.0</v>
      </c>
      <c r="H412" s="301">
        <v>0.0</v>
      </c>
      <c r="I412" s="301">
        <v>0.0</v>
      </c>
      <c r="J412" s="301">
        <v>0.0</v>
      </c>
      <c r="K412" s="301">
        <v>0.0</v>
      </c>
      <c r="L412" s="301">
        <v>0.0</v>
      </c>
      <c r="M412" s="301">
        <v>0.0</v>
      </c>
      <c r="N412" s="301">
        <v>0.0</v>
      </c>
      <c r="O412" s="301">
        <v>0.0</v>
      </c>
      <c r="P412" s="301">
        <v>0.0</v>
      </c>
      <c r="Q412" s="301">
        <v>0.0</v>
      </c>
      <c r="R412" s="301">
        <v>0.0</v>
      </c>
      <c r="S412" s="301">
        <v>0.0</v>
      </c>
      <c r="T412" s="301">
        <v>0.0</v>
      </c>
      <c r="U412" s="301">
        <v>0.0</v>
      </c>
      <c r="V412" s="301">
        <v>0.0</v>
      </c>
      <c r="W412" s="301">
        <v>0.0</v>
      </c>
      <c r="X412" s="301">
        <v>0.0</v>
      </c>
      <c r="Y412" s="301">
        <v>0.0</v>
      </c>
      <c r="Z412" s="301">
        <v>0.0</v>
      </c>
      <c r="AA412" s="301">
        <v>0.0</v>
      </c>
      <c r="AB412" s="301">
        <v>0.0</v>
      </c>
      <c r="AC412" s="301">
        <v>0.0</v>
      </c>
      <c r="AD412" s="301">
        <v>0.0</v>
      </c>
      <c r="AE412" s="301">
        <v>0.0</v>
      </c>
      <c r="AF412" s="301">
        <v>0.0</v>
      </c>
      <c r="AG412" s="768">
        <f t="shared" ref="AG412:AG417" si="150">SUM(B412:AF412)</f>
        <v>0</v>
      </c>
    </row>
    <row r="413">
      <c r="A413" s="897" t="s">
        <v>761</v>
      </c>
      <c r="B413" s="301">
        <v>0.0</v>
      </c>
      <c r="C413" s="301">
        <v>0.0</v>
      </c>
      <c r="D413" s="301">
        <v>0.0</v>
      </c>
      <c r="E413" s="301">
        <v>0.0</v>
      </c>
      <c r="F413" s="301">
        <v>0.0</v>
      </c>
      <c r="G413" s="301">
        <v>0.0</v>
      </c>
      <c r="H413" s="301">
        <v>0.0</v>
      </c>
      <c r="I413" s="301">
        <v>0.0</v>
      </c>
      <c r="J413" s="301">
        <v>0.0</v>
      </c>
      <c r="K413" s="301">
        <v>0.0</v>
      </c>
      <c r="L413" s="301">
        <v>0.0</v>
      </c>
      <c r="M413" s="301">
        <v>0.0</v>
      </c>
      <c r="N413" s="301">
        <v>0.0</v>
      </c>
      <c r="O413" s="301">
        <v>0.0</v>
      </c>
      <c r="P413" s="301">
        <v>0.0</v>
      </c>
      <c r="Q413" s="301">
        <v>0.0</v>
      </c>
      <c r="R413" s="301">
        <v>0.0</v>
      </c>
      <c r="S413" s="301">
        <v>0.0</v>
      </c>
      <c r="T413" s="301">
        <v>0.0</v>
      </c>
      <c r="U413" s="301">
        <v>0.0</v>
      </c>
      <c r="V413" s="301">
        <v>0.0</v>
      </c>
      <c r="W413" s="301">
        <v>0.0</v>
      </c>
      <c r="X413" s="301">
        <v>0.0</v>
      </c>
      <c r="Y413" s="301">
        <v>0.0</v>
      </c>
      <c r="Z413" s="301">
        <v>0.0</v>
      </c>
      <c r="AA413" s="301">
        <v>0.0</v>
      </c>
      <c r="AB413" s="301">
        <v>0.0</v>
      </c>
      <c r="AC413" s="301">
        <v>0.0</v>
      </c>
      <c r="AD413" s="301">
        <v>0.0</v>
      </c>
      <c r="AE413" s="301">
        <v>0.0</v>
      </c>
      <c r="AF413" s="301">
        <v>0.0</v>
      </c>
      <c r="AG413" s="768">
        <f t="shared" si="150"/>
        <v>0</v>
      </c>
    </row>
    <row r="414">
      <c r="A414" s="897" t="s">
        <v>762</v>
      </c>
      <c r="B414" s="301">
        <v>0.0</v>
      </c>
      <c r="C414" s="301">
        <v>0.0</v>
      </c>
      <c r="D414" s="301">
        <v>0.0</v>
      </c>
      <c r="E414" s="301">
        <v>0.0</v>
      </c>
      <c r="F414" s="301">
        <v>0.0</v>
      </c>
      <c r="G414" s="301">
        <v>0.0</v>
      </c>
      <c r="H414" s="301">
        <v>0.0</v>
      </c>
      <c r="I414" s="301">
        <v>0.0</v>
      </c>
      <c r="J414" s="301">
        <v>0.0</v>
      </c>
      <c r="K414" s="301">
        <v>0.0</v>
      </c>
      <c r="L414" s="301">
        <v>0.0</v>
      </c>
      <c r="M414" s="301">
        <v>0.0</v>
      </c>
      <c r="N414" s="301">
        <v>0.0</v>
      </c>
      <c r="O414" s="301">
        <v>0.0</v>
      </c>
      <c r="P414" s="301">
        <v>0.0</v>
      </c>
      <c r="Q414" s="301">
        <v>0.0</v>
      </c>
      <c r="R414" s="301">
        <v>0.0</v>
      </c>
      <c r="S414" s="301">
        <v>0.0</v>
      </c>
      <c r="T414" s="301">
        <v>0.0</v>
      </c>
      <c r="U414" s="301">
        <v>0.0</v>
      </c>
      <c r="V414" s="301">
        <v>0.0</v>
      </c>
      <c r="W414" s="301">
        <v>0.0</v>
      </c>
      <c r="X414" s="301">
        <v>0.0</v>
      </c>
      <c r="Y414" s="301">
        <v>0.0</v>
      </c>
      <c r="Z414" s="301">
        <v>0.0</v>
      </c>
      <c r="AA414" s="301">
        <v>0.0</v>
      </c>
      <c r="AB414" s="301">
        <v>0.0</v>
      </c>
      <c r="AC414" s="301">
        <v>0.0</v>
      </c>
      <c r="AD414" s="301">
        <v>0.0</v>
      </c>
      <c r="AE414" s="301">
        <v>0.0</v>
      </c>
      <c r="AF414" s="301">
        <v>0.0</v>
      </c>
      <c r="AG414" s="768">
        <f t="shared" si="150"/>
        <v>0</v>
      </c>
    </row>
    <row r="415">
      <c r="A415" s="897" t="s">
        <v>763</v>
      </c>
      <c r="B415" s="301">
        <v>0.0</v>
      </c>
      <c r="C415" s="301">
        <v>0.0</v>
      </c>
      <c r="D415" s="301">
        <v>0.0</v>
      </c>
      <c r="E415" s="301">
        <v>0.0</v>
      </c>
      <c r="F415" s="301">
        <v>0.0</v>
      </c>
      <c r="G415" s="301">
        <v>0.0</v>
      </c>
      <c r="H415" s="301">
        <v>0.0</v>
      </c>
      <c r="I415" s="301">
        <v>0.0</v>
      </c>
      <c r="J415" s="301">
        <v>0.0</v>
      </c>
      <c r="K415" s="301">
        <v>0.0</v>
      </c>
      <c r="L415" s="301">
        <v>0.0</v>
      </c>
      <c r="M415" s="301">
        <v>0.0</v>
      </c>
      <c r="N415" s="301">
        <v>0.0</v>
      </c>
      <c r="O415" s="301">
        <v>0.0</v>
      </c>
      <c r="P415" s="301">
        <v>0.0</v>
      </c>
      <c r="Q415" s="301">
        <v>0.0</v>
      </c>
      <c r="R415" s="301">
        <v>0.0</v>
      </c>
      <c r="S415" s="301">
        <v>0.0</v>
      </c>
      <c r="T415" s="301">
        <v>0.0</v>
      </c>
      <c r="U415" s="301">
        <v>0.0</v>
      </c>
      <c r="V415" s="301">
        <v>0.0</v>
      </c>
      <c r="W415" s="301">
        <v>0.0</v>
      </c>
      <c r="X415" s="301">
        <v>0.0</v>
      </c>
      <c r="Y415" s="301">
        <v>0.0</v>
      </c>
      <c r="Z415" s="301">
        <v>0.0</v>
      </c>
      <c r="AA415" s="301">
        <v>0.0</v>
      </c>
      <c r="AB415" s="301">
        <v>0.0</v>
      </c>
      <c r="AC415" s="301">
        <v>0.0</v>
      </c>
      <c r="AD415" s="301">
        <v>0.0</v>
      </c>
      <c r="AE415" s="301">
        <v>0.0</v>
      </c>
      <c r="AF415" s="301">
        <v>0.0</v>
      </c>
      <c r="AG415" s="768">
        <f t="shared" si="150"/>
        <v>0</v>
      </c>
    </row>
    <row r="416">
      <c r="A416" s="897" t="s">
        <v>764</v>
      </c>
      <c r="B416" s="301">
        <v>0.0</v>
      </c>
      <c r="C416" s="301">
        <v>0.0</v>
      </c>
      <c r="D416" s="301">
        <v>0.0</v>
      </c>
      <c r="E416" s="301">
        <v>0.0</v>
      </c>
      <c r="F416" s="301">
        <v>0.0</v>
      </c>
      <c r="G416" s="301">
        <v>0.0</v>
      </c>
      <c r="H416" s="301">
        <v>0.0</v>
      </c>
      <c r="I416" s="301">
        <v>0.0</v>
      </c>
      <c r="J416" s="301">
        <v>0.0</v>
      </c>
      <c r="K416" s="301">
        <v>0.0</v>
      </c>
      <c r="L416" s="301">
        <v>0.0</v>
      </c>
      <c r="M416" s="301">
        <v>0.0</v>
      </c>
      <c r="N416" s="301">
        <v>0.0</v>
      </c>
      <c r="O416" s="301">
        <v>0.0</v>
      </c>
      <c r="P416" s="301">
        <v>0.0</v>
      </c>
      <c r="Q416" s="301">
        <v>0.0</v>
      </c>
      <c r="R416" s="301">
        <v>0.0</v>
      </c>
      <c r="S416" s="301">
        <v>0.0</v>
      </c>
      <c r="T416" s="301">
        <v>0.0</v>
      </c>
      <c r="U416" s="301">
        <v>0.0</v>
      </c>
      <c r="V416" s="301">
        <v>0.0</v>
      </c>
      <c r="W416" s="301">
        <v>0.0</v>
      </c>
      <c r="X416" s="301">
        <v>0.0</v>
      </c>
      <c r="Y416" s="301">
        <v>0.0</v>
      </c>
      <c r="Z416" s="301">
        <v>0.0</v>
      </c>
      <c r="AA416" s="301">
        <v>0.0</v>
      </c>
      <c r="AB416" s="301">
        <v>0.0</v>
      </c>
      <c r="AC416" s="301">
        <v>0.0</v>
      </c>
      <c r="AD416" s="301">
        <v>0.0</v>
      </c>
      <c r="AE416" s="301">
        <v>0.0</v>
      </c>
      <c r="AF416" s="301">
        <v>0.0</v>
      </c>
      <c r="AG416" s="768">
        <f t="shared" si="150"/>
        <v>0</v>
      </c>
    </row>
    <row r="417">
      <c r="A417" s="907" t="s">
        <v>765</v>
      </c>
      <c r="B417" s="365">
        <f t="shared" ref="B417:AE417" si="151">SUM(B412:B416)</f>
        <v>0</v>
      </c>
      <c r="C417" s="365">
        <f t="shared" si="151"/>
        <v>0</v>
      </c>
      <c r="D417" s="365">
        <f t="shared" si="151"/>
        <v>0</v>
      </c>
      <c r="E417" s="365">
        <f t="shared" si="151"/>
        <v>0</v>
      </c>
      <c r="F417" s="365">
        <f t="shared" si="151"/>
        <v>0</v>
      </c>
      <c r="G417" s="365">
        <f t="shared" si="151"/>
        <v>0</v>
      </c>
      <c r="H417" s="365">
        <f t="shared" si="151"/>
        <v>0</v>
      </c>
      <c r="I417" s="365">
        <f t="shared" si="151"/>
        <v>0</v>
      </c>
      <c r="J417" s="365">
        <f t="shared" si="151"/>
        <v>0</v>
      </c>
      <c r="K417" s="365">
        <f t="shared" si="151"/>
        <v>0</v>
      </c>
      <c r="L417" s="365">
        <f t="shared" si="151"/>
        <v>0</v>
      </c>
      <c r="M417" s="365">
        <f t="shared" si="151"/>
        <v>0</v>
      </c>
      <c r="N417" s="365">
        <f t="shared" si="151"/>
        <v>0</v>
      </c>
      <c r="O417" s="365">
        <f t="shared" si="151"/>
        <v>0</v>
      </c>
      <c r="P417" s="365">
        <f t="shared" si="151"/>
        <v>0</v>
      </c>
      <c r="Q417" s="365">
        <f t="shared" si="151"/>
        <v>0</v>
      </c>
      <c r="R417" s="365">
        <f t="shared" si="151"/>
        <v>0</v>
      </c>
      <c r="S417" s="365">
        <f t="shared" si="151"/>
        <v>0</v>
      </c>
      <c r="T417" s="365">
        <f t="shared" si="151"/>
        <v>0</v>
      </c>
      <c r="U417" s="365">
        <f t="shared" si="151"/>
        <v>0</v>
      </c>
      <c r="V417" s="365">
        <f t="shared" si="151"/>
        <v>0</v>
      </c>
      <c r="W417" s="365">
        <f t="shared" si="151"/>
        <v>0</v>
      </c>
      <c r="X417" s="365">
        <f t="shared" si="151"/>
        <v>0</v>
      </c>
      <c r="Y417" s="365">
        <f t="shared" si="151"/>
        <v>0</v>
      </c>
      <c r="Z417" s="365">
        <f t="shared" si="151"/>
        <v>0</v>
      </c>
      <c r="AA417" s="365">
        <f t="shared" si="151"/>
        <v>0</v>
      </c>
      <c r="AB417" s="365">
        <f t="shared" si="151"/>
        <v>0</v>
      </c>
      <c r="AC417" s="365">
        <f t="shared" si="151"/>
        <v>0</v>
      </c>
      <c r="AD417" s="365">
        <f t="shared" si="151"/>
        <v>0</v>
      </c>
      <c r="AE417" s="365">
        <f t="shared" si="151"/>
        <v>0</v>
      </c>
      <c r="AF417" s="365"/>
      <c r="AG417" s="768">
        <f t="shared" si="150"/>
        <v>0</v>
      </c>
    </row>
    <row r="418">
      <c r="A418" s="42"/>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c r="AA418" s="301"/>
      <c r="AB418" s="301"/>
      <c r="AC418" s="301"/>
      <c r="AD418" s="301"/>
      <c r="AE418" s="301"/>
      <c r="AF418" s="301"/>
      <c r="AG418" s="768"/>
    </row>
    <row r="419">
      <c r="A419" s="897" t="s">
        <v>767</v>
      </c>
      <c r="B419" s="301">
        <v>0.0</v>
      </c>
      <c r="C419" s="301">
        <v>0.0</v>
      </c>
      <c r="D419" s="301">
        <v>0.0</v>
      </c>
      <c r="E419" s="301">
        <v>0.0</v>
      </c>
      <c r="F419" s="301">
        <v>0.0</v>
      </c>
      <c r="G419" s="301">
        <v>0.0</v>
      </c>
      <c r="H419" s="301">
        <v>0.0</v>
      </c>
      <c r="I419" s="301">
        <v>0.0</v>
      </c>
      <c r="J419" s="301">
        <v>0.0</v>
      </c>
      <c r="K419" s="301">
        <v>0.0</v>
      </c>
      <c r="L419" s="301">
        <v>0.0</v>
      </c>
      <c r="M419" s="301">
        <v>0.0</v>
      </c>
      <c r="N419" s="301">
        <v>0.0</v>
      </c>
      <c r="O419" s="301">
        <v>0.0</v>
      </c>
      <c r="P419" s="301">
        <v>0.0</v>
      </c>
      <c r="Q419" s="301">
        <v>0.0</v>
      </c>
      <c r="R419" s="301">
        <v>0.0</v>
      </c>
      <c r="S419" s="301">
        <v>0.0</v>
      </c>
      <c r="T419" s="301">
        <v>0.0</v>
      </c>
      <c r="U419" s="301">
        <v>0.0</v>
      </c>
      <c r="V419" s="301">
        <v>0.0</v>
      </c>
      <c r="W419" s="301">
        <v>0.0</v>
      </c>
      <c r="X419" s="301">
        <v>0.0</v>
      </c>
      <c r="Y419" s="301">
        <v>0.0</v>
      </c>
      <c r="Z419" s="301">
        <v>0.0</v>
      </c>
      <c r="AA419" s="301">
        <v>0.0</v>
      </c>
      <c r="AB419" s="301">
        <v>0.0</v>
      </c>
      <c r="AC419" s="301">
        <v>0.0</v>
      </c>
      <c r="AD419" s="301">
        <v>0.0</v>
      </c>
      <c r="AE419" s="301">
        <v>0.0</v>
      </c>
      <c r="AF419" s="301">
        <v>0.0</v>
      </c>
      <c r="AG419" s="768">
        <f t="shared" ref="AG419:AG424" si="152">SUM(B419:AF419)</f>
        <v>0</v>
      </c>
    </row>
    <row r="420">
      <c r="A420" s="897" t="s">
        <v>769</v>
      </c>
      <c r="B420" s="301">
        <v>0.0</v>
      </c>
      <c r="C420" s="301">
        <v>0.0</v>
      </c>
      <c r="D420" s="301">
        <v>0.0</v>
      </c>
      <c r="E420" s="301">
        <v>0.0</v>
      </c>
      <c r="F420" s="301">
        <v>0.0</v>
      </c>
      <c r="G420" s="301">
        <v>0.0</v>
      </c>
      <c r="H420" s="301">
        <v>0.0</v>
      </c>
      <c r="I420" s="301">
        <v>0.0</v>
      </c>
      <c r="J420" s="301">
        <v>0.0</v>
      </c>
      <c r="K420" s="301">
        <v>0.0</v>
      </c>
      <c r="L420" s="301">
        <v>0.0</v>
      </c>
      <c r="M420" s="301">
        <v>0.0</v>
      </c>
      <c r="N420" s="301">
        <v>0.0</v>
      </c>
      <c r="O420" s="301">
        <v>0.0</v>
      </c>
      <c r="P420" s="301">
        <v>0.0</v>
      </c>
      <c r="Q420" s="301">
        <v>0.0</v>
      </c>
      <c r="R420" s="301">
        <v>0.0</v>
      </c>
      <c r="S420" s="301">
        <v>0.0</v>
      </c>
      <c r="T420" s="301">
        <v>0.0</v>
      </c>
      <c r="U420" s="301">
        <v>0.0</v>
      </c>
      <c r="V420" s="301">
        <v>0.0</v>
      </c>
      <c r="W420" s="301">
        <v>0.0</v>
      </c>
      <c r="X420" s="301">
        <v>0.0</v>
      </c>
      <c r="Y420" s="301">
        <v>0.0</v>
      </c>
      <c r="Z420" s="301">
        <v>0.0</v>
      </c>
      <c r="AA420" s="301">
        <v>0.0</v>
      </c>
      <c r="AB420" s="301">
        <v>0.0</v>
      </c>
      <c r="AC420" s="301">
        <v>0.0</v>
      </c>
      <c r="AD420" s="301">
        <v>0.0</v>
      </c>
      <c r="AE420" s="301">
        <v>0.0</v>
      </c>
      <c r="AF420" s="301">
        <v>0.0</v>
      </c>
      <c r="AG420" s="768">
        <f t="shared" si="152"/>
        <v>0</v>
      </c>
    </row>
    <row r="421">
      <c r="A421" s="897" t="s">
        <v>770</v>
      </c>
      <c r="B421" s="301">
        <v>0.0</v>
      </c>
      <c r="C421" s="301">
        <v>0.0</v>
      </c>
      <c r="D421" s="301">
        <v>0.0</v>
      </c>
      <c r="E421" s="301">
        <v>0.0</v>
      </c>
      <c r="F421" s="301">
        <v>0.0</v>
      </c>
      <c r="G421" s="301">
        <v>0.0</v>
      </c>
      <c r="H421" s="301">
        <v>0.0</v>
      </c>
      <c r="I421" s="301">
        <v>0.0</v>
      </c>
      <c r="J421" s="301">
        <v>0.0</v>
      </c>
      <c r="K421" s="301">
        <v>0.0</v>
      </c>
      <c r="L421" s="301">
        <v>0.0</v>
      </c>
      <c r="M421" s="301">
        <v>0.0</v>
      </c>
      <c r="N421" s="301">
        <v>0.0</v>
      </c>
      <c r="O421" s="301">
        <v>0.0</v>
      </c>
      <c r="P421" s="301">
        <v>0.0</v>
      </c>
      <c r="Q421" s="301">
        <v>0.0</v>
      </c>
      <c r="R421" s="301">
        <v>0.0</v>
      </c>
      <c r="S421" s="301">
        <v>0.0</v>
      </c>
      <c r="T421" s="301">
        <v>0.0</v>
      </c>
      <c r="U421" s="301">
        <v>0.0</v>
      </c>
      <c r="V421" s="301">
        <v>0.0</v>
      </c>
      <c r="W421" s="301">
        <v>0.0</v>
      </c>
      <c r="X421" s="301">
        <v>0.0</v>
      </c>
      <c r="Y421" s="301">
        <v>0.0</v>
      </c>
      <c r="Z421" s="301">
        <v>0.0</v>
      </c>
      <c r="AA421" s="301">
        <v>0.0</v>
      </c>
      <c r="AB421" s="301">
        <v>0.0</v>
      </c>
      <c r="AC421" s="301">
        <v>0.0</v>
      </c>
      <c r="AD421" s="301">
        <v>0.0</v>
      </c>
      <c r="AE421" s="301">
        <v>0.0</v>
      </c>
      <c r="AF421" s="301">
        <v>0.0</v>
      </c>
      <c r="AG421" s="768">
        <f t="shared" si="152"/>
        <v>0</v>
      </c>
    </row>
    <row r="422">
      <c r="A422" s="897" t="s">
        <v>771</v>
      </c>
      <c r="B422" s="301">
        <v>0.0</v>
      </c>
      <c r="C422" s="301">
        <v>0.0</v>
      </c>
      <c r="D422" s="301">
        <v>0.0</v>
      </c>
      <c r="E422" s="301">
        <v>0.0</v>
      </c>
      <c r="F422" s="301">
        <v>0.0</v>
      </c>
      <c r="G422" s="301">
        <v>0.0</v>
      </c>
      <c r="H422" s="301">
        <v>0.0</v>
      </c>
      <c r="I422" s="301">
        <v>0.0</v>
      </c>
      <c r="J422" s="301">
        <v>0.0</v>
      </c>
      <c r="K422" s="301">
        <v>0.0</v>
      </c>
      <c r="L422" s="301">
        <v>0.0</v>
      </c>
      <c r="M422" s="301">
        <v>0.0</v>
      </c>
      <c r="N422" s="301">
        <v>0.0</v>
      </c>
      <c r="O422" s="301">
        <v>0.0</v>
      </c>
      <c r="P422" s="301">
        <v>0.0</v>
      </c>
      <c r="Q422" s="301">
        <v>0.0</v>
      </c>
      <c r="R422" s="301">
        <v>0.0</v>
      </c>
      <c r="S422" s="301">
        <v>0.0</v>
      </c>
      <c r="T422" s="301">
        <v>0.0</v>
      </c>
      <c r="U422" s="301">
        <v>0.0</v>
      </c>
      <c r="V422" s="301">
        <v>0.0</v>
      </c>
      <c r="W422" s="301">
        <v>0.0</v>
      </c>
      <c r="X422" s="301">
        <v>0.0</v>
      </c>
      <c r="Y422" s="301">
        <v>0.0</v>
      </c>
      <c r="Z422" s="301">
        <v>0.0</v>
      </c>
      <c r="AA422" s="301">
        <v>0.0</v>
      </c>
      <c r="AB422" s="301">
        <v>0.0</v>
      </c>
      <c r="AC422" s="301">
        <v>0.0</v>
      </c>
      <c r="AD422" s="301">
        <v>0.0</v>
      </c>
      <c r="AE422" s="301">
        <v>0.0</v>
      </c>
      <c r="AF422" s="301">
        <v>0.0</v>
      </c>
      <c r="AG422" s="768">
        <f t="shared" si="152"/>
        <v>0</v>
      </c>
    </row>
    <row r="423">
      <c r="A423" s="897" t="s">
        <v>772</v>
      </c>
      <c r="B423" s="301">
        <v>0.0</v>
      </c>
      <c r="C423" s="301">
        <v>0.0</v>
      </c>
      <c r="D423" s="301">
        <v>0.0</v>
      </c>
      <c r="E423" s="301">
        <v>0.0</v>
      </c>
      <c r="F423" s="301">
        <v>0.0</v>
      </c>
      <c r="G423" s="301">
        <v>0.0</v>
      </c>
      <c r="H423" s="301">
        <v>0.0</v>
      </c>
      <c r="I423" s="301">
        <v>0.0</v>
      </c>
      <c r="J423" s="301">
        <v>0.0</v>
      </c>
      <c r="K423" s="301">
        <v>0.0</v>
      </c>
      <c r="L423" s="301">
        <v>0.0</v>
      </c>
      <c r="M423" s="301">
        <v>0.0</v>
      </c>
      <c r="N423" s="301">
        <v>0.0</v>
      </c>
      <c r="O423" s="301">
        <v>0.0</v>
      </c>
      <c r="P423" s="301">
        <v>0.0</v>
      </c>
      <c r="Q423" s="301">
        <v>0.0</v>
      </c>
      <c r="R423" s="301">
        <v>0.0</v>
      </c>
      <c r="S423" s="301">
        <v>0.0</v>
      </c>
      <c r="T423" s="301">
        <v>0.0</v>
      </c>
      <c r="U423" s="301">
        <v>0.0</v>
      </c>
      <c r="V423" s="301">
        <v>0.0</v>
      </c>
      <c r="W423" s="301">
        <v>0.0</v>
      </c>
      <c r="X423" s="301">
        <v>0.0</v>
      </c>
      <c r="Y423" s="301">
        <v>0.0</v>
      </c>
      <c r="Z423" s="301">
        <v>0.0</v>
      </c>
      <c r="AA423" s="301">
        <v>0.0</v>
      </c>
      <c r="AB423" s="301">
        <v>0.0</v>
      </c>
      <c r="AC423" s="301">
        <v>0.0</v>
      </c>
      <c r="AD423" s="301">
        <v>0.0</v>
      </c>
      <c r="AE423" s="301">
        <v>0.0</v>
      </c>
      <c r="AF423" s="301">
        <v>0.0</v>
      </c>
      <c r="AG423" s="768">
        <f t="shared" si="152"/>
        <v>0</v>
      </c>
    </row>
    <row r="424">
      <c r="A424" s="907" t="s">
        <v>773</v>
      </c>
      <c r="B424" s="365">
        <v>0.0</v>
      </c>
      <c r="C424" s="365">
        <f t="shared" ref="C424:AE424" si="153">SUM(C419:C423)</f>
        <v>0</v>
      </c>
      <c r="D424" s="365">
        <f t="shared" si="153"/>
        <v>0</v>
      </c>
      <c r="E424" s="365">
        <f t="shared" si="153"/>
        <v>0</v>
      </c>
      <c r="F424" s="365">
        <f t="shared" si="153"/>
        <v>0</v>
      </c>
      <c r="G424" s="365">
        <f t="shared" si="153"/>
        <v>0</v>
      </c>
      <c r="H424" s="365">
        <f t="shared" si="153"/>
        <v>0</v>
      </c>
      <c r="I424" s="365">
        <f t="shared" si="153"/>
        <v>0</v>
      </c>
      <c r="J424" s="365">
        <f t="shared" si="153"/>
        <v>0</v>
      </c>
      <c r="K424" s="365">
        <f t="shared" si="153"/>
        <v>0</v>
      </c>
      <c r="L424" s="365">
        <f t="shared" si="153"/>
        <v>0</v>
      </c>
      <c r="M424" s="365">
        <f t="shared" si="153"/>
        <v>0</v>
      </c>
      <c r="N424" s="365">
        <f t="shared" si="153"/>
        <v>0</v>
      </c>
      <c r="O424" s="365">
        <f t="shared" si="153"/>
        <v>0</v>
      </c>
      <c r="P424" s="365">
        <f t="shared" si="153"/>
        <v>0</v>
      </c>
      <c r="Q424" s="365">
        <f t="shared" si="153"/>
        <v>0</v>
      </c>
      <c r="R424" s="365">
        <f t="shared" si="153"/>
        <v>0</v>
      </c>
      <c r="S424" s="365">
        <f t="shared" si="153"/>
        <v>0</v>
      </c>
      <c r="T424" s="365">
        <f t="shared" si="153"/>
        <v>0</v>
      </c>
      <c r="U424" s="365">
        <f t="shared" si="153"/>
        <v>0</v>
      </c>
      <c r="V424" s="365">
        <f t="shared" si="153"/>
        <v>0</v>
      </c>
      <c r="W424" s="365">
        <f t="shared" si="153"/>
        <v>0</v>
      </c>
      <c r="X424" s="365">
        <f t="shared" si="153"/>
        <v>0</v>
      </c>
      <c r="Y424" s="365">
        <f t="shared" si="153"/>
        <v>0</v>
      </c>
      <c r="Z424" s="365">
        <f t="shared" si="153"/>
        <v>0</v>
      </c>
      <c r="AA424" s="365">
        <f t="shared" si="153"/>
        <v>0</v>
      </c>
      <c r="AB424" s="365">
        <f t="shared" si="153"/>
        <v>0</v>
      </c>
      <c r="AC424" s="365">
        <f t="shared" si="153"/>
        <v>0</v>
      </c>
      <c r="AD424" s="365">
        <f t="shared" si="153"/>
        <v>0</v>
      </c>
      <c r="AE424" s="365">
        <f t="shared" si="153"/>
        <v>0</v>
      </c>
      <c r="AF424" s="365"/>
      <c r="AG424" s="768">
        <f t="shared" si="152"/>
        <v>0</v>
      </c>
    </row>
    <row r="425">
      <c r="A425" s="42"/>
      <c r="B425" s="923"/>
      <c r="C425" s="923"/>
      <c r="D425" s="923"/>
      <c r="E425" s="923"/>
      <c r="F425" s="923"/>
      <c r="G425" s="923"/>
      <c r="H425" s="923"/>
      <c r="I425" s="923"/>
      <c r="J425" s="923"/>
      <c r="K425" s="923"/>
      <c r="L425" s="923"/>
      <c r="M425" s="923"/>
      <c r="N425" s="923"/>
      <c r="O425" s="923"/>
      <c r="P425" s="923"/>
      <c r="Q425" s="923"/>
      <c r="R425" s="923"/>
      <c r="S425" s="923"/>
      <c r="T425" s="923"/>
      <c r="U425" s="923"/>
      <c r="V425" s="923"/>
      <c r="W425" s="923"/>
      <c r="X425" s="923"/>
      <c r="Y425" s="923"/>
      <c r="Z425" s="923"/>
      <c r="AA425" s="923"/>
      <c r="AB425" s="923"/>
      <c r="AC425" s="923"/>
      <c r="AD425" s="923"/>
      <c r="AE425" s="923"/>
      <c r="AF425" s="923"/>
      <c r="AG425" s="11"/>
    </row>
    <row r="426">
      <c r="A426" s="897" t="s">
        <v>774</v>
      </c>
      <c r="B426" s="301">
        <v>0.0</v>
      </c>
      <c r="C426" s="301">
        <v>0.0</v>
      </c>
      <c r="D426" s="301">
        <v>0.0</v>
      </c>
      <c r="E426" s="301">
        <v>0.0</v>
      </c>
      <c r="F426" s="301">
        <v>0.0</v>
      </c>
      <c r="G426" s="301">
        <v>0.0</v>
      </c>
      <c r="H426" s="301">
        <v>0.0</v>
      </c>
      <c r="I426" s="301">
        <v>0.0</v>
      </c>
      <c r="J426" s="301">
        <v>0.0</v>
      </c>
      <c r="K426" s="301">
        <v>0.0</v>
      </c>
      <c r="L426" s="301">
        <v>0.0</v>
      </c>
      <c r="M426" s="301">
        <v>0.0</v>
      </c>
      <c r="N426" s="301">
        <v>0.0</v>
      </c>
      <c r="O426" s="301">
        <v>0.0</v>
      </c>
      <c r="P426" s="301">
        <v>0.0</v>
      </c>
      <c r="Q426" s="301">
        <v>0.0</v>
      </c>
      <c r="R426" s="301">
        <v>0.0</v>
      </c>
      <c r="S426" s="301">
        <v>0.0</v>
      </c>
      <c r="T426" s="301">
        <v>0.0</v>
      </c>
      <c r="U426" s="301">
        <v>0.0</v>
      </c>
      <c r="V426" s="301">
        <v>0.0</v>
      </c>
      <c r="W426" s="301">
        <v>0.0</v>
      </c>
      <c r="X426" s="301">
        <v>0.0</v>
      </c>
      <c r="Y426" s="301">
        <v>0.0</v>
      </c>
      <c r="Z426" s="301">
        <v>0.0</v>
      </c>
      <c r="AA426" s="301">
        <v>0.0</v>
      </c>
      <c r="AB426" s="301">
        <v>0.0</v>
      </c>
      <c r="AC426" s="301">
        <v>0.0</v>
      </c>
      <c r="AD426" s="301">
        <v>0.0</v>
      </c>
      <c r="AE426" s="301">
        <v>0.0</v>
      </c>
      <c r="AF426" s="301">
        <v>0.0</v>
      </c>
      <c r="AG426" s="768">
        <f t="shared" ref="AG426:AG431" si="154">SUM(B426:AF426)</f>
        <v>0</v>
      </c>
    </row>
    <row r="427">
      <c r="A427" s="897" t="s">
        <v>775</v>
      </c>
      <c r="B427" s="301">
        <v>0.0</v>
      </c>
      <c r="C427" s="301">
        <v>0.0</v>
      </c>
      <c r="D427" s="301">
        <v>0.0</v>
      </c>
      <c r="E427" s="301">
        <v>0.0</v>
      </c>
      <c r="F427" s="301">
        <v>0.0</v>
      </c>
      <c r="G427" s="301">
        <v>0.0</v>
      </c>
      <c r="H427" s="301">
        <v>0.0</v>
      </c>
      <c r="I427" s="301">
        <v>0.0</v>
      </c>
      <c r="J427" s="301">
        <v>0.0</v>
      </c>
      <c r="K427" s="301">
        <v>0.0</v>
      </c>
      <c r="L427" s="301">
        <v>0.0</v>
      </c>
      <c r="M427" s="301">
        <v>0.0</v>
      </c>
      <c r="N427" s="301">
        <v>0.0</v>
      </c>
      <c r="O427" s="301">
        <v>0.0</v>
      </c>
      <c r="P427" s="301">
        <v>0.0</v>
      </c>
      <c r="Q427" s="301">
        <v>0.0</v>
      </c>
      <c r="R427" s="301">
        <v>0.0</v>
      </c>
      <c r="S427" s="301">
        <v>0.0</v>
      </c>
      <c r="T427" s="301">
        <v>0.0</v>
      </c>
      <c r="U427" s="301">
        <v>0.0</v>
      </c>
      <c r="V427" s="301">
        <v>0.0</v>
      </c>
      <c r="W427" s="301">
        <v>0.0</v>
      </c>
      <c r="X427" s="301">
        <v>0.0</v>
      </c>
      <c r="Y427" s="301">
        <v>0.0</v>
      </c>
      <c r="Z427" s="301">
        <v>0.0</v>
      </c>
      <c r="AA427" s="301">
        <v>0.0</v>
      </c>
      <c r="AB427" s="301">
        <v>0.0</v>
      </c>
      <c r="AC427" s="301">
        <v>0.0</v>
      </c>
      <c r="AD427" s="301">
        <v>0.0</v>
      </c>
      <c r="AE427" s="301">
        <v>0.0</v>
      </c>
      <c r="AF427" s="301">
        <v>0.0</v>
      </c>
      <c r="AG427" s="768">
        <f t="shared" si="154"/>
        <v>0</v>
      </c>
    </row>
    <row r="428">
      <c r="A428" s="897" t="s">
        <v>776</v>
      </c>
      <c r="B428" s="301">
        <v>0.0</v>
      </c>
      <c r="C428" s="301">
        <v>0.0</v>
      </c>
      <c r="D428" s="301">
        <v>0.0</v>
      </c>
      <c r="E428" s="301">
        <v>0.0</v>
      </c>
      <c r="F428" s="301">
        <v>0.0</v>
      </c>
      <c r="G428" s="301">
        <v>0.0</v>
      </c>
      <c r="H428" s="301">
        <v>0.0</v>
      </c>
      <c r="I428" s="301">
        <v>0.0</v>
      </c>
      <c r="J428" s="301">
        <v>0.0</v>
      </c>
      <c r="K428" s="301">
        <v>0.0</v>
      </c>
      <c r="L428" s="301">
        <v>0.0</v>
      </c>
      <c r="M428" s="301">
        <v>0.0</v>
      </c>
      <c r="N428" s="301">
        <v>0.0</v>
      </c>
      <c r="O428" s="301">
        <v>0.0</v>
      </c>
      <c r="P428" s="301">
        <v>0.0</v>
      </c>
      <c r="Q428" s="301">
        <v>0.0</v>
      </c>
      <c r="R428" s="301">
        <v>0.0</v>
      </c>
      <c r="S428" s="301">
        <v>0.0</v>
      </c>
      <c r="T428" s="301">
        <v>0.0</v>
      </c>
      <c r="U428" s="301">
        <v>0.0</v>
      </c>
      <c r="V428" s="301">
        <v>0.0</v>
      </c>
      <c r="W428" s="301">
        <v>0.0</v>
      </c>
      <c r="X428" s="301">
        <v>0.0</v>
      </c>
      <c r="Y428" s="301">
        <v>0.0</v>
      </c>
      <c r="Z428" s="301">
        <v>0.0</v>
      </c>
      <c r="AA428" s="301">
        <v>0.0</v>
      </c>
      <c r="AB428" s="301">
        <v>0.0</v>
      </c>
      <c r="AC428" s="301">
        <v>0.0</v>
      </c>
      <c r="AD428" s="301">
        <v>0.0</v>
      </c>
      <c r="AE428" s="301">
        <v>0.0</v>
      </c>
      <c r="AF428" s="301">
        <v>0.0</v>
      </c>
      <c r="AG428" s="768">
        <f t="shared" si="154"/>
        <v>0</v>
      </c>
    </row>
    <row r="429">
      <c r="A429" s="897" t="s">
        <v>777</v>
      </c>
      <c r="B429" s="301">
        <v>0.0</v>
      </c>
      <c r="C429" s="301">
        <v>0.0</v>
      </c>
      <c r="D429" s="301">
        <v>0.0</v>
      </c>
      <c r="E429" s="301">
        <v>0.0</v>
      </c>
      <c r="F429" s="301">
        <v>0.0</v>
      </c>
      <c r="G429" s="301">
        <v>0.0</v>
      </c>
      <c r="H429" s="301">
        <v>0.0</v>
      </c>
      <c r="I429" s="301">
        <v>0.0</v>
      </c>
      <c r="J429" s="301">
        <v>0.0</v>
      </c>
      <c r="K429" s="301">
        <v>0.0</v>
      </c>
      <c r="L429" s="301">
        <v>0.0</v>
      </c>
      <c r="M429" s="301">
        <v>0.0</v>
      </c>
      <c r="N429" s="301">
        <v>0.0</v>
      </c>
      <c r="O429" s="301">
        <v>0.0</v>
      </c>
      <c r="P429" s="301">
        <v>0.0</v>
      </c>
      <c r="Q429" s="301">
        <v>0.0</v>
      </c>
      <c r="R429" s="301">
        <v>0.0</v>
      </c>
      <c r="S429" s="301">
        <v>0.0</v>
      </c>
      <c r="T429" s="301">
        <v>0.0</v>
      </c>
      <c r="U429" s="301">
        <v>0.0</v>
      </c>
      <c r="V429" s="301">
        <v>0.0</v>
      </c>
      <c r="W429" s="301">
        <v>0.0</v>
      </c>
      <c r="X429" s="301">
        <v>0.0</v>
      </c>
      <c r="Y429" s="301">
        <v>0.0</v>
      </c>
      <c r="Z429" s="301">
        <v>0.0</v>
      </c>
      <c r="AA429" s="301">
        <v>0.0</v>
      </c>
      <c r="AB429" s="301">
        <v>0.0</v>
      </c>
      <c r="AC429" s="301">
        <v>0.0</v>
      </c>
      <c r="AD429" s="301">
        <v>0.0</v>
      </c>
      <c r="AE429" s="301">
        <v>0.0</v>
      </c>
      <c r="AF429" s="301">
        <v>0.0</v>
      </c>
      <c r="AG429" s="768">
        <f t="shared" si="154"/>
        <v>0</v>
      </c>
    </row>
    <row r="430">
      <c r="A430" s="897" t="s">
        <v>778</v>
      </c>
      <c r="B430" s="301">
        <v>0.0</v>
      </c>
      <c r="C430" s="301">
        <v>0.0</v>
      </c>
      <c r="D430" s="301">
        <v>0.0</v>
      </c>
      <c r="E430" s="301">
        <v>0.0</v>
      </c>
      <c r="F430" s="301">
        <v>0.0</v>
      </c>
      <c r="G430" s="301">
        <v>0.0</v>
      </c>
      <c r="H430" s="301">
        <v>0.0</v>
      </c>
      <c r="I430" s="301">
        <v>0.0</v>
      </c>
      <c r="J430" s="301">
        <v>0.0</v>
      </c>
      <c r="K430" s="301">
        <v>0.0</v>
      </c>
      <c r="L430" s="301">
        <v>0.0</v>
      </c>
      <c r="M430" s="301">
        <v>0.0</v>
      </c>
      <c r="N430" s="301">
        <v>0.0</v>
      </c>
      <c r="O430" s="301">
        <v>0.0</v>
      </c>
      <c r="P430" s="301">
        <v>0.0</v>
      </c>
      <c r="Q430" s="301">
        <v>0.0</v>
      </c>
      <c r="R430" s="301">
        <v>0.0</v>
      </c>
      <c r="S430" s="301">
        <v>0.0</v>
      </c>
      <c r="T430" s="301">
        <v>0.0</v>
      </c>
      <c r="U430" s="301">
        <v>0.0</v>
      </c>
      <c r="V430" s="301">
        <v>0.0</v>
      </c>
      <c r="W430" s="301">
        <v>0.0</v>
      </c>
      <c r="X430" s="301">
        <v>0.0</v>
      </c>
      <c r="Y430" s="301">
        <v>0.0</v>
      </c>
      <c r="Z430" s="301">
        <v>0.0</v>
      </c>
      <c r="AA430" s="301">
        <v>0.0</v>
      </c>
      <c r="AB430" s="301">
        <v>0.0</v>
      </c>
      <c r="AC430" s="301">
        <v>0.0</v>
      </c>
      <c r="AD430" s="301">
        <v>0.0</v>
      </c>
      <c r="AE430" s="301">
        <v>0.0</v>
      </c>
      <c r="AF430" s="301">
        <v>0.0</v>
      </c>
      <c r="AG430" s="768">
        <f t="shared" si="154"/>
        <v>0</v>
      </c>
    </row>
    <row r="431">
      <c r="A431" s="907" t="s">
        <v>779</v>
      </c>
      <c r="B431" s="365">
        <f t="shared" ref="B431:AE431" si="155">SUM(B426:B430)</f>
        <v>0</v>
      </c>
      <c r="C431" s="365">
        <f t="shared" si="155"/>
        <v>0</v>
      </c>
      <c r="D431" s="365">
        <f t="shared" si="155"/>
        <v>0</v>
      </c>
      <c r="E431" s="365">
        <f t="shared" si="155"/>
        <v>0</v>
      </c>
      <c r="F431" s="365">
        <f t="shared" si="155"/>
        <v>0</v>
      </c>
      <c r="G431" s="365">
        <f t="shared" si="155"/>
        <v>0</v>
      </c>
      <c r="H431" s="365">
        <f t="shared" si="155"/>
        <v>0</v>
      </c>
      <c r="I431" s="365">
        <f t="shared" si="155"/>
        <v>0</v>
      </c>
      <c r="J431" s="365">
        <f t="shared" si="155"/>
        <v>0</v>
      </c>
      <c r="K431" s="365">
        <f t="shared" si="155"/>
        <v>0</v>
      </c>
      <c r="L431" s="365">
        <f t="shared" si="155"/>
        <v>0</v>
      </c>
      <c r="M431" s="365">
        <f t="shared" si="155"/>
        <v>0</v>
      </c>
      <c r="N431" s="365">
        <f t="shared" si="155"/>
        <v>0</v>
      </c>
      <c r="O431" s="365">
        <f t="shared" si="155"/>
        <v>0</v>
      </c>
      <c r="P431" s="365">
        <f t="shared" si="155"/>
        <v>0</v>
      </c>
      <c r="Q431" s="365">
        <f t="shared" si="155"/>
        <v>0</v>
      </c>
      <c r="R431" s="365">
        <f t="shared" si="155"/>
        <v>0</v>
      </c>
      <c r="S431" s="365">
        <f t="shared" si="155"/>
        <v>0</v>
      </c>
      <c r="T431" s="365">
        <f t="shared" si="155"/>
        <v>0</v>
      </c>
      <c r="U431" s="365">
        <f t="shared" si="155"/>
        <v>0</v>
      </c>
      <c r="V431" s="365">
        <f t="shared" si="155"/>
        <v>0</v>
      </c>
      <c r="W431" s="365">
        <f t="shared" si="155"/>
        <v>0</v>
      </c>
      <c r="X431" s="365">
        <f t="shared" si="155"/>
        <v>0</v>
      </c>
      <c r="Y431" s="365">
        <f t="shared" si="155"/>
        <v>0</v>
      </c>
      <c r="Z431" s="365">
        <f t="shared" si="155"/>
        <v>0</v>
      </c>
      <c r="AA431" s="365">
        <f t="shared" si="155"/>
        <v>0</v>
      </c>
      <c r="AB431" s="365">
        <f t="shared" si="155"/>
        <v>0</v>
      </c>
      <c r="AC431" s="365">
        <f t="shared" si="155"/>
        <v>0</v>
      </c>
      <c r="AD431" s="365">
        <f t="shared" si="155"/>
        <v>0</v>
      </c>
      <c r="AE431" s="365">
        <f t="shared" si="155"/>
        <v>0</v>
      </c>
      <c r="AF431" s="365"/>
      <c r="AG431" s="768">
        <f t="shared" si="154"/>
        <v>0</v>
      </c>
    </row>
    <row r="432">
      <c r="A432" s="835"/>
      <c r="AG432" s="11"/>
    </row>
    <row r="433">
      <c r="A433" s="897" t="s">
        <v>785</v>
      </c>
      <c r="B433" s="301">
        <v>0.0</v>
      </c>
      <c r="C433" s="301">
        <v>0.0</v>
      </c>
      <c r="D433" s="301">
        <v>0.0</v>
      </c>
      <c r="E433" s="877">
        <v>0.0</v>
      </c>
      <c r="F433" s="877">
        <v>0.0</v>
      </c>
      <c r="G433" s="877">
        <v>0.0</v>
      </c>
      <c r="H433" s="301">
        <v>0.0</v>
      </c>
      <c r="I433" s="301">
        <v>0.0</v>
      </c>
      <c r="J433" s="301">
        <v>0.0</v>
      </c>
      <c r="K433" s="301">
        <v>0.0</v>
      </c>
      <c r="L433" s="301">
        <v>0.0</v>
      </c>
      <c r="M433" s="301">
        <v>0.0</v>
      </c>
      <c r="N433" s="301">
        <v>0.0</v>
      </c>
      <c r="O433" s="301">
        <v>0.0</v>
      </c>
      <c r="P433" s="301">
        <v>0.0</v>
      </c>
      <c r="Q433" s="301">
        <v>0.0</v>
      </c>
      <c r="R433" s="301">
        <v>0.0</v>
      </c>
      <c r="S433" s="301">
        <v>0.0</v>
      </c>
      <c r="T433" s="301">
        <v>0.0</v>
      </c>
      <c r="U433" s="301">
        <v>0.0</v>
      </c>
      <c r="V433" s="301">
        <v>0.0</v>
      </c>
      <c r="W433" s="301">
        <v>0.0</v>
      </c>
      <c r="X433" s="301">
        <v>0.0</v>
      </c>
      <c r="Y433" s="301">
        <v>0.0</v>
      </c>
      <c r="Z433" s="301">
        <v>0.0</v>
      </c>
      <c r="AA433" s="301">
        <v>0.0</v>
      </c>
      <c r="AB433" s="301">
        <v>0.0</v>
      </c>
      <c r="AC433" s="877">
        <v>0.0</v>
      </c>
      <c r="AD433" s="877">
        <v>0.0</v>
      </c>
      <c r="AE433" s="877">
        <v>0.0</v>
      </c>
      <c r="AF433" s="877">
        <v>0.0</v>
      </c>
      <c r="AG433" s="11"/>
    </row>
    <row r="434">
      <c r="A434" s="900" t="s">
        <v>151</v>
      </c>
      <c r="B434" s="924"/>
      <c r="C434" s="924"/>
      <c r="D434" s="924"/>
      <c r="E434" s="924"/>
      <c r="F434" s="924"/>
      <c r="G434" s="924"/>
      <c r="H434" s="924"/>
      <c r="I434" s="924"/>
      <c r="J434" s="924"/>
      <c r="K434" s="924"/>
      <c r="L434" s="924"/>
      <c r="M434" s="924"/>
      <c r="N434" s="924"/>
      <c r="O434" s="924"/>
      <c r="P434" s="924"/>
      <c r="Q434" s="924"/>
      <c r="R434" s="924"/>
      <c r="S434" s="924"/>
      <c r="T434" s="924"/>
      <c r="U434" s="924"/>
      <c r="V434" s="924"/>
      <c r="W434" s="924"/>
      <c r="X434" s="924"/>
      <c r="Y434" s="924"/>
      <c r="Z434" s="924"/>
      <c r="AA434" s="924"/>
      <c r="AB434" s="924"/>
      <c r="AC434" s="924"/>
      <c r="AD434" s="924"/>
      <c r="AE434" s="924"/>
      <c r="AF434" s="924"/>
      <c r="AG434" s="11"/>
    </row>
    <row r="435">
      <c r="A435" s="835"/>
      <c r="AG435" s="11"/>
    </row>
    <row r="436">
      <c r="A436" s="925" t="s">
        <v>824</v>
      </c>
      <c r="B436" s="926">
        <f t="shared" ref="B436:AF436" si="156">B516</f>
        <v>0</v>
      </c>
      <c r="C436" s="926">
        <f t="shared" si="156"/>
        <v>0</v>
      </c>
      <c r="D436" s="926" t="str">
        <f t="shared" si="156"/>
        <v> </v>
      </c>
      <c r="E436" s="926">
        <f t="shared" si="156"/>
        <v>169.5</v>
      </c>
      <c r="F436" s="926">
        <f t="shared" si="156"/>
        <v>0</v>
      </c>
      <c r="G436" s="926">
        <f t="shared" si="156"/>
        <v>0</v>
      </c>
      <c r="H436" s="926">
        <f t="shared" si="156"/>
        <v>210.94</v>
      </c>
      <c r="I436" s="926">
        <f t="shared" si="156"/>
        <v>0</v>
      </c>
      <c r="J436" s="926">
        <f t="shared" si="156"/>
        <v>0</v>
      </c>
      <c r="K436" s="926">
        <f t="shared" si="156"/>
        <v>199</v>
      </c>
      <c r="L436" s="926">
        <f t="shared" si="156"/>
        <v>199</v>
      </c>
      <c r="M436" s="926">
        <f t="shared" si="156"/>
        <v>0</v>
      </c>
      <c r="N436" s="926">
        <f t="shared" si="156"/>
        <v>199</v>
      </c>
      <c r="O436" s="926">
        <f t="shared" si="156"/>
        <v>1387.33</v>
      </c>
      <c r="P436" s="926">
        <f t="shared" si="156"/>
        <v>0</v>
      </c>
      <c r="Q436" s="926">
        <f t="shared" si="156"/>
        <v>199</v>
      </c>
      <c r="R436" s="926">
        <f t="shared" si="156"/>
        <v>744.252</v>
      </c>
      <c r="S436" s="926">
        <f t="shared" si="156"/>
        <v>507.54</v>
      </c>
      <c r="T436" s="926">
        <f t="shared" si="156"/>
        <v>293</v>
      </c>
      <c r="U436" s="926" t="str">
        <f t="shared" si="156"/>
        <v/>
      </c>
      <c r="V436" s="926">
        <f t="shared" si="156"/>
        <v>0</v>
      </c>
      <c r="W436" s="926">
        <f t="shared" si="156"/>
        <v>0</v>
      </c>
      <c r="X436" s="926">
        <f t="shared" si="156"/>
        <v>0</v>
      </c>
      <c r="Y436" s="926">
        <f t="shared" si="156"/>
        <v>2899.78</v>
      </c>
      <c r="Z436" s="926">
        <f t="shared" si="156"/>
        <v>14217.31</v>
      </c>
      <c r="AA436" s="926">
        <f t="shared" si="156"/>
        <v>12846.68</v>
      </c>
      <c r="AB436" s="926">
        <f t="shared" si="156"/>
        <v>4715.43</v>
      </c>
      <c r="AC436" s="926">
        <f t="shared" si="156"/>
        <v>17723.99</v>
      </c>
      <c r="AD436" s="926">
        <f t="shared" si="156"/>
        <v>7410.87</v>
      </c>
      <c r="AE436" s="926">
        <f t="shared" si="156"/>
        <v>7870.6</v>
      </c>
      <c r="AF436" s="926">
        <f t="shared" si="156"/>
        <v>3845.7</v>
      </c>
      <c r="AG436" s="11"/>
    </row>
    <row r="437">
      <c r="A437" s="925" t="s">
        <v>826</v>
      </c>
      <c r="B437" s="597">
        <f t="shared" ref="B437:I437" si="157">B515</f>
        <v>0</v>
      </c>
      <c r="C437" s="597">
        <f t="shared" si="157"/>
        <v>0</v>
      </c>
      <c r="D437" s="597">
        <f t="shared" si="157"/>
        <v>0</v>
      </c>
      <c r="E437" s="597">
        <f t="shared" si="157"/>
        <v>0</v>
      </c>
      <c r="F437" s="597">
        <f t="shared" si="157"/>
        <v>1447.4</v>
      </c>
      <c r="G437" s="597">
        <f t="shared" si="157"/>
        <v>950.7</v>
      </c>
      <c r="H437" s="597">
        <f t="shared" si="157"/>
        <v>0</v>
      </c>
      <c r="I437" s="446">
        <f t="shared" si="157"/>
        <v>0</v>
      </c>
      <c r="J437" s="1">
        <v>0.0</v>
      </c>
      <c r="K437" s="439">
        <v>1496.82</v>
      </c>
      <c r="L437" s="597">
        <f t="shared" ref="L437:AF437" si="158">L515</f>
        <v>220.94</v>
      </c>
      <c r="M437" s="597">
        <f t="shared" si="158"/>
        <v>0</v>
      </c>
      <c r="N437" s="597">
        <f t="shared" si="158"/>
        <v>0</v>
      </c>
      <c r="O437" s="597">
        <f t="shared" si="158"/>
        <v>0</v>
      </c>
      <c r="P437" s="597">
        <f t="shared" si="158"/>
        <v>0</v>
      </c>
      <c r="Q437" s="597">
        <f t="shared" si="158"/>
        <v>0</v>
      </c>
      <c r="R437" s="597">
        <f t="shared" si="158"/>
        <v>494.2</v>
      </c>
      <c r="S437" s="597">
        <f t="shared" si="158"/>
        <v>703.26</v>
      </c>
      <c r="T437" s="597">
        <f t="shared" si="158"/>
        <v>35.98</v>
      </c>
      <c r="U437" s="597">
        <f t="shared" si="158"/>
        <v>266.62</v>
      </c>
      <c r="V437" s="597">
        <f t="shared" si="158"/>
        <v>386.16</v>
      </c>
      <c r="W437" s="597">
        <f t="shared" si="158"/>
        <v>35.23</v>
      </c>
      <c r="X437" s="597">
        <f t="shared" si="158"/>
        <v>279</v>
      </c>
      <c r="Y437" s="597">
        <f t="shared" si="158"/>
        <v>1444.51</v>
      </c>
      <c r="Z437" s="597">
        <f t="shared" si="158"/>
        <v>587.33</v>
      </c>
      <c r="AA437" s="597">
        <f t="shared" si="158"/>
        <v>487.18</v>
      </c>
      <c r="AB437" s="597">
        <f t="shared" si="158"/>
        <v>284.54</v>
      </c>
      <c r="AC437" s="597">
        <f t="shared" si="158"/>
        <v>1199.91</v>
      </c>
      <c r="AD437" s="597">
        <f t="shared" si="158"/>
        <v>177.29</v>
      </c>
      <c r="AE437" s="597">
        <f t="shared" si="158"/>
        <v>1428.57</v>
      </c>
      <c r="AF437" s="597">
        <f t="shared" si="158"/>
        <v>4009.69</v>
      </c>
      <c r="AG437" s="11"/>
    </row>
    <row r="438">
      <c r="A438" s="925" t="s">
        <v>827</v>
      </c>
      <c r="B438" s="430">
        <f t="shared" ref="B438:AF438" si="159">B557</f>
        <v>0.1982423863</v>
      </c>
      <c r="C438" s="430">
        <f t="shared" si="159"/>
        <v>0.1756847807</v>
      </c>
      <c r="D438" s="430">
        <f t="shared" si="159"/>
        <v>0.06993322211</v>
      </c>
      <c r="E438" s="430">
        <f t="shared" si="159"/>
        <v>0.0460937344</v>
      </c>
      <c r="F438" s="430">
        <f t="shared" si="159"/>
        <v>0.01033290108</v>
      </c>
      <c r="G438" s="430">
        <f t="shared" si="159"/>
        <v>0.06489734599</v>
      </c>
      <c r="H438" s="430">
        <f t="shared" si="159"/>
        <v>0.06588218094</v>
      </c>
      <c r="I438" s="430">
        <f t="shared" si="159"/>
        <v>0.1312184559</v>
      </c>
      <c r="J438" s="430">
        <f t="shared" si="159"/>
        <v>0.05317630059</v>
      </c>
      <c r="K438" s="430">
        <f t="shared" si="159"/>
        <v>0.03393182062</v>
      </c>
      <c r="L438" s="430">
        <f t="shared" si="159"/>
        <v>0.04502908226</v>
      </c>
      <c r="M438" s="430">
        <f t="shared" si="159"/>
        <v>0.1640911803</v>
      </c>
      <c r="N438" s="430">
        <f t="shared" si="159"/>
        <v>0.2533077394</v>
      </c>
      <c r="O438" s="430">
        <f t="shared" si="159"/>
        <v>0.1514093796</v>
      </c>
      <c r="P438" s="430">
        <f t="shared" si="159"/>
        <v>0.05680462897</v>
      </c>
      <c r="Q438" s="430">
        <f t="shared" si="159"/>
        <v>-0.009461669328</v>
      </c>
      <c r="R438" s="430">
        <f t="shared" si="159"/>
        <v>-0.1900927025</v>
      </c>
      <c r="S438" s="430">
        <f t="shared" si="159"/>
        <v>0.06555518458</v>
      </c>
      <c r="T438" s="430">
        <f t="shared" si="159"/>
        <v>-0.04186140963</v>
      </c>
      <c r="U438" s="430">
        <f t="shared" si="159"/>
        <v>0.03402886901</v>
      </c>
      <c r="V438" s="430">
        <f t="shared" si="159"/>
        <v>-0.03566418058</v>
      </c>
      <c r="W438" s="430">
        <f t="shared" si="159"/>
        <v>-0.04858200309</v>
      </c>
      <c r="X438" s="430">
        <f t="shared" si="159"/>
        <v>-0.1784541253</v>
      </c>
      <c r="Y438" s="430">
        <f t="shared" si="159"/>
        <v>-0.265717678</v>
      </c>
      <c r="Z438" s="430">
        <f t="shared" si="159"/>
        <v>-0.490739535</v>
      </c>
      <c r="AA438" s="430">
        <f t="shared" si="159"/>
        <v>-0.496226158</v>
      </c>
      <c r="AB438" s="430">
        <f t="shared" si="159"/>
        <v>-0.09335926304</v>
      </c>
      <c r="AC438" s="430">
        <f t="shared" si="159"/>
        <v>-0.5911832951</v>
      </c>
      <c r="AD438" s="430">
        <f t="shared" si="159"/>
        <v>-0.2146700413</v>
      </c>
      <c r="AE438" s="430">
        <f t="shared" si="159"/>
        <v>-0.2159709194</v>
      </c>
      <c r="AF438" s="430">
        <f t="shared" si="159"/>
        <v>-0.04632625894</v>
      </c>
      <c r="AG438" s="11"/>
    </row>
    <row r="439">
      <c r="A439" s="835"/>
      <c r="AG439" s="11"/>
    </row>
    <row r="440">
      <c r="A440" s="648" t="s">
        <v>828</v>
      </c>
      <c r="B440" s="542"/>
      <c r="C440" s="542"/>
      <c r="D440" s="542"/>
      <c r="E440" s="542"/>
      <c r="F440" s="542"/>
      <c r="G440" s="542"/>
      <c r="H440" s="542"/>
      <c r="I440" s="327"/>
      <c r="J440" s="327"/>
      <c r="K440" s="327"/>
      <c r="L440" s="327"/>
      <c r="M440" s="327"/>
      <c r="N440" s="327"/>
      <c r="O440" s="327"/>
      <c r="P440" s="327"/>
      <c r="Q440" s="327"/>
      <c r="R440" s="327"/>
      <c r="S440" s="327"/>
      <c r="T440" s="327"/>
      <c r="U440" s="327"/>
      <c r="V440" s="327"/>
      <c r="W440" s="327"/>
      <c r="X440" s="327"/>
      <c r="Y440" s="327"/>
      <c r="Z440" s="327"/>
      <c r="AA440" s="327"/>
      <c r="AB440" s="327"/>
      <c r="AC440" s="327"/>
      <c r="AD440" s="327"/>
      <c r="AE440" s="327"/>
      <c r="AF440" s="327"/>
      <c r="AG440" s="11"/>
    </row>
    <row r="441">
      <c r="A441" s="927" t="s">
        <v>752</v>
      </c>
      <c r="B441" s="301">
        <f t="shared" ref="B441:AF441" si="160">B209-B282</f>
        <v>35</v>
      </c>
      <c r="C441" s="301">
        <f t="shared" si="160"/>
        <v>53</v>
      </c>
      <c r="D441" s="301">
        <f t="shared" si="160"/>
        <v>40</v>
      </c>
      <c r="E441" s="301">
        <f t="shared" si="160"/>
        <v>36</v>
      </c>
      <c r="F441" s="301">
        <f t="shared" si="160"/>
        <v>42</v>
      </c>
      <c r="G441" s="301">
        <f t="shared" si="160"/>
        <v>45</v>
      </c>
      <c r="H441" s="301">
        <f t="shared" si="160"/>
        <v>61</v>
      </c>
      <c r="I441" s="301">
        <f t="shared" si="160"/>
        <v>50</v>
      </c>
      <c r="J441" s="301">
        <f t="shared" si="160"/>
        <v>48</v>
      </c>
      <c r="K441" s="301">
        <f t="shared" si="160"/>
        <v>59</v>
      </c>
      <c r="L441" s="301">
        <f t="shared" si="160"/>
        <v>53</v>
      </c>
      <c r="M441" s="301">
        <f t="shared" si="160"/>
        <v>55</v>
      </c>
      <c r="N441" s="301">
        <f t="shared" si="160"/>
        <v>57</v>
      </c>
      <c r="O441" s="301">
        <f t="shared" si="160"/>
        <v>64</v>
      </c>
      <c r="P441" s="301">
        <f t="shared" si="160"/>
        <v>61</v>
      </c>
      <c r="Q441" s="301">
        <f t="shared" si="160"/>
        <v>68</v>
      </c>
      <c r="R441" s="301">
        <f t="shared" si="160"/>
        <v>27</v>
      </c>
      <c r="S441" s="301">
        <f t="shared" si="160"/>
        <v>57</v>
      </c>
      <c r="T441" s="301">
        <f t="shared" si="160"/>
        <v>43</v>
      </c>
      <c r="U441" s="301">
        <f t="shared" si="160"/>
        <v>44</v>
      </c>
      <c r="V441" s="301">
        <f t="shared" si="160"/>
        <v>45</v>
      </c>
      <c r="W441" s="301">
        <f t="shared" si="160"/>
        <v>29</v>
      </c>
      <c r="X441" s="301">
        <f t="shared" si="160"/>
        <v>26</v>
      </c>
      <c r="Y441" s="301">
        <f t="shared" si="160"/>
        <v>16</v>
      </c>
      <c r="Z441" s="301">
        <f t="shared" si="160"/>
        <v>23</v>
      </c>
      <c r="AA441" s="301">
        <f t="shared" si="160"/>
        <v>19</v>
      </c>
      <c r="AB441" s="301">
        <f t="shared" si="160"/>
        <v>33</v>
      </c>
      <c r="AC441" s="301">
        <f t="shared" si="160"/>
        <v>23</v>
      </c>
      <c r="AD441" s="301">
        <f t="shared" si="160"/>
        <v>17</v>
      </c>
      <c r="AE441" s="301">
        <f t="shared" si="160"/>
        <v>27</v>
      </c>
      <c r="AF441" s="301">
        <f t="shared" si="160"/>
        <v>20</v>
      </c>
      <c r="AG441" s="768">
        <f t="shared" ref="AG441:AG448" si="162">SUM(B441:AF441)</f>
        <v>1276</v>
      </c>
    </row>
    <row r="442">
      <c r="A442" s="927" t="s">
        <v>753</v>
      </c>
      <c r="B442" s="301">
        <f t="shared" ref="B442:AF442" si="161">B210-B283</f>
        <v>85</v>
      </c>
      <c r="C442" s="301">
        <f t="shared" si="161"/>
        <v>89</v>
      </c>
      <c r="D442" s="301">
        <f t="shared" si="161"/>
        <v>85</v>
      </c>
      <c r="E442" s="301">
        <f t="shared" si="161"/>
        <v>101</v>
      </c>
      <c r="F442" s="301">
        <f t="shared" si="161"/>
        <v>90</v>
      </c>
      <c r="G442" s="301">
        <f t="shared" si="161"/>
        <v>99</v>
      </c>
      <c r="H442" s="301">
        <f t="shared" si="161"/>
        <v>97</v>
      </c>
      <c r="I442" s="301">
        <f t="shared" si="161"/>
        <v>128</v>
      </c>
      <c r="J442" s="301">
        <f t="shared" si="161"/>
        <v>119</v>
      </c>
      <c r="K442" s="301">
        <f t="shared" si="161"/>
        <v>100</v>
      </c>
      <c r="L442" s="301">
        <f t="shared" si="161"/>
        <v>117</v>
      </c>
      <c r="M442" s="301">
        <f t="shared" si="161"/>
        <v>115</v>
      </c>
      <c r="N442" s="301">
        <f t="shared" si="161"/>
        <v>215</v>
      </c>
      <c r="O442" s="301">
        <f t="shared" si="161"/>
        <v>181</v>
      </c>
      <c r="P442" s="301">
        <f t="shared" si="161"/>
        <v>147</v>
      </c>
      <c r="Q442" s="301">
        <f t="shared" si="161"/>
        <v>136</v>
      </c>
      <c r="R442" s="301">
        <f t="shared" si="161"/>
        <v>82</v>
      </c>
      <c r="S442" s="301">
        <f t="shared" si="161"/>
        <v>143</v>
      </c>
      <c r="T442" s="301">
        <f t="shared" si="161"/>
        <v>103</v>
      </c>
      <c r="U442" s="301">
        <f t="shared" si="161"/>
        <v>116</v>
      </c>
      <c r="V442" s="301">
        <f t="shared" si="161"/>
        <v>98</v>
      </c>
      <c r="W442" s="301">
        <f t="shared" si="161"/>
        <v>109</v>
      </c>
      <c r="X442" s="301">
        <f t="shared" si="161"/>
        <v>92</v>
      </c>
      <c r="Y442" s="301">
        <f t="shared" si="161"/>
        <v>70</v>
      </c>
      <c r="Z442" s="301">
        <f t="shared" si="161"/>
        <v>74</v>
      </c>
      <c r="AA442" s="301">
        <f t="shared" si="161"/>
        <v>75</v>
      </c>
      <c r="AB442" s="301">
        <f t="shared" si="161"/>
        <v>79</v>
      </c>
      <c r="AC442" s="301">
        <f t="shared" si="161"/>
        <v>68</v>
      </c>
      <c r="AD442" s="301">
        <f t="shared" si="161"/>
        <v>75</v>
      </c>
      <c r="AE442" s="301">
        <f t="shared" si="161"/>
        <v>71</v>
      </c>
      <c r="AF442" s="301">
        <f t="shared" si="161"/>
        <v>83</v>
      </c>
      <c r="AG442" s="768">
        <f t="shared" si="162"/>
        <v>3242</v>
      </c>
    </row>
    <row r="443">
      <c r="A443" s="927" t="s">
        <v>754</v>
      </c>
      <c r="B443" s="301">
        <f t="shared" ref="B443:M443" si="163">B211-B284</f>
        <v>2</v>
      </c>
      <c r="C443" s="301">
        <f t="shared" si="163"/>
        <v>3</v>
      </c>
      <c r="D443" s="301">
        <f t="shared" si="163"/>
        <v>5</v>
      </c>
      <c r="E443" s="301">
        <f t="shared" si="163"/>
        <v>2</v>
      </c>
      <c r="F443" s="301">
        <f t="shared" si="163"/>
        <v>3</v>
      </c>
      <c r="G443" s="301">
        <f t="shared" si="163"/>
        <v>2</v>
      </c>
      <c r="H443" s="301">
        <f t="shared" si="163"/>
        <v>2</v>
      </c>
      <c r="I443" s="301">
        <f t="shared" si="163"/>
        <v>3</v>
      </c>
      <c r="J443" s="301">
        <f t="shared" si="163"/>
        <v>3</v>
      </c>
      <c r="K443" s="301">
        <f t="shared" si="163"/>
        <v>2</v>
      </c>
      <c r="L443" s="301">
        <f t="shared" si="163"/>
        <v>1</v>
      </c>
      <c r="M443" s="301">
        <f t="shared" si="163"/>
        <v>1</v>
      </c>
      <c r="N443" s="301">
        <f>N211-N282</f>
        <v>3</v>
      </c>
      <c r="O443" s="301">
        <f t="shared" ref="O443:AF443" si="164">O211-O284</f>
        <v>6</v>
      </c>
      <c r="P443" s="301">
        <f t="shared" si="164"/>
        <v>1</v>
      </c>
      <c r="Q443" s="301">
        <f t="shared" si="164"/>
        <v>4</v>
      </c>
      <c r="R443" s="301">
        <f t="shared" si="164"/>
        <v>1</v>
      </c>
      <c r="S443" s="301">
        <f t="shared" si="164"/>
        <v>0</v>
      </c>
      <c r="T443" s="301">
        <f t="shared" si="164"/>
        <v>0</v>
      </c>
      <c r="U443" s="301">
        <f t="shared" si="164"/>
        <v>3</v>
      </c>
      <c r="V443" s="301">
        <f t="shared" si="164"/>
        <v>3</v>
      </c>
      <c r="W443" s="301">
        <f t="shared" si="164"/>
        <v>0</v>
      </c>
      <c r="X443" s="301">
        <f t="shared" si="164"/>
        <v>1</v>
      </c>
      <c r="Y443" s="301">
        <f t="shared" si="164"/>
        <v>1</v>
      </c>
      <c r="Z443" s="301">
        <f t="shared" si="164"/>
        <v>1</v>
      </c>
      <c r="AA443" s="301">
        <f t="shared" si="164"/>
        <v>3</v>
      </c>
      <c r="AB443" s="301">
        <f t="shared" si="164"/>
        <v>2</v>
      </c>
      <c r="AC443" s="301">
        <f t="shared" si="164"/>
        <v>9</v>
      </c>
      <c r="AD443" s="301">
        <f t="shared" si="164"/>
        <v>0</v>
      </c>
      <c r="AE443" s="301">
        <f t="shared" si="164"/>
        <v>1</v>
      </c>
      <c r="AF443" s="301">
        <f t="shared" si="164"/>
        <v>1</v>
      </c>
      <c r="AG443" s="768">
        <f t="shared" si="162"/>
        <v>69</v>
      </c>
    </row>
    <row r="444">
      <c r="A444" s="927" t="s">
        <v>755</v>
      </c>
      <c r="B444" s="301">
        <f t="shared" ref="B444:AF444" si="165">B212-B285</f>
        <v>4</v>
      </c>
      <c r="C444" s="301">
        <f t="shared" si="165"/>
        <v>2</v>
      </c>
      <c r="D444" s="301">
        <f t="shared" si="165"/>
        <v>4</v>
      </c>
      <c r="E444" s="301">
        <f t="shared" si="165"/>
        <v>4</v>
      </c>
      <c r="F444" s="301">
        <f t="shared" si="165"/>
        <v>3</v>
      </c>
      <c r="G444" s="301">
        <f t="shared" si="165"/>
        <v>4</v>
      </c>
      <c r="H444" s="301">
        <f t="shared" si="165"/>
        <v>4</v>
      </c>
      <c r="I444" s="301">
        <f t="shared" si="165"/>
        <v>3</v>
      </c>
      <c r="J444" s="301">
        <f t="shared" si="165"/>
        <v>3</v>
      </c>
      <c r="K444" s="301">
        <f t="shared" si="165"/>
        <v>5</v>
      </c>
      <c r="L444" s="301">
        <f t="shared" si="165"/>
        <v>3</v>
      </c>
      <c r="M444" s="301">
        <f t="shared" si="165"/>
        <v>7</v>
      </c>
      <c r="N444" s="301">
        <f t="shared" si="165"/>
        <v>5</v>
      </c>
      <c r="O444" s="301">
        <f t="shared" si="165"/>
        <v>6</v>
      </c>
      <c r="P444" s="301">
        <f t="shared" si="165"/>
        <v>5</v>
      </c>
      <c r="Q444" s="301">
        <f t="shared" si="165"/>
        <v>7</v>
      </c>
      <c r="R444" s="301">
        <f t="shared" si="165"/>
        <v>2</v>
      </c>
      <c r="S444" s="301">
        <f t="shared" si="165"/>
        <v>5</v>
      </c>
      <c r="T444" s="301">
        <f t="shared" si="165"/>
        <v>2</v>
      </c>
      <c r="U444" s="301">
        <f t="shared" si="165"/>
        <v>5</v>
      </c>
      <c r="V444" s="301">
        <f t="shared" si="165"/>
        <v>3</v>
      </c>
      <c r="W444" s="301">
        <f t="shared" si="165"/>
        <v>3</v>
      </c>
      <c r="X444" s="301">
        <f t="shared" si="165"/>
        <v>3</v>
      </c>
      <c r="Y444" s="301">
        <f t="shared" si="165"/>
        <v>4</v>
      </c>
      <c r="Z444" s="301">
        <f t="shared" si="165"/>
        <v>5</v>
      </c>
      <c r="AA444" s="301">
        <f t="shared" si="165"/>
        <v>1</v>
      </c>
      <c r="AB444" s="301">
        <f t="shared" si="165"/>
        <v>3</v>
      </c>
      <c r="AC444" s="301">
        <f t="shared" si="165"/>
        <v>4</v>
      </c>
      <c r="AD444" s="301">
        <f t="shared" si="165"/>
        <v>5</v>
      </c>
      <c r="AE444" s="301">
        <f t="shared" si="165"/>
        <v>1</v>
      </c>
      <c r="AF444" s="301">
        <f t="shared" si="165"/>
        <v>4</v>
      </c>
      <c r="AG444" s="768">
        <f t="shared" si="162"/>
        <v>119</v>
      </c>
    </row>
    <row r="445">
      <c r="A445" s="927" t="s">
        <v>756</v>
      </c>
      <c r="B445" s="823">
        <f t="shared" ref="B445:AF445" si="166">B213-B286</f>
        <v>0</v>
      </c>
      <c r="C445" s="823">
        <f t="shared" si="166"/>
        <v>0</v>
      </c>
      <c r="D445" s="823">
        <f t="shared" si="166"/>
        <v>0</v>
      </c>
      <c r="E445" s="823">
        <f t="shared" si="166"/>
        <v>0</v>
      </c>
      <c r="F445" s="823">
        <f t="shared" si="166"/>
        <v>0</v>
      </c>
      <c r="G445" s="823">
        <f t="shared" si="166"/>
        <v>0</v>
      </c>
      <c r="H445" s="823">
        <f t="shared" si="166"/>
        <v>0</v>
      </c>
      <c r="I445" s="823">
        <f t="shared" si="166"/>
        <v>0</v>
      </c>
      <c r="J445" s="823">
        <f t="shared" si="166"/>
        <v>0</v>
      </c>
      <c r="K445" s="823">
        <f t="shared" si="166"/>
        <v>0</v>
      </c>
      <c r="L445" s="823">
        <f t="shared" si="166"/>
        <v>0</v>
      </c>
      <c r="M445" s="823">
        <f t="shared" si="166"/>
        <v>0</v>
      </c>
      <c r="N445" s="823">
        <f t="shared" si="166"/>
        <v>0</v>
      </c>
      <c r="O445" s="823">
        <f t="shared" si="166"/>
        <v>0</v>
      </c>
      <c r="P445" s="823">
        <f t="shared" si="166"/>
        <v>0</v>
      </c>
      <c r="Q445" s="823">
        <f t="shared" si="166"/>
        <v>0</v>
      </c>
      <c r="R445" s="823">
        <f t="shared" si="166"/>
        <v>0</v>
      </c>
      <c r="S445" s="823">
        <f t="shared" si="166"/>
        <v>0</v>
      </c>
      <c r="T445" s="823">
        <f t="shared" si="166"/>
        <v>0</v>
      </c>
      <c r="U445" s="823">
        <f t="shared" si="166"/>
        <v>0</v>
      </c>
      <c r="V445" s="823">
        <f t="shared" si="166"/>
        <v>0</v>
      </c>
      <c r="W445" s="823">
        <f t="shared" si="166"/>
        <v>0</v>
      </c>
      <c r="X445" s="823">
        <f t="shared" si="166"/>
        <v>0</v>
      </c>
      <c r="Y445" s="823">
        <f t="shared" si="166"/>
        <v>0</v>
      </c>
      <c r="Z445" s="823">
        <f t="shared" si="166"/>
        <v>0</v>
      </c>
      <c r="AA445" s="823">
        <f t="shared" si="166"/>
        <v>0</v>
      </c>
      <c r="AB445" s="823">
        <f t="shared" si="166"/>
        <v>0</v>
      </c>
      <c r="AC445" s="823">
        <f t="shared" si="166"/>
        <v>0</v>
      </c>
      <c r="AD445" s="823">
        <f t="shared" si="166"/>
        <v>0</v>
      </c>
      <c r="AE445" s="823">
        <f t="shared" si="166"/>
        <v>0</v>
      </c>
      <c r="AF445" s="823">
        <f t="shared" si="166"/>
        <v>0</v>
      </c>
      <c r="AG445" s="768">
        <f t="shared" si="162"/>
        <v>0</v>
      </c>
    </row>
    <row r="446">
      <c r="A446" s="927" t="s">
        <v>757</v>
      </c>
      <c r="B446" s="823">
        <f t="shared" ref="B446:AF446" si="167">B214-B287</f>
        <v>0</v>
      </c>
      <c r="C446" s="823">
        <f t="shared" si="167"/>
        <v>1</v>
      </c>
      <c r="D446" s="823">
        <f t="shared" si="167"/>
        <v>0</v>
      </c>
      <c r="E446" s="823">
        <f t="shared" si="167"/>
        <v>0</v>
      </c>
      <c r="F446" s="823">
        <f t="shared" si="167"/>
        <v>0</v>
      </c>
      <c r="G446" s="823">
        <f t="shared" si="167"/>
        <v>0</v>
      </c>
      <c r="H446" s="823">
        <f t="shared" si="167"/>
        <v>0</v>
      </c>
      <c r="I446" s="823">
        <f t="shared" si="167"/>
        <v>0</v>
      </c>
      <c r="J446" s="823">
        <f t="shared" si="167"/>
        <v>0</v>
      </c>
      <c r="K446" s="823">
        <f t="shared" si="167"/>
        <v>0</v>
      </c>
      <c r="L446" s="823">
        <f t="shared" si="167"/>
        <v>0</v>
      </c>
      <c r="M446" s="823">
        <f t="shared" si="167"/>
        <v>0</v>
      </c>
      <c r="N446" s="823">
        <f t="shared" si="167"/>
        <v>0</v>
      </c>
      <c r="O446" s="823">
        <f t="shared" si="167"/>
        <v>0</v>
      </c>
      <c r="P446" s="823">
        <f t="shared" si="167"/>
        <v>0</v>
      </c>
      <c r="Q446" s="823">
        <f t="shared" si="167"/>
        <v>0</v>
      </c>
      <c r="R446" s="823">
        <f t="shared" si="167"/>
        <v>0</v>
      </c>
      <c r="S446" s="823">
        <f t="shared" si="167"/>
        <v>0</v>
      </c>
      <c r="T446" s="823">
        <f t="shared" si="167"/>
        <v>0</v>
      </c>
      <c r="U446" s="823">
        <f t="shared" si="167"/>
        <v>0</v>
      </c>
      <c r="V446" s="823">
        <f t="shared" si="167"/>
        <v>0</v>
      </c>
      <c r="W446" s="823">
        <f t="shared" si="167"/>
        <v>0</v>
      </c>
      <c r="X446" s="823">
        <f t="shared" si="167"/>
        <v>0</v>
      </c>
      <c r="Y446" s="823">
        <f t="shared" si="167"/>
        <v>0</v>
      </c>
      <c r="Z446" s="823">
        <f t="shared" si="167"/>
        <v>0</v>
      </c>
      <c r="AA446" s="823">
        <f t="shared" si="167"/>
        <v>0</v>
      </c>
      <c r="AB446" s="823">
        <f t="shared" si="167"/>
        <v>0</v>
      </c>
      <c r="AC446" s="823">
        <f t="shared" si="167"/>
        <v>0</v>
      </c>
      <c r="AD446" s="823">
        <f t="shared" si="167"/>
        <v>0</v>
      </c>
      <c r="AE446" s="823">
        <f t="shared" si="167"/>
        <v>0</v>
      </c>
      <c r="AF446" s="823">
        <f t="shared" si="167"/>
        <v>0</v>
      </c>
      <c r="AG446" s="768">
        <f t="shared" si="162"/>
        <v>1</v>
      </c>
    </row>
    <row r="447">
      <c r="A447" s="928" t="s">
        <v>725</v>
      </c>
      <c r="B447" s="929">
        <f t="shared" ref="B447:AF447" si="168">B441+B443+B445</f>
        <v>37</v>
      </c>
      <c r="C447" s="929">
        <f t="shared" si="168"/>
        <v>56</v>
      </c>
      <c r="D447" s="929">
        <f t="shared" si="168"/>
        <v>45</v>
      </c>
      <c r="E447" s="929">
        <f t="shared" si="168"/>
        <v>38</v>
      </c>
      <c r="F447" s="929">
        <f t="shared" si="168"/>
        <v>45</v>
      </c>
      <c r="G447" s="929">
        <f t="shared" si="168"/>
        <v>47</v>
      </c>
      <c r="H447" s="929">
        <f t="shared" si="168"/>
        <v>63</v>
      </c>
      <c r="I447" s="929">
        <f t="shared" si="168"/>
        <v>53</v>
      </c>
      <c r="J447" s="929">
        <f t="shared" si="168"/>
        <v>51</v>
      </c>
      <c r="K447" s="929">
        <f t="shared" si="168"/>
        <v>61</v>
      </c>
      <c r="L447" s="929">
        <f t="shared" si="168"/>
        <v>54</v>
      </c>
      <c r="M447" s="929">
        <f t="shared" si="168"/>
        <v>56</v>
      </c>
      <c r="N447" s="929">
        <f t="shared" si="168"/>
        <v>60</v>
      </c>
      <c r="O447" s="929">
        <f t="shared" si="168"/>
        <v>70</v>
      </c>
      <c r="P447" s="929">
        <f t="shared" si="168"/>
        <v>62</v>
      </c>
      <c r="Q447" s="929">
        <f t="shared" si="168"/>
        <v>72</v>
      </c>
      <c r="R447" s="929">
        <f t="shared" si="168"/>
        <v>28</v>
      </c>
      <c r="S447" s="929">
        <f t="shared" si="168"/>
        <v>57</v>
      </c>
      <c r="T447" s="929">
        <f t="shared" si="168"/>
        <v>43</v>
      </c>
      <c r="U447" s="929">
        <f t="shared" si="168"/>
        <v>47</v>
      </c>
      <c r="V447" s="929">
        <f t="shared" si="168"/>
        <v>48</v>
      </c>
      <c r="W447" s="929">
        <f t="shared" si="168"/>
        <v>29</v>
      </c>
      <c r="X447" s="929">
        <f t="shared" si="168"/>
        <v>27</v>
      </c>
      <c r="Y447" s="929">
        <f t="shared" si="168"/>
        <v>17</v>
      </c>
      <c r="Z447" s="929">
        <f t="shared" si="168"/>
        <v>24</v>
      </c>
      <c r="AA447" s="929">
        <f t="shared" si="168"/>
        <v>22</v>
      </c>
      <c r="AB447" s="929">
        <f t="shared" si="168"/>
        <v>35</v>
      </c>
      <c r="AC447" s="929">
        <f t="shared" si="168"/>
        <v>32</v>
      </c>
      <c r="AD447" s="929">
        <f t="shared" si="168"/>
        <v>17</v>
      </c>
      <c r="AE447" s="929">
        <f t="shared" si="168"/>
        <v>28</v>
      </c>
      <c r="AF447" s="929">
        <f t="shared" si="168"/>
        <v>21</v>
      </c>
      <c r="AG447" s="768">
        <f t="shared" si="162"/>
        <v>1345</v>
      </c>
    </row>
    <row r="448">
      <c r="A448" s="928" t="s">
        <v>781</v>
      </c>
      <c r="B448" s="929">
        <f t="shared" ref="B448:AF448" si="169">B442+B444+B446</f>
        <v>89</v>
      </c>
      <c r="C448" s="929">
        <f t="shared" si="169"/>
        <v>92</v>
      </c>
      <c r="D448" s="929">
        <f t="shared" si="169"/>
        <v>89</v>
      </c>
      <c r="E448" s="929">
        <f t="shared" si="169"/>
        <v>105</v>
      </c>
      <c r="F448" s="929">
        <f t="shared" si="169"/>
        <v>93</v>
      </c>
      <c r="G448" s="929">
        <f t="shared" si="169"/>
        <v>103</v>
      </c>
      <c r="H448" s="929">
        <f t="shared" si="169"/>
        <v>101</v>
      </c>
      <c r="I448" s="929">
        <f t="shared" si="169"/>
        <v>131</v>
      </c>
      <c r="J448" s="929">
        <f t="shared" si="169"/>
        <v>122</v>
      </c>
      <c r="K448" s="929">
        <f t="shared" si="169"/>
        <v>105</v>
      </c>
      <c r="L448" s="929">
        <f t="shared" si="169"/>
        <v>120</v>
      </c>
      <c r="M448" s="929">
        <f t="shared" si="169"/>
        <v>122</v>
      </c>
      <c r="N448" s="929">
        <f t="shared" si="169"/>
        <v>220</v>
      </c>
      <c r="O448" s="929">
        <f t="shared" si="169"/>
        <v>187</v>
      </c>
      <c r="P448" s="929">
        <f t="shared" si="169"/>
        <v>152</v>
      </c>
      <c r="Q448" s="929">
        <f t="shared" si="169"/>
        <v>143</v>
      </c>
      <c r="R448" s="929">
        <f t="shared" si="169"/>
        <v>84</v>
      </c>
      <c r="S448" s="929">
        <f t="shared" si="169"/>
        <v>148</v>
      </c>
      <c r="T448" s="929">
        <f t="shared" si="169"/>
        <v>105</v>
      </c>
      <c r="U448" s="929">
        <f t="shared" si="169"/>
        <v>121</v>
      </c>
      <c r="V448" s="929">
        <f t="shared" si="169"/>
        <v>101</v>
      </c>
      <c r="W448" s="929">
        <f t="shared" si="169"/>
        <v>112</v>
      </c>
      <c r="X448" s="929">
        <f t="shared" si="169"/>
        <v>95</v>
      </c>
      <c r="Y448" s="929">
        <f t="shared" si="169"/>
        <v>74</v>
      </c>
      <c r="Z448" s="929">
        <f t="shared" si="169"/>
        <v>79</v>
      </c>
      <c r="AA448" s="929">
        <f t="shared" si="169"/>
        <v>76</v>
      </c>
      <c r="AB448" s="929">
        <f t="shared" si="169"/>
        <v>82</v>
      </c>
      <c r="AC448" s="929">
        <f t="shared" si="169"/>
        <v>72</v>
      </c>
      <c r="AD448" s="929">
        <f t="shared" si="169"/>
        <v>80</v>
      </c>
      <c r="AE448" s="929">
        <f t="shared" si="169"/>
        <v>72</v>
      </c>
      <c r="AF448" s="929">
        <f t="shared" si="169"/>
        <v>87</v>
      </c>
      <c r="AG448" s="768">
        <f t="shared" si="162"/>
        <v>3362</v>
      </c>
    </row>
    <row r="449">
      <c r="A449" s="42"/>
      <c r="B449" s="542"/>
      <c r="C449" s="542"/>
      <c r="D449" s="542"/>
      <c r="E449" s="542"/>
      <c r="F449" s="542"/>
      <c r="G449" s="542"/>
      <c r="H449" s="542"/>
      <c r="I449" s="542"/>
      <c r="J449" s="542"/>
      <c r="K449" s="542"/>
      <c r="L449" s="542"/>
      <c r="M449" s="542"/>
      <c r="N449" s="542"/>
      <c r="O449" s="542"/>
      <c r="P449" s="542"/>
      <c r="Q449" s="542"/>
      <c r="R449" s="542"/>
      <c r="S449" s="542"/>
      <c r="T449" s="542"/>
      <c r="U449" s="542"/>
      <c r="V449" s="542"/>
      <c r="W449" s="542"/>
      <c r="X449" s="542"/>
      <c r="Y449" s="542"/>
      <c r="Z449" s="542"/>
      <c r="AA449" s="542"/>
      <c r="AB449" s="542"/>
      <c r="AC449" s="542"/>
      <c r="AD449" s="542"/>
      <c r="AE449" s="542"/>
      <c r="AF449" s="542"/>
      <c r="AG449" s="768"/>
    </row>
    <row r="450">
      <c r="A450" s="927" t="s">
        <v>760</v>
      </c>
      <c r="B450" s="301">
        <f t="shared" ref="B450:AF450" si="170">B218-B291</f>
        <v>47</v>
      </c>
      <c r="C450" s="301">
        <f t="shared" si="170"/>
        <v>51</v>
      </c>
      <c r="D450" s="301">
        <f t="shared" si="170"/>
        <v>31</v>
      </c>
      <c r="E450" s="301">
        <f t="shared" si="170"/>
        <v>36</v>
      </c>
      <c r="F450" s="301">
        <f t="shared" si="170"/>
        <v>38</v>
      </c>
      <c r="G450" s="301">
        <f t="shared" si="170"/>
        <v>35</v>
      </c>
      <c r="H450" s="301">
        <f t="shared" si="170"/>
        <v>48</v>
      </c>
      <c r="I450" s="301">
        <f t="shared" si="170"/>
        <v>66</v>
      </c>
      <c r="J450" s="301">
        <f t="shared" si="170"/>
        <v>71</v>
      </c>
      <c r="K450" s="301">
        <f t="shared" si="170"/>
        <v>58</v>
      </c>
      <c r="L450" s="301">
        <f t="shared" si="170"/>
        <v>53</v>
      </c>
      <c r="M450" s="301">
        <f t="shared" si="170"/>
        <v>39</v>
      </c>
      <c r="N450" s="301">
        <f t="shared" si="170"/>
        <v>81</v>
      </c>
      <c r="O450" s="301">
        <f t="shared" si="170"/>
        <v>58</v>
      </c>
      <c r="P450" s="301">
        <f t="shared" si="170"/>
        <v>83</v>
      </c>
      <c r="Q450" s="301">
        <f t="shared" si="170"/>
        <v>72</v>
      </c>
      <c r="R450" s="301">
        <f t="shared" si="170"/>
        <v>31</v>
      </c>
      <c r="S450" s="301">
        <f t="shared" si="170"/>
        <v>72</v>
      </c>
      <c r="T450" s="301">
        <f t="shared" si="170"/>
        <v>44</v>
      </c>
      <c r="U450" s="301">
        <f t="shared" si="170"/>
        <v>53</v>
      </c>
      <c r="V450" s="301">
        <f t="shared" si="170"/>
        <v>42</v>
      </c>
      <c r="W450" s="301">
        <f t="shared" si="170"/>
        <v>53</v>
      </c>
      <c r="X450" s="301">
        <f t="shared" si="170"/>
        <v>54</v>
      </c>
      <c r="Y450" s="301">
        <f t="shared" si="170"/>
        <v>33</v>
      </c>
      <c r="Z450" s="301">
        <f t="shared" si="170"/>
        <v>35</v>
      </c>
      <c r="AA450" s="301">
        <f t="shared" si="170"/>
        <v>20</v>
      </c>
      <c r="AB450" s="301">
        <f t="shared" si="170"/>
        <v>37</v>
      </c>
      <c r="AC450" s="301">
        <f t="shared" si="170"/>
        <v>24</v>
      </c>
      <c r="AD450" s="301">
        <f t="shared" si="170"/>
        <v>34</v>
      </c>
      <c r="AE450" s="301">
        <f t="shared" si="170"/>
        <v>32</v>
      </c>
      <c r="AF450" s="301">
        <f t="shared" si="170"/>
        <v>28</v>
      </c>
      <c r="AG450" s="768">
        <f t="shared" ref="AG450:AG455" si="172">SUM(B450:AF450)</f>
        <v>1459</v>
      </c>
    </row>
    <row r="451">
      <c r="A451" s="927" t="s">
        <v>761</v>
      </c>
      <c r="B451" s="301">
        <f t="shared" ref="B451:AF451" si="171">B219-B292</f>
        <v>0</v>
      </c>
      <c r="C451" s="301">
        <f t="shared" si="171"/>
        <v>0</v>
      </c>
      <c r="D451" s="301">
        <f t="shared" si="171"/>
        <v>0</v>
      </c>
      <c r="E451" s="301">
        <f t="shared" si="171"/>
        <v>0</v>
      </c>
      <c r="F451" s="301">
        <f t="shared" si="171"/>
        <v>0</v>
      </c>
      <c r="G451" s="301">
        <f t="shared" si="171"/>
        <v>0</v>
      </c>
      <c r="H451" s="301">
        <f t="shared" si="171"/>
        <v>0</v>
      </c>
      <c r="I451" s="301">
        <f t="shared" si="171"/>
        <v>0</v>
      </c>
      <c r="J451" s="301">
        <f t="shared" si="171"/>
        <v>0</v>
      </c>
      <c r="K451" s="301">
        <f t="shared" si="171"/>
        <v>0</v>
      </c>
      <c r="L451" s="301">
        <f t="shared" si="171"/>
        <v>0</v>
      </c>
      <c r="M451" s="301">
        <f t="shared" si="171"/>
        <v>0</v>
      </c>
      <c r="N451" s="301">
        <f t="shared" si="171"/>
        <v>0</v>
      </c>
      <c r="O451" s="301">
        <f t="shared" si="171"/>
        <v>0</v>
      </c>
      <c r="P451" s="301">
        <f t="shared" si="171"/>
        <v>0</v>
      </c>
      <c r="Q451" s="301">
        <f t="shared" si="171"/>
        <v>0</v>
      </c>
      <c r="R451" s="301">
        <f t="shared" si="171"/>
        <v>0</v>
      </c>
      <c r="S451" s="301">
        <f t="shared" si="171"/>
        <v>0</v>
      </c>
      <c r="T451" s="301">
        <f t="shared" si="171"/>
        <v>0</v>
      </c>
      <c r="U451" s="301">
        <f t="shared" si="171"/>
        <v>0</v>
      </c>
      <c r="V451" s="301">
        <f t="shared" si="171"/>
        <v>0</v>
      </c>
      <c r="W451" s="301">
        <f t="shared" si="171"/>
        <v>0</v>
      </c>
      <c r="X451" s="301">
        <f t="shared" si="171"/>
        <v>0</v>
      </c>
      <c r="Y451" s="301">
        <f t="shared" si="171"/>
        <v>0</v>
      </c>
      <c r="Z451" s="301">
        <f t="shared" si="171"/>
        <v>0</v>
      </c>
      <c r="AA451" s="301">
        <f t="shared" si="171"/>
        <v>0</v>
      </c>
      <c r="AB451" s="301">
        <f t="shared" si="171"/>
        <v>0</v>
      </c>
      <c r="AC451" s="301">
        <f t="shared" si="171"/>
        <v>0</v>
      </c>
      <c r="AD451" s="301">
        <f t="shared" si="171"/>
        <v>-1</v>
      </c>
      <c r="AE451" s="301">
        <f t="shared" si="171"/>
        <v>-1</v>
      </c>
      <c r="AF451" s="301">
        <f t="shared" si="171"/>
        <v>0</v>
      </c>
      <c r="AG451" s="768">
        <f t="shared" si="172"/>
        <v>-2</v>
      </c>
    </row>
    <row r="452">
      <c r="A452" s="927" t="s">
        <v>762</v>
      </c>
      <c r="B452" s="301">
        <f t="shared" ref="B452:AF452" si="173">B220-B293</f>
        <v>22</v>
      </c>
      <c r="C452" s="301">
        <f t="shared" si="173"/>
        <v>37</v>
      </c>
      <c r="D452" s="301">
        <f t="shared" si="173"/>
        <v>21</v>
      </c>
      <c r="E452" s="301">
        <f t="shared" si="173"/>
        <v>26</v>
      </c>
      <c r="F452" s="301">
        <f t="shared" si="173"/>
        <v>22</v>
      </c>
      <c r="G452" s="301">
        <f t="shared" si="173"/>
        <v>14</v>
      </c>
      <c r="H452" s="301">
        <f t="shared" si="173"/>
        <v>16</v>
      </c>
      <c r="I452" s="301">
        <f t="shared" si="173"/>
        <v>29</v>
      </c>
      <c r="J452" s="301">
        <f t="shared" si="173"/>
        <v>25</v>
      </c>
      <c r="K452" s="301">
        <f t="shared" si="173"/>
        <v>26</v>
      </c>
      <c r="L452" s="301">
        <f t="shared" si="173"/>
        <v>22</v>
      </c>
      <c r="M452" s="301">
        <f t="shared" si="173"/>
        <v>24</v>
      </c>
      <c r="N452" s="301">
        <f t="shared" si="173"/>
        <v>47</v>
      </c>
      <c r="O452" s="301">
        <f t="shared" si="173"/>
        <v>37</v>
      </c>
      <c r="P452" s="301">
        <f t="shared" si="173"/>
        <v>36</v>
      </c>
      <c r="Q452" s="301">
        <f t="shared" si="173"/>
        <v>35</v>
      </c>
      <c r="R452" s="301">
        <f t="shared" si="173"/>
        <v>23</v>
      </c>
      <c r="S452" s="301">
        <f t="shared" si="173"/>
        <v>33</v>
      </c>
      <c r="T452" s="301">
        <f t="shared" si="173"/>
        <v>32</v>
      </c>
      <c r="U452" s="301">
        <f t="shared" si="173"/>
        <v>31</v>
      </c>
      <c r="V452" s="301">
        <f t="shared" si="173"/>
        <v>23</v>
      </c>
      <c r="W452" s="301">
        <f t="shared" si="173"/>
        <v>26</v>
      </c>
      <c r="X452" s="301">
        <f t="shared" si="173"/>
        <v>23</v>
      </c>
      <c r="Y452" s="301">
        <f t="shared" si="173"/>
        <v>22</v>
      </c>
      <c r="Z452" s="301">
        <f t="shared" si="173"/>
        <v>15</v>
      </c>
      <c r="AA452" s="301">
        <f t="shared" si="173"/>
        <v>17</v>
      </c>
      <c r="AB452" s="301">
        <f t="shared" si="173"/>
        <v>14</v>
      </c>
      <c r="AC452" s="301">
        <f t="shared" si="173"/>
        <v>14</v>
      </c>
      <c r="AD452" s="301">
        <f t="shared" si="173"/>
        <v>15</v>
      </c>
      <c r="AE452" s="301">
        <f t="shared" si="173"/>
        <v>22</v>
      </c>
      <c r="AF452" s="301">
        <f t="shared" si="173"/>
        <v>13</v>
      </c>
      <c r="AG452" s="768">
        <f t="shared" si="172"/>
        <v>762</v>
      </c>
    </row>
    <row r="453">
      <c r="A453" s="927" t="s">
        <v>763</v>
      </c>
      <c r="B453" s="301">
        <f t="shared" ref="B453:AF453" si="174">B221-B294</f>
        <v>31</v>
      </c>
      <c r="C453" s="301">
        <f t="shared" si="174"/>
        <v>41</v>
      </c>
      <c r="D453" s="301">
        <f t="shared" si="174"/>
        <v>22</v>
      </c>
      <c r="E453" s="301">
        <f t="shared" si="174"/>
        <v>31</v>
      </c>
      <c r="F453" s="301">
        <f t="shared" si="174"/>
        <v>18</v>
      </c>
      <c r="G453" s="301">
        <f t="shared" si="174"/>
        <v>23</v>
      </c>
      <c r="H453" s="301">
        <f t="shared" si="174"/>
        <v>18</v>
      </c>
      <c r="I453" s="301">
        <f t="shared" si="174"/>
        <v>36</v>
      </c>
      <c r="J453" s="301">
        <f t="shared" si="174"/>
        <v>38</v>
      </c>
      <c r="K453" s="301">
        <f t="shared" si="174"/>
        <v>33</v>
      </c>
      <c r="L453" s="301">
        <f t="shared" si="174"/>
        <v>23</v>
      </c>
      <c r="M453" s="301">
        <f t="shared" si="174"/>
        <v>22</v>
      </c>
      <c r="N453" s="301">
        <f t="shared" si="174"/>
        <v>55</v>
      </c>
      <c r="O453" s="301">
        <f t="shared" si="174"/>
        <v>46</v>
      </c>
      <c r="P453" s="301">
        <f t="shared" si="174"/>
        <v>45</v>
      </c>
      <c r="Q453" s="301">
        <f t="shared" si="174"/>
        <v>33</v>
      </c>
      <c r="R453" s="301">
        <f t="shared" si="174"/>
        <v>17</v>
      </c>
      <c r="S453" s="301">
        <f t="shared" si="174"/>
        <v>32</v>
      </c>
      <c r="T453" s="301">
        <f t="shared" si="174"/>
        <v>30</v>
      </c>
      <c r="U453" s="301">
        <f t="shared" si="174"/>
        <v>32</v>
      </c>
      <c r="V453" s="301">
        <f t="shared" si="174"/>
        <v>32</v>
      </c>
      <c r="W453" s="301">
        <f t="shared" si="174"/>
        <v>27</v>
      </c>
      <c r="X453" s="301">
        <f t="shared" si="174"/>
        <v>35</v>
      </c>
      <c r="Y453" s="301">
        <f t="shared" si="174"/>
        <v>19</v>
      </c>
      <c r="Z453" s="301">
        <f t="shared" si="174"/>
        <v>12</v>
      </c>
      <c r="AA453" s="301">
        <f t="shared" si="174"/>
        <v>20</v>
      </c>
      <c r="AB453" s="301">
        <f t="shared" si="174"/>
        <v>14</v>
      </c>
      <c r="AC453" s="301">
        <f t="shared" si="174"/>
        <v>13</v>
      </c>
      <c r="AD453" s="301">
        <f t="shared" si="174"/>
        <v>10</v>
      </c>
      <c r="AE453" s="301">
        <f t="shared" si="174"/>
        <v>22</v>
      </c>
      <c r="AF453" s="301">
        <f t="shared" si="174"/>
        <v>15</v>
      </c>
      <c r="AG453" s="768">
        <f t="shared" si="172"/>
        <v>845</v>
      </c>
    </row>
    <row r="454">
      <c r="A454" s="927" t="s">
        <v>764</v>
      </c>
      <c r="B454" s="301">
        <f t="shared" ref="B454:AF454" si="175">B222-B295</f>
        <v>17</v>
      </c>
      <c r="C454" s="301">
        <f t="shared" si="175"/>
        <v>17</v>
      </c>
      <c r="D454" s="301">
        <f t="shared" si="175"/>
        <v>14</v>
      </c>
      <c r="E454" s="301">
        <f t="shared" si="175"/>
        <v>17</v>
      </c>
      <c r="F454" s="301">
        <f t="shared" si="175"/>
        <v>11</v>
      </c>
      <c r="G454" s="301">
        <f t="shared" si="175"/>
        <v>18</v>
      </c>
      <c r="H454" s="301">
        <f t="shared" si="175"/>
        <v>17</v>
      </c>
      <c r="I454" s="301">
        <f t="shared" si="175"/>
        <v>18</v>
      </c>
      <c r="J454" s="301">
        <f t="shared" si="175"/>
        <v>22</v>
      </c>
      <c r="K454" s="301">
        <f t="shared" si="175"/>
        <v>25</v>
      </c>
      <c r="L454" s="301">
        <f t="shared" si="175"/>
        <v>10</v>
      </c>
      <c r="M454" s="301">
        <f t="shared" si="175"/>
        <v>9</v>
      </c>
      <c r="N454" s="301">
        <f t="shared" si="175"/>
        <v>35</v>
      </c>
      <c r="O454" s="301">
        <f t="shared" si="175"/>
        <v>23</v>
      </c>
      <c r="P454" s="301">
        <f t="shared" si="175"/>
        <v>21</v>
      </c>
      <c r="Q454" s="301">
        <f t="shared" si="175"/>
        <v>16</v>
      </c>
      <c r="R454" s="301">
        <f t="shared" si="175"/>
        <v>16</v>
      </c>
      <c r="S454" s="301">
        <f t="shared" si="175"/>
        <v>18</v>
      </c>
      <c r="T454" s="301">
        <f t="shared" si="175"/>
        <v>9</v>
      </c>
      <c r="U454" s="301">
        <f t="shared" si="175"/>
        <v>18</v>
      </c>
      <c r="V454" s="301">
        <f t="shared" si="175"/>
        <v>15</v>
      </c>
      <c r="W454" s="301">
        <f t="shared" si="175"/>
        <v>14</v>
      </c>
      <c r="X454" s="301">
        <f t="shared" si="175"/>
        <v>20</v>
      </c>
      <c r="Y454" s="301">
        <f t="shared" si="175"/>
        <v>10</v>
      </c>
      <c r="Z454" s="301">
        <f t="shared" si="175"/>
        <v>13</v>
      </c>
      <c r="AA454" s="301">
        <f t="shared" si="175"/>
        <v>11</v>
      </c>
      <c r="AB454" s="301">
        <f t="shared" si="175"/>
        <v>10</v>
      </c>
      <c r="AC454" s="301">
        <f t="shared" si="175"/>
        <v>8</v>
      </c>
      <c r="AD454" s="301">
        <f t="shared" si="175"/>
        <v>16</v>
      </c>
      <c r="AE454" s="301">
        <f t="shared" si="175"/>
        <v>13</v>
      </c>
      <c r="AF454" s="301">
        <f t="shared" si="175"/>
        <v>8</v>
      </c>
      <c r="AG454" s="768">
        <f t="shared" si="172"/>
        <v>489</v>
      </c>
    </row>
    <row r="455">
      <c r="A455" s="931" t="s">
        <v>765</v>
      </c>
      <c r="B455" s="929">
        <f t="shared" ref="B455:AF455" si="176">SUM(B450:B454)</f>
        <v>117</v>
      </c>
      <c r="C455" s="929">
        <f t="shared" si="176"/>
        <v>146</v>
      </c>
      <c r="D455" s="929">
        <f t="shared" si="176"/>
        <v>88</v>
      </c>
      <c r="E455" s="929">
        <f t="shared" si="176"/>
        <v>110</v>
      </c>
      <c r="F455" s="929">
        <f t="shared" si="176"/>
        <v>89</v>
      </c>
      <c r="G455" s="929">
        <f t="shared" si="176"/>
        <v>90</v>
      </c>
      <c r="H455" s="929">
        <f t="shared" si="176"/>
        <v>99</v>
      </c>
      <c r="I455" s="929">
        <f t="shared" si="176"/>
        <v>149</v>
      </c>
      <c r="J455" s="929">
        <f t="shared" si="176"/>
        <v>156</v>
      </c>
      <c r="K455" s="929">
        <f t="shared" si="176"/>
        <v>142</v>
      </c>
      <c r="L455" s="929">
        <f t="shared" si="176"/>
        <v>108</v>
      </c>
      <c r="M455" s="929">
        <f t="shared" si="176"/>
        <v>94</v>
      </c>
      <c r="N455" s="929">
        <f t="shared" si="176"/>
        <v>218</v>
      </c>
      <c r="O455" s="929">
        <f t="shared" si="176"/>
        <v>164</v>
      </c>
      <c r="P455" s="929">
        <f t="shared" si="176"/>
        <v>185</v>
      </c>
      <c r="Q455" s="929">
        <f t="shared" si="176"/>
        <v>156</v>
      </c>
      <c r="R455" s="929">
        <f t="shared" si="176"/>
        <v>87</v>
      </c>
      <c r="S455" s="929">
        <f t="shared" si="176"/>
        <v>155</v>
      </c>
      <c r="T455" s="929">
        <f t="shared" si="176"/>
        <v>115</v>
      </c>
      <c r="U455" s="929">
        <f t="shared" si="176"/>
        <v>134</v>
      </c>
      <c r="V455" s="929">
        <f t="shared" si="176"/>
        <v>112</v>
      </c>
      <c r="W455" s="929">
        <f t="shared" si="176"/>
        <v>120</v>
      </c>
      <c r="X455" s="929">
        <f t="shared" si="176"/>
        <v>132</v>
      </c>
      <c r="Y455" s="929">
        <f t="shared" si="176"/>
        <v>84</v>
      </c>
      <c r="Z455" s="929">
        <f t="shared" si="176"/>
        <v>75</v>
      </c>
      <c r="AA455" s="929">
        <f t="shared" si="176"/>
        <v>68</v>
      </c>
      <c r="AB455" s="929">
        <f t="shared" si="176"/>
        <v>75</v>
      </c>
      <c r="AC455" s="929">
        <f t="shared" si="176"/>
        <v>59</v>
      </c>
      <c r="AD455" s="929">
        <f t="shared" si="176"/>
        <v>74</v>
      </c>
      <c r="AE455" s="929">
        <f t="shared" si="176"/>
        <v>88</v>
      </c>
      <c r="AF455" s="929">
        <f t="shared" si="176"/>
        <v>64</v>
      </c>
      <c r="AG455" s="768">
        <f t="shared" si="172"/>
        <v>3553</v>
      </c>
    </row>
    <row r="456">
      <c r="A456" s="42"/>
      <c r="B456" s="542"/>
      <c r="C456" s="542"/>
      <c r="D456" s="542"/>
      <c r="E456" s="542"/>
      <c r="F456" s="542"/>
      <c r="G456" s="542"/>
      <c r="H456" s="542"/>
      <c r="I456" s="542"/>
      <c r="J456" s="542"/>
      <c r="K456" s="542"/>
      <c r="L456" s="542"/>
      <c r="M456" s="542"/>
      <c r="N456" s="542"/>
      <c r="O456" s="542"/>
      <c r="P456" s="542"/>
      <c r="Q456" s="542"/>
      <c r="R456" s="542"/>
      <c r="S456" s="542"/>
      <c r="T456" s="542"/>
      <c r="U456" s="542"/>
      <c r="V456" s="542"/>
      <c r="W456" s="542"/>
      <c r="X456" s="542"/>
      <c r="Y456" s="542"/>
      <c r="Z456" s="542"/>
      <c r="AA456" s="542"/>
      <c r="AB456" s="542"/>
      <c r="AC456" s="542"/>
      <c r="AD456" s="542"/>
      <c r="AE456" s="542"/>
      <c r="AF456" s="542"/>
      <c r="AG456" s="768"/>
    </row>
    <row r="457">
      <c r="A457" s="927" t="s">
        <v>767</v>
      </c>
      <c r="B457" s="301">
        <f t="shared" ref="B457:AF457" si="177">B225-B298</f>
        <v>3</v>
      </c>
      <c r="C457" s="301">
        <f t="shared" si="177"/>
        <v>1</v>
      </c>
      <c r="D457" s="301">
        <f t="shared" si="177"/>
        <v>1</v>
      </c>
      <c r="E457" s="301">
        <f t="shared" si="177"/>
        <v>1</v>
      </c>
      <c r="F457" s="301">
        <f t="shared" si="177"/>
        <v>4</v>
      </c>
      <c r="G457" s="301">
        <f t="shared" si="177"/>
        <v>6</v>
      </c>
      <c r="H457" s="301">
        <f t="shared" si="177"/>
        <v>0</v>
      </c>
      <c r="I457" s="301">
        <f t="shared" si="177"/>
        <v>4</v>
      </c>
      <c r="J457" s="301">
        <f t="shared" si="177"/>
        <v>1</v>
      </c>
      <c r="K457" s="301">
        <f t="shared" si="177"/>
        <v>4</v>
      </c>
      <c r="L457" s="301">
        <f t="shared" si="177"/>
        <v>2</v>
      </c>
      <c r="M457" s="301">
        <f t="shared" si="177"/>
        <v>6</v>
      </c>
      <c r="N457" s="301">
        <f t="shared" si="177"/>
        <v>2</v>
      </c>
      <c r="O457" s="301">
        <f t="shared" si="177"/>
        <v>8</v>
      </c>
      <c r="P457" s="301">
        <f t="shared" si="177"/>
        <v>2</v>
      </c>
      <c r="Q457" s="301">
        <f t="shared" si="177"/>
        <v>7</v>
      </c>
      <c r="R457" s="301">
        <f t="shared" si="177"/>
        <v>1</v>
      </c>
      <c r="S457" s="301">
        <f t="shared" si="177"/>
        <v>2</v>
      </c>
      <c r="T457" s="301">
        <f t="shared" si="177"/>
        <v>1</v>
      </c>
      <c r="U457" s="301">
        <f t="shared" si="177"/>
        <v>5</v>
      </c>
      <c r="V457" s="301">
        <f t="shared" si="177"/>
        <v>5</v>
      </c>
      <c r="W457" s="301">
        <f t="shared" si="177"/>
        <v>4</v>
      </c>
      <c r="X457" s="301">
        <f t="shared" si="177"/>
        <v>1</v>
      </c>
      <c r="Y457" s="301">
        <f t="shared" si="177"/>
        <v>3</v>
      </c>
      <c r="Z457" s="301">
        <f t="shared" si="177"/>
        <v>2</v>
      </c>
      <c r="AA457" s="301">
        <f t="shared" si="177"/>
        <v>3</v>
      </c>
      <c r="AB457" s="301">
        <f t="shared" si="177"/>
        <v>3</v>
      </c>
      <c r="AC457" s="301">
        <f t="shared" si="177"/>
        <v>4</v>
      </c>
      <c r="AD457" s="301">
        <f t="shared" si="177"/>
        <v>3</v>
      </c>
      <c r="AE457" s="301">
        <f t="shared" si="177"/>
        <v>-1</v>
      </c>
      <c r="AF457" s="301">
        <f t="shared" si="177"/>
        <v>4</v>
      </c>
      <c r="AG457" s="768">
        <f t="shared" ref="AG457:AG462" si="179">SUM(B457:AF457)</f>
        <v>92</v>
      </c>
    </row>
    <row r="458">
      <c r="A458" s="927" t="s">
        <v>769</v>
      </c>
      <c r="B458" s="301">
        <f t="shared" ref="B458:AF458" si="178">B226-B299</f>
        <v>0</v>
      </c>
      <c r="C458" s="301">
        <f t="shared" si="178"/>
        <v>0</v>
      </c>
      <c r="D458" s="301">
        <f t="shared" si="178"/>
        <v>0</v>
      </c>
      <c r="E458" s="301">
        <f t="shared" si="178"/>
        <v>0</v>
      </c>
      <c r="F458" s="301">
        <f t="shared" si="178"/>
        <v>0</v>
      </c>
      <c r="G458" s="301">
        <f t="shared" si="178"/>
        <v>0</v>
      </c>
      <c r="H458" s="301">
        <f t="shared" si="178"/>
        <v>0</v>
      </c>
      <c r="I458" s="301">
        <f t="shared" si="178"/>
        <v>0</v>
      </c>
      <c r="J458" s="301">
        <f t="shared" si="178"/>
        <v>0</v>
      </c>
      <c r="K458" s="301">
        <f t="shared" si="178"/>
        <v>0</v>
      </c>
      <c r="L458" s="301">
        <f t="shared" si="178"/>
        <v>0</v>
      </c>
      <c r="M458" s="301">
        <f t="shared" si="178"/>
        <v>0</v>
      </c>
      <c r="N458" s="301">
        <f t="shared" si="178"/>
        <v>0</v>
      </c>
      <c r="O458" s="301">
        <f t="shared" si="178"/>
        <v>0</v>
      </c>
      <c r="P458" s="301">
        <f t="shared" si="178"/>
        <v>0</v>
      </c>
      <c r="Q458" s="301">
        <f t="shared" si="178"/>
        <v>0</v>
      </c>
      <c r="R458" s="301">
        <f t="shared" si="178"/>
        <v>0</v>
      </c>
      <c r="S458" s="301">
        <f t="shared" si="178"/>
        <v>0</v>
      </c>
      <c r="T458" s="301">
        <f t="shared" si="178"/>
        <v>0</v>
      </c>
      <c r="U458" s="301">
        <f t="shared" si="178"/>
        <v>0</v>
      </c>
      <c r="V458" s="301">
        <f t="shared" si="178"/>
        <v>0</v>
      </c>
      <c r="W458" s="301">
        <f t="shared" si="178"/>
        <v>0</v>
      </c>
      <c r="X458" s="301">
        <f t="shared" si="178"/>
        <v>0</v>
      </c>
      <c r="Y458" s="301">
        <f t="shared" si="178"/>
        <v>0</v>
      </c>
      <c r="Z458" s="301">
        <f t="shared" si="178"/>
        <v>0</v>
      </c>
      <c r="AA458" s="301">
        <f t="shared" si="178"/>
        <v>0</v>
      </c>
      <c r="AB458" s="301">
        <f t="shared" si="178"/>
        <v>0</v>
      </c>
      <c r="AC458" s="301">
        <f t="shared" si="178"/>
        <v>0</v>
      </c>
      <c r="AD458" s="301">
        <f t="shared" si="178"/>
        <v>0</v>
      </c>
      <c r="AE458" s="301">
        <f t="shared" si="178"/>
        <v>0</v>
      </c>
      <c r="AF458" s="301">
        <f t="shared" si="178"/>
        <v>0</v>
      </c>
      <c r="AG458" s="768">
        <f t="shared" si="179"/>
        <v>0</v>
      </c>
    </row>
    <row r="459">
      <c r="A459" s="927" t="s">
        <v>770</v>
      </c>
      <c r="B459" s="301">
        <f t="shared" ref="B459:AF459" si="180">B227-B300</f>
        <v>2</v>
      </c>
      <c r="C459" s="301">
        <f t="shared" si="180"/>
        <v>0</v>
      </c>
      <c r="D459" s="301">
        <f t="shared" si="180"/>
        <v>1</v>
      </c>
      <c r="E459" s="301">
        <f t="shared" si="180"/>
        <v>2</v>
      </c>
      <c r="F459" s="301">
        <f t="shared" si="180"/>
        <v>2</v>
      </c>
      <c r="G459" s="301">
        <f t="shared" si="180"/>
        <v>4</v>
      </c>
      <c r="H459" s="301">
        <f t="shared" si="180"/>
        <v>0</v>
      </c>
      <c r="I459" s="301">
        <f t="shared" si="180"/>
        <v>2</v>
      </c>
      <c r="J459" s="301">
        <f t="shared" si="180"/>
        <v>0</v>
      </c>
      <c r="K459" s="301">
        <f t="shared" si="180"/>
        <v>2</v>
      </c>
      <c r="L459" s="301">
        <f t="shared" si="180"/>
        <v>1</v>
      </c>
      <c r="M459" s="301">
        <f t="shared" si="180"/>
        <v>0</v>
      </c>
      <c r="N459" s="301">
        <f t="shared" si="180"/>
        <v>1</v>
      </c>
      <c r="O459" s="301">
        <f t="shared" si="180"/>
        <v>1</v>
      </c>
      <c r="P459" s="301">
        <f t="shared" si="180"/>
        <v>3</v>
      </c>
      <c r="Q459" s="301">
        <f t="shared" si="180"/>
        <v>2</v>
      </c>
      <c r="R459" s="301">
        <f t="shared" si="180"/>
        <v>1</v>
      </c>
      <c r="S459" s="301">
        <f t="shared" si="180"/>
        <v>1</v>
      </c>
      <c r="T459" s="301">
        <f t="shared" si="180"/>
        <v>1</v>
      </c>
      <c r="U459" s="301">
        <f t="shared" si="180"/>
        <v>1</v>
      </c>
      <c r="V459" s="301">
        <f t="shared" si="180"/>
        <v>2</v>
      </c>
      <c r="W459" s="301">
        <f t="shared" si="180"/>
        <v>1</v>
      </c>
      <c r="X459" s="301">
        <f t="shared" si="180"/>
        <v>3</v>
      </c>
      <c r="Y459" s="301">
        <f t="shared" si="180"/>
        <v>1</v>
      </c>
      <c r="Z459" s="301">
        <f t="shared" si="180"/>
        <v>1</v>
      </c>
      <c r="AA459" s="301">
        <f t="shared" si="180"/>
        <v>14</v>
      </c>
      <c r="AB459" s="301">
        <f t="shared" si="180"/>
        <v>1</v>
      </c>
      <c r="AC459" s="301">
        <f t="shared" si="180"/>
        <v>1</v>
      </c>
      <c r="AD459" s="301">
        <f t="shared" si="180"/>
        <v>1</v>
      </c>
      <c r="AE459" s="301">
        <f t="shared" si="180"/>
        <v>1</v>
      </c>
      <c r="AF459" s="301">
        <f t="shared" si="180"/>
        <v>1</v>
      </c>
      <c r="AG459" s="768">
        <f t="shared" si="179"/>
        <v>54</v>
      </c>
    </row>
    <row r="460">
      <c r="A460" s="927" t="s">
        <v>771</v>
      </c>
      <c r="B460" s="301">
        <f t="shared" ref="B460:AF460" si="181">B228-B301</f>
        <v>2</v>
      </c>
      <c r="C460" s="301">
        <f t="shared" si="181"/>
        <v>2</v>
      </c>
      <c r="D460" s="301">
        <f t="shared" si="181"/>
        <v>0</v>
      </c>
      <c r="E460" s="301">
        <f t="shared" si="181"/>
        <v>3</v>
      </c>
      <c r="F460" s="301">
        <f t="shared" si="181"/>
        <v>4</v>
      </c>
      <c r="G460" s="301">
        <f t="shared" si="181"/>
        <v>4</v>
      </c>
      <c r="H460" s="301">
        <f t="shared" si="181"/>
        <v>1</v>
      </c>
      <c r="I460" s="301">
        <f t="shared" si="181"/>
        <v>2</v>
      </c>
      <c r="J460" s="301">
        <f t="shared" si="181"/>
        <v>0</v>
      </c>
      <c r="K460" s="301">
        <f t="shared" si="181"/>
        <v>3</v>
      </c>
      <c r="L460" s="301">
        <f t="shared" si="181"/>
        <v>2</v>
      </c>
      <c r="M460" s="301">
        <f t="shared" si="181"/>
        <v>3</v>
      </c>
      <c r="N460" s="301">
        <f t="shared" si="181"/>
        <v>0</v>
      </c>
      <c r="O460" s="301">
        <f t="shared" si="181"/>
        <v>1</v>
      </c>
      <c r="P460" s="301">
        <f t="shared" si="181"/>
        <v>3</v>
      </c>
      <c r="Q460" s="301">
        <f t="shared" si="181"/>
        <v>3</v>
      </c>
      <c r="R460" s="301">
        <f t="shared" si="181"/>
        <v>1</v>
      </c>
      <c r="S460" s="301">
        <f t="shared" si="181"/>
        <v>0</v>
      </c>
      <c r="T460" s="301">
        <f t="shared" si="181"/>
        <v>0</v>
      </c>
      <c r="U460" s="301">
        <f t="shared" si="181"/>
        <v>1</v>
      </c>
      <c r="V460" s="301">
        <f t="shared" si="181"/>
        <v>3</v>
      </c>
      <c r="W460" s="301">
        <f t="shared" si="181"/>
        <v>1</v>
      </c>
      <c r="X460" s="301">
        <f t="shared" si="181"/>
        <v>1</v>
      </c>
      <c r="Y460" s="301">
        <f t="shared" si="181"/>
        <v>1</v>
      </c>
      <c r="Z460" s="301">
        <f t="shared" si="181"/>
        <v>1</v>
      </c>
      <c r="AA460" s="301">
        <f t="shared" si="181"/>
        <v>1</v>
      </c>
      <c r="AB460" s="301">
        <f t="shared" si="181"/>
        <v>0</v>
      </c>
      <c r="AC460" s="301">
        <f t="shared" si="181"/>
        <v>2</v>
      </c>
      <c r="AD460" s="301">
        <f t="shared" si="181"/>
        <v>0</v>
      </c>
      <c r="AE460" s="301">
        <f t="shared" si="181"/>
        <v>-1</v>
      </c>
      <c r="AF460" s="301">
        <f t="shared" si="181"/>
        <v>0</v>
      </c>
      <c r="AG460" s="768">
        <f t="shared" si="179"/>
        <v>44</v>
      </c>
    </row>
    <row r="461">
      <c r="A461" s="927" t="s">
        <v>772</v>
      </c>
      <c r="B461" s="301">
        <f t="shared" ref="B461:AF461" si="182">B229-B302</f>
        <v>0</v>
      </c>
      <c r="C461" s="301">
        <f t="shared" si="182"/>
        <v>1</v>
      </c>
      <c r="D461" s="301">
        <f t="shared" si="182"/>
        <v>3</v>
      </c>
      <c r="E461" s="301">
        <f t="shared" si="182"/>
        <v>3</v>
      </c>
      <c r="F461" s="301">
        <f t="shared" si="182"/>
        <v>0</v>
      </c>
      <c r="G461" s="301">
        <f t="shared" si="182"/>
        <v>0</v>
      </c>
      <c r="H461" s="301">
        <f t="shared" si="182"/>
        <v>1</v>
      </c>
      <c r="I461" s="301">
        <f t="shared" si="182"/>
        <v>5</v>
      </c>
      <c r="J461" s="301">
        <f t="shared" si="182"/>
        <v>3</v>
      </c>
      <c r="K461" s="301">
        <f t="shared" si="182"/>
        <v>2</v>
      </c>
      <c r="L461" s="301">
        <f t="shared" si="182"/>
        <v>2</v>
      </c>
      <c r="M461" s="301">
        <f t="shared" si="182"/>
        <v>5</v>
      </c>
      <c r="N461" s="301">
        <f t="shared" si="182"/>
        <v>0</v>
      </c>
      <c r="O461" s="301">
        <f t="shared" si="182"/>
        <v>1</v>
      </c>
      <c r="P461" s="301">
        <f t="shared" si="182"/>
        <v>1</v>
      </c>
      <c r="Q461" s="301">
        <f t="shared" si="182"/>
        <v>1</v>
      </c>
      <c r="R461" s="301">
        <f t="shared" si="182"/>
        <v>0</v>
      </c>
      <c r="S461" s="301">
        <f t="shared" si="182"/>
        <v>1</v>
      </c>
      <c r="T461" s="301">
        <f t="shared" si="182"/>
        <v>1</v>
      </c>
      <c r="U461" s="301">
        <f t="shared" si="182"/>
        <v>3</v>
      </c>
      <c r="V461" s="301">
        <f t="shared" si="182"/>
        <v>1</v>
      </c>
      <c r="W461" s="301">
        <f t="shared" si="182"/>
        <v>2</v>
      </c>
      <c r="X461" s="301">
        <f t="shared" si="182"/>
        <v>0</v>
      </c>
      <c r="Y461" s="301">
        <f t="shared" si="182"/>
        <v>0</v>
      </c>
      <c r="Z461" s="301">
        <f t="shared" si="182"/>
        <v>4</v>
      </c>
      <c r="AA461" s="301">
        <f t="shared" si="182"/>
        <v>0</v>
      </c>
      <c r="AB461" s="301">
        <f t="shared" si="182"/>
        <v>0</v>
      </c>
      <c r="AC461" s="301">
        <f t="shared" si="182"/>
        <v>2</v>
      </c>
      <c r="AD461" s="301">
        <f t="shared" si="182"/>
        <v>4</v>
      </c>
      <c r="AE461" s="301">
        <f t="shared" si="182"/>
        <v>1</v>
      </c>
      <c r="AF461" s="301">
        <f t="shared" si="182"/>
        <v>1</v>
      </c>
      <c r="AG461" s="768">
        <f t="shared" si="179"/>
        <v>48</v>
      </c>
    </row>
    <row r="462">
      <c r="A462" s="931" t="s">
        <v>773</v>
      </c>
      <c r="B462" s="932">
        <f t="shared" ref="B462:AF462" si="183">SUM(B457:B461)</f>
        <v>7</v>
      </c>
      <c r="C462" s="929">
        <f t="shared" si="183"/>
        <v>4</v>
      </c>
      <c r="D462" s="929">
        <f t="shared" si="183"/>
        <v>5</v>
      </c>
      <c r="E462" s="929">
        <f t="shared" si="183"/>
        <v>9</v>
      </c>
      <c r="F462" s="929">
        <f t="shared" si="183"/>
        <v>10</v>
      </c>
      <c r="G462" s="929">
        <f t="shared" si="183"/>
        <v>14</v>
      </c>
      <c r="H462" s="929">
        <f t="shared" si="183"/>
        <v>2</v>
      </c>
      <c r="I462" s="929">
        <f t="shared" si="183"/>
        <v>13</v>
      </c>
      <c r="J462" s="929">
        <f t="shared" si="183"/>
        <v>4</v>
      </c>
      <c r="K462" s="929">
        <f t="shared" si="183"/>
        <v>11</v>
      </c>
      <c r="L462" s="929">
        <f t="shared" si="183"/>
        <v>7</v>
      </c>
      <c r="M462" s="929">
        <f t="shared" si="183"/>
        <v>14</v>
      </c>
      <c r="N462" s="929">
        <f t="shared" si="183"/>
        <v>3</v>
      </c>
      <c r="O462" s="929">
        <f t="shared" si="183"/>
        <v>11</v>
      </c>
      <c r="P462" s="929">
        <f t="shared" si="183"/>
        <v>9</v>
      </c>
      <c r="Q462" s="929">
        <f t="shared" si="183"/>
        <v>13</v>
      </c>
      <c r="R462" s="929">
        <f t="shared" si="183"/>
        <v>3</v>
      </c>
      <c r="S462" s="929">
        <f t="shared" si="183"/>
        <v>4</v>
      </c>
      <c r="T462" s="929">
        <f t="shared" si="183"/>
        <v>3</v>
      </c>
      <c r="U462" s="929">
        <f t="shared" si="183"/>
        <v>10</v>
      </c>
      <c r="V462" s="929">
        <f t="shared" si="183"/>
        <v>11</v>
      </c>
      <c r="W462" s="929">
        <f t="shared" si="183"/>
        <v>8</v>
      </c>
      <c r="X462" s="929">
        <f t="shared" si="183"/>
        <v>5</v>
      </c>
      <c r="Y462" s="929">
        <f t="shared" si="183"/>
        <v>5</v>
      </c>
      <c r="Z462" s="929">
        <f t="shared" si="183"/>
        <v>8</v>
      </c>
      <c r="AA462" s="929">
        <f t="shared" si="183"/>
        <v>18</v>
      </c>
      <c r="AB462" s="929">
        <f t="shared" si="183"/>
        <v>4</v>
      </c>
      <c r="AC462" s="929">
        <f t="shared" si="183"/>
        <v>9</v>
      </c>
      <c r="AD462" s="929">
        <f t="shared" si="183"/>
        <v>8</v>
      </c>
      <c r="AE462" s="929">
        <f t="shared" si="183"/>
        <v>0</v>
      </c>
      <c r="AF462" s="929">
        <f t="shared" si="183"/>
        <v>6</v>
      </c>
      <c r="AG462" s="768">
        <f t="shared" si="179"/>
        <v>238</v>
      </c>
    </row>
    <row r="463">
      <c r="A463" s="42"/>
      <c r="B463" s="542"/>
      <c r="C463" s="542"/>
      <c r="D463" s="542"/>
      <c r="E463" s="542"/>
      <c r="F463" s="542"/>
      <c r="G463" s="542"/>
      <c r="H463" s="542"/>
      <c r="I463" s="542"/>
      <c r="J463" s="542"/>
      <c r="K463" s="542"/>
      <c r="L463" s="542"/>
      <c r="M463" s="542"/>
      <c r="N463" s="542"/>
      <c r="O463" s="542"/>
      <c r="P463" s="542"/>
      <c r="Q463" s="542"/>
      <c r="R463" s="542"/>
      <c r="S463" s="542"/>
      <c r="T463" s="542"/>
      <c r="U463" s="542"/>
      <c r="V463" s="542"/>
      <c r="W463" s="542"/>
      <c r="X463" s="542"/>
      <c r="Y463" s="542"/>
      <c r="Z463" s="542"/>
      <c r="AA463" s="542"/>
      <c r="AB463" s="542"/>
      <c r="AC463" s="542"/>
      <c r="AD463" s="542"/>
      <c r="AE463" s="542"/>
      <c r="AF463" s="542"/>
      <c r="AG463" s="768"/>
    </row>
    <row r="464">
      <c r="A464" s="927" t="s">
        <v>774</v>
      </c>
      <c r="B464" s="884">
        <f t="shared" ref="B464:AF464" si="184">B232-B305</f>
        <v>0</v>
      </c>
      <c r="C464" s="884">
        <f t="shared" si="184"/>
        <v>0</v>
      </c>
      <c r="D464" s="884">
        <f t="shared" si="184"/>
        <v>0</v>
      </c>
      <c r="E464" s="884">
        <f t="shared" si="184"/>
        <v>0</v>
      </c>
      <c r="F464" s="884">
        <f t="shared" si="184"/>
        <v>0</v>
      </c>
      <c r="G464" s="884">
        <f t="shared" si="184"/>
        <v>0</v>
      </c>
      <c r="H464" s="884">
        <f t="shared" si="184"/>
        <v>0</v>
      </c>
      <c r="I464" s="884">
        <f t="shared" si="184"/>
        <v>0</v>
      </c>
      <c r="J464" s="884">
        <f t="shared" si="184"/>
        <v>0</v>
      </c>
      <c r="K464" s="884">
        <f t="shared" si="184"/>
        <v>0</v>
      </c>
      <c r="L464" s="884">
        <f t="shared" si="184"/>
        <v>0</v>
      </c>
      <c r="M464" s="884">
        <f t="shared" si="184"/>
        <v>0</v>
      </c>
      <c r="N464" s="884">
        <f t="shared" si="184"/>
        <v>0</v>
      </c>
      <c r="O464" s="884">
        <f t="shared" si="184"/>
        <v>0</v>
      </c>
      <c r="P464" s="884">
        <f t="shared" si="184"/>
        <v>0</v>
      </c>
      <c r="Q464" s="884">
        <f t="shared" si="184"/>
        <v>0</v>
      </c>
      <c r="R464" s="884">
        <f t="shared" si="184"/>
        <v>0</v>
      </c>
      <c r="S464" s="884">
        <f t="shared" si="184"/>
        <v>0</v>
      </c>
      <c r="T464" s="884">
        <f t="shared" si="184"/>
        <v>0</v>
      </c>
      <c r="U464" s="884">
        <f t="shared" si="184"/>
        <v>0</v>
      </c>
      <c r="V464" s="884">
        <f t="shared" si="184"/>
        <v>0</v>
      </c>
      <c r="W464" s="884">
        <f t="shared" si="184"/>
        <v>0</v>
      </c>
      <c r="X464" s="884">
        <f t="shared" si="184"/>
        <v>0</v>
      </c>
      <c r="Y464" s="884">
        <f t="shared" si="184"/>
        <v>0</v>
      </c>
      <c r="Z464" s="884">
        <f t="shared" si="184"/>
        <v>0</v>
      </c>
      <c r="AA464" s="884">
        <f t="shared" si="184"/>
        <v>0</v>
      </c>
      <c r="AB464" s="884">
        <f t="shared" si="184"/>
        <v>0</v>
      </c>
      <c r="AC464" s="884">
        <f t="shared" si="184"/>
        <v>0</v>
      </c>
      <c r="AD464" s="884">
        <f t="shared" si="184"/>
        <v>0</v>
      </c>
      <c r="AE464" s="884">
        <f t="shared" si="184"/>
        <v>0</v>
      </c>
      <c r="AF464" s="884">
        <f t="shared" si="184"/>
        <v>0</v>
      </c>
      <c r="AG464" s="768">
        <f t="shared" ref="AG464:AG469" si="186">SUM(B464:AF464)</f>
        <v>0</v>
      </c>
    </row>
    <row r="465">
      <c r="A465" s="927" t="s">
        <v>775</v>
      </c>
      <c r="B465" s="884">
        <f t="shared" ref="B465:AF465" si="185">B233-B306</f>
        <v>0</v>
      </c>
      <c r="C465" s="884">
        <f t="shared" si="185"/>
        <v>0</v>
      </c>
      <c r="D465" s="884">
        <f t="shared" si="185"/>
        <v>0</v>
      </c>
      <c r="E465" s="884">
        <f t="shared" si="185"/>
        <v>0</v>
      </c>
      <c r="F465" s="884">
        <f t="shared" si="185"/>
        <v>0</v>
      </c>
      <c r="G465" s="884">
        <f t="shared" si="185"/>
        <v>0</v>
      </c>
      <c r="H465" s="884">
        <f t="shared" si="185"/>
        <v>0</v>
      </c>
      <c r="I465" s="884">
        <f t="shared" si="185"/>
        <v>0</v>
      </c>
      <c r="J465" s="884">
        <f t="shared" si="185"/>
        <v>0</v>
      </c>
      <c r="K465" s="884">
        <f t="shared" si="185"/>
        <v>0</v>
      </c>
      <c r="L465" s="884">
        <f t="shared" si="185"/>
        <v>0</v>
      </c>
      <c r="M465" s="884">
        <f t="shared" si="185"/>
        <v>0</v>
      </c>
      <c r="N465" s="884">
        <f t="shared" si="185"/>
        <v>0</v>
      </c>
      <c r="O465" s="884">
        <f t="shared" si="185"/>
        <v>0</v>
      </c>
      <c r="P465" s="884">
        <f t="shared" si="185"/>
        <v>0</v>
      </c>
      <c r="Q465" s="884">
        <f t="shared" si="185"/>
        <v>0</v>
      </c>
      <c r="R465" s="884">
        <f t="shared" si="185"/>
        <v>0</v>
      </c>
      <c r="S465" s="884">
        <f t="shared" si="185"/>
        <v>0</v>
      </c>
      <c r="T465" s="884">
        <f t="shared" si="185"/>
        <v>0</v>
      </c>
      <c r="U465" s="884">
        <f t="shared" si="185"/>
        <v>0</v>
      </c>
      <c r="V465" s="884">
        <f t="shared" si="185"/>
        <v>0</v>
      </c>
      <c r="W465" s="884">
        <f t="shared" si="185"/>
        <v>0</v>
      </c>
      <c r="X465" s="884">
        <f t="shared" si="185"/>
        <v>0</v>
      </c>
      <c r="Y465" s="884">
        <f t="shared" si="185"/>
        <v>0</v>
      </c>
      <c r="Z465" s="884">
        <f t="shared" si="185"/>
        <v>0</v>
      </c>
      <c r="AA465" s="884">
        <f t="shared" si="185"/>
        <v>0</v>
      </c>
      <c r="AB465" s="884">
        <f t="shared" si="185"/>
        <v>0</v>
      </c>
      <c r="AC465" s="884">
        <f t="shared" si="185"/>
        <v>0</v>
      </c>
      <c r="AD465" s="884">
        <f t="shared" si="185"/>
        <v>0</v>
      </c>
      <c r="AE465" s="884">
        <f t="shared" si="185"/>
        <v>0</v>
      </c>
      <c r="AF465" s="884">
        <f t="shared" si="185"/>
        <v>0</v>
      </c>
      <c r="AG465" s="768">
        <f t="shared" si="186"/>
        <v>0</v>
      </c>
    </row>
    <row r="466">
      <c r="A466" s="927" t="s">
        <v>776</v>
      </c>
      <c r="B466" s="884">
        <f t="shared" ref="B466:AF466" si="187">B234-B307</f>
        <v>0</v>
      </c>
      <c r="C466" s="884">
        <f t="shared" si="187"/>
        <v>0</v>
      </c>
      <c r="D466" s="884">
        <f t="shared" si="187"/>
        <v>0</v>
      </c>
      <c r="E466" s="884">
        <f t="shared" si="187"/>
        <v>0</v>
      </c>
      <c r="F466" s="884">
        <f t="shared" si="187"/>
        <v>0</v>
      </c>
      <c r="G466" s="884">
        <f t="shared" si="187"/>
        <v>0</v>
      </c>
      <c r="H466" s="884">
        <f t="shared" si="187"/>
        <v>0</v>
      </c>
      <c r="I466" s="884">
        <f t="shared" si="187"/>
        <v>0</v>
      </c>
      <c r="J466" s="884">
        <f t="shared" si="187"/>
        <v>0</v>
      </c>
      <c r="K466" s="884">
        <f t="shared" si="187"/>
        <v>0</v>
      </c>
      <c r="L466" s="884">
        <f t="shared" si="187"/>
        <v>0</v>
      </c>
      <c r="M466" s="884">
        <f t="shared" si="187"/>
        <v>0</v>
      </c>
      <c r="N466" s="884">
        <f t="shared" si="187"/>
        <v>0</v>
      </c>
      <c r="O466" s="884">
        <f t="shared" si="187"/>
        <v>0</v>
      </c>
      <c r="P466" s="884">
        <f t="shared" si="187"/>
        <v>0</v>
      </c>
      <c r="Q466" s="884">
        <f t="shared" si="187"/>
        <v>0</v>
      </c>
      <c r="R466" s="884">
        <f t="shared" si="187"/>
        <v>0</v>
      </c>
      <c r="S466" s="884">
        <f t="shared" si="187"/>
        <v>0</v>
      </c>
      <c r="T466" s="884">
        <f t="shared" si="187"/>
        <v>0</v>
      </c>
      <c r="U466" s="884">
        <f t="shared" si="187"/>
        <v>0</v>
      </c>
      <c r="V466" s="884">
        <f t="shared" si="187"/>
        <v>0</v>
      </c>
      <c r="W466" s="884">
        <f t="shared" si="187"/>
        <v>0</v>
      </c>
      <c r="X466" s="884">
        <f t="shared" si="187"/>
        <v>0</v>
      </c>
      <c r="Y466" s="884">
        <f t="shared" si="187"/>
        <v>0</v>
      </c>
      <c r="Z466" s="884">
        <f t="shared" si="187"/>
        <v>0</v>
      </c>
      <c r="AA466" s="884">
        <f t="shared" si="187"/>
        <v>0</v>
      </c>
      <c r="AB466" s="884">
        <f t="shared" si="187"/>
        <v>0</v>
      </c>
      <c r="AC466" s="884">
        <f t="shared" si="187"/>
        <v>0</v>
      </c>
      <c r="AD466" s="884">
        <f t="shared" si="187"/>
        <v>0</v>
      </c>
      <c r="AE466" s="884">
        <f t="shared" si="187"/>
        <v>0</v>
      </c>
      <c r="AF466" s="884">
        <f t="shared" si="187"/>
        <v>0</v>
      </c>
      <c r="AG466" s="768">
        <f t="shared" si="186"/>
        <v>0</v>
      </c>
    </row>
    <row r="467">
      <c r="A467" s="927" t="s">
        <v>777</v>
      </c>
      <c r="B467" s="884">
        <f t="shared" ref="B467:AF467" si="188">B235-B308</f>
        <v>0</v>
      </c>
      <c r="C467" s="884">
        <f t="shared" si="188"/>
        <v>0</v>
      </c>
      <c r="D467" s="884">
        <f t="shared" si="188"/>
        <v>0</v>
      </c>
      <c r="E467" s="884">
        <f t="shared" si="188"/>
        <v>0</v>
      </c>
      <c r="F467" s="884">
        <f t="shared" si="188"/>
        <v>0</v>
      </c>
      <c r="G467" s="884">
        <f t="shared" si="188"/>
        <v>0</v>
      </c>
      <c r="H467" s="884">
        <f t="shared" si="188"/>
        <v>0</v>
      </c>
      <c r="I467" s="884">
        <f t="shared" si="188"/>
        <v>0</v>
      </c>
      <c r="J467" s="884">
        <f t="shared" si="188"/>
        <v>0</v>
      </c>
      <c r="K467" s="884">
        <f t="shared" si="188"/>
        <v>0</v>
      </c>
      <c r="L467" s="884">
        <f t="shared" si="188"/>
        <v>0</v>
      </c>
      <c r="M467" s="884">
        <f t="shared" si="188"/>
        <v>0</v>
      </c>
      <c r="N467" s="884">
        <f t="shared" si="188"/>
        <v>0</v>
      </c>
      <c r="O467" s="884">
        <f t="shared" si="188"/>
        <v>0</v>
      </c>
      <c r="P467" s="884">
        <f t="shared" si="188"/>
        <v>0</v>
      </c>
      <c r="Q467" s="884">
        <f t="shared" si="188"/>
        <v>0</v>
      </c>
      <c r="R467" s="884">
        <f t="shared" si="188"/>
        <v>0</v>
      </c>
      <c r="S467" s="884">
        <f t="shared" si="188"/>
        <v>0</v>
      </c>
      <c r="T467" s="884">
        <f t="shared" si="188"/>
        <v>0</v>
      </c>
      <c r="U467" s="884">
        <f t="shared" si="188"/>
        <v>0</v>
      </c>
      <c r="V467" s="884">
        <f t="shared" si="188"/>
        <v>0</v>
      </c>
      <c r="W467" s="884">
        <f t="shared" si="188"/>
        <v>0</v>
      </c>
      <c r="X467" s="884">
        <f t="shared" si="188"/>
        <v>0</v>
      </c>
      <c r="Y467" s="884">
        <f t="shared" si="188"/>
        <v>0</v>
      </c>
      <c r="Z467" s="884">
        <f t="shared" si="188"/>
        <v>0</v>
      </c>
      <c r="AA467" s="884">
        <f t="shared" si="188"/>
        <v>0</v>
      </c>
      <c r="AB467" s="884">
        <f t="shared" si="188"/>
        <v>0</v>
      </c>
      <c r="AC467" s="884">
        <f t="shared" si="188"/>
        <v>0</v>
      </c>
      <c r="AD467" s="884">
        <f t="shared" si="188"/>
        <v>0</v>
      </c>
      <c r="AE467" s="884">
        <f t="shared" si="188"/>
        <v>0</v>
      </c>
      <c r="AF467" s="884">
        <f t="shared" si="188"/>
        <v>0</v>
      </c>
      <c r="AG467" s="768">
        <f t="shared" si="186"/>
        <v>0</v>
      </c>
    </row>
    <row r="468">
      <c r="A468" s="927" t="s">
        <v>778</v>
      </c>
      <c r="B468" s="884">
        <f t="shared" ref="B468:AF468" si="189">B236-B309</f>
        <v>1</v>
      </c>
      <c r="C468" s="884">
        <f t="shared" si="189"/>
        <v>0</v>
      </c>
      <c r="D468" s="884">
        <f t="shared" si="189"/>
        <v>0</v>
      </c>
      <c r="E468" s="884">
        <f t="shared" si="189"/>
        <v>0</v>
      </c>
      <c r="F468" s="884">
        <f t="shared" si="189"/>
        <v>0</v>
      </c>
      <c r="G468" s="884">
        <f t="shared" si="189"/>
        <v>0</v>
      </c>
      <c r="H468" s="884">
        <f t="shared" si="189"/>
        <v>0</v>
      </c>
      <c r="I468" s="884">
        <f t="shared" si="189"/>
        <v>0</v>
      </c>
      <c r="J468" s="884">
        <f t="shared" si="189"/>
        <v>0</v>
      </c>
      <c r="K468" s="884">
        <f t="shared" si="189"/>
        <v>0</v>
      </c>
      <c r="L468" s="884">
        <f t="shared" si="189"/>
        <v>0</v>
      </c>
      <c r="M468" s="884">
        <f t="shared" si="189"/>
        <v>0</v>
      </c>
      <c r="N468" s="884">
        <f t="shared" si="189"/>
        <v>0</v>
      </c>
      <c r="O468" s="884">
        <f t="shared" si="189"/>
        <v>0</v>
      </c>
      <c r="P468" s="884">
        <f t="shared" si="189"/>
        <v>0</v>
      </c>
      <c r="Q468" s="884">
        <f t="shared" si="189"/>
        <v>0</v>
      </c>
      <c r="R468" s="884">
        <f t="shared" si="189"/>
        <v>0</v>
      </c>
      <c r="S468" s="884">
        <f t="shared" si="189"/>
        <v>0</v>
      </c>
      <c r="T468" s="884">
        <f t="shared" si="189"/>
        <v>0</v>
      </c>
      <c r="U468" s="884">
        <f t="shared" si="189"/>
        <v>0</v>
      </c>
      <c r="V468" s="884">
        <f t="shared" si="189"/>
        <v>0</v>
      </c>
      <c r="W468" s="884">
        <f t="shared" si="189"/>
        <v>0</v>
      </c>
      <c r="X468" s="884">
        <f t="shared" si="189"/>
        <v>0</v>
      </c>
      <c r="Y468" s="884">
        <f t="shared" si="189"/>
        <v>0</v>
      </c>
      <c r="Z468" s="884">
        <f t="shared" si="189"/>
        <v>0</v>
      </c>
      <c r="AA468" s="884">
        <f t="shared" si="189"/>
        <v>0</v>
      </c>
      <c r="AB468" s="884">
        <f t="shared" si="189"/>
        <v>0</v>
      </c>
      <c r="AC468" s="884">
        <f t="shared" si="189"/>
        <v>0</v>
      </c>
      <c r="AD468" s="884">
        <f t="shared" si="189"/>
        <v>0</v>
      </c>
      <c r="AE468" s="884">
        <f t="shared" si="189"/>
        <v>0</v>
      </c>
      <c r="AF468" s="884">
        <f t="shared" si="189"/>
        <v>0</v>
      </c>
      <c r="AG468" s="768">
        <f t="shared" si="186"/>
        <v>1</v>
      </c>
    </row>
    <row r="469">
      <c r="A469" s="931" t="s">
        <v>779</v>
      </c>
      <c r="B469" s="932">
        <f t="shared" ref="B469:AF469" si="190">SUM(B464:B468)</f>
        <v>1</v>
      </c>
      <c r="C469" s="929">
        <f t="shared" si="190"/>
        <v>0</v>
      </c>
      <c r="D469" s="929">
        <f t="shared" si="190"/>
        <v>0</v>
      </c>
      <c r="E469" s="929">
        <f t="shared" si="190"/>
        <v>0</v>
      </c>
      <c r="F469" s="929">
        <f t="shared" si="190"/>
        <v>0</v>
      </c>
      <c r="G469" s="929">
        <f t="shared" si="190"/>
        <v>0</v>
      </c>
      <c r="H469" s="929">
        <f t="shared" si="190"/>
        <v>0</v>
      </c>
      <c r="I469" s="929">
        <f t="shared" si="190"/>
        <v>0</v>
      </c>
      <c r="J469" s="929">
        <f t="shared" si="190"/>
        <v>0</v>
      </c>
      <c r="K469" s="929">
        <f t="shared" si="190"/>
        <v>0</v>
      </c>
      <c r="L469" s="929">
        <f t="shared" si="190"/>
        <v>0</v>
      </c>
      <c r="M469" s="929">
        <f t="shared" si="190"/>
        <v>0</v>
      </c>
      <c r="N469" s="929">
        <f t="shared" si="190"/>
        <v>0</v>
      </c>
      <c r="O469" s="929">
        <f t="shared" si="190"/>
        <v>0</v>
      </c>
      <c r="P469" s="929">
        <f t="shared" si="190"/>
        <v>0</v>
      </c>
      <c r="Q469" s="929">
        <f t="shared" si="190"/>
        <v>0</v>
      </c>
      <c r="R469" s="929">
        <f t="shared" si="190"/>
        <v>0</v>
      </c>
      <c r="S469" s="929">
        <f t="shared" si="190"/>
        <v>0</v>
      </c>
      <c r="T469" s="929">
        <f t="shared" si="190"/>
        <v>0</v>
      </c>
      <c r="U469" s="929">
        <f t="shared" si="190"/>
        <v>0</v>
      </c>
      <c r="V469" s="929">
        <f t="shared" si="190"/>
        <v>0</v>
      </c>
      <c r="W469" s="929">
        <f t="shared" si="190"/>
        <v>0</v>
      </c>
      <c r="X469" s="929">
        <f t="shared" si="190"/>
        <v>0</v>
      </c>
      <c r="Y469" s="929">
        <f t="shared" si="190"/>
        <v>0</v>
      </c>
      <c r="Z469" s="929">
        <f t="shared" si="190"/>
        <v>0</v>
      </c>
      <c r="AA469" s="929">
        <f t="shared" si="190"/>
        <v>0</v>
      </c>
      <c r="AB469" s="929">
        <f t="shared" si="190"/>
        <v>0</v>
      </c>
      <c r="AC469" s="929">
        <f t="shared" si="190"/>
        <v>0</v>
      </c>
      <c r="AD469" s="929">
        <f t="shared" si="190"/>
        <v>0</v>
      </c>
      <c r="AE469" s="929">
        <f t="shared" si="190"/>
        <v>0</v>
      </c>
      <c r="AF469" s="929">
        <f t="shared" si="190"/>
        <v>0</v>
      </c>
      <c r="AG469" s="768">
        <f t="shared" si="186"/>
        <v>1</v>
      </c>
    </row>
    <row r="470">
      <c r="A470" s="835"/>
      <c r="B470" s="911"/>
      <c r="AG470" s="768"/>
    </row>
    <row r="471">
      <c r="A471" s="927" t="s">
        <v>782</v>
      </c>
      <c r="B471" s="54">
        <f t="shared" ref="B471:AF471" si="191">B150-B312</f>
        <v>0</v>
      </c>
      <c r="C471" s="54">
        <f t="shared" si="191"/>
        <v>0</v>
      </c>
      <c r="D471" s="54">
        <f t="shared" si="191"/>
        <v>0</v>
      </c>
      <c r="E471" s="54">
        <f t="shared" si="191"/>
        <v>0</v>
      </c>
      <c r="F471" s="54">
        <f t="shared" si="191"/>
        <v>0</v>
      </c>
      <c r="G471" s="54">
        <f t="shared" si="191"/>
        <v>0</v>
      </c>
      <c r="H471" s="54">
        <f t="shared" si="191"/>
        <v>0</v>
      </c>
      <c r="I471" s="54">
        <f t="shared" si="191"/>
        <v>0</v>
      </c>
      <c r="J471" s="54">
        <f t="shared" si="191"/>
        <v>0</v>
      </c>
      <c r="K471" s="54">
        <f t="shared" si="191"/>
        <v>0</v>
      </c>
      <c r="L471" s="54">
        <f t="shared" si="191"/>
        <v>0</v>
      </c>
      <c r="M471" s="54">
        <f t="shared" si="191"/>
        <v>0</v>
      </c>
      <c r="N471" s="54">
        <f t="shared" si="191"/>
        <v>0</v>
      </c>
      <c r="O471" s="54">
        <f t="shared" si="191"/>
        <v>0</v>
      </c>
      <c r="P471" s="54">
        <f t="shared" si="191"/>
        <v>0</v>
      </c>
      <c r="Q471" s="54">
        <f t="shared" si="191"/>
        <v>0</v>
      </c>
      <c r="R471" s="54">
        <f t="shared" si="191"/>
        <v>0</v>
      </c>
      <c r="S471" s="54">
        <f t="shared" si="191"/>
        <v>0</v>
      </c>
      <c r="T471" s="54">
        <f t="shared" si="191"/>
        <v>0</v>
      </c>
      <c r="U471" s="54">
        <f t="shared" si="191"/>
        <v>0</v>
      </c>
      <c r="V471" s="54">
        <f t="shared" si="191"/>
        <v>0</v>
      </c>
      <c r="W471" s="54">
        <f t="shared" si="191"/>
        <v>0</v>
      </c>
      <c r="X471" s="54">
        <f t="shared" si="191"/>
        <v>0</v>
      </c>
      <c r="Y471" s="54">
        <f t="shared" si="191"/>
        <v>0</v>
      </c>
      <c r="Z471" s="54">
        <f t="shared" si="191"/>
        <v>0</v>
      </c>
      <c r="AA471" s="54">
        <f t="shared" si="191"/>
        <v>0</v>
      </c>
      <c r="AB471" s="54">
        <f t="shared" si="191"/>
        <v>0</v>
      </c>
      <c r="AC471" s="54">
        <f t="shared" si="191"/>
        <v>0</v>
      </c>
      <c r="AD471" s="54">
        <f t="shared" si="191"/>
        <v>0</v>
      </c>
      <c r="AE471" s="54">
        <f t="shared" si="191"/>
        <v>0</v>
      </c>
      <c r="AF471" s="54">
        <f t="shared" si="191"/>
        <v>0</v>
      </c>
      <c r="AG471" s="768">
        <f t="shared" ref="AG471:AG473" si="193">SUM(B471:AF471)</f>
        <v>0</v>
      </c>
    </row>
    <row r="472">
      <c r="A472" s="927" t="s">
        <v>783</v>
      </c>
      <c r="B472" s="54">
        <f t="shared" ref="B472:AF472" si="192">B151-B313</f>
        <v>0</v>
      </c>
      <c r="C472" s="54">
        <f t="shared" si="192"/>
        <v>0</v>
      </c>
      <c r="D472" s="54">
        <f t="shared" si="192"/>
        <v>0</v>
      </c>
      <c r="E472" s="54">
        <f t="shared" si="192"/>
        <v>0</v>
      </c>
      <c r="F472" s="54">
        <f t="shared" si="192"/>
        <v>0</v>
      </c>
      <c r="G472" s="54">
        <f t="shared" si="192"/>
        <v>0</v>
      </c>
      <c r="H472" s="54">
        <f t="shared" si="192"/>
        <v>0</v>
      </c>
      <c r="I472" s="54">
        <f t="shared" si="192"/>
        <v>0</v>
      </c>
      <c r="J472" s="54">
        <f t="shared" si="192"/>
        <v>0</v>
      </c>
      <c r="K472" s="54">
        <f t="shared" si="192"/>
        <v>0</v>
      </c>
      <c r="L472" s="54">
        <f t="shared" si="192"/>
        <v>0</v>
      </c>
      <c r="M472" s="54">
        <f t="shared" si="192"/>
        <v>0</v>
      </c>
      <c r="N472" s="54">
        <f t="shared" si="192"/>
        <v>0</v>
      </c>
      <c r="O472" s="54">
        <f t="shared" si="192"/>
        <v>0</v>
      </c>
      <c r="P472" s="54">
        <f t="shared" si="192"/>
        <v>0</v>
      </c>
      <c r="Q472" s="54">
        <f t="shared" si="192"/>
        <v>0</v>
      </c>
      <c r="R472" s="54">
        <f t="shared" si="192"/>
        <v>0</v>
      </c>
      <c r="S472" s="54">
        <f t="shared" si="192"/>
        <v>0</v>
      </c>
      <c r="T472" s="54">
        <f t="shared" si="192"/>
        <v>0</v>
      </c>
      <c r="U472" s="54">
        <f t="shared" si="192"/>
        <v>0</v>
      </c>
      <c r="V472" s="54">
        <f t="shared" si="192"/>
        <v>0</v>
      </c>
      <c r="W472" s="54">
        <f t="shared" si="192"/>
        <v>0</v>
      </c>
      <c r="X472" s="54">
        <f t="shared" si="192"/>
        <v>0</v>
      </c>
      <c r="Y472" s="54">
        <f t="shared" si="192"/>
        <v>0</v>
      </c>
      <c r="Z472" s="54">
        <f t="shared" si="192"/>
        <v>0</v>
      </c>
      <c r="AA472" s="54">
        <f t="shared" si="192"/>
        <v>0</v>
      </c>
      <c r="AB472" s="54">
        <f t="shared" si="192"/>
        <v>0</v>
      </c>
      <c r="AC472" s="54">
        <f t="shared" si="192"/>
        <v>0</v>
      </c>
      <c r="AD472" s="54">
        <f t="shared" si="192"/>
        <v>0</v>
      </c>
      <c r="AE472" s="54">
        <f t="shared" si="192"/>
        <v>0</v>
      </c>
      <c r="AF472" s="54">
        <f t="shared" si="192"/>
        <v>0</v>
      </c>
      <c r="AG472" s="768">
        <f t="shared" si="193"/>
        <v>0</v>
      </c>
    </row>
    <row r="473">
      <c r="A473" s="931" t="s">
        <v>151</v>
      </c>
      <c r="B473" s="929">
        <f t="shared" ref="B473:AF473" si="194">SUM(B471:B472)</f>
        <v>0</v>
      </c>
      <c r="C473" s="929">
        <f t="shared" si="194"/>
        <v>0</v>
      </c>
      <c r="D473" s="929">
        <f t="shared" si="194"/>
        <v>0</v>
      </c>
      <c r="E473" s="929">
        <f t="shared" si="194"/>
        <v>0</v>
      </c>
      <c r="F473" s="929">
        <f t="shared" si="194"/>
        <v>0</v>
      </c>
      <c r="G473" s="929">
        <f t="shared" si="194"/>
        <v>0</v>
      </c>
      <c r="H473" s="929">
        <f t="shared" si="194"/>
        <v>0</v>
      </c>
      <c r="I473" s="929">
        <f t="shared" si="194"/>
        <v>0</v>
      </c>
      <c r="J473" s="929">
        <f t="shared" si="194"/>
        <v>0</v>
      </c>
      <c r="K473" s="929">
        <f t="shared" si="194"/>
        <v>0</v>
      </c>
      <c r="L473" s="929">
        <f t="shared" si="194"/>
        <v>0</v>
      </c>
      <c r="M473" s="929">
        <f t="shared" si="194"/>
        <v>0</v>
      </c>
      <c r="N473" s="929">
        <f t="shared" si="194"/>
        <v>0</v>
      </c>
      <c r="O473" s="929">
        <f t="shared" si="194"/>
        <v>0</v>
      </c>
      <c r="P473" s="929">
        <f t="shared" si="194"/>
        <v>0</v>
      </c>
      <c r="Q473" s="929">
        <f t="shared" si="194"/>
        <v>0</v>
      </c>
      <c r="R473" s="929">
        <f t="shared" si="194"/>
        <v>0</v>
      </c>
      <c r="S473" s="929">
        <f t="shared" si="194"/>
        <v>0</v>
      </c>
      <c r="T473" s="929">
        <f t="shared" si="194"/>
        <v>0</v>
      </c>
      <c r="U473" s="929">
        <f t="shared" si="194"/>
        <v>0</v>
      </c>
      <c r="V473" s="929">
        <f t="shared" si="194"/>
        <v>0</v>
      </c>
      <c r="W473" s="929">
        <f t="shared" si="194"/>
        <v>0</v>
      </c>
      <c r="X473" s="929">
        <f t="shared" si="194"/>
        <v>0</v>
      </c>
      <c r="Y473" s="929">
        <f t="shared" si="194"/>
        <v>0</v>
      </c>
      <c r="Z473" s="929">
        <f t="shared" si="194"/>
        <v>0</v>
      </c>
      <c r="AA473" s="929">
        <f t="shared" si="194"/>
        <v>0</v>
      </c>
      <c r="AB473" s="929">
        <f t="shared" si="194"/>
        <v>0</v>
      </c>
      <c r="AC473" s="929">
        <f t="shared" si="194"/>
        <v>0</v>
      </c>
      <c r="AD473" s="929">
        <f t="shared" si="194"/>
        <v>0</v>
      </c>
      <c r="AE473" s="929">
        <f t="shared" si="194"/>
        <v>0</v>
      </c>
      <c r="AF473" s="929">
        <f t="shared" si="194"/>
        <v>0</v>
      </c>
      <c r="AG473" s="768">
        <f t="shared" si="193"/>
        <v>0</v>
      </c>
    </row>
    <row r="474">
      <c r="A474" s="835"/>
      <c r="AG474" s="11"/>
    </row>
    <row r="475">
      <c r="A475" s="927" t="s">
        <v>730</v>
      </c>
      <c r="B475" s="54">
        <f t="shared" ref="B475:AF475" si="195">B154-B316</f>
        <v>0</v>
      </c>
      <c r="C475" s="54">
        <f t="shared" si="195"/>
        <v>0</v>
      </c>
      <c r="D475" s="54">
        <f t="shared" si="195"/>
        <v>0</v>
      </c>
      <c r="E475" s="54">
        <f t="shared" si="195"/>
        <v>0</v>
      </c>
      <c r="F475" s="54">
        <f t="shared" si="195"/>
        <v>0</v>
      </c>
      <c r="G475" s="54">
        <f t="shared" si="195"/>
        <v>0</v>
      </c>
      <c r="H475" s="54">
        <f t="shared" si="195"/>
        <v>0</v>
      </c>
      <c r="I475" s="54">
        <f t="shared" si="195"/>
        <v>0</v>
      </c>
      <c r="J475" s="54">
        <f t="shared" si="195"/>
        <v>0</v>
      </c>
      <c r="K475" s="54">
        <f t="shared" si="195"/>
        <v>0</v>
      </c>
      <c r="L475" s="54">
        <f t="shared" si="195"/>
        <v>0</v>
      </c>
      <c r="M475" s="54">
        <f t="shared" si="195"/>
        <v>0</v>
      </c>
      <c r="N475" s="54">
        <f t="shared" si="195"/>
        <v>0</v>
      </c>
      <c r="O475" s="54">
        <f t="shared" si="195"/>
        <v>0</v>
      </c>
      <c r="P475" s="54">
        <f t="shared" si="195"/>
        <v>0</v>
      </c>
      <c r="Q475" s="54">
        <f t="shared" si="195"/>
        <v>0</v>
      </c>
      <c r="R475" s="54">
        <f t="shared" si="195"/>
        <v>0</v>
      </c>
      <c r="S475" s="54">
        <f t="shared" si="195"/>
        <v>0</v>
      </c>
      <c r="T475" s="54">
        <f t="shared" si="195"/>
        <v>0</v>
      </c>
      <c r="U475" s="54">
        <f t="shared" si="195"/>
        <v>0</v>
      </c>
      <c r="V475" s="54">
        <f t="shared" si="195"/>
        <v>0</v>
      </c>
      <c r="W475" s="54">
        <f t="shared" si="195"/>
        <v>0</v>
      </c>
      <c r="X475" s="54">
        <f t="shared" si="195"/>
        <v>0</v>
      </c>
      <c r="Y475" s="54">
        <f t="shared" si="195"/>
        <v>0</v>
      </c>
      <c r="Z475" s="54">
        <f t="shared" si="195"/>
        <v>0</v>
      </c>
      <c r="AA475" s="54">
        <f t="shared" si="195"/>
        <v>0</v>
      </c>
      <c r="AB475" s="54">
        <f t="shared" si="195"/>
        <v>0</v>
      </c>
      <c r="AC475" s="54">
        <f t="shared" si="195"/>
        <v>0</v>
      </c>
      <c r="AD475" s="54">
        <f t="shared" si="195"/>
        <v>0</v>
      </c>
      <c r="AE475" s="54">
        <f t="shared" si="195"/>
        <v>0</v>
      </c>
      <c r="AF475" s="54">
        <f t="shared" si="195"/>
        <v>0</v>
      </c>
      <c r="AG475" s="768">
        <f t="shared" ref="AG475:AG477" si="197">SUM(B475:AF475)</f>
        <v>0</v>
      </c>
    </row>
    <row r="476">
      <c r="A476" s="927" t="s">
        <v>732</v>
      </c>
      <c r="B476" s="54">
        <f t="shared" ref="B476:AF476" si="196">B155-B317</f>
        <v>0</v>
      </c>
      <c r="C476" s="54">
        <f t="shared" si="196"/>
        <v>0</v>
      </c>
      <c r="D476" s="54">
        <f t="shared" si="196"/>
        <v>0</v>
      </c>
      <c r="E476" s="54">
        <f t="shared" si="196"/>
        <v>0</v>
      </c>
      <c r="F476" s="54">
        <f t="shared" si="196"/>
        <v>0</v>
      </c>
      <c r="G476" s="54">
        <f t="shared" si="196"/>
        <v>0</v>
      </c>
      <c r="H476" s="54">
        <f t="shared" si="196"/>
        <v>0</v>
      </c>
      <c r="I476" s="54">
        <f t="shared" si="196"/>
        <v>0</v>
      </c>
      <c r="J476" s="54">
        <f t="shared" si="196"/>
        <v>0</v>
      </c>
      <c r="K476" s="54">
        <f t="shared" si="196"/>
        <v>0</v>
      </c>
      <c r="L476" s="54">
        <f t="shared" si="196"/>
        <v>0</v>
      </c>
      <c r="M476" s="54">
        <f t="shared" si="196"/>
        <v>0</v>
      </c>
      <c r="N476" s="54">
        <f t="shared" si="196"/>
        <v>0</v>
      </c>
      <c r="O476" s="54">
        <f t="shared" si="196"/>
        <v>0</v>
      </c>
      <c r="P476" s="54">
        <f t="shared" si="196"/>
        <v>0</v>
      </c>
      <c r="Q476" s="54">
        <f t="shared" si="196"/>
        <v>0</v>
      </c>
      <c r="R476" s="54">
        <f t="shared" si="196"/>
        <v>0</v>
      </c>
      <c r="S476" s="54">
        <f t="shared" si="196"/>
        <v>0</v>
      </c>
      <c r="T476" s="54">
        <f t="shared" si="196"/>
        <v>0</v>
      </c>
      <c r="U476" s="54">
        <f t="shared" si="196"/>
        <v>0</v>
      </c>
      <c r="V476" s="54">
        <f t="shared" si="196"/>
        <v>0</v>
      </c>
      <c r="W476" s="54">
        <f t="shared" si="196"/>
        <v>0</v>
      </c>
      <c r="X476" s="54">
        <f t="shared" si="196"/>
        <v>0</v>
      </c>
      <c r="Y476" s="54">
        <f t="shared" si="196"/>
        <v>0</v>
      </c>
      <c r="Z476" s="54">
        <f t="shared" si="196"/>
        <v>0</v>
      </c>
      <c r="AA476" s="54">
        <f t="shared" si="196"/>
        <v>0</v>
      </c>
      <c r="AB476" s="54">
        <f t="shared" si="196"/>
        <v>0</v>
      </c>
      <c r="AC476" s="54">
        <f t="shared" si="196"/>
        <v>0</v>
      </c>
      <c r="AD476" s="54">
        <f t="shared" si="196"/>
        <v>0</v>
      </c>
      <c r="AE476" s="54">
        <f t="shared" si="196"/>
        <v>0</v>
      </c>
      <c r="AF476" s="54">
        <f t="shared" si="196"/>
        <v>0</v>
      </c>
      <c r="AG476" s="768">
        <f t="shared" si="197"/>
        <v>0</v>
      </c>
    </row>
    <row r="477">
      <c r="A477" s="931" t="s">
        <v>151</v>
      </c>
      <c r="B477" s="929">
        <f t="shared" ref="B477:AF477" si="198">SUM(B475:B476)</f>
        <v>0</v>
      </c>
      <c r="C477" s="929">
        <f t="shared" si="198"/>
        <v>0</v>
      </c>
      <c r="D477" s="929">
        <f t="shared" si="198"/>
        <v>0</v>
      </c>
      <c r="E477" s="929">
        <f t="shared" si="198"/>
        <v>0</v>
      </c>
      <c r="F477" s="929">
        <f t="shared" si="198"/>
        <v>0</v>
      </c>
      <c r="G477" s="929">
        <f t="shared" si="198"/>
        <v>0</v>
      </c>
      <c r="H477" s="929">
        <f t="shared" si="198"/>
        <v>0</v>
      </c>
      <c r="I477" s="929">
        <f t="shared" si="198"/>
        <v>0</v>
      </c>
      <c r="J477" s="929">
        <f t="shared" si="198"/>
        <v>0</v>
      </c>
      <c r="K477" s="929">
        <f t="shared" si="198"/>
        <v>0</v>
      </c>
      <c r="L477" s="929">
        <f t="shared" si="198"/>
        <v>0</v>
      </c>
      <c r="M477" s="929">
        <f t="shared" si="198"/>
        <v>0</v>
      </c>
      <c r="N477" s="929">
        <f t="shared" si="198"/>
        <v>0</v>
      </c>
      <c r="O477" s="929">
        <f t="shared" si="198"/>
        <v>0</v>
      </c>
      <c r="P477" s="929">
        <f t="shared" si="198"/>
        <v>0</v>
      </c>
      <c r="Q477" s="929">
        <f t="shared" si="198"/>
        <v>0</v>
      </c>
      <c r="R477" s="929">
        <f t="shared" si="198"/>
        <v>0</v>
      </c>
      <c r="S477" s="929">
        <f t="shared" si="198"/>
        <v>0</v>
      </c>
      <c r="T477" s="929">
        <f t="shared" si="198"/>
        <v>0</v>
      </c>
      <c r="U477" s="929">
        <f t="shared" si="198"/>
        <v>0</v>
      </c>
      <c r="V477" s="929">
        <f t="shared" si="198"/>
        <v>0</v>
      </c>
      <c r="W477" s="929">
        <f t="shared" si="198"/>
        <v>0</v>
      </c>
      <c r="X477" s="929">
        <f t="shared" si="198"/>
        <v>0</v>
      </c>
      <c r="Y477" s="929">
        <f t="shared" si="198"/>
        <v>0</v>
      </c>
      <c r="Z477" s="929">
        <f t="shared" si="198"/>
        <v>0</v>
      </c>
      <c r="AA477" s="929">
        <f t="shared" si="198"/>
        <v>0</v>
      </c>
      <c r="AB477" s="929">
        <f t="shared" si="198"/>
        <v>0</v>
      </c>
      <c r="AC477" s="929">
        <f t="shared" si="198"/>
        <v>0</v>
      </c>
      <c r="AD477" s="929">
        <f t="shared" si="198"/>
        <v>0</v>
      </c>
      <c r="AE477" s="929">
        <f t="shared" si="198"/>
        <v>0</v>
      </c>
      <c r="AF477" s="929">
        <f t="shared" si="198"/>
        <v>0</v>
      </c>
      <c r="AG477" s="768">
        <f t="shared" si="197"/>
        <v>0</v>
      </c>
    </row>
    <row r="478">
      <c r="A478" s="835"/>
      <c r="AG478" s="11"/>
    </row>
    <row r="479">
      <c r="A479" s="927" t="s">
        <v>785</v>
      </c>
      <c r="B479" s="301">
        <f t="shared" ref="B479:AF479" si="199">B158-B320</f>
        <v>0</v>
      </c>
      <c r="C479" s="301">
        <f t="shared" si="199"/>
        <v>0</v>
      </c>
      <c r="D479" s="301">
        <f t="shared" si="199"/>
        <v>0</v>
      </c>
      <c r="E479" s="301">
        <f t="shared" si="199"/>
        <v>0</v>
      </c>
      <c r="F479" s="301">
        <f t="shared" si="199"/>
        <v>0</v>
      </c>
      <c r="G479" s="301">
        <f t="shared" si="199"/>
        <v>0</v>
      </c>
      <c r="H479" s="301">
        <f t="shared" si="199"/>
        <v>0</v>
      </c>
      <c r="I479" s="301">
        <f t="shared" si="199"/>
        <v>0</v>
      </c>
      <c r="J479" s="301">
        <f t="shared" si="199"/>
        <v>0</v>
      </c>
      <c r="K479" s="301">
        <f t="shared" si="199"/>
        <v>0</v>
      </c>
      <c r="L479" s="301">
        <f t="shared" si="199"/>
        <v>0</v>
      </c>
      <c r="M479" s="301">
        <f t="shared" si="199"/>
        <v>0</v>
      </c>
      <c r="N479" s="301">
        <f t="shared" si="199"/>
        <v>0</v>
      </c>
      <c r="O479" s="301">
        <f t="shared" si="199"/>
        <v>0</v>
      </c>
      <c r="P479" s="301">
        <f t="shared" si="199"/>
        <v>0</v>
      </c>
      <c r="Q479" s="301">
        <f t="shared" si="199"/>
        <v>0</v>
      </c>
      <c r="R479" s="301">
        <f t="shared" si="199"/>
        <v>0</v>
      </c>
      <c r="S479" s="301">
        <f t="shared" si="199"/>
        <v>0</v>
      </c>
      <c r="T479" s="301">
        <f t="shared" si="199"/>
        <v>0</v>
      </c>
      <c r="U479" s="301">
        <f t="shared" si="199"/>
        <v>0</v>
      </c>
      <c r="V479" s="301">
        <f t="shared" si="199"/>
        <v>0</v>
      </c>
      <c r="W479" s="301">
        <f t="shared" si="199"/>
        <v>0</v>
      </c>
      <c r="X479" s="301">
        <f t="shared" si="199"/>
        <v>0</v>
      </c>
      <c r="Y479" s="301">
        <f t="shared" si="199"/>
        <v>0</v>
      </c>
      <c r="Z479" s="301">
        <f t="shared" si="199"/>
        <v>0</v>
      </c>
      <c r="AA479" s="301">
        <f t="shared" si="199"/>
        <v>0</v>
      </c>
      <c r="AB479" s="301">
        <f t="shared" si="199"/>
        <v>0</v>
      </c>
      <c r="AC479" s="301">
        <f t="shared" si="199"/>
        <v>0</v>
      </c>
      <c r="AD479" s="301">
        <f t="shared" si="199"/>
        <v>0</v>
      </c>
      <c r="AE479" s="301">
        <f t="shared" si="199"/>
        <v>0</v>
      </c>
      <c r="AF479" s="301">
        <f t="shared" si="199"/>
        <v>0</v>
      </c>
      <c r="AG479" s="768">
        <f t="shared" ref="AG479:AG480" si="201">SUM(B479:AF479)</f>
        <v>0</v>
      </c>
    </row>
    <row r="480">
      <c r="A480" s="931" t="s">
        <v>786</v>
      </c>
      <c r="B480" s="929">
        <f t="shared" ref="B480:AF480" si="200">B159-B321</f>
        <v>0</v>
      </c>
      <c r="C480" s="929">
        <f t="shared" si="200"/>
        <v>0</v>
      </c>
      <c r="D480" s="929">
        <f t="shared" si="200"/>
        <v>0</v>
      </c>
      <c r="E480" s="929">
        <f t="shared" si="200"/>
        <v>0</v>
      </c>
      <c r="F480" s="929">
        <f t="shared" si="200"/>
        <v>0</v>
      </c>
      <c r="G480" s="929">
        <f t="shared" si="200"/>
        <v>0</v>
      </c>
      <c r="H480" s="929">
        <f t="shared" si="200"/>
        <v>0</v>
      </c>
      <c r="I480" s="929">
        <f t="shared" si="200"/>
        <v>0</v>
      </c>
      <c r="J480" s="929">
        <f t="shared" si="200"/>
        <v>0</v>
      </c>
      <c r="K480" s="929">
        <f t="shared" si="200"/>
        <v>0</v>
      </c>
      <c r="L480" s="929">
        <f t="shared" si="200"/>
        <v>0</v>
      </c>
      <c r="M480" s="929">
        <f t="shared" si="200"/>
        <v>0</v>
      </c>
      <c r="N480" s="929">
        <f t="shared" si="200"/>
        <v>0</v>
      </c>
      <c r="O480" s="929">
        <f t="shared" si="200"/>
        <v>0</v>
      </c>
      <c r="P480" s="929">
        <f t="shared" si="200"/>
        <v>0</v>
      </c>
      <c r="Q480" s="929">
        <f t="shared" si="200"/>
        <v>0</v>
      </c>
      <c r="R480" s="929">
        <f t="shared" si="200"/>
        <v>0</v>
      </c>
      <c r="S480" s="929">
        <f t="shared" si="200"/>
        <v>0</v>
      </c>
      <c r="T480" s="929">
        <f t="shared" si="200"/>
        <v>0</v>
      </c>
      <c r="U480" s="929">
        <f t="shared" si="200"/>
        <v>0</v>
      </c>
      <c r="V480" s="929">
        <f t="shared" si="200"/>
        <v>0</v>
      </c>
      <c r="W480" s="929">
        <f t="shared" si="200"/>
        <v>0</v>
      </c>
      <c r="X480" s="929">
        <f t="shared" si="200"/>
        <v>0</v>
      </c>
      <c r="Y480" s="929">
        <f t="shared" si="200"/>
        <v>0</v>
      </c>
      <c r="Z480" s="929">
        <f t="shared" si="200"/>
        <v>0</v>
      </c>
      <c r="AA480" s="929">
        <f t="shared" si="200"/>
        <v>0</v>
      </c>
      <c r="AB480" s="929">
        <f t="shared" si="200"/>
        <v>0</v>
      </c>
      <c r="AC480" s="929">
        <f t="shared" si="200"/>
        <v>0</v>
      </c>
      <c r="AD480" s="929">
        <f t="shared" si="200"/>
        <v>0</v>
      </c>
      <c r="AE480" s="929">
        <f t="shared" si="200"/>
        <v>0</v>
      </c>
      <c r="AF480" s="929">
        <f t="shared" si="200"/>
        <v>0</v>
      </c>
      <c r="AG480" s="768">
        <f t="shared" si="201"/>
        <v>0</v>
      </c>
    </row>
    <row r="481">
      <c r="A481" s="835"/>
      <c r="AG481" s="11"/>
    </row>
    <row r="482">
      <c r="A482" s="361" t="s">
        <v>455</v>
      </c>
      <c r="B482" s="327"/>
      <c r="C482" s="327"/>
      <c r="D482" s="327"/>
      <c r="E482" s="327"/>
      <c r="F482" s="327"/>
      <c r="G482" s="327"/>
      <c r="H482" s="327"/>
      <c r="I482" s="327"/>
      <c r="J482" s="327"/>
      <c r="K482" s="327"/>
      <c r="L482" s="327"/>
      <c r="M482" s="327"/>
      <c r="N482" s="327"/>
      <c r="O482" s="327"/>
      <c r="P482" s="327"/>
      <c r="Q482" s="327"/>
      <c r="R482" s="327"/>
      <c r="S482" s="327"/>
      <c r="T482" s="327"/>
      <c r="U482" s="327"/>
      <c r="V482" s="327"/>
      <c r="W482" s="327"/>
      <c r="X482" s="327"/>
      <c r="Y482" s="327"/>
      <c r="Z482" s="327"/>
      <c r="AA482" s="327"/>
      <c r="AB482" s="327"/>
      <c r="AC482" s="327"/>
      <c r="AD482" s="327"/>
      <c r="AE482" s="327"/>
      <c r="AF482" s="327"/>
      <c r="AG482" s="11"/>
    </row>
    <row r="483">
      <c r="A483" s="337" t="s">
        <v>447</v>
      </c>
      <c r="B483" s="933">
        <f t="shared" ref="B483:AF483" si="202">B30+B36+B33+B38+B29+B31+B39+B32+B40</f>
        <v>11327.86</v>
      </c>
      <c r="C483" s="934">
        <f t="shared" si="202"/>
        <v>13517.97</v>
      </c>
      <c r="D483" s="935">
        <f t="shared" si="202"/>
        <v>15222.62</v>
      </c>
      <c r="E483" s="936">
        <f t="shared" si="202"/>
        <v>17391.59</v>
      </c>
      <c r="F483" s="937">
        <f t="shared" si="202"/>
        <v>16628.56</v>
      </c>
      <c r="G483" s="938">
        <f t="shared" si="202"/>
        <v>16709.03</v>
      </c>
      <c r="H483" s="939">
        <f t="shared" si="202"/>
        <v>17024.02</v>
      </c>
      <c r="I483" s="940">
        <f t="shared" si="202"/>
        <v>17663.92</v>
      </c>
      <c r="J483" s="941">
        <f t="shared" si="202"/>
        <v>20961.74</v>
      </c>
      <c r="K483" s="942">
        <f t="shared" si="202"/>
        <v>19992.76</v>
      </c>
      <c r="L483" s="943">
        <f t="shared" si="202"/>
        <v>18412</v>
      </c>
      <c r="M483" s="944">
        <f t="shared" si="202"/>
        <v>13259.68</v>
      </c>
      <c r="N483" s="945">
        <f t="shared" si="202"/>
        <v>13518.4</v>
      </c>
      <c r="O483" s="946">
        <f t="shared" si="202"/>
        <v>17427.33</v>
      </c>
      <c r="P483" s="947">
        <f t="shared" si="202"/>
        <v>22526.89</v>
      </c>
      <c r="Q483" s="948">
        <f t="shared" si="202"/>
        <v>25721.72</v>
      </c>
      <c r="R483" s="949">
        <f t="shared" si="202"/>
        <v>19138.35</v>
      </c>
      <c r="S483" s="950">
        <f t="shared" si="202"/>
        <v>20518.41</v>
      </c>
      <c r="T483" s="950">
        <f t="shared" si="202"/>
        <v>20068.8</v>
      </c>
      <c r="U483" s="950">
        <f t="shared" si="202"/>
        <v>20186.07</v>
      </c>
      <c r="V483" s="950">
        <f t="shared" si="202"/>
        <v>21186.34</v>
      </c>
      <c r="W483" s="950">
        <f t="shared" si="202"/>
        <v>23288.08</v>
      </c>
      <c r="X483" s="950">
        <f t="shared" si="202"/>
        <v>25686.76</v>
      </c>
      <c r="Y483" s="950">
        <f t="shared" si="202"/>
        <v>18464.63</v>
      </c>
      <c r="Z483" s="950">
        <f t="shared" si="202"/>
        <v>16482.95</v>
      </c>
      <c r="AA483" s="950">
        <f t="shared" si="202"/>
        <v>15759.19</v>
      </c>
      <c r="AB483" s="950">
        <f t="shared" si="202"/>
        <v>14062.17</v>
      </c>
      <c r="AC483" s="950">
        <f t="shared" si="202"/>
        <v>13651.87</v>
      </c>
      <c r="AD483" s="950">
        <f t="shared" si="202"/>
        <v>12603.61</v>
      </c>
      <c r="AE483" s="950">
        <f t="shared" si="202"/>
        <v>12030.08</v>
      </c>
      <c r="AF483" s="950">
        <f t="shared" si="202"/>
        <v>10237.46</v>
      </c>
      <c r="AG483" s="360">
        <f t="shared" ref="AG483:AG506" si="204">SUM(B483:AF483)</f>
        <v>540670.86</v>
      </c>
    </row>
    <row r="484">
      <c r="A484" s="337" t="s">
        <v>450</v>
      </c>
      <c r="B484" s="276">
        <f t="shared" ref="B484:AF484" si="203">B35+B37+B34</f>
        <v>0</v>
      </c>
      <c r="C484" s="276">
        <f t="shared" si="203"/>
        <v>0</v>
      </c>
      <c r="D484" s="276">
        <f t="shared" si="203"/>
        <v>0</v>
      </c>
      <c r="E484" s="276">
        <f t="shared" si="203"/>
        <v>0</v>
      </c>
      <c r="F484" s="276">
        <f t="shared" si="203"/>
        <v>0</v>
      </c>
      <c r="G484" s="276">
        <f t="shared" si="203"/>
        <v>0</v>
      </c>
      <c r="H484" s="276">
        <f t="shared" si="203"/>
        <v>0</v>
      </c>
      <c r="I484" s="276">
        <f t="shared" si="203"/>
        <v>0</v>
      </c>
      <c r="J484" s="276">
        <f t="shared" si="203"/>
        <v>0</v>
      </c>
      <c r="K484" s="276">
        <f t="shared" si="203"/>
        <v>0</v>
      </c>
      <c r="L484" s="276">
        <f t="shared" si="203"/>
        <v>0</v>
      </c>
      <c r="M484" s="276">
        <f t="shared" si="203"/>
        <v>0</v>
      </c>
      <c r="N484" s="276">
        <f t="shared" si="203"/>
        <v>0</v>
      </c>
      <c r="O484" s="276">
        <f t="shared" si="203"/>
        <v>0</v>
      </c>
      <c r="P484" s="276">
        <f t="shared" si="203"/>
        <v>0</v>
      </c>
      <c r="Q484" s="276">
        <f t="shared" si="203"/>
        <v>0</v>
      </c>
      <c r="R484" s="276">
        <f t="shared" si="203"/>
        <v>0</v>
      </c>
      <c r="S484" s="276">
        <f t="shared" si="203"/>
        <v>156.16</v>
      </c>
      <c r="T484" s="276">
        <f t="shared" si="203"/>
        <v>131.12</v>
      </c>
      <c r="U484" s="276">
        <f t="shared" si="203"/>
        <v>215.27</v>
      </c>
      <c r="V484" s="276">
        <f t="shared" si="203"/>
        <v>264.81</v>
      </c>
      <c r="W484" s="276">
        <f t="shared" si="203"/>
        <v>122.94</v>
      </c>
      <c r="X484" s="276">
        <f t="shared" si="203"/>
        <v>187.67</v>
      </c>
      <c r="Y484" s="276">
        <f t="shared" si="203"/>
        <v>229.7</v>
      </c>
      <c r="Z484" s="276">
        <f t="shared" si="203"/>
        <v>157.02</v>
      </c>
      <c r="AA484" s="276">
        <f t="shared" si="203"/>
        <v>108.61</v>
      </c>
      <c r="AB484" s="276">
        <f t="shared" si="203"/>
        <v>196.05</v>
      </c>
      <c r="AC484" s="276">
        <f t="shared" si="203"/>
        <v>49.05</v>
      </c>
      <c r="AD484" s="276">
        <f t="shared" si="203"/>
        <v>0</v>
      </c>
      <c r="AE484" s="276">
        <f t="shared" si="203"/>
        <v>136.42</v>
      </c>
      <c r="AF484" s="276">
        <f t="shared" si="203"/>
        <v>0</v>
      </c>
      <c r="AG484" s="360">
        <f t="shared" si="204"/>
        <v>1954.82</v>
      </c>
    </row>
    <row r="485">
      <c r="A485" s="346" t="s">
        <v>841</v>
      </c>
      <c r="B485" s="276">
        <f>B186*'OLD Formulas'!$C4</f>
        <v>3005.14</v>
      </c>
      <c r="C485" s="276">
        <f>C186*'OLD Formulas'!$C4</f>
        <v>4629.54</v>
      </c>
      <c r="D485" s="276">
        <f>D186*'OLD Formulas'!$C4</f>
        <v>3654.9</v>
      </c>
      <c r="E485" s="276">
        <f>E186*'OLD Formulas'!$C4</f>
        <v>3086.36</v>
      </c>
      <c r="F485" s="276">
        <f>F186*'OLD Formulas'!$C4</f>
        <v>3492.46</v>
      </c>
      <c r="G485" s="276">
        <f>G186*'OLD Formulas'!$C4</f>
        <v>3817.34</v>
      </c>
      <c r="H485" s="276">
        <f>H186*'OLD Formulas'!$C4</f>
        <v>5116.86</v>
      </c>
      <c r="I485" s="276">
        <f>I186*'OLD Formulas'!$C4</f>
        <v>4304.66</v>
      </c>
      <c r="J485" s="276">
        <f>J186*'OLD Formulas'!$C4</f>
        <v>4142.22</v>
      </c>
      <c r="K485" s="276">
        <f>K186*'OLD Formulas'!$C4</f>
        <v>4873.2</v>
      </c>
      <c r="L485" s="276">
        <f>L186*'OLD Formulas'!$C4</f>
        <v>4385.88</v>
      </c>
      <c r="M485" s="276">
        <f>M186*'OLD Formulas'!$C4</f>
        <v>4629.54</v>
      </c>
      <c r="N485" s="276">
        <f>N186*'OLD Formulas'!$C4</f>
        <v>4873.2</v>
      </c>
      <c r="O485" s="276">
        <f>O186*'OLD Formulas'!$C4</f>
        <v>5685.4</v>
      </c>
      <c r="P485" s="276">
        <f>P186*'OLD Formulas'!$C4</f>
        <v>5035.64</v>
      </c>
      <c r="Q485" s="276">
        <f>Q186*'OLD Formulas'!$C4</f>
        <v>5847.84</v>
      </c>
      <c r="R485" s="276">
        <f>R186*'OLD Formulas'!$C4</f>
        <v>2192.94</v>
      </c>
      <c r="S485" s="276">
        <f>S186*'OLD Formulas'!$C4</f>
        <v>4467.1</v>
      </c>
      <c r="T485" s="276">
        <f>T186*'OLD Formulas'!$C4</f>
        <v>3492.46</v>
      </c>
      <c r="U485" s="276">
        <f>U186*'OLD Formulas'!$C4</f>
        <v>3736.12</v>
      </c>
      <c r="V485" s="276">
        <f>V186*'OLD Formulas'!$C4</f>
        <v>3817.34</v>
      </c>
      <c r="W485" s="276">
        <f>W186*'OLD Formulas'!$C4</f>
        <v>2355.38</v>
      </c>
      <c r="X485" s="276">
        <f>X186*'OLD Formulas'!$C4</f>
        <v>2111.72</v>
      </c>
      <c r="Y485" s="276">
        <f>Y186*'OLD Formulas'!$C4</f>
        <v>1055.86</v>
      </c>
      <c r="Z485" s="276">
        <f>Z186*'OLD Formulas'!$C4</f>
        <v>1949.28</v>
      </c>
      <c r="AA485" s="276">
        <f>AA186*'OLD Formulas'!$C4</f>
        <v>1868.06</v>
      </c>
      <c r="AB485" s="276">
        <f>AB186*'OLD Formulas'!$C4</f>
        <v>2761.48</v>
      </c>
      <c r="AC485" s="276">
        <f>AC186*'OLD Formulas'!$C4</f>
        <v>2436.6</v>
      </c>
      <c r="AD485" s="276">
        <f>AD186*'OLD Formulas'!$C4</f>
        <v>1380.74</v>
      </c>
      <c r="AE485" s="276">
        <f>AE186*'OLD Formulas'!$C4</f>
        <v>2111.72</v>
      </c>
      <c r="AF485" s="276">
        <f>AF186*'OLD Formulas'!$C4</f>
        <v>1380.74</v>
      </c>
      <c r="AG485" s="360">
        <f t="shared" si="204"/>
        <v>107697.72</v>
      </c>
    </row>
    <row r="486">
      <c r="A486" s="337" t="s">
        <v>843</v>
      </c>
      <c r="B486" s="276">
        <f>(B485)*'OLD Formulas'!$C37</f>
        <v>225.3855</v>
      </c>
      <c r="C486" s="276">
        <f>(C485)*'OLD Formulas'!$C37</f>
        <v>347.2155</v>
      </c>
      <c r="D486" s="276">
        <f>(D485)*'OLD Formulas'!$C37</f>
        <v>274.1175</v>
      </c>
      <c r="E486" s="276">
        <f>(E485)*'OLD Formulas'!$C37</f>
        <v>231.477</v>
      </c>
      <c r="F486" s="276">
        <f>(F485)*'OLD Formulas'!$C37</f>
        <v>261.9345</v>
      </c>
      <c r="G486" s="276">
        <f>(G485)*'OLD Formulas'!$C37</f>
        <v>286.3005</v>
      </c>
      <c r="H486" s="276">
        <f>(H485)*'OLD Formulas'!$C37</f>
        <v>383.7645</v>
      </c>
      <c r="I486" s="276">
        <f>(I485)*'OLD Formulas'!$C37</f>
        <v>322.8495</v>
      </c>
      <c r="J486" s="276">
        <f>(J485)*'OLD Formulas'!$C37</f>
        <v>310.6665</v>
      </c>
      <c r="K486" s="276">
        <f>(K485)*'OLD Formulas'!$C37</f>
        <v>365.49</v>
      </c>
      <c r="L486" s="276">
        <f>(L485)*'OLD Formulas'!$C37</f>
        <v>328.941</v>
      </c>
      <c r="M486" s="276">
        <f>(M485)*'OLD Formulas'!$C37</f>
        <v>347.2155</v>
      </c>
      <c r="N486" s="276">
        <f>(N485)*'OLD Formulas'!$C37</f>
        <v>365.49</v>
      </c>
      <c r="O486" s="276">
        <f>(O485)*'OLD Formulas'!$C37</f>
        <v>426.405</v>
      </c>
      <c r="P486" s="276">
        <f>(P485)*'OLD Formulas'!$C37</f>
        <v>377.673</v>
      </c>
      <c r="Q486" s="276">
        <f>(Q485)*'OLD Formulas'!$C37</f>
        <v>438.588</v>
      </c>
      <c r="R486" s="276">
        <f>(R485)*'OLD Formulas'!$C37</f>
        <v>164.4705</v>
      </c>
      <c r="S486" s="276">
        <f>(S485)*'OLD Formulas'!$C37</f>
        <v>335.0325</v>
      </c>
      <c r="T486" s="276">
        <f>(T485)*'OLD Formulas'!$C37</f>
        <v>261.9345</v>
      </c>
      <c r="U486" s="276">
        <f>(U485)*'OLD Formulas'!$C37</f>
        <v>280.209</v>
      </c>
      <c r="V486" s="276">
        <f>(V485)*'OLD Formulas'!$C37</f>
        <v>286.3005</v>
      </c>
      <c r="W486" s="276">
        <f>(W485)*'OLD Formulas'!$C37</f>
        <v>176.6535</v>
      </c>
      <c r="X486" s="276">
        <f>(X485)*'OLD Formulas'!$C37</f>
        <v>158.379</v>
      </c>
      <c r="Y486" s="276">
        <f>(Y485)*'OLD Formulas'!$C37</f>
        <v>79.1895</v>
      </c>
      <c r="Z486" s="276">
        <f>(Z485)*'OLD Formulas'!$C37</f>
        <v>146.196</v>
      </c>
      <c r="AA486" s="276">
        <f>(AA485)*'OLD Formulas'!$C37</f>
        <v>140.1045</v>
      </c>
      <c r="AB486" s="276">
        <f>(AB485)*'OLD Formulas'!$C37</f>
        <v>207.111</v>
      </c>
      <c r="AC486" s="276">
        <f>(AC485)*'OLD Formulas'!$C37</f>
        <v>182.745</v>
      </c>
      <c r="AD486" s="276">
        <f>(AD485)*'OLD Formulas'!$C37</f>
        <v>103.5555</v>
      </c>
      <c r="AE486" s="276">
        <f>(AE485)*'OLD Formulas'!$C37</f>
        <v>158.379</v>
      </c>
      <c r="AF486" s="276">
        <f>(AF485)*'OLD Formulas'!$C37</f>
        <v>103.5555</v>
      </c>
      <c r="AG486" s="360">
        <f t="shared" si="204"/>
        <v>8077.329</v>
      </c>
    </row>
    <row r="487">
      <c r="A487" s="346" t="s">
        <v>860</v>
      </c>
      <c r="B487" s="276">
        <f>B187*'OLD Formulas'!$C$5</f>
        <v>8202.6</v>
      </c>
      <c r="C487" s="276">
        <f>C187*'OLD Formulas'!$C$5</f>
        <v>8384.88</v>
      </c>
      <c r="D487" s="276">
        <f>D187*'OLD Formulas'!$C$5</f>
        <v>8111.46</v>
      </c>
      <c r="E487" s="276">
        <f>E187*'OLD Formulas'!$C$5</f>
        <v>9569.7</v>
      </c>
      <c r="F487" s="276">
        <f>F187*'OLD Formulas'!$C$5</f>
        <v>8567.16</v>
      </c>
      <c r="G487" s="276">
        <f>G187*'OLD Formulas'!$C$5</f>
        <v>9387.42</v>
      </c>
      <c r="H487" s="276">
        <f>H187*'OLD Formulas'!$C$5</f>
        <v>9387.42</v>
      </c>
      <c r="I487" s="276">
        <f>I187*'OLD Formulas'!$C$5</f>
        <v>12121.62</v>
      </c>
      <c r="J487" s="276">
        <f>J187*'OLD Formulas'!$C$5</f>
        <v>11119.08</v>
      </c>
      <c r="K487" s="276">
        <f>K187*'OLD Formulas'!$C$5</f>
        <v>9660.84</v>
      </c>
      <c r="L487" s="276">
        <f>L187*'OLD Formulas'!$C$5</f>
        <v>10936.8</v>
      </c>
      <c r="M487" s="276">
        <f>M187*'OLD Formulas'!$C$5</f>
        <v>11119.08</v>
      </c>
      <c r="N487" s="276">
        <f>N187*'OLD Formulas'!$C$5</f>
        <v>20141.94</v>
      </c>
      <c r="O487" s="276">
        <f>O187*'OLD Formulas'!$C$5</f>
        <v>17043.18</v>
      </c>
      <c r="P487" s="276">
        <f>P187*'OLD Formulas'!$C$5</f>
        <v>13853.28</v>
      </c>
      <c r="Q487" s="276">
        <f>Q187*'OLD Formulas'!$C$5</f>
        <v>13033.02</v>
      </c>
      <c r="R487" s="276">
        <f>R187*'OLD Formulas'!$C$5</f>
        <v>7746.9</v>
      </c>
      <c r="S487" s="276">
        <f>S187*'OLD Formulas'!$C$5</f>
        <v>13397.58</v>
      </c>
      <c r="T487" s="276">
        <f>T187*'OLD Formulas'!$C$5</f>
        <v>9660.84</v>
      </c>
      <c r="U487" s="276">
        <f>U187*'OLD Formulas'!$C$5</f>
        <v>10936.8</v>
      </c>
      <c r="V487" s="276">
        <f>V187*'OLD Formulas'!$C$5</f>
        <v>9114</v>
      </c>
      <c r="W487" s="276">
        <f>W187*'OLD Formulas'!$C$5</f>
        <v>10207.68</v>
      </c>
      <c r="X487" s="276">
        <f>X187*'OLD Formulas'!$C$5</f>
        <v>8658.3</v>
      </c>
      <c r="Y487" s="276">
        <f>Y187*'OLD Formulas'!$C$5</f>
        <v>6744.36</v>
      </c>
      <c r="Z487" s="276">
        <f>Z187*'OLD Formulas'!$C$5</f>
        <v>7382.34</v>
      </c>
      <c r="AA487" s="276">
        <f>AA187*'OLD Formulas'!$C$5</f>
        <v>7017.78</v>
      </c>
      <c r="AB487" s="276">
        <f>AB187*'OLD Formulas'!$C$5</f>
        <v>7382.34</v>
      </c>
      <c r="AC487" s="276">
        <f>AC187*'OLD Formulas'!$C$5</f>
        <v>6562.08</v>
      </c>
      <c r="AD487" s="276">
        <f>AD187*'OLD Formulas'!$C$5</f>
        <v>7291.2</v>
      </c>
      <c r="AE487" s="276">
        <f>AE187*'OLD Formulas'!$C$5</f>
        <v>6470.94</v>
      </c>
      <c r="AF487" s="276">
        <f>AF187*'OLD Formulas'!$C$5</f>
        <v>7838.04</v>
      </c>
      <c r="AG487" s="360">
        <f t="shared" si="204"/>
        <v>307050.66</v>
      </c>
    </row>
    <row r="488">
      <c r="A488" s="337" t="s">
        <v>864</v>
      </c>
      <c r="B488" s="276">
        <f>(B487)*'OLD Formulas'!$C37</f>
        <v>615.195</v>
      </c>
      <c r="C488" s="276">
        <f>(C487+C489)*'OLD Formulas'!$C37</f>
        <v>628.866</v>
      </c>
      <c r="D488" s="276">
        <f>(D487+D489)*'OLD Formulas'!$C37</f>
        <v>608.3595</v>
      </c>
      <c r="E488" s="276">
        <f>(E487+E489)*'OLD Formulas'!$C37</f>
        <v>717.7275</v>
      </c>
      <c r="F488" s="276">
        <f>(F487+F489)*'OLD Formulas'!$C37</f>
        <v>642.537</v>
      </c>
      <c r="G488" s="276">
        <f>(G487+G489)*'OLD Formulas'!$C37</f>
        <v>704.0565</v>
      </c>
      <c r="H488" s="276">
        <f>(H487+H489)*'OLD Formulas'!$C37</f>
        <v>704.0565</v>
      </c>
      <c r="I488" s="276">
        <f>(I487+I489)*'OLD Formulas'!$C37</f>
        <v>909.1215</v>
      </c>
      <c r="J488" s="276">
        <f>(J487+J489)*'OLD Formulas'!$C37</f>
        <v>833.931</v>
      </c>
      <c r="K488" s="276">
        <f>(K487+K489)*'OLD Formulas'!$C37</f>
        <v>724.563</v>
      </c>
      <c r="L488" s="276">
        <f>(L487+L489)*'OLD Formulas'!$C37</f>
        <v>820.26</v>
      </c>
      <c r="M488" s="276">
        <f>(M487+M489)*'OLD Formulas'!$C37</f>
        <v>833.931</v>
      </c>
      <c r="N488" s="276">
        <f>(N487+N489)*'OLD Formulas'!$C37</f>
        <v>1510.6455</v>
      </c>
      <c r="O488" s="276">
        <f>(O487+O489)*'OLD Formulas'!$C37</f>
        <v>1278.2385</v>
      </c>
      <c r="P488" s="276">
        <f>(P487+P489)*'OLD Formulas'!$C37</f>
        <v>1038.996</v>
      </c>
      <c r="Q488" s="276">
        <f>(Q487+Q489)*'OLD Formulas'!$C37</f>
        <v>977.4765</v>
      </c>
      <c r="R488" s="276">
        <f>(R487+R489)*'OLD Formulas'!$C37</f>
        <v>581.0175</v>
      </c>
      <c r="S488" s="276">
        <f>(S487+S489)*'OLD Formulas'!$C37</f>
        <v>1004.8185</v>
      </c>
      <c r="T488" s="276">
        <f>(T487+T489)*'OLD Formulas'!$C37</f>
        <v>724.563</v>
      </c>
      <c r="U488" s="276">
        <f>(U487+U489)*'OLD Formulas'!$C37</f>
        <v>820.26</v>
      </c>
      <c r="V488" s="276">
        <f>(V487+V489)*'OLD Formulas'!$C37</f>
        <v>683.55</v>
      </c>
      <c r="W488" s="276">
        <f>(W487+W489)*'OLD Formulas'!$C37</f>
        <v>765.576</v>
      </c>
      <c r="X488" s="276">
        <f>(X487+X489)*'OLD Formulas'!$C37</f>
        <v>649.3725</v>
      </c>
      <c r="Y488" s="276">
        <f>(Y487+Y489)*'OLD Formulas'!$C37</f>
        <v>505.827</v>
      </c>
      <c r="Z488" s="276">
        <f>(Z487+Z489)*'OLD Formulas'!$C37</f>
        <v>553.6755</v>
      </c>
      <c r="AA488" s="276">
        <f>(AA487+AA489)*'OLD Formulas'!$C37</f>
        <v>526.3335</v>
      </c>
      <c r="AB488" s="276">
        <f>(AB487+AB489)*'OLD Formulas'!$C37</f>
        <v>553.6755</v>
      </c>
      <c r="AC488" s="276">
        <f>(AC487+AC489)*'OLD Formulas'!$C37</f>
        <v>492.156</v>
      </c>
      <c r="AD488" s="276">
        <f>(AD487+AD489)*'OLD Formulas'!$C37</f>
        <v>546.36225</v>
      </c>
      <c r="AE488" s="276">
        <f>(AE487+AE489)*'OLD Formulas'!$C37</f>
        <v>484.84275</v>
      </c>
      <c r="AF488" s="276">
        <f>(AF487+AF489)*'OLD Formulas'!$C37</f>
        <v>587.853</v>
      </c>
      <c r="AG488" s="360">
        <f t="shared" si="204"/>
        <v>23027.844</v>
      </c>
    </row>
    <row r="489">
      <c r="A489" s="346" t="s">
        <v>871</v>
      </c>
      <c r="B489" s="276">
        <f>B191*'OLD Formulas'!$C8</f>
        <v>0</v>
      </c>
      <c r="C489" s="276">
        <f>C191*'OLD Formulas'!$C8</f>
        <v>0</v>
      </c>
      <c r="D489" s="276">
        <f>D191*'OLD Formulas'!$C8</f>
        <v>0</v>
      </c>
      <c r="E489" s="276">
        <f>E191*'OLD Formulas'!$C8</f>
        <v>0</v>
      </c>
      <c r="F489" s="276">
        <f>F191*'OLD Formulas'!$C8</f>
        <v>0</v>
      </c>
      <c r="G489" s="276">
        <f>G191*'OLD Formulas'!$C8</f>
        <v>0</v>
      </c>
      <c r="H489" s="276">
        <f>H191*'OLD Formulas'!$C8</f>
        <v>0</v>
      </c>
      <c r="I489" s="276">
        <f>I191*'OLD Formulas'!$C8</f>
        <v>0</v>
      </c>
      <c r="J489" s="276">
        <f>J191*'OLD Formulas'!$C8</f>
        <v>0</v>
      </c>
      <c r="K489" s="276">
        <f>K191*'OLD Formulas'!$C8</f>
        <v>0</v>
      </c>
      <c r="L489" s="276">
        <f>L191*'OLD Formulas'!$C8</f>
        <v>0</v>
      </c>
      <c r="M489" s="276">
        <f>M191*'OLD Formulas'!$C8</f>
        <v>0</v>
      </c>
      <c r="N489" s="276">
        <f>N191*'OLD Formulas'!$C8</f>
        <v>0</v>
      </c>
      <c r="O489" s="276">
        <f>O191*'OLD Formulas'!$C8</f>
        <v>0</v>
      </c>
      <c r="P489" s="276">
        <f>P191*'OLD Formulas'!$C8</f>
        <v>0</v>
      </c>
      <c r="Q489" s="276">
        <f>Q191*'OLD Formulas'!$C8</f>
        <v>0</v>
      </c>
      <c r="R489" s="276">
        <f>R191*'OLD Formulas'!$C8</f>
        <v>0</v>
      </c>
      <c r="S489" s="276">
        <f>S191*'OLD Formulas'!$C8</f>
        <v>0</v>
      </c>
      <c r="T489" s="276">
        <f>T191*'OLD Formulas'!$C8</f>
        <v>0</v>
      </c>
      <c r="U489" s="276">
        <f>U191*'OLD Formulas'!$C8</f>
        <v>0</v>
      </c>
      <c r="V489" s="276">
        <f>V191*'OLD Formulas'!$C8</f>
        <v>0</v>
      </c>
      <c r="W489" s="276">
        <f>W191*'OLD Formulas'!$C8</f>
        <v>0</v>
      </c>
      <c r="X489" s="276">
        <f>X191*'OLD Formulas'!$C8</f>
        <v>0</v>
      </c>
      <c r="Y489" s="276">
        <f>Y191*'OLD Formulas'!$C8</f>
        <v>0</v>
      </c>
      <c r="Z489" s="276">
        <f>Z191*'OLD Formulas'!$C8</f>
        <v>0</v>
      </c>
      <c r="AA489" s="276">
        <f>AA191*'OLD Formulas'!$C8</f>
        <v>0</v>
      </c>
      <c r="AB489" s="276">
        <f>AB191*'OLD Formulas'!$C8</f>
        <v>0</v>
      </c>
      <c r="AC489" s="276">
        <f>AC191*'OLD Formulas'!$C8</f>
        <v>0</v>
      </c>
      <c r="AD489" s="276">
        <f>AD191*'OLD Formulas'!$C8</f>
        <v>-6.37</v>
      </c>
      <c r="AE489" s="276">
        <f>AE191*'OLD Formulas'!$C8</f>
        <v>-6.37</v>
      </c>
      <c r="AF489" s="276">
        <f>AF191*'OLD Formulas'!$C8</f>
        <v>0</v>
      </c>
      <c r="AG489" s="360">
        <f t="shared" si="204"/>
        <v>-12.74</v>
      </c>
    </row>
    <row r="490">
      <c r="A490" s="337" t="s">
        <v>875</v>
      </c>
      <c r="B490" s="276">
        <f>B489*'OLD Formulas'!$C37</f>
        <v>0</v>
      </c>
      <c r="C490" s="276">
        <f>C489*'OLD Formulas'!$C37</f>
        <v>0</v>
      </c>
      <c r="D490" s="276">
        <f>D489*'OLD Formulas'!$C37</f>
        <v>0</v>
      </c>
      <c r="E490" s="276">
        <f>E489*'OLD Formulas'!$C37</f>
        <v>0</v>
      </c>
      <c r="F490" s="276">
        <f>F489*'OLD Formulas'!$C37</f>
        <v>0</v>
      </c>
      <c r="G490" s="276">
        <f>G489*'OLD Formulas'!$C37</f>
        <v>0</v>
      </c>
      <c r="H490" s="276">
        <f>H489*'OLD Formulas'!$C37</f>
        <v>0</v>
      </c>
      <c r="I490" s="276">
        <f>I489*'OLD Formulas'!$C37</f>
        <v>0</v>
      </c>
      <c r="J490" s="276">
        <f>J489*'OLD Formulas'!$C37</f>
        <v>0</v>
      </c>
      <c r="K490" s="276">
        <f>K489*'OLD Formulas'!$C37</f>
        <v>0</v>
      </c>
      <c r="L490" s="276">
        <f>L489*'OLD Formulas'!$C37</f>
        <v>0</v>
      </c>
      <c r="M490" s="276">
        <f>M489*'OLD Formulas'!$C37</f>
        <v>0</v>
      </c>
      <c r="N490" s="276">
        <f>N489*'OLD Formulas'!$C37</f>
        <v>0</v>
      </c>
      <c r="O490" s="276">
        <f>O489*'OLD Formulas'!$C37</f>
        <v>0</v>
      </c>
      <c r="P490" s="276">
        <f>P489*'OLD Formulas'!$C37</f>
        <v>0</v>
      </c>
      <c r="Q490" s="276">
        <f>Q489*'OLD Formulas'!$C37</f>
        <v>0</v>
      </c>
      <c r="R490" s="276">
        <f>R489*'OLD Formulas'!$C37</f>
        <v>0</v>
      </c>
      <c r="S490" s="276">
        <f>S489*'OLD Formulas'!$C37</f>
        <v>0</v>
      </c>
      <c r="T490" s="276">
        <f>T489*'OLD Formulas'!$C37</f>
        <v>0</v>
      </c>
      <c r="U490" s="276">
        <f>U489*'OLD Formulas'!$C37</f>
        <v>0</v>
      </c>
      <c r="V490" s="276">
        <f>V489*'OLD Formulas'!$C37</f>
        <v>0</v>
      </c>
      <c r="W490" s="276">
        <f>W489*'OLD Formulas'!$C37</f>
        <v>0</v>
      </c>
      <c r="X490" s="276">
        <f>X489*'OLD Formulas'!$C37</f>
        <v>0</v>
      </c>
      <c r="Y490" s="276">
        <f>Y489*'OLD Formulas'!$C37</f>
        <v>0</v>
      </c>
      <c r="Z490" s="276">
        <f>Z489*'OLD Formulas'!$C37</f>
        <v>0</v>
      </c>
      <c r="AA490" s="276">
        <f>AA489*'OLD Formulas'!$C37</f>
        <v>0</v>
      </c>
      <c r="AB490" s="276">
        <f>AB489*'OLD Formulas'!$C37</f>
        <v>0</v>
      </c>
      <c r="AC490" s="276">
        <f>AC489*'OLD Formulas'!$C37</f>
        <v>0</v>
      </c>
      <c r="AD490" s="276">
        <f>AD489*'OLD Formulas'!$C37</f>
        <v>-0.47775</v>
      </c>
      <c r="AE490" s="276">
        <f>AE489*'OLD Formulas'!$C37</f>
        <v>-0.47775</v>
      </c>
      <c r="AF490" s="276">
        <f>AF489*'OLD Formulas'!$C37</f>
        <v>0</v>
      </c>
      <c r="AG490" s="360">
        <f t="shared" si="204"/>
        <v>-0.9555</v>
      </c>
    </row>
    <row r="491">
      <c r="A491" s="337" t="s">
        <v>881</v>
      </c>
      <c r="B491" s="276">
        <f>B489*'OLD Formulas'!$C36</f>
        <v>0</v>
      </c>
      <c r="C491" s="276">
        <f>C489*'OLD Formulas'!$C36</f>
        <v>0</v>
      </c>
      <c r="D491" s="276">
        <f>D489*'OLD Formulas'!$C36</f>
        <v>0</v>
      </c>
      <c r="E491" s="276">
        <f>E489*'OLD Formulas'!$C36</f>
        <v>0</v>
      </c>
      <c r="F491" s="276">
        <f>F489*'OLD Formulas'!$C36</f>
        <v>0</v>
      </c>
      <c r="G491" s="276">
        <f>G489*'OLD Formulas'!$C36</f>
        <v>0</v>
      </c>
      <c r="H491" s="276">
        <f>H489*'OLD Formulas'!$C36</f>
        <v>0</v>
      </c>
      <c r="I491" s="276">
        <f>I489*'OLD Formulas'!$C36</f>
        <v>0</v>
      </c>
      <c r="J491" s="276">
        <f>J489*'OLD Formulas'!$C36</f>
        <v>0</v>
      </c>
      <c r="K491" s="276">
        <f>K489*'OLD Formulas'!$C36</f>
        <v>0</v>
      </c>
      <c r="L491" s="276">
        <f>L489*'OLD Formulas'!$C36</f>
        <v>0</v>
      </c>
      <c r="M491" s="276">
        <f>M489*'OLD Formulas'!$C36</f>
        <v>0</v>
      </c>
      <c r="N491" s="276">
        <f>N489*'OLD Formulas'!$C36</f>
        <v>0</v>
      </c>
      <c r="O491" s="276">
        <f>O489*'OLD Formulas'!$C36</f>
        <v>0</v>
      </c>
      <c r="P491" s="276">
        <f>P489*'OLD Formulas'!$C36</f>
        <v>0</v>
      </c>
      <c r="Q491" s="276">
        <f>Q489*'OLD Formulas'!$C36</f>
        <v>0</v>
      </c>
      <c r="R491" s="276">
        <f>R489*'OLD Formulas'!$C36</f>
        <v>0</v>
      </c>
      <c r="S491" s="276">
        <f>S489*'OLD Formulas'!$C36</f>
        <v>0</v>
      </c>
      <c r="T491" s="276">
        <f>T489*'OLD Formulas'!$C36</f>
        <v>0</v>
      </c>
      <c r="U491" s="276">
        <f>U489*'OLD Formulas'!$C36</f>
        <v>0</v>
      </c>
      <c r="V491" s="276">
        <f>V489*'OLD Formulas'!$C36</f>
        <v>0</v>
      </c>
      <c r="W491" s="276">
        <f>W489*'OLD Formulas'!$C36</f>
        <v>0</v>
      </c>
      <c r="X491" s="276">
        <f>X489*'OLD Formulas'!$C36</f>
        <v>0</v>
      </c>
      <c r="Y491" s="276">
        <f>Y489*'OLD Formulas'!$C36</f>
        <v>0</v>
      </c>
      <c r="Z491" s="276">
        <f>Z489*'OLD Formulas'!$C36</f>
        <v>0</v>
      </c>
      <c r="AA491" s="276">
        <f>AA489*'OLD Formulas'!$C36</f>
        <v>0</v>
      </c>
      <c r="AB491" s="276">
        <f>AB489*'OLD Formulas'!$C36</f>
        <v>0</v>
      </c>
      <c r="AC491" s="276">
        <f>AC489*'OLD Formulas'!$C36</f>
        <v>0</v>
      </c>
      <c r="AD491" s="276">
        <f>AD489*'OLD Formulas'!$C36</f>
        <v>-0.21658</v>
      </c>
      <c r="AE491" s="276">
        <f>AE489*'OLD Formulas'!$C36</f>
        <v>-0.21658</v>
      </c>
      <c r="AF491" s="276">
        <f>AF489*'OLD Formulas'!$C36</f>
        <v>0</v>
      </c>
      <c r="AG491" s="360">
        <f t="shared" si="204"/>
        <v>-0.43316</v>
      </c>
    </row>
    <row r="492">
      <c r="A492" s="346" t="s">
        <v>884</v>
      </c>
      <c r="B492" s="276">
        <f>B190*'OLD Formulas'!$C7</f>
        <v>246.5</v>
      </c>
      <c r="C492" s="276">
        <f>C190*'OLD Formulas'!$C7</f>
        <v>256.36</v>
      </c>
      <c r="D492" s="276">
        <f>D190*'OLD Formulas'!$C7</f>
        <v>157.76</v>
      </c>
      <c r="E492" s="276">
        <f>E190*'OLD Formulas'!$C7</f>
        <v>182.41</v>
      </c>
      <c r="F492" s="276">
        <f>F190*'OLD Formulas'!$C7</f>
        <v>211.99</v>
      </c>
      <c r="G492" s="276">
        <f>G190*'OLD Formulas'!$C7</f>
        <v>202.13</v>
      </c>
      <c r="H492" s="276">
        <f>H190*'OLD Formulas'!$C7</f>
        <v>236.64</v>
      </c>
      <c r="I492" s="276">
        <f>I190*'OLD Formulas'!$C7</f>
        <v>345.1</v>
      </c>
      <c r="J492" s="276">
        <f>J190*'OLD Formulas'!$C7</f>
        <v>354.96</v>
      </c>
      <c r="K492" s="276">
        <f>K190*'OLD Formulas'!$C7</f>
        <v>305.66</v>
      </c>
      <c r="L492" s="276">
        <f>L190*'OLD Formulas'!$C7</f>
        <v>271.15</v>
      </c>
      <c r="M492" s="276">
        <f>M190*'OLD Formulas'!$C7</f>
        <v>221.85</v>
      </c>
      <c r="N492" s="276">
        <f>N190*'OLD Formulas'!$C7</f>
        <v>409.19</v>
      </c>
      <c r="O492" s="276">
        <f>O190*'OLD Formulas'!$C7</f>
        <v>325.38</v>
      </c>
      <c r="P492" s="276">
        <f>P190*'OLD Formulas'!$C7</f>
        <v>419.05</v>
      </c>
      <c r="Q492" s="276">
        <f>Q190*'OLD Formulas'!$C7</f>
        <v>389.47</v>
      </c>
      <c r="R492" s="276">
        <f>R190*'OLD Formulas'!$C7</f>
        <v>157.76</v>
      </c>
      <c r="S492" s="276">
        <f>S190*'OLD Formulas'!$C7</f>
        <v>359.89</v>
      </c>
      <c r="T492" s="276">
        <f>T190*'OLD Formulas'!$C7</f>
        <v>211.99</v>
      </c>
      <c r="U492" s="276">
        <f>U190*'OLD Formulas'!$C7</f>
        <v>285.94</v>
      </c>
      <c r="V492" s="276">
        <f>V190*'OLD Formulas'!$C7</f>
        <v>226.78</v>
      </c>
      <c r="W492" s="276">
        <f>W190*'OLD Formulas'!$C7</f>
        <v>281.01</v>
      </c>
      <c r="X492" s="276">
        <f>X190*'OLD Formulas'!$C7</f>
        <v>271.15</v>
      </c>
      <c r="Y492" s="276">
        <f>Y190*'OLD Formulas'!$C7</f>
        <v>167.62</v>
      </c>
      <c r="Z492" s="276">
        <f>Z190*'OLD Formulas'!$C7</f>
        <v>182.41</v>
      </c>
      <c r="AA492" s="276">
        <f>AA190*'OLD Formulas'!$C7</f>
        <v>118.32</v>
      </c>
      <c r="AB492" s="276">
        <f>AB190*'OLD Formulas'!$C7</f>
        <v>192.27</v>
      </c>
      <c r="AC492" s="276">
        <f>AC190*'OLD Formulas'!$C7</f>
        <v>138.04</v>
      </c>
      <c r="AD492" s="276">
        <f>AD190*'OLD Formulas'!$C7</f>
        <v>182.41</v>
      </c>
      <c r="AE492" s="276">
        <f>AE190*'OLD Formulas'!$C7</f>
        <v>142.97</v>
      </c>
      <c r="AF492" s="276">
        <f>AF190*'OLD Formulas'!$C7</f>
        <v>152.83</v>
      </c>
      <c r="AG492" s="360">
        <f t="shared" si="204"/>
        <v>7606.99</v>
      </c>
    </row>
    <row r="493">
      <c r="A493" s="337" t="s">
        <v>888</v>
      </c>
      <c r="B493" s="276">
        <f>B492*'OLD Formulas'!$C37</f>
        <v>18.4875</v>
      </c>
      <c r="C493" s="276">
        <f>C492*'OLD Formulas'!$C37</f>
        <v>19.227</v>
      </c>
      <c r="D493" s="276">
        <f>D492*'OLD Formulas'!$C37</f>
        <v>11.832</v>
      </c>
      <c r="E493" s="276">
        <f>E492*'OLD Formulas'!$C37</f>
        <v>13.68075</v>
      </c>
      <c r="F493" s="276">
        <f>F492*'OLD Formulas'!$C37</f>
        <v>15.89925</v>
      </c>
      <c r="G493" s="276">
        <f>G492*'OLD Formulas'!$C37</f>
        <v>15.15975</v>
      </c>
      <c r="H493" s="276">
        <f>H492*'OLD Formulas'!$C37</f>
        <v>17.748</v>
      </c>
      <c r="I493" s="276">
        <f>I492*'OLD Formulas'!$C37</f>
        <v>25.8825</v>
      </c>
      <c r="J493" s="276">
        <f>J492*'OLD Formulas'!$C37</f>
        <v>26.622</v>
      </c>
      <c r="K493" s="276">
        <f>K492*'OLD Formulas'!$C37</f>
        <v>22.9245</v>
      </c>
      <c r="L493" s="276">
        <f>L492*'OLD Formulas'!$C37</f>
        <v>20.33625</v>
      </c>
      <c r="M493" s="276">
        <f>M492*'OLD Formulas'!$C37</f>
        <v>16.63875</v>
      </c>
      <c r="N493" s="276">
        <f>N492*'OLD Formulas'!$C37</f>
        <v>30.68925</v>
      </c>
      <c r="O493" s="276">
        <f>O492*'OLD Formulas'!$C37</f>
        <v>24.4035</v>
      </c>
      <c r="P493" s="276">
        <f>P492*'OLD Formulas'!$C37</f>
        <v>31.42875</v>
      </c>
      <c r="Q493" s="276">
        <f>Q492*'OLD Formulas'!$C37</f>
        <v>29.21025</v>
      </c>
      <c r="R493" s="276">
        <f>R492*'OLD Formulas'!$C37</f>
        <v>11.832</v>
      </c>
      <c r="S493" s="276">
        <f>S492*'OLD Formulas'!$C37</f>
        <v>26.99175</v>
      </c>
      <c r="T493" s="276">
        <f>T492*'OLD Formulas'!$C37</f>
        <v>15.89925</v>
      </c>
      <c r="U493" s="276">
        <f>U492*'OLD Formulas'!$C37</f>
        <v>21.4455</v>
      </c>
      <c r="V493" s="276">
        <f>V492*'OLD Formulas'!$C37</f>
        <v>17.0085</v>
      </c>
      <c r="W493" s="276">
        <f>W492*'OLD Formulas'!$C37</f>
        <v>21.07575</v>
      </c>
      <c r="X493" s="276">
        <f>X492*'OLD Formulas'!$C37</f>
        <v>20.33625</v>
      </c>
      <c r="Y493" s="276">
        <f>Y492*'OLD Formulas'!$C37</f>
        <v>12.5715</v>
      </c>
      <c r="Z493" s="276">
        <f>Z492*'OLD Formulas'!$C37</f>
        <v>13.68075</v>
      </c>
      <c r="AA493" s="276">
        <f>AA492*'OLD Formulas'!$C37</f>
        <v>8.874</v>
      </c>
      <c r="AB493" s="276">
        <f>AB492*'OLD Formulas'!$C37</f>
        <v>14.42025</v>
      </c>
      <c r="AC493" s="276">
        <f>AC492*'OLD Formulas'!$C37</f>
        <v>10.353</v>
      </c>
      <c r="AD493" s="276">
        <f>AD492*'OLD Formulas'!$C37</f>
        <v>13.68075</v>
      </c>
      <c r="AE493" s="276">
        <f>AE492*'OLD Formulas'!$C37</f>
        <v>10.72275</v>
      </c>
      <c r="AF493" s="276">
        <f>AF492*'OLD Formulas'!$C37</f>
        <v>11.46225</v>
      </c>
      <c r="AG493" s="360">
        <f t="shared" si="204"/>
        <v>570.52425</v>
      </c>
    </row>
    <row r="494">
      <c r="A494" s="337" t="s">
        <v>889</v>
      </c>
      <c r="B494" s="276">
        <f>B492*'OLD Formulas'!$C36</f>
        <v>8.381</v>
      </c>
      <c r="C494" s="276">
        <f>C492*'OLD Formulas'!$C36</f>
        <v>8.71624</v>
      </c>
      <c r="D494" s="276">
        <f>D492*'OLD Formulas'!$C36</f>
        <v>5.36384</v>
      </c>
      <c r="E494" s="276">
        <f>E492*'OLD Formulas'!$C36</f>
        <v>6.20194</v>
      </c>
      <c r="F494" s="276">
        <f>F492*'OLD Formulas'!$C36</f>
        <v>7.20766</v>
      </c>
      <c r="G494" s="276">
        <f>G492*'OLD Formulas'!$C36</f>
        <v>6.87242</v>
      </c>
      <c r="H494" s="276">
        <f>H492*'OLD Formulas'!$C36</f>
        <v>8.04576</v>
      </c>
      <c r="I494" s="276">
        <f>I492*'OLD Formulas'!$C36</f>
        <v>11.7334</v>
      </c>
      <c r="J494" s="276">
        <f>J492*'OLD Formulas'!$C36</f>
        <v>12.06864</v>
      </c>
      <c r="K494" s="276">
        <f>K492*'OLD Formulas'!$C36</f>
        <v>10.39244</v>
      </c>
      <c r="L494" s="276">
        <f>L492*'OLD Formulas'!$C36</f>
        <v>9.2191</v>
      </c>
      <c r="M494" s="276">
        <f>M492*'OLD Formulas'!$C36</f>
        <v>7.5429</v>
      </c>
      <c r="N494" s="276">
        <f>N492*'OLD Formulas'!$C36</f>
        <v>13.91246</v>
      </c>
      <c r="O494" s="276">
        <f>O492*'OLD Formulas'!$C36</f>
        <v>11.06292</v>
      </c>
      <c r="P494" s="276">
        <f>P492*'OLD Formulas'!$C36</f>
        <v>14.2477</v>
      </c>
      <c r="Q494" s="276">
        <f>Q492*'OLD Formulas'!$C36</f>
        <v>13.24198</v>
      </c>
      <c r="R494" s="276">
        <f>R492*'OLD Formulas'!$C36</f>
        <v>5.36384</v>
      </c>
      <c r="S494" s="276">
        <f>S492*'OLD Formulas'!$C36</f>
        <v>12.23626</v>
      </c>
      <c r="T494" s="276">
        <f>T492*'OLD Formulas'!$C36</f>
        <v>7.20766</v>
      </c>
      <c r="U494" s="276">
        <f>U492*'OLD Formulas'!$C36</f>
        <v>9.72196</v>
      </c>
      <c r="V494" s="276">
        <f>V492*'OLD Formulas'!$C36</f>
        <v>7.71052</v>
      </c>
      <c r="W494" s="276">
        <f>W492*'OLD Formulas'!$C36</f>
        <v>9.55434</v>
      </c>
      <c r="X494" s="276">
        <f>X492*'OLD Formulas'!$C36</f>
        <v>9.2191</v>
      </c>
      <c r="Y494" s="276">
        <f>Y492*'OLD Formulas'!$C36</f>
        <v>5.69908</v>
      </c>
      <c r="Z494" s="276">
        <f>Z492*'OLD Formulas'!$C36</f>
        <v>6.20194</v>
      </c>
      <c r="AA494" s="276">
        <f>AA492*'OLD Formulas'!$C36</f>
        <v>4.02288</v>
      </c>
      <c r="AB494" s="276">
        <f>AB492*'OLD Formulas'!$C36</f>
        <v>6.53718</v>
      </c>
      <c r="AC494" s="276">
        <f>AC492*'OLD Formulas'!$C36</f>
        <v>4.69336</v>
      </c>
      <c r="AD494" s="276">
        <f>AD492*'OLD Formulas'!$C36</f>
        <v>6.20194</v>
      </c>
      <c r="AE494" s="276">
        <f>AE492*'OLD Formulas'!$C36</f>
        <v>4.86098</v>
      </c>
      <c r="AF494" s="276">
        <f>AF492*'OLD Formulas'!$C36</f>
        <v>5.19622</v>
      </c>
      <c r="AG494" s="360">
        <f t="shared" si="204"/>
        <v>258.63766</v>
      </c>
    </row>
    <row r="495">
      <c r="A495" s="346" t="s">
        <v>891</v>
      </c>
      <c r="B495" s="276">
        <f>B192*'OLD Formulas'!$C9</f>
        <v>25.68</v>
      </c>
      <c r="C495" s="276">
        <f>C192*'OLD Formulas'!$C9</f>
        <v>39.59</v>
      </c>
      <c r="D495" s="276">
        <f>D192*'OLD Formulas'!$C9</f>
        <v>23.54</v>
      </c>
      <c r="E495" s="276">
        <f>E192*'OLD Formulas'!$C9</f>
        <v>29.96</v>
      </c>
      <c r="F495" s="276">
        <f>F192*'OLD Formulas'!$C9</f>
        <v>26.75</v>
      </c>
      <c r="G495" s="276">
        <f>G192*'OLD Formulas'!$C9</f>
        <v>19.26</v>
      </c>
      <c r="H495" s="276">
        <f>H192*'OLD Formulas'!$C9</f>
        <v>17.12</v>
      </c>
      <c r="I495" s="276">
        <f>I192*'OLD Formulas'!$C9</f>
        <v>33.17</v>
      </c>
      <c r="J495" s="276">
        <f>J192*'OLD Formulas'!$C9</f>
        <v>26.75</v>
      </c>
      <c r="K495" s="276">
        <f>K192*'OLD Formulas'!$C9</f>
        <v>29.96</v>
      </c>
      <c r="L495" s="276">
        <f>L192*'OLD Formulas'!$C9</f>
        <v>24.61</v>
      </c>
      <c r="M495" s="276">
        <f>M192*'OLD Formulas'!$C9</f>
        <v>25.68</v>
      </c>
      <c r="N495" s="276">
        <f>N192*'OLD Formulas'!$C9</f>
        <v>51.36</v>
      </c>
      <c r="O495" s="276">
        <f>O192*'OLD Formulas'!$C9</f>
        <v>40.66</v>
      </c>
      <c r="P495" s="276">
        <f>P192*'OLD Formulas'!$C9</f>
        <v>41.73</v>
      </c>
      <c r="Q495" s="276">
        <f>Q192*'OLD Formulas'!$C9</f>
        <v>39.59</v>
      </c>
      <c r="R495" s="276">
        <f>R192*'OLD Formulas'!$C9</f>
        <v>25.68</v>
      </c>
      <c r="S495" s="276">
        <f>S192*'OLD Formulas'!$C9</f>
        <v>36.38</v>
      </c>
      <c r="T495" s="276">
        <f>T192*'OLD Formulas'!$C9</f>
        <v>35.31</v>
      </c>
      <c r="U495" s="276">
        <f>U192*'OLD Formulas'!$C9</f>
        <v>34.24</v>
      </c>
      <c r="V495" s="276">
        <f>V192*'OLD Formulas'!$C9</f>
        <v>25.68</v>
      </c>
      <c r="W495" s="276">
        <f>W192*'OLD Formulas'!$C9</f>
        <v>28.89</v>
      </c>
      <c r="X495" s="276">
        <f>X192*'OLD Formulas'!$C9</f>
        <v>27.82</v>
      </c>
      <c r="Y495" s="276">
        <f>Y192*'OLD Formulas'!$C9</f>
        <v>23.54</v>
      </c>
      <c r="Z495" s="276">
        <f>Z192*'OLD Formulas'!$C9</f>
        <v>17.12</v>
      </c>
      <c r="AA495" s="276">
        <f>AA192*'OLD Formulas'!$C9</f>
        <v>21.4</v>
      </c>
      <c r="AB495" s="276">
        <f>AB192*'OLD Formulas'!$C9</f>
        <v>14.98</v>
      </c>
      <c r="AC495" s="276">
        <f>AC192*'OLD Formulas'!$C9</f>
        <v>16.05</v>
      </c>
      <c r="AD495" s="276">
        <f>AD192*'OLD Formulas'!$C9</f>
        <v>17.12</v>
      </c>
      <c r="AE495" s="276">
        <f>AE192*'OLD Formulas'!$C9</f>
        <v>24.61</v>
      </c>
      <c r="AF495" s="276">
        <f>AF192*'OLD Formulas'!$C9</f>
        <v>13.91</v>
      </c>
      <c r="AG495" s="360">
        <f t="shared" si="204"/>
        <v>858.14</v>
      </c>
    </row>
    <row r="496">
      <c r="A496" s="337" t="s">
        <v>892</v>
      </c>
      <c r="B496" s="276">
        <f>B495*'OLD Formulas'!$C37</f>
        <v>1.926</v>
      </c>
      <c r="C496" s="276">
        <f>C495*'OLD Formulas'!$C37</f>
        <v>2.96925</v>
      </c>
      <c r="D496" s="276">
        <f>D495*'OLD Formulas'!$C37</f>
        <v>1.7655</v>
      </c>
      <c r="E496" s="276">
        <f>E495*'OLD Formulas'!$C37</f>
        <v>2.247</v>
      </c>
      <c r="F496" s="276">
        <f>F495*'OLD Formulas'!$C37</f>
        <v>2.00625</v>
      </c>
      <c r="G496" s="276">
        <f>G495*'OLD Formulas'!$C37</f>
        <v>1.4445</v>
      </c>
      <c r="H496" s="276">
        <f>H495*'OLD Formulas'!$C37</f>
        <v>1.284</v>
      </c>
      <c r="I496" s="276">
        <f>I495*'OLD Formulas'!$C37</f>
        <v>2.48775</v>
      </c>
      <c r="J496" s="276">
        <f>J495*'OLD Formulas'!$C37</f>
        <v>2.00625</v>
      </c>
      <c r="K496" s="276">
        <f>K495*'OLD Formulas'!$C37</f>
        <v>2.247</v>
      </c>
      <c r="L496" s="276">
        <f>L495*'OLD Formulas'!$C37</f>
        <v>1.84575</v>
      </c>
      <c r="M496" s="276">
        <f>M495*'OLD Formulas'!$C37</f>
        <v>1.926</v>
      </c>
      <c r="N496" s="276">
        <f>N495*'OLD Formulas'!$C37</f>
        <v>3.852</v>
      </c>
      <c r="O496" s="276">
        <f>O495*'OLD Formulas'!$C37</f>
        <v>3.0495</v>
      </c>
      <c r="P496" s="276">
        <f>P495*'OLD Formulas'!$C37</f>
        <v>3.12975</v>
      </c>
      <c r="Q496" s="276">
        <f>Q495*'OLD Formulas'!$C37</f>
        <v>2.96925</v>
      </c>
      <c r="R496" s="276">
        <f>R495*'OLD Formulas'!$C37</f>
        <v>1.926</v>
      </c>
      <c r="S496" s="276">
        <f>S495*'OLD Formulas'!$C37</f>
        <v>2.7285</v>
      </c>
      <c r="T496" s="276">
        <f>T495*'OLD Formulas'!$C37</f>
        <v>2.64825</v>
      </c>
      <c r="U496" s="276">
        <f>U495*'OLD Formulas'!$C37</f>
        <v>2.568</v>
      </c>
      <c r="V496" s="276">
        <f>V495*'OLD Formulas'!$C37</f>
        <v>1.926</v>
      </c>
      <c r="W496" s="276">
        <f>W495*'OLD Formulas'!$C37</f>
        <v>2.16675</v>
      </c>
      <c r="X496" s="276">
        <f>X495*'OLD Formulas'!$C37</f>
        <v>2.0865</v>
      </c>
      <c r="Y496" s="276">
        <f>Y495*'OLD Formulas'!$C37</f>
        <v>1.7655</v>
      </c>
      <c r="Z496" s="276">
        <f>Z495*'OLD Formulas'!$C37</f>
        <v>1.284</v>
      </c>
      <c r="AA496" s="276">
        <f>AA495*'OLD Formulas'!$C37</f>
        <v>1.605</v>
      </c>
      <c r="AB496" s="276">
        <f>AB495*'OLD Formulas'!$C37</f>
        <v>1.1235</v>
      </c>
      <c r="AC496" s="276">
        <f>AC495*'OLD Formulas'!$C37</f>
        <v>1.20375</v>
      </c>
      <c r="AD496" s="276">
        <f>AD495*'OLD Formulas'!$C37</f>
        <v>1.284</v>
      </c>
      <c r="AE496" s="276">
        <f>AE495*'OLD Formulas'!$C37</f>
        <v>1.84575</v>
      </c>
      <c r="AF496" s="276">
        <f>AF495*'OLD Formulas'!$C37</f>
        <v>1.04325</v>
      </c>
      <c r="AG496" s="360">
        <f t="shared" si="204"/>
        <v>64.3605</v>
      </c>
    </row>
    <row r="497">
      <c r="A497" s="337" t="s">
        <v>894</v>
      </c>
      <c r="B497" s="276">
        <f>B495*'OLD Formulas'!$C36</f>
        <v>0.87312</v>
      </c>
      <c r="C497" s="276">
        <f>C495*'OLD Formulas'!$C36</f>
        <v>1.34606</v>
      </c>
      <c r="D497" s="276">
        <f>D495*'OLD Formulas'!$C36</f>
        <v>0.80036</v>
      </c>
      <c r="E497" s="276">
        <f>E495*'OLD Formulas'!$C36</f>
        <v>1.01864</v>
      </c>
      <c r="F497" s="276">
        <f>F495*'OLD Formulas'!$C36</f>
        <v>0.9095</v>
      </c>
      <c r="G497" s="276">
        <f>G495*'OLD Formulas'!$C36</f>
        <v>0.65484</v>
      </c>
      <c r="H497" s="276">
        <f>H495*'OLD Formulas'!$C36</f>
        <v>0.58208</v>
      </c>
      <c r="I497" s="276">
        <f>I495*'OLD Formulas'!$C36</f>
        <v>1.12778</v>
      </c>
      <c r="J497" s="276">
        <f>J495*'OLD Formulas'!$C36</f>
        <v>0.9095</v>
      </c>
      <c r="K497" s="276">
        <f>K495*'OLD Formulas'!$C36</f>
        <v>1.01864</v>
      </c>
      <c r="L497" s="276">
        <f>L495*'OLD Formulas'!$C36</f>
        <v>0.83674</v>
      </c>
      <c r="M497" s="276">
        <f>M495*'OLD Formulas'!$C36</f>
        <v>0.87312</v>
      </c>
      <c r="N497" s="276">
        <f>N495*'OLD Formulas'!$C36</f>
        <v>1.74624</v>
      </c>
      <c r="O497" s="276">
        <f>O495*'OLD Formulas'!$C36</f>
        <v>1.38244</v>
      </c>
      <c r="P497" s="276">
        <f>P495*'OLD Formulas'!$C36</f>
        <v>1.41882</v>
      </c>
      <c r="Q497" s="276">
        <f>Q495*'OLD Formulas'!$C36</f>
        <v>1.34606</v>
      </c>
      <c r="R497" s="276">
        <f>R495*'OLD Formulas'!$C36</f>
        <v>0.87312</v>
      </c>
      <c r="S497" s="276">
        <f>S495*'OLD Formulas'!$C36</f>
        <v>1.23692</v>
      </c>
      <c r="T497" s="276">
        <f>T495*'OLD Formulas'!$C36</f>
        <v>1.20054</v>
      </c>
      <c r="U497" s="276">
        <f>U495*'OLD Formulas'!$C36</f>
        <v>1.16416</v>
      </c>
      <c r="V497" s="276">
        <f>V495*'OLD Formulas'!$C36</f>
        <v>0.87312</v>
      </c>
      <c r="W497" s="276">
        <f>W495*'OLD Formulas'!$C36</f>
        <v>0.98226</v>
      </c>
      <c r="X497" s="276">
        <f>X495*'OLD Formulas'!$C36</f>
        <v>0.94588</v>
      </c>
      <c r="Y497" s="276">
        <f>Y495*'OLD Formulas'!$C36</f>
        <v>0.80036</v>
      </c>
      <c r="Z497" s="276">
        <f>Z495*'OLD Formulas'!$C36</f>
        <v>0.58208</v>
      </c>
      <c r="AA497" s="276">
        <f>AA495*'OLD Formulas'!$C36</f>
        <v>0.7276</v>
      </c>
      <c r="AB497" s="276">
        <f>AB495*'OLD Formulas'!$C36</f>
        <v>0.50932</v>
      </c>
      <c r="AC497" s="276">
        <f>AC495*'OLD Formulas'!$C36</f>
        <v>0.5457</v>
      </c>
      <c r="AD497" s="276">
        <f>AD495*'OLD Formulas'!$C36</f>
        <v>0.58208</v>
      </c>
      <c r="AE497" s="276">
        <f>AE495*'OLD Formulas'!$C36</f>
        <v>0.83674</v>
      </c>
      <c r="AF497" s="276">
        <f>AF495*'OLD Formulas'!$C36</f>
        <v>0.47294</v>
      </c>
      <c r="AG497" s="360">
        <f t="shared" si="204"/>
        <v>29.17676</v>
      </c>
    </row>
    <row r="498">
      <c r="A498" s="346" t="s">
        <v>914</v>
      </c>
      <c r="B498" s="276">
        <f>B193*'OLD Formulas'!$C10</f>
        <v>197.34</v>
      </c>
      <c r="C498" s="276">
        <f>C193*'OLD Formulas'!$C10</f>
        <v>257.14</v>
      </c>
      <c r="D498" s="276">
        <f>D193*'OLD Formulas'!$C10</f>
        <v>131.56</v>
      </c>
      <c r="E498" s="276">
        <f>E193*'OLD Formulas'!$C10</f>
        <v>203.32</v>
      </c>
      <c r="F498" s="276">
        <f>F193*'OLD Formulas'!$C10</f>
        <v>125.58</v>
      </c>
      <c r="G498" s="276">
        <f>G193*'OLD Formulas'!$C10</f>
        <v>161.46</v>
      </c>
      <c r="H498" s="276">
        <f>H193*'OLD Formulas'!$C10</f>
        <v>113.62</v>
      </c>
      <c r="I498" s="276">
        <f>I193*'OLD Formulas'!$C10</f>
        <v>227.24</v>
      </c>
      <c r="J498" s="276">
        <f>J193*'OLD Formulas'!$C10</f>
        <v>227.24</v>
      </c>
      <c r="K498" s="276">
        <f>K193*'OLD Formulas'!$C10</f>
        <v>215.28</v>
      </c>
      <c r="L498" s="276">
        <f>L193*'OLD Formulas'!$C10</f>
        <v>149.5</v>
      </c>
      <c r="M498" s="276">
        <f>M193*'OLD Formulas'!$C10</f>
        <v>149.5</v>
      </c>
      <c r="N498" s="276">
        <f>N193*'OLD Formulas'!$C10</f>
        <v>328.9</v>
      </c>
      <c r="O498" s="276">
        <f>O193*'OLD Formulas'!$C10</f>
        <v>281.06</v>
      </c>
      <c r="P498" s="276">
        <f>P193*'OLD Formulas'!$C10</f>
        <v>287.04</v>
      </c>
      <c r="Q498" s="276">
        <f>Q193*'OLD Formulas'!$C10</f>
        <v>215.28</v>
      </c>
      <c r="R498" s="276">
        <f>R193*'OLD Formulas'!$C10</f>
        <v>107.64</v>
      </c>
      <c r="S498" s="276">
        <f>S193*'OLD Formulas'!$C10</f>
        <v>191.36</v>
      </c>
      <c r="T498" s="276">
        <f>T193*'OLD Formulas'!$C10</f>
        <v>179.4</v>
      </c>
      <c r="U498" s="276">
        <f>U193*'OLD Formulas'!$C10</f>
        <v>197.34</v>
      </c>
      <c r="V498" s="276">
        <f>V193*'OLD Formulas'!$C10</f>
        <v>203.32</v>
      </c>
      <c r="W498" s="276">
        <f>W193*'OLD Formulas'!$C10</f>
        <v>167.44</v>
      </c>
      <c r="X498" s="276">
        <f>X193*'OLD Formulas'!$C10</f>
        <v>209.3</v>
      </c>
      <c r="Y498" s="276">
        <f>Y193*'OLD Formulas'!$C10</f>
        <v>119.6</v>
      </c>
      <c r="Z498" s="276">
        <f>Z193*'OLD Formulas'!$C10</f>
        <v>77.74</v>
      </c>
      <c r="AA498" s="276">
        <f>AA193*'OLD Formulas'!$C10</f>
        <v>131.56</v>
      </c>
      <c r="AB498" s="276">
        <f>AB193*'OLD Formulas'!$C10</f>
        <v>83.72</v>
      </c>
      <c r="AC498" s="276">
        <f>AC193*'OLD Formulas'!$C10</f>
        <v>89.7</v>
      </c>
      <c r="AD498" s="276">
        <f>AD193*'OLD Formulas'!$C10</f>
        <v>59.8</v>
      </c>
      <c r="AE498" s="276">
        <f>AE193*'OLD Formulas'!$C10</f>
        <v>125.58</v>
      </c>
      <c r="AF498" s="276">
        <f>AF193*'OLD Formulas'!$C10</f>
        <v>83.72</v>
      </c>
      <c r="AG498" s="360">
        <f t="shared" si="204"/>
        <v>5298.28</v>
      </c>
    </row>
    <row r="499">
      <c r="A499" s="337" t="s">
        <v>955</v>
      </c>
      <c r="B499" s="276">
        <f>B498*'OLD Formulas'!$C37</f>
        <v>14.8005</v>
      </c>
      <c r="C499" s="276">
        <f>C498*'OLD Formulas'!$C37</f>
        <v>19.2855</v>
      </c>
      <c r="D499" s="276">
        <f>D498*'OLD Formulas'!$C37</f>
        <v>9.867</v>
      </c>
      <c r="E499" s="276">
        <f>E498*'OLD Formulas'!$C37</f>
        <v>15.249</v>
      </c>
      <c r="F499" s="276">
        <f>F498*'OLD Formulas'!$C37</f>
        <v>9.4185</v>
      </c>
      <c r="G499" s="276">
        <f>G498*'OLD Formulas'!$C37</f>
        <v>12.1095</v>
      </c>
      <c r="H499" s="276">
        <f>H498*'OLD Formulas'!$C37</f>
        <v>8.5215</v>
      </c>
      <c r="I499" s="276">
        <f>I498*'OLD Formulas'!$C37</f>
        <v>17.043</v>
      </c>
      <c r="J499" s="276">
        <f>J498*'OLD Formulas'!$C37</f>
        <v>17.043</v>
      </c>
      <c r="K499" s="276">
        <f>K498*'OLD Formulas'!$C37</f>
        <v>16.146</v>
      </c>
      <c r="L499" s="276">
        <f>L498*'OLD Formulas'!$C37</f>
        <v>11.2125</v>
      </c>
      <c r="M499" s="276">
        <f>M498*'OLD Formulas'!$C37</f>
        <v>11.2125</v>
      </c>
      <c r="N499" s="276">
        <f>N498*'OLD Formulas'!$C37</f>
        <v>24.6675</v>
      </c>
      <c r="O499" s="276">
        <f>O498*'OLD Formulas'!$C37</f>
        <v>21.0795</v>
      </c>
      <c r="P499" s="276">
        <f>P498*'OLD Formulas'!$C37</f>
        <v>21.528</v>
      </c>
      <c r="Q499" s="276">
        <f>Q498*'OLD Formulas'!$C37</f>
        <v>16.146</v>
      </c>
      <c r="R499" s="276">
        <f>R498*'OLD Formulas'!$C37</f>
        <v>8.073</v>
      </c>
      <c r="S499" s="276">
        <f>S498*'OLD Formulas'!$C37</f>
        <v>14.352</v>
      </c>
      <c r="T499" s="276">
        <f>T498*'OLD Formulas'!$C37</f>
        <v>13.455</v>
      </c>
      <c r="U499" s="276">
        <f>U498*'OLD Formulas'!$C37</f>
        <v>14.8005</v>
      </c>
      <c r="V499" s="276">
        <f>V498*'OLD Formulas'!$C37</f>
        <v>15.249</v>
      </c>
      <c r="W499" s="276">
        <f>W498*'OLD Formulas'!$C37</f>
        <v>12.558</v>
      </c>
      <c r="X499" s="276">
        <f>X498*'OLD Formulas'!$C37</f>
        <v>15.6975</v>
      </c>
      <c r="Y499" s="276">
        <f>Y498*'OLD Formulas'!$C37</f>
        <v>8.97</v>
      </c>
      <c r="Z499" s="276">
        <f>Z498*'OLD Formulas'!$C37</f>
        <v>5.8305</v>
      </c>
      <c r="AA499" s="276">
        <f>AA498*'OLD Formulas'!$C37</f>
        <v>9.867</v>
      </c>
      <c r="AB499" s="276">
        <f>AB498*'OLD Formulas'!$C37</f>
        <v>6.279</v>
      </c>
      <c r="AC499" s="276">
        <f>AC498*'OLD Formulas'!$C37</f>
        <v>6.7275</v>
      </c>
      <c r="AD499" s="276">
        <f>AD498*'OLD Formulas'!$C37</f>
        <v>4.485</v>
      </c>
      <c r="AE499" s="276">
        <f>AE498*'OLD Formulas'!$C37</f>
        <v>9.4185</v>
      </c>
      <c r="AF499" s="276">
        <f>AF498*'OLD Formulas'!$C37</f>
        <v>6.279</v>
      </c>
      <c r="AG499" s="360">
        <f t="shared" si="204"/>
        <v>397.371</v>
      </c>
    </row>
    <row r="500">
      <c r="A500" s="337" t="s">
        <v>965</v>
      </c>
      <c r="B500" s="276">
        <f>B498*'OLD Formulas'!$C36</f>
        <v>6.70956</v>
      </c>
      <c r="C500" s="276">
        <f>C498*'OLD Formulas'!$C36</f>
        <v>8.74276</v>
      </c>
      <c r="D500" s="276">
        <f>D498*'OLD Formulas'!$C36</f>
        <v>4.47304</v>
      </c>
      <c r="E500" s="276">
        <f>E498*'OLD Formulas'!$C36</f>
        <v>6.91288</v>
      </c>
      <c r="F500" s="276">
        <f>F498*'OLD Formulas'!$C36</f>
        <v>4.26972</v>
      </c>
      <c r="G500" s="276">
        <f>G498*'OLD Formulas'!$C36</f>
        <v>5.48964</v>
      </c>
      <c r="H500" s="276">
        <f>H498*'OLD Formulas'!$C36</f>
        <v>3.86308</v>
      </c>
      <c r="I500" s="276">
        <f>I498*'OLD Formulas'!$C36</f>
        <v>7.72616</v>
      </c>
      <c r="J500" s="276">
        <f>J498*'OLD Formulas'!$C36</f>
        <v>7.72616</v>
      </c>
      <c r="K500" s="276">
        <f>K498*'OLD Formulas'!$C36</f>
        <v>7.31952</v>
      </c>
      <c r="L500" s="276">
        <f>L498*'OLD Formulas'!$C36</f>
        <v>5.083</v>
      </c>
      <c r="M500" s="276">
        <f>M498*'OLD Formulas'!$C36</f>
        <v>5.083</v>
      </c>
      <c r="N500" s="276">
        <f>N498*'OLD Formulas'!$C36</f>
        <v>11.1826</v>
      </c>
      <c r="O500" s="276">
        <f>O498*'OLD Formulas'!$C36</f>
        <v>9.55604</v>
      </c>
      <c r="P500" s="276">
        <f>P498*'OLD Formulas'!$C36</f>
        <v>9.75936</v>
      </c>
      <c r="Q500" s="276">
        <f>Q498*'OLD Formulas'!$C36</f>
        <v>7.31952</v>
      </c>
      <c r="R500" s="276">
        <f>R498*'OLD Formulas'!$C36</f>
        <v>3.65976</v>
      </c>
      <c r="S500" s="276">
        <f>S498*'OLD Formulas'!$C36</f>
        <v>6.50624</v>
      </c>
      <c r="T500" s="276">
        <f>T498*'OLD Formulas'!$C36</f>
        <v>6.0996</v>
      </c>
      <c r="U500" s="276">
        <f>U498*'OLD Formulas'!$C36</f>
        <v>6.70956</v>
      </c>
      <c r="V500" s="276">
        <f>V498*'OLD Formulas'!$C36</f>
        <v>6.91288</v>
      </c>
      <c r="W500" s="276">
        <f>W498*'OLD Formulas'!$C36</f>
        <v>5.69296</v>
      </c>
      <c r="X500" s="276">
        <f>X498*'OLD Formulas'!$C36</f>
        <v>7.1162</v>
      </c>
      <c r="Y500" s="276">
        <f>Y498*'OLD Formulas'!$C36</f>
        <v>4.0664</v>
      </c>
      <c r="Z500" s="276">
        <f>Z498*'OLD Formulas'!$C36</f>
        <v>2.64316</v>
      </c>
      <c r="AA500" s="276">
        <f>AA498*'OLD Formulas'!$C36</f>
        <v>4.47304</v>
      </c>
      <c r="AB500" s="276">
        <f>AB498*'OLD Formulas'!$C36</f>
        <v>2.84648</v>
      </c>
      <c r="AC500" s="276">
        <f>AC498*'OLD Formulas'!$C36</f>
        <v>3.0498</v>
      </c>
      <c r="AD500" s="276">
        <f>AD498*'OLD Formulas'!$C36</f>
        <v>2.0332</v>
      </c>
      <c r="AE500" s="276">
        <f>AE498*'OLD Formulas'!$C36</f>
        <v>4.26972</v>
      </c>
      <c r="AF500" s="276">
        <f>AF498*'OLD Formulas'!$C36</f>
        <v>2.84648</v>
      </c>
      <c r="AG500" s="360">
        <f t="shared" si="204"/>
        <v>180.14152</v>
      </c>
    </row>
    <row r="501">
      <c r="A501" s="346" t="s">
        <v>967</v>
      </c>
      <c r="B501" s="276">
        <f>B194*'OLD Formulas'!$C6</f>
        <v>189</v>
      </c>
      <c r="C501" s="276">
        <f>C194*'OLD Formulas'!$C6</f>
        <v>199.5</v>
      </c>
      <c r="D501" s="276">
        <f>D194*'OLD Formulas'!$C6</f>
        <v>189</v>
      </c>
      <c r="E501" s="276">
        <f>E194*'OLD Formulas'!$C6</f>
        <v>241.5</v>
      </c>
      <c r="F501" s="276">
        <f>F194*'OLD Formulas'!$C6</f>
        <v>115.5</v>
      </c>
      <c r="G501" s="276">
        <f>G194*'OLD Formulas'!$C6</f>
        <v>178.5</v>
      </c>
      <c r="H501" s="276">
        <f>H194*'OLD Formulas'!$C6</f>
        <v>189</v>
      </c>
      <c r="I501" s="276">
        <f>I194*'OLD Formulas'!$C6</f>
        <v>241.5</v>
      </c>
      <c r="J501" s="276">
        <f>J194*'OLD Formulas'!$C6</f>
        <v>262.5</v>
      </c>
      <c r="K501" s="276">
        <f>K194*'OLD Formulas'!$C6</f>
        <v>283.5</v>
      </c>
      <c r="L501" s="276">
        <f>L194*'OLD Formulas'!$C6</f>
        <v>126</v>
      </c>
      <c r="M501" s="276">
        <f>M194*'OLD Formulas'!$C6</f>
        <v>147</v>
      </c>
      <c r="N501" s="276">
        <f>N194*'OLD Formulas'!$C6</f>
        <v>367.5</v>
      </c>
      <c r="O501" s="276">
        <f>O194*'OLD Formulas'!$C6</f>
        <v>252</v>
      </c>
      <c r="P501" s="276">
        <f>P194*'OLD Formulas'!$C6</f>
        <v>231</v>
      </c>
      <c r="Q501" s="276">
        <f>Q194*'OLD Formulas'!$C6</f>
        <v>178.5</v>
      </c>
      <c r="R501" s="276">
        <f>R194*'OLD Formulas'!$C6</f>
        <v>157.5</v>
      </c>
      <c r="S501" s="276">
        <f>S194*'OLD Formulas'!$C6</f>
        <v>199.5</v>
      </c>
      <c r="T501" s="276">
        <f>T194*'OLD Formulas'!$C6</f>
        <v>105</v>
      </c>
      <c r="U501" s="276">
        <f>U194*'OLD Formulas'!$C6</f>
        <v>220.5</v>
      </c>
      <c r="V501" s="276">
        <f>V194*'OLD Formulas'!$C6</f>
        <v>168</v>
      </c>
      <c r="W501" s="276">
        <f>W194*'OLD Formulas'!$C6</f>
        <v>168</v>
      </c>
      <c r="X501" s="276">
        <f>X194*'OLD Formulas'!$C6</f>
        <v>210</v>
      </c>
      <c r="Y501" s="276">
        <f>Y194*'OLD Formulas'!$C6</f>
        <v>94.5</v>
      </c>
      <c r="Z501" s="276">
        <f>Z194*'OLD Formulas'!$C6</f>
        <v>178.5</v>
      </c>
      <c r="AA501" s="276">
        <f>AA194*'OLD Formulas'!$C6</f>
        <v>115.5</v>
      </c>
      <c r="AB501" s="276">
        <f>AB194*'OLD Formulas'!$C6</f>
        <v>105</v>
      </c>
      <c r="AC501" s="276">
        <f>AC194*'OLD Formulas'!$C6</f>
        <v>105</v>
      </c>
      <c r="AD501" s="276">
        <f>AD194*'OLD Formulas'!$C6</f>
        <v>210</v>
      </c>
      <c r="AE501" s="276">
        <f>AE194*'OLD Formulas'!$C6</f>
        <v>147</v>
      </c>
      <c r="AF501" s="276">
        <f>AF194*'OLD Formulas'!$C6</f>
        <v>94.5</v>
      </c>
      <c r="AG501" s="360">
        <f t="shared" si="204"/>
        <v>5670</v>
      </c>
    </row>
    <row r="502">
      <c r="A502" s="337" t="s">
        <v>971</v>
      </c>
      <c r="B502" s="276">
        <f>B501*'OLD Formulas'!$C40</f>
        <v>14.175</v>
      </c>
      <c r="C502" s="276">
        <f>C501*'OLD Formulas'!$C40</f>
        <v>14.9625</v>
      </c>
      <c r="D502" s="276">
        <f>D501*'OLD Formulas'!$C40</f>
        <v>14.175</v>
      </c>
      <c r="E502" s="276">
        <f>E501*'OLD Formulas'!$C40</f>
        <v>18.1125</v>
      </c>
      <c r="F502" s="276">
        <f>F501*'OLD Formulas'!$C40</f>
        <v>8.6625</v>
      </c>
      <c r="G502" s="276">
        <f>G501*'OLD Formulas'!$C40</f>
        <v>13.3875</v>
      </c>
      <c r="H502" s="276">
        <f>H501*'OLD Formulas'!$C40</f>
        <v>14.175</v>
      </c>
      <c r="I502" s="276">
        <f>I501*'OLD Formulas'!$C40</f>
        <v>18.1125</v>
      </c>
      <c r="J502" s="276">
        <f>J501*'OLD Formulas'!$C40</f>
        <v>19.6875</v>
      </c>
      <c r="K502" s="276">
        <f>K501*'OLD Formulas'!$C40</f>
        <v>21.2625</v>
      </c>
      <c r="L502" s="276">
        <f>L501*'OLD Formulas'!$C40</f>
        <v>9.45</v>
      </c>
      <c r="M502" s="276">
        <f>M501*'OLD Formulas'!$C40</f>
        <v>11.025</v>
      </c>
      <c r="N502" s="276">
        <f>N501*'OLD Formulas'!$C40</f>
        <v>27.5625</v>
      </c>
      <c r="O502" s="276">
        <f>O501*'OLD Formulas'!$C40</f>
        <v>18.9</v>
      </c>
      <c r="P502" s="276">
        <f>P501*'OLD Formulas'!$C40</f>
        <v>17.325</v>
      </c>
      <c r="Q502" s="276">
        <f>Q501*'OLD Formulas'!$C40</f>
        <v>13.3875</v>
      </c>
      <c r="R502" s="276">
        <f>R501*'OLD Formulas'!$C40</f>
        <v>11.8125</v>
      </c>
      <c r="S502" s="276">
        <f>S501*'OLD Formulas'!$C40</f>
        <v>14.9625</v>
      </c>
      <c r="T502" s="276">
        <f>T501*'OLD Formulas'!$C40</f>
        <v>7.875</v>
      </c>
      <c r="U502" s="276">
        <f>U501*'OLD Formulas'!$C40</f>
        <v>16.5375</v>
      </c>
      <c r="V502" s="276">
        <f>V501*'OLD Formulas'!$C40</f>
        <v>12.6</v>
      </c>
      <c r="W502" s="276">
        <f>W501*'OLD Formulas'!$C40</f>
        <v>12.6</v>
      </c>
      <c r="X502" s="276">
        <f>X501*'OLD Formulas'!$C40</f>
        <v>15.75</v>
      </c>
      <c r="Y502" s="276">
        <f>Y501*'OLD Formulas'!$C40</f>
        <v>7.0875</v>
      </c>
      <c r="Z502" s="276">
        <f>Z501*'OLD Formulas'!$C40</f>
        <v>13.3875</v>
      </c>
      <c r="AA502" s="276">
        <f>AA501*'OLD Formulas'!$C40</f>
        <v>8.6625</v>
      </c>
      <c r="AB502" s="276">
        <f>AB501*'OLD Formulas'!$C40</f>
        <v>7.875</v>
      </c>
      <c r="AC502" s="276">
        <f>AC501*'OLD Formulas'!$C40</f>
        <v>7.875</v>
      </c>
      <c r="AD502" s="276">
        <f>AD501*'OLD Formulas'!$C40</f>
        <v>15.75</v>
      </c>
      <c r="AE502" s="276">
        <f>AE501*'OLD Formulas'!$C40</f>
        <v>11.025</v>
      </c>
      <c r="AF502" s="276">
        <f>AF501*'OLD Formulas'!$C40</f>
        <v>7.0875</v>
      </c>
      <c r="AG502" s="360">
        <f t="shared" si="204"/>
        <v>425.25</v>
      </c>
    </row>
    <row r="503">
      <c r="A503" s="337" t="s">
        <v>963</v>
      </c>
      <c r="B503" s="276">
        <f>B501*'OLD Formulas'!$C41</f>
        <v>4.725</v>
      </c>
      <c r="C503" s="276">
        <f>C501*'OLD Formulas'!$C41</f>
        <v>4.9875</v>
      </c>
      <c r="D503" s="276">
        <f>D501*'OLD Formulas'!$C41</f>
        <v>4.725</v>
      </c>
      <c r="E503" s="276">
        <f>E501*'OLD Formulas'!$C41</f>
        <v>6.0375</v>
      </c>
      <c r="F503" s="276">
        <f>F501*'OLD Formulas'!$C41</f>
        <v>2.8875</v>
      </c>
      <c r="G503" s="276">
        <f>G501*'OLD Formulas'!$C41</f>
        <v>4.4625</v>
      </c>
      <c r="H503" s="276">
        <f>H501*'OLD Formulas'!$C41</f>
        <v>4.725</v>
      </c>
      <c r="I503" s="276">
        <f>I501*'OLD Formulas'!$C41</f>
        <v>6.0375</v>
      </c>
      <c r="J503" s="276">
        <f>J501*'OLD Formulas'!$C41</f>
        <v>6.5625</v>
      </c>
      <c r="K503" s="276">
        <f>K501*'OLD Formulas'!$C41</f>
        <v>7.0875</v>
      </c>
      <c r="L503" s="276">
        <f>L501*'OLD Formulas'!$C41</f>
        <v>3.15</v>
      </c>
      <c r="M503" s="276">
        <f>M501*'OLD Formulas'!$C41</f>
        <v>3.675</v>
      </c>
      <c r="N503" s="276">
        <f>N501*'OLD Formulas'!$C41</f>
        <v>9.1875</v>
      </c>
      <c r="O503" s="276">
        <f>O501*'OLD Formulas'!$C41</f>
        <v>6.3</v>
      </c>
      <c r="P503" s="276">
        <f>P501*'OLD Formulas'!$C41</f>
        <v>5.775</v>
      </c>
      <c r="Q503" s="276">
        <f>Q501*'OLD Formulas'!$C41</f>
        <v>4.4625</v>
      </c>
      <c r="R503" s="276">
        <f>R501*'OLD Formulas'!$C41</f>
        <v>3.9375</v>
      </c>
      <c r="S503" s="276">
        <f>S501*'OLD Formulas'!$C41</f>
        <v>4.9875</v>
      </c>
      <c r="T503" s="276">
        <f>T501*'OLD Formulas'!$C41</f>
        <v>2.625</v>
      </c>
      <c r="U503" s="276">
        <f>U501*'OLD Formulas'!$C41</f>
        <v>5.5125</v>
      </c>
      <c r="V503" s="276">
        <f>V501*'OLD Formulas'!$C41</f>
        <v>4.2</v>
      </c>
      <c r="W503" s="276">
        <f>W501*'OLD Formulas'!$C41</f>
        <v>4.2</v>
      </c>
      <c r="X503" s="276">
        <f>X501*'OLD Formulas'!$C41</f>
        <v>5.25</v>
      </c>
      <c r="Y503" s="276">
        <f>Y501*'OLD Formulas'!$C41</f>
        <v>2.3625</v>
      </c>
      <c r="Z503" s="276">
        <f>Z501*'OLD Formulas'!$C41</f>
        <v>4.4625</v>
      </c>
      <c r="AA503" s="276">
        <f>AA501*'OLD Formulas'!$C41</f>
        <v>2.8875</v>
      </c>
      <c r="AB503" s="276">
        <f>AB501*'OLD Formulas'!$C41</f>
        <v>2.625</v>
      </c>
      <c r="AC503" s="276">
        <f>AC501*'OLD Formulas'!$C41</f>
        <v>2.625</v>
      </c>
      <c r="AD503" s="276">
        <f>AD501*'OLD Formulas'!$C41</f>
        <v>5.25</v>
      </c>
      <c r="AE503" s="276">
        <f>AE501*'OLD Formulas'!$C41</f>
        <v>3.675</v>
      </c>
      <c r="AF503" s="276">
        <f>AF501*'OLD Formulas'!$C41</f>
        <v>2.3625</v>
      </c>
      <c r="AG503" s="360">
        <f t="shared" si="204"/>
        <v>141.75</v>
      </c>
    </row>
    <row r="504">
      <c r="A504" s="337" t="s">
        <v>491</v>
      </c>
      <c r="B504" s="276">
        <f t="shared" ref="B504:AF504" si="205">(B132*0.2059)*0.0349+(B132*0.1138)*0.0499+(B132*0.0277)*0.05+(B132*0.5015)*0.0215+(B132*0.1511)*0.0315</f>
        <v>1182.478758</v>
      </c>
      <c r="C504" s="276">
        <f t="shared" si="205"/>
        <v>1345.745626</v>
      </c>
      <c r="D504" s="276">
        <f t="shared" si="205"/>
        <v>1159.737172</v>
      </c>
      <c r="E504" s="276">
        <f t="shared" si="205"/>
        <v>1249.847311</v>
      </c>
      <c r="F504" s="276">
        <f t="shared" si="205"/>
        <v>1194.959878</v>
      </c>
      <c r="G504" s="276">
        <f t="shared" si="205"/>
        <v>1314.928477</v>
      </c>
      <c r="H504" s="276">
        <f t="shared" si="205"/>
        <v>1352.505599</v>
      </c>
      <c r="I504" s="276">
        <f t="shared" si="205"/>
        <v>1607.075454</v>
      </c>
      <c r="J504" s="276">
        <f t="shared" si="205"/>
        <v>1516.332546</v>
      </c>
      <c r="K504" s="276">
        <f t="shared" si="205"/>
        <v>1444.493491</v>
      </c>
      <c r="L504" s="276">
        <f t="shared" si="205"/>
        <v>1423.128269</v>
      </c>
      <c r="M504" s="276">
        <f t="shared" si="205"/>
        <v>1451.741448</v>
      </c>
      <c r="N504" s="276">
        <f t="shared" si="205"/>
        <v>2287.24389</v>
      </c>
      <c r="O504" s="276">
        <f t="shared" si="205"/>
        <v>2049.719202</v>
      </c>
      <c r="P504" s="276">
        <f t="shared" si="205"/>
        <v>1765.59893</v>
      </c>
      <c r="Q504" s="276">
        <f t="shared" si="205"/>
        <v>1749.144825</v>
      </c>
      <c r="R504" s="276">
        <f t="shared" si="205"/>
        <v>956.5465115</v>
      </c>
      <c r="S504" s="276">
        <f t="shared" si="205"/>
        <v>1721.725389</v>
      </c>
      <c r="T504" s="276">
        <f t="shared" si="205"/>
        <v>1250.035295</v>
      </c>
      <c r="U504" s="276">
        <f t="shared" si="205"/>
        <v>1457.836179</v>
      </c>
      <c r="V504" s="276">
        <f t="shared" si="205"/>
        <v>1308.437818</v>
      </c>
      <c r="W504" s="276">
        <f t="shared" si="205"/>
        <v>1306.528783</v>
      </c>
      <c r="X504" s="276">
        <f t="shared" si="205"/>
        <v>1163.246305</v>
      </c>
      <c r="Y504" s="276">
        <f t="shared" si="205"/>
        <v>931.8401807</v>
      </c>
      <c r="Z504" s="276">
        <f t="shared" si="205"/>
        <v>965.7773861</v>
      </c>
      <c r="AA504" s="276">
        <f t="shared" si="205"/>
        <v>905.5852913</v>
      </c>
      <c r="AB504" s="276">
        <f t="shared" si="205"/>
        <v>1026.981794</v>
      </c>
      <c r="AC504" s="276">
        <f t="shared" si="205"/>
        <v>942.6071014</v>
      </c>
      <c r="AD504" s="276">
        <f t="shared" si="205"/>
        <v>891.7096349</v>
      </c>
      <c r="AE504" s="276">
        <f t="shared" si="205"/>
        <v>927.0792123</v>
      </c>
      <c r="AF504" s="276">
        <f t="shared" si="205"/>
        <v>1013.589354</v>
      </c>
      <c r="AG504" s="360">
        <f t="shared" si="204"/>
        <v>40864.20711</v>
      </c>
    </row>
    <row r="505">
      <c r="A505" s="337" t="s">
        <v>493</v>
      </c>
      <c r="B505" s="276">
        <f t="shared" ref="B505:AF505" si="206">(B125*0.2059)*0.49+(B125*0.1138)*0.49+(B125*0.0277)*0.3+(B125*0.5015)*0.3+(B125*0.1511)*0.3</f>
        <v>62.408539</v>
      </c>
      <c r="C505" s="276">
        <f t="shared" si="206"/>
        <v>65.294483</v>
      </c>
      <c r="D505" s="276">
        <f t="shared" si="206"/>
        <v>57.358137</v>
      </c>
      <c r="E505" s="276">
        <f t="shared" si="206"/>
        <v>66.376712</v>
      </c>
      <c r="F505" s="276">
        <f t="shared" si="206"/>
        <v>61.687053</v>
      </c>
      <c r="G505" s="276">
        <f t="shared" si="206"/>
        <v>67.458941</v>
      </c>
      <c r="H505" s="276">
        <f t="shared" si="206"/>
        <v>69.623399</v>
      </c>
      <c r="I505" s="276">
        <f t="shared" si="206"/>
        <v>85.135348</v>
      </c>
      <c r="J505" s="276">
        <f t="shared" si="206"/>
        <v>77.920488</v>
      </c>
      <c r="K505" s="276">
        <f t="shared" si="206"/>
        <v>77.199002</v>
      </c>
      <c r="L505" s="276">
        <f t="shared" si="206"/>
        <v>73.591572</v>
      </c>
      <c r="M505" s="276">
        <f t="shared" si="206"/>
        <v>71.427114</v>
      </c>
      <c r="N505" s="276">
        <f t="shared" si="206"/>
        <v>117.602218</v>
      </c>
      <c r="O505" s="276">
        <f t="shared" si="206"/>
        <v>103.893984</v>
      </c>
      <c r="P505" s="276">
        <f t="shared" si="206"/>
        <v>90.907236</v>
      </c>
      <c r="Q505" s="276">
        <f t="shared" si="206"/>
        <v>89.825007</v>
      </c>
      <c r="R505" s="276">
        <f t="shared" si="206"/>
        <v>53.029221</v>
      </c>
      <c r="S505" s="276">
        <f t="shared" si="206"/>
        <v>84.413862</v>
      </c>
      <c r="T505" s="276">
        <f t="shared" si="206"/>
        <v>62.047796</v>
      </c>
      <c r="U505" s="276">
        <f t="shared" si="206"/>
        <v>71.427114</v>
      </c>
      <c r="V505" s="276">
        <f t="shared" si="206"/>
        <v>67.819684</v>
      </c>
      <c r="W505" s="276">
        <f t="shared" si="206"/>
        <v>67.458941</v>
      </c>
      <c r="X505" s="276">
        <f t="shared" si="206"/>
        <v>61.687053</v>
      </c>
      <c r="Y505" s="276">
        <f t="shared" si="206"/>
        <v>45.453618</v>
      </c>
      <c r="Z505" s="276">
        <f t="shared" si="206"/>
        <v>46.535847</v>
      </c>
      <c r="AA505" s="276">
        <f t="shared" si="206"/>
        <v>41.124702</v>
      </c>
      <c r="AB505" s="276">
        <f t="shared" si="206"/>
        <v>46.175104</v>
      </c>
      <c r="AC505" s="276">
        <f t="shared" si="206"/>
        <v>46.89659</v>
      </c>
      <c r="AD505" s="276">
        <f t="shared" si="206"/>
        <v>45.453618</v>
      </c>
      <c r="AE505" s="276">
        <f t="shared" si="206"/>
        <v>46.175104</v>
      </c>
      <c r="AF505" s="276">
        <f t="shared" si="206"/>
        <v>47.257333</v>
      </c>
      <c r="AG505" s="360">
        <f t="shared" si="204"/>
        <v>2070.66482</v>
      </c>
    </row>
    <row r="506">
      <c r="A506" s="337" t="s">
        <v>966</v>
      </c>
      <c r="B506" s="1038">
        <f>(B485+B487+B489+B492+B495+B498+B501)*'OLD Formulas'!$C38</f>
        <v>14.832825</v>
      </c>
      <c r="C506" s="1038">
        <f>(C485+C487+C489+C492+C495+C498+C501)*'OLD Formulas'!$C38</f>
        <v>17.2087625</v>
      </c>
      <c r="D506" s="1038">
        <f>(D485+D487+D489+D492+D495+D498+D501)*'OLD Formulas'!$C38</f>
        <v>15.335275</v>
      </c>
      <c r="E506" s="1038">
        <f>(E485+E487+E489+E492+E495+E498+E501)*'OLD Formulas'!$C38</f>
        <v>16.6415625</v>
      </c>
      <c r="F506" s="1038">
        <f>(F485+F487+F489+F492+F495+F498+F501)*'OLD Formulas'!$C38</f>
        <v>15.6743</v>
      </c>
      <c r="G506" s="1038">
        <f>(G485+G487+G489+G492+G495+G498+G501)*'OLD Formulas'!$C38</f>
        <v>17.2076375</v>
      </c>
      <c r="H506" s="1038">
        <f>(H485+H487+H489+H492+H495+H498+H501)*'OLD Formulas'!$C38</f>
        <v>18.825825</v>
      </c>
      <c r="I506" s="1038">
        <f>(I485+I487+I489+I492+I495+I498+I501)*'OLD Formulas'!$C38</f>
        <v>21.5916125</v>
      </c>
      <c r="J506" s="1038">
        <f>(J485+J487+J489+J492+J495+J498+J501)*'OLD Formulas'!$C38</f>
        <v>20.1659375</v>
      </c>
      <c r="K506" s="1038">
        <f>(K485+K487+K489+K492+K495+K498+K501)*'OLD Formulas'!$C38</f>
        <v>19.21055</v>
      </c>
      <c r="L506" s="1038">
        <f>(L485+L487+L489+L492+L495+L498+L501)*'OLD Formulas'!$C38</f>
        <v>19.867425</v>
      </c>
      <c r="M506" s="1038">
        <f>(M485+M487+M489+M492+M495+M498+M501)*'OLD Formulas'!$C38</f>
        <v>20.3658125</v>
      </c>
      <c r="N506" s="1038">
        <f>(N485+N487+N489+N492+N495+N498+N501)*'OLD Formulas'!$C38</f>
        <v>32.7151125</v>
      </c>
      <c r="O506" s="1038">
        <f>(O485+O487+O489+O492+O495+O498+O501)*'OLD Formulas'!$C38</f>
        <v>29.5346</v>
      </c>
      <c r="P506" s="1038">
        <f>(P485+P487+P489+P492+P495+P498+P501)*'OLD Formulas'!$C38</f>
        <v>24.834675</v>
      </c>
      <c r="Q506" s="1038">
        <f>(Q485+Q487+Q489+Q492+Q495+Q498+Q501)*'OLD Formulas'!$C38</f>
        <v>24.629625</v>
      </c>
      <c r="R506" s="1038">
        <f>(R485+R487+R489+R492+R495+R498+R501)*'OLD Formulas'!$C38</f>
        <v>12.985525</v>
      </c>
      <c r="S506" s="1038">
        <f>(S485+S487+S489+S492+S495+S498+S501)*'OLD Formulas'!$C38</f>
        <v>23.3147625</v>
      </c>
      <c r="T506" s="1038">
        <f>(T485+T487+T489+T492+T495+T498+T501)*'OLD Formulas'!$C38</f>
        <v>17.10625</v>
      </c>
      <c r="U506" s="1038">
        <f>(U485+U487+U489+U492+U495+U498+U501)*'OLD Formulas'!$C38</f>
        <v>19.263675</v>
      </c>
      <c r="V506" s="1038">
        <f>(V485+V487+V489+V492+V495+V498+V501)*'OLD Formulas'!$C38</f>
        <v>16.9439</v>
      </c>
      <c r="W506" s="1038">
        <f>(W485+W487+W489+W492+W495+W498+W501)*'OLD Formulas'!$C38</f>
        <v>16.5105</v>
      </c>
      <c r="X506" s="1038">
        <f>(X485+X487+X489+X492+X495+X498+X501)*'OLD Formulas'!$C38</f>
        <v>14.3603625</v>
      </c>
      <c r="Y506" s="1038">
        <f>(Y485+Y487+Y489+Y492+Y495+Y498+Y501)*'OLD Formulas'!$C38</f>
        <v>10.25685</v>
      </c>
      <c r="Z506" s="1038">
        <f>(Z485+Z487+Z489+Z492+Z495+Z498+Z501)*'OLD Formulas'!$C38</f>
        <v>12.2342375</v>
      </c>
      <c r="AA506" s="1038">
        <f>(AA485+AA487+AA489+AA492+AA495+AA498+AA501)*'OLD Formulas'!$C38</f>
        <v>11.590775</v>
      </c>
      <c r="AB506" s="1038">
        <f>(AB485+AB487+AB489+AB492+AB495+AB498+AB501)*'OLD Formulas'!$C38</f>
        <v>13.1747375</v>
      </c>
      <c r="AC506" s="1038">
        <f>(AC485+AC487+AC489+AC492+AC495+AC498+AC501)*'OLD Formulas'!$C38</f>
        <v>11.6843375</v>
      </c>
      <c r="AD506" s="1038">
        <f>(AD485+AD487+AD489+AD492+AD495+AD498+AD501)*'OLD Formulas'!$C38</f>
        <v>11.418625</v>
      </c>
      <c r="AE506" s="1038">
        <f>(AE485+AE487+AE489+AE492+AE495+AE498+AE501)*'OLD Formulas'!$C38</f>
        <v>11.2705625</v>
      </c>
      <c r="AF506" s="1038">
        <f>(AF485+AF487+AF489+AF492+AF495+AF498+AF501)*'OLD Formulas'!$C38</f>
        <v>11.954675</v>
      </c>
      <c r="AG506" s="360">
        <f t="shared" si="204"/>
        <v>542.7113125</v>
      </c>
    </row>
    <row r="507">
      <c r="A507" s="337" t="s">
        <v>969</v>
      </c>
      <c r="B507" s="1038">
        <f t="shared" ref="B507:AF507" si="207">$AG507/31</f>
        <v>17.36774194</v>
      </c>
      <c r="C507" s="1038">
        <f t="shared" si="207"/>
        <v>17.36774194</v>
      </c>
      <c r="D507" s="1038">
        <f t="shared" si="207"/>
        <v>17.36774194</v>
      </c>
      <c r="E507" s="1038">
        <f t="shared" si="207"/>
        <v>17.36774194</v>
      </c>
      <c r="F507" s="1038">
        <f t="shared" si="207"/>
        <v>17.36774194</v>
      </c>
      <c r="G507" s="1038">
        <f t="shared" si="207"/>
        <v>17.36774194</v>
      </c>
      <c r="H507" s="1038">
        <f t="shared" si="207"/>
        <v>17.36774194</v>
      </c>
      <c r="I507" s="1038">
        <f t="shared" si="207"/>
        <v>17.36774194</v>
      </c>
      <c r="J507" s="1038">
        <f t="shared" si="207"/>
        <v>17.36774194</v>
      </c>
      <c r="K507" s="1038">
        <f t="shared" si="207"/>
        <v>17.36774194</v>
      </c>
      <c r="L507" s="1038">
        <f t="shared" si="207"/>
        <v>17.36774194</v>
      </c>
      <c r="M507" s="1038">
        <f t="shared" si="207"/>
        <v>17.36774194</v>
      </c>
      <c r="N507" s="1038">
        <f t="shared" si="207"/>
        <v>17.36774194</v>
      </c>
      <c r="O507" s="1038">
        <f t="shared" si="207"/>
        <v>17.36774194</v>
      </c>
      <c r="P507" s="1038">
        <f t="shared" si="207"/>
        <v>17.36774194</v>
      </c>
      <c r="Q507" s="1038">
        <f t="shared" si="207"/>
        <v>17.36774194</v>
      </c>
      <c r="R507" s="1038">
        <f t="shared" si="207"/>
        <v>17.36774194</v>
      </c>
      <c r="S507" s="1038">
        <f t="shared" si="207"/>
        <v>17.36774194</v>
      </c>
      <c r="T507" s="1038">
        <f t="shared" si="207"/>
        <v>17.36774194</v>
      </c>
      <c r="U507" s="1038">
        <f t="shared" si="207"/>
        <v>17.36774194</v>
      </c>
      <c r="V507" s="1038">
        <f t="shared" si="207"/>
        <v>17.36774194</v>
      </c>
      <c r="W507" s="1038">
        <f t="shared" si="207"/>
        <v>17.36774194</v>
      </c>
      <c r="X507" s="1038">
        <f t="shared" si="207"/>
        <v>17.36774194</v>
      </c>
      <c r="Y507" s="1038">
        <f t="shared" si="207"/>
        <v>17.36774194</v>
      </c>
      <c r="Z507" s="1038">
        <f t="shared" si="207"/>
        <v>17.36774194</v>
      </c>
      <c r="AA507" s="1038">
        <f t="shared" si="207"/>
        <v>17.36774194</v>
      </c>
      <c r="AB507" s="1038">
        <f t="shared" si="207"/>
        <v>17.36774194</v>
      </c>
      <c r="AC507" s="1038">
        <f t="shared" si="207"/>
        <v>17.36774194</v>
      </c>
      <c r="AD507" s="1038">
        <f t="shared" si="207"/>
        <v>17.36774194</v>
      </c>
      <c r="AE507" s="1038">
        <f t="shared" si="207"/>
        <v>17.36774194</v>
      </c>
      <c r="AF507" s="1038">
        <f t="shared" si="207"/>
        <v>17.36774194</v>
      </c>
      <c r="AG507" s="1041">
        <v>538.4</v>
      </c>
    </row>
    <row r="508">
      <c r="A508" s="337" t="s">
        <v>978</v>
      </c>
      <c r="B508" s="276">
        <f>((B441+B442)*'OLD Formulas'!$C13)+((B443+B444)*'OLD Formulas'!$C14)+((B445+B446)*'OLD Formulas'!$C15)</f>
        <v>1504.44</v>
      </c>
      <c r="C508" s="276">
        <f>((C441+C442)*'OLD Formulas'!$C13)+((C443+C444)*'OLD Formulas'!$C14)+((C445+C446)*'OLD Formulas'!$C15)</f>
        <v>1767.12</v>
      </c>
      <c r="D508" s="276">
        <f>((D441+D442)*'OLD Formulas'!$C13)+((D443+D444)*'OLD Formulas'!$C14)+((D445+D446)*'OLD Formulas'!$C15)</f>
        <v>1599.96</v>
      </c>
      <c r="E508" s="276">
        <f>((E441+E442)*'OLD Formulas'!$C13)+((E443+E444)*'OLD Formulas'!$C14)+((E445+E446)*'OLD Formulas'!$C15)</f>
        <v>1707.42</v>
      </c>
      <c r="F508" s="276">
        <f>((F441+F442)*'OLD Formulas'!$C13)+((F443+F444)*'OLD Formulas'!$C14)+((F445+F446)*'OLD Formulas'!$C15)</f>
        <v>1647.72</v>
      </c>
      <c r="G508" s="276">
        <f>((G441+G442)*'OLD Formulas'!$C13)+((G443+G444)*'OLD Formulas'!$C14)+((G445+G446)*'OLD Formulas'!$C15)</f>
        <v>1791</v>
      </c>
      <c r="H508" s="276">
        <f>((H441+H442)*'OLD Formulas'!$C13)+((H443+H444)*'OLD Formulas'!$C14)+((H445+H446)*'OLD Formulas'!$C15)</f>
        <v>1958.16</v>
      </c>
      <c r="I508" s="276">
        <f>((I441+I442)*'OLD Formulas'!$C13)+((I443+I444)*'OLD Formulas'!$C14)+((I445+I446)*'OLD Formulas'!$C15)</f>
        <v>2196.96</v>
      </c>
      <c r="J508" s="276">
        <f>((J441+J442)*'OLD Formulas'!$C13)+((J443+J444)*'OLD Formulas'!$C14)+((J445+J446)*'OLD Formulas'!$C15)</f>
        <v>2065.62</v>
      </c>
      <c r="K508" s="276">
        <f>((K441+K442)*'OLD Formulas'!$C13)+((K443+K444)*'OLD Formulas'!$C14)+((K445+K446)*'OLD Formulas'!$C15)</f>
        <v>1982.04</v>
      </c>
      <c r="L508" s="276">
        <f>((L441+L442)*'OLD Formulas'!$C13)+((L443+L444)*'OLD Formulas'!$C14)+((L445+L446)*'OLD Formulas'!$C15)</f>
        <v>2077.56</v>
      </c>
      <c r="M508" s="276">
        <f>((M441+M442)*'OLD Formulas'!$C13)+((M443+M444)*'OLD Formulas'!$C14)+((M445+M446)*'OLD Formulas'!$C15)</f>
        <v>2125.32</v>
      </c>
      <c r="N508" s="276">
        <f>((N441+N442)*'OLD Formulas'!$C13)+((N443+N444)*'OLD Formulas'!$C14)+((N445+N446)*'OLD Formulas'!$C15)</f>
        <v>3343.2</v>
      </c>
      <c r="O508" s="276">
        <f>((O441+O442)*'OLD Formulas'!$C13)+((O443+O444)*'OLD Formulas'!$C14)+((O445+O446)*'OLD Formulas'!$C15)</f>
        <v>3068.58</v>
      </c>
      <c r="P508" s="276">
        <f>((P441+P442)*'OLD Formulas'!$C13)+((P443+P444)*'OLD Formulas'!$C14)+((P445+P446)*'OLD Formulas'!$C15)</f>
        <v>2555.16</v>
      </c>
      <c r="Q508" s="276">
        <f>((Q441+Q442)*'OLD Formulas'!$C13)+((Q443+Q444)*'OLD Formulas'!$C14)+((Q445+Q446)*'OLD Formulas'!$C15)</f>
        <v>2567.1</v>
      </c>
      <c r="R508" s="276">
        <f>((R441+R442)*'OLD Formulas'!$C13)+((R443+R444)*'OLD Formulas'!$C14)+((R445+R446)*'OLD Formulas'!$C15)</f>
        <v>1337.28</v>
      </c>
      <c r="S508" s="276">
        <f>((S441+S442)*'OLD Formulas'!$C13)+((S443+S444)*'OLD Formulas'!$C14)+((S445+S446)*'OLD Formulas'!$C15)</f>
        <v>2447.7</v>
      </c>
      <c r="T508" s="276">
        <f>((T441+T442)*'OLD Formulas'!$C13)+((T443+T444)*'OLD Formulas'!$C14)+((T445+T446)*'OLD Formulas'!$C15)</f>
        <v>1767.12</v>
      </c>
      <c r="U508" s="276">
        <f>((U441+U442)*'OLD Formulas'!$C13)+((U443+U444)*'OLD Formulas'!$C14)+((U445+U446)*'OLD Formulas'!$C15)</f>
        <v>2005.92</v>
      </c>
      <c r="V508" s="276">
        <f>((V441+V442)*'OLD Formulas'!$C13)+((V443+V444)*'OLD Formulas'!$C14)+((V445+V446)*'OLD Formulas'!$C15)</f>
        <v>1779.06</v>
      </c>
      <c r="W508" s="276">
        <f>((W441+W442)*'OLD Formulas'!$C13)+((W443+W444)*'OLD Formulas'!$C14)+((W445+W446)*'OLD Formulas'!$C15)</f>
        <v>1683.54</v>
      </c>
      <c r="X508" s="276">
        <f>((X441+X442)*'OLD Formulas'!$C13)+((X443+X444)*'OLD Formulas'!$C14)+((X445+X446)*'OLD Formulas'!$C15)</f>
        <v>1456.68</v>
      </c>
      <c r="Y508" s="276">
        <f>((Y441+Y442)*'OLD Formulas'!$C13)+((Y443+Y444)*'OLD Formulas'!$C14)+((Y445+Y446)*'OLD Formulas'!$C15)</f>
        <v>1086.54</v>
      </c>
      <c r="Z508" s="276">
        <f>((Z441+Z442)*'OLD Formulas'!$C13)+((Z443+Z444)*'OLD Formulas'!$C14)+((Z445+Z446)*'OLD Formulas'!$C15)</f>
        <v>1229.82</v>
      </c>
      <c r="AA508" s="276">
        <f>((AA441+AA442)*'OLD Formulas'!$C13)+((AA443+AA444)*'OLD Formulas'!$C14)+((AA445+AA446)*'OLD Formulas'!$C15)</f>
        <v>1170.12</v>
      </c>
      <c r="AB508" s="276">
        <f>((AB441+AB442)*'OLD Formulas'!$C13)+((AB443+AB444)*'OLD Formulas'!$C14)+((AB445+AB446)*'OLD Formulas'!$C15)</f>
        <v>1396.98</v>
      </c>
      <c r="AC508" s="276">
        <f>((AC441+AC442)*'OLD Formulas'!$C13)+((AC443+AC444)*'OLD Formulas'!$C14)+((AC445+AC446)*'OLD Formulas'!$C15)</f>
        <v>1241.76</v>
      </c>
      <c r="AD508" s="276">
        <f>((AD441+AD442)*'OLD Formulas'!$C13)+((AD443+AD444)*'OLD Formulas'!$C14)+((AD445+AD446)*'OLD Formulas'!$C15)</f>
        <v>1158.18</v>
      </c>
      <c r="AE508" s="276">
        <f>((AE441+AE442)*'OLD Formulas'!$C13)+((AE443+AE444)*'OLD Formulas'!$C14)+((AE445+AE446)*'OLD Formulas'!$C15)</f>
        <v>1194</v>
      </c>
      <c r="AF508" s="276">
        <f>((AF441+AF442)*'OLD Formulas'!$C13)+((AF443+AF444)*'OLD Formulas'!$C14)+((AF445+AF446)*'OLD Formulas'!$C15)</f>
        <v>1289.52</v>
      </c>
      <c r="AG508" s="360">
        <f t="shared" ref="AG508:AG521" si="208">SUM(B508:AF508)</f>
        <v>56201.58</v>
      </c>
    </row>
    <row r="509">
      <c r="A509" s="337" t="s">
        <v>980</v>
      </c>
      <c r="B509" s="1038">
        <f>((B441+B442)*'OLD Formulas'!$C16)+((B443+B444)*'OLD Formulas'!$C17)+((B445+B446)*'OLD Formulas'!$C18)</f>
        <v>1897.56</v>
      </c>
      <c r="C509" s="1038">
        <f>((C441+C442)*'OLD Formulas'!$C16)+((C443+C444)*'OLD Formulas'!$C17)+((C445+C446)*'OLD Formulas'!$C18)</f>
        <v>2233.82</v>
      </c>
      <c r="D509" s="1038">
        <f>((D441+D442)*'OLD Formulas'!$C16)+((D443+D444)*'OLD Formulas'!$C17)+((D445+D446)*'OLD Formulas'!$C18)</f>
        <v>2018.04</v>
      </c>
      <c r="E509" s="1038">
        <f>((E441+E442)*'OLD Formulas'!$C16)+((E443+E444)*'OLD Formulas'!$C17)+((E445+E446)*'OLD Formulas'!$C18)</f>
        <v>2153.58</v>
      </c>
      <c r="F509" s="1038">
        <f>((F441+F442)*'OLD Formulas'!$C16)+((F443+F444)*'OLD Formulas'!$C17)+((F445+F446)*'OLD Formulas'!$C18)</f>
        <v>2078.28</v>
      </c>
      <c r="G509" s="1038">
        <f>((G441+G442)*'OLD Formulas'!$C16)+((G443+G444)*'OLD Formulas'!$C17)+((G445+G446)*'OLD Formulas'!$C18)</f>
        <v>2259</v>
      </c>
      <c r="H509" s="1038">
        <f>((H441+H442)*'OLD Formulas'!$C16)+((H443+H444)*'OLD Formulas'!$C17)+((H445+H446)*'OLD Formulas'!$C18)</f>
        <v>2469.84</v>
      </c>
      <c r="I509" s="1038">
        <f>((I441+I442)*'OLD Formulas'!$C16)+((I443+I444)*'OLD Formulas'!$C17)+((I445+I446)*'OLD Formulas'!$C18)</f>
        <v>2771.04</v>
      </c>
      <c r="J509" s="1038">
        <f>((J441+J442)*'OLD Formulas'!$C16)+((J443+J444)*'OLD Formulas'!$C17)+((J445+J446)*'OLD Formulas'!$C18)</f>
        <v>2605.38</v>
      </c>
      <c r="K509" s="1038">
        <f>((K441+K442)*'OLD Formulas'!$C16)+((K443+K444)*'OLD Formulas'!$C17)+((K445+K446)*'OLD Formulas'!$C18)</f>
        <v>2499.96</v>
      </c>
      <c r="L509" s="1038">
        <f>((L441+L442)*'OLD Formulas'!$C16)+((L443+L444)*'OLD Formulas'!$C17)+((L445+L446)*'OLD Formulas'!$C18)</f>
        <v>2620.44</v>
      </c>
      <c r="M509" s="1038">
        <f>((M441+M442)*'OLD Formulas'!$C16)+((M443+M444)*'OLD Formulas'!$C17)+((M445+M446)*'OLD Formulas'!$C18)</f>
        <v>2680.68</v>
      </c>
      <c r="N509" s="1038">
        <f>((N441+N442)*'OLD Formulas'!$C16)+((N443+N444)*'OLD Formulas'!$C17)+((N445+N446)*'OLD Formulas'!$C18)</f>
        <v>4216.8</v>
      </c>
      <c r="O509" s="1038">
        <f>((O441+O442)*'OLD Formulas'!$C16)+((O443+O444)*'OLD Formulas'!$C17)+((O445+O446)*'OLD Formulas'!$C18)</f>
        <v>3870.42</v>
      </c>
      <c r="P509" s="1038">
        <f>((P441+P442)*'OLD Formulas'!$C16)+((P443+P444)*'OLD Formulas'!$C17)+((P445+P446)*'OLD Formulas'!$C18)</f>
        <v>3222.84</v>
      </c>
      <c r="Q509" s="1038">
        <f>((Q441+Q442)*'OLD Formulas'!$C16)+((Q443+Q444)*'OLD Formulas'!$C17)+((Q445+Q446)*'OLD Formulas'!$C18)</f>
        <v>3237.9</v>
      </c>
      <c r="R509" s="1038">
        <f>((R441+R442)*'OLD Formulas'!$C16)+((R443+R444)*'OLD Formulas'!$C17)+((R445+R446)*'OLD Formulas'!$C18)</f>
        <v>1686.72</v>
      </c>
      <c r="S509" s="1038">
        <f>((S441+S442)*'OLD Formulas'!$C16)+((S443+S444)*'OLD Formulas'!$C17)+((S445+S446)*'OLD Formulas'!$C18)</f>
        <v>3087.3</v>
      </c>
      <c r="T509" s="1038">
        <f>((T441+T442)*'OLD Formulas'!$C16)+((T443+T444)*'OLD Formulas'!$C17)+((T445+T446)*'OLD Formulas'!$C18)</f>
        <v>2228.88</v>
      </c>
      <c r="U509" s="1038">
        <f>((U441+U442)*'OLD Formulas'!$C16)+((U443+U444)*'OLD Formulas'!$C17)+((U445+U446)*'OLD Formulas'!$C18)</f>
        <v>2530.08</v>
      </c>
      <c r="V509" s="1038">
        <f>((V441+V442)*'OLD Formulas'!$C16)+((V443+V444)*'OLD Formulas'!$C17)+((V445+V446)*'OLD Formulas'!$C18)</f>
        <v>2243.94</v>
      </c>
      <c r="W509" s="1038">
        <f>((W441+W442)*'OLD Formulas'!$C16)+((W443+W444)*'OLD Formulas'!$C17)+((W445+W446)*'OLD Formulas'!$C18)</f>
        <v>2123.46</v>
      </c>
      <c r="X509" s="1038">
        <f>((X441+X442)*'OLD Formulas'!$C16)+((X443+X444)*'OLD Formulas'!$C17)+((X445+X446)*'OLD Formulas'!$C18)</f>
        <v>1837.32</v>
      </c>
      <c r="Y509" s="1038">
        <f>((Y441+Y442)*'OLD Formulas'!$C16)+((Y443+Y444)*'OLD Formulas'!$C17)+((Y445+Y446)*'OLD Formulas'!$C18)</f>
        <v>1370.46</v>
      </c>
      <c r="Z509" s="1038">
        <f>((Z441+Z442)*'OLD Formulas'!$C16)+((Z443+Z444)*'OLD Formulas'!$C17)+((Z445+Z446)*'OLD Formulas'!$C18)</f>
        <v>1551.18</v>
      </c>
      <c r="AA509" s="1038">
        <f>((AA441+AA442)*'OLD Formulas'!$C16)+((AA443+AA444)*'OLD Formulas'!$C17)+((AA445+AA446)*'OLD Formulas'!$C18)</f>
        <v>1475.88</v>
      </c>
      <c r="AB509" s="1038">
        <f>((AB441+AB442)*'OLD Formulas'!$C16)+((AB443+AB444)*'OLD Formulas'!$C17)+((AB445+AB446)*'OLD Formulas'!$C18)</f>
        <v>1762.02</v>
      </c>
      <c r="AC509" s="1038">
        <f>((AC441+AC442)*'OLD Formulas'!$C16)+((AC443+AC444)*'OLD Formulas'!$C17)+((AC445+AC446)*'OLD Formulas'!$C18)</f>
        <v>1566.24</v>
      </c>
      <c r="AD509" s="1038">
        <f>((AD441+AD442)*'OLD Formulas'!$C16)+((AD443+AD444)*'OLD Formulas'!$C17)+((AD445+AD446)*'OLD Formulas'!$C18)</f>
        <v>1460.82</v>
      </c>
      <c r="AE509" s="1038">
        <f>((AE441+AE442)*'OLD Formulas'!$C16)+((AE443+AE444)*'OLD Formulas'!$C17)+((AE445+AE446)*'OLD Formulas'!$C18)</f>
        <v>1506</v>
      </c>
      <c r="AF509" s="1038">
        <f>((AF441+AF442)*'OLD Formulas'!$C16)+((AF443+AF444)*'OLD Formulas'!$C17)+((AF445+AF446)*'OLD Formulas'!$C18)</f>
        <v>1626.48</v>
      </c>
      <c r="AG509" s="360">
        <f t="shared" si="208"/>
        <v>70892.36</v>
      </c>
    </row>
    <row r="510">
      <c r="A510" s="337" t="s">
        <v>982</v>
      </c>
      <c r="B510" s="465">
        <f>(B455*'OLD Formulas'!$F13)+(B462*'OLD Formulas'!$F14)+(B469*'OLD Formulas'!$F15)</f>
        <v>179.415</v>
      </c>
      <c r="C510" s="465">
        <f>(C455*'OLD Formulas'!$F13)+(C462*'OLD Formulas'!$F14)+(C469*'OLD Formulas'!$F15)</f>
        <v>215.27</v>
      </c>
      <c r="D510" s="465">
        <f>(D455*'OLD Formulas'!$F13)+(D462*'OLD Formulas'!$F14)+(D469*'OLD Formulas'!$F15)</f>
        <v>133.48</v>
      </c>
      <c r="E510" s="465">
        <f>(E455*'OLD Formulas'!$F13)+(E462*'OLD Formulas'!$F14)+(E469*'OLD Formulas'!$F15)</f>
        <v>170.81</v>
      </c>
      <c r="F510" s="465">
        <f>(F455*'OLD Formulas'!$F13)+(F462*'OLD Formulas'!$F14)+(F469*'OLD Formulas'!$F15)</f>
        <v>142.115</v>
      </c>
      <c r="G510" s="465">
        <f>(G455*'OLD Formulas'!$F13)+(G462*'OLD Formulas'!$F14)+(G469*'OLD Formulas'!$F15)</f>
        <v>149.31</v>
      </c>
      <c r="H510" s="465">
        <f>(H455*'OLD Formulas'!$F13)+(H462*'OLD Formulas'!$F14)+(H469*'OLD Formulas'!$F15)</f>
        <v>144.945</v>
      </c>
      <c r="I510" s="465">
        <f>(I455*'OLD Formulas'!$F13)+(I462*'OLD Formulas'!$F14)+(I469*'OLD Formulas'!$F15)</f>
        <v>232.535</v>
      </c>
      <c r="J510" s="465">
        <f>(J455*'OLD Formulas'!$F13)+(J462*'OLD Formulas'!$F14)+(J469*'OLD Formulas'!$F15)</f>
        <v>229.62</v>
      </c>
      <c r="K510" s="465">
        <f>(K455*'OLD Formulas'!$F13)+(K462*'OLD Formulas'!$F14)+(K469*'OLD Formulas'!$F15)</f>
        <v>219.61</v>
      </c>
      <c r="L510" s="465">
        <f>(L455*'OLD Formulas'!$F13)+(L462*'OLD Formulas'!$F14)+(L469*'OLD Formulas'!$F15)</f>
        <v>165.06</v>
      </c>
      <c r="M510" s="465">
        <f>(M455*'OLD Formulas'!$F13)+(M462*'OLD Formulas'!$F14)+(M469*'OLD Formulas'!$F15)</f>
        <v>155.05</v>
      </c>
      <c r="N510" s="465">
        <f>(N455*'OLD Formulas'!$F13)+(N462*'OLD Formulas'!$F14)+(N469*'OLD Formulas'!$F15)</f>
        <v>317.15</v>
      </c>
      <c r="O510" s="465">
        <f>(O455*'OLD Formulas'!$F13)+(O462*'OLD Formulas'!$F14)+(O469*'OLD Formulas'!$F15)</f>
        <v>251.18</v>
      </c>
      <c r="P510" s="465">
        <f>(P455*'OLD Formulas'!$F13)+(P462*'OLD Formulas'!$F14)+(P469*'OLD Formulas'!$F15)</f>
        <v>278.435</v>
      </c>
      <c r="Q510" s="465">
        <f>(Q455*'OLD Formulas'!$F13)+(Q462*'OLD Formulas'!$F14)+(Q469*'OLD Formulas'!$F15)</f>
        <v>242.58</v>
      </c>
      <c r="R510" s="465">
        <f>(R455*'OLD Formulas'!$F13)+(R462*'OLD Formulas'!$F14)+(R469*'OLD Formulas'!$F15)</f>
        <v>129.165</v>
      </c>
      <c r="S510" s="465">
        <f>(S455*'OLD Formulas'!$F13)+(S462*'OLD Formulas'!$F14)+(S469*'OLD Formulas'!$F15)</f>
        <v>228.185</v>
      </c>
      <c r="T510" s="465">
        <f>(T455*'OLD Formulas'!$F13)+(T462*'OLD Formulas'!$F14)+(T469*'OLD Formulas'!$F15)</f>
        <v>169.345</v>
      </c>
      <c r="U510" s="465">
        <f>(U455*'OLD Formulas'!$F13)+(U462*'OLD Formulas'!$F14)+(U469*'OLD Formulas'!$F15)</f>
        <v>206.69</v>
      </c>
      <c r="V510" s="465">
        <f>(V455*'OLD Formulas'!$F13)+(V462*'OLD Formulas'!$F14)+(V469*'OLD Formulas'!$F15)</f>
        <v>176.56</v>
      </c>
      <c r="W510" s="465">
        <f>(W455*'OLD Formulas'!$F13)+(W462*'OLD Formulas'!$F14)+(W469*'OLD Formulas'!$F15)</f>
        <v>183.72</v>
      </c>
      <c r="X510" s="465">
        <f>(X455*'OLD Formulas'!$F13)+(X462*'OLD Formulas'!$F14)+(X469*'OLD Formulas'!$F15)</f>
        <v>196.62</v>
      </c>
      <c r="Y510" s="465">
        <f>(Y455*'OLD Formulas'!$F13)+(Y462*'OLD Formulas'!$F14)+(Y469*'OLD Formulas'!$F15)</f>
        <v>127.74</v>
      </c>
      <c r="Z510" s="465">
        <f>(Z455*'OLD Formulas'!$F13)+(Z462*'OLD Formulas'!$F14)+(Z469*'OLD Formulas'!$F15)</f>
        <v>119.145</v>
      </c>
      <c r="AA510" s="465">
        <f>(AA455*'OLD Formulas'!$F13)+(AA462*'OLD Formulas'!$F14)+(AA469*'OLD Formulas'!$F15)</f>
        <v>123.5</v>
      </c>
      <c r="AB510" s="465">
        <f>(AB455*'OLD Formulas'!$F13)+(AB462*'OLD Formulas'!$F14)+(AB469*'OLD Formulas'!$F15)</f>
        <v>113.385</v>
      </c>
      <c r="AC510" s="465">
        <f>(AC455*'OLD Formulas'!$F13)+(AC462*'OLD Formulas'!$F14)+(AC469*'OLD Formulas'!$F15)</f>
        <v>97.625</v>
      </c>
      <c r="AD510" s="465">
        <f>(AD455*'OLD Formulas'!$F13)+(AD462*'OLD Formulas'!$F14)+(AD469*'OLD Formulas'!$F15)</f>
        <v>117.71</v>
      </c>
      <c r="AE510" s="465">
        <f>(AE455*'OLD Formulas'!$F13)+(AE462*'OLD Formulas'!$F14)+(AE469*'OLD Formulas'!$F15)</f>
        <v>126.28</v>
      </c>
      <c r="AF510" s="465">
        <f>(AF455*'OLD Formulas'!$F13)+(AF462*'OLD Formulas'!$F14)+(AF469*'OLD Formulas'!$F15)</f>
        <v>100.48</v>
      </c>
      <c r="AG510" s="360">
        <f t="shared" si="208"/>
        <v>5442.715</v>
      </c>
    </row>
    <row r="511">
      <c r="A511" s="337" t="s">
        <v>985</v>
      </c>
      <c r="B511" s="465">
        <f>(B183*'OLD Formulas'!$F16)</f>
        <v>0</v>
      </c>
      <c r="C511" s="465">
        <f>(C183*'OLD Formulas'!$F16)</f>
        <v>0</v>
      </c>
      <c r="D511" s="465">
        <f>(D183*'OLD Formulas'!$F16)</f>
        <v>16.94</v>
      </c>
      <c r="E511" s="465">
        <f>(E183*'OLD Formulas'!$F16)</f>
        <v>42.35</v>
      </c>
      <c r="F511" s="465">
        <f>(F183*'OLD Formulas'!$F16)</f>
        <v>42.35</v>
      </c>
      <c r="G511" s="465">
        <f>(G183*'OLD Formulas'!$F16)</f>
        <v>0</v>
      </c>
      <c r="H511" s="465">
        <f>(H183*'OLD Formulas'!$F16)</f>
        <v>0</v>
      </c>
      <c r="I511" s="465">
        <f>(I183*'OLD Formulas'!$F16)</f>
        <v>0</v>
      </c>
      <c r="J511" s="465">
        <f>(J183*'OLD Formulas'!$F16)</f>
        <v>8.47</v>
      </c>
      <c r="K511" s="465">
        <f>(K183*'OLD Formulas'!$F16)</f>
        <v>50.82</v>
      </c>
      <c r="L511" s="465">
        <f>(L183*'OLD Formulas'!$F16)</f>
        <v>25.41</v>
      </c>
      <c r="M511" s="465">
        <f>(M183*'OLD Formulas'!$F16)</f>
        <v>16.94</v>
      </c>
      <c r="N511" s="465">
        <f>(N183*'OLD Formulas'!$F16)</f>
        <v>42.35</v>
      </c>
      <c r="O511" s="465">
        <f>(O183*'OLD Formulas'!$F16)</f>
        <v>59.29</v>
      </c>
      <c r="P511" s="465">
        <f>(P183*'OLD Formulas'!$F16)</f>
        <v>84.7</v>
      </c>
      <c r="Q511" s="465">
        <f>(Q183*'OLD Formulas'!$F16)</f>
        <v>110.11</v>
      </c>
      <c r="R511" s="465">
        <f>(R183*'OLD Formulas'!$F16)</f>
        <v>50.82</v>
      </c>
      <c r="S511" s="465">
        <f>(S183*'OLD Formulas'!$F16)</f>
        <v>33.88</v>
      </c>
      <c r="T511" s="465">
        <f>(T183*'OLD Formulas'!$F16)</f>
        <v>101.64</v>
      </c>
      <c r="U511" s="465">
        <f>(U183*'OLD Formulas'!$F16)</f>
        <v>25.41</v>
      </c>
      <c r="V511" s="465">
        <f>(V183*'OLD Formulas'!$F16)</f>
        <v>76.23</v>
      </c>
      <c r="W511" s="465">
        <f>(W183*'OLD Formulas'!$F16)</f>
        <v>33.88</v>
      </c>
      <c r="X511" s="465">
        <f>(X183*'OLD Formulas'!$F16)</f>
        <v>50.82</v>
      </c>
      <c r="Y511" s="465">
        <f>(Y183*'OLD Formulas'!$F16)</f>
        <v>152.46</v>
      </c>
      <c r="Z511" s="465">
        <f>(Z183*'OLD Formulas'!$F16)</f>
        <v>8.47</v>
      </c>
      <c r="AA511" s="465">
        <f>(AA183*'OLD Formulas'!$F16)</f>
        <v>16.94</v>
      </c>
      <c r="AB511" s="465">
        <f>(AB183*'OLD Formulas'!$F16)</f>
        <v>25.41</v>
      </c>
      <c r="AC511" s="465">
        <f>(AC183*'OLD Formulas'!$F16)</f>
        <v>0</v>
      </c>
      <c r="AD511" s="465">
        <f>(AD183*'OLD Formulas'!$F16)</f>
        <v>0</v>
      </c>
      <c r="AE511" s="465">
        <f>(AE183*'OLD Formulas'!$F16)</f>
        <v>59.29</v>
      </c>
      <c r="AF511" s="465">
        <f>(AF183*'OLD Formulas'!$F16)</f>
        <v>0</v>
      </c>
      <c r="AG511" s="360">
        <f t="shared" si="208"/>
        <v>1134.98</v>
      </c>
    </row>
    <row r="512">
      <c r="A512" s="337" t="s">
        <v>987</v>
      </c>
      <c r="B512" s="465">
        <f t="shared" ref="B512:AF512" si="209">B131</f>
        <v>2405</v>
      </c>
      <c r="C512" s="465">
        <f t="shared" si="209"/>
        <v>2823.24</v>
      </c>
      <c r="D512" s="465">
        <f t="shared" si="209"/>
        <v>2179.75</v>
      </c>
      <c r="E512" s="465">
        <f t="shared" si="209"/>
        <v>2224.15</v>
      </c>
      <c r="F512" s="465">
        <f t="shared" si="209"/>
        <v>2263.06</v>
      </c>
      <c r="G512" s="465">
        <f t="shared" si="209"/>
        <v>2560.91</v>
      </c>
      <c r="H512" s="465">
        <f t="shared" si="209"/>
        <v>2475</v>
      </c>
      <c r="I512" s="465">
        <f t="shared" si="209"/>
        <v>3139.62</v>
      </c>
      <c r="J512" s="465">
        <f t="shared" si="209"/>
        <v>2878.18</v>
      </c>
      <c r="K512" s="465">
        <f t="shared" si="209"/>
        <v>2687.08</v>
      </c>
      <c r="L512" s="465">
        <f t="shared" si="209"/>
        <v>2857.92</v>
      </c>
      <c r="M512" s="465">
        <f t="shared" si="209"/>
        <v>2742.77</v>
      </c>
      <c r="N512" s="465">
        <f t="shared" si="209"/>
        <v>4420.83</v>
      </c>
      <c r="O512" s="465">
        <f t="shared" si="209"/>
        <v>4041.71</v>
      </c>
      <c r="P512" s="465">
        <f t="shared" si="209"/>
        <v>3417.03</v>
      </c>
      <c r="Q512" s="465">
        <f t="shared" si="209"/>
        <v>3275.52</v>
      </c>
      <c r="R512" s="465">
        <f t="shared" si="209"/>
        <v>1843.91</v>
      </c>
      <c r="S512" s="465">
        <f t="shared" si="209"/>
        <v>3460.94</v>
      </c>
      <c r="T512" s="465">
        <f t="shared" si="209"/>
        <v>2473.56</v>
      </c>
      <c r="U512" s="465">
        <f t="shared" si="209"/>
        <v>2781.55</v>
      </c>
      <c r="V512" s="465">
        <f t="shared" si="209"/>
        <v>2567.44</v>
      </c>
      <c r="W512" s="465">
        <f t="shared" si="209"/>
        <v>2549.56</v>
      </c>
      <c r="X512" s="465">
        <f t="shared" si="209"/>
        <v>2241.14</v>
      </c>
      <c r="Y512" s="465">
        <f t="shared" si="209"/>
        <v>1706.5</v>
      </c>
      <c r="Z512" s="465">
        <f t="shared" si="209"/>
        <v>1795.56</v>
      </c>
      <c r="AA512" s="465">
        <f t="shared" si="209"/>
        <v>1705.31</v>
      </c>
      <c r="AB512" s="465">
        <f t="shared" si="209"/>
        <v>1833.59</v>
      </c>
      <c r="AC512" s="465">
        <f t="shared" si="209"/>
        <v>1625.61</v>
      </c>
      <c r="AD512" s="465">
        <f t="shared" si="209"/>
        <v>1729.55</v>
      </c>
      <c r="AE512" s="465">
        <f t="shared" si="209"/>
        <v>1831.39</v>
      </c>
      <c r="AF512" s="465">
        <f t="shared" si="209"/>
        <v>1827.95</v>
      </c>
      <c r="AG512" s="360">
        <f t="shared" si="208"/>
        <v>78365.33</v>
      </c>
    </row>
    <row r="513">
      <c r="A513" s="337" t="s">
        <v>989</v>
      </c>
      <c r="B513" s="1008">
        <f>(((B242+B243)+(B261))-B378)*'OLD Formulas'!$F21</f>
        <v>354.64</v>
      </c>
      <c r="C513" s="1008">
        <f>(((C242+C243)+(C261))-C378)*'OLD Formulas'!$F21</f>
        <v>274.34</v>
      </c>
      <c r="D513" s="1008">
        <f>(((D242+D243)+(D261))-D378)*'OLD Formulas'!$F21</f>
        <v>492.624</v>
      </c>
      <c r="E513" s="1008">
        <f>(((E242+E243)+(E261))-E378)*'OLD Formulas'!$F21</f>
        <v>368.39</v>
      </c>
      <c r="F513" s="1008">
        <f>(((F242+F243)+(F261))-F378)*'OLD Formulas'!$F21</f>
        <v>341.088</v>
      </c>
      <c r="G513" s="1008">
        <f>(((G242+G243)+(G261))-G378)*'OLD Formulas'!$F21</f>
        <v>450.81564</v>
      </c>
      <c r="H513" s="1008">
        <f>(((H242+H243)+(H261))-H378)*'OLD Formulas'!$F21</f>
        <v>340.142</v>
      </c>
      <c r="I513" s="1008">
        <f>(((I242+I243)+(I261))-I378)*'OLD Formulas'!$F21</f>
        <v>406.626</v>
      </c>
      <c r="J513" s="1008">
        <f>(((J242+J243)+(J261))-J378)*'OLD Formulas'!$F21</f>
        <v>322.498</v>
      </c>
      <c r="K513" s="1008">
        <f>(((K242+K243)+(K261))-K378)*'OLD Formulas'!$F21</f>
        <v>434.17</v>
      </c>
      <c r="L513" s="1008">
        <f>(((L242+L243)+(L261))-L378)*'OLD Formulas'!$F21</f>
        <v>266.684</v>
      </c>
      <c r="M513" s="1008">
        <f>(((M242+M243)+(M261))-M378)*'OLD Formulas'!$F21</f>
        <v>545.974</v>
      </c>
      <c r="N513" s="1008">
        <f>(((N242+N243)+(N261))-N378)*'OLD Formulas'!$F21</f>
        <v>404.074</v>
      </c>
      <c r="O513" s="1008">
        <f>(((O242+O243)+(O261))-O378)*'OLD Formulas'!$F21</f>
        <v>424.512</v>
      </c>
      <c r="P513" s="1008">
        <f>(((P242+P243)+(P261))-P378)*'OLD Formulas'!$F21</f>
        <v>358.688</v>
      </c>
      <c r="Q513" s="1008">
        <f>(((Q242+Q243)+(Q261))-Q378)*'OLD Formulas'!$F21</f>
        <v>630.234</v>
      </c>
      <c r="R513" s="1008">
        <f>(((R242+R243)+(R261))-R378)*'OLD Formulas'!$F21</f>
        <v>160.666</v>
      </c>
      <c r="S513" s="1008">
        <f>(((S242+S243)+(S261))-S378)*'OLD Formulas'!$F21</f>
        <v>357.25756</v>
      </c>
      <c r="T513" s="1008">
        <f>(((T242+T243)+(T261))-T378)*'OLD Formulas'!$F21</f>
        <v>130.284</v>
      </c>
      <c r="U513" s="1008">
        <f>(((U242+U243)+(U261))-U378)*'OLD Formulas'!$F21</f>
        <v>463.254</v>
      </c>
      <c r="V513" s="1008">
        <f>(((V242+V243)+(V261))-V378)*'OLD Formulas'!$F21</f>
        <v>329.252</v>
      </c>
      <c r="W513" s="1008">
        <f>(((W242+W243)+(W261))-W378)*'OLD Formulas'!$F21</f>
        <v>238.92</v>
      </c>
      <c r="X513" s="1008">
        <f>(((X242+X243)+(X261))-X378)*'OLD Formulas'!$F21</f>
        <v>231.902</v>
      </c>
      <c r="Y513" s="1008">
        <f>(((Y242+Y243)+(Y261))-Y378)*'OLD Formulas'!$F21</f>
        <v>458.92</v>
      </c>
      <c r="Z513" s="1008">
        <f>(((Z242+Z243)+(Z261))-Z378)*'OLD Formulas'!$F21</f>
        <v>419.1</v>
      </c>
      <c r="AA513" s="1008">
        <f>(((AA242+AA243)+(AA261))-AA378)*'OLD Formulas'!$F21</f>
        <v>216.7</v>
      </c>
      <c r="AB513" s="1008">
        <f>(((AB242+AB243)+(AB261))-AB378)*'OLD Formulas'!$F21</f>
        <v>287.32</v>
      </c>
      <c r="AC513" s="1008">
        <f>(((AC242+AC243)+(AC261))-AC378)*'OLD Formulas'!$F21</f>
        <v>892.32</v>
      </c>
      <c r="AD513" s="1008">
        <f>(((AD242+AD243)+(AD261))-AD378)*'OLD Formulas'!$F21</f>
        <v>531.96</v>
      </c>
      <c r="AE513" s="1008">
        <f>(((AE242+AE243)+(AE261))-AE378)*'OLD Formulas'!$F21</f>
        <v>121.44</v>
      </c>
      <c r="AF513" s="1008">
        <f>(((AF242+AF243)+(AF261))-AF378)*'OLD Formulas'!$F21</f>
        <v>288.354</v>
      </c>
      <c r="AG513" s="360">
        <f t="shared" si="208"/>
        <v>11543.1492</v>
      </c>
    </row>
    <row r="514">
      <c r="A514" s="337" t="s">
        <v>991</v>
      </c>
      <c r="B514" s="1096">
        <f>(((B244+B245)+(B268))-B383)*'OLD Formulas'!$F22</f>
        <v>9.1</v>
      </c>
      <c r="C514" s="1096">
        <f>(((C244+C245)+(C268))-C383)*'OLD Formulas'!$F22</f>
        <v>34.97</v>
      </c>
      <c r="D514" s="1096">
        <f>(((D244+D245)+(D268))-D383)*'OLD Formulas'!$F22</f>
        <v>0</v>
      </c>
      <c r="E514" s="1096">
        <f>(((E244+E245)+(E268))-E383)*'OLD Formulas'!$F22</f>
        <v>0</v>
      </c>
      <c r="F514" s="1096">
        <f>(((F244+F245)+(F268))-F383)*'OLD Formulas'!$F22</f>
        <v>0</v>
      </c>
      <c r="G514" s="1096">
        <f>(((G244+G245)+(G268))-G383)*'OLD Formulas'!$F22</f>
        <v>0</v>
      </c>
      <c r="H514" s="1096">
        <f>(((H244+H245)+(H268))-H383)*'OLD Formulas'!$F22</f>
        <v>0</v>
      </c>
      <c r="I514" s="1096">
        <f>(((I244+I245)+(I268))-I383)*'OLD Formulas'!$F22</f>
        <v>0</v>
      </c>
      <c r="J514" s="1096">
        <f>(((J244+J245)+(J268))-J383)*'OLD Formulas'!$F22</f>
        <v>0</v>
      </c>
      <c r="K514" s="1096">
        <f>(((K244+K245)+(K268))-K383)*'OLD Formulas'!$F22</f>
        <v>0</v>
      </c>
      <c r="L514" s="1096">
        <f>(((L244+L245)+(L268))-L383)*'OLD Formulas'!$F22</f>
        <v>0</v>
      </c>
      <c r="M514" s="1096">
        <f>(((M244+M245)+(M268))-M383)*'OLD Formulas'!$F22</f>
        <v>0</v>
      </c>
      <c r="N514" s="1096">
        <f>(((N244+N245)+(N268))-N383)*'OLD Formulas'!$F22</f>
        <v>0</v>
      </c>
      <c r="O514" s="1096">
        <f>(((O244+O245)+(O268))-O383)*'OLD Formulas'!$F22</f>
        <v>0</v>
      </c>
      <c r="P514" s="1096">
        <f>(((P244+P245)+(P268))-P383)*'OLD Formulas'!$F22</f>
        <v>0</v>
      </c>
      <c r="Q514" s="1096">
        <f>(((Q244+Q245)+(Q268))-Q383)*'OLD Formulas'!$F22</f>
        <v>0</v>
      </c>
      <c r="R514" s="1096">
        <f>(((R244+R245)+(R268))-R383)*'OLD Formulas'!$F22</f>
        <v>0</v>
      </c>
      <c r="S514" s="1096">
        <f>(((S244+S245)+(S268))-S383)*'OLD Formulas'!$F22</f>
        <v>0</v>
      </c>
      <c r="T514" s="1096">
        <f>(((T244+T245)+(T268))-T383)*'OLD Formulas'!$F22</f>
        <v>0</v>
      </c>
      <c r="U514" s="1096">
        <f>(((U244+U245)+(U268))-U383)*'OLD Formulas'!$F22</f>
        <v>0</v>
      </c>
      <c r="V514" s="1096">
        <f>(((V244+V245)+(V268))-V383)*'OLD Formulas'!$F22</f>
        <v>0</v>
      </c>
      <c r="W514" s="1096">
        <f>(((W244+W245)+(W268))-W383)*'OLD Formulas'!$F22</f>
        <v>0</v>
      </c>
      <c r="X514" s="1096">
        <f>(((X244+X245)+(X268))-X383)*'OLD Formulas'!$F22</f>
        <v>0</v>
      </c>
      <c r="Y514" s="1096">
        <f>(((Y244+Y245)+(Y268))-Y383)*'OLD Formulas'!$F22</f>
        <v>0</v>
      </c>
      <c r="Z514" s="1096">
        <f>(((Z244+Z245)+(Z268))-Z383)*'OLD Formulas'!$F22</f>
        <v>0</v>
      </c>
      <c r="AA514" s="1096">
        <f>(((AA244+AA245)+(AA268))-AA383)*'OLD Formulas'!$F22</f>
        <v>0</v>
      </c>
      <c r="AB514" s="1096">
        <f>(((AB244+AB245)+(AB268))-AB383)*'OLD Formulas'!$F22</f>
        <v>0</v>
      </c>
      <c r="AC514" s="1096">
        <f>(((AC244+AC245)+(AC268))-AC383)*'OLD Formulas'!$F22</f>
        <v>0</v>
      </c>
      <c r="AD514" s="1096">
        <f>(((AD244+AD245)+(AD268))-AD383)*'OLD Formulas'!$F22</f>
        <v>0</v>
      </c>
      <c r="AE514" s="1096">
        <f>(((AE244+AE245)+(AE268))-AE383)*'OLD Formulas'!$F22</f>
        <v>0</v>
      </c>
      <c r="AF514" s="1096">
        <f>(((AF244+AF245)+(AF268))-AF383)*'OLD Formulas'!$F22</f>
        <v>0</v>
      </c>
      <c r="AG514" s="360">
        <f t="shared" si="208"/>
        <v>44.07</v>
      </c>
    </row>
    <row r="515">
      <c r="A515" s="337" t="s">
        <v>826</v>
      </c>
      <c r="B515" s="1008">
        <v>0.0</v>
      </c>
      <c r="C515" s="1008">
        <v>0.0</v>
      </c>
      <c r="D515" s="1099">
        <v>0.0</v>
      </c>
      <c r="E515" s="1008">
        <v>0.0</v>
      </c>
      <c r="F515" s="1099">
        <v>1447.4</v>
      </c>
      <c r="G515" s="1008">
        <v>950.7</v>
      </c>
      <c r="H515" s="1008">
        <v>0.0</v>
      </c>
      <c r="I515" s="311">
        <v>0.0</v>
      </c>
      <c r="J515" s="1008">
        <v>0.0</v>
      </c>
      <c r="K515" s="1008">
        <v>544.44</v>
      </c>
      <c r="L515" s="1008">
        <v>220.94</v>
      </c>
      <c r="M515" s="1008">
        <v>0.0</v>
      </c>
      <c r="N515" s="1008">
        <v>0.0</v>
      </c>
      <c r="O515" s="1008">
        <v>0.0</v>
      </c>
      <c r="P515" s="1008">
        <v>0.0</v>
      </c>
      <c r="Q515" s="1008">
        <v>0.0</v>
      </c>
      <c r="R515" s="1100">
        <v>494.2</v>
      </c>
      <c r="S515" s="1101">
        <v>703.26</v>
      </c>
      <c r="T515" s="1102">
        <v>35.98</v>
      </c>
      <c r="U515" s="1100">
        <v>266.62</v>
      </c>
      <c r="V515" s="1100">
        <v>386.16</v>
      </c>
      <c r="W515" s="1102">
        <v>35.23</v>
      </c>
      <c r="X515" s="1102">
        <v>279.0</v>
      </c>
      <c r="Y515" s="1100">
        <v>1444.51</v>
      </c>
      <c r="Z515" s="1100">
        <v>587.33</v>
      </c>
      <c r="AA515" s="1100">
        <v>487.18</v>
      </c>
      <c r="AB515" s="1100">
        <v>284.54</v>
      </c>
      <c r="AC515" s="1100">
        <v>1199.91</v>
      </c>
      <c r="AD515" s="1100">
        <v>177.29</v>
      </c>
      <c r="AE515" s="1100">
        <v>1428.57</v>
      </c>
      <c r="AF515" s="1100">
        <v>4009.69</v>
      </c>
      <c r="AG515" s="360">
        <f t="shared" si="208"/>
        <v>14982.95</v>
      </c>
    </row>
    <row r="516">
      <c r="A516" s="337" t="s">
        <v>1012</v>
      </c>
      <c r="B516" s="1038">
        <f t="shared" ref="B516:C516" si="210">(B390+B395+B400)</f>
        <v>0</v>
      </c>
      <c r="C516" s="1038">
        <f t="shared" si="210"/>
        <v>0</v>
      </c>
      <c r="D516" s="1103" t="s">
        <v>236</v>
      </c>
      <c r="E516" s="1038">
        <f t="shared" ref="E516:T516" si="211">(E390+E395+E400)</f>
        <v>169.5</v>
      </c>
      <c r="F516" s="1038">
        <f t="shared" si="211"/>
        <v>0</v>
      </c>
      <c r="G516" s="1038">
        <f t="shared" si="211"/>
        <v>0</v>
      </c>
      <c r="H516" s="1038">
        <f t="shared" si="211"/>
        <v>210.94</v>
      </c>
      <c r="I516" s="1038">
        <f t="shared" si="211"/>
        <v>0</v>
      </c>
      <c r="J516" s="1038">
        <f t="shared" si="211"/>
        <v>0</v>
      </c>
      <c r="K516" s="1038">
        <f t="shared" si="211"/>
        <v>199</v>
      </c>
      <c r="L516" s="1038">
        <f t="shared" si="211"/>
        <v>199</v>
      </c>
      <c r="M516" s="1038">
        <f t="shared" si="211"/>
        <v>0</v>
      </c>
      <c r="N516" s="1038">
        <f t="shared" si="211"/>
        <v>199</v>
      </c>
      <c r="O516" s="1038">
        <f t="shared" si="211"/>
        <v>1387.33</v>
      </c>
      <c r="P516" s="1038">
        <f t="shared" si="211"/>
        <v>0</v>
      </c>
      <c r="Q516" s="1038">
        <f t="shared" si="211"/>
        <v>199</v>
      </c>
      <c r="R516" s="1038">
        <f t="shared" si="211"/>
        <v>744.252</v>
      </c>
      <c r="S516" s="1038">
        <f t="shared" si="211"/>
        <v>507.54</v>
      </c>
      <c r="T516" s="1038">
        <f t="shared" si="211"/>
        <v>293</v>
      </c>
      <c r="U516" s="1038"/>
      <c r="V516" s="1038">
        <f t="shared" ref="V516:AF516" si="212">(V390+V395+V400)</f>
        <v>0</v>
      </c>
      <c r="W516" s="1038">
        <f t="shared" si="212"/>
        <v>0</v>
      </c>
      <c r="X516" s="1038">
        <f t="shared" si="212"/>
        <v>0</v>
      </c>
      <c r="Y516" s="1038">
        <f t="shared" si="212"/>
        <v>2899.78</v>
      </c>
      <c r="Z516" s="1038">
        <f t="shared" si="212"/>
        <v>14217.31</v>
      </c>
      <c r="AA516" s="1038">
        <f t="shared" si="212"/>
        <v>12846.68</v>
      </c>
      <c r="AB516" s="1038">
        <f t="shared" si="212"/>
        <v>4715.43</v>
      </c>
      <c r="AC516" s="1038">
        <f t="shared" si="212"/>
        <v>17723.99</v>
      </c>
      <c r="AD516" s="1038">
        <f t="shared" si="212"/>
        <v>7410.87</v>
      </c>
      <c r="AE516" s="1038">
        <f t="shared" si="212"/>
        <v>7870.6</v>
      </c>
      <c r="AF516" s="1038">
        <f t="shared" si="212"/>
        <v>3845.7</v>
      </c>
      <c r="AG516" s="360">
        <f t="shared" si="208"/>
        <v>75638.922</v>
      </c>
    </row>
    <row r="517">
      <c r="A517" s="337" t="s">
        <v>1013</v>
      </c>
      <c r="B517" s="1038">
        <f>(B365*'OLD Formulas'!$F35)+(B366*'OLD Formulas'!$F36)+(B367*'OLD Formulas'!$F37)</f>
        <v>0</v>
      </c>
      <c r="C517" s="1038">
        <f>(C365*'OLD Formulas'!$F35)+(C366*'OLD Formulas'!$F36)+(C367*'OLD Formulas'!$F37)</f>
        <v>0</v>
      </c>
      <c r="D517" s="1038">
        <f>(D365*'OLD Formulas'!$F35)+(D366*'OLD Formulas'!$F36)+(D367*'OLD Formulas'!$F37)</f>
        <v>0</v>
      </c>
      <c r="E517" s="1038">
        <f>(E365*'OLD Formulas'!$F35)+(E366*'OLD Formulas'!$F36)+(E367*'OLD Formulas'!$F37)</f>
        <v>10</v>
      </c>
      <c r="F517" s="1038">
        <f>(F365*'OLD Formulas'!$F35)+(F366*'OLD Formulas'!$F36)+(F367*'OLD Formulas'!$F37)</f>
        <v>0</v>
      </c>
      <c r="G517" s="1038">
        <f>(G365*'OLD Formulas'!$F35)+(G366*'OLD Formulas'!$F36)+(G367*'OLD Formulas'!$F37)</f>
        <v>0</v>
      </c>
      <c r="H517" s="1038">
        <f>(H365*'OLD Formulas'!$F35)+(H366*'OLD Formulas'!$F36)+(H367*'OLD Formulas'!$F37)</f>
        <v>10</v>
      </c>
      <c r="I517" s="1038">
        <f>(I365*'OLD Formulas'!$F35)+(I366*'OLD Formulas'!$F36)+(I367*'OLD Formulas'!$F37)</f>
        <v>0</v>
      </c>
      <c r="J517" s="1038">
        <f>(J365*'OLD Formulas'!$F35)+(J366*'OLD Formulas'!$F36)+(J367*'OLD Formulas'!$F37)</f>
        <v>0</v>
      </c>
      <c r="K517" s="1038">
        <f>(K365*'OLD Formulas'!$F35)+(K366*'OLD Formulas'!$F36)+(K367*'OLD Formulas'!$F37)</f>
        <v>10</v>
      </c>
      <c r="L517" s="1038">
        <f>(L365*'OLD Formulas'!$F35)+(L366*'OLD Formulas'!$F36)+(L367*'OLD Formulas'!$F37)</f>
        <v>20</v>
      </c>
      <c r="M517" s="1038">
        <f>(M365*'OLD Formulas'!$F35)+(M366*'OLD Formulas'!$F36)+(M367*'OLD Formulas'!$F37)</f>
        <v>0</v>
      </c>
      <c r="N517" s="1038">
        <f>(N365*'OLD Formulas'!$F35)+(N366*'OLD Formulas'!$F36)+(N367*'OLD Formulas'!$F37)</f>
        <v>10</v>
      </c>
      <c r="O517" s="1038">
        <f>(O365*'OLD Formulas'!$F35)+(O366*'OLD Formulas'!$F36)+(O367*'OLD Formulas'!$F37)</f>
        <v>60</v>
      </c>
      <c r="P517" s="1038">
        <f>(P365*'OLD Formulas'!$F35)+(P366*'OLD Formulas'!$F36)+(P367*'OLD Formulas'!$F37)</f>
        <v>0</v>
      </c>
      <c r="Q517" s="1038">
        <f>(Q365*'OLD Formulas'!$F35)+(Q366*'OLD Formulas'!$F36)+(Q367*'OLD Formulas'!$F37)</f>
        <v>10</v>
      </c>
      <c r="R517" s="1038">
        <f>(R365*'OLD Formulas'!$F35)+(R366*'OLD Formulas'!$F36)+(R367*'OLD Formulas'!$F37)</f>
        <v>60</v>
      </c>
      <c r="S517" s="1038">
        <f>(S365*'OLD Formulas'!$F35)+(S366*'OLD Formulas'!$F36)+(S367*'OLD Formulas'!$F37)</f>
        <v>30</v>
      </c>
      <c r="T517" s="1038">
        <f>(T365*'OLD Formulas'!$F35)+(T366*'OLD Formulas'!$F36)+(T367*'OLD Formulas'!$F37)</f>
        <v>10</v>
      </c>
      <c r="U517" s="1038">
        <f>(U365*'OLD Formulas'!$F35)+(U366*'OLD Formulas'!$F36)+(U367*'OLD Formulas'!$F37)</f>
        <v>10</v>
      </c>
      <c r="V517" s="1038">
        <f>(V365*'OLD Formulas'!$F35)+(V366*'OLD Formulas'!$F36)+(V367*'OLD Formulas'!$F37)</f>
        <v>0</v>
      </c>
      <c r="W517" s="1038">
        <f>(W365*'OLD Formulas'!$F35)+(W366*'OLD Formulas'!$F36)+(W367*'OLD Formulas'!$F37)</f>
        <v>0</v>
      </c>
      <c r="X517" s="1038">
        <f>(X365*'OLD Formulas'!$F35)+(X366*'OLD Formulas'!$F36)+(X367*'OLD Formulas'!$F37)</f>
        <v>0</v>
      </c>
      <c r="Y517" s="1038">
        <f>(Y365*'OLD Formulas'!$F35)+(Y366*'OLD Formulas'!$F36)+(Y367*'OLD Formulas'!$F37)</f>
        <v>110</v>
      </c>
      <c r="Z517" s="1038">
        <f>(Z365*'OLD Formulas'!$F35)+(Z366*'OLD Formulas'!$F36)+(Z367*'OLD Formulas'!$F37)</f>
        <v>10</v>
      </c>
      <c r="AA517" s="1038">
        <f>(AA365*'OLD Formulas'!$F35)+(AA366*'OLD Formulas'!$F36)+(AA367*'OLD Formulas'!$F37)</f>
        <v>460</v>
      </c>
      <c r="AB517" s="1038">
        <f>(AB365*'OLD Formulas'!$F35)+(AB366*'OLD Formulas'!$F36)+(AB367*'OLD Formulas'!$F37)</f>
        <v>170</v>
      </c>
      <c r="AC517" s="1038">
        <f>(AC365*'OLD Formulas'!$F35)+(AC366*'OLD Formulas'!$F36)+(AC367*'OLD Formulas'!$F37)</f>
        <v>690</v>
      </c>
      <c r="AD517" s="1038">
        <f>(AD365*'OLD Formulas'!$F35)+(AD366*'OLD Formulas'!$F36)+(AD367*'OLD Formulas'!$F37)</f>
        <v>300</v>
      </c>
      <c r="AE517" s="1038">
        <f>(AE365*'OLD Formulas'!$F35)+(AE366*'OLD Formulas'!$F36)+(AE367*'OLD Formulas'!$F37)</f>
        <v>340</v>
      </c>
      <c r="AF517" s="1038">
        <f>(AF365*'OLD Formulas'!$F35)+(AF366*'OLD Formulas'!$F36)+(AF367*'OLD Formulas'!$F37)</f>
        <v>220</v>
      </c>
      <c r="AG517" s="360">
        <f t="shared" si="208"/>
        <v>2540</v>
      </c>
    </row>
    <row r="518">
      <c r="A518" s="337" t="s">
        <v>442</v>
      </c>
      <c r="B518" s="1038"/>
      <c r="C518" s="1103"/>
      <c r="D518" s="1103"/>
      <c r="E518" s="1103"/>
      <c r="F518" s="1103"/>
      <c r="G518" s="1103"/>
      <c r="H518" s="1103"/>
      <c r="I518" s="1103"/>
      <c r="J518" s="1103"/>
      <c r="K518" s="1103"/>
      <c r="L518" s="1103"/>
      <c r="M518" s="1103"/>
      <c r="N518" s="1103"/>
      <c r="O518" s="1103"/>
      <c r="P518" s="1103"/>
      <c r="Q518" s="1103"/>
      <c r="R518" s="1103"/>
      <c r="S518" s="1103"/>
      <c r="T518" s="1038"/>
      <c r="U518" s="1038"/>
      <c r="V518" s="1038"/>
      <c r="W518" s="1038"/>
      <c r="X518" s="1038"/>
      <c r="Y518" s="1038"/>
      <c r="Z518" s="1038"/>
      <c r="AA518" s="1038"/>
      <c r="AB518" s="1103"/>
      <c r="AC518" s="1038"/>
      <c r="AD518" s="1038"/>
      <c r="AE518" s="1038"/>
      <c r="AF518" s="1038"/>
      <c r="AG518" s="360">
        <f t="shared" si="208"/>
        <v>0</v>
      </c>
    </row>
    <row r="519">
      <c r="A519" s="337" t="s">
        <v>1017</v>
      </c>
      <c r="B519" s="1038">
        <f>B125*'OLD Formulas'!$F4</f>
        <v>0</v>
      </c>
      <c r="C519" s="1038">
        <f>C125*'OLD Formulas'!$F4</f>
        <v>0</v>
      </c>
      <c r="D519" s="1038">
        <f>D125*'OLD Formulas'!$F4</f>
        <v>0</v>
      </c>
      <c r="E519" s="1038">
        <f>E125*'OLD Formulas'!$F4</f>
        <v>0</v>
      </c>
      <c r="F519" s="1038">
        <f>F125*'OLD Formulas'!$F4</f>
        <v>0</v>
      </c>
      <c r="G519" s="1038">
        <f>G125*'OLD Formulas'!$F4</f>
        <v>0</v>
      </c>
      <c r="H519" s="1038">
        <f>H125*'OLD Formulas'!$F4</f>
        <v>0</v>
      </c>
      <c r="I519" s="1038">
        <f>I125*'OLD Formulas'!$F4</f>
        <v>0</v>
      </c>
      <c r="J519" s="1038">
        <f>J125*'OLD Formulas'!$F4</f>
        <v>0</v>
      </c>
      <c r="K519" s="1038">
        <f>K125*'OLD Formulas'!$F4</f>
        <v>0</v>
      </c>
      <c r="L519" s="1038">
        <f>L125*'OLD Formulas'!$F4</f>
        <v>0</v>
      </c>
      <c r="M519" s="1038">
        <f>M125*'OLD Formulas'!$F4</f>
        <v>0</v>
      </c>
      <c r="N519" s="1038">
        <f>N125*'OLD Formulas'!$F4</f>
        <v>0</v>
      </c>
      <c r="O519" s="1038">
        <f>O125*'OLD Formulas'!$F4</f>
        <v>0</v>
      </c>
      <c r="P519" s="1038">
        <f>P125*'OLD Formulas'!$F4</f>
        <v>0</v>
      </c>
      <c r="Q519" s="1038">
        <f>Q125*'OLD Formulas'!$F4</f>
        <v>0</v>
      </c>
      <c r="R519" s="1038">
        <f>R125*'OLD Formulas'!$F4</f>
        <v>0</v>
      </c>
      <c r="S519" s="1038">
        <f>S125*'OLD Formulas'!$F4</f>
        <v>0</v>
      </c>
      <c r="T519" s="1038">
        <f>T125*'OLD Formulas'!$F4</f>
        <v>0</v>
      </c>
      <c r="U519" s="1038">
        <f>U125*'OLD Formulas'!$F4</f>
        <v>0</v>
      </c>
      <c r="V519" s="1038">
        <f>V125*'OLD Formulas'!$F4</f>
        <v>0</v>
      </c>
      <c r="W519" s="1038">
        <f>W125*'OLD Formulas'!$F4</f>
        <v>0</v>
      </c>
      <c r="X519" s="1038">
        <f>X125*'OLD Formulas'!$F4</f>
        <v>0</v>
      </c>
      <c r="Y519" s="1038">
        <f>Y125*'OLD Formulas'!$F4</f>
        <v>0</v>
      </c>
      <c r="Z519" s="1038">
        <f>Z125*'OLD Formulas'!$F4</f>
        <v>0</v>
      </c>
      <c r="AA519" s="1038">
        <f>AA125*'OLD Formulas'!$F4</f>
        <v>0</v>
      </c>
      <c r="AB519" s="1038">
        <f>AB125*'OLD Formulas'!$F4</f>
        <v>0</v>
      </c>
      <c r="AC519" s="1038">
        <f>AC125*'OLD Formulas'!$F4</f>
        <v>0</v>
      </c>
      <c r="AD519" s="1038">
        <f>AD125*'OLD Formulas'!$F4</f>
        <v>0</v>
      </c>
      <c r="AE519" s="1038">
        <f>AE125*'OLD Formulas'!$F4</f>
        <v>0</v>
      </c>
      <c r="AF519" s="1038">
        <f>AF125*'OLD Formulas'!$F4</f>
        <v>0</v>
      </c>
      <c r="AG519" s="360">
        <f t="shared" si="208"/>
        <v>0</v>
      </c>
    </row>
    <row r="520">
      <c r="A520" s="337" t="s">
        <v>1019</v>
      </c>
      <c r="B520" s="1038">
        <f>B125*'OLD Formulas'!$F5</f>
        <v>51.9</v>
      </c>
      <c r="C520" s="1038">
        <f>C125*'OLD Formulas'!$F5</f>
        <v>54.3</v>
      </c>
      <c r="D520" s="1038">
        <f>D125*'OLD Formulas'!$F5</f>
        <v>47.7</v>
      </c>
      <c r="E520" s="1038">
        <f>E125*'OLD Formulas'!$F5</f>
        <v>55.2</v>
      </c>
      <c r="F520" s="1038">
        <f>F125*'OLD Formulas'!$F5</f>
        <v>51.3</v>
      </c>
      <c r="G520" s="1038">
        <f>G125*'OLD Formulas'!$F5</f>
        <v>56.1</v>
      </c>
      <c r="H520" s="1038">
        <f>H125*'OLD Formulas'!$F5</f>
        <v>57.9</v>
      </c>
      <c r="I520" s="1038">
        <f>I125*'OLD Formulas'!$F5</f>
        <v>70.8</v>
      </c>
      <c r="J520" s="1038">
        <f>J125*'OLD Formulas'!$F5</f>
        <v>64.8</v>
      </c>
      <c r="K520" s="1038">
        <f>K125*'OLD Formulas'!$F5</f>
        <v>64.2</v>
      </c>
      <c r="L520" s="1038">
        <f>L125*'OLD Formulas'!$F5</f>
        <v>61.2</v>
      </c>
      <c r="M520" s="1038">
        <f>M125*'OLD Formulas'!$F5</f>
        <v>59.4</v>
      </c>
      <c r="N520" s="1038">
        <f>N125*'OLD Formulas'!$F5</f>
        <v>97.8</v>
      </c>
      <c r="O520" s="1038">
        <f>O125*'OLD Formulas'!$F5</f>
        <v>86.4</v>
      </c>
      <c r="P520" s="1038">
        <f>P125*'OLD Formulas'!$F5</f>
        <v>75.6</v>
      </c>
      <c r="Q520" s="1038">
        <f>Q125*'OLD Formulas'!$F5</f>
        <v>74.7</v>
      </c>
      <c r="R520" s="1038">
        <f>R125*'OLD Formulas'!$F5</f>
        <v>44.1</v>
      </c>
      <c r="S520" s="1038">
        <f>S125*'OLD Formulas'!$F5</f>
        <v>70.2</v>
      </c>
      <c r="T520" s="1038">
        <f>T125*'OLD Formulas'!$F5</f>
        <v>51.6</v>
      </c>
      <c r="U520" s="1038">
        <f>U125*'OLD Formulas'!$F5</f>
        <v>59.4</v>
      </c>
      <c r="V520" s="1038">
        <f>V125*'OLD Formulas'!$F5</f>
        <v>56.4</v>
      </c>
      <c r="W520" s="1038">
        <f>W125*'OLD Formulas'!$F5</f>
        <v>56.1</v>
      </c>
      <c r="X520" s="1038">
        <f>X125*'OLD Formulas'!$F5</f>
        <v>51.3</v>
      </c>
      <c r="Y520" s="1038">
        <f>Y125*'OLD Formulas'!$F5</f>
        <v>37.8</v>
      </c>
      <c r="Z520" s="1038">
        <f>Z125*'OLD Formulas'!$F5</f>
        <v>38.7</v>
      </c>
      <c r="AA520" s="1038">
        <f>AA125*'OLD Formulas'!$F5</f>
        <v>34.2</v>
      </c>
      <c r="AB520" s="1038">
        <f>AB125*'OLD Formulas'!$F5</f>
        <v>38.4</v>
      </c>
      <c r="AC520" s="1038">
        <f>AC125*'OLD Formulas'!$F5</f>
        <v>39</v>
      </c>
      <c r="AD520" s="1038">
        <f>AD125*'OLD Formulas'!$F5</f>
        <v>37.8</v>
      </c>
      <c r="AE520" s="1038">
        <f>AE125*'OLD Formulas'!$F5</f>
        <v>38.4</v>
      </c>
      <c r="AF520" s="1038">
        <f>AF125*'OLD Formulas'!$F5</f>
        <v>39.3</v>
      </c>
      <c r="AG520" s="360">
        <f t="shared" si="208"/>
        <v>1722</v>
      </c>
    </row>
    <row r="521">
      <c r="A521" s="337" t="s">
        <v>1021</v>
      </c>
      <c r="B521" s="326">
        <f>B141*'OLD Formulas'!$F$6</f>
        <v>39.37</v>
      </c>
      <c r="C521" s="326">
        <f>C141*'OLD Formulas'!$F$6</f>
        <v>46.19</v>
      </c>
      <c r="D521" s="326">
        <f>D141*'OLD Formulas'!$F$6</f>
        <v>41.54</v>
      </c>
      <c r="E521" s="326">
        <f>E141*'OLD Formulas'!$F$6</f>
        <v>44.33</v>
      </c>
      <c r="F521" s="326">
        <f>F141*'OLD Formulas'!$F$6</f>
        <v>44.02</v>
      </c>
      <c r="G521" s="326">
        <f>G141*'OLD Formulas'!$F$6</f>
        <v>48.05</v>
      </c>
      <c r="H521" s="326">
        <f>H141*'OLD Formulas'!$F$6</f>
        <v>51.46</v>
      </c>
      <c r="I521" s="326">
        <f>I141*'OLD Formulas'!$F$6</f>
        <v>57.66</v>
      </c>
      <c r="J521" s="326">
        <f>J141*'OLD Formulas'!$F$6</f>
        <v>53.63</v>
      </c>
      <c r="K521" s="326">
        <f>K141*'OLD Formulas'!$F$6</f>
        <v>52.39</v>
      </c>
      <c r="L521" s="326">
        <f>L141*'OLD Formulas'!$F$6</f>
        <v>54.25</v>
      </c>
      <c r="M521" s="326">
        <f>M141*'OLD Formulas'!$F$6</f>
        <v>55.49</v>
      </c>
      <c r="N521" s="326">
        <f>N141*'OLD Formulas'!$F$6</f>
        <v>87.11</v>
      </c>
      <c r="O521" s="326">
        <f>O141*'OLD Formulas'!$F$6</f>
        <v>79.67</v>
      </c>
      <c r="P521" s="326">
        <f>P141*'OLD Formulas'!$F$6</f>
        <v>66.34</v>
      </c>
      <c r="Q521" s="326">
        <f>Q141*'OLD Formulas'!$F$6</f>
        <v>66.65</v>
      </c>
      <c r="R521" s="326">
        <f>R141*'OLD Formulas'!$F$6</f>
        <v>35.34</v>
      </c>
      <c r="S521" s="326">
        <f>S141*'OLD Formulas'!$F$6</f>
        <v>63.86</v>
      </c>
      <c r="T521" s="326">
        <f>T141*'OLD Formulas'!$F$6</f>
        <v>46.19</v>
      </c>
      <c r="U521" s="326">
        <f>U141*'OLD Formulas'!$F$6</f>
        <v>52.08</v>
      </c>
      <c r="V521" s="326">
        <f>V141*'OLD Formulas'!$F$6</f>
        <v>46.19</v>
      </c>
      <c r="W521" s="326">
        <f>W141*'OLD Formulas'!$F$6</f>
        <v>43.71</v>
      </c>
      <c r="X521" s="326">
        <f>X141*'OLD Formulas'!$F$6</f>
        <v>38.13</v>
      </c>
      <c r="Y521" s="326">
        <f>Y141*'OLD Formulas'!$F$6</f>
        <v>29.45</v>
      </c>
      <c r="Z521" s="326">
        <f>Z141*'OLD Formulas'!$F$6</f>
        <v>33.17</v>
      </c>
      <c r="AA521" s="326">
        <f>AA141*'OLD Formulas'!$F$6</f>
        <v>31.62</v>
      </c>
      <c r="AB521" s="326">
        <f>AB141*'OLD Formulas'!$F$6</f>
        <v>36.27</v>
      </c>
      <c r="AC521" s="326">
        <f>AC141*'OLD Formulas'!$F$6</f>
        <v>33.17</v>
      </c>
      <c r="AD521" s="326">
        <f>AD141*'OLD Formulas'!$F$6</f>
        <v>30.07</v>
      </c>
      <c r="AE521" s="326">
        <f>AE141*'OLD Formulas'!$F$6</f>
        <v>31.62</v>
      </c>
      <c r="AF521" s="326">
        <f>AF141*'OLD Formulas'!$F$6</f>
        <v>34.1</v>
      </c>
      <c r="AG521" s="360">
        <f t="shared" si="208"/>
        <v>1473.12</v>
      </c>
    </row>
    <row r="522">
      <c r="A522" s="1109" t="s">
        <v>1022</v>
      </c>
      <c r="B522" s="327"/>
      <c r="C522" s="327"/>
      <c r="D522" s="327"/>
      <c r="E522" s="327"/>
      <c r="F522" s="327"/>
      <c r="G522" s="327"/>
      <c r="H522" s="327"/>
      <c r="I522" s="327"/>
      <c r="J522" s="327"/>
      <c r="K522" s="327"/>
      <c r="L522" s="327"/>
      <c r="M522" s="327"/>
      <c r="N522" s="327"/>
      <c r="O522" s="327"/>
      <c r="P522" s="327"/>
      <c r="Q522" s="327"/>
      <c r="R522" s="327"/>
      <c r="S522" s="327"/>
      <c r="T522" s="327"/>
      <c r="U522" s="327"/>
      <c r="V522" s="327"/>
      <c r="W522" s="327"/>
      <c r="X522" s="327"/>
      <c r="Y522" s="327"/>
      <c r="Z522" s="327"/>
      <c r="AA522" s="327"/>
      <c r="AB522" s="327"/>
      <c r="AC522" s="327"/>
      <c r="AD522" s="327"/>
      <c r="AE522" s="1100"/>
      <c r="AF522" s="327"/>
      <c r="AG522" s="11"/>
    </row>
    <row r="523" hidden="1">
      <c r="A523" s="346" t="s">
        <v>1023</v>
      </c>
      <c r="B523" s="326">
        <f>B409*'OLD Formulas'!$C4</f>
        <v>0</v>
      </c>
      <c r="C523" s="326">
        <f>C409*'OLD Formulas'!$C4</f>
        <v>0</v>
      </c>
      <c r="D523" s="326">
        <f>D409*'OLD Formulas'!$C4</f>
        <v>0</v>
      </c>
      <c r="E523" s="326">
        <f>E409*'OLD Formulas'!$C4</f>
        <v>0</v>
      </c>
      <c r="F523" s="326">
        <f>F409*'OLD Formulas'!$C4</f>
        <v>0</v>
      </c>
      <c r="G523" s="326">
        <f>G409*'OLD Formulas'!$C4</f>
        <v>0</v>
      </c>
      <c r="H523" s="326">
        <f>H409*'OLD Formulas'!$C4</f>
        <v>0</v>
      </c>
      <c r="I523" s="326">
        <f>I409*'OLD Formulas'!$C4</f>
        <v>0</v>
      </c>
      <c r="J523" s="326">
        <f>J409*'OLD Formulas'!$C4</f>
        <v>0</v>
      </c>
      <c r="K523" s="326">
        <f>K409*'OLD Formulas'!$C4</f>
        <v>0</v>
      </c>
      <c r="L523" s="326">
        <f>L409*'OLD Formulas'!$C4</f>
        <v>0</v>
      </c>
      <c r="M523" s="326">
        <f>M409*'OLD Formulas'!$C4</f>
        <v>0</v>
      </c>
      <c r="N523" s="326">
        <f>N409*'OLD Formulas'!$C4</f>
        <v>0</v>
      </c>
      <c r="O523" s="326">
        <f>O409*'OLD Formulas'!$C4</f>
        <v>0</v>
      </c>
      <c r="P523" s="326">
        <f>P409*'OLD Formulas'!$C4</f>
        <v>0</v>
      </c>
      <c r="Q523" s="326">
        <f>Q409*'OLD Formulas'!$C4</f>
        <v>0</v>
      </c>
      <c r="R523" s="326">
        <f>R409*'OLD Formulas'!$C4</f>
        <v>0</v>
      </c>
      <c r="S523" s="326">
        <f>S409*'OLD Formulas'!$C4</f>
        <v>0</v>
      </c>
      <c r="T523" s="326">
        <f>T409*'OLD Formulas'!$C4</f>
        <v>0</v>
      </c>
      <c r="U523" s="326">
        <f>U409*'OLD Formulas'!$C4</f>
        <v>0</v>
      </c>
      <c r="V523" s="326">
        <f>V409*'OLD Formulas'!$C4</f>
        <v>0</v>
      </c>
      <c r="W523" s="326">
        <f>W409*'OLD Formulas'!$C4</f>
        <v>0</v>
      </c>
      <c r="X523" s="326">
        <f>X409*'OLD Formulas'!$C4</f>
        <v>0</v>
      </c>
      <c r="Y523" s="326">
        <f>Y409*'OLD Formulas'!$C4</f>
        <v>0</v>
      </c>
      <c r="Z523" s="326">
        <f>Z409*'OLD Formulas'!$C4</f>
        <v>0</v>
      </c>
      <c r="AA523" s="326">
        <f>AA409*'OLD Formulas'!$C4</f>
        <v>0</v>
      </c>
      <c r="AB523" s="326">
        <f>AB409*'OLD Formulas'!$C4</f>
        <v>0</v>
      </c>
      <c r="AC523" s="326">
        <f>AC409*'OLD Formulas'!$C4</f>
        <v>0</v>
      </c>
      <c r="AD523" s="326">
        <f>AD409*'OLD Formulas'!$C4</f>
        <v>0</v>
      </c>
      <c r="AE523" s="326">
        <f>AE409*'OLD Formulas'!$C4</f>
        <v>0</v>
      </c>
      <c r="AF523" s="327"/>
      <c r="AG523" s="1108">
        <f>SUM(C523:AD523)</f>
        <v>0</v>
      </c>
    </row>
    <row r="524" hidden="1">
      <c r="A524" s="337" t="s">
        <v>843</v>
      </c>
      <c r="B524" s="326">
        <f>B523*'OLD Formulas'!$C37</f>
        <v>0</v>
      </c>
      <c r="C524" s="326">
        <f>C523*'OLD Formulas'!$C37</f>
        <v>0</v>
      </c>
      <c r="D524" s="326">
        <f>D523*'OLD Formulas'!$C37</f>
        <v>0</v>
      </c>
      <c r="E524" s="326">
        <f>E523*'OLD Formulas'!$C37</f>
        <v>0</v>
      </c>
      <c r="F524" s="326">
        <f>F523*'OLD Formulas'!$C37</f>
        <v>0</v>
      </c>
      <c r="G524" s="326">
        <f>G523*'OLD Formulas'!$C37</f>
        <v>0</v>
      </c>
      <c r="H524" s="326">
        <f>H523*'OLD Formulas'!$C37</f>
        <v>0</v>
      </c>
      <c r="I524" s="326">
        <f>I523*'OLD Formulas'!$C37</f>
        <v>0</v>
      </c>
      <c r="J524" s="326">
        <f>J523*'OLD Formulas'!$C37</f>
        <v>0</v>
      </c>
      <c r="K524" s="326">
        <f>K523*'OLD Formulas'!$C37</f>
        <v>0</v>
      </c>
      <c r="L524" s="326">
        <f>L523*'OLD Formulas'!$C37</f>
        <v>0</v>
      </c>
      <c r="M524" s="326">
        <f>M523*'OLD Formulas'!$C37</f>
        <v>0</v>
      </c>
      <c r="N524" s="326">
        <f>N523*'OLD Formulas'!$C37</f>
        <v>0</v>
      </c>
      <c r="O524" s="326">
        <f>O523*'OLD Formulas'!$C37</f>
        <v>0</v>
      </c>
      <c r="P524" s="326">
        <f>P523*'OLD Formulas'!$C37</f>
        <v>0</v>
      </c>
      <c r="Q524" s="326">
        <f>Q523*'OLD Formulas'!$C37</f>
        <v>0</v>
      </c>
      <c r="R524" s="326">
        <f>R523*'OLD Formulas'!$C37</f>
        <v>0</v>
      </c>
      <c r="S524" s="326">
        <f>S523*'OLD Formulas'!$C37</f>
        <v>0</v>
      </c>
      <c r="T524" s="326">
        <f>T523*'OLD Formulas'!$C37</f>
        <v>0</v>
      </c>
      <c r="U524" s="326">
        <f>U523*'OLD Formulas'!$C37</f>
        <v>0</v>
      </c>
      <c r="V524" s="326">
        <f>V523*'OLD Formulas'!$C37</f>
        <v>0</v>
      </c>
      <c r="W524" s="326">
        <f>W523*'OLD Formulas'!$C37</f>
        <v>0</v>
      </c>
      <c r="X524" s="326">
        <f>X523*'OLD Formulas'!$C37</f>
        <v>0</v>
      </c>
      <c r="Y524" s="326">
        <f>Y523*'OLD Formulas'!$C37</f>
        <v>0</v>
      </c>
      <c r="Z524" s="326">
        <f>Z523*'OLD Formulas'!$C37</f>
        <v>0</v>
      </c>
      <c r="AA524" s="326">
        <f>AA523*'OLD Formulas'!$C37</f>
        <v>0</v>
      </c>
      <c r="AB524" s="326">
        <f>AB523*'OLD Formulas'!$C37</f>
        <v>0</v>
      </c>
      <c r="AC524" s="326">
        <f>AC523*'OLD Formulas'!$C37</f>
        <v>0</v>
      </c>
      <c r="AD524" s="326">
        <f>AD523*'OLD Formulas'!$C37</f>
        <v>0</v>
      </c>
      <c r="AE524" s="326">
        <f>AE523*'OLD Formulas'!$C37</f>
        <v>0</v>
      </c>
      <c r="AF524" s="327"/>
      <c r="AG524" s="1108">
        <f t="shared" ref="AG524:AG549" si="213">SUM(C524:AE524)</f>
        <v>0</v>
      </c>
    </row>
    <row r="525" hidden="1">
      <c r="A525" s="346" t="s">
        <v>1025</v>
      </c>
      <c r="B525" s="326">
        <f>B410*'OLD Formulas'!$C5</f>
        <v>0</v>
      </c>
      <c r="C525" s="326">
        <f>C410*'OLD Formulas'!$C5</f>
        <v>0</v>
      </c>
      <c r="D525" s="326">
        <f>D410*'OLD Formulas'!$C5</f>
        <v>0</v>
      </c>
      <c r="E525" s="326">
        <f>E410*'OLD Formulas'!$C5</f>
        <v>0</v>
      </c>
      <c r="F525" s="326">
        <f>F410*'OLD Formulas'!$C5</f>
        <v>0</v>
      </c>
      <c r="G525" s="326">
        <f>G410*'OLD Formulas'!$C5</f>
        <v>0</v>
      </c>
      <c r="H525" s="326">
        <f>H410*'OLD Formulas'!$C5</f>
        <v>0</v>
      </c>
      <c r="I525" s="326">
        <f>I410*'OLD Formulas'!$C5</f>
        <v>0</v>
      </c>
      <c r="J525" s="326">
        <f>J410*'OLD Formulas'!$C5</f>
        <v>0</v>
      </c>
      <c r="K525" s="326">
        <f>K410*'OLD Formulas'!$C5</f>
        <v>0</v>
      </c>
      <c r="L525" s="326">
        <f>L410*'OLD Formulas'!$C5</f>
        <v>0</v>
      </c>
      <c r="M525" s="326">
        <f>M410*'OLD Formulas'!$C5</f>
        <v>0</v>
      </c>
      <c r="N525" s="326">
        <f>N410*'OLD Formulas'!$C5</f>
        <v>0</v>
      </c>
      <c r="O525" s="326">
        <f>O410*'OLD Formulas'!$C5</f>
        <v>0</v>
      </c>
      <c r="P525" s="326">
        <f>P410*'OLD Formulas'!$C5</f>
        <v>0</v>
      </c>
      <c r="Q525" s="326">
        <f>Q410*'OLD Formulas'!$C5</f>
        <v>0</v>
      </c>
      <c r="R525" s="326">
        <f>R410*'OLD Formulas'!$C5</f>
        <v>0</v>
      </c>
      <c r="S525" s="326">
        <f>S410*'OLD Formulas'!$C5</f>
        <v>0</v>
      </c>
      <c r="T525" s="326">
        <f>T410*'OLD Formulas'!$C5</f>
        <v>0</v>
      </c>
      <c r="U525" s="326">
        <f>U410*'OLD Formulas'!$C5</f>
        <v>0</v>
      </c>
      <c r="V525" s="326">
        <f>V410*'OLD Formulas'!$C5</f>
        <v>0</v>
      </c>
      <c r="W525" s="326">
        <f>W410*'OLD Formulas'!$C5</f>
        <v>0</v>
      </c>
      <c r="X525" s="326">
        <f>X410*'OLD Formulas'!$C5</f>
        <v>0</v>
      </c>
      <c r="Y525" s="326">
        <f>Y410*'OLD Formulas'!$C5</f>
        <v>0</v>
      </c>
      <c r="Z525" s="326">
        <f>Z410*'OLD Formulas'!$C5</f>
        <v>0</v>
      </c>
      <c r="AA525" s="326">
        <f>AA410*'OLD Formulas'!$C5</f>
        <v>0</v>
      </c>
      <c r="AB525" s="326">
        <f>AB410*'OLD Formulas'!$C5</f>
        <v>0</v>
      </c>
      <c r="AC525" s="326">
        <f>AC410*'OLD Formulas'!$C5</f>
        <v>0</v>
      </c>
      <c r="AD525" s="326">
        <f>AD410*'OLD Formulas'!$C5</f>
        <v>0</v>
      </c>
      <c r="AE525" s="326">
        <f>AE410*'OLD Formulas'!$C5</f>
        <v>0</v>
      </c>
      <c r="AF525" s="327"/>
      <c r="AG525" s="1108">
        <f t="shared" si="213"/>
        <v>0</v>
      </c>
    </row>
    <row r="526" hidden="1">
      <c r="A526" s="337" t="s">
        <v>864</v>
      </c>
      <c r="B526" s="326">
        <f>B525*'OLD Formulas'!$C37</f>
        <v>0</v>
      </c>
      <c r="C526" s="326">
        <f>C525*'OLD Formulas'!$C37</f>
        <v>0</v>
      </c>
      <c r="D526" s="326">
        <f>D525*'OLD Formulas'!$C37</f>
        <v>0</v>
      </c>
      <c r="E526" s="326">
        <f>E525*'OLD Formulas'!$C37</f>
        <v>0</v>
      </c>
      <c r="F526" s="326">
        <f>F525*'OLD Formulas'!$C37</f>
        <v>0</v>
      </c>
      <c r="G526" s="326">
        <f>G525*'OLD Formulas'!$C37</f>
        <v>0</v>
      </c>
      <c r="H526" s="326">
        <f>H525*'OLD Formulas'!$C37</f>
        <v>0</v>
      </c>
      <c r="I526" s="326">
        <f>I525*'OLD Formulas'!$C37</f>
        <v>0</v>
      </c>
      <c r="J526" s="326">
        <f>J525*'OLD Formulas'!$C37</f>
        <v>0</v>
      </c>
      <c r="K526" s="326">
        <f>K525*'OLD Formulas'!$C37</f>
        <v>0</v>
      </c>
      <c r="L526" s="326">
        <f>L525*'OLD Formulas'!$C37</f>
        <v>0</v>
      </c>
      <c r="M526" s="326">
        <f>M525*'OLD Formulas'!$C37</f>
        <v>0</v>
      </c>
      <c r="N526" s="326">
        <f>N525*'OLD Formulas'!$C37</f>
        <v>0</v>
      </c>
      <c r="O526" s="326">
        <f>O525*'OLD Formulas'!$C37</f>
        <v>0</v>
      </c>
      <c r="P526" s="326">
        <f>P525*'OLD Formulas'!$C37</f>
        <v>0</v>
      </c>
      <c r="Q526" s="326">
        <f>Q525*'OLD Formulas'!$C37</f>
        <v>0</v>
      </c>
      <c r="R526" s="326">
        <f>R525*'OLD Formulas'!$C37</f>
        <v>0</v>
      </c>
      <c r="S526" s="326">
        <f>S525*'OLD Formulas'!$C37</f>
        <v>0</v>
      </c>
      <c r="T526" s="326">
        <f>T525*'OLD Formulas'!$C37</f>
        <v>0</v>
      </c>
      <c r="U526" s="326">
        <f>U525*'OLD Formulas'!$C37</f>
        <v>0</v>
      </c>
      <c r="V526" s="326">
        <f>V525*'OLD Formulas'!$C37</f>
        <v>0</v>
      </c>
      <c r="W526" s="326">
        <f>W525*'OLD Formulas'!$C37</f>
        <v>0</v>
      </c>
      <c r="X526" s="326">
        <f>X525*'OLD Formulas'!$C37</f>
        <v>0</v>
      </c>
      <c r="Y526" s="326">
        <f>Y525*'OLD Formulas'!$C37</f>
        <v>0</v>
      </c>
      <c r="Z526" s="326">
        <f>Z525*'OLD Formulas'!$C37</f>
        <v>0</v>
      </c>
      <c r="AA526" s="326">
        <f>AA525*'OLD Formulas'!$C37</f>
        <v>0</v>
      </c>
      <c r="AB526" s="326">
        <f>AB525*'OLD Formulas'!$C37</f>
        <v>0</v>
      </c>
      <c r="AC526" s="326">
        <f>AC525*'OLD Formulas'!$C37</f>
        <v>0</v>
      </c>
      <c r="AD526" s="326">
        <f>AD525*'OLD Formulas'!$C37</f>
        <v>0</v>
      </c>
      <c r="AE526" s="326">
        <f>AE525*'OLD Formulas'!$C37</f>
        <v>0</v>
      </c>
      <c r="AF526" s="327"/>
      <c r="AG526" s="1108">
        <f t="shared" si="213"/>
        <v>0</v>
      </c>
    </row>
    <row r="527" hidden="1">
      <c r="A527" s="346" t="s">
        <v>871</v>
      </c>
      <c r="B527" s="326">
        <f>(B413+B420+B427)*'OLD Formulas'!$C8</f>
        <v>0</v>
      </c>
      <c r="C527" s="326">
        <f>(C413+C420+C427)*'OLD Formulas'!$C8</f>
        <v>0</v>
      </c>
      <c r="D527" s="326">
        <f>(D413+D420+D427)*'OLD Formulas'!$C8</f>
        <v>0</v>
      </c>
      <c r="E527" s="326">
        <f>(E413+E420+E427)*'OLD Formulas'!$C8</f>
        <v>0</v>
      </c>
      <c r="F527" s="326">
        <f>(F413+F420+F427)*'OLD Formulas'!$C8</f>
        <v>0</v>
      </c>
      <c r="G527" s="326">
        <f>(G413+G420+G427)*'OLD Formulas'!$C8</f>
        <v>0</v>
      </c>
      <c r="H527" s="326">
        <f>(H413+H420+H427)*'OLD Formulas'!$C8</f>
        <v>0</v>
      </c>
      <c r="I527" s="326">
        <f>(I413+I420+I427)*'OLD Formulas'!$C8</f>
        <v>0</v>
      </c>
      <c r="J527" s="326">
        <f>(J413+J420+J427)*'OLD Formulas'!$C8</f>
        <v>0</v>
      </c>
      <c r="K527" s="326">
        <f>(K413+K420+K427)*'OLD Formulas'!$C8</f>
        <v>0</v>
      </c>
      <c r="L527" s="326">
        <f>(L413+L420+L427)*'OLD Formulas'!$C8</f>
        <v>0</v>
      </c>
      <c r="M527" s="326">
        <f>(M413+M420+M427)*'OLD Formulas'!$C8</f>
        <v>0</v>
      </c>
      <c r="N527" s="326">
        <f>(N413+N420+N427)*'OLD Formulas'!$C8</f>
        <v>0</v>
      </c>
      <c r="O527" s="326">
        <f>(O413+O420+O427)*'OLD Formulas'!$C8</f>
        <v>0</v>
      </c>
      <c r="P527" s="326">
        <f>(P413+P420+P427)*'OLD Formulas'!$C8</f>
        <v>0</v>
      </c>
      <c r="Q527" s="326">
        <f>(Q413+Q420+Q427)*'OLD Formulas'!$C8</f>
        <v>0</v>
      </c>
      <c r="R527" s="326">
        <f>(R413+R420+R427)*'OLD Formulas'!$C8</f>
        <v>0</v>
      </c>
      <c r="S527" s="326">
        <f>(S413+S420+S427)*'OLD Formulas'!$C8</f>
        <v>0</v>
      </c>
      <c r="T527" s="326">
        <f>(T413+T420+T427)*'OLD Formulas'!$C8</f>
        <v>0</v>
      </c>
      <c r="U527" s="326">
        <f>(U413+U420+U427)*'OLD Formulas'!$C8</f>
        <v>0</v>
      </c>
      <c r="V527" s="326">
        <f>(V413+V420+V427)*'OLD Formulas'!$C8</f>
        <v>0</v>
      </c>
      <c r="W527" s="326">
        <f>(W413+W420+W427)*'OLD Formulas'!$C8</f>
        <v>0</v>
      </c>
      <c r="X527" s="326">
        <f>(X413+X420+X427)*'OLD Formulas'!$C8</f>
        <v>0</v>
      </c>
      <c r="Y527" s="326">
        <f>(Y413+Y420+Y427)*'OLD Formulas'!$C8</f>
        <v>0</v>
      </c>
      <c r="Z527" s="326">
        <f>(Z413+Z420+Z427)*'OLD Formulas'!$C8</f>
        <v>0</v>
      </c>
      <c r="AA527" s="326">
        <f>(AA413+AA420+AA427)*'OLD Formulas'!$C8</f>
        <v>0</v>
      </c>
      <c r="AB527" s="326">
        <f>(AB413+AB420+AB427)*'OLD Formulas'!$C8</f>
        <v>0</v>
      </c>
      <c r="AC527" s="326">
        <f>(AC413+AC420+AC427)*'OLD Formulas'!$C8</f>
        <v>0</v>
      </c>
      <c r="AD527" s="326">
        <f>(AD413+AD420+AD427)*'OLD Formulas'!$C8</f>
        <v>0</v>
      </c>
      <c r="AE527" s="326">
        <f>(AE413+AE420+AE427)*'OLD Formulas'!$C8</f>
        <v>0</v>
      </c>
      <c r="AF527" s="327"/>
      <c r="AG527" s="1108">
        <f t="shared" si="213"/>
        <v>0</v>
      </c>
    </row>
    <row r="528" hidden="1">
      <c r="A528" s="337" t="s">
        <v>875</v>
      </c>
      <c r="B528" s="326">
        <f>B527*'OLD Formulas'!$C37</f>
        <v>0</v>
      </c>
      <c r="C528" s="326">
        <f>C527*'OLD Formulas'!$C37</f>
        <v>0</v>
      </c>
      <c r="D528" s="326">
        <f>D527*'OLD Formulas'!$C37</f>
        <v>0</v>
      </c>
      <c r="E528" s="326">
        <f>E527*'OLD Formulas'!$C37</f>
        <v>0</v>
      </c>
      <c r="F528" s="326">
        <f>F527*'OLD Formulas'!$C37</f>
        <v>0</v>
      </c>
      <c r="G528" s="326">
        <f>G527*'OLD Formulas'!$C37</f>
        <v>0</v>
      </c>
      <c r="H528" s="326">
        <f>H527*'OLD Formulas'!$C37</f>
        <v>0</v>
      </c>
      <c r="I528" s="326">
        <f>I527*'OLD Formulas'!$C37</f>
        <v>0</v>
      </c>
      <c r="J528" s="326">
        <f>J527*'OLD Formulas'!$C37</f>
        <v>0</v>
      </c>
      <c r="K528" s="326">
        <f>K527*'OLD Formulas'!$C37</f>
        <v>0</v>
      </c>
      <c r="L528" s="326">
        <f>L527*'OLD Formulas'!$C37</f>
        <v>0</v>
      </c>
      <c r="M528" s="326">
        <f>M527*'OLD Formulas'!$C37</f>
        <v>0</v>
      </c>
      <c r="N528" s="326">
        <f>N527*'OLD Formulas'!$C37</f>
        <v>0</v>
      </c>
      <c r="O528" s="326">
        <f>O527*'OLD Formulas'!$C37</f>
        <v>0</v>
      </c>
      <c r="P528" s="326">
        <f>P527*'OLD Formulas'!$C37</f>
        <v>0</v>
      </c>
      <c r="Q528" s="326">
        <f>Q527*'OLD Formulas'!$C37</f>
        <v>0</v>
      </c>
      <c r="R528" s="326">
        <f>R527*'OLD Formulas'!$C37</f>
        <v>0</v>
      </c>
      <c r="S528" s="326">
        <f>S527*'OLD Formulas'!$C37</f>
        <v>0</v>
      </c>
      <c r="T528" s="326">
        <f>T527*'OLD Formulas'!$C37</f>
        <v>0</v>
      </c>
      <c r="U528" s="326">
        <f>U527*'OLD Formulas'!$C37</f>
        <v>0</v>
      </c>
      <c r="V528" s="326">
        <f>V527*'OLD Formulas'!$C37</f>
        <v>0</v>
      </c>
      <c r="W528" s="326">
        <f>W527*'OLD Formulas'!$C37</f>
        <v>0</v>
      </c>
      <c r="X528" s="326">
        <f>X527*'OLD Formulas'!$C37</f>
        <v>0</v>
      </c>
      <c r="Y528" s="326">
        <f>Y527*'OLD Formulas'!$C37</f>
        <v>0</v>
      </c>
      <c r="Z528" s="326">
        <f>Z527*'OLD Formulas'!$C37</f>
        <v>0</v>
      </c>
      <c r="AA528" s="326">
        <f>AA527*'OLD Formulas'!$C37</f>
        <v>0</v>
      </c>
      <c r="AB528" s="326">
        <f>AB527*'OLD Formulas'!$C37</f>
        <v>0</v>
      </c>
      <c r="AC528" s="326">
        <f>AC527*'OLD Formulas'!$C37</f>
        <v>0</v>
      </c>
      <c r="AD528" s="326">
        <f>AD527*'OLD Formulas'!$C37</f>
        <v>0</v>
      </c>
      <c r="AE528" s="326">
        <f>AE527*'OLD Formulas'!$C37</f>
        <v>0</v>
      </c>
      <c r="AF528" s="327"/>
      <c r="AG528" s="1108">
        <f t="shared" si="213"/>
        <v>0</v>
      </c>
    </row>
    <row r="529" hidden="1">
      <c r="A529" s="337" t="s">
        <v>881</v>
      </c>
      <c r="B529" s="326">
        <f>B527*'OLD Formulas'!$C36</f>
        <v>0</v>
      </c>
      <c r="C529" s="326">
        <f>C527*'OLD Formulas'!$C36</f>
        <v>0</v>
      </c>
      <c r="D529" s="326">
        <f>D527*'OLD Formulas'!$C36</f>
        <v>0</v>
      </c>
      <c r="E529" s="326">
        <f>E527*'OLD Formulas'!$C36</f>
        <v>0</v>
      </c>
      <c r="F529" s="326">
        <f>F527*'OLD Formulas'!$C36</f>
        <v>0</v>
      </c>
      <c r="G529" s="326">
        <f>G527*'OLD Formulas'!$C36</f>
        <v>0</v>
      </c>
      <c r="H529" s="326">
        <f>H527*'OLD Formulas'!$C36</f>
        <v>0</v>
      </c>
      <c r="I529" s="326">
        <f>I527*'OLD Formulas'!$C36</f>
        <v>0</v>
      </c>
      <c r="J529" s="326">
        <f>J527*'OLD Formulas'!$C36</f>
        <v>0</v>
      </c>
      <c r="K529" s="326">
        <f>K527*'OLD Formulas'!$C36</f>
        <v>0</v>
      </c>
      <c r="L529" s="326">
        <f>L527*'OLD Formulas'!$C36</f>
        <v>0</v>
      </c>
      <c r="M529" s="326">
        <f>M527*'OLD Formulas'!$C36</f>
        <v>0</v>
      </c>
      <c r="N529" s="326">
        <f>N527*'OLD Formulas'!$C36</f>
        <v>0</v>
      </c>
      <c r="O529" s="326">
        <f>O527*'OLD Formulas'!$C36</f>
        <v>0</v>
      </c>
      <c r="P529" s="326">
        <f>P527*'OLD Formulas'!$C36</f>
        <v>0</v>
      </c>
      <c r="Q529" s="326">
        <f>Q527*'OLD Formulas'!$C36</f>
        <v>0</v>
      </c>
      <c r="R529" s="326">
        <f>R527*'OLD Formulas'!$C36</f>
        <v>0</v>
      </c>
      <c r="S529" s="326">
        <f>S527*'OLD Formulas'!$C36</f>
        <v>0</v>
      </c>
      <c r="T529" s="326">
        <f>T527*'OLD Formulas'!$C36</f>
        <v>0</v>
      </c>
      <c r="U529" s="326">
        <f>U527*'OLD Formulas'!$C36</f>
        <v>0</v>
      </c>
      <c r="V529" s="326">
        <f>V527*'OLD Formulas'!$C36</f>
        <v>0</v>
      </c>
      <c r="W529" s="326">
        <f>W527*'OLD Formulas'!$C36</f>
        <v>0</v>
      </c>
      <c r="X529" s="326">
        <f>X527*'OLD Formulas'!$C36</f>
        <v>0</v>
      </c>
      <c r="Y529" s="326">
        <f>Y527*'OLD Formulas'!$C36</f>
        <v>0</v>
      </c>
      <c r="Z529" s="326">
        <f>Z527*'OLD Formulas'!$C36</f>
        <v>0</v>
      </c>
      <c r="AA529" s="326">
        <f>AA527*'OLD Formulas'!$C36</f>
        <v>0</v>
      </c>
      <c r="AB529" s="326">
        <f>AB527*'OLD Formulas'!$C36</f>
        <v>0</v>
      </c>
      <c r="AC529" s="326">
        <f>AC527*'OLD Formulas'!$C36</f>
        <v>0</v>
      </c>
      <c r="AD529" s="326">
        <f>AD527*'OLD Formulas'!$C36</f>
        <v>0</v>
      </c>
      <c r="AE529" s="326">
        <f>AE527*'OLD Formulas'!$C36</f>
        <v>0</v>
      </c>
      <c r="AF529" s="327"/>
      <c r="AG529" s="1108">
        <f t="shared" si="213"/>
        <v>0</v>
      </c>
    </row>
    <row r="530" hidden="1">
      <c r="A530" s="346" t="s">
        <v>1026</v>
      </c>
      <c r="B530" s="326">
        <f>(B412+B419+B426)*'OLD Formulas'!$C7</f>
        <v>0</v>
      </c>
      <c r="C530" s="326">
        <f>(C412+C419+C426)*'OLD Formulas'!$C7</f>
        <v>0</v>
      </c>
      <c r="D530" s="326">
        <f>(D412+D419+D426)*'OLD Formulas'!$C7</f>
        <v>0</v>
      </c>
      <c r="E530" s="326">
        <f>(E412+E419+E426)*'OLD Formulas'!$C7</f>
        <v>0</v>
      </c>
      <c r="F530" s="326">
        <f>(F412+F419+F426)*'OLD Formulas'!$C7</f>
        <v>0</v>
      </c>
      <c r="G530" s="326">
        <f>(G412+G419+G426)*'OLD Formulas'!$C7</f>
        <v>0</v>
      </c>
      <c r="H530" s="326">
        <f>(H412+H419+H426)*'OLD Formulas'!$C7</f>
        <v>0</v>
      </c>
      <c r="I530" s="326">
        <f>(I412+I419+I426)*'OLD Formulas'!$C7</f>
        <v>0</v>
      </c>
      <c r="J530" s="326">
        <f>(J412+J419+J426)*'OLD Formulas'!$C7</f>
        <v>0</v>
      </c>
      <c r="K530" s="326">
        <f>(K412+K419+K426)*'OLD Formulas'!$C7</f>
        <v>0</v>
      </c>
      <c r="L530" s="326">
        <f>(L412+L419+L426)*'OLD Formulas'!$C7</f>
        <v>0</v>
      </c>
      <c r="M530" s="326">
        <f>(M412+M419+M426)*'OLD Formulas'!$C7</f>
        <v>0</v>
      </c>
      <c r="N530" s="326">
        <f>(N412+N419+N426)*'OLD Formulas'!$C7</f>
        <v>0</v>
      </c>
      <c r="O530" s="326">
        <f>(O412+O419+O426)*'OLD Formulas'!$C7</f>
        <v>0</v>
      </c>
      <c r="P530" s="326">
        <f>(P412+P419+P426)*'OLD Formulas'!$C7</f>
        <v>0</v>
      </c>
      <c r="Q530" s="326">
        <f>(Q412+Q419+Q426)*'OLD Formulas'!$C7</f>
        <v>0</v>
      </c>
      <c r="R530" s="326">
        <f>(R412+R419+R426)*'OLD Formulas'!$C7</f>
        <v>0</v>
      </c>
      <c r="S530" s="326">
        <f>(S412+S419+S426)*'OLD Formulas'!$C7</f>
        <v>0</v>
      </c>
      <c r="T530" s="326">
        <f>(T412+T419+T426)*'OLD Formulas'!$C7</f>
        <v>0</v>
      </c>
      <c r="U530" s="326">
        <f>(U412+U419+U426)*'OLD Formulas'!$C7</f>
        <v>0</v>
      </c>
      <c r="V530" s="326">
        <f>(V412+V419+V426)*'OLD Formulas'!$C7</f>
        <v>0</v>
      </c>
      <c r="W530" s="326">
        <f>(W412+W419+W426)*'OLD Formulas'!$C7</f>
        <v>0</v>
      </c>
      <c r="X530" s="326">
        <f>(X412+X419+X426)*'OLD Formulas'!$C7</f>
        <v>0</v>
      </c>
      <c r="Y530" s="326">
        <f>(Y412+Y419+Y426)*'OLD Formulas'!$C7</f>
        <v>0</v>
      </c>
      <c r="Z530" s="326">
        <f>(Z412+Z419+Z426)*'OLD Formulas'!$C7</f>
        <v>0</v>
      </c>
      <c r="AA530" s="326">
        <f>(AA412+AA419+AA426)*'OLD Formulas'!$C7</f>
        <v>0</v>
      </c>
      <c r="AB530" s="326">
        <f>(AB412+AB419+AB426)*'OLD Formulas'!$C7</f>
        <v>0</v>
      </c>
      <c r="AC530" s="326">
        <f>(AC412+AC419+AC426)*'OLD Formulas'!$C7</f>
        <v>0</v>
      </c>
      <c r="AD530" s="326">
        <f>(AD412+AD419+AD426)*'OLD Formulas'!$C7</f>
        <v>0</v>
      </c>
      <c r="AE530" s="326">
        <f>(AE412+AE419+AE426)*'OLD Formulas'!$C7</f>
        <v>0</v>
      </c>
      <c r="AF530" s="327"/>
      <c r="AG530" s="1108">
        <f t="shared" si="213"/>
        <v>0</v>
      </c>
    </row>
    <row r="531" hidden="1">
      <c r="A531" s="337" t="s">
        <v>888</v>
      </c>
      <c r="B531" s="326">
        <f>B530*'OLD Formulas'!$C37</f>
        <v>0</v>
      </c>
      <c r="C531" s="326">
        <f>C530*'OLD Formulas'!$C37</f>
        <v>0</v>
      </c>
      <c r="D531" s="326">
        <f>D530*'OLD Formulas'!$C37</f>
        <v>0</v>
      </c>
      <c r="E531" s="326">
        <f>E530*'OLD Formulas'!$C37</f>
        <v>0</v>
      </c>
      <c r="F531" s="326">
        <f>F530*'OLD Formulas'!$C37</f>
        <v>0</v>
      </c>
      <c r="G531" s="326">
        <f>G530*'OLD Formulas'!$C37</f>
        <v>0</v>
      </c>
      <c r="H531" s="326">
        <f>H530*'OLD Formulas'!$C37</f>
        <v>0</v>
      </c>
      <c r="I531" s="326">
        <f>I530*'OLD Formulas'!$C37</f>
        <v>0</v>
      </c>
      <c r="J531" s="326">
        <f>J530*'OLD Formulas'!$C37</f>
        <v>0</v>
      </c>
      <c r="K531" s="326">
        <f>K530*'OLD Formulas'!$C37</f>
        <v>0</v>
      </c>
      <c r="L531" s="326">
        <f>L530*'OLD Formulas'!$C37</f>
        <v>0</v>
      </c>
      <c r="M531" s="326">
        <f>M530*'OLD Formulas'!$C37</f>
        <v>0</v>
      </c>
      <c r="N531" s="326">
        <f>N530*'OLD Formulas'!$C37</f>
        <v>0</v>
      </c>
      <c r="O531" s="326">
        <f>O530*'OLD Formulas'!$C37</f>
        <v>0</v>
      </c>
      <c r="P531" s="326">
        <f>P530*'OLD Formulas'!$C37</f>
        <v>0</v>
      </c>
      <c r="Q531" s="326">
        <f>Q530*'OLD Formulas'!$C37</f>
        <v>0</v>
      </c>
      <c r="R531" s="326">
        <f>R530*'OLD Formulas'!$C37</f>
        <v>0</v>
      </c>
      <c r="S531" s="326">
        <f>S530*'OLD Formulas'!$C37</f>
        <v>0</v>
      </c>
      <c r="T531" s="326">
        <f>T530*'OLD Formulas'!$C37</f>
        <v>0</v>
      </c>
      <c r="U531" s="326">
        <f>U530*'OLD Formulas'!$C37</f>
        <v>0</v>
      </c>
      <c r="V531" s="326">
        <f>V530*'OLD Formulas'!$C37</f>
        <v>0</v>
      </c>
      <c r="W531" s="326">
        <f>W530*'OLD Formulas'!$C37</f>
        <v>0</v>
      </c>
      <c r="X531" s="326">
        <f>X530*'OLD Formulas'!$C37</f>
        <v>0</v>
      </c>
      <c r="Y531" s="326">
        <f>Y530*'OLD Formulas'!$C37</f>
        <v>0</v>
      </c>
      <c r="Z531" s="326">
        <f>Z530*'OLD Formulas'!$C37</f>
        <v>0</v>
      </c>
      <c r="AA531" s="326">
        <f>AA530*'OLD Formulas'!$C37</f>
        <v>0</v>
      </c>
      <c r="AB531" s="326">
        <f>AB530*'OLD Formulas'!$C37</f>
        <v>0</v>
      </c>
      <c r="AC531" s="326">
        <f>AC530*'OLD Formulas'!$C37</f>
        <v>0</v>
      </c>
      <c r="AD531" s="326">
        <f>AD530*'OLD Formulas'!$C37</f>
        <v>0</v>
      </c>
      <c r="AE531" s="326">
        <f>AE530*'OLD Formulas'!$C37</f>
        <v>0</v>
      </c>
      <c r="AF531" s="327"/>
      <c r="AG531" s="1108">
        <f t="shared" si="213"/>
        <v>0</v>
      </c>
    </row>
    <row r="532" hidden="1">
      <c r="A532" s="337" t="s">
        <v>889</v>
      </c>
      <c r="B532" s="326">
        <f>B530*'OLD Formulas'!$C36</f>
        <v>0</v>
      </c>
      <c r="C532" s="326">
        <f>C530*'OLD Formulas'!$C36</f>
        <v>0</v>
      </c>
      <c r="D532" s="326">
        <f>D530*'OLD Formulas'!$C36</f>
        <v>0</v>
      </c>
      <c r="E532" s="326">
        <f>E530*'OLD Formulas'!$C36</f>
        <v>0</v>
      </c>
      <c r="F532" s="326">
        <f>F530*'OLD Formulas'!$C36</f>
        <v>0</v>
      </c>
      <c r="G532" s="326">
        <f>G530*'OLD Formulas'!$C36</f>
        <v>0</v>
      </c>
      <c r="H532" s="326">
        <f>H530*'OLD Formulas'!$C36</f>
        <v>0</v>
      </c>
      <c r="I532" s="326">
        <f>I530*'OLD Formulas'!$C36</f>
        <v>0</v>
      </c>
      <c r="J532" s="326">
        <f>J530*'OLD Formulas'!$C36</f>
        <v>0</v>
      </c>
      <c r="K532" s="326">
        <f>K530*'OLD Formulas'!$C36</f>
        <v>0</v>
      </c>
      <c r="L532" s="326">
        <f>L530*'OLD Formulas'!$C36</f>
        <v>0</v>
      </c>
      <c r="M532" s="326">
        <f>M530*'OLD Formulas'!$C36</f>
        <v>0</v>
      </c>
      <c r="N532" s="326">
        <f>N530*'OLD Formulas'!$C36</f>
        <v>0</v>
      </c>
      <c r="O532" s="326">
        <f>O530*'OLD Formulas'!$C36</f>
        <v>0</v>
      </c>
      <c r="P532" s="326">
        <f>P530*'OLD Formulas'!$C36</f>
        <v>0</v>
      </c>
      <c r="Q532" s="326">
        <f>Q530*'OLD Formulas'!$C36</f>
        <v>0</v>
      </c>
      <c r="R532" s="326">
        <f>R530*'OLD Formulas'!$C36</f>
        <v>0</v>
      </c>
      <c r="S532" s="326">
        <f>S530*'OLD Formulas'!$C36</f>
        <v>0</v>
      </c>
      <c r="T532" s="326">
        <f>T530*'OLD Formulas'!$C36</f>
        <v>0</v>
      </c>
      <c r="U532" s="326">
        <f>U530*'OLD Formulas'!$C36</f>
        <v>0</v>
      </c>
      <c r="V532" s="326">
        <f>V530*'OLD Formulas'!$C36</f>
        <v>0</v>
      </c>
      <c r="W532" s="326">
        <f>W530*'OLD Formulas'!$C36</f>
        <v>0</v>
      </c>
      <c r="X532" s="326">
        <f>X530*'OLD Formulas'!$C36</f>
        <v>0</v>
      </c>
      <c r="Y532" s="326">
        <f>Y530*'OLD Formulas'!$C36</f>
        <v>0</v>
      </c>
      <c r="Z532" s="326">
        <f>Z530*'OLD Formulas'!$C36</f>
        <v>0</v>
      </c>
      <c r="AA532" s="326">
        <f>AA530*'OLD Formulas'!$C36</f>
        <v>0</v>
      </c>
      <c r="AB532" s="326">
        <f>AB530*'OLD Formulas'!$C36</f>
        <v>0</v>
      </c>
      <c r="AC532" s="326">
        <f>AC530*'OLD Formulas'!$C36</f>
        <v>0</v>
      </c>
      <c r="AD532" s="326">
        <f>AD530*'OLD Formulas'!$C36</f>
        <v>0</v>
      </c>
      <c r="AE532" s="326">
        <f>AE530*'OLD Formulas'!$C36</f>
        <v>0</v>
      </c>
      <c r="AF532" s="327"/>
      <c r="AG532" s="1108">
        <f t="shared" si="213"/>
        <v>0</v>
      </c>
    </row>
    <row r="533" hidden="1">
      <c r="A533" s="346" t="s">
        <v>1027</v>
      </c>
      <c r="B533" s="326">
        <f>(B414+B421+B428)*'OLD Formulas'!$C9</f>
        <v>0</v>
      </c>
      <c r="C533" s="326">
        <f>(C414+C421+C428)*'OLD Formulas'!$C9</f>
        <v>0</v>
      </c>
      <c r="D533" s="326">
        <f>(D414+D421+D428)*'OLD Formulas'!$C9</f>
        <v>0</v>
      </c>
      <c r="E533" s="326">
        <f>(E414+E421+E428)*'OLD Formulas'!$C9</f>
        <v>0</v>
      </c>
      <c r="F533" s="326">
        <f>(F414+F421+F428)*'OLD Formulas'!$C9</f>
        <v>0</v>
      </c>
      <c r="G533" s="326">
        <f>(G414+G421+G428)*'OLD Formulas'!$C9</f>
        <v>0</v>
      </c>
      <c r="H533" s="326">
        <f>(H414+H421+H428)*'OLD Formulas'!$C9</f>
        <v>0</v>
      </c>
      <c r="I533" s="326">
        <f>(I414+I421+I428)*'OLD Formulas'!$C9</f>
        <v>0</v>
      </c>
      <c r="J533" s="326">
        <f>(J414+J421+J428)*'OLD Formulas'!$C9</f>
        <v>0</v>
      </c>
      <c r="K533" s="326">
        <f>(K414+K421+K428)*'OLD Formulas'!$C9</f>
        <v>0</v>
      </c>
      <c r="L533" s="326">
        <f>(L414+L421+L428)*'OLD Formulas'!$C9</f>
        <v>0</v>
      </c>
      <c r="M533" s="326">
        <f>(M414+M421+M428)*'OLD Formulas'!$C9</f>
        <v>0</v>
      </c>
      <c r="N533" s="326">
        <f>(N414+N421+N428)*'OLD Formulas'!$C9</f>
        <v>0</v>
      </c>
      <c r="O533" s="326">
        <f>(O414+O421+O428)*'OLD Formulas'!$C9</f>
        <v>0</v>
      </c>
      <c r="P533" s="326">
        <f>(P414+P421+P428)*'OLD Formulas'!$C9</f>
        <v>0</v>
      </c>
      <c r="Q533" s="326">
        <f>(Q414+Q421+Q428)*'OLD Formulas'!$C9</f>
        <v>0</v>
      </c>
      <c r="R533" s="326">
        <f>(R414+R421+R428)*'OLD Formulas'!$C9</f>
        <v>0</v>
      </c>
      <c r="S533" s="326">
        <f>(S414+S421+S428)*'OLD Formulas'!$C9</f>
        <v>0</v>
      </c>
      <c r="T533" s="326">
        <f>(T414+T421+T428)*'OLD Formulas'!$C9</f>
        <v>0</v>
      </c>
      <c r="U533" s="326">
        <f>(U414+U421+U428)*'OLD Formulas'!$C9</f>
        <v>0</v>
      </c>
      <c r="V533" s="326">
        <f>(V414+V421+V428)*'OLD Formulas'!$C9</f>
        <v>0</v>
      </c>
      <c r="W533" s="326">
        <f>(W414+W421+W428)*'OLD Formulas'!$C9</f>
        <v>0</v>
      </c>
      <c r="X533" s="326">
        <f>(X414+X421+X428)*'OLD Formulas'!$C9</f>
        <v>0</v>
      </c>
      <c r="Y533" s="326">
        <f>(Y414+Y421+Y428)*'OLD Formulas'!$C9</f>
        <v>0</v>
      </c>
      <c r="Z533" s="326">
        <f>(Z414+Z421+Z428)*'OLD Formulas'!$C9</f>
        <v>0</v>
      </c>
      <c r="AA533" s="326">
        <f>(AA414+AA421+AA428)*'OLD Formulas'!$C9</f>
        <v>0</v>
      </c>
      <c r="AB533" s="326">
        <f>(AB414+AB421+AB428)*'OLD Formulas'!$C9</f>
        <v>0</v>
      </c>
      <c r="AC533" s="326">
        <f>(AC414+AC421+AC428)*'OLD Formulas'!$C9</f>
        <v>0</v>
      </c>
      <c r="AD533" s="326">
        <f>(AD414+AD421+AD428)*'OLD Formulas'!$C9</f>
        <v>0</v>
      </c>
      <c r="AE533" s="326">
        <f>(AE414+AE421+AE428)*'OLD Formulas'!$C9</f>
        <v>0</v>
      </c>
      <c r="AF533" s="327"/>
      <c r="AG533" s="1108">
        <f t="shared" si="213"/>
        <v>0</v>
      </c>
    </row>
    <row r="534" hidden="1">
      <c r="A534" s="337" t="s">
        <v>892</v>
      </c>
      <c r="B534" s="326">
        <f>B533*'OLD Formulas'!$C37</f>
        <v>0</v>
      </c>
      <c r="C534" s="326">
        <f>C533*'OLD Formulas'!$C37</f>
        <v>0</v>
      </c>
      <c r="D534" s="326">
        <f>D533*'OLD Formulas'!$C37</f>
        <v>0</v>
      </c>
      <c r="E534" s="326">
        <f>E533*'OLD Formulas'!$C37</f>
        <v>0</v>
      </c>
      <c r="F534" s="326">
        <f>F533*'OLD Formulas'!$C37</f>
        <v>0</v>
      </c>
      <c r="G534" s="326">
        <f>G533*'OLD Formulas'!$C37</f>
        <v>0</v>
      </c>
      <c r="H534" s="326">
        <f>H533*'OLD Formulas'!$C37</f>
        <v>0</v>
      </c>
      <c r="I534" s="326">
        <f>I533*'OLD Formulas'!$C37</f>
        <v>0</v>
      </c>
      <c r="J534" s="326">
        <f>J533*'OLD Formulas'!$C37</f>
        <v>0</v>
      </c>
      <c r="K534" s="326">
        <f>K533*'OLD Formulas'!$C37</f>
        <v>0</v>
      </c>
      <c r="L534" s="326">
        <f>L533*'OLD Formulas'!$C37</f>
        <v>0</v>
      </c>
      <c r="M534" s="326">
        <f>M533*'OLD Formulas'!$C37</f>
        <v>0</v>
      </c>
      <c r="N534" s="326">
        <f>N533*'OLD Formulas'!$C37</f>
        <v>0</v>
      </c>
      <c r="O534" s="326">
        <f>O533*'OLD Formulas'!$C37</f>
        <v>0</v>
      </c>
      <c r="P534" s="326">
        <f>P533*'OLD Formulas'!$C37</f>
        <v>0</v>
      </c>
      <c r="Q534" s="326">
        <f>Q533*'OLD Formulas'!$C37</f>
        <v>0</v>
      </c>
      <c r="R534" s="326">
        <f>R533*'OLD Formulas'!$C37</f>
        <v>0</v>
      </c>
      <c r="S534" s="326">
        <f>S533*'OLD Formulas'!$C37</f>
        <v>0</v>
      </c>
      <c r="T534" s="326">
        <f>T533*'OLD Formulas'!$C37</f>
        <v>0</v>
      </c>
      <c r="U534" s="326">
        <f>U533*'OLD Formulas'!$C37</f>
        <v>0</v>
      </c>
      <c r="V534" s="326">
        <f>V533*'OLD Formulas'!$C37</f>
        <v>0</v>
      </c>
      <c r="W534" s="326">
        <f>W533*'OLD Formulas'!$C37</f>
        <v>0</v>
      </c>
      <c r="X534" s="326">
        <f>X533*'OLD Formulas'!$C37</f>
        <v>0</v>
      </c>
      <c r="Y534" s="326">
        <f>Y533*'OLD Formulas'!$C37</f>
        <v>0</v>
      </c>
      <c r="Z534" s="326">
        <f>Z533*'OLD Formulas'!$C37</f>
        <v>0</v>
      </c>
      <c r="AA534" s="326">
        <f>AA533*'OLD Formulas'!$C37</f>
        <v>0</v>
      </c>
      <c r="AB534" s="326">
        <f>AB533*'OLD Formulas'!$C37</f>
        <v>0</v>
      </c>
      <c r="AC534" s="326">
        <f>AC533*'OLD Formulas'!$C37</f>
        <v>0</v>
      </c>
      <c r="AD534" s="326">
        <f>AD533*'OLD Formulas'!$C37</f>
        <v>0</v>
      </c>
      <c r="AE534" s="326">
        <f>AE533*'OLD Formulas'!$C37</f>
        <v>0</v>
      </c>
      <c r="AF534" s="327"/>
      <c r="AG534" s="1108">
        <f t="shared" si="213"/>
        <v>0</v>
      </c>
    </row>
    <row r="535" hidden="1">
      <c r="A535" s="337" t="s">
        <v>894</v>
      </c>
      <c r="B535" s="326">
        <f>B533*'OLD Formulas'!$C36</f>
        <v>0</v>
      </c>
      <c r="C535" s="326">
        <f>C533*'OLD Formulas'!$C36</f>
        <v>0</v>
      </c>
      <c r="D535" s="326">
        <f>D533*'OLD Formulas'!$C36</f>
        <v>0</v>
      </c>
      <c r="E535" s="326">
        <f>E533*'OLD Formulas'!$C36</f>
        <v>0</v>
      </c>
      <c r="F535" s="326">
        <f>F533*'OLD Formulas'!$C36</f>
        <v>0</v>
      </c>
      <c r="G535" s="326">
        <f>G533*'OLD Formulas'!$C36</f>
        <v>0</v>
      </c>
      <c r="H535" s="326">
        <f>H533*'OLD Formulas'!$C36</f>
        <v>0</v>
      </c>
      <c r="I535" s="326">
        <f>I533*'OLD Formulas'!$C36</f>
        <v>0</v>
      </c>
      <c r="J535" s="326">
        <f>J533*'OLD Formulas'!$C36</f>
        <v>0</v>
      </c>
      <c r="K535" s="326">
        <f>K533*'OLD Formulas'!$C36</f>
        <v>0</v>
      </c>
      <c r="L535" s="326">
        <f>L533*'OLD Formulas'!$C36</f>
        <v>0</v>
      </c>
      <c r="M535" s="326">
        <f>M533*'OLD Formulas'!$C36</f>
        <v>0</v>
      </c>
      <c r="N535" s="326">
        <f>N533*'OLD Formulas'!$C36</f>
        <v>0</v>
      </c>
      <c r="O535" s="326">
        <f>O533*'OLD Formulas'!$C36</f>
        <v>0</v>
      </c>
      <c r="P535" s="326">
        <f>P533*'OLD Formulas'!$C36</f>
        <v>0</v>
      </c>
      <c r="Q535" s="326">
        <f>Q533*'OLD Formulas'!$C36</f>
        <v>0</v>
      </c>
      <c r="R535" s="326">
        <f>R533*'OLD Formulas'!$C36</f>
        <v>0</v>
      </c>
      <c r="S535" s="326">
        <f>S533*'OLD Formulas'!$C36</f>
        <v>0</v>
      </c>
      <c r="T535" s="326">
        <f>T533*'OLD Formulas'!$C36</f>
        <v>0</v>
      </c>
      <c r="U535" s="326">
        <f>U533*'OLD Formulas'!$C36</f>
        <v>0</v>
      </c>
      <c r="V535" s="326">
        <f>V533*'OLD Formulas'!$C36</f>
        <v>0</v>
      </c>
      <c r="W535" s="326">
        <f>W533*'OLD Formulas'!$C36</f>
        <v>0</v>
      </c>
      <c r="X535" s="326">
        <f>X533*'OLD Formulas'!$C36</f>
        <v>0</v>
      </c>
      <c r="Y535" s="326">
        <f>Y533*'OLD Formulas'!$C36</f>
        <v>0</v>
      </c>
      <c r="Z535" s="326">
        <f>Z533*'OLD Formulas'!$C36</f>
        <v>0</v>
      </c>
      <c r="AA535" s="326">
        <f>AA533*'OLD Formulas'!$C36</f>
        <v>0</v>
      </c>
      <c r="AB535" s="326">
        <f>AB533*'OLD Formulas'!$C36</f>
        <v>0</v>
      </c>
      <c r="AC535" s="326">
        <f>AC533*'OLD Formulas'!$C36</f>
        <v>0</v>
      </c>
      <c r="AD535" s="326">
        <f>AD533*'OLD Formulas'!$C36</f>
        <v>0</v>
      </c>
      <c r="AE535" s="326">
        <f>AE533*'OLD Formulas'!$C36</f>
        <v>0</v>
      </c>
      <c r="AF535" s="327"/>
      <c r="AG535" s="1108">
        <f t="shared" si="213"/>
        <v>0</v>
      </c>
    </row>
    <row r="536" hidden="1">
      <c r="A536" s="346" t="s">
        <v>1028</v>
      </c>
      <c r="B536" s="326">
        <f>(B415+B422+B429)*'OLD Formulas'!$C10</f>
        <v>0</v>
      </c>
      <c r="C536" s="326">
        <f>(C415+C422+C429)*'OLD Formulas'!$C10</f>
        <v>0</v>
      </c>
      <c r="D536" s="326">
        <f>(D415+D422+D429)*'OLD Formulas'!$C10</f>
        <v>0</v>
      </c>
      <c r="E536" s="326">
        <f>(E415+E422+E429)*'OLD Formulas'!$C10</f>
        <v>0</v>
      </c>
      <c r="F536" s="326">
        <f>(F415+F422+F429)*'OLD Formulas'!$C10</f>
        <v>0</v>
      </c>
      <c r="G536" s="326">
        <f>(G415+G422+G429)*'OLD Formulas'!$C10</f>
        <v>0</v>
      </c>
      <c r="H536" s="326">
        <f>(H415+H422+H429)*'OLD Formulas'!$C10</f>
        <v>0</v>
      </c>
      <c r="I536" s="326">
        <f>(I415+I422+I429)*'OLD Formulas'!$C10</f>
        <v>0</v>
      </c>
      <c r="J536" s="326">
        <f>(J415+J422+J429)*'OLD Formulas'!$C10</f>
        <v>0</v>
      </c>
      <c r="K536" s="326">
        <f>(K415+K422+K429)*'OLD Formulas'!$C10</f>
        <v>0</v>
      </c>
      <c r="L536" s="326">
        <f>(L415+L422+L429)*'OLD Formulas'!$C10</f>
        <v>0</v>
      </c>
      <c r="M536" s="326">
        <f>(M415+M422+M429)*'OLD Formulas'!$C10</f>
        <v>0</v>
      </c>
      <c r="N536" s="326">
        <f>(N415+N422+N429)*'OLD Formulas'!$C10</f>
        <v>0</v>
      </c>
      <c r="O536" s="326">
        <f>(O415+O422+O429)*'OLD Formulas'!$C10</f>
        <v>0</v>
      </c>
      <c r="P536" s="326">
        <f>(P415+P422+P429)*'OLD Formulas'!$C10</f>
        <v>0</v>
      </c>
      <c r="Q536" s="326">
        <f>(Q415+Q422+Q429)*'OLD Formulas'!$C10</f>
        <v>0</v>
      </c>
      <c r="R536" s="326">
        <f>(R415+R422+R429)*'OLD Formulas'!$C10</f>
        <v>0</v>
      </c>
      <c r="S536" s="326">
        <f>(S415+S422+S429)*'OLD Formulas'!$C10</f>
        <v>0</v>
      </c>
      <c r="T536" s="326">
        <f>(T415+T422+T429)*'OLD Formulas'!$C10</f>
        <v>0</v>
      </c>
      <c r="U536" s="326">
        <f>(U415+U422+U429)*'OLD Formulas'!$C10</f>
        <v>0</v>
      </c>
      <c r="V536" s="326">
        <f>(V415+V422+V429)*'OLD Formulas'!$C10</f>
        <v>0</v>
      </c>
      <c r="W536" s="326">
        <f>(W415+W422+W429)*'OLD Formulas'!$C10</f>
        <v>0</v>
      </c>
      <c r="X536" s="326">
        <f>(X415+X422+X429)*'OLD Formulas'!$C10</f>
        <v>0</v>
      </c>
      <c r="Y536" s="326">
        <f>(Y415+Y422+Y429)*'OLD Formulas'!$C10</f>
        <v>0</v>
      </c>
      <c r="Z536" s="326">
        <f>(Z415+Z422+Z429)*'OLD Formulas'!$C10</f>
        <v>0</v>
      </c>
      <c r="AA536" s="326">
        <f>(AA415+AA422+AA429)*'OLD Formulas'!$C10</f>
        <v>0</v>
      </c>
      <c r="AB536" s="326">
        <f>(AB415+AB422+AB429)*'OLD Formulas'!$C10</f>
        <v>0</v>
      </c>
      <c r="AC536" s="326">
        <f>(AC415+AC422+AC429)*'OLD Formulas'!$C10</f>
        <v>0</v>
      </c>
      <c r="AD536" s="326">
        <f>(AD415+AD422+AD429)*'OLD Formulas'!$C10</f>
        <v>0</v>
      </c>
      <c r="AE536" s="326">
        <f>(AE415+AE422+AE429)*'OLD Formulas'!$C10</f>
        <v>0</v>
      </c>
      <c r="AF536" s="327"/>
      <c r="AG536" s="1108">
        <f t="shared" si="213"/>
        <v>0</v>
      </c>
    </row>
    <row r="537" hidden="1">
      <c r="A537" s="337" t="s">
        <v>955</v>
      </c>
      <c r="B537" s="326">
        <f>B536*'OLD Formulas'!$C37</f>
        <v>0</v>
      </c>
      <c r="C537" s="326">
        <f>C536*'OLD Formulas'!$C37</f>
        <v>0</v>
      </c>
      <c r="D537" s="326">
        <f>D536*'OLD Formulas'!$C37</f>
        <v>0</v>
      </c>
      <c r="E537" s="326">
        <f>E536*'OLD Formulas'!$C37</f>
        <v>0</v>
      </c>
      <c r="F537" s="326">
        <f>F536*'OLD Formulas'!$C37</f>
        <v>0</v>
      </c>
      <c r="G537" s="326">
        <f>G536*'OLD Formulas'!$C37</f>
        <v>0</v>
      </c>
      <c r="H537" s="326">
        <f>H536*'OLD Formulas'!$C37</f>
        <v>0</v>
      </c>
      <c r="I537" s="326">
        <f>I536*'OLD Formulas'!$C37</f>
        <v>0</v>
      </c>
      <c r="J537" s="326">
        <f>J536*'OLD Formulas'!$C37</f>
        <v>0</v>
      </c>
      <c r="K537" s="326">
        <f>K536*'OLD Formulas'!$C37</f>
        <v>0</v>
      </c>
      <c r="L537" s="326">
        <f>L536*'OLD Formulas'!$C37</f>
        <v>0</v>
      </c>
      <c r="M537" s="326">
        <f>M536*'OLD Formulas'!$C37</f>
        <v>0</v>
      </c>
      <c r="N537" s="326">
        <f>N536*'OLD Formulas'!$C37</f>
        <v>0</v>
      </c>
      <c r="O537" s="326">
        <f>O536*'OLD Formulas'!$C37</f>
        <v>0</v>
      </c>
      <c r="P537" s="326">
        <f>P536*'OLD Formulas'!$C37</f>
        <v>0</v>
      </c>
      <c r="Q537" s="326">
        <f>Q536*'OLD Formulas'!$C37</f>
        <v>0</v>
      </c>
      <c r="R537" s="326">
        <f>R536*'OLD Formulas'!$C37</f>
        <v>0</v>
      </c>
      <c r="S537" s="326">
        <f>S536*'OLD Formulas'!$C37</f>
        <v>0</v>
      </c>
      <c r="T537" s="326">
        <f>T536*'OLD Formulas'!$C37</f>
        <v>0</v>
      </c>
      <c r="U537" s="326">
        <f>U536*'OLD Formulas'!$C37</f>
        <v>0</v>
      </c>
      <c r="V537" s="326">
        <f>V536*'OLD Formulas'!$C37</f>
        <v>0</v>
      </c>
      <c r="W537" s="326">
        <f>W536*'OLD Formulas'!$C37</f>
        <v>0</v>
      </c>
      <c r="X537" s="326">
        <f>X536*'OLD Formulas'!$C37</f>
        <v>0</v>
      </c>
      <c r="Y537" s="326">
        <f>Y536*'OLD Formulas'!$C37</f>
        <v>0</v>
      </c>
      <c r="Z537" s="326">
        <f>Z536*'OLD Formulas'!$C37</f>
        <v>0</v>
      </c>
      <c r="AA537" s="326">
        <f>AA536*'OLD Formulas'!$C37</f>
        <v>0</v>
      </c>
      <c r="AB537" s="326">
        <f>AB536*'OLD Formulas'!$C37</f>
        <v>0</v>
      </c>
      <c r="AC537" s="326">
        <f>AC536*'OLD Formulas'!$C37</f>
        <v>0</v>
      </c>
      <c r="AD537" s="326">
        <f>AD536*'OLD Formulas'!$C37</f>
        <v>0</v>
      </c>
      <c r="AE537" s="326">
        <f>AE536*'OLD Formulas'!$C37</f>
        <v>0</v>
      </c>
      <c r="AF537" s="327"/>
      <c r="AG537" s="1108">
        <f t="shared" si="213"/>
        <v>0</v>
      </c>
    </row>
    <row r="538" hidden="1">
      <c r="A538" s="337" t="s">
        <v>965</v>
      </c>
      <c r="B538" s="326">
        <f>B536*'OLD Formulas'!$C36</f>
        <v>0</v>
      </c>
      <c r="C538" s="326">
        <f>C536*'OLD Formulas'!$C36</f>
        <v>0</v>
      </c>
      <c r="D538" s="326">
        <f>D536*'OLD Formulas'!$C36</f>
        <v>0</v>
      </c>
      <c r="E538" s="326">
        <f>E536*'OLD Formulas'!$C36</f>
        <v>0</v>
      </c>
      <c r="F538" s="326">
        <f>F536*'OLD Formulas'!$C36</f>
        <v>0</v>
      </c>
      <c r="G538" s="326">
        <f>G536*'OLD Formulas'!$C36</f>
        <v>0</v>
      </c>
      <c r="H538" s="326">
        <f>H536*'OLD Formulas'!$C36</f>
        <v>0</v>
      </c>
      <c r="I538" s="326">
        <f>I536*'OLD Formulas'!$C36</f>
        <v>0</v>
      </c>
      <c r="J538" s="326">
        <f>J536*'OLD Formulas'!$C36</f>
        <v>0</v>
      </c>
      <c r="K538" s="326">
        <f>K536*'OLD Formulas'!$C36</f>
        <v>0</v>
      </c>
      <c r="L538" s="326">
        <f>L536*'OLD Formulas'!$C36</f>
        <v>0</v>
      </c>
      <c r="M538" s="326">
        <f>M536*'OLD Formulas'!$C36</f>
        <v>0</v>
      </c>
      <c r="N538" s="326">
        <f>N536*'OLD Formulas'!$C36</f>
        <v>0</v>
      </c>
      <c r="O538" s="326">
        <f>O536*'OLD Formulas'!$C36</f>
        <v>0</v>
      </c>
      <c r="P538" s="326">
        <f>P536*'OLD Formulas'!$C36</f>
        <v>0</v>
      </c>
      <c r="Q538" s="326">
        <f>Q536*'OLD Formulas'!$C36</f>
        <v>0</v>
      </c>
      <c r="R538" s="326">
        <f>R536*'OLD Formulas'!$C36</f>
        <v>0</v>
      </c>
      <c r="S538" s="326">
        <f>S536*'OLD Formulas'!$C36</f>
        <v>0</v>
      </c>
      <c r="T538" s="326">
        <f>T536*'OLD Formulas'!$C36</f>
        <v>0</v>
      </c>
      <c r="U538" s="326">
        <f>U536*'OLD Formulas'!$C36</f>
        <v>0</v>
      </c>
      <c r="V538" s="326">
        <f>V536*'OLD Formulas'!$C36</f>
        <v>0</v>
      </c>
      <c r="W538" s="326">
        <f>W536*'OLD Formulas'!$C36</f>
        <v>0</v>
      </c>
      <c r="X538" s="326">
        <f>X536*'OLD Formulas'!$C36</f>
        <v>0</v>
      </c>
      <c r="Y538" s="326">
        <f>Y536*'OLD Formulas'!$C36</f>
        <v>0</v>
      </c>
      <c r="Z538" s="326">
        <f>Z536*'OLD Formulas'!$C36</f>
        <v>0</v>
      </c>
      <c r="AA538" s="326">
        <f>AA536*'OLD Formulas'!$C36</f>
        <v>0</v>
      </c>
      <c r="AB538" s="326">
        <f>AB536*'OLD Formulas'!$C36</f>
        <v>0</v>
      </c>
      <c r="AC538" s="326">
        <f>AC536*'OLD Formulas'!$C36</f>
        <v>0</v>
      </c>
      <c r="AD538" s="326">
        <f>AD536*'OLD Formulas'!$C36</f>
        <v>0</v>
      </c>
      <c r="AE538" s="326">
        <f>AE536*'OLD Formulas'!$C36</f>
        <v>0</v>
      </c>
      <c r="AF538" s="327"/>
      <c r="AG538" s="1108">
        <f t="shared" si="213"/>
        <v>0</v>
      </c>
    </row>
    <row r="539" hidden="1">
      <c r="A539" s="346" t="s">
        <v>1032</v>
      </c>
      <c r="B539" s="326">
        <f>(B416+B423+B430)*'OLD Formulas'!$C6</f>
        <v>0</v>
      </c>
      <c r="C539" s="326">
        <f>(C416+C423+C430)*'OLD Formulas'!$C6</f>
        <v>0</v>
      </c>
      <c r="D539" s="326">
        <f>(D416+D423+D430)*'OLD Formulas'!$C6</f>
        <v>0</v>
      </c>
      <c r="E539" s="326">
        <f>(E416+E423+E430)*'OLD Formulas'!$C6</f>
        <v>0</v>
      </c>
      <c r="F539" s="326">
        <f>(F416+F423+F430)*'OLD Formulas'!$C6</f>
        <v>0</v>
      </c>
      <c r="G539" s="326">
        <f>(G416+G423+G430)*'OLD Formulas'!$C6</f>
        <v>0</v>
      </c>
      <c r="H539" s="326">
        <f>(H416+H423+H430)*'OLD Formulas'!$C6</f>
        <v>0</v>
      </c>
      <c r="I539" s="326">
        <f>(I416+I423+I430)*'OLD Formulas'!$C6</f>
        <v>0</v>
      </c>
      <c r="J539" s="326">
        <f>(J416+J423+J430)*'OLD Formulas'!$C6</f>
        <v>0</v>
      </c>
      <c r="K539" s="326">
        <f>(K416+K423+K430)*'OLD Formulas'!$C6</f>
        <v>0</v>
      </c>
      <c r="L539" s="326">
        <f>(L416+L423+L430)*'OLD Formulas'!$C6</f>
        <v>0</v>
      </c>
      <c r="M539" s="326">
        <f>(M416+M423+M430)*'OLD Formulas'!$C6</f>
        <v>0</v>
      </c>
      <c r="N539" s="326">
        <f>(N416+N423+N430)*'OLD Formulas'!$C6</f>
        <v>0</v>
      </c>
      <c r="O539" s="326">
        <f>(O416+O423+O430)*'OLD Formulas'!$C6</f>
        <v>0</v>
      </c>
      <c r="P539" s="326">
        <f>(P416+P423+P430)*'OLD Formulas'!$C6</f>
        <v>0</v>
      </c>
      <c r="Q539" s="326">
        <f>(Q416+Q423+Q430)*'OLD Formulas'!$C6</f>
        <v>0</v>
      </c>
      <c r="R539" s="326">
        <f>(R416+R423+R430)*'OLD Formulas'!$C6</f>
        <v>0</v>
      </c>
      <c r="S539" s="326">
        <f>(S416+S423+S430)*'OLD Formulas'!$C6</f>
        <v>0</v>
      </c>
      <c r="T539" s="326">
        <f>(T416+T423+T430)*'OLD Formulas'!$C6</f>
        <v>0</v>
      </c>
      <c r="U539" s="326">
        <f>(U416+U423+U430)*'OLD Formulas'!$C6</f>
        <v>0</v>
      </c>
      <c r="V539" s="326">
        <f>(V416+V423+V430)*'OLD Formulas'!$C6</f>
        <v>0</v>
      </c>
      <c r="W539" s="326">
        <f>(W416+W423+W430)*'OLD Formulas'!$C6</f>
        <v>0</v>
      </c>
      <c r="X539" s="326">
        <f>(X416+X423+X430)*'OLD Formulas'!$C6</f>
        <v>0</v>
      </c>
      <c r="Y539" s="326">
        <f>(Y416+Y423+Y430)*'OLD Formulas'!$C6</f>
        <v>0</v>
      </c>
      <c r="Z539" s="326">
        <f>(Z416+Z423+Z430)*'OLD Formulas'!$C6</f>
        <v>0</v>
      </c>
      <c r="AA539" s="326">
        <f>(AA416+AA423+AA430)*'OLD Formulas'!$C6</f>
        <v>0</v>
      </c>
      <c r="AB539" s="326">
        <f>(AB416+AB423+AB430)*'OLD Formulas'!$C6</f>
        <v>0</v>
      </c>
      <c r="AC539" s="326">
        <f>(AC416+AC423+AC430)*'OLD Formulas'!$C6</f>
        <v>0</v>
      </c>
      <c r="AD539" s="326">
        <f>(AD416+AD423+AD430)*'OLD Formulas'!$C6</f>
        <v>0</v>
      </c>
      <c r="AE539" s="326">
        <f>(AE416+AE423+AE430)*'OLD Formulas'!$C6</f>
        <v>0</v>
      </c>
      <c r="AF539" s="327"/>
      <c r="AG539" s="1108">
        <f t="shared" si="213"/>
        <v>0</v>
      </c>
    </row>
    <row r="540" hidden="1">
      <c r="A540" s="337" t="s">
        <v>971</v>
      </c>
      <c r="B540" s="326">
        <f>B539*'OLD Formulas'!$C40</f>
        <v>0</v>
      </c>
      <c r="C540" s="326">
        <f>C539*'OLD Formulas'!$C40</f>
        <v>0</v>
      </c>
      <c r="D540" s="326">
        <f>D539*'OLD Formulas'!$C40</f>
        <v>0</v>
      </c>
      <c r="E540" s="326">
        <f>E539*'OLD Formulas'!$C40</f>
        <v>0</v>
      </c>
      <c r="F540" s="326">
        <f>F539*'OLD Formulas'!$C40</f>
        <v>0</v>
      </c>
      <c r="G540" s="326">
        <f>G539*'OLD Formulas'!$C40</f>
        <v>0</v>
      </c>
      <c r="H540" s="326">
        <f>H539*'OLD Formulas'!$C40</f>
        <v>0</v>
      </c>
      <c r="I540" s="326">
        <f>I539*'OLD Formulas'!$C40</f>
        <v>0</v>
      </c>
      <c r="J540" s="326">
        <f>J539*'OLD Formulas'!$C40</f>
        <v>0</v>
      </c>
      <c r="K540" s="326">
        <f>K539*'OLD Formulas'!$C40</f>
        <v>0</v>
      </c>
      <c r="L540" s="326">
        <f>L539*'OLD Formulas'!$C40</f>
        <v>0</v>
      </c>
      <c r="M540" s="326">
        <f>M539*'OLD Formulas'!$C40</f>
        <v>0</v>
      </c>
      <c r="N540" s="326">
        <f>N539*'OLD Formulas'!$C40</f>
        <v>0</v>
      </c>
      <c r="O540" s="326">
        <f>O539*'OLD Formulas'!$C40</f>
        <v>0</v>
      </c>
      <c r="P540" s="326">
        <f>P539*'OLD Formulas'!$C40</f>
        <v>0</v>
      </c>
      <c r="Q540" s="326">
        <f>Q539*'OLD Formulas'!$C40</f>
        <v>0</v>
      </c>
      <c r="R540" s="326">
        <f>R539*'OLD Formulas'!$C40</f>
        <v>0</v>
      </c>
      <c r="S540" s="326">
        <f>S539*'OLD Formulas'!$C40</f>
        <v>0</v>
      </c>
      <c r="T540" s="326">
        <f>T539*'OLD Formulas'!$C40</f>
        <v>0</v>
      </c>
      <c r="U540" s="326">
        <f>U539*'OLD Formulas'!$C40</f>
        <v>0</v>
      </c>
      <c r="V540" s="326">
        <f>V539*'OLD Formulas'!$C40</f>
        <v>0</v>
      </c>
      <c r="W540" s="326">
        <f>W539*'OLD Formulas'!$C40</f>
        <v>0</v>
      </c>
      <c r="X540" s="326">
        <f>X539*'OLD Formulas'!$C40</f>
        <v>0</v>
      </c>
      <c r="Y540" s="326">
        <f>Y539*'OLD Formulas'!$C40</f>
        <v>0</v>
      </c>
      <c r="Z540" s="326">
        <f>Z539*'OLD Formulas'!$C40</f>
        <v>0</v>
      </c>
      <c r="AA540" s="326">
        <f>AA539*'OLD Formulas'!$C40</f>
        <v>0</v>
      </c>
      <c r="AB540" s="326">
        <f>AB539*'OLD Formulas'!$C40</f>
        <v>0</v>
      </c>
      <c r="AC540" s="326">
        <f>AC539*'OLD Formulas'!$C40</f>
        <v>0</v>
      </c>
      <c r="AD540" s="326">
        <f>AD539*'OLD Formulas'!$C40</f>
        <v>0</v>
      </c>
      <c r="AE540" s="326">
        <f>AE539*'OLD Formulas'!$C40</f>
        <v>0</v>
      </c>
      <c r="AF540" s="327"/>
      <c r="AG540" s="1108">
        <f t="shared" si="213"/>
        <v>0</v>
      </c>
    </row>
    <row r="541" hidden="1">
      <c r="A541" s="337" t="s">
        <v>963</v>
      </c>
      <c r="B541" s="326">
        <f>B539*'OLD Formulas'!$C41</f>
        <v>0</v>
      </c>
      <c r="C541" s="326">
        <f>C539*'OLD Formulas'!$C41</f>
        <v>0</v>
      </c>
      <c r="D541" s="326">
        <f>D539*'OLD Formulas'!$C41</f>
        <v>0</v>
      </c>
      <c r="E541" s="326">
        <f>E539*'OLD Formulas'!$C41</f>
        <v>0</v>
      </c>
      <c r="F541" s="326">
        <f>F539*'OLD Formulas'!$C41</f>
        <v>0</v>
      </c>
      <c r="G541" s="326">
        <f>G539*'OLD Formulas'!$C41</f>
        <v>0</v>
      </c>
      <c r="H541" s="326">
        <f>H539*'OLD Formulas'!$C41</f>
        <v>0</v>
      </c>
      <c r="I541" s="326">
        <f>I539*'OLD Formulas'!$C41</f>
        <v>0</v>
      </c>
      <c r="J541" s="326">
        <f>J539*'OLD Formulas'!$C41</f>
        <v>0</v>
      </c>
      <c r="K541" s="326">
        <f>K539*'OLD Formulas'!$C41</f>
        <v>0</v>
      </c>
      <c r="L541" s="326">
        <f>L539*'OLD Formulas'!$C41</f>
        <v>0</v>
      </c>
      <c r="M541" s="326">
        <f>M539*'OLD Formulas'!$C41</f>
        <v>0</v>
      </c>
      <c r="N541" s="326">
        <f>N539*'OLD Formulas'!$C41</f>
        <v>0</v>
      </c>
      <c r="O541" s="326">
        <f>O539*'OLD Formulas'!$C41</f>
        <v>0</v>
      </c>
      <c r="P541" s="326">
        <f>P539*'OLD Formulas'!$C41</f>
        <v>0</v>
      </c>
      <c r="Q541" s="326">
        <f>Q539*'OLD Formulas'!$C41</f>
        <v>0</v>
      </c>
      <c r="R541" s="326">
        <f>R539*'OLD Formulas'!$C41</f>
        <v>0</v>
      </c>
      <c r="S541" s="326">
        <f>S539*'OLD Formulas'!$C41</f>
        <v>0</v>
      </c>
      <c r="T541" s="326">
        <f>T539*'OLD Formulas'!$C41</f>
        <v>0</v>
      </c>
      <c r="U541" s="326">
        <f>U539*'OLD Formulas'!$C41</f>
        <v>0</v>
      </c>
      <c r="V541" s="326">
        <f>V539*'OLD Formulas'!$C41</f>
        <v>0</v>
      </c>
      <c r="W541" s="326">
        <f>W539*'OLD Formulas'!$C41</f>
        <v>0</v>
      </c>
      <c r="X541" s="326">
        <f>X539*'OLD Formulas'!$C41</f>
        <v>0</v>
      </c>
      <c r="Y541" s="326">
        <f>Y539*'OLD Formulas'!$C41</f>
        <v>0</v>
      </c>
      <c r="Z541" s="326">
        <f>Z539*'OLD Formulas'!$C41</f>
        <v>0</v>
      </c>
      <c r="AA541" s="326">
        <f>AA539*'OLD Formulas'!$C41</f>
        <v>0</v>
      </c>
      <c r="AB541" s="326">
        <f>AB539*'OLD Formulas'!$C41</f>
        <v>0</v>
      </c>
      <c r="AC541" s="326">
        <f>AC539*'OLD Formulas'!$C41</f>
        <v>0</v>
      </c>
      <c r="AD541" s="326">
        <f>AD539*'OLD Formulas'!$C41</f>
        <v>0</v>
      </c>
      <c r="AE541" s="326">
        <f>AE539*'OLD Formulas'!$C41</f>
        <v>0</v>
      </c>
      <c r="AF541" s="327"/>
      <c r="AG541" s="1108">
        <f t="shared" si="213"/>
        <v>0</v>
      </c>
    </row>
    <row r="542" hidden="1">
      <c r="A542" s="337" t="s">
        <v>966</v>
      </c>
      <c r="B542" s="326">
        <f>(B523+B525+B527+B530+B533+B536+B539)*'OLD Formulas'!$C38</f>
        <v>0</v>
      </c>
      <c r="C542" s="326">
        <f>(C523+C525+C527+C530+C533+C536+C539)*'OLD Formulas'!$C38</f>
        <v>0</v>
      </c>
      <c r="D542" s="326">
        <f>(D523+D525+D527+D530+D533+D536+D539)*'OLD Formulas'!$C38</f>
        <v>0</v>
      </c>
      <c r="E542" s="326">
        <f>(E523+E525+E527+E530+E533+E536+E539)*'OLD Formulas'!$C38</f>
        <v>0</v>
      </c>
      <c r="F542" s="326">
        <f>(F523+F525+F527+F530+F533+F536+F539)*'OLD Formulas'!$C38</f>
        <v>0</v>
      </c>
      <c r="G542" s="326">
        <f>(G523+G525+G527+G530+G533+G536+G539)*'OLD Formulas'!$C38</f>
        <v>0</v>
      </c>
      <c r="H542" s="326">
        <f>(H523+H525+H527+H530+H533+H536+H539)*'OLD Formulas'!$C38</f>
        <v>0</v>
      </c>
      <c r="I542" s="326">
        <f>(I523+I525+I527+I530+I533+I536+I539)*'OLD Formulas'!$C38</f>
        <v>0</v>
      </c>
      <c r="J542" s="326">
        <f>(J523+J525+J527+J530+J533+J536+J539)*'OLD Formulas'!$C38</f>
        <v>0</v>
      </c>
      <c r="K542" s="326">
        <f>(K523+K525+K527+K530+K533+K536+K539)*'OLD Formulas'!$C38</f>
        <v>0</v>
      </c>
      <c r="L542" s="326">
        <f>(L523+L525+L527+L530+L533+L536+L539)*'OLD Formulas'!$C38</f>
        <v>0</v>
      </c>
      <c r="M542" s="326">
        <f>(M523+M525+M527+M530+M533+M536+M539)*'OLD Formulas'!$C38</f>
        <v>0</v>
      </c>
      <c r="N542" s="326">
        <f>(N523+N525+N527+N530+N533+N536+N539)*'OLD Formulas'!$C38</f>
        <v>0</v>
      </c>
      <c r="O542" s="326">
        <f>(O523+O525+O527+O530+O533+O536+O539)*'OLD Formulas'!$C38</f>
        <v>0</v>
      </c>
      <c r="P542" s="326">
        <f>(P523+P525+P527+P530+P533+P536+P539)*'OLD Formulas'!$C38</f>
        <v>0</v>
      </c>
      <c r="Q542" s="326">
        <f>(Q523+Q525+Q527+Q530+Q533+Q536+Q539)*'OLD Formulas'!$C38</f>
        <v>0</v>
      </c>
      <c r="R542" s="326">
        <f>(R523+R525+R527+R530+R533+R536+R539)*'OLD Formulas'!$C38</f>
        <v>0</v>
      </c>
      <c r="S542" s="326">
        <f>(S523+S525+S527+S530+S533+S536+S539)*'OLD Formulas'!$C38</f>
        <v>0</v>
      </c>
      <c r="T542" s="326">
        <f>(T523+T525+T527+T530+T533+T536+T539)*'OLD Formulas'!$C38</f>
        <v>0</v>
      </c>
      <c r="U542" s="326">
        <f>(U523+U525+U527+U530+U533+U536+U539)*'OLD Formulas'!$C38</f>
        <v>0</v>
      </c>
      <c r="V542" s="326">
        <f>(V523+V525+V527+V530+V533+V536+V539)*'OLD Formulas'!$C38</f>
        <v>0</v>
      </c>
      <c r="W542" s="326">
        <f>(W523+W525+W527+W530+W533+W536+W539)*'OLD Formulas'!$C38</f>
        <v>0</v>
      </c>
      <c r="X542" s="326">
        <f>(X523+X525+X527+X530+X533+X536+X539)*'OLD Formulas'!$C38</f>
        <v>0</v>
      </c>
      <c r="Y542" s="326">
        <f>(Y523+Y525+Y527+Y530+Y533+Y536+Y539)*'OLD Formulas'!$C38</f>
        <v>0</v>
      </c>
      <c r="Z542" s="326">
        <f>(Z523+Z525+Z527+Z530+Z533+Z536+Z539)*'OLD Formulas'!$C38</f>
        <v>0</v>
      </c>
      <c r="AA542" s="326">
        <f>(AA523+AA525+AA527+AA530+AA533+AA536+AA539)*'OLD Formulas'!$C38</f>
        <v>0</v>
      </c>
      <c r="AB542" s="326">
        <f>(AB523+AB525+AB527+AB530+AB533+AB536+AB539)*'OLD Formulas'!$C38</f>
        <v>0</v>
      </c>
      <c r="AC542" s="326">
        <f>(AC523+AC525+AC527+AC530+AC533+AC536+AC539)*'OLD Formulas'!$C38</f>
        <v>0</v>
      </c>
      <c r="AD542" s="326">
        <f>(AD523+AD525+AD527+AD530+AD533+AD536+AD539)*'OLD Formulas'!$C38</f>
        <v>0</v>
      </c>
      <c r="AE542" s="326">
        <f>(AE523+AE525+AE527+AE530+AE533+AE536+AE539)*'OLD Formulas'!$C38</f>
        <v>0</v>
      </c>
      <c r="AF542" s="327"/>
      <c r="AG542" s="1108">
        <f t="shared" si="213"/>
        <v>0</v>
      </c>
    </row>
    <row r="543" hidden="1">
      <c r="A543" s="337" t="s">
        <v>978</v>
      </c>
      <c r="B543" s="326">
        <f>((B403+B404)*'OLD Formulas'!$C13)+((B405+B406)*'OLD Formulas'!$C14)+((B407+B408)*'OLD Formulas'!$C15)</f>
        <v>0</v>
      </c>
      <c r="C543" s="326">
        <f>((C403+C404)*'OLD Formulas'!$C13)+((C405+C406)*'OLD Formulas'!$C14)+((C407+C408)*'OLD Formulas'!$C15)</f>
        <v>0</v>
      </c>
      <c r="D543" s="326">
        <f>((D403+D404)*'OLD Formulas'!$C13)+((D405+D406)*'OLD Formulas'!$C14)+((D407+D408)*'OLD Formulas'!$C15)</f>
        <v>0</v>
      </c>
      <c r="E543" s="326">
        <f>((E403+E404)*'OLD Formulas'!$C13)+((E405+E406)*'OLD Formulas'!$C14)+((E407+E408)*'OLD Formulas'!$C15)</f>
        <v>0</v>
      </c>
      <c r="F543" s="326">
        <f>((F403+F404)*'OLD Formulas'!$C13)+((F405+F406)*'OLD Formulas'!$C14)+((F407+F408)*'OLD Formulas'!$C15)</f>
        <v>0</v>
      </c>
      <c r="G543" s="326">
        <f>((G403+G404)*'OLD Formulas'!$C13)+((G405+G406)*'OLD Formulas'!$C14)+((G407+G408)*'OLD Formulas'!$C15)</f>
        <v>0</v>
      </c>
      <c r="H543" s="326">
        <f>((H403+H404)*'OLD Formulas'!$C13)+((H405+H406)*'OLD Formulas'!$C14)+((H407+H408)*'OLD Formulas'!$C15)</f>
        <v>0</v>
      </c>
      <c r="I543" s="326">
        <f>((I403+I404)*'OLD Formulas'!$C13)+((I405+I406)*'OLD Formulas'!$C14)+((I407+I408)*'OLD Formulas'!$C15)</f>
        <v>0</v>
      </c>
      <c r="J543" s="326">
        <f>((J403+J404)*'OLD Formulas'!$C13)+((J405+J406)*'OLD Formulas'!$C14)+((J407+J408)*'OLD Formulas'!$C15)</f>
        <v>0</v>
      </c>
      <c r="K543" s="326">
        <f>((K403+K404)*'OLD Formulas'!$C13)+((K405+K406)*'OLD Formulas'!$C14)+((K407+K408)*'OLD Formulas'!$C15)</f>
        <v>0</v>
      </c>
      <c r="L543" s="326">
        <f>((L403+L404)*'OLD Formulas'!$C13)+((L405+L406)*'OLD Formulas'!$C14)+((L407+L408)*'OLD Formulas'!$C15)</f>
        <v>0</v>
      </c>
      <c r="M543" s="326">
        <f>((M403+M404)*'OLD Formulas'!$C13)+((M405+M406)*'OLD Formulas'!$C14)+((M407+M408)*'OLD Formulas'!$C15)</f>
        <v>0</v>
      </c>
      <c r="N543" s="326">
        <f>((N403+N404)*'OLD Formulas'!$C13)+((N405+N406)*'OLD Formulas'!$C14)+((N407+N408)*'OLD Formulas'!$C15)</f>
        <v>0</v>
      </c>
      <c r="O543" s="326">
        <f>((O403+O404)*'OLD Formulas'!$C13)+((O405+O406)*'OLD Formulas'!$C14)+((O407+O408)*'OLD Formulas'!$C15)</f>
        <v>0</v>
      </c>
      <c r="P543" s="326">
        <f>((P403+P404)*'OLD Formulas'!$C13)+((P405+P406)*'OLD Formulas'!$C14)+((P407+P408)*'OLD Formulas'!$C15)</f>
        <v>0</v>
      </c>
      <c r="Q543" s="326">
        <f>((Q403+Q404)*'OLD Formulas'!$C13)+((Q405+Q406)*'OLD Formulas'!$C14)+((Q407+Q408)*'OLD Formulas'!$C15)</f>
        <v>0</v>
      </c>
      <c r="R543" s="326">
        <f>((R403+R404)*'OLD Formulas'!$C13)+((R405+R406)*'OLD Formulas'!$C14)+((R407+R408)*'OLD Formulas'!$C15)</f>
        <v>0</v>
      </c>
      <c r="S543" s="326">
        <f>((S403+S404)*'OLD Formulas'!$C13)+((S405+S406)*'OLD Formulas'!$C14)+((S407+S408)*'OLD Formulas'!$C15)</f>
        <v>0</v>
      </c>
      <c r="T543" s="326">
        <f>((T403+T404)*'OLD Formulas'!$C13)+((T405+T406)*'OLD Formulas'!$C14)+((T407+T408)*'OLD Formulas'!$C15)</f>
        <v>0</v>
      </c>
      <c r="U543" s="326">
        <f>((U403+U404)*'OLD Formulas'!$C13)+((U405+U406)*'OLD Formulas'!$C14)+((U407+U408)*'OLD Formulas'!$C15)</f>
        <v>0</v>
      </c>
      <c r="V543" s="326">
        <f>((V403+V404)*'OLD Formulas'!$C13)+((V405+V406)*'OLD Formulas'!$C14)+((V407+V408)*'OLD Formulas'!$C15)</f>
        <v>0</v>
      </c>
      <c r="W543" s="326">
        <f>((W403+W404)*'OLD Formulas'!$C13)+((W405+W406)*'OLD Formulas'!$C14)+((W407+W408)*'OLD Formulas'!$C15)</f>
        <v>0</v>
      </c>
      <c r="X543" s="326">
        <f>((X403+X404)*'OLD Formulas'!$C13)+((X405+X406)*'OLD Formulas'!$C14)+((X407+X408)*'OLD Formulas'!$C15)</f>
        <v>0</v>
      </c>
      <c r="Y543" s="326">
        <f>((Y403+Y404)*'OLD Formulas'!$C13)+((Y405+Y406)*'OLD Formulas'!$C14)+((Y407+Y408)*'OLD Formulas'!$C15)</f>
        <v>0</v>
      </c>
      <c r="Z543" s="326">
        <f>((Z403+Z404)*'OLD Formulas'!$C13)+((Z405+Z406)*'OLD Formulas'!$C14)+((Z407+Z408)*'OLD Formulas'!$C15)</f>
        <v>0</v>
      </c>
      <c r="AA543" s="326">
        <f>((AA403+AA404)*'OLD Formulas'!$C13)+((AA405+AA406)*'OLD Formulas'!$C14)+((AA407+AA408)*'OLD Formulas'!$C15)</f>
        <v>0</v>
      </c>
      <c r="AB543" s="326">
        <f>((AB403+AB404)*'OLD Formulas'!$C13)+((AB405+AB406)*'OLD Formulas'!$C14)+((AB407+AB408)*'OLD Formulas'!$C15)</f>
        <v>0</v>
      </c>
      <c r="AC543" s="326">
        <f>((AC403+AC404)*'OLD Formulas'!$C13)+((AC405+AC406)*'OLD Formulas'!$C14)+((AC407+AC408)*'OLD Formulas'!$C15)</f>
        <v>0</v>
      </c>
      <c r="AD543" s="326">
        <f>((AD403+AD404)*'OLD Formulas'!$C13)+((AD405+AD406)*'OLD Formulas'!$C14)+((AD407+AD408)*'OLD Formulas'!$C15)</f>
        <v>0</v>
      </c>
      <c r="AE543" s="326">
        <f>((AE403+AE404)*'OLD Formulas'!$C13)+((AE405+AE406)*'OLD Formulas'!$C14)+((AE407+AE408)*'OLD Formulas'!$C15)</f>
        <v>0</v>
      </c>
      <c r="AF543" s="327"/>
      <c r="AG543" s="1108">
        <f t="shared" si="213"/>
        <v>0</v>
      </c>
    </row>
    <row r="544" hidden="1">
      <c r="A544" s="337" t="s">
        <v>980</v>
      </c>
      <c r="B544" s="326">
        <f>((B403+B404)*'OLD Formulas'!$C16)+((B405+B406)*'OLD Formulas'!$C17)+((B407+B408)*'OLD Formulas'!$C18)</f>
        <v>0</v>
      </c>
      <c r="C544" s="326">
        <f>((C403+C404)*'OLD Formulas'!$C16)+((C405+C406)*'OLD Formulas'!$C17)+((C407+C408)*'OLD Formulas'!$C18)</f>
        <v>0</v>
      </c>
      <c r="D544" s="326">
        <f>((D403+D404)*'OLD Formulas'!$C16)+((D405+D406)*'OLD Formulas'!$C17)+((D407+D408)*'OLD Formulas'!$C18)</f>
        <v>0</v>
      </c>
      <c r="E544" s="326">
        <f>((E403+E404)*'OLD Formulas'!$C16)+((E405+E406)*'OLD Formulas'!$C17)+((E407+E408)*'OLD Formulas'!$C18)</f>
        <v>0</v>
      </c>
      <c r="F544" s="326">
        <f>((F403+F404)*'OLD Formulas'!$C16)+((F405+F406)*'OLD Formulas'!$C17)+((F407+F408)*'OLD Formulas'!$C18)</f>
        <v>0</v>
      </c>
      <c r="G544" s="326">
        <f>((G403+G404)*'OLD Formulas'!$C16)+((G405+G406)*'OLD Formulas'!$C17)+((G407+G408)*'OLD Formulas'!$C18)</f>
        <v>0</v>
      </c>
      <c r="H544" s="326">
        <f>((H403+H404)*'OLD Formulas'!$C16)+((H405+H406)*'OLD Formulas'!$C17)+((H407+H408)*'OLD Formulas'!$C18)</f>
        <v>0</v>
      </c>
      <c r="I544" s="326">
        <f>((I403+I404)*'OLD Formulas'!$C16)+((I405+I406)*'OLD Formulas'!$C17)+((I407+I408)*'OLD Formulas'!$C18)</f>
        <v>0</v>
      </c>
      <c r="J544" s="326">
        <f>((J403+J404)*'OLD Formulas'!$C16)+((J405+J406)*'OLD Formulas'!$C17)+((J407+J408)*'OLD Formulas'!$C18)</f>
        <v>0</v>
      </c>
      <c r="K544" s="326">
        <f>((K403+K404)*'OLD Formulas'!$C16)+((K405+K406)*'OLD Formulas'!$C17)+((K407+K408)*'OLD Formulas'!$C18)</f>
        <v>0</v>
      </c>
      <c r="L544" s="326">
        <f>((L403+L404)*'OLD Formulas'!$C16)+((L405+L406)*'OLD Formulas'!$C17)+((L407+L408)*'OLD Formulas'!$C18)</f>
        <v>0</v>
      </c>
      <c r="M544" s="326">
        <f>((M403+M404)*'OLD Formulas'!$C16)+((M405+M406)*'OLD Formulas'!$C17)+((M407+M408)*'OLD Formulas'!$C18)</f>
        <v>0</v>
      </c>
      <c r="N544" s="326">
        <f>((N403+N404)*'OLD Formulas'!$C16)+((N405+N406)*'OLD Formulas'!$C17)+((N407+N408)*'OLD Formulas'!$C18)</f>
        <v>0</v>
      </c>
      <c r="O544" s="326">
        <f>((O403+O404)*'OLD Formulas'!$C16)+((O405+O406)*'OLD Formulas'!$C17)+((O407+O408)*'OLD Formulas'!$C18)</f>
        <v>0</v>
      </c>
      <c r="P544" s="326">
        <f>((P403+P404)*'OLD Formulas'!$C16)+((P405+P406)*'OLD Formulas'!$C17)+((P407+P408)*'OLD Formulas'!$C18)</f>
        <v>0</v>
      </c>
      <c r="Q544" s="326">
        <f>((Q403+Q404)*'OLD Formulas'!$C16)+((Q405+Q406)*'OLD Formulas'!$C17)+((Q407+Q408)*'OLD Formulas'!$C18)</f>
        <v>0</v>
      </c>
      <c r="R544" s="326">
        <f>((R403+R404)*'OLD Formulas'!$C16)+((R405+R406)*'OLD Formulas'!$C17)+((R407+R408)*'OLD Formulas'!$C18)</f>
        <v>0</v>
      </c>
      <c r="S544" s="326">
        <f>((S403+S404)*'OLD Formulas'!$C16)+((S405+S406)*'OLD Formulas'!$C17)+((S407+S408)*'OLD Formulas'!$C18)</f>
        <v>0</v>
      </c>
      <c r="T544" s="326">
        <f>((T403+T404)*'OLD Formulas'!$C16)+((T405+T406)*'OLD Formulas'!$C17)+((T407+T408)*'OLD Formulas'!$C18)</f>
        <v>0</v>
      </c>
      <c r="U544" s="326">
        <f>((U403+U404)*'OLD Formulas'!$C16)+((U405+U406)*'OLD Formulas'!$C17)+((U407+U408)*'OLD Formulas'!$C18)</f>
        <v>0</v>
      </c>
      <c r="V544" s="326">
        <f>((V403+V404)*'OLD Formulas'!$C16)+((V405+V406)*'OLD Formulas'!$C17)+((V407+V408)*'OLD Formulas'!$C18)</f>
        <v>0</v>
      </c>
      <c r="W544" s="326">
        <f>((W403+W404)*'OLD Formulas'!$C16)+((W405+W406)*'OLD Formulas'!$C17)+((W407+W408)*'OLD Formulas'!$C18)</f>
        <v>0</v>
      </c>
      <c r="X544" s="326">
        <f>((X403+X404)*'OLD Formulas'!$C16)+((X405+X406)*'OLD Formulas'!$C17)+((X407+X408)*'OLD Formulas'!$C18)</f>
        <v>0</v>
      </c>
      <c r="Y544" s="326">
        <f>((Y403+Y404)*'OLD Formulas'!$C16)+((Y405+Y406)*'OLD Formulas'!$C17)+((Y407+Y408)*'OLD Formulas'!$C18)</f>
        <v>0</v>
      </c>
      <c r="Z544" s="326">
        <f>((Z403+Z404)*'OLD Formulas'!$C16)+((Z405+Z406)*'OLD Formulas'!$C17)+((Z407+Z408)*'OLD Formulas'!$C18)</f>
        <v>0</v>
      </c>
      <c r="AA544" s="326">
        <f>((AA403+AA404)*'OLD Formulas'!$C16)+((AA405+AA406)*'OLD Formulas'!$C17)+((AA407+AA408)*'OLD Formulas'!$C18)</f>
        <v>0</v>
      </c>
      <c r="AB544" s="326">
        <f>((AB403+AB404)*'OLD Formulas'!$C16)+((AB405+AB406)*'OLD Formulas'!$C17)+((AB407+AB408)*'OLD Formulas'!$C18)</f>
        <v>0</v>
      </c>
      <c r="AC544" s="326">
        <f>((AC403+AC404)*'OLD Formulas'!$C16)+((AC405+AC406)*'OLD Formulas'!$C17)+((AC407+AC408)*'OLD Formulas'!$C18)</f>
        <v>0</v>
      </c>
      <c r="AD544" s="326">
        <f>((AD403+AD404)*'OLD Formulas'!$C16)+((AD405+AD406)*'OLD Formulas'!$C17)+((AD407+AD408)*'OLD Formulas'!$C18)</f>
        <v>0</v>
      </c>
      <c r="AE544" s="326">
        <f>((AE403+AE404)*'OLD Formulas'!$C16)+((AE405+AE406)*'OLD Formulas'!$C17)+((AE407+AE408)*'OLD Formulas'!$C18)</f>
        <v>0</v>
      </c>
      <c r="AF544" s="327"/>
      <c r="AG544" s="1108">
        <f t="shared" si="213"/>
        <v>0</v>
      </c>
    </row>
    <row r="545" hidden="1">
      <c r="A545" s="337" t="s">
        <v>982</v>
      </c>
      <c r="B545" s="326">
        <f>(B417*'OLD Formulas'!$F13)+(B424*'OLD Formulas'!$F14)+(B431*'OLD Formulas'!$F15)</f>
        <v>0</v>
      </c>
      <c r="C545" s="326">
        <f>(C417*'OLD Formulas'!$F13)+(C424*'OLD Formulas'!$F14)+(C431*'OLD Formulas'!$F15)</f>
        <v>0</v>
      </c>
      <c r="D545" s="326">
        <f>(D417*'OLD Formulas'!$F13)+(D424*'OLD Formulas'!$F14)+(D431*'OLD Formulas'!$F15)</f>
        <v>0</v>
      </c>
      <c r="E545" s="326">
        <f>(E417*'OLD Formulas'!$F13)+(E424*'OLD Formulas'!$F14)+(E431*'OLD Formulas'!$F15)</f>
        <v>0</v>
      </c>
      <c r="F545" s="326">
        <f>(F417*'OLD Formulas'!$F13)+(F424*'OLD Formulas'!$F14)+(F431*'OLD Formulas'!$F15)</f>
        <v>0</v>
      </c>
      <c r="G545" s="326">
        <f>(G417*'OLD Formulas'!$F13)+(G424*'OLD Formulas'!$F14)+(G431*'OLD Formulas'!$F15)</f>
        <v>0</v>
      </c>
      <c r="H545" s="326">
        <f>(H417*'OLD Formulas'!$F13)+(H424*'OLD Formulas'!$F14)+(H431*'OLD Formulas'!$F15)</f>
        <v>0</v>
      </c>
      <c r="I545" s="326">
        <f>(I417*'OLD Formulas'!$F13)+(I424*'OLD Formulas'!$F14)+(I431*'OLD Formulas'!$F15)</f>
        <v>0</v>
      </c>
      <c r="J545" s="326">
        <f>(J417*'OLD Formulas'!$F13)+(J424*'OLD Formulas'!$F14)+(J431*'OLD Formulas'!$F15)</f>
        <v>0</v>
      </c>
      <c r="K545" s="326">
        <f>(K417*'OLD Formulas'!$F13)+(K424*'OLD Formulas'!$F14)+(K431*'OLD Formulas'!$F15)</f>
        <v>0</v>
      </c>
      <c r="L545" s="326">
        <f>(L417*'OLD Formulas'!$F13)+(L424*'OLD Formulas'!$F14)+(L431*'OLD Formulas'!$F15)</f>
        <v>0</v>
      </c>
      <c r="M545" s="326">
        <f>(M417*'OLD Formulas'!$F13)+(M424*'OLD Formulas'!$F14)+(M431*'OLD Formulas'!$F15)</f>
        <v>0</v>
      </c>
      <c r="N545" s="326">
        <f>(N417*'OLD Formulas'!$F13)+(N424*'OLD Formulas'!$F14)+(N431*'OLD Formulas'!$F15)</f>
        <v>0</v>
      </c>
      <c r="O545" s="326">
        <f>(O417*'OLD Formulas'!$F13)+(O424*'OLD Formulas'!$F14)+(O431*'OLD Formulas'!$F15)</f>
        <v>0</v>
      </c>
      <c r="P545" s="326">
        <f>(P417*'OLD Formulas'!$F13)+(P424*'OLD Formulas'!$F14)+(P431*'OLD Formulas'!$F15)</f>
        <v>0</v>
      </c>
      <c r="Q545" s="326">
        <f>(Q417*'OLD Formulas'!$F13)+(Q424*'OLD Formulas'!$F14)+(Q431*'OLD Formulas'!$F15)</f>
        <v>0</v>
      </c>
      <c r="R545" s="326">
        <f>(R417*'OLD Formulas'!$F13)+(R424*'OLD Formulas'!$F14)+(R431*'OLD Formulas'!$F15)</f>
        <v>0</v>
      </c>
      <c r="S545" s="326">
        <f>(S417*'OLD Formulas'!$F13)+(S424*'OLD Formulas'!$F14)+(S431*'OLD Formulas'!$F15)</f>
        <v>0</v>
      </c>
      <c r="T545" s="326">
        <f>(T417*'OLD Formulas'!$F13)+(T424*'OLD Formulas'!$F14)+(T431*'OLD Formulas'!$F15)</f>
        <v>0</v>
      </c>
      <c r="U545" s="326">
        <f>(U417*'OLD Formulas'!$F13)+(U424*'OLD Formulas'!$F14)+(U431*'OLD Formulas'!$F15)</f>
        <v>0</v>
      </c>
      <c r="V545" s="326">
        <f>(V417*'OLD Formulas'!$F13)+(V424*'OLD Formulas'!$F14)+(V431*'OLD Formulas'!$F15)</f>
        <v>0</v>
      </c>
      <c r="W545" s="326">
        <f>(W417*'OLD Formulas'!$F13)+(W424*'OLD Formulas'!$F14)+(W431*'OLD Formulas'!$F15)</f>
        <v>0</v>
      </c>
      <c r="X545" s="326">
        <f>(X417*'OLD Formulas'!$F13)+(X424*'OLD Formulas'!$F14)+(X431*'OLD Formulas'!$F15)</f>
        <v>0</v>
      </c>
      <c r="Y545" s="326">
        <f>(Y417*'OLD Formulas'!$F13)+(Y424*'OLD Formulas'!$F14)+(Y431*'OLD Formulas'!$F15)</f>
        <v>0</v>
      </c>
      <c r="Z545" s="326">
        <f>(Z417*'OLD Formulas'!$F13)+(Z424*'OLD Formulas'!$F14)+(Z431*'OLD Formulas'!$F15)</f>
        <v>0</v>
      </c>
      <c r="AA545" s="326">
        <f>(AA417*'OLD Formulas'!$F13)+(AA424*'OLD Formulas'!$F14)+(AA431*'OLD Formulas'!$F15)</f>
        <v>0</v>
      </c>
      <c r="AB545" s="326">
        <f>(AB417*'OLD Formulas'!$F13)+(AB424*'OLD Formulas'!$F14)+(AB431*'OLD Formulas'!$F15)</f>
        <v>0</v>
      </c>
      <c r="AC545" s="326">
        <f>(AC417*'OLD Formulas'!$F13)+(AC424*'OLD Formulas'!$F14)+(AC431*'OLD Formulas'!$F15)</f>
        <v>0</v>
      </c>
      <c r="AD545" s="326">
        <f>(AD417*'OLD Formulas'!$F13)+(AD424*'OLD Formulas'!$F14)+(AD431*'OLD Formulas'!$F15)</f>
        <v>0</v>
      </c>
      <c r="AE545" s="326">
        <f>(AE417*'OLD Formulas'!$F13)+(AE424*'OLD Formulas'!$F14)+(AE431*'OLD Formulas'!$F15)</f>
        <v>0</v>
      </c>
      <c r="AF545" s="327"/>
      <c r="AG545" s="1108">
        <f t="shared" si="213"/>
        <v>0</v>
      </c>
    </row>
    <row r="546" hidden="1">
      <c r="A546" s="337" t="s">
        <v>985</v>
      </c>
      <c r="B546" s="326">
        <f>(B417*'OLD Formulas'!$F16)+(B424*'OLD Formulas'!$F17)+(B431*'OLD Formulas'!$F18)</f>
        <v>0</v>
      </c>
      <c r="C546" s="326">
        <f>(C417*'OLD Formulas'!$F16)+(C424*'OLD Formulas'!$F17)+(C431*'OLD Formulas'!$F18)</f>
        <v>0</v>
      </c>
      <c r="D546" s="326">
        <f>(D417*'OLD Formulas'!$F16)+(D424*'OLD Formulas'!$F17)+(D431*'OLD Formulas'!$F18)</f>
        <v>0</v>
      </c>
      <c r="E546" s="326">
        <f>(E417*'OLD Formulas'!$F16)+(E424*'OLD Formulas'!$F17)+(E431*'OLD Formulas'!$F18)</f>
        <v>0</v>
      </c>
      <c r="F546" s="326">
        <f>(F417*'OLD Formulas'!$F16)+(F424*'OLD Formulas'!$F17)+(F431*'OLD Formulas'!$F18)</f>
        <v>0</v>
      </c>
      <c r="G546" s="326">
        <f>(G417*'OLD Formulas'!$F16)+(G424*'OLD Formulas'!$F17)+(G431*'OLD Formulas'!$F18)</f>
        <v>0</v>
      </c>
      <c r="H546" s="326">
        <f>(H417*'OLD Formulas'!$F16)+(H424*'OLD Formulas'!$F17)+(H431*'OLD Formulas'!$F18)</f>
        <v>0</v>
      </c>
      <c r="I546" s="326">
        <f>(I417*'OLD Formulas'!$F16)+(I424*'OLD Formulas'!$F17)+(I431*'OLD Formulas'!$F18)</f>
        <v>0</v>
      </c>
      <c r="J546" s="326">
        <f>(J417*'OLD Formulas'!$F16)+(J424*'OLD Formulas'!$F17)+(J431*'OLD Formulas'!$F18)</f>
        <v>0</v>
      </c>
      <c r="K546" s="326">
        <f>(K417*'OLD Formulas'!$F16)+(K424*'OLD Formulas'!$F17)+(K431*'OLD Formulas'!$F18)</f>
        <v>0</v>
      </c>
      <c r="L546" s="326">
        <f>(L417*'OLD Formulas'!$F16)+(L424*'OLD Formulas'!$F17)+(L431*'OLD Formulas'!$F18)</f>
        <v>0</v>
      </c>
      <c r="M546" s="326">
        <f>(M417*'OLD Formulas'!$F16)+(M424*'OLD Formulas'!$F17)+(M431*'OLD Formulas'!$F18)</f>
        <v>0</v>
      </c>
      <c r="N546" s="326">
        <f>(N417*'OLD Formulas'!$F16)+(N424*'OLD Formulas'!$F17)+(N431*'OLD Formulas'!$F18)</f>
        <v>0</v>
      </c>
      <c r="O546" s="326">
        <f>(O417*'OLD Formulas'!$F16)+(O424*'OLD Formulas'!$F17)+(O431*'OLD Formulas'!$F18)</f>
        <v>0</v>
      </c>
      <c r="P546" s="326">
        <f>(P417*'OLD Formulas'!$F16)+(P424*'OLD Formulas'!$F17)+(P431*'OLD Formulas'!$F18)</f>
        <v>0</v>
      </c>
      <c r="Q546" s="326">
        <f>(Q417*'OLD Formulas'!$F16)+(Q424*'OLD Formulas'!$F17)+(Q431*'OLD Formulas'!$F18)</f>
        <v>0</v>
      </c>
      <c r="R546" s="326">
        <f>(R417*'OLD Formulas'!$F16)+(R424*'OLD Formulas'!$F17)+(R431*'OLD Formulas'!$F18)</f>
        <v>0</v>
      </c>
      <c r="S546" s="326">
        <f>(S417*'OLD Formulas'!$F16)+(S424*'OLD Formulas'!$F17)+(S431*'OLD Formulas'!$F18)</f>
        <v>0</v>
      </c>
      <c r="T546" s="326">
        <f>(T417*'OLD Formulas'!$F16)+(T424*'OLD Formulas'!$F17)+(T431*'OLD Formulas'!$F18)</f>
        <v>0</v>
      </c>
      <c r="U546" s="326">
        <f>(U417*'OLD Formulas'!$F16)+(U424*'OLD Formulas'!$F17)+(U431*'OLD Formulas'!$F18)</f>
        <v>0</v>
      </c>
      <c r="V546" s="326">
        <f>(V417*'OLD Formulas'!$F16)+(V424*'OLD Formulas'!$F17)+(V431*'OLD Formulas'!$F18)</f>
        <v>0</v>
      </c>
      <c r="W546" s="326">
        <f>(W417*'OLD Formulas'!$F16)+(W424*'OLD Formulas'!$F17)+(W431*'OLD Formulas'!$F18)</f>
        <v>0</v>
      </c>
      <c r="X546" s="326">
        <f>(X417*'OLD Formulas'!$F16)+(X424*'OLD Formulas'!$F17)+(X431*'OLD Formulas'!$F18)</f>
        <v>0</v>
      </c>
      <c r="Y546" s="326">
        <f>(Y417*'OLD Formulas'!$F16)+(Y424*'OLD Formulas'!$F17)+(Y431*'OLD Formulas'!$F18)</f>
        <v>0</v>
      </c>
      <c r="Z546" s="326">
        <f>(Z417*'OLD Formulas'!$F16)+(Z424*'OLD Formulas'!$F17)+(Z431*'OLD Formulas'!$F18)</f>
        <v>0</v>
      </c>
      <c r="AA546" s="326">
        <f>(AA417*'OLD Formulas'!$F16)+(AA424*'OLD Formulas'!$F17)+(AA431*'OLD Formulas'!$F18)</f>
        <v>0</v>
      </c>
      <c r="AB546" s="326">
        <f>(AB417*'OLD Formulas'!$F16)+(AB424*'OLD Formulas'!$F17)+(AB431*'OLD Formulas'!$F18)</f>
        <v>0</v>
      </c>
      <c r="AC546" s="326">
        <f>(AC417*'OLD Formulas'!$F16)+(AC424*'OLD Formulas'!$F17)+(AC431*'OLD Formulas'!$F18)</f>
        <v>0</v>
      </c>
      <c r="AD546" s="326">
        <f>(AD417*'OLD Formulas'!$F16)+(AD424*'OLD Formulas'!$F17)+(AD431*'OLD Formulas'!$F18)</f>
        <v>0</v>
      </c>
      <c r="AE546" s="326">
        <f>(AE417*'OLD Formulas'!$F16)+(AE424*'OLD Formulas'!$F17)+(AE431*'OLD Formulas'!$F18)</f>
        <v>0</v>
      </c>
      <c r="AF546" s="327"/>
      <c r="AG546" s="1108">
        <f t="shared" si="213"/>
        <v>0</v>
      </c>
    </row>
    <row r="547" hidden="1">
      <c r="A547" s="337" t="s">
        <v>1017</v>
      </c>
      <c r="B547" s="327">
        <f>(B409+B410)*'OLD Formulas'!$C29</f>
        <v>0</v>
      </c>
      <c r="C547" s="327">
        <f>(C409+C410)*'OLD Formulas'!$C29</f>
        <v>0</v>
      </c>
      <c r="D547" s="327">
        <f>(D409+D410)*'OLD Formulas'!$C29</f>
        <v>0</v>
      </c>
      <c r="E547" s="327">
        <f>(E409+E410)*'OLD Formulas'!$C29</f>
        <v>0</v>
      </c>
      <c r="F547" s="327">
        <f>(F409+F410)*'OLD Formulas'!$C29</f>
        <v>0</v>
      </c>
      <c r="G547" s="327">
        <f>(G409+G410)*'OLD Formulas'!$C29</f>
        <v>0</v>
      </c>
      <c r="H547" s="327">
        <f>(H409+H410)*'OLD Formulas'!$C29</f>
        <v>0</v>
      </c>
      <c r="I547" s="327">
        <f>(I409+I410)*'OLD Formulas'!$C29</f>
        <v>0</v>
      </c>
      <c r="J547" s="327">
        <f>(J409+J410)*'OLD Formulas'!$C29</f>
        <v>0</v>
      </c>
      <c r="K547" s="327">
        <f>(K409+K410)*'OLD Formulas'!$C29</f>
        <v>0</v>
      </c>
      <c r="L547" s="327">
        <f>(L409+L410)*'OLD Formulas'!$C29</f>
        <v>0</v>
      </c>
      <c r="M547" s="327">
        <f>(M409+M410)*'OLD Formulas'!$C29</f>
        <v>0</v>
      </c>
      <c r="N547" s="327">
        <f>(N409+N410)*'OLD Formulas'!$C29</f>
        <v>0</v>
      </c>
      <c r="O547" s="327">
        <f>(O409+O410)*'OLD Formulas'!$C29</f>
        <v>0</v>
      </c>
      <c r="P547" s="327">
        <f>(P409+P410)*'OLD Formulas'!$C29</f>
        <v>0</v>
      </c>
      <c r="Q547" s="327">
        <f>(Q409+Q410)*'OLD Formulas'!$C29</f>
        <v>0</v>
      </c>
      <c r="R547" s="327">
        <f>(R409+R410)*'OLD Formulas'!$C29</f>
        <v>0</v>
      </c>
      <c r="S547" s="327">
        <f>(S409+S410)*'OLD Formulas'!$C29</f>
        <v>0</v>
      </c>
      <c r="T547" s="327">
        <f>(T409+T410)*'OLD Formulas'!$C29</f>
        <v>0</v>
      </c>
      <c r="U547" s="327">
        <f>(U409+U410)*'OLD Formulas'!$C29</f>
        <v>0</v>
      </c>
      <c r="V547" s="327">
        <f>(V409+V410)*'OLD Formulas'!$C29</f>
        <v>0</v>
      </c>
      <c r="W547" s="327">
        <f>(W409+W410)*'OLD Formulas'!$C29</f>
        <v>0</v>
      </c>
      <c r="X547" s="327">
        <f>(X409+X410)*'OLD Formulas'!$C29</f>
        <v>0</v>
      </c>
      <c r="Y547" s="327">
        <f>(Y409+Y410)*'OLD Formulas'!$C29</f>
        <v>0</v>
      </c>
      <c r="Z547" s="327">
        <f>(Z409+Z410)*'OLD Formulas'!$C29</f>
        <v>0</v>
      </c>
      <c r="AA547" s="327">
        <f>(AA409+AA410)*'OLD Formulas'!$C29</f>
        <v>0</v>
      </c>
      <c r="AB547" s="327">
        <f>(AB409+AB410)*'OLD Formulas'!$C29</f>
        <v>0</v>
      </c>
      <c r="AC547" s="327">
        <f>(AC409+AC410)*'OLD Formulas'!$C29</f>
        <v>0</v>
      </c>
      <c r="AD547" s="327">
        <f>(AD409+AD410)*'OLD Formulas'!$C29</f>
        <v>0</v>
      </c>
      <c r="AE547" s="327">
        <f>(AE409+AE410)*'OLD Formulas'!$C29</f>
        <v>0</v>
      </c>
      <c r="AF547" s="327"/>
      <c r="AG547" s="1108">
        <f t="shared" si="213"/>
        <v>0</v>
      </c>
    </row>
    <row r="548" hidden="1">
      <c r="A548" s="337" t="s">
        <v>1019</v>
      </c>
      <c r="B548" s="326">
        <f>'OLD Formulas'!$C30*(B409+B410)</f>
        <v>0</v>
      </c>
      <c r="C548" s="326">
        <f>'OLD Formulas'!$C30*(C409+C410)</f>
        <v>0</v>
      </c>
      <c r="D548" s="326">
        <f>'OLD Formulas'!$C30*(D409+D410)</f>
        <v>0</v>
      </c>
      <c r="E548" s="326">
        <f>'OLD Formulas'!$C30*(E409+E410)</f>
        <v>0</v>
      </c>
      <c r="F548" s="326">
        <f>'OLD Formulas'!$C30*(F409+F410)</f>
        <v>0</v>
      </c>
      <c r="G548" s="326">
        <f>'OLD Formulas'!$C30*(G409+G410)</f>
        <v>0</v>
      </c>
      <c r="H548" s="326">
        <f>'OLD Formulas'!$C30*(H409+H410)</f>
        <v>0</v>
      </c>
      <c r="I548" s="326">
        <f>'OLD Formulas'!$C30*(I409+I410)</f>
        <v>0</v>
      </c>
      <c r="J548" s="326">
        <f>'OLD Formulas'!$C30*(J409+J410)</f>
        <v>0</v>
      </c>
      <c r="K548" s="326">
        <f>'OLD Formulas'!$C30*(K409+K410)</f>
        <v>0</v>
      </c>
      <c r="L548" s="326">
        <f>'OLD Formulas'!$C30*(L409+L410)</f>
        <v>0</v>
      </c>
      <c r="M548" s="326">
        <f>'OLD Formulas'!$C30*(M409+M410)</f>
        <v>0</v>
      </c>
      <c r="N548" s="326">
        <f>'OLD Formulas'!$C30*(N409+N410)</f>
        <v>0</v>
      </c>
      <c r="O548" s="326">
        <f>'OLD Formulas'!$C30*(O409+O410)</f>
        <v>0</v>
      </c>
      <c r="P548" s="326">
        <f>'OLD Formulas'!$C30*(P409+P410)</f>
        <v>0</v>
      </c>
      <c r="Q548" s="326">
        <f>'OLD Formulas'!$C30*(Q409+Q410)</f>
        <v>0</v>
      </c>
      <c r="R548" s="326">
        <f>'OLD Formulas'!$C30*(R409+R410)</f>
        <v>0</v>
      </c>
      <c r="S548" s="326">
        <f>'OLD Formulas'!$C30*(S409+S410)</f>
        <v>0</v>
      </c>
      <c r="T548" s="326">
        <f>'OLD Formulas'!$C30*(T409+T410)</f>
        <v>0</v>
      </c>
      <c r="U548" s="326">
        <f>'OLD Formulas'!$C30*(U409+U410)</f>
        <v>0</v>
      </c>
      <c r="V548" s="326">
        <f>'OLD Formulas'!$C30*(V409+V410)</f>
        <v>0</v>
      </c>
      <c r="W548" s="326">
        <f>'OLD Formulas'!$C30*(W409+W410)</f>
        <v>0</v>
      </c>
      <c r="X548" s="326">
        <f>'OLD Formulas'!$C30*(X409+X410)</f>
        <v>0</v>
      </c>
      <c r="Y548" s="326">
        <f>'OLD Formulas'!$C30*(Y409+Y410)</f>
        <v>0</v>
      </c>
      <c r="Z548" s="326">
        <f>'OLD Formulas'!$C30*(Z409+Z410)</f>
        <v>0</v>
      </c>
      <c r="AA548" s="326">
        <f>'OLD Formulas'!$C30*(AA409+AA410)</f>
        <v>0</v>
      </c>
      <c r="AB548" s="326">
        <f>'OLD Formulas'!$C30*(AB409+AB410)</f>
        <v>0</v>
      </c>
      <c r="AC548" s="326">
        <f>'OLD Formulas'!$C30*(AC409+AC410)</f>
        <v>0</v>
      </c>
      <c r="AD548" s="326">
        <f>'OLD Formulas'!$C30*(AD409+AD410)</f>
        <v>0</v>
      </c>
      <c r="AE548" s="326">
        <f>'OLD Formulas'!$C30*(AE409+AE410)</f>
        <v>0</v>
      </c>
      <c r="AF548" s="327"/>
      <c r="AG548" s="1108">
        <f t="shared" si="213"/>
        <v>0</v>
      </c>
    </row>
    <row r="549" hidden="1">
      <c r="A549" s="337" t="s">
        <v>1021</v>
      </c>
      <c r="B549" s="326">
        <f>'OLD Formulas'!$C31*(B409+B410)</f>
        <v>0</v>
      </c>
      <c r="C549" s="326">
        <f>'OLD Formulas'!$C31*(C409+C410)</f>
        <v>0</v>
      </c>
      <c r="D549" s="326">
        <f>'OLD Formulas'!$C31*(D409+D410)</f>
        <v>0</v>
      </c>
      <c r="E549" s="326">
        <f>'OLD Formulas'!$C31*(E409+E410)</f>
        <v>0</v>
      </c>
      <c r="F549" s="326">
        <f>'OLD Formulas'!$C31*(F409+F410)</f>
        <v>0</v>
      </c>
      <c r="G549" s="326">
        <f>'OLD Formulas'!$C31*(G409+G410)</f>
        <v>0</v>
      </c>
      <c r="H549" s="326">
        <f>'OLD Formulas'!$C31*(H409+H410)</f>
        <v>0</v>
      </c>
      <c r="I549" s="326">
        <f>'OLD Formulas'!$C31*(I409+I410)</f>
        <v>0</v>
      </c>
      <c r="J549" s="326">
        <f>'OLD Formulas'!$C31*(J409+J410)</f>
        <v>0</v>
      </c>
      <c r="K549" s="326">
        <f>'OLD Formulas'!$C31*(K409+K410)</f>
        <v>0</v>
      </c>
      <c r="L549" s="326">
        <f>'OLD Formulas'!$C31*(L409+L410)</f>
        <v>0</v>
      </c>
      <c r="M549" s="326">
        <f>'OLD Formulas'!$C31*(M409+M410)</f>
        <v>0</v>
      </c>
      <c r="N549" s="326">
        <f>'OLD Formulas'!$C31*(N409+N410)</f>
        <v>0</v>
      </c>
      <c r="O549" s="326">
        <f>'OLD Formulas'!$C31*(O409+O410)</f>
        <v>0</v>
      </c>
      <c r="P549" s="326">
        <f>'OLD Formulas'!$C31*(P409+P410)</f>
        <v>0</v>
      </c>
      <c r="Q549" s="326">
        <f>'OLD Formulas'!$C31*(Q409+Q410)</f>
        <v>0</v>
      </c>
      <c r="R549" s="326">
        <f>'OLD Formulas'!$C31*(R409+R410)</f>
        <v>0</v>
      </c>
      <c r="S549" s="326">
        <f>'OLD Formulas'!$C31*(S409+S410)</f>
        <v>0</v>
      </c>
      <c r="T549" s="326">
        <f>'OLD Formulas'!$C31*(T409+T410)</f>
        <v>0</v>
      </c>
      <c r="U549" s="326">
        <f>'OLD Formulas'!$C31*(U409+U410)</f>
        <v>0</v>
      </c>
      <c r="V549" s="326">
        <f>'OLD Formulas'!$C31*(V409+V410)</f>
        <v>0</v>
      </c>
      <c r="W549" s="326">
        <f>'OLD Formulas'!$C31*(W409+W410)</f>
        <v>0</v>
      </c>
      <c r="X549" s="326">
        <f>'OLD Formulas'!$C31*(X409+X410)</f>
        <v>0</v>
      </c>
      <c r="Y549" s="326">
        <f>'OLD Formulas'!$C31*(Y409+Y410)</f>
        <v>0</v>
      </c>
      <c r="Z549" s="326">
        <f>'OLD Formulas'!$C31*(Z409+Z410)</f>
        <v>0</v>
      </c>
      <c r="AA549" s="326">
        <f>'OLD Formulas'!$C31*(AA409+AA410)</f>
        <v>0</v>
      </c>
      <c r="AB549" s="326">
        <f>'OLD Formulas'!$C31*(AB409+AB410)</f>
        <v>0</v>
      </c>
      <c r="AC549" s="326">
        <f>'OLD Formulas'!$C31*(AC409+AC410)</f>
        <v>0</v>
      </c>
      <c r="AD549" s="326">
        <f>'OLD Formulas'!$C31*(AD409+AD410)</f>
        <v>0</v>
      </c>
      <c r="AE549" s="326">
        <f>'OLD Formulas'!$C31*(AE409+AE410)</f>
        <v>0</v>
      </c>
      <c r="AF549" s="327"/>
      <c r="AG549" s="1108">
        <f t="shared" si="213"/>
        <v>0</v>
      </c>
    </row>
    <row r="550">
      <c r="A550" s="346" t="s">
        <v>592</v>
      </c>
      <c r="B550" s="326">
        <f t="shared" ref="B550:AF550" si="214">sum(B523:B549)</f>
        <v>0</v>
      </c>
      <c r="C550" s="326">
        <f t="shared" si="214"/>
        <v>0</v>
      </c>
      <c r="D550" s="326">
        <f t="shared" si="214"/>
        <v>0</v>
      </c>
      <c r="E550" s="326">
        <f t="shared" si="214"/>
        <v>0</v>
      </c>
      <c r="F550" s="326">
        <f t="shared" si="214"/>
        <v>0</v>
      </c>
      <c r="G550" s="326">
        <f t="shared" si="214"/>
        <v>0</v>
      </c>
      <c r="H550" s="326">
        <f t="shared" si="214"/>
        <v>0</v>
      </c>
      <c r="I550" s="326">
        <f t="shared" si="214"/>
        <v>0</v>
      </c>
      <c r="J550" s="326">
        <f t="shared" si="214"/>
        <v>0</v>
      </c>
      <c r="K550" s="326">
        <f t="shared" si="214"/>
        <v>0</v>
      </c>
      <c r="L550" s="326">
        <f t="shared" si="214"/>
        <v>0</v>
      </c>
      <c r="M550" s="326">
        <f t="shared" si="214"/>
        <v>0</v>
      </c>
      <c r="N550" s="326">
        <f t="shared" si="214"/>
        <v>0</v>
      </c>
      <c r="O550" s="326">
        <f t="shared" si="214"/>
        <v>0</v>
      </c>
      <c r="P550" s="326">
        <f t="shared" si="214"/>
        <v>0</v>
      </c>
      <c r="Q550" s="326">
        <f t="shared" si="214"/>
        <v>0</v>
      </c>
      <c r="R550" s="326">
        <f t="shared" si="214"/>
        <v>0</v>
      </c>
      <c r="S550" s="326">
        <f t="shared" si="214"/>
        <v>0</v>
      </c>
      <c r="T550" s="326">
        <f t="shared" si="214"/>
        <v>0</v>
      </c>
      <c r="U550" s="326">
        <f t="shared" si="214"/>
        <v>0</v>
      </c>
      <c r="V550" s="326">
        <f t="shared" si="214"/>
        <v>0</v>
      </c>
      <c r="W550" s="326">
        <f t="shared" si="214"/>
        <v>0</v>
      </c>
      <c r="X550" s="326">
        <f t="shared" si="214"/>
        <v>0</v>
      </c>
      <c r="Y550" s="326">
        <f t="shared" si="214"/>
        <v>0</v>
      </c>
      <c r="Z550" s="326">
        <f t="shared" si="214"/>
        <v>0</v>
      </c>
      <c r="AA550" s="326">
        <f t="shared" si="214"/>
        <v>0</v>
      </c>
      <c r="AB550" s="326">
        <f t="shared" si="214"/>
        <v>0</v>
      </c>
      <c r="AC550" s="326">
        <f t="shared" si="214"/>
        <v>0</v>
      </c>
      <c r="AD550" s="326">
        <f t="shared" si="214"/>
        <v>0</v>
      </c>
      <c r="AE550" s="326">
        <f t="shared" si="214"/>
        <v>0</v>
      </c>
      <c r="AF550" s="327">
        <f t="shared" si="214"/>
        <v>0</v>
      </c>
      <c r="AG550" s="360">
        <f>SUM(B550:AF550)</f>
        <v>0</v>
      </c>
    </row>
    <row r="551">
      <c r="A551" s="42"/>
      <c r="B551" s="327"/>
      <c r="C551" s="327"/>
      <c r="D551" s="327"/>
      <c r="E551" s="327"/>
      <c r="F551" s="327"/>
      <c r="G551" s="327"/>
      <c r="H551" s="327"/>
      <c r="I551" s="327"/>
      <c r="J551" s="327"/>
      <c r="K551" s="327"/>
      <c r="L551" s="327"/>
      <c r="M551" s="327"/>
      <c r="N551" s="327"/>
      <c r="O551" s="327"/>
      <c r="P551" s="327"/>
      <c r="Q551" s="327"/>
      <c r="R551" s="327"/>
      <c r="S551" s="327"/>
      <c r="T551" s="327"/>
      <c r="U551" s="327"/>
      <c r="V551" s="327"/>
      <c r="W551" s="327"/>
      <c r="X551" s="327"/>
      <c r="Y551" s="327"/>
      <c r="Z551" s="327"/>
      <c r="AA551" s="327"/>
      <c r="AB551" s="327"/>
      <c r="AC551" s="327"/>
      <c r="AD551" s="327"/>
      <c r="AE551" s="327"/>
      <c r="AF551" s="327"/>
      <c r="AG551" s="11"/>
    </row>
    <row r="552">
      <c r="A552" s="1110" t="s">
        <v>151</v>
      </c>
      <c r="B552" s="1111">
        <f t="shared" ref="B552:AF552" si="215">SUM(B483:B521)+B550</f>
        <v>31823.29104</v>
      </c>
      <c r="C552" s="1111">
        <f t="shared" si="215"/>
        <v>37236.16492</v>
      </c>
      <c r="D552" s="1111">
        <f t="shared" si="215"/>
        <v>36206.15107</v>
      </c>
      <c r="E552" s="1111">
        <f t="shared" si="215"/>
        <v>40019.46804</v>
      </c>
      <c r="F552" s="1111">
        <f t="shared" si="215"/>
        <v>39470.75435</v>
      </c>
      <c r="G552" s="1111">
        <f t="shared" si="215"/>
        <v>41207.92609</v>
      </c>
      <c r="H552" s="1111">
        <f t="shared" si="215"/>
        <v>42408.15499</v>
      </c>
      <c r="I552" s="1111">
        <f t="shared" si="215"/>
        <v>46865.74275</v>
      </c>
      <c r="J552" s="1111">
        <f t="shared" si="215"/>
        <v>48191.69776</v>
      </c>
      <c r="K552" s="1111">
        <f t="shared" si="215"/>
        <v>46841.63189</v>
      </c>
      <c r="L552" s="1111">
        <f t="shared" si="215"/>
        <v>45618.69335</v>
      </c>
      <c r="M552" s="1111">
        <f t="shared" si="215"/>
        <v>40733.97889</v>
      </c>
      <c r="N552" s="1111">
        <f t="shared" si="215"/>
        <v>57282.66851</v>
      </c>
      <c r="O552" s="1111">
        <f t="shared" si="215"/>
        <v>58384.99493</v>
      </c>
      <c r="P552" s="1111">
        <f t="shared" si="215"/>
        <v>55873.41296</v>
      </c>
      <c r="Q552" s="1111">
        <f t="shared" si="215"/>
        <v>59224.32876</v>
      </c>
      <c r="R552" s="1111">
        <f t="shared" si="215"/>
        <v>37946.11772</v>
      </c>
      <c r="S552" s="1111">
        <f t="shared" si="215"/>
        <v>53587.17699</v>
      </c>
      <c r="T552" s="1111">
        <f t="shared" si="215"/>
        <v>43582.58388</v>
      </c>
      <c r="U552" s="1111">
        <f t="shared" si="215"/>
        <v>46958.10739</v>
      </c>
      <c r="V552" s="1111">
        <f t="shared" si="215"/>
        <v>45114.40166</v>
      </c>
      <c r="W552" s="1111">
        <f t="shared" si="215"/>
        <v>45986.46553</v>
      </c>
      <c r="X552" s="1111">
        <f t="shared" si="215"/>
        <v>45886.44639</v>
      </c>
      <c r="Y552" s="1111">
        <f t="shared" si="215"/>
        <v>37957.22773</v>
      </c>
      <c r="Z552" s="1111">
        <f t="shared" si="215"/>
        <v>48227.00414</v>
      </c>
      <c r="AA552" s="1111">
        <f t="shared" si="215"/>
        <v>45391.77603</v>
      </c>
      <c r="AB552" s="1111">
        <f t="shared" si="215"/>
        <v>37368.05661</v>
      </c>
      <c r="AC552" s="1111">
        <f t="shared" si="215"/>
        <v>49888.54488</v>
      </c>
      <c r="AD552" s="1111">
        <f t="shared" si="215"/>
        <v>36357.20001</v>
      </c>
      <c r="AE552" s="1111">
        <f t="shared" si="215"/>
        <v>37421.61448</v>
      </c>
      <c r="AF552" s="1111">
        <f t="shared" si="215"/>
        <v>34901.10174</v>
      </c>
      <c r="AG552" s="360">
        <f>SUM(B552:AF552)</f>
        <v>1373962.885</v>
      </c>
    </row>
    <row r="553">
      <c r="A553" s="42"/>
      <c r="B553" s="465"/>
      <c r="C553" s="465"/>
      <c r="D553" s="465"/>
      <c r="E553" s="465"/>
      <c r="F553" s="465"/>
      <c r="G553" s="465"/>
      <c r="H553" s="465"/>
      <c r="I553" s="465"/>
      <c r="J553" s="465"/>
      <c r="K553" s="465"/>
      <c r="L553" s="465"/>
      <c r="M553" s="465"/>
      <c r="N553" s="465"/>
      <c r="O553" s="465"/>
      <c r="P553" s="465"/>
      <c r="Q553" s="465"/>
      <c r="R553" s="465"/>
      <c r="S553" s="465"/>
      <c r="T553" s="465"/>
      <c r="U553" s="465"/>
      <c r="V553" s="465"/>
      <c r="W553" s="465"/>
      <c r="X553" s="465"/>
      <c r="Y553" s="465"/>
      <c r="Z553" s="465"/>
      <c r="AA553" s="465"/>
      <c r="AB553" s="465"/>
      <c r="AC553" s="465"/>
      <c r="AD553" s="465"/>
      <c r="AE553" s="465"/>
      <c r="AF553" s="465"/>
      <c r="AG553" s="11"/>
    </row>
    <row r="554">
      <c r="A554" s="347" t="s">
        <v>1029</v>
      </c>
      <c r="B554" s="276">
        <f t="shared" ref="B554:AF554" si="216">B135-B552</f>
        <v>7868.618956</v>
      </c>
      <c r="C554" s="276">
        <f t="shared" si="216"/>
        <v>7936.075077</v>
      </c>
      <c r="D554" s="276">
        <f t="shared" si="216"/>
        <v>2722.398934</v>
      </c>
      <c r="E554" s="276">
        <f t="shared" si="216"/>
        <v>1933.781963</v>
      </c>
      <c r="F554" s="276">
        <f t="shared" si="216"/>
        <v>412.1056471</v>
      </c>
      <c r="G554" s="276">
        <f t="shared" si="216"/>
        <v>2859.883913</v>
      </c>
      <c r="H554" s="276">
        <f t="shared" si="216"/>
        <v>2990.995015</v>
      </c>
      <c r="I554" s="276">
        <f t="shared" si="216"/>
        <v>7078.477254</v>
      </c>
      <c r="J554" s="276">
        <f t="shared" si="216"/>
        <v>2706.582237</v>
      </c>
      <c r="K554" s="276">
        <f t="shared" si="216"/>
        <v>1645.248115</v>
      </c>
      <c r="L554" s="276">
        <f t="shared" si="216"/>
        <v>2151.026652</v>
      </c>
      <c r="M554" s="276">
        <f t="shared" si="216"/>
        <v>7996.191113</v>
      </c>
      <c r="N554" s="276">
        <f t="shared" si="216"/>
        <v>19432.56149</v>
      </c>
      <c r="O554" s="276">
        <f t="shared" si="216"/>
        <v>10417.31507</v>
      </c>
      <c r="P554" s="276">
        <f t="shared" si="216"/>
        <v>3365.017037</v>
      </c>
      <c r="Q554" s="276">
        <f t="shared" si="216"/>
        <v>-555.1087594</v>
      </c>
      <c r="R554" s="276">
        <f t="shared" si="216"/>
        <v>-6061.107719</v>
      </c>
      <c r="S554" s="276">
        <f t="shared" si="216"/>
        <v>3759.363014</v>
      </c>
      <c r="T554" s="276">
        <f t="shared" si="216"/>
        <v>-1751.123883</v>
      </c>
      <c r="U554" s="276">
        <f t="shared" si="216"/>
        <v>1654.22261</v>
      </c>
      <c r="V554" s="276">
        <f t="shared" si="216"/>
        <v>-1553.561664</v>
      </c>
      <c r="W554" s="276">
        <f t="shared" si="216"/>
        <v>-2130.605526</v>
      </c>
      <c r="X554" s="276">
        <f t="shared" si="216"/>
        <v>-6948.616392</v>
      </c>
      <c r="Y554" s="276">
        <f t="shared" si="216"/>
        <v>-7968.527731</v>
      </c>
      <c r="Z554" s="276">
        <f t="shared" si="216"/>
        <v>-15875.94414</v>
      </c>
      <c r="AA554" s="276">
        <f t="shared" si="216"/>
        <v>-15054.26603</v>
      </c>
      <c r="AB554" s="276">
        <f t="shared" si="216"/>
        <v>-3190.766607</v>
      </c>
      <c r="AC554" s="276">
        <f t="shared" si="216"/>
        <v>-18535.43488</v>
      </c>
      <c r="AD554" s="276">
        <f t="shared" si="216"/>
        <v>-6425.45001</v>
      </c>
      <c r="AE554" s="276">
        <f t="shared" si="216"/>
        <v>-6646.524481</v>
      </c>
      <c r="AF554" s="276">
        <f t="shared" si="216"/>
        <v>-1545.251744</v>
      </c>
      <c r="AG554" s="360">
        <f>SUM(B554:AF554)</f>
        <v>-7312.425476</v>
      </c>
    </row>
    <row r="555">
      <c r="A555" s="1112">
        <f>SUM(B554:AF554)</f>
        <v>-7312.425476</v>
      </c>
      <c r="B555" s="465"/>
      <c r="C555" s="465"/>
      <c r="D555" s="465"/>
      <c r="E555" s="465"/>
      <c r="F555" s="465"/>
      <c r="G555" s="465"/>
      <c r="H555" s="465"/>
      <c r="I555" s="465"/>
      <c r="J555" s="465"/>
      <c r="K555" s="465"/>
      <c r="L555" s="465"/>
      <c r="M555" s="465"/>
      <c r="N555" s="465"/>
      <c r="O555" s="465"/>
      <c r="P555" s="465"/>
      <c r="Q555" s="465"/>
      <c r="R555" s="465"/>
      <c r="S555" s="465"/>
      <c r="T555" s="465"/>
      <c r="U555" s="465"/>
      <c r="V555" s="465"/>
      <c r="W555" s="465"/>
      <c r="X555" s="465"/>
      <c r="Y555" s="465"/>
      <c r="Z555" s="465"/>
      <c r="AA555" s="465"/>
      <c r="AB555" s="465"/>
      <c r="AC555" s="465"/>
      <c r="AD555" s="465"/>
      <c r="AE555" s="465"/>
      <c r="AF555" s="465"/>
      <c r="AG555" s="1113"/>
    </row>
    <row r="556">
      <c r="A556" s="42"/>
      <c r="B556" s="465"/>
      <c r="C556" s="465"/>
      <c r="D556" s="465"/>
      <c r="E556" s="465"/>
      <c r="F556" s="465"/>
      <c r="G556" s="465"/>
      <c r="H556" s="465"/>
      <c r="I556" s="465"/>
      <c r="J556" s="465"/>
      <c r="K556" s="465"/>
      <c r="L556" s="465"/>
      <c r="M556" s="465"/>
      <c r="N556" s="465"/>
      <c r="O556" s="465"/>
      <c r="P556" s="465"/>
      <c r="Q556" s="465"/>
      <c r="R556" s="465"/>
      <c r="S556" s="465"/>
      <c r="T556" s="465"/>
      <c r="U556" s="465"/>
      <c r="V556" s="465"/>
      <c r="W556" s="465"/>
      <c r="X556" s="465"/>
      <c r="Y556" s="465"/>
      <c r="Z556" s="465"/>
      <c r="AA556" s="465"/>
      <c r="AB556" s="465"/>
      <c r="AC556" s="465"/>
      <c r="AD556" s="465"/>
      <c r="AE556" s="465"/>
      <c r="AF556" s="465"/>
      <c r="AG556" s="1113"/>
    </row>
    <row r="557">
      <c r="A557" s="1114" t="s">
        <v>1030</v>
      </c>
      <c r="B557" s="1115">
        <f t="shared" ref="B557:AF557" si="217">B554/B135</f>
        <v>0.1982423863</v>
      </c>
      <c r="C557" s="1115">
        <f t="shared" si="217"/>
        <v>0.1756847807</v>
      </c>
      <c r="D557" s="1115">
        <f t="shared" si="217"/>
        <v>0.06993322211</v>
      </c>
      <c r="E557" s="1115">
        <f t="shared" si="217"/>
        <v>0.0460937344</v>
      </c>
      <c r="F557" s="1115">
        <f t="shared" si="217"/>
        <v>0.01033290108</v>
      </c>
      <c r="G557" s="1115">
        <f t="shared" si="217"/>
        <v>0.06489734599</v>
      </c>
      <c r="H557" s="1115">
        <f t="shared" si="217"/>
        <v>0.06588218094</v>
      </c>
      <c r="I557" s="1115">
        <f t="shared" si="217"/>
        <v>0.1312184559</v>
      </c>
      <c r="J557" s="1115">
        <f t="shared" si="217"/>
        <v>0.05317630059</v>
      </c>
      <c r="K557" s="1115">
        <f t="shared" si="217"/>
        <v>0.03393182062</v>
      </c>
      <c r="L557" s="1115">
        <f t="shared" si="217"/>
        <v>0.04502908226</v>
      </c>
      <c r="M557" s="1115">
        <f t="shared" si="217"/>
        <v>0.1640911803</v>
      </c>
      <c r="N557" s="1115">
        <f t="shared" si="217"/>
        <v>0.2533077394</v>
      </c>
      <c r="O557" s="1115">
        <f t="shared" si="217"/>
        <v>0.1514093796</v>
      </c>
      <c r="P557" s="1115">
        <f t="shared" si="217"/>
        <v>0.05680462897</v>
      </c>
      <c r="Q557" s="1115">
        <f t="shared" si="217"/>
        <v>-0.009461669328</v>
      </c>
      <c r="R557" s="1115">
        <f t="shared" si="217"/>
        <v>-0.1900927025</v>
      </c>
      <c r="S557" s="1115">
        <f t="shared" si="217"/>
        <v>0.06555518458</v>
      </c>
      <c r="T557" s="1115">
        <f t="shared" si="217"/>
        <v>-0.04186140963</v>
      </c>
      <c r="U557" s="1115">
        <f t="shared" si="217"/>
        <v>0.03402886901</v>
      </c>
      <c r="V557" s="1115">
        <f t="shared" si="217"/>
        <v>-0.03566418058</v>
      </c>
      <c r="W557" s="1115">
        <f t="shared" si="217"/>
        <v>-0.04858200309</v>
      </c>
      <c r="X557" s="1115">
        <f t="shared" si="217"/>
        <v>-0.1784541253</v>
      </c>
      <c r="Y557" s="1115">
        <f t="shared" si="217"/>
        <v>-0.265717678</v>
      </c>
      <c r="Z557" s="1115">
        <f t="shared" si="217"/>
        <v>-0.490739535</v>
      </c>
      <c r="AA557" s="1115">
        <f t="shared" si="217"/>
        <v>-0.496226158</v>
      </c>
      <c r="AB557" s="1115">
        <f t="shared" si="217"/>
        <v>-0.09335926304</v>
      </c>
      <c r="AC557" s="1115">
        <f t="shared" si="217"/>
        <v>-0.5911832951</v>
      </c>
      <c r="AD557" s="1115">
        <f t="shared" si="217"/>
        <v>-0.2146700413</v>
      </c>
      <c r="AE557" s="1115">
        <f t="shared" si="217"/>
        <v>-0.2159709194</v>
      </c>
      <c r="AF557" s="1115">
        <f t="shared" si="217"/>
        <v>-0.04632625894</v>
      </c>
      <c r="AG557" s="1113"/>
    </row>
    <row r="558">
      <c r="A558" s="1116" t="s">
        <v>1031</v>
      </c>
      <c r="B558" s="1117">
        <f t="shared" ref="B558:AF558" si="218">(B135-B512-B513-B514)/B483</f>
        <v>3.259500912</v>
      </c>
      <c r="C558" s="1117">
        <f t="shared" si="218"/>
        <v>3.109911473</v>
      </c>
      <c r="D558" s="1117">
        <f t="shared" si="218"/>
        <v>2.381730346</v>
      </c>
      <c r="E558" s="1117">
        <f t="shared" si="218"/>
        <v>2.263203652</v>
      </c>
      <c r="F558" s="1117">
        <f t="shared" si="218"/>
        <v>2.241848482</v>
      </c>
      <c r="G558" s="1117">
        <f t="shared" si="218"/>
        <v>2.457119555</v>
      </c>
      <c r="H558" s="1117">
        <f t="shared" si="218"/>
        <v>2.501407306</v>
      </c>
      <c r="I558" s="1117">
        <f t="shared" si="218"/>
        <v>2.853159095</v>
      </c>
      <c r="J558" s="1117">
        <f t="shared" si="218"/>
        <v>2.275460052</v>
      </c>
      <c r="K558" s="1117">
        <f t="shared" si="218"/>
        <v>2.269102915</v>
      </c>
      <c r="L558" s="1117">
        <f t="shared" si="218"/>
        <v>2.424783619</v>
      </c>
      <c r="M558" s="1117">
        <f t="shared" si="218"/>
        <v>3.427037907</v>
      </c>
      <c r="N558" s="1117">
        <f t="shared" si="218"/>
        <v>5.317961149</v>
      </c>
      <c r="O558" s="1117">
        <f t="shared" si="218"/>
        <v>3.691677842</v>
      </c>
      <c r="P558" s="1117">
        <f t="shared" si="218"/>
        <v>2.462066979</v>
      </c>
      <c r="Q558" s="1117">
        <f t="shared" si="218"/>
        <v>2.129074805</v>
      </c>
      <c r="R558" s="1117">
        <f t="shared" si="218"/>
        <v>1.561285795</v>
      </c>
      <c r="S558" s="1117">
        <f t="shared" si="218"/>
        <v>2.60879583</v>
      </c>
      <c r="T558" s="1117">
        <f t="shared" si="218"/>
        <v>1.954656781</v>
      </c>
      <c r="U558" s="1117">
        <f t="shared" si="218"/>
        <v>2.247466991</v>
      </c>
      <c r="V558" s="1117">
        <f t="shared" si="218"/>
        <v>1.919356906</v>
      </c>
      <c r="W558" s="1117">
        <f t="shared" si="218"/>
        <v>1.763450658</v>
      </c>
      <c r="X558" s="1117">
        <f t="shared" si="218"/>
        <v>1.419594686</v>
      </c>
      <c r="Y558" s="1117">
        <f t="shared" si="218"/>
        <v>1.506842</v>
      </c>
      <c r="Z558" s="1117">
        <f t="shared" si="218"/>
        <v>1.828337767</v>
      </c>
      <c r="AA558" s="1117">
        <f t="shared" si="218"/>
        <v>1.803106632</v>
      </c>
      <c r="AB558" s="1117">
        <f t="shared" si="218"/>
        <v>2.279618295</v>
      </c>
      <c r="AC558" s="1117">
        <f t="shared" si="218"/>
        <v>2.112178039</v>
      </c>
      <c r="AD558" s="1117">
        <f t="shared" si="218"/>
        <v>2.195421788</v>
      </c>
      <c r="AE558" s="1117">
        <f t="shared" si="218"/>
        <v>2.395849404</v>
      </c>
      <c r="AF558" s="1117">
        <f t="shared" si="218"/>
        <v>3.051493828</v>
      </c>
      <c r="AG558" s="1113"/>
    </row>
    <row r="559">
      <c r="A559" s="534" t="s">
        <v>627</v>
      </c>
      <c r="B559" s="1117">
        <f>'OLD Sales'!B28</f>
        <v>4.336847383</v>
      </c>
      <c r="C559" s="1117">
        <f>'OLD Sales'!C28</f>
        <v>3.281553369</v>
      </c>
      <c r="D559" s="1117">
        <f>'OLD Sales'!D28</f>
        <v>2.704984424</v>
      </c>
      <c r="E559" s="1117">
        <f>'OLD Sales'!E28</f>
        <v>2.511693295</v>
      </c>
      <c r="F559" s="1117">
        <f>'OLD Sales'!F28</f>
        <v>2.432395228</v>
      </c>
      <c r="G559" s="1117">
        <f>'OLD Sales'!G28</f>
        <v>2.596213544</v>
      </c>
      <c r="H559" s="1117">
        <f>'OLD Sales'!H28</f>
        <v>2.803126994</v>
      </c>
      <c r="I559" s="1117">
        <f>'OLD Sales'!I28</f>
        <v>3.022497837</v>
      </c>
      <c r="J559" s="1117">
        <f>'OLD Sales'!J28</f>
        <v>2.644215604</v>
      </c>
      <c r="K559" s="1117">
        <f>'OLD Sales'!K28</f>
        <v>2.295214368</v>
      </c>
      <c r="L559" s="1117">
        <f>'OLD Sales'!L28</f>
        <v>2.772308277</v>
      </c>
      <c r="M559" s="1117">
        <f>'OLD Sales'!M28</f>
        <v>3.871946382</v>
      </c>
      <c r="N559" s="1117">
        <f>'OLD Sales'!N28</f>
        <v>5.929217215</v>
      </c>
      <c r="O559" s="1117">
        <f>'OLD Sales'!O28</f>
        <v>3.934771419</v>
      </c>
      <c r="P559" s="1117">
        <f>'OLD Sales'!P28</f>
        <v>2.691194834</v>
      </c>
      <c r="Q559" s="1117">
        <f>'OLD Sales'!Q28</f>
        <v>2.327081159</v>
      </c>
      <c r="R559" s="1117">
        <f>'OLD Sales'!R28</f>
        <v>1.67434758</v>
      </c>
      <c r="S559" s="1117">
        <f>'OLD Sales'!S28</f>
        <v>2.917414969</v>
      </c>
      <c r="T559" s="1117">
        <f>'OLD Sales'!T28</f>
        <v>2.135615884</v>
      </c>
      <c r="U559" s="1117">
        <f>'OLD Sales'!U28</f>
        <v>2.317925685</v>
      </c>
      <c r="V559" s="1117">
        <f>'OLD Sales'!V28</f>
        <v>2.276153027</v>
      </c>
      <c r="W559" s="1117">
        <f>'OLD Sales'!W28</f>
        <v>1.792214094</v>
      </c>
      <c r="X559" s="1117">
        <f>'OLD Sales'!X28</f>
        <v>1.552657199</v>
      </c>
      <c r="Y559" s="1117">
        <f>'OLD Sales'!Y28</f>
        <v>1.684358305</v>
      </c>
      <c r="Z559" s="1117">
        <f>'OLD Sales'!Z28</f>
        <v>2.172079036</v>
      </c>
      <c r="AA559" s="1117">
        <f>'OLD Sales'!AA28</f>
        <v>1.913742296</v>
      </c>
      <c r="AB559" s="1117">
        <f>'OLD Sales'!AB28</f>
        <v>2.433791876</v>
      </c>
      <c r="AC559" s="1117">
        <f>'OLD Sales'!AC28</f>
        <v>2.251650984</v>
      </c>
      <c r="AD559" s="1117">
        <f>'OLD Sales'!AD28</f>
        <v>2.569240083</v>
      </c>
      <c r="AE559" s="1117">
        <f>'OLD Sales'!AE28</f>
        <v>2.561588789</v>
      </c>
      <c r="AF559" s="1117">
        <f>'OLD Sales'!AF28</f>
        <v>3.367512059</v>
      </c>
      <c r="AG559" s="1113"/>
    </row>
    <row r="560">
      <c r="A560" s="42"/>
      <c r="B560" s="739"/>
      <c r="C560" s="327"/>
      <c r="D560" s="327"/>
      <c r="E560" s="327"/>
      <c r="F560" s="327"/>
      <c r="G560" s="327"/>
      <c r="H560" s="327"/>
      <c r="I560" s="327"/>
      <c r="J560" s="327"/>
      <c r="K560" s="327"/>
      <c r="L560" s="327"/>
      <c r="M560" s="327"/>
      <c r="N560" s="327"/>
      <c r="O560" s="327"/>
      <c r="P560" s="327"/>
      <c r="Q560" s="327"/>
      <c r="R560" s="327"/>
      <c r="S560" s="327"/>
      <c r="T560" s="327"/>
      <c r="U560" s="327"/>
      <c r="V560" s="327"/>
      <c r="W560" s="327"/>
      <c r="X560" s="327"/>
      <c r="Y560" s="327"/>
      <c r="Z560" s="327"/>
      <c r="AA560" s="327"/>
      <c r="AB560" s="327"/>
      <c r="AC560" s="327"/>
      <c r="AD560" s="327"/>
      <c r="AE560" s="327"/>
      <c r="AF560" s="327"/>
      <c r="AG560" s="330"/>
    </row>
    <row r="561">
      <c r="A561" s="24"/>
      <c r="B561" s="1118"/>
      <c r="C561" s="913"/>
      <c r="D561" s="913"/>
      <c r="E561" s="913"/>
      <c r="F561" s="913"/>
      <c r="G561" s="913"/>
      <c r="H561" s="913"/>
      <c r="I561" s="913"/>
      <c r="J561" s="913"/>
      <c r="K561" s="913"/>
      <c r="L561" s="913"/>
      <c r="M561" s="913"/>
      <c r="N561" s="913"/>
      <c r="O561" s="913"/>
      <c r="P561" s="913"/>
      <c r="Q561" s="913"/>
      <c r="R561" s="913"/>
      <c r="S561" s="913"/>
      <c r="T561" s="913"/>
      <c r="U561" s="24"/>
      <c r="V561" s="24"/>
      <c r="W561" s="24"/>
      <c r="X561" s="24"/>
      <c r="Y561" s="24"/>
      <c r="Z561" s="24"/>
      <c r="AA561" s="24"/>
      <c r="AB561" s="24"/>
      <c r="AC561" s="24"/>
      <c r="AD561" s="24"/>
      <c r="AE561" s="24"/>
      <c r="AF561" s="24"/>
      <c r="AG561" s="330"/>
    </row>
    <row r="562">
      <c r="A562" s="534" t="s">
        <v>167</v>
      </c>
      <c r="B562" s="1119"/>
      <c r="C562" s="1119"/>
      <c r="D562" s="1119"/>
      <c r="E562" s="1119"/>
      <c r="F562" s="1119"/>
      <c r="G562" s="1119"/>
      <c r="H562" s="1119"/>
      <c r="I562" s="1119"/>
      <c r="J562" s="1119"/>
      <c r="K562" s="1119"/>
      <c r="L562" s="1119"/>
      <c r="M562" s="1119"/>
      <c r="N562" s="1119"/>
      <c r="O562" s="1119"/>
      <c r="P562" s="1119"/>
      <c r="Q562" s="1119"/>
      <c r="R562" s="1119"/>
      <c r="S562" s="1119"/>
      <c r="T562" s="1119"/>
      <c r="U562" s="1119"/>
      <c r="V562" s="1119"/>
      <c r="W562" s="1119"/>
      <c r="X562" s="1119"/>
      <c r="Y562" s="1119"/>
      <c r="Z562" s="1119"/>
      <c r="AA562" s="327"/>
      <c r="AB562" s="1119"/>
      <c r="AC562" s="1119"/>
      <c r="AD562" s="1119"/>
      <c r="AE562" s="1119"/>
      <c r="AF562" s="1119"/>
      <c r="AG562" s="330"/>
    </row>
    <row r="563">
      <c r="A563" s="468">
        <f>SUM(B135:AE135)</f>
        <v>1333294.61</v>
      </c>
      <c r="B563" s="1119"/>
      <c r="C563" s="1119"/>
      <c r="D563" s="1119"/>
      <c r="E563" s="1119"/>
      <c r="F563" s="1119"/>
      <c r="G563" s="1119"/>
      <c r="H563" s="1119"/>
      <c r="I563" s="1119"/>
      <c r="J563" s="1119"/>
      <c r="K563" s="1119"/>
      <c r="L563" s="1119"/>
      <c r="M563" s="1119"/>
      <c r="N563" s="1119"/>
      <c r="O563" s="1119"/>
      <c r="P563" s="1119"/>
      <c r="Q563" s="1119"/>
      <c r="R563" s="1119"/>
      <c r="S563" s="1119"/>
      <c r="T563" s="1119"/>
      <c r="U563" s="1119"/>
      <c r="V563" s="1119"/>
      <c r="W563" s="1119"/>
      <c r="X563" s="1119"/>
      <c r="Y563" s="1119"/>
      <c r="Z563" s="1119"/>
      <c r="AA563" s="1119"/>
      <c r="AB563" s="1119"/>
      <c r="AC563" s="1119"/>
      <c r="AD563" s="1119"/>
      <c r="AE563" s="1119"/>
      <c r="AF563" s="1119"/>
      <c r="AG563" s="1120"/>
    </row>
    <row r="564">
      <c r="A564" s="42"/>
      <c r="B564" s="327"/>
      <c r="C564" s="327"/>
      <c r="D564" s="327"/>
      <c r="E564" s="327"/>
      <c r="F564" s="327"/>
      <c r="G564" s="327"/>
      <c r="H564" s="327"/>
      <c r="I564" s="327"/>
      <c r="J564" s="327"/>
      <c r="K564" s="327"/>
      <c r="L564" s="327"/>
      <c r="M564" s="327"/>
      <c r="N564" s="327"/>
      <c r="O564" s="327"/>
      <c r="P564" s="327"/>
      <c r="Q564" s="327"/>
      <c r="R564" s="327"/>
      <c r="S564" s="327"/>
      <c r="T564" s="327"/>
      <c r="U564" s="327"/>
      <c r="V564" s="327"/>
      <c r="W564" s="327"/>
      <c r="X564" s="327"/>
      <c r="Y564" s="327"/>
      <c r="Z564" s="327"/>
      <c r="AA564" s="327"/>
      <c r="AB564" s="327"/>
      <c r="AC564" s="327"/>
      <c r="AD564" s="327"/>
      <c r="AE564" s="327"/>
      <c r="AF564" s="327"/>
      <c r="AG564" s="330"/>
    </row>
    <row r="565">
      <c r="A565" s="1114" t="s">
        <v>455</v>
      </c>
      <c r="B565" s="327"/>
      <c r="C565" s="327"/>
      <c r="D565" s="327"/>
      <c r="E565" s="327"/>
      <c r="F565" s="327"/>
      <c r="G565" s="327"/>
      <c r="H565" s="327"/>
      <c r="I565" s="327"/>
      <c r="J565" s="327"/>
      <c r="K565" s="327"/>
      <c r="L565" s="327"/>
      <c r="M565" s="327"/>
      <c r="N565" s="327"/>
      <c r="O565" s="327"/>
      <c r="P565" s="327"/>
      <c r="Q565" s="327"/>
      <c r="R565" s="327"/>
      <c r="S565" s="327"/>
      <c r="T565" s="327"/>
      <c r="U565" s="327"/>
      <c r="V565" s="327"/>
      <c r="W565" s="327"/>
      <c r="X565" s="327"/>
      <c r="Y565" s="327"/>
      <c r="Z565" s="327"/>
      <c r="AA565" s="327"/>
      <c r="AB565" s="327"/>
      <c r="AC565" s="327"/>
      <c r="AD565" s="327"/>
      <c r="AE565" s="327"/>
      <c r="AF565" s="327"/>
      <c r="AG565" s="330"/>
    </row>
    <row r="566">
      <c r="A566" s="468">
        <f>SUM(B552:AE552)</f>
        <v>1339061.784</v>
      </c>
      <c r="B566" s="327"/>
      <c r="C566" s="327"/>
      <c r="D566" s="327"/>
      <c r="E566" s="327"/>
      <c r="F566" s="327"/>
      <c r="G566" s="327"/>
      <c r="H566" s="327"/>
      <c r="I566" s="327"/>
      <c r="J566" s="327"/>
      <c r="K566" s="327"/>
      <c r="L566" s="327"/>
      <c r="M566" s="327"/>
      <c r="N566" s="327"/>
      <c r="O566" s="327"/>
      <c r="P566" s="327"/>
      <c r="Q566" s="327"/>
      <c r="R566" s="327"/>
      <c r="S566" s="327"/>
      <c r="T566" s="327"/>
      <c r="U566" s="327"/>
      <c r="V566" s="327"/>
      <c r="W566" s="327"/>
      <c r="X566" s="327"/>
      <c r="Y566" s="327"/>
      <c r="Z566" s="327"/>
      <c r="AA566" s="327"/>
      <c r="AB566" s="327"/>
      <c r="AC566" s="327"/>
      <c r="AD566" s="327"/>
      <c r="AE566" s="327"/>
      <c r="AF566" s="327"/>
      <c r="AG566" s="330"/>
    </row>
    <row r="567">
      <c r="A567" s="42"/>
      <c r="B567" s="327"/>
      <c r="C567" s="327"/>
      <c r="D567" s="327"/>
      <c r="E567" s="327"/>
      <c r="F567" s="327"/>
      <c r="G567" s="327"/>
      <c r="H567" s="327"/>
      <c r="I567" s="327"/>
      <c r="J567" s="327"/>
      <c r="K567" s="327"/>
      <c r="L567" s="327"/>
      <c r="M567" s="327"/>
      <c r="N567" s="327"/>
      <c r="O567" s="327"/>
      <c r="P567" s="327"/>
      <c r="Q567" s="327"/>
      <c r="R567" s="327"/>
      <c r="S567" s="327"/>
      <c r="T567" s="327"/>
      <c r="U567" s="327"/>
      <c r="V567" s="327"/>
      <c r="W567" s="327"/>
      <c r="X567" s="327"/>
      <c r="Y567" s="327"/>
      <c r="Z567" s="327"/>
      <c r="AA567" s="327"/>
      <c r="AB567" s="327"/>
      <c r="AC567" s="327"/>
      <c r="AD567" s="327"/>
      <c r="AE567" s="327"/>
      <c r="AF567" s="327"/>
      <c r="AG567" s="330"/>
    </row>
    <row r="568">
      <c r="A568" s="1114" t="s">
        <v>827</v>
      </c>
      <c r="B568" s="327"/>
      <c r="C568" s="327"/>
      <c r="D568" s="327"/>
      <c r="E568" s="327"/>
      <c r="F568" s="327"/>
      <c r="G568" s="327"/>
      <c r="H568" s="327"/>
      <c r="I568" s="327"/>
      <c r="J568" s="327"/>
      <c r="K568" s="327"/>
      <c r="L568" s="327"/>
      <c r="M568" s="327"/>
      <c r="N568" s="327"/>
      <c r="O568" s="327"/>
      <c r="P568" s="327"/>
      <c r="Q568" s="327"/>
      <c r="R568" s="327"/>
      <c r="S568" s="327"/>
      <c r="T568" s="327"/>
      <c r="U568" s="327"/>
      <c r="V568" s="327"/>
      <c r="W568" s="327"/>
      <c r="X568" s="327"/>
      <c r="Y568" s="327"/>
      <c r="Z568" s="327"/>
      <c r="AA568" s="327"/>
      <c r="AB568" s="327"/>
      <c r="AC568" s="327"/>
      <c r="AD568" s="327"/>
      <c r="AE568" s="327"/>
      <c r="AF568" s="327"/>
      <c r="AG568" s="330"/>
    </row>
    <row r="569">
      <c r="A569" s="595">
        <f>A555/A563</f>
        <v>-0.00548447839</v>
      </c>
      <c r="B569" s="327"/>
      <c r="C569" s="327"/>
      <c r="D569" s="327"/>
      <c r="E569" s="327"/>
      <c r="F569" s="327"/>
      <c r="G569" s="327"/>
      <c r="H569" s="327"/>
      <c r="I569" s="327"/>
      <c r="J569" s="327"/>
      <c r="K569" s="327"/>
      <c r="L569" s="327"/>
      <c r="M569" s="327"/>
      <c r="N569" s="327"/>
      <c r="O569" s="327"/>
      <c r="P569" s="327"/>
      <c r="Q569" s="327"/>
      <c r="R569" s="327"/>
      <c r="S569" s="327"/>
      <c r="T569" s="327"/>
      <c r="U569" s="327"/>
      <c r="V569" s="327"/>
      <c r="W569" s="327"/>
      <c r="X569" s="327"/>
      <c r="Y569" s="327"/>
      <c r="Z569" s="327"/>
      <c r="AA569" s="327"/>
      <c r="AB569" s="327"/>
      <c r="AC569" s="327"/>
      <c r="AD569" s="327"/>
      <c r="AE569" s="327"/>
      <c r="AF569" s="327"/>
      <c r="AG569" s="330"/>
    </row>
    <row r="570">
      <c r="A570" s="42"/>
      <c r="B570" s="327"/>
      <c r="C570" s="327"/>
      <c r="D570" s="327"/>
      <c r="E570" s="327"/>
      <c r="F570" s="327"/>
      <c r="G570" s="327"/>
      <c r="H570" s="327"/>
      <c r="I570" s="327"/>
      <c r="J570" s="327"/>
      <c r="K570" s="327"/>
      <c r="L570" s="327"/>
      <c r="M570" s="327"/>
      <c r="N570" s="327"/>
      <c r="O570" s="327"/>
      <c r="P570" s="327"/>
      <c r="Q570" s="327"/>
      <c r="R570" s="327"/>
      <c r="S570" s="327"/>
      <c r="T570" s="327"/>
      <c r="U570" s="327"/>
      <c r="V570" s="327"/>
      <c r="W570" s="327"/>
      <c r="X570" s="327"/>
      <c r="Y570" s="327"/>
      <c r="Z570" s="327"/>
      <c r="AA570" s="327"/>
      <c r="AB570" s="327"/>
      <c r="AC570" s="327"/>
      <c r="AD570" s="327"/>
      <c r="AE570" s="327"/>
      <c r="AF570" s="327"/>
      <c r="AG570" s="330"/>
    </row>
    <row r="571">
      <c r="A571" s="835"/>
      <c r="AG571" s="911"/>
    </row>
    <row r="572">
      <c r="A572" s="835"/>
      <c r="AG572" s="911"/>
    </row>
    <row r="573">
      <c r="A573" s="835"/>
      <c r="AG573" s="911"/>
    </row>
    <row r="574">
      <c r="A574" s="835"/>
      <c r="AG574" s="911"/>
    </row>
    <row r="575">
      <c r="A575" s="835"/>
      <c r="AG575" s="911"/>
    </row>
    <row r="576">
      <c r="A576" s="835"/>
      <c r="AG576" s="911"/>
    </row>
    <row r="577">
      <c r="A577" s="835"/>
      <c r="AG577" s="911"/>
    </row>
    <row r="578">
      <c r="A578" s="835"/>
      <c r="AG578" s="911"/>
    </row>
    <row r="579">
      <c r="A579" s="835"/>
      <c r="AG579" s="911"/>
    </row>
    <row r="580">
      <c r="A580" s="835"/>
      <c r="AG580" s="911"/>
    </row>
    <row r="581">
      <c r="A581" s="835"/>
      <c r="AG581" s="911"/>
    </row>
    <row r="582">
      <c r="A582" s="835"/>
      <c r="AG582" s="911"/>
    </row>
    <row r="583">
      <c r="A583" s="835"/>
      <c r="AG583" s="911"/>
    </row>
    <row r="584">
      <c r="A584" s="835"/>
      <c r="AG584" s="911"/>
    </row>
    <row r="585">
      <c r="A585" s="835"/>
      <c r="AG585" s="911"/>
    </row>
    <row r="586">
      <c r="A586" s="835"/>
      <c r="AG586" s="911"/>
    </row>
    <row r="587">
      <c r="A587" s="835"/>
      <c r="AG587" s="911"/>
    </row>
    <row r="588">
      <c r="A588" s="835"/>
      <c r="AG588" s="911"/>
    </row>
    <row r="589">
      <c r="A589" s="835"/>
      <c r="AG589" s="911"/>
    </row>
    <row r="590">
      <c r="A590" s="835"/>
      <c r="AG590" s="911"/>
    </row>
    <row r="591">
      <c r="A591" s="835"/>
      <c r="AG591" s="911"/>
    </row>
    <row r="592">
      <c r="A592" s="835"/>
      <c r="AG592" s="911"/>
    </row>
    <row r="593">
      <c r="A593" s="835"/>
      <c r="AG593" s="911"/>
    </row>
    <row r="594">
      <c r="A594" s="835"/>
      <c r="AG594" s="911"/>
    </row>
    <row r="595">
      <c r="A595" s="835"/>
      <c r="AG595" s="911"/>
    </row>
    <row r="596">
      <c r="A596" s="835"/>
      <c r="AG596" s="911"/>
    </row>
    <row r="597">
      <c r="A597" s="835"/>
      <c r="AG597" s="911"/>
    </row>
    <row r="598">
      <c r="A598" s="835"/>
      <c r="AG598" s="911"/>
    </row>
    <row r="599">
      <c r="A599" s="835"/>
      <c r="AG599" s="911"/>
    </row>
    <row r="600">
      <c r="A600" s="835"/>
      <c r="AG600" s="911"/>
    </row>
    <row r="601">
      <c r="A601" s="835"/>
      <c r="AG601" s="911"/>
    </row>
    <row r="602">
      <c r="A602" s="835"/>
      <c r="AG602" s="911"/>
    </row>
    <row r="603">
      <c r="A603" s="835"/>
      <c r="AG603" s="911"/>
    </row>
    <row r="604">
      <c r="A604" s="835"/>
      <c r="AG604" s="911"/>
    </row>
    <row r="605">
      <c r="A605" s="835"/>
      <c r="AG605" s="911"/>
    </row>
    <row r="606">
      <c r="A606" s="835"/>
      <c r="AG606" s="911"/>
    </row>
    <row r="607">
      <c r="A607" s="835"/>
      <c r="AG607" s="911"/>
    </row>
    <row r="608">
      <c r="A608" s="835"/>
      <c r="AG608" s="911"/>
    </row>
    <row r="609">
      <c r="A609" s="835"/>
      <c r="AG609" s="911"/>
    </row>
    <row r="610">
      <c r="A610" s="835"/>
      <c r="AG610" s="911"/>
    </row>
    <row r="611">
      <c r="A611" s="835"/>
      <c r="AG611" s="911"/>
    </row>
    <row r="612">
      <c r="A612" s="835"/>
      <c r="AG612" s="911"/>
    </row>
    <row r="613">
      <c r="A613" s="835"/>
      <c r="AG613" s="911"/>
    </row>
    <row r="614">
      <c r="A614" s="835"/>
      <c r="AG614" s="911"/>
    </row>
    <row r="615">
      <c r="A615" s="835"/>
      <c r="AG615" s="911"/>
    </row>
    <row r="616">
      <c r="A616" s="835"/>
      <c r="AG616" s="911"/>
    </row>
    <row r="617">
      <c r="A617" s="835"/>
      <c r="AG617" s="911"/>
    </row>
    <row r="618">
      <c r="A618" s="835"/>
      <c r="AG618" s="911"/>
    </row>
    <row r="619">
      <c r="A619" s="835"/>
      <c r="AG619" s="911"/>
    </row>
    <row r="620">
      <c r="A620" s="835"/>
      <c r="AG620" s="911"/>
    </row>
    <row r="621">
      <c r="A621" s="835"/>
      <c r="AG621" s="911"/>
    </row>
    <row r="622">
      <c r="A622" s="835"/>
      <c r="AG622" s="911"/>
    </row>
    <row r="623">
      <c r="A623" s="835"/>
      <c r="AG623" s="911"/>
    </row>
    <row r="624">
      <c r="A624" s="835"/>
      <c r="AG624" s="911"/>
    </row>
    <row r="625">
      <c r="A625" s="835"/>
      <c r="AG625" s="911"/>
    </row>
    <row r="626">
      <c r="A626" s="835"/>
      <c r="AG626" s="911"/>
    </row>
    <row r="627">
      <c r="A627" s="835"/>
      <c r="AG627" s="911"/>
    </row>
    <row r="628">
      <c r="A628" s="835"/>
      <c r="AG628" s="911"/>
    </row>
    <row r="629">
      <c r="A629" s="835"/>
      <c r="AG629" s="911"/>
    </row>
    <row r="630">
      <c r="A630" s="835"/>
      <c r="AG630" s="911"/>
    </row>
    <row r="631">
      <c r="A631" s="835"/>
      <c r="AG631" s="911"/>
    </row>
    <row r="632">
      <c r="A632" s="835"/>
      <c r="AG632" s="911"/>
    </row>
    <row r="633">
      <c r="A633" s="835"/>
      <c r="AG633" s="911"/>
    </row>
    <row r="634">
      <c r="A634" s="835"/>
      <c r="AG634" s="911"/>
    </row>
    <row r="635">
      <c r="A635" s="835"/>
      <c r="AG635" s="911"/>
    </row>
    <row r="636">
      <c r="A636" s="835"/>
      <c r="AG636" s="911"/>
    </row>
    <row r="637">
      <c r="A637" s="835"/>
      <c r="AG637" s="911"/>
    </row>
    <row r="638">
      <c r="A638" s="835"/>
      <c r="AG638" s="911"/>
    </row>
    <row r="639">
      <c r="A639" s="835"/>
      <c r="AG639" s="911"/>
    </row>
    <row r="640">
      <c r="A640" s="835"/>
      <c r="AG640" s="911"/>
    </row>
    <row r="641">
      <c r="A641" s="835"/>
      <c r="AG641" s="911"/>
    </row>
    <row r="642">
      <c r="A642" s="835"/>
      <c r="AG642" s="911"/>
    </row>
    <row r="643">
      <c r="A643" s="835"/>
      <c r="AG643" s="911"/>
    </row>
    <row r="644">
      <c r="A644" s="835"/>
      <c r="AG644" s="911"/>
    </row>
    <row r="645">
      <c r="A645" s="835"/>
      <c r="AG645" s="911"/>
    </row>
    <row r="646">
      <c r="A646" s="835"/>
      <c r="AG646" s="911"/>
    </row>
    <row r="647">
      <c r="A647" s="835"/>
      <c r="AG647" s="911"/>
    </row>
    <row r="648">
      <c r="A648" s="835"/>
      <c r="AG648" s="911"/>
    </row>
    <row r="649">
      <c r="A649" s="835"/>
      <c r="AG649" s="911"/>
    </row>
    <row r="650">
      <c r="A650" s="835"/>
      <c r="AG650" s="911"/>
    </row>
    <row r="651">
      <c r="A651" s="835"/>
      <c r="AG651" s="911"/>
    </row>
    <row r="652">
      <c r="A652" s="835"/>
      <c r="AG652" s="911"/>
    </row>
    <row r="653">
      <c r="A653" s="835"/>
      <c r="AG653" s="911"/>
    </row>
    <row r="654">
      <c r="A654" s="835"/>
      <c r="AG654" s="911"/>
    </row>
    <row r="655">
      <c r="A655" s="835"/>
      <c r="AG655" s="911"/>
    </row>
    <row r="656">
      <c r="A656" s="835"/>
      <c r="AG656" s="911"/>
    </row>
    <row r="657">
      <c r="A657" s="835"/>
      <c r="AG657" s="911"/>
    </row>
    <row r="658">
      <c r="A658" s="835"/>
      <c r="AG658" s="911"/>
    </row>
    <row r="659">
      <c r="A659" s="835"/>
      <c r="AG659" s="911"/>
    </row>
    <row r="660">
      <c r="A660" s="835"/>
      <c r="AG660" s="911"/>
    </row>
    <row r="661">
      <c r="A661" s="835"/>
      <c r="AG661" s="911"/>
    </row>
    <row r="662">
      <c r="A662" s="835"/>
      <c r="AG662" s="911"/>
    </row>
    <row r="663">
      <c r="A663" s="835"/>
      <c r="AG663" s="911"/>
    </row>
    <row r="664">
      <c r="A664" s="835"/>
      <c r="AG664" s="911"/>
    </row>
    <row r="665">
      <c r="A665" s="835"/>
      <c r="AG665" s="911"/>
    </row>
    <row r="666">
      <c r="A666" s="835"/>
      <c r="AG666" s="911"/>
    </row>
    <row r="667">
      <c r="A667" s="835"/>
      <c r="AG667" s="911"/>
    </row>
    <row r="668">
      <c r="A668" s="835"/>
      <c r="AG668" s="911"/>
    </row>
    <row r="669">
      <c r="A669" s="835"/>
      <c r="AG669" s="911"/>
    </row>
    <row r="670">
      <c r="A670" s="835"/>
      <c r="AG670" s="911"/>
    </row>
    <row r="671">
      <c r="A671" s="835"/>
      <c r="AG671" s="911"/>
    </row>
    <row r="672">
      <c r="A672" s="835"/>
      <c r="AG672" s="911"/>
    </row>
    <row r="673">
      <c r="A673" s="835"/>
      <c r="AG673" s="911"/>
    </row>
    <row r="674">
      <c r="A674" s="835"/>
      <c r="AG674" s="911"/>
    </row>
    <row r="675">
      <c r="A675" s="835"/>
      <c r="AG675" s="911"/>
    </row>
    <row r="676">
      <c r="A676" s="835"/>
      <c r="AG676" s="911"/>
    </row>
    <row r="677">
      <c r="A677" s="835"/>
      <c r="AG677" s="911"/>
    </row>
    <row r="678">
      <c r="A678" s="835"/>
      <c r="AG678" s="911"/>
    </row>
    <row r="679">
      <c r="A679" s="835"/>
      <c r="AG679" s="911"/>
    </row>
    <row r="680">
      <c r="A680" s="835"/>
      <c r="AG680" s="911"/>
    </row>
    <row r="681">
      <c r="A681" s="835"/>
      <c r="AG681" s="911"/>
    </row>
    <row r="682">
      <c r="A682" s="835"/>
      <c r="AG682" s="911"/>
    </row>
    <row r="683">
      <c r="A683" s="835"/>
      <c r="AG683" s="911"/>
    </row>
    <row r="684">
      <c r="A684" s="835"/>
      <c r="AG684" s="911"/>
    </row>
    <row r="685">
      <c r="A685" s="835"/>
      <c r="AG685" s="911"/>
    </row>
    <row r="686">
      <c r="A686" s="835"/>
      <c r="AG686" s="911"/>
    </row>
    <row r="687">
      <c r="A687" s="835"/>
      <c r="AG687" s="911"/>
    </row>
    <row r="688">
      <c r="A688" s="835"/>
      <c r="AG688" s="911"/>
    </row>
    <row r="689">
      <c r="A689" s="835"/>
      <c r="AG689" s="911"/>
    </row>
    <row r="690">
      <c r="A690" s="835"/>
      <c r="AG690" s="911"/>
    </row>
    <row r="691">
      <c r="A691" s="835"/>
      <c r="AG691" s="911"/>
    </row>
    <row r="692">
      <c r="A692" s="835"/>
      <c r="AG692" s="911"/>
    </row>
    <row r="693">
      <c r="A693" s="835"/>
      <c r="AG693" s="911"/>
    </row>
    <row r="694">
      <c r="A694" s="835"/>
      <c r="AG694" s="911"/>
    </row>
    <row r="695">
      <c r="A695" s="835"/>
      <c r="AG695" s="911"/>
    </row>
    <row r="696">
      <c r="A696" s="835"/>
      <c r="AG696" s="911"/>
    </row>
    <row r="697">
      <c r="A697" s="835"/>
      <c r="AG697" s="911"/>
    </row>
    <row r="698">
      <c r="A698" s="835"/>
      <c r="AG698" s="911"/>
    </row>
    <row r="699">
      <c r="A699" s="835"/>
      <c r="AG699" s="911"/>
    </row>
    <row r="700">
      <c r="A700" s="835"/>
      <c r="AG700" s="911"/>
    </row>
    <row r="701">
      <c r="A701" s="835"/>
      <c r="AG701" s="911"/>
    </row>
    <row r="702">
      <c r="A702" s="835"/>
      <c r="AG702" s="911"/>
    </row>
    <row r="703">
      <c r="A703" s="835"/>
      <c r="AG703" s="911"/>
    </row>
    <row r="704">
      <c r="A704" s="835"/>
      <c r="AG704" s="911"/>
    </row>
    <row r="705">
      <c r="A705" s="835"/>
      <c r="AG705" s="911"/>
    </row>
    <row r="706">
      <c r="A706" s="835"/>
      <c r="AG706" s="911"/>
    </row>
    <row r="707">
      <c r="A707" s="835"/>
      <c r="AG707" s="911"/>
    </row>
    <row r="708">
      <c r="A708" s="835"/>
      <c r="AG708" s="911"/>
    </row>
    <row r="709">
      <c r="A709" s="835"/>
      <c r="AG709" s="911"/>
    </row>
    <row r="710">
      <c r="A710" s="835"/>
      <c r="AG710" s="911"/>
    </row>
    <row r="711">
      <c r="A711" s="835"/>
      <c r="AG711" s="911"/>
    </row>
    <row r="712">
      <c r="A712" s="835"/>
      <c r="AG712" s="911"/>
    </row>
    <row r="713">
      <c r="A713" s="835"/>
      <c r="AG713" s="911"/>
    </row>
    <row r="714">
      <c r="A714" s="835"/>
      <c r="AG714" s="911"/>
    </row>
    <row r="715">
      <c r="A715" s="835"/>
      <c r="AG715" s="911"/>
    </row>
    <row r="716">
      <c r="A716" s="835"/>
      <c r="AG716" s="911"/>
    </row>
    <row r="717">
      <c r="A717" s="835"/>
      <c r="AG717" s="911"/>
    </row>
    <row r="718">
      <c r="A718" s="835"/>
      <c r="AG718" s="911"/>
    </row>
    <row r="719">
      <c r="A719" s="835"/>
      <c r="AG719" s="911"/>
    </row>
    <row r="720">
      <c r="A720" s="835"/>
      <c r="AG720" s="911"/>
    </row>
    <row r="721">
      <c r="A721" s="835"/>
      <c r="AG721" s="911"/>
    </row>
    <row r="722">
      <c r="A722" s="835"/>
      <c r="AG722" s="911"/>
    </row>
    <row r="723">
      <c r="A723" s="835"/>
      <c r="AG723" s="911"/>
    </row>
    <row r="724">
      <c r="A724" s="835"/>
      <c r="AG724" s="911"/>
    </row>
    <row r="725">
      <c r="A725" s="835"/>
      <c r="AG725" s="911"/>
    </row>
    <row r="726">
      <c r="A726" s="835"/>
      <c r="AG726" s="911"/>
    </row>
    <row r="727">
      <c r="A727" s="835"/>
      <c r="AG727" s="911"/>
    </row>
    <row r="728">
      <c r="A728" s="835"/>
      <c r="AG728" s="911"/>
    </row>
    <row r="729">
      <c r="A729" s="835"/>
      <c r="AG729" s="911"/>
    </row>
    <row r="730">
      <c r="A730" s="835"/>
      <c r="AG730" s="911"/>
    </row>
    <row r="731">
      <c r="A731" s="835"/>
      <c r="AG731" s="911"/>
    </row>
    <row r="732">
      <c r="A732" s="835"/>
      <c r="AG732" s="911"/>
    </row>
    <row r="733">
      <c r="A733" s="835"/>
      <c r="AG733" s="911"/>
    </row>
    <row r="734">
      <c r="A734" s="835"/>
      <c r="AG734" s="911"/>
    </row>
    <row r="735">
      <c r="A735" s="835"/>
      <c r="AG735" s="911"/>
    </row>
    <row r="736">
      <c r="A736" s="835"/>
      <c r="AG736" s="911"/>
    </row>
    <row r="737">
      <c r="A737" s="835"/>
      <c r="AG737" s="911"/>
    </row>
    <row r="738">
      <c r="A738" s="835"/>
      <c r="AG738" s="911"/>
    </row>
    <row r="739">
      <c r="A739" s="835"/>
      <c r="AG739" s="911"/>
    </row>
    <row r="740">
      <c r="A740" s="835"/>
      <c r="AG740" s="911"/>
    </row>
    <row r="741">
      <c r="A741" s="835"/>
      <c r="AG741" s="911"/>
    </row>
    <row r="742">
      <c r="A742" s="835"/>
      <c r="AG742" s="911"/>
    </row>
    <row r="743">
      <c r="A743" s="835"/>
      <c r="AG743" s="911"/>
    </row>
    <row r="744">
      <c r="A744" s="835"/>
      <c r="AG744" s="911"/>
    </row>
    <row r="745">
      <c r="A745" s="835"/>
      <c r="AG745" s="911"/>
    </row>
    <row r="746">
      <c r="A746" s="835"/>
      <c r="AG746" s="911"/>
    </row>
    <row r="747">
      <c r="A747" s="835"/>
      <c r="AG747" s="911"/>
    </row>
    <row r="748">
      <c r="A748" s="835"/>
      <c r="AG748" s="911"/>
    </row>
    <row r="749">
      <c r="A749" s="835"/>
      <c r="AG749" s="911"/>
    </row>
    <row r="750">
      <c r="A750" s="835"/>
      <c r="AG750" s="911"/>
    </row>
    <row r="751">
      <c r="A751" s="835"/>
      <c r="AG751" s="911"/>
    </row>
    <row r="752">
      <c r="A752" s="835"/>
      <c r="AG752" s="911"/>
    </row>
    <row r="753">
      <c r="A753" s="835"/>
      <c r="AG753" s="911"/>
    </row>
    <row r="754">
      <c r="A754" s="835"/>
      <c r="AG754" s="911"/>
    </row>
    <row r="755">
      <c r="A755" s="835"/>
      <c r="AG755" s="911"/>
    </row>
    <row r="756">
      <c r="A756" s="835"/>
      <c r="AG756" s="911"/>
    </row>
    <row r="757">
      <c r="A757" s="835"/>
      <c r="AG757" s="911"/>
    </row>
    <row r="758">
      <c r="A758" s="835"/>
      <c r="AG758" s="911"/>
    </row>
    <row r="759">
      <c r="A759" s="835"/>
      <c r="AG759" s="911"/>
    </row>
    <row r="760">
      <c r="A760" s="835"/>
      <c r="AG760" s="911"/>
    </row>
    <row r="761">
      <c r="A761" s="835"/>
      <c r="AG761" s="911"/>
    </row>
    <row r="762">
      <c r="A762" s="835"/>
      <c r="AG762" s="911"/>
    </row>
    <row r="763">
      <c r="A763" s="835"/>
      <c r="AG763" s="911"/>
    </row>
    <row r="764">
      <c r="A764" s="835"/>
      <c r="AG764" s="911"/>
    </row>
    <row r="765">
      <c r="A765" s="835"/>
      <c r="AG765" s="911"/>
    </row>
    <row r="766">
      <c r="A766" s="835"/>
      <c r="AG766" s="911"/>
    </row>
    <row r="767">
      <c r="A767" s="835"/>
      <c r="AG767" s="911"/>
    </row>
    <row r="768">
      <c r="A768" s="835"/>
      <c r="AG768" s="911"/>
    </row>
    <row r="769">
      <c r="A769" s="835"/>
      <c r="AG769" s="911"/>
    </row>
    <row r="770">
      <c r="A770" s="835"/>
      <c r="AG770" s="911"/>
    </row>
    <row r="771">
      <c r="A771" s="835"/>
      <c r="AG771" s="911"/>
    </row>
    <row r="772">
      <c r="A772" s="835"/>
      <c r="AG772" s="911"/>
    </row>
    <row r="773">
      <c r="A773" s="835"/>
      <c r="AG773" s="911"/>
    </row>
    <row r="774">
      <c r="A774" s="835"/>
      <c r="AG774" s="911"/>
    </row>
    <row r="775">
      <c r="A775" s="835"/>
      <c r="AG775" s="911"/>
    </row>
    <row r="776">
      <c r="A776" s="835"/>
      <c r="AG776" s="911"/>
    </row>
    <row r="777">
      <c r="A777" s="835"/>
      <c r="AG777" s="911"/>
    </row>
    <row r="778">
      <c r="A778" s="835"/>
      <c r="AG778" s="911"/>
    </row>
    <row r="779">
      <c r="A779" s="835"/>
      <c r="AG779" s="911"/>
    </row>
    <row r="780">
      <c r="A780" s="835"/>
      <c r="AG780" s="911"/>
    </row>
    <row r="781">
      <c r="A781" s="835"/>
      <c r="AG781" s="911"/>
    </row>
    <row r="782">
      <c r="A782" s="835"/>
      <c r="AG782" s="911"/>
    </row>
    <row r="783">
      <c r="A783" s="835"/>
      <c r="AG783" s="911"/>
    </row>
    <row r="784">
      <c r="A784" s="835"/>
      <c r="AG784" s="911"/>
    </row>
    <row r="785">
      <c r="A785" s="835"/>
      <c r="AG785" s="911"/>
    </row>
    <row r="786">
      <c r="A786" s="835"/>
      <c r="AG786" s="911"/>
    </row>
    <row r="787">
      <c r="A787" s="835"/>
      <c r="AG787" s="911"/>
    </row>
    <row r="788">
      <c r="A788" s="835"/>
      <c r="AG788" s="911"/>
    </row>
    <row r="789">
      <c r="A789" s="835"/>
      <c r="AG789" s="911"/>
    </row>
    <row r="790">
      <c r="A790" s="835"/>
      <c r="AG790" s="911"/>
    </row>
    <row r="791">
      <c r="A791" s="835"/>
      <c r="AG791" s="911"/>
    </row>
    <row r="792">
      <c r="A792" s="835"/>
      <c r="AG792" s="911"/>
    </row>
    <row r="793">
      <c r="A793" s="835"/>
      <c r="AG793" s="911"/>
    </row>
    <row r="794">
      <c r="A794" s="835"/>
      <c r="AG794" s="911"/>
    </row>
    <row r="795">
      <c r="A795" s="835"/>
      <c r="AG795" s="911"/>
    </row>
    <row r="796">
      <c r="A796" s="835"/>
      <c r="AG796" s="911"/>
    </row>
    <row r="797">
      <c r="A797" s="835"/>
      <c r="AG797" s="911"/>
    </row>
    <row r="798">
      <c r="A798" s="835"/>
      <c r="AG798" s="911"/>
    </row>
    <row r="799">
      <c r="A799" s="835"/>
      <c r="AG799" s="911"/>
    </row>
    <row r="800">
      <c r="A800" s="835"/>
      <c r="AG800" s="911"/>
    </row>
    <row r="801">
      <c r="A801" s="835"/>
      <c r="AG801" s="911"/>
    </row>
    <row r="802">
      <c r="A802" s="835"/>
      <c r="AG802" s="911"/>
    </row>
    <row r="803">
      <c r="A803" s="835"/>
      <c r="AG803" s="911"/>
    </row>
    <row r="804">
      <c r="A804" s="835"/>
      <c r="AG804" s="911"/>
    </row>
    <row r="805">
      <c r="A805" s="835"/>
      <c r="AG805" s="911"/>
    </row>
    <row r="806">
      <c r="A806" s="835"/>
      <c r="AG806" s="911"/>
    </row>
    <row r="807">
      <c r="A807" s="835"/>
      <c r="AG807" s="911"/>
    </row>
    <row r="808">
      <c r="A808" s="835"/>
      <c r="AG808" s="911"/>
    </row>
    <row r="809">
      <c r="A809" s="835"/>
      <c r="AG809" s="911"/>
    </row>
    <row r="810">
      <c r="A810" s="835"/>
      <c r="AG810" s="911"/>
    </row>
    <row r="811">
      <c r="A811" s="835"/>
      <c r="AG811" s="911"/>
    </row>
    <row r="812">
      <c r="A812" s="835"/>
      <c r="AG812" s="911"/>
    </row>
    <row r="813">
      <c r="A813" s="835"/>
      <c r="AG813" s="911"/>
    </row>
    <row r="814">
      <c r="A814" s="835"/>
      <c r="AG814" s="911"/>
    </row>
    <row r="815">
      <c r="A815" s="835"/>
      <c r="AG815" s="911"/>
    </row>
    <row r="816">
      <c r="A816" s="835"/>
      <c r="AG816" s="911"/>
    </row>
    <row r="817">
      <c r="A817" s="835"/>
      <c r="AG817" s="911"/>
    </row>
    <row r="818">
      <c r="A818" s="835"/>
      <c r="AG818" s="911"/>
    </row>
    <row r="819">
      <c r="A819" s="835"/>
      <c r="AG819" s="911"/>
    </row>
    <row r="820">
      <c r="A820" s="835"/>
      <c r="AG820" s="911"/>
    </row>
    <row r="821">
      <c r="A821" s="835"/>
      <c r="AG821" s="911"/>
    </row>
    <row r="822">
      <c r="A822" s="835"/>
      <c r="AG822" s="911"/>
    </row>
    <row r="823">
      <c r="A823" s="835"/>
      <c r="AG823" s="911"/>
    </row>
    <row r="824">
      <c r="A824" s="835"/>
      <c r="AG824" s="911"/>
    </row>
    <row r="825">
      <c r="A825" s="835"/>
      <c r="AG825" s="911"/>
    </row>
    <row r="826">
      <c r="A826" s="835"/>
      <c r="AG826" s="911"/>
    </row>
    <row r="827">
      <c r="A827" s="835"/>
      <c r="AG827" s="911"/>
    </row>
    <row r="828">
      <c r="A828" s="835"/>
      <c r="AG828" s="911"/>
    </row>
    <row r="829">
      <c r="A829" s="835"/>
      <c r="AG829" s="911"/>
    </row>
    <row r="830">
      <c r="A830" s="835"/>
      <c r="AG830" s="911"/>
    </row>
    <row r="831">
      <c r="A831" s="835"/>
      <c r="AG831" s="911"/>
    </row>
    <row r="832">
      <c r="A832" s="835"/>
      <c r="AG832" s="911"/>
    </row>
    <row r="833">
      <c r="A833" s="835"/>
      <c r="AG833" s="911"/>
    </row>
    <row r="834">
      <c r="A834" s="835"/>
      <c r="AG834" s="911"/>
    </row>
    <row r="835">
      <c r="A835" s="835"/>
      <c r="AG835" s="911"/>
    </row>
    <row r="836">
      <c r="A836" s="835"/>
      <c r="AG836" s="911"/>
    </row>
    <row r="837">
      <c r="A837" s="835"/>
      <c r="AG837" s="911"/>
    </row>
    <row r="838">
      <c r="A838" s="835"/>
      <c r="AG838" s="911"/>
    </row>
    <row r="839">
      <c r="A839" s="835"/>
      <c r="AG839" s="911"/>
    </row>
    <row r="840">
      <c r="A840" s="835"/>
      <c r="AG840" s="911"/>
    </row>
    <row r="841">
      <c r="A841" s="835"/>
      <c r="AG841" s="911"/>
    </row>
    <row r="842">
      <c r="A842" s="835"/>
      <c r="AG842" s="911"/>
    </row>
    <row r="843">
      <c r="A843" s="835"/>
      <c r="AG843" s="911"/>
    </row>
    <row r="844">
      <c r="A844" s="835"/>
      <c r="AG844" s="911"/>
    </row>
    <row r="845">
      <c r="A845" s="835"/>
      <c r="AG845" s="911"/>
    </row>
    <row r="846">
      <c r="A846" s="835"/>
      <c r="AG846" s="911"/>
    </row>
    <row r="847">
      <c r="A847" s="835"/>
      <c r="AG847" s="911"/>
    </row>
    <row r="848">
      <c r="A848" s="835"/>
      <c r="AG848" s="911"/>
    </row>
    <row r="849">
      <c r="A849" s="835"/>
      <c r="AG849" s="911"/>
    </row>
    <row r="850">
      <c r="A850" s="835"/>
      <c r="AG850" s="911"/>
    </row>
    <row r="851">
      <c r="A851" s="835"/>
      <c r="AG851" s="911"/>
    </row>
    <row r="852">
      <c r="A852" s="835"/>
      <c r="AG852" s="911"/>
    </row>
    <row r="853">
      <c r="A853" s="835"/>
      <c r="AG853" s="911"/>
    </row>
    <row r="854">
      <c r="A854" s="835"/>
      <c r="AG854" s="911"/>
    </row>
    <row r="855">
      <c r="A855" s="835"/>
      <c r="AG855" s="911"/>
    </row>
    <row r="856">
      <c r="A856" s="835"/>
      <c r="AG856" s="911"/>
    </row>
    <row r="857">
      <c r="A857" s="835"/>
      <c r="AG857" s="911"/>
    </row>
    <row r="858">
      <c r="A858" s="835"/>
      <c r="AG858" s="911"/>
    </row>
    <row r="859">
      <c r="A859" s="835"/>
      <c r="AG859" s="911"/>
    </row>
    <row r="860">
      <c r="A860" s="835"/>
      <c r="AG860" s="911"/>
    </row>
    <row r="861">
      <c r="A861" s="835"/>
      <c r="AG861" s="911"/>
    </row>
    <row r="862">
      <c r="A862" s="835"/>
      <c r="AG862" s="911"/>
    </row>
    <row r="863">
      <c r="A863" s="835"/>
      <c r="AG863" s="911"/>
    </row>
    <row r="864">
      <c r="A864" s="835"/>
      <c r="AG864" s="911"/>
    </row>
    <row r="865">
      <c r="A865" s="835"/>
      <c r="AG865" s="911"/>
    </row>
    <row r="866">
      <c r="A866" s="835"/>
      <c r="AG866" s="911"/>
    </row>
    <row r="867">
      <c r="A867" s="835"/>
      <c r="AG867" s="911"/>
    </row>
    <row r="868">
      <c r="A868" s="835"/>
      <c r="AG868" s="911"/>
    </row>
    <row r="869">
      <c r="A869" s="835"/>
      <c r="AG869" s="911"/>
    </row>
    <row r="870">
      <c r="A870" s="835"/>
      <c r="AG870" s="911"/>
    </row>
    <row r="871">
      <c r="A871" s="835"/>
      <c r="AG871" s="911"/>
    </row>
    <row r="872">
      <c r="A872" s="835"/>
      <c r="AG872" s="911"/>
    </row>
    <row r="873">
      <c r="A873" s="835"/>
      <c r="AG873" s="911"/>
    </row>
    <row r="874">
      <c r="A874" s="835"/>
      <c r="AG874" s="911"/>
    </row>
    <row r="875">
      <c r="A875" s="835"/>
      <c r="AG875" s="911"/>
    </row>
    <row r="876">
      <c r="A876" s="835"/>
      <c r="AG876" s="911"/>
    </row>
    <row r="877">
      <c r="A877" s="835"/>
      <c r="AG877" s="911"/>
    </row>
    <row r="878">
      <c r="A878" s="835"/>
      <c r="AG878" s="911"/>
    </row>
    <row r="879">
      <c r="A879" s="835"/>
      <c r="AG879" s="911"/>
    </row>
    <row r="880">
      <c r="A880" s="835"/>
      <c r="AG880" s="911"/>
    </row>
    <row r="881">
      <c r="A881" s="835"/>
      <c r="AG881" s="911"/>
    </row>
    <row r="882">
      <c r="A882" s="835"/>
      <c r="AG882" s="911"/>
    </row>
    <row r="883">
      <c r="A883" s="835"/>
      <c r="AG883" s="911"/>
    </row>
    <row r="884">
      <c r="A884" s="835"/>
      <c r="AG884" s="911"/>
    </row>
    <row r="885">
      <c r="A885" s="835"/>
      <c r="AG885" s="911"/>
    </row>
    <row r="886">
      <c r="A886" s="835"/>
      <c r="AG886" s="911"/>
    </row>
    <row r="887">
      <c r="A887" s="835"/>
      <c r="AG887" s="911"/>
    </row>
    <row r="888">
      <c r="A888" s="835"/>
      <c r="AG888" s="911"/>
    </row>
    <row r="889">
      <c r="A889" s="835"/>
      <c r="AG889" s="911"/>
    </row>
    <row r="890">
      <c r="A890" s="835"/>
      <c r="AG890" s="911"/>
    </row>
    <row r="891">
      <c r="A891" s="835"/>
      <c r="AG891" s="911"/>
    </row>
    <row r="892">
      <c r="A892" s="835"/>
      <c r="AG892" s="911"/>
    </row>
    <row r="893">
      <c r="A893" s="835"/>
      <c r="AG893" s="911"/>
    </row>
    <row r="894">
      <c r="A894" s="835"/>
      <c r="AG894" s="911"/>
    </row>
    <row r="895">
      <c r="A895" s="835"/>
      <c r="AG895" s="911"/>
    </row>
    <row r="896">
      <c r="A896" s="835"/>
      <c r="AG896" s="911"/>
    </row>
    <row r="897">
      <c r="A897" s="835"/>
      <c r="AG897" s="911"/>
    </row>
    <row r="898">
      <c r="A898" s="835"/>
      <c r="AG898" s="911"/>
    </row>
    <row r="899">
      <c r="A899" s="835"/>
      <c r="AG899" s="911"/>
    </row>
    <row r="900">
      <c r="A900" s="835"/>
      <c r="AG900" s="911"/>
    </row>
    <row r="901">
      <c r="A901" s="835"/>
      <c r="AG901" s="911"/>
    </row>
    <row r="902">
      <c r="A902" s="835"/>
      <c r="AG902" s="911"/>
    </row>
    <row r="903">
      <c r="A903" s="835"/>
      <c r="AG903" s="911"/>
    </row>
    <row r="904">
      <c r="A904" s="835"/>
      <c r="AG904" s="911"/>
    </row>
    <row r="905">
      <c r="A905" s="835"/>
      <c r="AG905" s="911"/>
    </row>
    <row r="906">
      <c r="A906" s="835"/>
      <c r="AG906" s="911"/>
    </row>
    <row r="907">
      <c r="A907" s="835"/>
      <c r="AG907" s="911"/>
    </row>
    <row r="908">
      <c r="A908" s="835"/>
      <c r="AG908" s="911"/>
    </row>
    <row r="909">
      <c r="A909" s="835"/>
      <c r="AG909" s="911"/>
    </row>
    <row r="910">
      <c r="A910" s="835"/>
      <c r="AG910" s="911"/>
    </row>
    <row r="911">
      <c r="A911" s="835"/>
      <c r="AG911" s="911"/>
    </row>
    <row r="912">
      <c r="A912" s="835"/>
      <c r="AG912" s="911"/>
    </row>
    <row r="913">
      <c r="A913" s="835"/>
      <c r="AG913" s="911"/>
    </row>
    <row r="914">
      <c r="A914" s="835"/>
      <c r="AG914" s="911"/>
    </row>
    <row r="915">
      <c r="A915" s="835"/>
      <c r="AG915" s="911"/>
    </row>
    <row r="916">
      <c r="A916" s="835"/>
      <c r="AG916" s="911"/>
    </row>
    <row r="917">
      <c r="A917" s="835"/>
      <c r="AG917" s="911"/>
    </row>
    <row r="918">
      <c r="A918" s="835"/>
      <c r="AG918" s="911"/>
    </row>
    <row r="919">
      <c r="A919" s="835"/>
      <c r="AG919" s="911"/>
    </row>
    <row r="920">
      <c r="A920" s="835"/>
      <c r="AG920" s="911"/>
    </row>
    <row r="921">
      <c r="A921" s="835"/>
      <c r="AG921" s="911"/>
    </row>
    <row r="922">
      <c r="A922" s="835"/>
      <c r="AG922" s="911"/>
    </row>
    <row r="923">
      <c r="A923" s="835"/>
      <c r="AG923" s="911"/>
    </row>
    <row r="924">
      <c r="A924" s="835"/>
      <c r="AG924" s="911"/>
    </row>
    <row r="925">
      <c r="A925" s="835"/>
      <c r="AG925" s="911"/>
    </row>
    <row r="926">
      <c r="A926" s="835"/>
      <c r="AG926" s="911"/>
    </row>
    <row r="927">
      <c r="A927" s="835"/>
      <c r="AG927" s="911"/>
    </row>
    <row r="928">
      <c r="A928" s="835"/>
      <c r="AG928" s="911"/>
    </row>
    <row r="929">
      <c r="A929" s="835"/>
      <c r="AG929" s="911"/>
    </row>
    <row r="930">
      <c r="A930" s="835"/>
      <c r="AG930" s="911"/>
    </row>
    <row r="931">
      <c r="A931" s="835"/>
      <c r="AG931" s="911"/>
    </row>
    <row r="932">
      <c r="A932" s="835"/>
      <c r="AG932" s="911"/>
    </row>
    <row r="933">
      <c r="A933" s="835"/>
      <c r="AG933" s="911"/>
    </row>
    <row r="934">
      <c r="A934" s="835"/>
      <c r="AG934" s="911"/>
    </row>
    <row r="935">
      <c r="A935" s="835"/>
      <c r="AG935" s="911"/>
    </row>
    <row r="936">
      <c r="A936" s="835"/>
      <c r="AG936" s="911"/>
    </row>
    <row r="937">
      <c r="A937" s="835"/>
      <c r="AG937" s="911"/>
    </row>
    <row r="938">
      <c r="A938" s="835"/>
      <c r="AG938" s="911"/>
    </row>
    <row r="939">
      <c r="A939" s="835"/>
      <c r="AG939" s="911"/>
    </row>
    <row r="940">
      <c r="A940" s="835"/>
      <c r="AG940" s="911"/>
    </row>
    <row r="941">
      <c r="A941" s="835"/>
      <c r="AG941" s="911"/>
    </row>
    <row r="942">
      <c r="A942" s="835"/>
      <c r="AG942" s="911"/>
    </row>
    <row r="943">
      <c r="A943" s="835"/>
      <c r="AG943" s="911"/>
    </row>
    <row r="944">
      <c r="A944" s="835"/>
      <c r="AG944" s="911"/>
    </row>
    <row r="945">
      <c r="A945" s="835"/>
      <c r="AG945" s="911"/>
    </row>
    <row r="946">
      <c r="A946" s="835"/>
      <c r="AG946" s="911"/>
    </row>
    <row r="947">
      <c r="A947" s="835"/>
      <c r="AG947" s="911"/>
    </row>
    <row r="948">
      <c r="A948" s="835"/>
      <c r="AG948" s="911"/>
    </row>
    <row r="949">
      <c r="A949" s="835"/>
      <c r="AG949" s="911"/>
    </row>
    <row r="950">
      <c r="A950" s="835"/>
      <c r="AG950" s="911"/>
    </row>
    <row r="951">
      <c r="A951" s="835"/>
      <c r="AG951" s="911"/>
    </row>
    <row r="952">
      <c r="A952" s="835"/>
      <c r="AG952" s="911"/>
    </row>
    <row r="953">
      <c r="A953" s="835"/>
      <c r="AG953" s="911"/>
    </row>
    <row r="954">
      <c r="A954" s="835"/>
      <c r="AG954" s="911"/>
    </row>
    <row r="955">
      <c r="A955" s="835"/>
      <c r="AG955" s="911"/>
    </row>
    <row r="956">
      <c r="A956" s="835"/>
      <c r="AG956" s="911"/>
    </row>
    <row r="957">
      <c r="A957" s="835"/>
      <c r="AG957" s="911"/>
    </row>
    <row r="958">
      <c r="A958" s="835"/>
      <c r="AG958" s="911"/>
    </row>
    <row r="959">
      <c r="A959" s="835"/>
      <c r="AG959" s="911"/>
    </row>
    <row r="960">
      <c r="A960" s="835"/>
      <c r="AG960" s="911"/>
    </row>
    <row r="961">
      <c r="A961" s="835"/>
      <c r="AG961" s="911"/>
    </row>
    <row r="962">
      <c r="A962" s="835"/>
      <c r="AG962" s="911"/>
    </row>
    <row r="963">
      <c r="A963" s="835"/>
      <c r="AG963" s="911"/>
    </row>
    <row r="964">
      <c r="A964" s="835"/>
      <c r="AG964" s="911"/>
    </row>
    <row r="965">
      <c r="A965" s="835"/>
      <c r="AG965" s="911"/>
    </row>
    <row r="966">
      <c r="A966" s="835"/>
      <c r="AG966" s="911"/>
    </row>
    <row r="967">
      <c r="A967" s="835"/>
      <c r="AG967" s="911"/>
    </row>
    <row r="968">
      <c r="A968" s="835"/>
      <c r="AG968" s="911"/>
    </row>
    <row r="969">
      <c r="A969" s="835"/>
      <c r="AG969" s="911"/>
    </row>
    <row r="970">
      <c r="A970" s="835"/>
      <c r="AG970" s="911"/>
    </row>
    <row r="971">
      <c r="A971" s="835"/>
      <c r="AG971" s="911"/>
    </row>
    <row r="972">
      <c r="A972" s="835"/>
      <c r="AG972" s="911"/>
    </row>
    <row r="973">
      <c r="A973" s="835"/>
      <c r="AG973" s="911"/>
    </row>
    <row r="974">
      <c r="A974" s="835"/>
      <c r="AG974" s="911"/>
    </row>
    <row r="975">
      <c r="A975" s="835"/>
      <c r="AG975" s="911"/>
    </row>
    <row r="976">
      <c r="A976" s="835"/>
      <c r="AG976" s="911"/>
    </row>
    <row r="977">
      <c r="A977" s="835"/>
      <c r="AG977" s="911"/>
    </row>
    <row r="978">
      <c r="A978" s="835"/>
      <c r="AG978" s="911"/>
    </row>
    <row r="979">
      <c r="A979" s="835"/>
      <c r="AG979" s="911"/>
    </row>
    <row r="980">
      <c r="A980" s="835"/>
      <c r="AG980" s="911"/>
    </row>
    <row r="981">
      <c r="A981" s="835"/>
      <c r="AG981" s="911"/>
    </row>
    <row r="982">
      <c r="A982" s="835"/>
      <c r="AG982" s="911"/>
    </row>
    <row r="983">
      <c r="A983" s="835"/>
      <c r="AG983" s="911"/>
    </row>
    <row r="984">
      <c r="A984" s="835"/>
      <c r="AG984" s="911"/>
    </row>
    <row r="985">
      <c r="A985" s="835"/>
      <c r="AG985" s="911"/>
    </row>
    <row r="986">
      <c r="A986" s="835"/>
      <c r="AG986" s="911"/>
    </row>
    <row r="987">
      <c r="A987" s="835"/>
      <c r="AG987" s="911"/>
    </row>
    <row r="988">
      <c r="A988" s="835"/>
      <c r="AG988" s="911"/>
    </row>
    <row r="989">
      <c r="A989" s="835"/>
      <c r="AG989" s="911"/>
    </row>
    <row r="990">
      <c r="A990" s="835"/>
      <c r="AG990" s="911"/>
    </row>
    <row r="991">
      <c r="A991" s="835"/>
      <c r="AG991" s="911"/>
    </row>
    <row r="992">
      <c r="A992" s="835"/>
      <c r="AG992" s="911"/>
    </row>
    <row r="993">
      <c r="A993" s="835"/>
      <c r="AG993" s="911"/>
    </row>
    <row r="994">
      <c r="A994" s="835"/>
      <c r="AG994" s="911"/>
    </row>
    <row r="995">
      <c r="A995" s="835"/>
      <c r="AG995" s="911"/>
    </row>
    <row r="996">
      <c r="A996" s="835"/>
      <c r="AG996" s="911"/>
    </row>
    <row r="997">
      <c r="A997" s="835"/>
      <c r="AG997" s="911"/>
    </row>
    <row r="998">
      <c r="A998" s="835"/>
      <c r="AG998" s="911"/>
    </row>
    <row r="999">
      <c r="A999" s="835"/>
      <c r="AG999" s="911"/>
    </row>
    <row r="1000">
      <c r="A1000" s="835"/>
      <c r="AG1000" s="911"/>
    </row>
    <row r="1001">
      <c r="A1001" s="835"/>
      <c r="AG1001" s="911"/>
    </row>
    <row r="1002">
      <c r="A1002" s="835"/>
      <c r="AG1002" s="911"/>
    </row>
    <row r="1003">
      <c r="A1003" s="835"/>
      <c r="AG1003" s="911"/>
    </row>
    <row r="1004">
      <c r="A1004" s="835"/>
      <c r="AG1004" s="911"/>
    </row>
    <row r="1005">
      <c r="A1005" s="835"/>
      <c r="AG1005" s="911"/>
    </row>
    <row r="1006">
      <c r="A1006" s="835"/>
      <c r="AG1006" s="911"/>
    </row>
    <row r="1007">
      <c r="A1007" s="835"/>
      <c r="AG1007" s="911"/>
    </row>
    <row r="1008">
      <c r="A1008" s="835"/>
      <c r="AG1008" s="911"/>
    </row>
    <row r="1009">
      <c r="A1009" s="835"/>
      <c r="AG1009" s="911"/>
    </row>
    <row r="1010">
      <c r="A1010" s="835"/>
      <c r="AG1010" s="911"/>
    </row>
    <row r="1011">
      <c r="A1011" s="835"/>
      <c r="AG1011" s="911"/>
    </row>
    <row r="1012">
      <c r="A1012" s="835"/>
      <c r="AG1012" s="911"/>
    </row>
    <row r="1013">
      <c r="A1013" s="835"/>
      <c r="AG1013" s="911"/>
    </row>
    <row r="1014">
      <c r="A1014" s="835"/>
      <c r="AG1014" s="911"/>
    </row>
    <row r="1015">
      <c r="A1015" s="835"/>
      <c r="AG1015" s="911"/>
    </row>
    <row r="1016">
      <c r="A1016" s="835"/>
      <c r="AG1016" s="911"/>
    </row>
    <row r="1017">
      <c r="A1017" s="835"/>
      <c r="AG1017" s="911"/>
    </row>
    <row r="1018">
      <c r="A1018" s="835"/>
      <c r="AG1018" s="911"/>
    </row>
    <row r="1019">
      <c r="A1019" s="835"/>
      <c r="AG1019" s="911"/>
    </row>
    <row r="1020">
      <c r="A1020" s="835"/>
      <c r="AG1020" s="911"/>
    </row>
    <row r="1021">
      <c r="A1021" s="835"/>
      <c r="AG1021" s="911"/>
    </row>
    <row r="1022">
      <c r="A1022" s="835"/>
      <c r="AG1022" s="911"/>
    </row>
    <row r="1023">
      <c r="A1023" s="835"/>
      <c r="AG1023" s="911"/>
    </row>
    <row r="1024">
      <c r="A1024" s="835"/>
      <c r="AG1024" s="911"/>
    </row>
    <row r="1025">
      <c r="A1025" s="835"/>
      <c r="AG1025" s="911"/>
    </row>
    <row r="1026">
      <c r="A1026" s="835"/>
      <c r="AG1026" s="911"/>
    </row>
    <row r="1027">
      <c r="A1027" s="835"/>
      <c r="AG1027" s="911"/>
    </row>
    <row r="1028">
      <c r="A1028" s="835"/>
      <c r="AG1028" s="911"/>
    </row>
    <row r="1029">
      <c r="A1029" s="835"/>
      <c r="AG1029" s="911"/>
    </row>
    <row r="1030">
      <c r="A1030" s="835"/>
      <c r="AG1030" s="911"/>
    </row>
    <row r="1031">
      <c r="A1031" s="835"/>
      <c r="AG1031" s="911"/>
    </row>
    <row r="1032">
      <c r="A1032" s="835"/>
      <c r="AG1032" s="911"/>
    </row>
    <row r="1033">
      <c r="A1033" s="835"/>
      <c r="AG1033" s="911"/>
    </row>
    <row r="1034">
      <c r="A1034" s="835"/>
      <c r="AG1034" s="911"/>
    </row>
    <row r="1035">
      <c r="A1035" s="835"/>
      <c r="AG1035" s="911"/>
    </row>
    <row r="1036">
      <c r="A1036" s="835"/>
      <c r="AG1036" s="911"/>
    </row>
    <row r="1037">
      <c r="A1037" s="835"/>
      <c r="AG1037" s="911"/>
    </row>
    <row r="1038">
      <c r="A1038" s="835"/>
      <c r="AG1038" s="911"/>
    </row>
    <row r="1039">
      <c r="A1039" s="835"/>
      <c r="AG1039" s="911"/>
    </row>
    <row r="1040">
      <c r="A1040" s="835"/>
      <c r="AG1040" s="911"/>
    </row>
    <row r="1041">
      <c r="A1041" s="835"/>
      <c r="AG1041" s="911"/>
    </row>
    <row r="1042">
      <c r="A1042" s="835"/>
      <c r="AG1042" s="911"/>
    </row>
    <row r="1043">
      <c r="A1043" s="835"/>
      <c r="AG1043" s="911"/>
    </row>
    <row r="1044">
      <c r="A1044" s="835"/>
      <c r="AG1044" s="911"/>
    </row>
    <row r="1045">
      <c r="A1045" s="835"/>
      <c r="AG1045" s="911"/>
    </row>
    <row r="1046">
      <c r="A1046" s="835"/>
      <c r="AG1046" s="911"/>
    </row>
    <row r="1047">
      <c r="A1047" s="835"/>
      <c r="AG1047" s="911"/>
    </row>
    <row r="1048">
      <c r="A1048" s="835"/>
      <c r="AG1048" s="911"/>
    </row>
    <row r="1049">
      <c r="A1049" s="835"/>
      <c r="AG1049" s="911"/>
    </row>
    <row r="1050">
      <c r="A1050" s="835"/>
      <c r="AG1050" s="911"/>
    </row>
    <row r="1051">
      <c r="A1051" s="835"/>
      <c r="AG1051" s="911"/>
    </row>
    <row r="1052">
      <c r="A1052" s="835"/>
      <c r="AG1052" s="911"/>
    </row>
    <row r="1053">
      <c r="A1053" s="835"/>
      <c r="AG1053" s="911"/>
    </row>
    <row r="1054">
      <c r="A1054" s="835"/>
      <c r="AG1054" s="911"/>
    </row>
    <row r="1055">
      <c r="A1055" s="835"/>
      <c r="AG1055" s="911"/>
    </row>
    <row r="1056">
      <c r="A1056" s="835"/>
      <c r="AG1056" s="911"/>
    </row>
    <row r="1057">
      <c r="A1057" s="835"/>
      <c r="AG1057" s="911"/>
    </row>
    <row r="1058">
      <c r="A1058" s="835"/>
      <c r="AG1058" s="911"/>
    </row>
    <row r="1059">
      <c r="A1059" s="835"/>
      <c r="AG1059" s="911"/>
    </row>
    <row r="1060">
      <c r="A1060" s="835"/>
      <c r="AG1060" s="911"/>
    </row>
    <row r="1061">
      <c r="A1061" s="835"/>
      <c r="AG1061" s="911"/>
    </row>
    <row r="1062">
      <c r="A1062" s="835"/>
      <c r="AG1062" s="911"/>
    </row>
    <row r="1063">
      <c r="A1063" s="835"/>
      <c r="AG1063" s="911"/>
    </row>
    <row r="1064">
      <c r="A1064" s="835"/>
      <c r="AG1064" s="911"/>
    </row>
    <row r="1065">
      <c r="A1065" s="835"/>
      <c r="AG1065" s="911"/>
    </row>
    <row r="1066">
      <c r="A1066" s="835"/>
      <c r="AG1066" s="911"/>
    </row>
    <row r="1067">
      <c r="A1067" s="835"/>
      <c r="AG1067" s="911"/>
    </row>
    <row r="1068">
      <c r="A1068" s="835"/>
      <c r="AG1068" s="911"/>
    </row>
    <row r="1069">
      <c r="A1069" s="835"/>
      <c r="AG1069" s="911"/>
    </row>
    <row r="1070">
      <c r="A1070" s="835"/>
      <c r="AG1070" s="911"/>
    </row>
    <row r="1071">
      <c r="A1071" s="835"/>
      <c r="AG1071" s="911"/>
    </row>
    <row r="1072">
      <c r="A1072" s="835"/>
      <c r="AG1072" s="911"/>
    </row>
    <row r="1073">
      <c r="A1073" s="835"/>
      <c r="AG1073" s="911"/>
    </row>
    <row r="1074">
      <c r="A1074" s="835"/>
      <c r="AG1074" s="911"/>
    </row>
    <row r="1075">
      <c r="A1075" s="835"/>
      <c r="AG1075" s="911"/>
    </row>
    <row r="1076">
      <c r="A1076" s="835"/>
      <c r="AG1076" s="911"/>
    </row>
    <row r="1077">
      <c r="A1077" s="835"/>
      <c r="AG1077" s="911"/>
    </row>
    <row r="1078">
      <c r="A1078" s="835"/>
      <c r="AG1078" s="911"/>
    </row>
    <row r="1079">
      <c r="A1079" s="835"/>
      <c r="AG1079" s="911"/>
    </row>
    <row r="1080">
      <c r="A1080" s="835"/>
      <c r="AG1080" s="911"/>
    </row>
    <row r="1081">
      <c r="A1081" s="835"/>
      <c r="AG1081" s="911"/>
    </row>
    <row r="1082">
      <c r="A1082" s="835"/>
      <c r="AG1082" s="911"/>
    </row>
    <row r="1083">
      <c r="A1083" s="835"/>
      <c r="AG1083" s="911"/>
    </row>
    <row r="1084">
      <c r="A1084" s="835"/>
      <c r="AG1084" s="911"/>
    </row>
    <row r="1085">
      <c r="A1085" s="835"/>
      <c r="AG1085" s="911"/>
    </row>
    <row r="1086">
      <c r="A1086" s="835"/>
      <c r="AG1086" s="911"/>
    </row>
    <row r="1087">
      <c r="A1087" s="835"/>
      <c r="AG1087" s="911"/>
    </row>
    <row r="1088">
      <c r="A1088" s="835"/>
      <c r="AG1088" s="911"/>
    </row>
    <row r="1089">
      <c r="A1089" s="835"/>
      <c r="AG1089" s="911"/>
    </row>
    <row r="1090">
      <c r="A1090" s="835"/>
      <c r="AG1090" s="911"/>
    </row>
    <row r="1091">
      <c r="A1091" s="835"/>
      <c r="AG1091" s="911"/>
    </row>
    <row r="1092">
      <c r="A1092" s="835"/>
      <c r="AG1092" s="911"/>
    </row>
    <row r="1093">
      <c r="A1093" s="835"/>
      <c r="AG1093" s="911"/>
    </row>
    <row r="1094">
      <c r="A1094" s="835"/>
      <c r="AG1094" s="911"/>
    </row>
    <row r="1095">
      <c r="A1095" s="835"/>
      <c r="AG1095" s="911"/>
    </row>
    <row r="1096">
      <c r="A1096" s="835"/>
      <c r="AG1096" s="911"/>
    </row>
    <row r="1097">
      <c r="A1097" s="835"/>
      <c r="AG1097" s="911"/>
    </row>
    <row r="1098">
      <c r="A1098" s="835"/>
      <c r="AG1098" s="911"/>
    </row>
    <row r="1099">
      <c r="A1099" s="835"/>
      <c r="AG1099" s="911"/>
    </row>
    <row r="1100">
      <c r="A1100" s="835"/>
      <c r="AG1100" s="911"/>
    </row>
    <row r="1101">
      <c r="A1101" s="835"/>
      <c r="AG1101" s="911"/>
    </row>
    <row r="1102">
      <c r="A1102" s="835"/>
      <c r="AG1102" s="911"/>
    </row>
    <row r="1103">
      <c r="A1103" s="835"/>
      <c r="AG1103" s="911"/>
    </row>
    <row r="1104">
      <c r="A1104" s="835"/>
      <c r="AG1104" s="911"/>
    </row>
    <row r="1105">
      <c r="A1105" s="835"/>
      <c r="AG1105" s="911"/>
    </row>
    <row r="1106">
      <c r="A1106" s="835"/>
      <c r="AG1106" s="911"/>
    </row>
    <row r="1107">
      <c r="A1107" s="835"/>
      <c r="AG1107" s="911"/>
    </row>
    <row r="1108">
      <c r="A1108" s="835"/>
      <c r="AG1108" s="911"/>
    </row>
    <row r="1109">
      <c r="A1109" s="835"/>
      <c r="AG1109" s="911"/>
    </row>
    <row r="1110">
      <c r="A1110" s="835"/>
      <c r="AG1110" s="911"/>
    </row>
    <row r="1111">
      <c r="A1111" s="835"/>
      <c r="AG1111" s="911"/>
    </row>
    <row r="1112">
      <c r="A1112" s="835"/>
      <c r="AG1112" s="911"/>
    </row>
    <row r="1113">
      <c r="A1113" s="835"/>
      <c r="AG1113" s="911"/>
    </row>
    <row r="1114">
      <c r="A1114" s="835"/>
      <c r="AG1114" s="911"/>
    </row>
    <row r="1115">
      <c r="A1115" s="835"/>
      <c r="AG1115" s="911"/>
    </row>
    <row r="1116">
      <c r="A1116" s="835"/>
      <c r="AG1116" s="911"/>
    </row>
    <row r="1117">
      <c r="A1117" s="835"/>
      <c r="AG1117" s="911"/>
    </row>
    <row r="1118">
      <c r="A1118" s="835"/>
      <c r="AG1118" s="911"/>
    </row>
    <row r="1119">
      <c r="A1119" s="835"/>
      <c r="AG1119" s="911"/>
    </row>
    <row r="1120">
      <c r="A1120" s="835"/>
      <c r="AG1120" s="911"/>
    </row>
    <row r="1121">
      <c r="A1121" s="835"/>
      <c r="AG1121" s="911"/>
    </row>
    <row r="1122">
      <c r="A1122" s="835"/>
      <c r="AG1122" s="911"/>
    </row>
    <row r="1123">
      <c r="A1123" s="835"/>
      <c r="AG1123" s="911"/>
    </row>
    <row r="1124">
      <c r="A1124" s="835"/>
      <c r="AG1124" s="911"/>
    </row>
    <row r="1125">
      <c r="A1125" s="835"/>
      <c r="AG1125" s="911"/>
    </row>
    <row r="1126">
      <c r="A1126" s="835"/>
      <c r="AG1126" s="911"/>
    </row>
    <row r="1127">
      <c r="A1127" s="835"/>
      <c r="AG1127" s="911"/>
    </row>
    <row r="1128">
      <c r="A1128" s="835"/>
      <c r="AG1128" s="911"/>
    </row>
  </sheetData>
  <conditionalFormatting sqref="B554:AF554">
    <cfRule type="cellIs" dxfId="1" priority="1" operator="lessThan">
      <formula>0</formula>
    </cfRule>
  </conditionalFormatting>
  <conditionalFormatting sqref="B554:AF554">
    <cfRule type="cellIs" dxfId="3" priority="2" operator="greaterThan">
      <formula>0</formula>
    </cfRule>
  </conditionalFormatting>
  <conditionalFormatting sqref="B483:AF483">
    <cfRule type="colorScale" priority="3">
      <colorScale>
        <cfvo type="min"/>
        <cfvo type="max"/>
        <color rgb="FFFFFFFF"/>
        <color rgb="FFE67C73"/>
      </colorScale>
    </cfRule>
  </conditionalFormatting>
  <conditionalFormatting sqref="B63:AF63 B75:AF75 B112:AF112 B115:AF115">
    <cfRule type="cellIs" dxfId="1" priority="4" operator="lessThan">
      <formula>0</formula>
    </cfRule>
  </conditionalFormatting>
  <conditionalFormatting sqref="B63:AF63 B75:AF75 B112:AF112 B115:AF115">
    <cfRule type="cellIs" dxfId="3" priority="5" operator="greaterThan">
      <formula>0</formula>
    </cfRule>
  </conditionalFormatting>
  <conditionalFormatting sqref="B81:AF81 B87:AF87 B112:AF112 B115:AF115">
    <cfRule type="cellIs" dxfId="3" priority="6" operator="greaterThan">
      <formula>0</formula>
    </cfRule>
  </conditionalFormatting>
  <conditionalFormatting sqref="B81:AF81 B87:AF87 B112:AF112 B115:AF115">
    <cfRule type="cellIs" dxfId="1" priority="7" operator="lessThan">
      <formula>0</formula>
    </cfRule>
  </conditionalFormatting>
  <conditionalFormatting sqref="B57:AF57">
    <cfRule type="cellIs" dxfId="3" priority="8" operator="greaterThan">
      <formula>0</formula>
    </cfRule>
  </conditionalFormatting>
  <conditionalFormatting sqref="B57:AF57">
    <cfRule type="cellIs" dxfId="1" priority="9" operator="lessThan">
      <formula>0</formula>
    </cfRule>
  </conditionalFormatting>
  <conditionalFormatting sqref="B557:AF557">
    <cfRule type="colorScale" priority="10">
      <colorScale>
        <cfvo type="min"/>
        <cfvo type="max"/>
        <color rgb="FFFFFFFF"/>
        <color rgb="FF57BB8A"/>
      </colorScale>
    </cfRule>
  </conditionalFormatting>
  <conditionalFormatting sqref="B559:AF559">
    <cfRule type="colorScale" priority="11">
      <colorScale>
        <cfvo type="min"/>
        <cfvo type="max"/>
        <color rgb="FFFFFFFF"/>
        <color rgb="FF57BB8A"/>
      </colorScale>
    </cfRule>
  </conditionalFormatting>
  <conditionalFormatting sqref="A58">
    <cfRule type="cellIs" dxfId="4" priority="12" operator="greaterThan">
      <formula>0</formula>
    </cfRule>
  </conditionalFormatting>
  <conditionalFormatting sqref="A58">
    <cfRule type="cellIs" dxfId="1" priority="13" operator="lessThan">
      <formula>0</formula>
    </cfRule>
  </conditionalFormatting>
  <conditionalFormatting sqref="B69:AF69 R91">
    <cfRule type="cellIs" dxfId="3" priority="14" operator="greaterThan">
      <formula>0</formula>
    </cfRule>
  </conditionalFormatting>
  <conditionalFormatting sqref="B69:AF69 R91">
    <cfRule type="cellIs" dxfId="1" priority="15" operator="lessThan">
      <formula>0</formula>
    </cfRule>
  </conditionalFormatting>
  <conditionalFormatting sqref="A555">
    <cfRule type="cellIs" dxfId="0" priority="16" operator="greaterThan">
      <formula>0</formula>
    </cfRule>
  </conditionalFormatting>
  <conditionalFormatting sqref="A555">
    <cfRule type="cellIs" dxfId="5" priority="17" operator="lessThan">
      <formula>0</formula>
    </cfRule>
  </conditionalFormatting>
  <conditionalFormatting sqref="B515:AF515 AE522">
    <cfRule type="colorScale" priority="18">
      <colorScale>
        <cfvo type="min"/>
        <cfvo type="max"/>
        <color rgb="FFFFFFFF"/>
        <color rgb="FFE67C73"/>
      </colorScale>
    </cfRule>
  </conditionalFormatting>
  <conditionalFormatting sqref="B516:AF516">
    <cfRule type="colorScale" priority="19">
      <colorScale>
        <cfvo type="min"/>
        <cfvo type="max"/>
        <color rgb="FFFFFFFF"/>
        <color rgb="FFE67C73"/>
      </colorScale>
    </cfRule>
  </conditionalFormatting>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4.63"/>
    <col customWidth="1" min="5" max="5" width="17.38"/>
    <col customWidth="1" min="7" max="7" width="10.63"/>
    <col customWidth="1" min="8" max="8" width="23.5"/>
    <col customWidth="1" min="13" max="13" width="21.88"/>
  </cols>
  <sheetData>
    <row r="1">
      <c r="B1" s="397" t="s">
        <v>67</v>
      </c>
    </row>
    <row r="2">
      <c r="E2" s="398" t="s">
        <v>88</v>
      </c>
    </row>
    <row r="3">
      <c r="A3" s="399"/>
      <c r="B3" s="400" t="s">
        <v>92</v>
      </c>
      <c r="C3" s="398" t="s">
        <v>88</v>
      </c>
      <c r="E3" s="401" t="s">
        <v>190</v>
      </c>
      <c r="F3" s="402" t="s">
        <v>106</v>
      </c>
      <c r="G3" s="402" t="s">
        <v>460</v>
      </c>
      <c r="H3" s="403"/>
      <c r="I3" s="403"/>
      <c r="J3" s="404" t="s">
        <v>461</v>
      </c>
    </row>
    <row r="4">
      <c r="A4" s="405"/>
      <c r="B4" s="399" t="s">
        <v>106</v>
      </c>
      <c r="C4" s="406">
        <v>81.22</v>
      </c>
      <c r="E4" s="399" t="s">
        <v>191</v>
      </c>
      <c r="F4" s="407"/>
      <c r="G4" s="407"/>
      <c r="H4" s="408"/>
      <c r="I4" s="408"/>
      <c r="J4" s="409" t="s">
        <v>462</v>
      </c>
      <c r="K4" s="410">
        <v>10.0</v>
      </c>
      <c r="M4" s="402" t="s">
        <v>463</v>
      </c>
      <c r="N4" s="411">
        <v>45127.0</v>
      </c>
      <c r="O4" s="411">
        <v>45128.0</v>
      </c>
      <c r="P4" s="411">
        <v>45129.0</v>
      </c>
      <c r="Q4" s="411">
        <v>45130.0</v>
      </c>
      <c r="R4" s="411">
        <v>45131.0</v>
      </c>
      <c r="S4" s="411">
        <v>45132.0</v>
      </c>
      <c r="T4" s="411">
        <v>45133.0</v>
      </c>
      <c r="U4" s="411">
        <v>45134.0</v>
      </c>
      <c r="V4" s="411">
        <v>45135.0</v>
      </c>
      <c r="W4" s="411">
        <v>45136.0</v>
      </c>
      <c r="X4" s="411">
        <v>45137.0</v>
      </c>
      <c r="Y4" s="411">
        <v>45138.0</v>
      </c>
    </row>
    <row r="5">
      <c r="A5" s="405"/>
      <c r="B5" s="399" t="s">
        <v>119</v>
      </c>
      <c r="C5" s="406">
        <v>91.14</v>
      </c>
      <c r="E5" s="399" t="s">
        <v>192</v>
      </c>
      <c r="F5" s="412">
        <v>0.3</v>
      </c>
      <c r="G5" s="412">
        <v>0.0</v>
      </c>
      <c r="H5" s="408"/>
      <c r="I5" s="408"/>
      <c r="J5" s="409" t="s">
        <v>464</v>
      </c>
      <c r="K5" s="410">
        <v>35.0</v>
      </c>
      <c r="M5" s="413" t="s">
        <v>465</v>
      </c>
      <c r="N5" s="414">
        <v>24.0</v>
      </c>
      <c r="O5" s="414">
        <v>44.0</v>
      </c>
      <c r="P5" s="414">
        <v>53.0</v>
      </c>
      <c r="Q5" s="414">
        <v>53.0</v>
      </c>
      <c r="R5" s="414">
        <v>30.0</v>
      </c>
      <c r="S5" s="414">
        <v>27.0</v>
      </c>
      <c r="T5" s="414">
        <v>26.0</v>
      </c>
      <c r="U5" s="414">
        <v>23.0</v>
      </c>
      <c r="V5" s="414">
        <f>22+7</f>
        <v>29</v>
      </c>
      <c r="W5" s="414">
        <f>26+6</f>
        <v>32</v>
      </c>
      <c r="X5" s="414">
        <f>22+5</f>
        <v>27</v>
      </c>
      <c r="Y5" s="415">
        <v>28.0</v>
      </c>
    </row>
    <row r="6">
      <c r="A6" s="405"/>
      <c r="B6" s="399" t="s">
        <v>127</v>
      </c>
      <c r="C6" s="412">
        <v>10.5</v>
      </c>
      <c r="E6" s="399" t="s">
        <v>193</v>
      </c>
      <c r="F6" s="412">
        <v>0.31</v>
      </c>
      <c r="G6" s="412">
        <v>0.31</v>
      </c>
      <c r="H6" s="408"/>
      <c r="I6" s="408"/>
      <c r="M6" s="413" t="s">
        <v>467</v>
      </c>
      <c r="N6" s="416">
        <v>42.0</v>
      </c>
      <c r="O6" s="416">
        <v>58.0</v>
      </c>
      <c r="P6" s="416">
        <v>60.0</v>
      </c>
      <c r="Q6" s="416">
        <v>56.0</v>
      </c>
      <c r="R6" s="416">
        <v>31.0</v>
      </c>
      <c r="S6" s="416">
        <v>55.0</v>
      </c>
      <c r="T6" s="416">
        <v>34.0</v>
      </c>
      <c r="U6" s="416">
        <v>39.0</v>
      </c>
      <c r="V6" s="416">
        <v>53.0</v>
      </c>
      <c r="W6" s="416">
        <v>51.0</v>
      </c>
      <c r="X6" s="416">
        <v>41.0</v>
      </c>
      <c r="Y6" s="417">
        <v>53.0</v>
      </c>
    </row>
    <row r="7">
      <c r="A7" s="405"/>
      <c r="B7" s="399" t="s">
        <v>121</v>
      </c>
      <c r="C7" s="412">
        <v>4.93</v>
      </c>
      <c r="E7" s="418" t="s">
        <v>194</v>
      </c>
      <c r="F7" s="412">
        <v>1.01</v>
      </c>
      <c r="G7" s="412">
        <v>0.6</v>
      </c>
      <c r="H7" s="408"/>
      <c r="I7" s="408"/>
      <c r="M7" s="413" t="s">
        <v>116</v>
      </c>
      <c r="N7" s="416">
        <v>0.0</v>
      </c>
      <c r="O7" s="416">
        <v>0.0</v>
      </c>
      <c r="P7" s="416">
        <v>1.0</v>
      </c>
      <c r="Q7" s="416">
        <v>1.0</v>
      </c>
      <c r="R7" s="416">
        <v>2.0</v>
      </c>
      <c r="S7" s="416">
        <v>3.0</v>
      </c>
      <c r="T7" s="416">
        <v>3.0</v>
      </c>
      <c r="U7" s="416">
        <v>3.0</v>
      </c>
      <c r="V7" s="416">
        <v>1.0</v>
      </c>
      <c r="W7" s="416">
        <v>0.0</v>
      </c>
      <c r="X7" s="416">
        <v>0.0</v>
      </c>
      <c r="Y7" s="417">
        <v>3.0</v>
      </c>
    </row>
    <row r="8">
      <c r="A8" s="405"/>
      <c r="B8" s="399" t="s">
        <v>129</v>
      </c>
      <c r="C8" s="412">
        <v>6.37</v>
      </c>
      <c r="E8" s="418" t="s">
        <v>195</v>
      </c>
      <c r="F8" s="412">
        <v>0.3</v>
      </c>
      <c r="G8" s="412">
        <v>0.3</v>
      </c>
      <c r="H8" s="408"/>
      <c r="M8" s="413" t="s">
        <v>469</v>
      </c>
      <c r="N8" s="416">
        <v>2.0</v>
      </c>
      <c r="O8" s="416">
        <v>0.0</v>
      </c>
      <c r="P8" s="416">
        <v>1.0</v>
      </c>
      <c r="Q8" s="416">
        <v>2.0</v>
      </c>
      <c r="R8" s="416">
        <v>0.0</v>
      </c>
      <c r="S8" s="416">
        <v>0.0</v>
      </c>
      <c r="T8" s="416">
        <v>1.0</v>
      </c>
      <c r="U8" s="416">
        <v>1.0</v>
      </c>
      <c r="V8" s="416">
        <v>0.0</v>
      </c>
      <c r="W8" s="416">
        <v>0.0</v>
      </c>
      <c r="X8" s="416">
        <v>0.0</v>
      </c>
      <c r="Y8" s="417">
        <v>1.0</v>
      </c>
    </row>
    <row r="9">
      <c r="A9" s="405"/>
      <c r="B9" s="399" t="s">
        <v>137</v>
      </c>
      <c r="C9" s="412">
        <v>1.07</v>
      </c>
      <c r="E9" s="418" t="s">
        <v>197</v>
      </c>
      <c r="F9" s="412">
        <v>0.0</v>
      </c>
      <c r="G9" s="412">
        <v>1.1</v>
      </c>
      <c r="H9" s="408"/>
      <c r="M9" s="413" t="s">
        <v>470</v>
      </c>
      <c r="N9" s="416">
        <v>7.0</v>
      </c>
      <c r="O9" s="416">
        <v>6.0</v>
      </c>
      <c r="P9" s="416">
        <v>2.0</v>
      </c>
      <c r="Q9" s="416">
        <v>3.0</v>
      </c>
      <c r="R9" s="416">
        <v>1.0</v>
      </c>
      <c r="S9" s="416">
        <v>3.0</v>
      </c>
      <c r="T9" s="416">
        <v>4.0</v>
      </c>
      <c r="U9" s="416">
        <v>2.0</v>
      </c>
      <c r="V9" s="416">
        <v>3.0</v>
      </c>
      <c r="W9" s="416">
        <v>3.0</v>
      </c>
      <c r="X9" s="416">
        <v>3.0</v>
      </c>
      <c r="Y9" s="417">
        <v>3.0</v>
      </c>
    </row>
    <row r="10">
      <c r="A10" s="405"/>
      <c r="B10" s="419" t="s">
        <v>153</v>
      </c>
      <c r="C10" s="412">
        <v>5.98</v>
      </c>
      <c r="E10" s="1" t="s">
        <v>198</v>
      </c>
      <c r="F10" s="412">
        <v>1.2</v>
      </c>
      <c r="G10" s="412">
        <v>0.0</v>
      </c>
      <c r="H10" s="408"/>
      <c r="M10" s="420" t="s">
        <v>471</v>
      </c>
      <c r="N10" s="21">
        <v>0.0</v>
      </c>
      <c r="O10" s="21">
        <v>0.0</v>
      </c>
      <c r="P10" s="21">
        <v>2.0</v>
      </c>
      <c r="Q10" s="21">
        <v>1.0</v>
      </c>
      <c r="R10" s="21">
        <v>1.0</v>
      </c>
      <c r="S10" s="21">
        <v>1.0</v>
      </c>
      <c r="T10" s="21">
        <v>0.0</v>
      </c>
      <c r="U10" s="21">
        <v>1.0</v>
      </c>
      <c r="V10" s="21">
        <v>0.0</v>
      </c>
      <c r="W10" s="21">
        <v>0.0</v>
      </c>
      <c r="X10" s="21">
        <v>0.0</v>
      </c>
      <c r="Y10" s="415">
        <v>0.0</v>
      </c>
    </row>
    <row r="11">
      <c r="A11" s="421"/>
      <c r="E11" s="419"/>
      <c r="M11" s="420" t="s">
        <v>472</v>
      </c>
      <c r="N11" s="21">
        <v>0.0</v>
      </c>
      <c r="O11" s="21">
        <v>4.0</v>
      </c>
      <c r="P11" s="21">
        <v>4.0</v>
      </c>
      <c r="Q11" s="21">
        <v>8.0</v>
      </c>
      <c r="R11" s="21">
        <v>8.0</v>
      </c>
      <c r="S11" s="21">
        <v>3.0</v>
      </c>
      <c r="T11" s="21">
        <v>2.0</v>
      </c>
      <c r="U11" s="21">
        <v>4.0</v>
      </c>
      <c r="V11" s="21">
        <v>7.0</v>
      </c>
      <c r="W11" s="21">
        <v>7.0</v>
      </c>
      <c r="X11" s="21">
        <v>12.0</v>
      </c>
      <c r="Y11" s="415">
        <v>2.0</v>
      </c>
    </row>
    <row r="12">
      <c r="A12" s="421"/>
      <c r="B12" s="401" t="s">
        <v>473</v>
      </c>
      <c r="C12" s="422" t="s">
        <v>88</v>
      </c>
      <c r="E12" s="401" t="s">
        <v>475</v>
      </c>
      <c r="M12" s="420" t="s">
        <v>476</v>
      </c>
      <c r="N12" s="21">
        <v>0.0</v>
      </c>
      <c r="O12" s="21">
        <v>0.0</v>
      </c>
      <c r="P12" s="21">
        <v>1.0</v>
      </c>
      <c r="Q12" s="21">
        <v>0.0</v>
      </c>
      <c r="R12" s="21">
        <v>0.0</v>
      </c>
      <c r="S12" s="21">
        <v>1.0</v>
      </c>
      <c r="T12" s="21">
        <v>0.0</v>
      </c>
      <c r="U12" s="21">
        <v>0.0</v>
      </c>
      <c r="V12" s="21">
        <v>0.0</v>
      </c>
      <c r="W12" s="21">
        <v>0.0</v>
      </c>
      <c r="X12" s="21">
        <v>1.0</v>
      </c>
      <c r="Y12" s="415">
        <v>0.0</v>
      </c>
    </row>
    <row r="13">
      <c r="A13" s="421"/>
      <c r="B13" s="399" t="s">
        <v>204</v>
      </c>
      <c r="C13" s="412">
        <v>11.94</v>
      </c>
      <c r="E13" s="399" t="s">
        <v>204</v>
      </c>
      <c r="F13" s="423">
        <v>1.435</v>
      </c>
      <c r="M13" s="424" t="s">
        <v>478</v>
      </c>
      <c r="N13" s="425">
        <f t="shared" ref="N13:Y13" si="1">SUM(N5:N12)</f>
        <v>75</v>
      </c>
      <c r="O13" s="425">
        <f t="shared" si="1"/>
        <v>112</v>
      </c>
      <c r="P13" s="425">
        <f t="shared" si="1"/>
        <v>124</v>
      </c>
      <c r="Q13" s="425">
        <f t="shared" si="1"/>
        <v>124</v>
      </c>
      <c r="R13" s="425">
        <f t="shared" si="1"/>
        <v>73</v>
      </c>
      <c r="S13" s="425">
        <f t="shared" si="1"/>
        <v>93</v>
      </c>
      <c r="T13" s="425">
        <f t="shared" si="1"/>
        <v>70</v>
      </c>
      <c r="U13" s="425">
        <f t="shared" si="1"/>
        <v>73</v>
      </c>
      <c r="V13" s="425">
        <f t="shared" si="1"/>
        <v>93</v>
      </c>
      <c r="W13" s="425">
        <f t="shared" si="1"/>
        <v>93</v>
      </c>
      <c r="X13" s="425">
        <f t="shared" si="1"/>
        <v>84</v>
      </c>
      <c r="Y13" s="425">
        <f t="shared" si="1"/>
        <v>90</v>
      </c>
    </row>
    <row r="14">
      <c r="A14" s="421"/>
      <c r="B14" s="399" t="s">
        <v>206</v>
      </c>
      <c r="C14" s="412">
        <v>11.94</v>
      </c>
      <c r="E14" s="399" t="s">
        <v>206</v>
      </c>
      <c r="F14" s="423">
        <v>1.44</v>
      </c>
    </row>
    <row r="15">
      <c r="B15" s="399" t="s">
        <v>207</v>
      </c>
      <c r="C15" s="412">
        <v>11.94</v>
      </c>
      <c r="E15" s="399" t="s">
        <v>207</v>
      </c>
      <c r="F15" s="423">
        <v>1.44</v>
      </c>
      <c r="I15" s="426"/>
      <c r="M15" s="427" t="s">
        <v>479</v>
      </c>
      <c r="N15" s="428">
        <v>45127.0</v>
      </c>
      <c r="O15" s="428">
        <v>45128.0</v>
      </c>
      <c r="P15" s="428">
        <v>45129.0</v>
      </c>
      <c r="Q15" s="428">
        <v>45130.0</v>
      </c>
      <c r="R15" s="428">
        <v>45131.0</v>
      </c>
      <c r="S15" s="428">
        <v>45132.0</v>
      </c>
      <c r="T15" s="428">
        <v>45133.0</v>
      </c>
      <c r="U15" s="428">
        <v>45134.0</v>
      </c>
      <c r="V15" s="428">
        <v>45135.0</v>
      </c>
      <c r="W15" s="428">
        <v>45136.0</v>
      </c>
      <c r="X15" s="428">
        <v>45137.0</v>
      </c>
      <c r="Y15" s="429">
        <v>45138.0</v>
      </c>
    </row>
    <row r="16">
      <c r="A16" s="1" t="s">
        <v>182</v>
      </c>
      <c r="B16" s="1" t="s">
        <v>183</v>
      </c>
      <c r="C16" s="412">
        <v>15.06</v>
      </c>
      <c r="D16" s="1" t="s">
        <v>182</v>
      </c>
      <c r="E16" s="1" t="s">
        <v>183</v>
      </c>
      <c r="F16" s="406">
        <v>8.47</v>
      </c>
      <c r="M16" s="413" t="s">
        <v>465</v>
      </c>
      <c r="N16" s="430">
        <f t="shared" ref="N16:N23" si="2">N5/$N$13</f>
        <v>0.32</v>
      </c>
      <c r="O16" s="430">
        <f t="shared" ref="O16:O23" si="3">O5/$O$13</f>
        <v>0.3928571429</v>
      </c>
      <c r="P16" s="430">
        <f t="shared" ref="P16:P23" si="4">P5/$P$13</f>
        <v>0.4274193548</v>
      </c>
      <c r="Q16" s="430">
        <f t="shared" ref="Q16:Q23" si="5">Q5/$Q$13</f>
        <v>0.4274193548</v>
      </c>
      <c r="R16" s="430">
        <f t="shared" ref="R16:R23" si="6">R5/$R$13</f>
        <v>0.4109589041</v>
      </c>
      <c r="S16" s="430">
        <f t="shared" ref="S16:S23" si="7">S5/$S$13</f>
        <v>0.2903225806</v>
      </c>
      <c r="T16" s="430">
        <f t="shared" ref="T16:T23" si="8">T5/$T$13</f>
        <v>0.3714285714</v>
      </c>
      <c r="U16" s="430">
        <f t="shared" ref="U16:U23" si="9">U5/$U$13</f>
        <v>0.3150684932</v>
      </c>
      <c r="V16" s="430">
        <f t="shared" ref="V16:V23" si="10">V5/$V$13</f>
        <v>0.311827957</v>
      </c>
      <c r="W16" s="430">
        <f t="shared" ref="W16:W23" si="11">W5/$W$13</f>
        <v>0.3440860215</v>
      </c>
      <c r="X16" s="430">
        <f t="shared" ref="X16:X23" si="12">X5/$X$13</f>
        <v>0.3214285714</v>
      </c>
      <c r="Y16" s="431">
        <f t="shared" ref="Y16:Y23" si="13">Y5/$Y$13</f>
        <v>0.3111111111</v>
      </c>
    </row>
    <row r="17">
      <c r="B17" s="1" t="s">
        <v>185</v>
      </c>
      <c r="C17" s="432">
        <v>15.06</v>
      </c>
      <c r="E17" s="1" t="s">
        <v>185</v>
      </c>
      <c r="F17" s="432"/>
      <c r="M17" s="413" t="s">
        <v>467</v>
      </c>
      <c r="N17" s="430">
        <f t="shared" si="2"/>
        <v>0.56</v>
      </c>
      <c r="O17" s="430">
        <f t="shared" si="3"/>
        <v>0.5178571429</v>
      </c>
      <c r="P17" s="430">
        <f t="shared" si="4"/>
        <v>0.4838709677</v>
      </c>
      <c r="Q17" s="430">
        <f t="shared" si="5"/>
        <v>0.4516129032</v>
      </c>
      <c r="R17" s="430">
        <f t="shared" si="6"/>
        <v>0.4246575342</v>
      </c>
      <c r="S17" s="430">
        <f t="shared" si="7"/>
        <v>0.5913978495</v>
      </c>
      <c r="T17" s="430">
        <f t="shared" si="8"/>
        <v>0.4857142857</v>
      </c>
      <c r="U17" s="430">
        <f t="shared" si="9"/>
        <v>0.5342465753</v>
      </c>
      <c r="V17" s="430">
        <f t="shared" si="10"/>
        <v>0.5698924731</v>
      </c>
      <c r="W17" s="430">
        <f t="shared" si="11"/>
        <v>0.5483870968</v>
      </c>
      <c r="X17" s="430">
        <f t="shared" si="12"/>
        <v>0.4880952381</v>
      </c>
      <c r="Y17" s="431">
        <f t="shared" si="13"/>
        <v>0.5888888889</v>
      </c>
    </row>
    <row r="18">
      <c r="B18" s="1" t="s">
        <v>187</v>
      </c>
      <c r="C18" s="432">
        <v>20.0</v>
      </c>
      <c r="E18" s="1" t="s">
        <v>187</v>
      </c>
      <c r="F18" s="432"/>
      <c r="M18" s="413" t="s">
        <v>116</v>
      </c>
      <c r="N18" s="430">
        <f t="shared" si="2"/>
        <v>0</v>
      </c>
      <c r="O18" s="430">
        <f t="shared" si="3"/>
        <v>0</v>
      </c>
      <c r="P18" s="430">
        <f t="shared" si="4"/>
        <v>0.008064516129</v>
      </c>
      <c r="Q18" s="430">
        <f t="shared" si="5"/>
        <v>0.008064516129</v>
      </c>
      <c r="R18" s="430">
        <f t="shared" si="6"/>
        <v>0.02739726027</v>
      </c>
      <c r="S18" s="430">
        <f t="shared" si="7"/>
        <v>0.03225806452</v>
      </c>
      <c r="T18" s="430">
        <f t="shared" si="8"/>
        <v>0.04285714286</v>
      </c>
      <c r="U18" s="430">
        <f t="shared" si="9"/>
        <v>0.04109589041</v>
      </c>
      <c r="V18" s="430">
        <f t="shared" si="10"/>
        <v>0.01075268817</v>
      </c>
      <c r="W18" s="430">
        <f t="shared" si="11"/>
        <v>0</v>
      </c>
      <c r="X18" s="430">
        <f t="shared" si="12"/>
        <v>0</v>
      </c>
      <c r="Y18" s="431">
        <f t="shared" si="13"/>
        <v>0.03333333333</v>
      </c>
    </row>
    <row r="19">
      <c r="M19" s="413" t="s">
        <v>469</v>
      </c>
      <c r="N19" s="430">
        <f t="shared" si="2"/>
        <v>0.02666666667</v>
      </c>
      <c r="O19" s="430">
        <f t="shared" si="3"/>
        <v>0</v>
      </c>
      <c r="P19" s="430">
        <f t="shared" si="4"/>
        <v>0.008064516129</v>
      </c>
      <c r="Q19" s="430">
        <f t="shared" si="5"/>
        <v>0.01612903226</v>
      </c>
      <c r="R19" s="430">
        <f t="shared" si="6"/>
        <v>0</v>
      </c>
      <c r="S19" s="430">
        <f t="shared" si="7"/>
        <v>0</v>
      </c>
      <c r="T19" s="430">
        <f t="shared" si="8"/>
        <v>0.01428571429</v>
      </c>
      <c r="U19" s="430">
        <f t="shared" si="9"/>
        <v>0.01369863014</v>
      </c>
      <c r="V19" s="430">
        <f t="shared" si="10"/>
        <v>0</v>
      </c>
      <c r="W19" s="430">
        <f t="shared" si="11"/>
        <v>0</v>
      </c>
      <c r="X19" s="430">
        <f t="shared" si="12"/>
        <v>0</v>
      </c>
      <c r="Y19" s="431">
        <f t="shared" si="13"/>
        <v>0.01111111111</v>
      </c>
    </row>
    <row r="20">
      <c r="B20" s="401" t="s">
        <v>481</v>
      </c>
      <c r="E20" s="401" t="s">
        <v>99</v>
      </c>
      <c r="H20" s="433"/>
      <c r="I20" s="434"/>
      <c r="M20" s="413" t="s">
        <v>470</v>
      </c>
      <c r="N20" s="430">
        <f t="shared" si="2"/>
        <v>0.09333333333</v>
      </c>
      <c r="O20" s="430">
        <f t="shared" si="3"/>
        <v>0.05357142857</v>
      </c>
      <c r="P20" s="430">
        <f t="shared" si="4"/>
        <v>0.01612903226</v>
      </c>
      <c r="Q20" s="430">
        <f t="shared" si="5"/>
        <v>0.02419354839</v>
      </c>
      <c r="R20" s="430">
        <f t="shared" si="6"/>
        <v>0.01369863014</v>
      </c>
      <c r="S20" s="430">
        <f t="shared" si="7"/>
        <v>0.03225806452</v>
      </c>
      <c r="T20" s="430">
        <f t="shared" si="8"/>
        <v>0.05714285714</v>
      </c>
      <c r="U20" s="430">
        <f t="shared" si="9"/>
        <v>0.02739726027</v>
      </c>
      <c r="V20" s="430">
        <f t="shared" si="10"/>
        <v>0.03225806452</v>
      </c>
      <c r="W20" s="430">
        <f t="shared" si="11"/>
        <v>0.03225806452</v>
      </c>
      <c r="X20" s="430">
        <f t="shared" si="12"/>
        <v>0.03571428571</v>
      </c>
      <c r="Y20" s="431">
        <f t="shared" si="13"/>
        <v>0.03333333333</v>
      </c>
    </row>
    <row r="21">
      <c r="B21" s="435" t="s">
        <v>92</v>
      </c>
      <c r="C21" s="412">
        <f>(C4*(1-F31)+(C5*F31)+(C6*F26)+(C7*F27)+(C8*F28)+(C9*F29)+(C10*F30))</f>
        <v>92.47004941</v>
      </c>
      <c r="E21" s="399" t="s">
        <v>113</v>
      </c>
      <c r="F21" s="436">
        <v>0.22</v>
      </c>
      <c r="H21" s="437"/>
      <c r="I21" s="438"/>
      <c r="K21" s="439"/>
      <c r="L21" s="439"/>
      <c r="M21" s="420" t="s">
        <v>471</v>
      </c>
      <c r="N21" s="430">
        <f t="shared" si="2"/>
        <v>0</v>
      </c>
      <c r="O21" s="430">
        <f t="shared" si="3"/>
        <v>0</v>
      </c>
      <c r="P21" s="430">
        <f t="shared" si="4"/>
        <v>0.01612903226</v>
      </c>
      <c r="Q21" s="430">
        <f t="shared" si="5"/>
        <v>0.008064516129</v>
      </c>
      <c r="R21" s="430">
        <f t="shared" si="6"/>
        <v>0.01369863014</v>
      </c>
      <c r="S21" s="430">
        <f t="shared" si="7"/>
        <v>0.01075268817</v>
      </c>
      <c r="T21" s="430">
        <f t="shared" si="8"/>
        <v>0</v>
      </c>
      <c r="U21" s="430">
        <f t="shared" si="9"/>
        <v>0.01369863014</v>
      </c>
      <c r="V21" s="430">
        <f t="shared" si="10"/>
        <v>0</v>
      </c>
      <c r="W21" s="430">
        <f t="shared" si="11"/>
        <v>0</v>
      </c>
      <c r="X21" s="430">
        <f t="shared" si="12"/>
        <v>0</v>
      </c>
      <c r="Y21" s="431">
        <f t="shared" si="13"/>
        <v>0</v>
      </c>
    </row>
    <row r="22">
      <c r="B22" s="435" t="s">
        <v>122</v>
      </c>
      <c r="C22" s="412">
        <f>C13+(F13*0.78)</f>
        <v>13.0593</v>
      </c>
      <c r="E22" s="399" t="s">
        <v>125</v>
      </c>
      <c r="F22" s="436">
        <v>0.13</v>
      </c>
      <c r="H22" s="441"/>
      <c r="I22" s="442"/>
      <c r="K22" s="439"/>
      <c r="M22" s="420" t="s">
        <v>472</v>
      </c>
      <c r="N22" s="430">
        <f t="shared" si="2"/>
        <v>0</v>
      </c>
      <c r="O22" s="430">
        <f t="shared" si="3"/>
        <v>0.03571428571</v>
      </c>
      <c r="P22" s="430">
        <f t="shared" si="4"/>
        <v>0.03225806452</v>
      </c>
      <c r="Q22" s="430">
        <f t="shared" si="5"/>
        <v>0.06451612903</v>
      </c>
      <c r="R22" s="430">
        <f t="shared" si="6"/>
        <v>0.1095890411</v>
      </c>
      <c r="S22" s="430">
        <f t="shared" si="7"/>
        <v>0.03225806452</v>
      </c>
      <c r="T22" s="430">
        <f t="shared" si="8"/>
        <v>0.02857142857</v>
      </c>
      <c r="U22" s="430">
        <f t="shared" si="9"/>
        <v>0.05479452055</v>
      </c>
      <c r="V22" s="430">
        <f t="shared" si="10"/>
        <v>0.0752688172</v>
      </c>
      <c r="W22" s="430">
        <f t="shared" si="11"/>
        <v>0.0752688172</v>
      </c>
      <c r="X22" s="430">
        <f t="shared" si="12"/>
        <v>0.1428571429</v>
      </c>
      <c r="Y22" s="431">
        <f t="shared" si="13"/>
        <v>0.02222222222</v>
      </c>
    </row>
    <row r="23">
      <c r="B23" s="399" t="s">
        <v>130</v>
      </c>
      <c r="C23" s="412">
        <f>C16</f>
        <v>15.06</v>
      </c>
      <c r="E23" s="399" t="s">
        <v>133</v>
      </c>
      <c r="F23" s="432"/>
      <c r="H23" s="437"/>
      <c r="I23" s="442"/>
      <c r="K23" s="439"/>
      <c r="M23" s="443" t="s">
        <v>476</v>
      </c>
      <c r="N23" s="444">
        <f t="shared" si="2"/>
        <v>0</v>
      </c>
      <c r="O23" s="444">
        <f t="shared" si="3"/>
        <v>0</v>
      </c>
      <c r="P23" s="444">
        <f t="shared" si="4"/>
        <v>0.008064516129</v>
      </c>
      <c r="Q23" s="444">
        <f t="shared" si="5"/>
        <v>0</v>
      </c>
      <c r="R23" s="444">
        <f t="shared" si="6"/>
        <v>0</v>
      </c>
      <c r="S23" s="444">
        <f t="shared" si="7"/>
        <v>0.01075268817</v>
      </c>
      <c r="T23" s="444">
        <f t="shared" si="8"/>
        <v>0</v>
      </c>
      <c r="U23" s="444">
        <f t="shared" si="9"/>
        <v>0</v>
      </c>
      <c r="V23" s="444">
        <f t="shared" si="10"/>
        <v>0</v>
      </c>
      <c r="W23" s="444">
        <f t="shared" si="11"/>
        <v>0</v>
      </c>
      <c r="X23" s="444">
        <f t="shared" si="12"/>
        <v>0.0119047619</v>
      </c>
      <c r="Y23" s="445">
        <f t="shared" si="13"/>
        <v>0</v>
      </c>
    </row>
    <row r="24">
      <c r="B24" s="399" t="s">
        <v>138</v>
      </c>
      <c r="C24" s="418">
        <v>10.89</v>
      </c>
      <c r="F24" s="418"/>
      <c r="K24" s="439"/>
    </row>
    <row r="25">
      <c r="B25" s="1" t="s">
        <v>144</v>
      </c>
      <c r="C25" s="446">
        <f>C21*0.075</f>
        <v>6.935253706</v>
      </c>
      <c r="E25" s="401" t="s">
        <v>94</v>
      </c>
    </row>
    <row r="26">
      <c r="B26" s="1" t="s">
        <v>149</v>
      </c>
      <c r="C26" s="418">
        <f>(C6*F26)*0.025+(C7*F27)*0.034+(C9*F29)*0.034+(C10*F30)*0.034</f>
        <v>0.1311311944</v>
      </c>
      <c r="E26" s="1" t="s">
        <v>108</v>
      </c>
      <c r="F26" s="447">
        <f>('OLD Detailed Report'!AG170)/'OLD Detailed Report'!AG164</f>
        <v>0.1146175762</v>
      </c>
    </row>
    <row r="27">
      <c r="B27" s="441" t="s">
        <v>154</v>
      </c>
      <c r="C27" s="406">
        <f>'OLD Sales'!B56*0.029</f>
        <v>7.131310932</v>
      </c>
      <c r="E27" s="1" t="s">
        <v>121</v>
      </c>
      <c r="F27" s="447">
        <f>('OLD Detailed Report'!AG166)/'OLD Detailed Report'!AG164</f>
        <v>0.3359631821</v>
      </c>
    </row>
    <row r="28">
      <c r="B28" s="1" t="s">
        <v>159</v>
      </c>
      <c r="C28" s="448">
        <f>0.3</f>
        <v>0.3</v>
      </c>
      <c r="E28" s="1" t="s">
        <v>129</v>
      </c>
      <c r="F28" s="447">
        <f>('OLD Detailed Report'!AG167)/'OLD Detailed Report'!AG164</f>
        <v>0</v>
      </c>
    </row>
    <row r="29">
      <c r="B29" s="1" t="s">
        <v>485</v>
      </c>
      <c r="C29" s="450"/>
      <c r="E29" s="1" t="s">
        <v>137</v>
      </c>
      <c r="F29" s="447">
        <f>('OLD Detailed Report'!AG168)/'OLD Detailed Report'!AG164</f>
        <v>0.1700635547</v>
      </c>
    </row>
    <row r="30">
      <c r="B30" s="1" t="s">
        <v>486</v>
      </c>
      <c r="C30" s="448">
        <f t="shared" ref="C30:C31" si="14">F5</f>
        <v>0.3</v>
      </c>
      <c r="E30" s="451" t="s">
        <v>142</v>
      </c>
      <c r="F30" s="452">
        <f>('OLD Detailed Report'!AG169)/'OLD Detailed Report'!AG164</f>
        <v>0.1895682665</v>
      </c>
    </row>
    <row r="31">
      <c r="B31" s="451" t="s">
        <v>487</v>
      </c>
      <c r="C31" s="453">
        <f t="shared" si="14"/>
        <v>0.31</v>
      </c>
      <c r="E31" s="1" t="s">
        <v>147</v>
      </c>
      <c r="F31" s="447">
        <f>'OLD Detailed Report'!AG140/'OLD Detailed Report'!AG141</f>
        <v>0.7131734007</v>
      </c>
    </row>
    <row r="32">
      <c r="B32" s="1" t="s">
        <v>151</v>
      </c>
      <c r="C32" s="446">
        <f>SUM(C21:C31)</f>
        <v>146.5870452</v>
      </c>
      <c r="E32" s="1" t="s">
        <v>106</v>
      </c>
      <c r="F32" s="447">
        <f>1-F31</f>
        <v>0.2868265993</v>
      </c>
    </row>
    <row r="34">
      <c r="B34" s="401" t="s">
        <v>97</v>
      </c>
      <c r="E34" s="401" t="s">
        <v>101</v>
      </c>
    </row>
    <row r="35">
      <c r="B35" s="1" t="s">
        <v>488</v>
      </c>
      <c r="C35" s="454">
        <v>0.029</v>
      </c>
      <c r="E35" s="1" t="s">
        <v>114</v>
      </c>
      <c r="F35" s="455">
        <v>10.0</v>
      </c>
    </row>
    <row r="36">
      <c r="B36" s="1" t="s">
        <v>124</v>
      </c>
      <c r="C36" s="456">
        <v>0.034</v>
      </c>
      <c r="E36" s="1" t="s">
        <v>126</v>
      </c>
      <c r="F36" s="455">
        <v>20.0</v>
      </c>
    </row>
    <row r="37">
      <c r="B37" s="1" t="s">
        <v>132</v>
      </c>
      <c r="C37" s="456">
        <v>0.075</v>
      </c>
      <c r="E37" s="1" t="s">
        <v>135</v>
      </c>
      <c r="F37" s="455">
        <v>20.0</v>
      </c>
    </row>
    <row r="38">
      <c r="B38" s="1" t="s">
        <v>139</v>
      </c>
      <c r="C38" s="457">
        <v>0.00125</v>
      </c>
      <c r="E38" s="1" t="s">
        <v>140</v>
      </c>
      <c r="F38" s="458">
        <v>1.0</v>
      </c>
    </row>
    <row r="39">
      <c r="B39" s="1" t="s">
        <v>145</v>
      </c>
      <c r="C39" s="459">
        <v>0.003464</v>
      </c>
      <c r="F39" s="460"/>
    </row>
    <row r="40">
      <c r="B40" s="1" t="s">
        <v>150</v>
      </c>
      <c r="C40" s="456">
        <v>0.075</v>
      </c>
      <c r="F40" s="461"/>
    </row>
    <row r="41">
      <c r="B41" s="1" t="s">
        <v>156</v>
      </c>
      <c r="C41" s="456">
        <v>0.025</v>
      </c>
      <c r="F41" s="461"/>
    </row>
    <row r="42">
      <c r="F42" s="461"/>
    </row>
    <row r="43">
      <c r="F43" s="461"/>
    </row>
    <row r="44">
      <c r="F44" s="461"/>
    </row>
  </sheetData>
  <mergeCells count="2">
    <mergeCell ref="B1:F1"/>
    <mergeCell ref="J3:K3"/>
  </mergeCells>
  <hyperlinks>
    <hyperlink r:id="rId4" location="gid=1038709083" ref="E2"/>
    <hyperlink r:id="rId5" location="gid=1424197335" ref="C3"/>
    <hyperlink r:id="rId6" ref="C12"/>
  </hyperlinks>
  <drawing r:id="rId7"/>
  <legacy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463" t="s">
        <v>494</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464"/>
      <c r="AN1" s="464"/>
      <c r="AO1" s="464"/>
      <c r="AP1" s="464"/>
      <c r="AQ1" s="464"/>
      <c r="AR1" s="464"/>
      <c r="AS1" s="464"/>
      <c r="AT1" s="464"/>
      <c r="AU1" s="464"/>
      <c r="AV1" s="464"/>
      <c r="AW1" s="464"/>
      <c r="AX1" s="464"/>
      <c r="AY1" s="464"/>
      <c r="AZ1" s="464"/>
      <c r="BA1" s="464"/>
      <c r="BB1" s="464"/>
      <c r="BC1" s="464"/>
      <c r="BD1" s="464"/>
      <c r="BE1" s="464"/>
      <c r="BF1" s="464"/>
      <c r="BG1" s="464"/>
      <c r="BH1" s="464"/>
      <c r="BI1" s="464"/>
      <c r="BJ1" s="464"/>
      <c r="BK1" s="464"/>
      <c r="BL1" s="464"/>
      <c r="BM1" s="464"/>
    </row>
    <row r="2">
      <c r="A2" s="464"/>
      <c r="B2" s="464"/>
      <c r="C2" s="464"/>
      <c r="D2" s="464"/>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c r="AG2" s="464"/>
      <c r="AH2" s="464"/>
      <c r="AI2" s="464"/>
      <c r="AJ2" s="464"/>
      <c r="AK2" s="464"/>
      <c r="AL2" s="464"/>
      <c r="AM2" s="464"/>
      <c r="AN2" s="464"/>
      <c r="AO2" s="464"/>
      <c r="AP2" s="464"/>
      <c r="AQ2" s="464"/>
      <c r="AR2" s="464"/>
      <c r="AS2" s="464"/>
      <c r="AT2" s="464"/>
      <c r="AU2" s="464"/>
      <c r="AV2" s="464"/>
      <c r="AW2" s="464"/>
      <c r="AX2" s="464"/>
      <c r="AY2" s="464"/>
      <c r="AZ2" s="464"/>
      <c r="BA2" s="464"/>
      <c r="BB2" s="464"/>
      <c r="BC2" s="464"/>
      <c r="BD2" s="464"/>
      <c r="BE2" s="464"/>
      <c r="BF2" s="464"/>
      <c r="BG2" s="464"/>
      <c r="BH2" s="464"/>
      <c r="BI2" s="464"/>
      <c r="BJ2" s="464"/>
      <c r="BK2" s="464"/>
      <c r="BL2" s="464"/>
      <c r="BM2" s="464"/>
    </row>
    <row r="3">
      <c r="A3" s="466" t="s">
        <v>497</v>
      </c>
      <c r="B3" s="464"/>
      <c r="C3" s="464"/>
      <c r="D3" s="464"/>
      <c r="E3" s="464"/>
      <c r="F3" s="464"/>
      <c r="G3" s="464"/>
      <c r="H3" s="464"/>
      <c r="I3" s="464"/>
      <c r="J3" s="464"/>
      <c r="K3" s="464"/>
      <c r="L3" s="464"/>
      <c r="M3" s="464"/>
      <c r="N3" s="464"/>
      <c r="O3" s="464"/>
      <c r="P3" s="464"/>
      <c r="Q3" s="464"/>
      <c r="R3" s="464"/>
      <c r="S3" s="464"/>
      <c r="T3" s="464"/>
      <c r="U3" s="464"/>
      <c r="V3" s="464"/>
      <c r="W3" s="464"/>
      <c r="X3" s="464"/>
      <c r="Y3" s="464"/>
      <c r="Z3" s="464"/>
      <c r="AA3" s="464"/>
      <c r="AB3" s="464"/>
      <c r="AC3" s="464"/>
      <c r="AD3" s="464"/>
      <c r="AE3" s="464"/>
      <c r="AF3" s="464"/>
      <c r="AG3" s="464"/>
      <c r="AH3" s="464"/>
      <c r="AI3" s="464"/>
      <c r="AJ3" s="464"/>
      <c r="AK3" s="464"/>
      <c r="AL3" s="464"/>
      <c r="AM3" s="464"/>
      <c r="AN3" s="464"/>
      <c r="AO3" s="464"/>
      <c r="AP3" s="464"/>
      <c r="AQ3" s="464"/>
      <c r="AR3" s="464"/>
      <c r="AS3" s="464"/>
      <c r="AT3" s="464"/>
      <c r="AU3" s="464"/>
      <c r="AV3" s="464"/>
      <c r="AW3" s="464"/>
      <c r="AX3" s="464"/>
      <c r="AY3" s="464"/>
      <c r="AZ3" s="464"/>
      <c r="BA3" s="464"/>
      <c r="BB3" s="464"/>
      <c r="BC3" s="464"/>
      <c r="BD3" s="464"/>
      <c r="BE3" s="464"/>
      <c r="BF3" s="464"/>
      <c r="BG3" s="464"/>
      <c r="BH3" s="464"/>
      <c r="BI3" s="464"/>
      <c r="BJ3" s="464"/>
      <c r="BK3" s="464"/>
      <c r="BL3" s="464"/>
      <c r="BM3" s="464"/>
    </row>
    <row r="4">
      <c r="A4" s="464"/>
      <c r="B4" s="464"/>
      <c r="C4" s="464"/>
      <c r="D4" s="464"/>
      <c r="E4" s="464"/>
      <c r="F4" s="464"/>
      <c r="G4" s="464"/>
      <c r="H4" s="467">
        <v>1.7853918E7</v>
      </c>
      <c r="I4" s="464"/>
      <c r="J4" s="464"/>
      <c r="K4" s="464"/>
      <c r="L4" s="464"/>
      <c r="M4" s="464"/>
      <c r="N4" s="464"/>
      <c r="O4" s="464"/>
      <c r="P4" s="464"/>
      <c r="Q4" s="464"/>
      <c r="R4" s="464"/>
      <c r="S4" s="464"/>
      <c r="T4" s="464"/>
      <c r="U4" s="464"/>
      <c r="V4" s="464"/>
      <c r="W4" s="464"/>
      <c r="X4" s="464"/>
      <c r="Y4" s="464"/>
      <c r="Z4" s="464"/>
      <c r="AA4" s="464"/>
      <c r="AB4" s="464"/>
      <c r="AC4" s="464"/>
      <c r="AD4" s="464"/>
      <c r="AE4" s="464"/>
      <c r="AF4" s="464"/>
      <c r="AG4" s="464"/>
      <c r="AH4" s="464"/>
      <c r="AI4" s="464"/>
      <c r="AJ4" s="464"/>
      <c r="AK4" s="464"/>
      <c r="AL4" s="464"/>
      <c r="AM4" s="464"/>
      <c r="AN4" s="464"/>
      <c r="AO4" s="464"/>
      <c r="AP4" s="464"/>
      <c r="AQ4" s="464"/>
      <c r="AR4" s="464"/>
      <c r="AS4" s="464"/>
      <c r="AT4" s="464"/>
      <c r="AU4" s="464"/>
      <c r="AV4" s="464"/>
      <c r="AW4" s="464"/>
      <c r="AX4" s="464"/>
      <c r="AY4" s="464"/>
      <c r="AZ4" s="464"/>
      <c r="BA4" s="464"/>
      <c r="BB4" s="464"/>
      <c r="BC4" s="464"/>
      <c r="BD4" s="464"/>
      <c r="BE4" s="464"/>
      <c r="BF4" s="464"/>
      <c r="BG4" s="464"/>
      <c r="BH4" s="464"/>
      <c r="BI4" s="464"/>
      <c r="BJ4" s="464"/>
      <c r="BK4" s="464"/>
      <c r="BL4" s="464"/>
      <c r="BM4" s="464"/>
    </row>
    <row r="5">
      <c r="A5" s="469" t="s">
        <v>498</v>
      </c>
      <c r="B5" s="464"/>
      <c r="C5" s="464"/>
      <c r="D5" s="464"/>
      <c r="E5" s="464"/>
      <c r="F5" s="464"/>
      <c r="G5" s="464"/>
      <c r="H5" s="470"/>
      <c r="I5" s="464"/>
      <c r="J5" s="464"/>
      <c r="K5" s="464"/>
      <c r="L5" s="464"/>
      <c r="M5" s="464"/>
      <c r="N5" s="464"/>
      <c r="O5" s="464"/>
      <c r="P5" s="464"/>
      <c r="Q5" s="464"/>
      <c r="R5" s="464"/>
      <c r="S5" s="464"/>
      <c r="T5" s="464"/>
      <c r="U5" s="464"/>
      <c r="V5" s="464"/>
      <c r="W5" s="464"/>
      <c r="X5" s="464"/>
      <c r="Y5" s="464"/>
      <c r="Z5" s="464"/>
      <c r="AA5" s="464"/>
      <c r="AB5" s="464"/>
      <c r="AC5" s="464"/>
      <c r="AD5" s="464"/>
      <c r="AE5" s="464"/>
      <c r="AF5" s="464"/>
      <c r="AG5" s="464"/>
      <c r="AH5" s="464"/>
      <c r="AI5" s="464"/>
      <c r="AJ5" s="464"/>
      <c r="AK5" s="464"/>
      <c r="AL5" s="464"/>
      <c r="AM5" s="464"/>
      <c r="AN5" s="464"/>
      <c r="AO5" s="464"/>
      <c r="AP5" s="464"/>
      <c r="AQ5" s="464"/>
      <c r="AR5" s="464"/>
      <c r="AS5" s="464"/>
      <c r="AT5" s="464"/>
      <c r="AU5" s="464"/>
      <c r="AV5" s="464"/>
      <c r="AW5" s="464"/>
      <c r="AX5" s="464"/>
      <c r="AY5" s="464"/>
      <c r="AZ5" s="464"/>
      <c r="BA5" s="464"/>
      <c r="BB5" s="464"/>
      <c r="BC5" s="464"/>
      <c r="BD5" s="464"/>
      <c r="BE5" s="464"/>
      <c r="BF5" s="464"/>
      <c r="BG5" s="464"/>
      <c r="BH5" s="464"/>
      <c r="BI5" s="464"/>
      <c r="BJ5" s="464"/>
      <c r="BK5" s="464"/>
      <c r="BL5" s="464"/>
      <c r="BM5" s="464"/>
    </row>
    <row r="6">
      <c r="A6" s="473" t="s">
        <v>499</v>
      </c>
      <c r="B6" s="474"/>
      <c r="C6" s="474"/>
      <c r="D6" s="474"/>
      <c r="E6" s="474"/>
      <c r="F6" s="474"/>
      <c r="G6" s="475"/>
      <c r="H6" s="470"/>
      <c r="I6" s="464"/>
      <c r="J6" s="464"/>
      <c r="K6" s="464"/>
      <c r="L6" s="464"/>
      <c r="M6" s="464"/>
      <c r="N6" s="464"/>
      <c r="O6" s="464"/>
      <c r="P6" s="464"/>
      <c r="Q6" s="464"/>
      <c r="R6" s="464"/>
      <c r="S6" s="464"/>
      <c r="T6" s="464"/>
      <c r="U6" s="464"/>
      <c r="V6" s="464"/>
      <c r="W6" s="464"/>
      <c r="X6" s="464"/>
      <c r="Y6" s="464"/>
      <c r="Z6" s="464"/>
      <c r="AA6" s="464"/>
      <c r="AB6" s="464"/>
      <c r="AC6" s="464"/>
      <c r="AD6" s="464"/>
      <c r="AE6" s="464"/>
      <c r="AF6" s="464"/>
      <c r="AG6" s="464"/>
      <c r="AH6" s="464"/>
      <c r="AI6" s="464"/>
      <c r="AJ6" s="464"/>
      <c r="AK6" s="464"/>
      <c r="AL6" s="464"/>
      <c r="AM6" s="464"/>
      <c r="AN6" s="464"/>
      <c r="AO6" s="464"/>
      <c r="AP6" s="464"/>
      <c r="AQ6" s="464"/>
      <c r="AR6" s="464"/>
      <c r="AS6" s="464"/>
      <c r="AT6" s="464"/>
      <c r="AU6" s="464"/>
      <c r="AV6" s="464"/>
      <c r="AW6" s="464"/>
      <c r="AX6" s="464"/>
      <c r="AY6" s="464"/>
      <c r="AZ6" s="464"/>
      <c r="BA6" s="464"/>
      <c r="BB6" s="464"/>
      <c r="BC6" s="464"/>
      <c r="BD6" s="464"/>
      <c r="BE6" s="464"/>
      <c r="BF6" s="464"/>
      <c r="BG6" s="464"/>
      <c r="BH6" s="464"/>
      <c r="BI6" s="464"/>
      <c r="BJ6" s="464"/>
      <c r="BK6" s="464"/>
      <c r="BL6" s="464"/>
      <c r="BM6" s="464"/>
    </row>
    <row r="7">
      <c r="A7" s="477"/>
      <c r="B7" s="478"/>
      <c r="C7" s="478"/>
      <c r="D7" s="478"/>
      <c r="E7" s="478"/>
      <c r="F7" s="478"/>
      <c r="G7" s="479"/>
      <c r="H7" s="464"/>
      <c r="I7" s="464"/>
      <c r="J7" s="464"/>
      <c r="K7" s="464"/>
      <c r="L7" s="464"/>
      <c r="M7" s="464"/>
      <c r="N7" s="464"/>
      <c r="O7" s="464"/>
      <c r="P7" s="464"/>
      <c r="Q7" s="464"/>
      <c r="R7" s="464"/>
      <c r="S7" s="464"/>
      <c r="T7" s="464"/>
      <c r="U7" s="464"/>
      <c r="V7" s="464"/>
      <c r="W7" s="464"/>
      <c r="X7" s="464"/>
      <c r="Y7" s="464"/>
      <c r="Z7" s="464"/>
      <c r="AA7" s="464"/>
      <c r="AB7" s="464"/>
      <c r="AC7" s="464"/>
      <c r="AD7" s="464"/>
      <c r="AE7" s="464"/>
      <c r="AF7" s="464"/>
      <c r="AG7" s="464"/>
      <c r="AH7" s="464"/>
      <c r="AI7" s="464"/>
      <c r="AJ7" s="464"/>
      <c r="AK7" s="464"/>
      <c r="AL7" s="464"/>
      <c r="AM7" s="464"/>
      <c r="AN7" s="464"/>
      <c r="AO7" s="464"/>
      <c r="AP7" s="464"/>
      <c r="AQ7" s="464"/>
      <c r="AR7" s="464"/>
      <c r="AS7" s="464"/>
      <c r="AT7" s="464"/>
      <c r="AU7" s="464"/>
      <c r="AV7" s="464"/>
      <c r="AW7" s="464"/>
      <c r="AX7" s="464"/>
      <c r="AY7" s="464"/>
      <c r="AZ7" s="464"/>
      <c r="BA7" s="464"/>
      <c r="BB7" s="464"/>
      <c r="BC7" s="464"/>
      <c r="BD7" s="464"/>
      <c r="BE7" s="464"/>
      <c r="BF7" s="464"/>
      <c r="BG7" s="464"/>
      <c r="BH7" s="464"/>
      <c r="BI7" s="464"/>
      <c r="BJ7" s="464"/>
      <c r="BK7" s="464"/>
      <c r="BL7" s="464"/>
      <c r="BM7" s="464"/>
    </row>
    <row r="8">
      <c r="A8" s="473" t="s">
        <v>502</v>
      </c>
      <c r="B8" s="474"/>
      <c r="C8" s="474"/>
      <c r="D8" s="474"/>
      <c r="E8" s="474"/>
      <c r="F8" s="474"/>
      <c r="G8" s="475"/>
      <c r="H8" s="484" t="s">
        <v>503</v>
      </c>
      <c r="I8" s="464"/>
      <c r="J8" s="464"/>
      <c r="K8" s="464"/>
      <c r="L8" s="464"/>
      <c r="M8" s="464"/>
      <c r="N8" s="464"/>
      <c r="O8" s="464"/>
      <c r="P8" s="464"/>
      <c r="Q8" s="464"/>
      <c r="R8" s="464"/>
      <c r="S8" s="464"/>
      <c r="T8" s="464"/>
      <c r="U8" s="464"/>
      <c r="V8" s="464"/>
      <c r="W8" s="464"/>
      <c r="X8" s="464"/>
      <c r="Y8" s="464"/>
      <c r="Z8" s="464"/>
      <c r="AA8" s="464"/>
      <c r="AB8" s="464"/>
      <c r="AC8" s="464"/>
      <c r="AD8" s="464"/>
      <c r="AE8" s="464"/>
      <c r="AF8" s="464"/>
      <c r="AG8" s="464"/>
      <c r="AH8" s="464"/>
      <c r="AI8" s="464"/>
      <c r="AJ8" s="464"/>
      <c r="AK8" s="464"/>
      <c r="AL8" s="464"/>
      <c r="AM8" s="464"/>
      <c r="AN8" s="464"/>
      <c r="AO8" s="464"/>
      <c r="AP8" s="464"/>
      <c r="AQ8" s="464"/>
      <c r="AR8" s="464"/>
      <c r="AS8" s="464"/>
      <c r="AT8" s="464"/>
      <c r="AU8" s="464"/>
      <c r="AV8" s="464"/>
      <c r="AW8" s="464"/>
      <c r="AX8" s="464"/>
      <c r="AY8" s="464"/>
      <c r="AZ8" s="464"/>
      <c r="BA8" s="464"/>
      <c r="BB8" s="464"/>
      <c r="BC8" s="464"/>
      <c r="BD8" s="464"/>
      <c r="BE8" s="464"/>
      <c r="BF8" s="464"/>
      <c r="BG8" s="464"/>
      <c r="BH8" s="464"/>
      <c r="BI8" s="464"/>
      <c r="BJ8" s="464"/>
      <c r="BK8" s="464"/>
      <c r="BL8" s="464"/>
      <c r="BM8" s="464"/>
    </row>
    <row r="9">
      <c r="A9" s="477"/>
      <c r="B9" s="478"/>
      <c r="C9" s="478"/>
      <c r="D9" s="478"/>
      <c r="E9" s="478"/>
      <c r="F9" s="478"/>
      <c r="G9" s="479"/>
      <c r="H9" s="464"/>
      <c r="I9" s="464"/>
      <c r="J9" s="464"/>
      <c r="K9" s="464"/>
      <c r="L9" s="464"/>
      <c r="M9" s="464"/>
      <c r="N9" s="464"/>
      <c r="O9" s="464"/>
      <c r="P9" s="464"/>
      <c r="Q9" s="464"/>
      <c r="R9" s="464"/>
      <c r="S9" s="464"/>
      <c r="T9" s="464"/>
      <c r="U9" s="464"/>
      <c r="V9" s="464"/>
      <c r="W9" s="464"/>
      <c r="X9" s="464"/>
      <c r="Y9" s="464"/>
      <c r="Z9" s="464"/>
      <c r="AA9" s="464"/>
      <c r="AB9" s="464"/>
      <c r="AC9" s="464"/>
      <c r="AD9" s="464"/>
      <c r="AE9" s="464"/>
      <c r="AF9" s="464"/>
      <c r="AG9" s="464"/>
      <c r="AH9" s="464"/>
      <c r="AI9" s="464"/>
      <c r="AJ9" s="464"/>
      <c r="AK9" s="464"/>
      <c r="AL9" s="464"/>
      <c r="AM9" s="464"/>
      <c r="AN9" s="464"/>
      <c r="AO9" s="464"/>
      <c r="AP9" s="464"/>
      <c r="AQ9" s="464"/>
      <c r="AR9" s="464"/>
      <c r="AS9" s="464"/>
      <c r="AT9" s="464"/>
      <c r="AU9" s="464"/>
      <c r="AV9" s="464"/>
      <c r="AW9" s="464"/>
      <c r="AX9" s="464"/>
      <c r="AY9" s="464"/>
      <c r="AZ9" s="464"/>
      <c r="BA9" s="464"/>
      <c r="BB9" s="464"/>
      <c r="BC9" s="464"/>
      <c r="BD9" s="464"/>
      <c r="BE9" s="464"/>
      <c r="BF9" s="464"/>
      <c r="BG9" s="464"/>
      <c r="BH9" s="464"/>
      <c r="BI9" s="464"/>
      <c r="BJ9" s="464"/>
      <c r="BK9" s="464"/>
      <c r="BL9" s="464"/>
      <c r="BM9" s="464"/>
    </row>
    <row r="10">
      <c r="A10" s="473" t="s">
        <v>505</v>
      </c>
      <c r="B10" s="474"/>
      <c r="C10" s="474"/>
      <c r="D10" s="474"/>
      <c r="E10" s="474"/>
      <c r="F10" s="474"/>
      <c r="G10" s="475"/>
      <c r="H10" s="464"/>
      <c r="I10" s="464"/>
      <c r="J10" s="464"/>
      <c r="K10" s="464"/>
      <c r="L10" s="464"/>
      <c r="M10" s="464"/>
      <c r="N10" s="464"/>
      <c r="O10" s="464"/>
      <c r="P10" s="464"/>
      <c r="Q10" s="464"/>
      <c r="R10" s="464"/>
      <c r="S10" s="464"/>
      <c r="T10" s="464"/>
      <c r="U10" s="464"/>
      <c r="V10" s="464"/>
      <c r="W10" s="464"/>
      <c r="X10" s="464"/>
      <c r="Y10" s="464"/>
      <c r="Z10" s="464"/>
      <c r="AA10" s="464"/>
      <c r="AB10" s="464"/>
      <c r="AC10" s="464"/>
      <c r="AD10" s="464"/>
      <c r="AE10" s="464"/>
      <c r="AF10" s="464"/>
      <c r="AG10" s="464"/>
      <c r="AH10" s="464"/>
      <c r="AI10" s="464"/>
      <c r="AJ10" s="464"/>
      <c r="AK10" s="464"/>
      <c r="AL10" s="464"/>
      <c r="AM10" s="464"/>
      <c r="AN10" s="464"/>
      <c r="AO10" s="464"/>
      <c r="AP10" s="464"/>
      <c r="AQ10" s="464"/>
      <c r="AR10" s="464"/>
      <c r="AS10" s="464"/>
      <c r="AT10" s="464"/>
      <c r="AU10" s="464"/>
      <c r="AV10" s="464"/>
      <c r="AW10" s="464"/>
      <c r="AX10" s="464"/>
      <c r="AY10" s="464"/>
      <c r="AZ10" s="464"/>
      <c r="BA10" s="464"/>
      <c r="BB10" s="464"/>
      <c r="BC10" s="464"/>
      <c r="BD10" s="464"/>
      <c r="BE10" s="464"/>
      <c r="BF10" s="464"/>
      <c r="BG10" s="464"/>
      <c r="BH10" s="464"/>
      <c r="BI10" s="464"/>
      <c r="BJ10" s="464"/>
      <c r="BK10" s="464"/>
      <c r="BL10" s="464"/>
      <c r="BM10" s="464"/>
    </row>
    <row r="11">
      <c r="A11" s="477"/>
      <c r="B11" s="478"/>
      <c r="C11" s="478"/>
      <c r="D11" s="478"/>
      <c r="E11" s="478"/>
      <c r="F11" s="478"/>
      <c r="G11" s="479"/>
      <c r="H11" s="464"/>
      <c r="I11" s="464"/>
      <c r="J11" s="464"/>
      <c r="K11" s="464"/>
      <c r="L11" s="464"/>
      <c r="M11" s="464"/>
      <c r="N11" s="464"/>
      <c r="O11" s="464"/>
      <c r="P11" s="464"/>
      <c r="Q11" s="464"/>
      <c r="R11" s="464"/>
      <c r="S11" s="464"/>
      <c r="T11" s="464"/>
      <c r="U11" s="464"/>
      <c r="V11" s="464"/>
      <c r="W11" s="464"/>
      <c r="X11" s="464"/>
      <c r="Y11" s="464"/>
      <c r="Z11" s="464"/>
      <c r="AA11" s="464"/>
      <c r="AB11" s="464"/>
      <c r="AC11" s="464"/>
      <c r="AD11" s="464"/>
      <c r="AE11" s="464"/>
      <c r="AF11" s="464"/>
      <c r="AG11" s="464"/>
      <c r="AH11" s="464"/>
      <c r="AI11" s="464"/>
      <c r="AJ11" s="464"/>
      <c r="AK11" s="464"/>
      <c r="AL11" s="464"/>
      <c r="AM11" s="464"/>
      <c r="AN11" s="464"/>
      <c r="AO11" s="464"/>
      <c r="AP11" s="464"/>
      <c r="AQ11" s="464"/>
      <c r="AR11" s="464"/>
      <c r="AS11" s="464"/>
      <c r="AT11" s="464"/>
      <c r="AU11" s="464"/>
      <c r="AV11" s="464"/>
      <c r="AW11" s="464"/>
      <c r="AX11" s="464"/>
      <c r="AY11" s="464"/>
      <c r="AZ11" s="464"/>
      <c r="BA11" s="464"/>
      <c r="BB11" s="464"/>
      <c r="BC11" s="464"/>
      <c r="BD11" s="464"/>
      <c r="BE11" s="464"/>
      <c r="BF11" s="464"/>
      <c r="BG11" s="464"/>
      <c r="BH11" s="464"/>
      <c r="BI11" s="464"/>
      <c r="BJ11" s="464"/>
      <c r="BK11" s="464"/>
      <c r="BL11" s="464"/>
      <c r="BM11" s="464"/>
    </row>
    <row r="12">
      <c r="A12" s="464"/>
      <c r="B12" s="464"/>
      <c r="C12" s="464"/>
      <c r="D12" s="464"/>
      <c r="E12" s="464"/>
      <c r="F12" s="464"/>
      <c r="G12" s="464"/>
      <c r="H12" s="464"/>
      <c r="I12" s="464"/>
      <c r="J12" s="464"/>
      <c r="K12" s="464"/>
      <c r="L12" s="464"/>
      <c r="M12" s="464"/>
      <c r="N12" s="464"/>
      <c r="O12" s="464"/>
      <c r="P12" s="464"/>
      <c r="Q12" s="464"/>
      <c r="R12" s="464"/>
      <c r="S12" s="464"/>
      <c r="T12" s="464"/>
      <c r="U12" s="464"/>
      <c r="V12" s="464"/>
      <c r="W12" s="464"/>
      <c r="X12" s="464"/>
      <c r="Y12" s="464"/>
      <c r="Z12" s="464"/>
      <c r="AA12" s="464"/>
      <c r="AB12" s="464"/>
      <c r="AC12" s="464"/>
      <c r="AD12" s="464"/>
      <c r="AE12" s="464"/>
      <c r="AF12" s="464"/>
      <c r="AG12" s="464"/>
      <c r="AH12" s="464"/>
      <c r="AI12" s="464"/>
      <c r="AJ12" s="464"/>
      <c r="AK12" s="464"/>
      <c r="AL12" s="464"/>
      <c r="AM12" s="464"/>
      <c r="AN12" s="464"/>
      <c r="AO12" s="464"/>
      <c r="AP12" s="464"/>
      <c r="AQ12" s="464"/>
      <c r="AR12" s="464"/>
      <c r="AS12" s="464"/>
      <c r="AT12" s="464"/>
      <c r="AU12" s="464"/>
      <c r="AV12" s="464"/>
      <c r="AW12" s="464"/>
      <c r="AX12" s="464"/>
      <c r="AY12" s="464"/>
      <c r="AZ12" s="464"/>
      <c r="BA12" s="464"/>
      <c r="BB12" s="464"/>
      <c r="BC12" s="464"/>
      <c r="BD12" s="464"/>
      <c r="BE12" s="464"/>
      <c r="BF12" s="464"/>
      <c r="BG12" s="464"/>
      <c r="BH12" s="464"/>
      <c r="BI12" s="464"/>
      <c r="BJ12" s="464"/>
      <c r="BK12" s="464"/>
      <c r="BL12" s="464"/>
      <c r="BM12" s="464"/>
    </row>
    <row r="13">
      <c r="A13" s="473" t="s">
        <v>506</v>
      </c>
      <c r="B13" s="474"/>
      <c r="C13" s="474"/>
      <c r="D13" s="474"/>
      <c r="E13" s="474"/>
      <c r="F13" s="474"/>
      <c r="G13" s="474"/>
      <c r="H13" s="475"/>
      <c r="I13" s="464"/>
      <c r="J13" s="464"/>
      <c r="K13" s="464"/>
      <c r="L13" s="464"/>
      <c r="M13" s="464"/>
      <c r="N13" s="464"/>
      <c r="O13" s="464"/>
      <c r="P13" s="464"/>
      <c r="Q13" s="464"/>
      <c r="R13" s="464"/>
      <c r="S13" s="464"/>
      <c r="T13" s="464"/>
      <c r="U13" s="464"/>
      <c r="V13" s="464"/>
      <c r="W13" s="464"/>
      <c r="X13" s="464"/>
      <c r="Y13" s="464"/>
      <c r="Z13" s="464"/>
      <c r="AA13" s="464"/>
      <c r="AB13" s="464"/>
      <c r="AC13" s="464"/>
      <c r="AD13" s="464"/>
      <c r="AE13" s="464"/>
      <c r="AF13" s="464"/>
      <c r="AG13" s="464"/>
      <c r="AH13" s="464"/>
      <c r="AI13" s="464"/>
      <c r="AJ13" s="464"/>
      <c r="AK13" s="464"/>
      <c r="AL13" s="464"/>
      <c r="AM13" s="464"/>
      <c r="AN13" s="464"/>
      <c r="AO13" s="464"/>
      <c r="AP13" s="464"/>
      <c r="AQ13" s="464"/>
      <c r="AR13" s="464"/>
      <c r="AS13" s="464"/>
      <c r="AT13" s="464"/>
      <c r="AU13" s="464"/>
      <c r="AV13" s="464"/>
      <c r="AW13" s="464"/>
      <c r="AX13" s="464"/>
      <c r="AY13" s="464"/>
      <c r="AZ13" s="464"/>
      <c r="BA13" s="464"/>
      <c r="BB13" s="464"/>
      <c r="BC13" s="464"/>
      <c r="BD13" s="464"/>
      <c r="BE13" s="464"/>
      <c r="BF13" s="464"/>
      <c r="BG13" s="464"/>
      <c r="BH13" s="464"/>
      <c r="BI13" s="464"/>
      <c r="BJ13" s="464"/>
      <c r="BK13" s="464"/>
      <c r="BL13" s="464"/>
      <c r="BM13" s="464"/>
    </row>
    <row r="14">
      <c r="A14" s="486"/>
      <c r="H14" s="487"/>
      <c r="I14" s="464"/>
      <c r="J14" s="464"/>
      <c r="K14" s="464"/>
      <c r="L14" s="464"/>
      <c r="M14" s="464"/>
      <c r="N14" s="464"/>
      <c r="O14" s="464"/>
      <c r="P14" s="464"/>
      <c r="Q14" s="464"/>
      <c r="R14" s="464"/>
      <c r="S14" s="464"/>
      <c r="T14" s="464"/>
      <c r="U14" s="464"/>
      <c r="V14" s="464"/>
      <c r="W14" s="464"/>
      <c r="X14" s="464"/>
      <c r="Y14" s="464"/>
      <c r="Z14" s="464"/>
      <c r="AA14" s="464"/>
      <c r="AB14" s="464"/>
      <c r="AC14" s="464"/>
      <c r="AD14" s="464"/>
      <c r="AE14" s="464"/>
      <c r="AF14" s="464"/>
      <c r="AG14" s="464"/>
      <c r="AH14" s="464"/>
      <c r="AI14" s="464"/>
      <c r="AJ14" s="464"/>
      <c r="AK14" s="464"/>
      <c r="AL14" s="464"/>
      <c r="AM14" s="464"/>
      <c r="AN14" s="464"/>
      <c r="AO14" s="464"/>
      <c r="AP14" s="464"/>
      <c r="AQ14" s="464"/>
      <c r="AR14" s="464"/>
      <c r="AS14" s="464"/>
      <c r="AT14" s="464"/>
      <c r="AU14" s="464"/>
      <c r="AV14" s="464"/>
      <c r="AW14" s="464"/>
      <c r="AX14" s="464"/>
      <c r="AY14" s="464"/>
      <c r="AZ14" s="464"/>
      <c r="BA14" s="464"/>
      <c r="BB14" s="464"/>
      <c r="BC14" s="464"/>
      <c r="BD14" s="464"/>
      <c r="BE14" s="464"/>
      <c r="BF14" s="464"/>
      <c r="BG14" s="464"/>
      <c r="BH14" s="464"/>
      <c r="BI14" s="464"/>
      <c r="BJ14" s="464"/>
      <c r="BK14" s="464"/>
      <c r="BL14" s="464"/>
      <c r="BM14" s="464"/>
    </row>
    <row r="15">
      <c r="A15" s="477"/>
      <c r="B15" s="478"/>
      <c r="C15" s="478"/>
      <c r="D15" s="478"/>
      <c r="E15" s="478"/>
      <c r="F15" s="478"/>
      <c r="G15" s="478"/>
      <c r="H15" s="479"/>
      <c r="I15" s="464"/>
      <c r="J15" s="464"/>
      <c r="K15" s="464"/>
      <c r="L15" s="464"/>
      <c r="M15" s="464"/>
      <c r="N15" s="464"/>
      <c r="O15" s="464"/>
      <c r="P15" s="464"/>
      <c r="Q15" s="464"/>
      <c r="R15" s="464"/>
      <c r="S15" s="464"/>
      <c r="T15" s="464"/>
      <c r="U15" s="464"/>
      <c r="V15" s="464"/>
      <c r="W15" s="464"/>
      <c r="X15" s="464"/>
      <c r="Y15" s="464"/>
      <c r="Z15" s="464"/>
      <c r="AA15" s="464"/>
      <c r="AB15" s="464"/>
      <c r="AC15" s="464"/>
      <c r="AD15" s="464"/>
      <c r="AE15" s="464"/>
      <c r="AF15" s="464"/>
      <c r="AG15" s="464"/>
      <c r="AH15" s="464"/>
      <c r="AI15" s="464"/>
      <c r="AJ15" s="464"/>
      <c r="AK15" s="464"/>
      <c r="AL15" s="464"/>
      <c r="AM15" s="464"/>
      <c r="AN15" s="464"/>
      <c r="AO15" s="464"/>
      <c r="AP15" s="464"/>
      <c r="AQ15" s="464"/>
      <c r="AR15" s="464"/>
      <c r="AS15" s="464"/>
      <c r="AT15" s="464"/>
      <c r="AU15" s="464"/>
      <c r="AV15" s="464"/>
      <c r="AW15" s="464"/>
      <c r="AX15" s="464"/>
      <c r="AY15" s="464"/>
      <c r="AZ15" s="464"/>
      <c r="BA15" s="464"/>
      <c r="BB15" s="464"/>
      <c r="BC15" s="464"/>
      <c r="BD15" s="464"/>
      <c r="BE15" s="464"/>
      <c r="BF15" s="464"/>
      <c r="BG15" s="464"/>
      <c r="BH15" s="464"/>
      <c r="BI15" s="464"/>
      <c r="BJ15" s="464"/>
      <c r="BK15" s="464"/>
      <c r="BL15" s="464"/>
      <c r="BM15" s="464"/>
    </row>
    <row r="16">
      <c r="A16" s="473" t="s">
        <v>507</v>
      </c>
      <c r="B16" s="474"/>
      <c r="C16" s="474"/>
      <c r="D16" s="474"/>
      <c r="E16" s="474"/>
      <c r="F16" s="474"/>
      <c r="G16" s="474"/>
      <c r="H16" s="475"/>
      <c r="I16" s="464"/>
      <c r="J16" s="464"/>
      <c r="K16" s="464"/>
      <c r="L16" s="464"/>
      <c r="M16" s="464"/>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c r="AK16" s="464"/>
      <c r="AL16" s="464"/>
      <c r="AM16" s="464"/>
      <c r="AN16" s="464"/>
      <c r="AO16" s="464"/>
      <c r="AP16" s="464"/>
      <c r="AQ16" s="464"/>
      <c r="AR16" s="464"/>
      <c r="AS16" s="464"/>
      <c r="AT16" s="464"/>
      <c r="AU16" s="464"/>
      <c r="AV16" s="464"/>
      <c r="AW16" s="464"/>
      <c r="AX16" s="464"/>
      <c r="AY16" s="464"/>
      <c r="AZ16" s="464"/>
      <c r="BA16" s="464"/>
      <c r="BB16" s="464"/>
      <c r="BC16" s="464"/>
      <c r="BD16" s="464"/>
      <c r="BE16" s="464"/>
      <c r="BF16" s="464"/>
      <c r="BG16" s="464"/>
      <c r="BH16" s="464"/>
      <c r="BI16" s="464"/>
      <c r="BJ16" s="464"/>
      <c r="BK16" s="464"/>
      <c r="BL16" s="464"/>
      <c r="BM16" s="464"/>
    </row>
    <row r="17">
      <c r="A17" s="477"/>
      <c r="B17" s="478"/>
      <c r="C17" s="478"/>
      <c r="D17" s="478"/>
      <c r="E17" s="478"/>
      <c r="F17" s="478"/>
      <c r="G17" s="478"/>
      <c r="H17" s="479"/>
      <c r="I17" s="464"/>
      <c r="J17" s="464"/>
      <c r="K17" s="464"/>
      <c r="L17" s="464"/>
      <c r="M17" s="464"/>
      <c r="N17" s="464"/>
      <c r="O17" s="464"/>
      <c r="P17" s="464"/>
      <c r="Q17" s="464"/>
      <c r="R17" s="464"/>
      <c r="S17" s="464"/>
      <c r="T17" s="464"/>
      <c r="U17" s="464"/>
      <c r="V17" s="464"/>
      <c r="W17" s="464"/>
      <c r="X17" s="464"/>
      <c r="Y17" s="464"/>
      <c r="Z17" s="464"/>
      <c r="AA17" s="464"/>
      <c r="AB17" s="464"/>
      <c r="AC17" s="464"/>
      <c r="AD17" s="464"/>
      <c r="AE17" s="464"/>
      <c r="AF17" s="464"/>
      <c r="AG17" s="464"/>
      <c r="AH17" s="464"/>
      <c r="AI17" s="464"/>
      <c r="AJ17" s="464"/>
      <c r="AK17" s="464"/>
      <c r="AL17" s="464"/>
      <c r="AM17" s="464"/>
      <c r="AN17" s="464"/>
      <c r="AO17" s="464"/>
      <c r="AP17" s="464"/>
      <c r="AQ17" s="464"/>
      <c r="AR17" s="464"/>
      <c r="AS17" s="464"/>
      <c r="AT17" s="464"/>
      <c r="AU17" s="464"/>
      <c r="AV17" s="464"/>
      <c r="AW17" s="464"/>
      <c r="AX17" s="464"/>
      <c r="AY17" s="464"/>
      <c r="AZ17" s="464"/>
      <c r="BA17" s="464"/>
      <c r="BB17" s="464"/>
      <c r="BC17" s="464"/>
      <c r="BD17" s="464"/>
      <c r="BE17" s="464"/>
      <c r="BF17" s="464"/>
      <c r="BG17" s="464"/>
      <c r="BH17" s="464"/>
      <c r="BI17" s="464"/>
      <c r="BJ17" s="464"/>
      <c r="BK17" s="464"/>
      <c r="BL17" s="464"/>
      <c r="BM17" s="464"/>
    </row>
    <row r="18">
      <c r="A18" s="464"/>
      <c r="B18" s="464"/>
      <c r="C18" s="464"/>
      <c r="D18" s="464"/>
      <c r="E18" s="464"/>
      <c r="F18" s="464"/>
      <c r="G18" s="464"/>
      <c r="H18" s="464"/>
      <c r="I18" s="464"/>
      <c r="J18" s="464"/>
      <c r="K18" s="464"/>
      <c r="L18" s="464"/>
      <c r="M18" s="464"/>
      <c r="N18" s="464"/>
      <c r="O18" s="464"/>
      <c r="P18" s="464"/>
      <c r="Q18" s="464"/>
      <c r="R18" s="464"/>
      <c r="S18" s="464"/>
      <c r="T18" s="464"/>
      <c r="U18" s="464"/>
      <c r="V18" s="464"/>
      <c r="W18" s="464"/>
      <c r="X18" s="464"/>
      <c r="Y18" s="464"/>
      <c r="Z18" s="464"/>
      <c r="AA18" s="464"/>
      <c r="AB18" s="464"/>
      <c r="AC18" s="464"/>
      <c r="AD18" s="464"/>
      <c r="AE18" s="464"/>
      <c r="AF18" s="464"/>
      <c r="AG18" s="464"/>
      <c r="AH18" s="464"/>
      <c r="AI18" s="464"/>
      <c r="AJ18" s="464"/>
      <c r="AK18" s="464"/>
      <c r="AL18" s="464"/>
      <c r="AM18" s="464"/>
      <c r="AN18" s="464"/>
      <c r="AO18" s="464"/>
      <c r="AP18" s="464"/>
      <c r="AQ18" s="464"/>
      <c r="AR18" s="464"/>
      <c r="AS18" s="464"/>
      <c r="AT18" s="464"/>
      <c r="AU18" s="464"/>
      <c r="AV18" s="464"/>
      <c r="AW18" s="464"/>
      <c r="AX18" s="464"/>
      <c r="AY18" s="464"/>
      <c r="AZ18" s="464"/>
      <c r="BA18" s="464"/>
      <c r="BB18" s="464"/>
      <c r="BC18" s="464"/>
      <c r="BD18" s="464"/>
      <c r="BE18" s="464"/>
      <c r="BF18" s="464"/>
      <c r="BG18" s="464"/>
      <c r="BH18" s="464"/>
      <c r="BI18" s="464"/>
      <c r="BJ18" s="464"/>
      <c r="BK18" s="464"/>
      <c r="BL18" s="464"/>
      <c r="BM18" s="464"/>
    </row>
    <row r="19">
      <c r="A19" s="491" t="s">
        <v>510</v>
      </c>
      <c r="B19" s="492"/>
      <c r="C19" s="492"/>
      <c r="D19" s="491" t="s">
        <v>1</v>
      </c>
      <c r="E19" s="491" t="s">
        <v>2</v>
      </c>
      <c r="F19" s="492"/>
      <c r="G19" s="491" t="s">
        <v>3</v>
      </c>
      <c r="H19" s="491" t="s">
        <v>4</v>
      </c>
      <c r="I19" s="491" t="s">
        <v>5</v>
      </c>
      <c r="J19" s="491" t="s">
        <v>6</v>
      </c>
      <c r="K19" s="491" t="s">
        <v>7</v>
      </c>
      <c r="L19" s="491" t="s">
        <v>8</v>
      </c>
      <c r="M19" s="491" t="s">
        <v>9</v>
      </c>
      <c r="N19" s="491" t="s">
        <v>10</v>
      </c>
      <c r="O19" s="491" t="s">
        <v>11</v>
      </c>
      <c r="P19" s="492"/>
      <c r="Q19" s="491" t="s">
        <v>12</v>
      </c>
      <c r="R19" s="491" t="s">
        <v>13</v>
      </c>
      <c r="S19" s="491" t="s">
        <v>14</v>
      </c>
      <c r="T19" s="491" t="s">
        <v>15</v>
      </c>
      <c r="U19" s="491" t="s">
        <v>16</v>
      </c>
      <c r="V19" s="492"/>
      <c r="W19" s="491" t="s">
        <v>17</v>
      </c>
      <c r="X19" s="491" t="s">
        <v>18</v>
      </c>
      <c r="Y19" s="491" t="s">
        <v>19</v>
      </c>
      <c r="Z19" s="491" t="s">
        <v>20</v>
      </c>
      <c r="AA19" s="491" t="s">
        <v>21</v>
      </c>
      <c r="AB19" s="491" t="s">
        <v>22</v>
      </c>
      <c r="AC19" s="491" t="s">
        <v>24</v>
      </c>
      <c r="AD19" s="491" t="s">
        <v>25</v>
      </c>
      <c r="AE19" s="491" t="s">
        <v>26</v>
      </c>
      <c r="AF19" s="491" t="s">
        <v>27</v>
      </c>
      <c r="AG19" s="491" t="s">
        <v>28</v>
      </c>
      <c r="AH19" s="492"/>
      <c r="AI19" s="492"/>
      <c r="AJ19" s="491" t="s">
        <v>29</v>
      </c>
      <c r="AK19" s="491" t="s">
        <v>30</v>
      </c>
      <c r="AL19" s="491" t="s">
        <v>31</v>
      </c>
      <c r="AM19" s="492"/>
      <c r="AN19" s="491" t="s">
        <v>32</v>
      </c>
      <c r="AO19" s="491" t="s">
        <v>33</v>
      </c>
      <c r="AP19" s="491" t="s">
        <v>35</v>
      </c>
      <c r="AQ19" s="491" t="s">
        <v>36</v>
      </c>
      <c r="AR19" s="492"/>
      <c r="AS19" s="492"/>
      <c r="AT19" s="491" t="s">
        <v>37</v>
      </c>
      <c r="AU19" s="491" t="s">
        <v>38</v>
      </c>
      <c r="AV19" s="491" t="s">
        <v>39</v>
      </c>
      <c r="AW19" s="491" t="s">
        <v>511</v>
      </c>
      <c r="AX19" s="492"/>
      <c r="AY19" s="492"/>
      <c r="AZ19" s="492"/>
      <c r="BA19" s="492"/>
      <c r="BB19" s="492"/>
      <c r="BC19" s="492"/>
      <c r="BD19" s="492"/>
      <c r="BE19" s="492"/>
      <c r="BF19" s="492"/>
      <c r="BG19" s="492"/>
      <c r="BH19" s="492"/>
      <c r="BI19" s="492"/>
      <c r="BJ19" s="492"/>
      <c r="BK19" s="492"/>
      <c r="BL19" s="492"/>
      <c r="BM19" s="492"/>
    </row>
    <row r="20" hidden="1">
      <c r="A20" s="1" t="s">
        <v>512</v>
      </c>
      <c r="C20" s="1" t="s">
        <v>514</v>
      </c>
      <c r="D20" s="1" t="s">
        <v>515</v>
      </c>
      <c r="E20" s="1" t="s">
        <v>516</v>
      </c>
      <c r="G20" s="1" t="s">
        <v>517</v>
      </c>
      <c r="H20" s="1" t="s">
        <v>518</v>
      </c>
      <c r="I20" s="1" t="s">
        <v>519</v>
      </c>
      <c r="J20" s="1" t="s">
        <v>520</v>
      </c>
      <c r="K20" s="1" t="s">
        <v>521</v>
      </c>
      <c r="L20" s="1" t="s">
        <v>522</v>
      </c>
      <c r="M20" s="1" t="s">
        <v>523</v>
      </c>
      <c r="N20" s="1" t="s">
        <v>524</v>
      </c>
      <c r="O20" s="1" t="s">
        <v>525</v>
      </c>
      <c r="Q20" s="1" t="s">
        <v>526</v>
      </c>
      <c r="R20" s="1" t="s">
        <v>527</v>
      </c>
      <c r="S20" s="1" t="s">
        <v>528</v>
      </c>
      <c r="T20" s="1" t="s">
        <v>529</v>
      </c>
      <c r="U20" s="1" t="s">
        <v>530</v>
      </c>
      <c r="W20" s="1" t="s">
        <v>531</v>
      </c>
      <c r="X20" s="1" t="s">
        <v>532</v>
      </c>
      <c r="Y20" s="1" t="s">
        <v>533</v>
      </c>
      <c r="Z20" s="1" t="s">
        <v>534</v>
      </c>
      <c r="AA20" s="1" t="s">
        <v>535</v>
      </c>
      <c r="AB20" s="1" t="s">
        <v>536</v>
      </c>
      <c r="AC20" s="1" t="s">
        <v>537</v>
      </c>
      <c r="AD20" s="1" t="s">
        <v>538</v>
      </c>
      <c r="AE20" s="1" t="s">
        <v>539</v>
      </c>
      <c r="AF20" s="1" t="s">
        <v>540</v>
      </c>
      <c r="AG20" s="1" t="s">
        <v>541</v>
      </c>
      <c r="AJ20" s="1" t="s">
        <v>542</v>
      </c>
      <c r="AK20" s="1" t="s">
        <v>543</v>
      </c>
      <c r="AL20" s="1" t="s">
        <v>544</v>
      </c>
      <c r="AN20" s="1" t="s">
        <v>545</v>
      </c>
      <c r="AO20" s="1" t="s">
        <v>546</v>
      </c>
      <c r="AP20" s="1" t="s">
        <v>547</v>
      </c>
      <c r="AQ20" s="1" t="s">
        <v>548</v>
      </c>
      <c r="AR20" s="1" t="s">
        <v>549</v>
      </c>
      <c r="AS20" s="1" t="s">
        <v>550</v>
      </c>
      <c r="AT20" s="1" t="s">
        <v>551</v>
      </c>
      <c r="AU20" s="1" t="s">
        <v>552</v>
      </c>
      <c r="AV20" s="1" t="s">
        <v>553</v>
      </c>
      <c r="AW20" s="1" t="s">
        <v>554</v>
      </c>
    </row>
  </sheetData>
  <mergeCells count="5">
    <mergeCell ref="A6:G7"/>
    <mergeCell ref="A8:G9"/>
    <mergeCell ref="A10:G11"/>
    <mergeCell ref="A13:H15"/>
    <mergeCell ref="A16:H17"/>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495" t="s">
        <v>557</v>
      </c>
    </row>
    <row r="2">
      <c r="A2" s="496" t="s">
        <v>558</v>
      </c>
      <c r="B2" s="496" t="s">
        <v>106</v>
      </c>
      <c r="C2" s="496" t="s">
        <v>119</v>
      </c>
      <c r="D2" s="496" t="s">
        <v>108</v>
      </c>
      <c r="E2" s="496" t="s">
        <v>121</v>
      </c>
      <c r="F2" s="496" t="s">
        <v>137</v>
      </c>
      <c r="G2" s="496" t="s">
        <v>153</v>
      </c>
      <c r="H2" s="1" t="s">
        <v>559</v>
      </c>
      <c r="I2" s="1" t="s">
        <v>158</v>
      </c>
      <c r="J2" s="1" t="s">
        <v>560</v>
      </c>
    </row>
    <row r="3">
      <c r="A3" s="497" t="s">
        <v>561</v>
      </c>
      <c r="B3" s="497" t="s">
        <v>562</v>
      </c>
      <c r="C3" s="497" t="s">
        <v>562</v>
      </c>
      <c r="D3" s="497" t="s">
        <v>563</v>
      </c>
      <c r="E3" s="497" t="s">
        <v>563</v>
      </c>
      <c r="F3" s="497" t="s">
        <v>563</v>
      </c>
      <c r="G3" s="497" t="s">
        <v>563</v>
      </c>
    </row>
    <row r="5">
      <c r="A5" s="402" t="s">
        <v>92</v>
      </c>
    </row>
    <row r="6">
      <c r="A6" s="498" t="s">
        <v>88</v>
      </c>
    </row>
    <row r="7">
      <c r="A7" s="499" t="s">
        <v>564</v>
      </c>
      <c r="B7" s="399" t="s">
        <v>566</v>
      </c>
      <c r="C7" s="399" t="s">
        <v>566</v>
      </c>
      <c r="D7" s="399" t="s">
        <v>566</v>
      </c>
      <c r="E7" s="399" t="s">
        <v>566</v>
      </c>
      <c r="F7" s="399" t="s">
        <v>566</v>
      </c>
      <c r="G7" s="399" t="s">
        <v>566</v>
      </c>
    </row>
    <row r="8">
      <c r="A8" s="499" t="s">
        <v>567</v>
      </c>
      <c r="B8" s="399" t="s">
        <v>568</v>
      </c>
      <c r="C8" s="399" t="s">
        <v>568</v>
      </c>
      <c r="D8" s="399" t="s">
        <v>568</v>
      </c>
      <c r="E8" s="399" t="s">
        <v>568</v>
      </c>
      <c r="F8" s="399" t="s">
        <v>568</v>
      </c>
      <c r="G8" s="399" t="s">
        <v>568</v>
      </c>
    </row>
    <row r="9">
      <c r="A9" s="499" t="s">
        <v>569</v>
      </c>
      <c r="B9" s="399" t="s">
        <v>570</v>
      </c>
      <c r="C9" s="399" t="s">
        <v>570</v>
      </c>
      <c r="D9" s="399" t="s">
        <v>570</v>
      </c>
      <c r="E9" s="399" t="s">
        <v>570</v>
      </c>
      <c r="F9" s="399" t="s">
        <v>570</v>
      </c>
      <c r="G9" s="399" t="s">
        <v>570</v>
      </c>
    </row>
    <row r="10">
      <c r="A10" s="499" t="s">
        <v>571</v>
      </c>
      <c r="B10" s="500">
        <v>150000.0</v>
      </c>
      <c r="C10" s="500">
        <v>150000.0</v>
      </c>
      <c r="D10" s="501"/>
      <c r="E10" s="501"/>
      <c r="F10" s="501"/>
      <c r="G10" s="501"/>
    </row>
    <row r="11">
      <c r="A11" s="499" t="s">
        <v>572</v>
      </c>
      <c r="B11" s="399" t="s">
        <v>573</v>
      </c>
      <c r="C11" s="399" t="s">
        <v>573</v>
      </c>
      <c r="D11" s="501"/>
      <c r="E11" s="501"/>
      <c r="F11" s="501"/>
      <c r="G11" s="501"/>
    </row>
    <row r="12">
      <c r="B12" s="399"/>
      <c r="C12" s="399"/>
      <c r="D12" s="399"/>
      <c r="E12" s="399"/>
      <c r="F12" s="399"/>
      <c r="G12" s="399"/>
    </row>
    <row r="13">
      <c r="A13" s="503" t="s">
        <v>574</v>
      </c>
      <c r="B13" s="405">
        <v>6.1433</v>
      </c>
      <c r="C13" s="405">
        <v>6.1433</v>
      </c>
      <c r="D13" s="504">
        <v>0.0</v>
      </c>
      <c r="E13" s="504">
        <v>0.0</v>
      </c>
      <c r="F13" s="504">
        <v>0.0</v>
      </c>
      <c r="G13" s="504">
        <v>0.0</v>
      </c>
      <c r="H13" s="505"/>
      <c r="I13" s="506"/>
    </row>
    <row r="14">
      <c r="A14" s="503" t="s">
        <v>575</v>
      </c>
      <c r="B14" s="405">
        <v>38.23</v>
      </c>
      <c r="C14" s="405">
        <v>45.3</v>
      </c>
      <c r="D14" s="507">
        <v>6.87</v>
      </c>
      <c r="E14" s="507">
        <v>3.79</v>
      </c>
      <c r="F14" s="507">
        <v>0.82</v>
      </c>
      <c r="G14" s="508">
        <v>3.8336</v>
      </c>
      <c r="H14" s="505"/>
      <c r="I14" s="506"/>
    </row>
    <row r="15">
      <c r="A15" s="503" t="s">
        <v>576</v>
      </c>
      <c r="B15" s="405">
        <f t="shared" ref="B15:G15" si="1">(B13+B14)*B23</f>
        <v>15.530655</v>
      </c>
      <c r="C15" s="405">
        <f t="shared" si="1"/>
        <v>18.005155</v>
      </c>
      <c r="D15" s="405">
        <f t="shared" si="1"/>
        <v>2.4045</v>
      </c>
      <c r="E15" s="405">
        <f t="shared" si="1"/>
        <v>1.137</v>
      </c>
      <c r="F15" s="405">
        <f t="shared" si="1"/>
        <v>0.246</v>
      </c>
      <c r="G15" s="405">
        <f t="shared" si="1"/>
        <v>1.15008</v>
      </c>
      <c r="H15" s="505"/>
      <c r="I15" s="506"/>
    </row>
    <row r="16">
      <c r="A16" s="503" t="s">
        <v>577</v>
      </c>
      <c r="B16" s="405">
        <v>8.1762</v>
      </c>
      <c r="C16" s="405">
        <v>8.1762</v>
      </c>
      <c r="D16" s="509">
        <v>0.544</v>
      </c>
      <c r="E16" s="510">
        <v>0.0</v>
      </c>
      <c r="F16" s="510">
        <v>0.0</v>
      </c>
      <c r="G16" s="510">
        <v>0.8422</v>
      </c>
      <c r="H16" s="505"/>
      <c r="I16" s="511"/>
    </row>
    <row r="17">
      <c r="A17" s="503" t="s">
        <v>578</v>
      </c>
      <c r="B17" s="405">
        <f t="shared" ref="B17:G17" si="2">B16*B24</f>
        <v>2.45286</v>
      </c>
      <c r="C17" s="405">
        <f t="shared" si="2"/>
        <v>2.45286</v>
      </c>
      <c r="D17" s="405">
        <f t="shared" si="2"/>
        <v>0.1632</v>
      </c>
      <c r="E17" s="405">
        <f t="shared" si="2"/>
        <v>0</v>
      </c>
      <c r="F17" s="405">
        <f t="shared" si="2"/>
        <v>0</v>
      </c>
      <c r="G17" s="405">
        <f t="shared" si="2"/>
        <v>0.25266</v>
      </c>
      <c r="H17" s="505"/>
      <c r="I17" s="506"/>
    </row>
    <row r="18">
      <c r="A18" s="512" t="s">
        <v>579</v>
      </c>
      <c r="B18" s="513">
        <f t="shared" ref="B18:G18" si="3">SUM(B13:B17)</f>
        <v>70.533015</v>
      </c>
      <c r="C18" s="513">
        <f t="shared" si="3"/>
        <v>80.077515</v>
      </c>
      <c r="D18" s="513">
        <f t="shared" si="3"/>
        <v>9.9817</v>
      </c>
      <c r="E18" s="513">
        <f t="shared" si="3"/>
        <v>4.927</v>
      </c>
      <c r="F18" s="513">
        <f t="shared" si="3"/>
        <v>1.066</v>
      </c>
      <c r="G18" s="513">
        <f t="shared" si="3"/>
        <v>6.07854</v>
      </c>
      <c r="H18" s="514"/>
      <c r="I18" s="84"/>
    </row>
    <row r="19">
      <c r="A19" s="421"/>
      <c r="B19" s="399"/>
      <c r="C19" s="399"/>
      <c r="D19" s="399"/>
      <c r="E19" s="399"/>
      <c r="F19" s="399"/>
      <c r="G19" s="399"/>
      <c r="H19" s="505"/>
      <c r="I19" s="506"/>
    </row>
    <row r="20">
      <c r="A20" s="399" t="s">
        <v>580</v>
      </c>
      <c r="B20" s="405">
        <v>10.0</v>
      </c>
      <c r="C20" s="405">
        <v>10.0</v>
      </c>
      <c r="D20" s="405">
        <v>0.0</v>
      </c>
      <c r="E20" s="405">
        <v>0.0</v>
      </c>
      <c r="F20" s="405">
        <v>0.0</v>
      </c>
      <c r="G20" s="405">
        <v>0.0</v>
      </c>
      <c r="H20" s="505"/>
      <c r="I20" s="506"/>
    </row>
    <row r="21">
      <c r="A21" s="399" t="s">
        <v>581</v>
      </c>
      <c r="B21" s="405">
        <v>1.88</v>
      </c>
      <c r="C21" s="405">
        <v>1.88</v>
      </c>
      <c r="D21" s="405">
        <v>0.0</v>
      </c>
      <c r="E21" s="405">
        <v>0.0</v>
      </c>
      <c r="F21" s="405">
        <v>0.0</v>
      </c>
      <c r="G21" s="405">
        <v>0.0</v>
      </c>
      <c r="H21" s="505"/>
      <c r="I21" s="506"/>
    </row>
    <row r="22">
      <c r="A22" s="421"/>
      <c r="B22" s="399"/>
      <c r="C22" s="399"/>
      <c r="D22" s="399"/>
      <c r="E22" s="399"/>
      <c r="F22" s="399"/>
      <c r="G22" s="399"/>
      <c r="H22" s="505"/>
      <c r="I22" s="506"/>
    </row>
    <row r="23">
      <c r="A23" s="399" t="s">
        <v>582</v>
      </c>
      <c r="B23" s="515">
        <v>0.35</v>
      </c>
      <c r="C23" s="515">
        <v>0.35</v>
      </c>
      <c r="D23" s="515">
        <v>0.35</v>
      </c>
      <c r="E23" s="515">
        <v>0.3</v>
      </c>
      <c r="F23" s="515">
        <v>0.3</v>
      </c>
      <c r="G23" s="516">
        <v>0.3</v>
      </c>
      <c r="H23" s="505"/>
      <c r="I23" s="511"/>
    </row>
    <row r="24">
      <c r="A24" s="1" t="s">
        <v>583</v>
      </c>
      <c r="B24" s="515">
        <v>0.3</v>
      </c>
      <c r="C24" s="515">
        <v>0.3</v>
      </c>
      <c r="D24" s="515">
        <v>0.3</v>
      </c>
      <c r="E24" s="516">
        <v>0.3</v>
      </c>
      <c r="F24" s="516">
        <v>0.3</v>
      </c>
      <c r="G24" s="516">
        <v>0.3</v>
      </c>
      <c r="H24" s="505"/>
      <c r="I24" s="506"/>
    </row>
    <row r="25">
      <c r="B25" s="399"/>
      <c r="C25" s="399"/>
      <c r="D25" s="399"/>
      <c r="E25" s="399"/>
      <c r="F25" s="399"/>
      <c r="G25" s="399"/>
      <c r="H25" s="505"/>
      <c r="I25" s="506"/>
    </row>
    <row r="26">
      <c r="A26" s="503" t="s">
        <v>584</v>
      </c>
      <c r="B26" s="405">
        <f t="shared" ref="B26:G26" si="4">sum(B13:B17)*B32</f>
        <v>0</v>
      </c>
      <c r="C26" s="405">
        <f t="shared" si="4"/>
        <v>0</v>
      </c>
      <c r="D26" s="405">
        <f t="shared" si="4"/>
        <v>0.2495425</v>
      </c>
      <c r="E26" s="405">
        <f t="shared" si="4"/>
        <v>0.167518</v>
      </c>
      <c r="F26" s="405">
        <f t="shared" si="4"/>
        <v>0.036244</v>
      </c>
      <c r="G26" s="405">
        <f t="shared" si="4"/>
        <v>0.20667036</v>
      </c>
      <c r="H26" s="24"/>
      <c r="I26" s="84"/>
    </row>
    <row r="27">
      <c r="A27" s="503" t="s">
        <v>585</v>
      </c>
      <c r="B27" s="405">
        <f t="shared" ref="B27:G27" si="5">sum(B13:B17)*B33</f>
        <v>5.289976125</v>
      </c>
      <c r="C27" s="405">
        <f t="shared" si="5"/>
        <v>6.005813625</v>
      </c>
      <c r="D27" s="405">
        <f t="shared" si="5"/>
        <v>2.495425</v>
      </c>
      <c r="E27" s="405">
        <f t="shared" si="5"/>
        <v>0.369525</v>
      </c>
      <c r="F27" s="405">
        <f t="shared" si="5"/>
        <v>0.07995</v>
      </c>
      <c r="G27" s="405">
        <f t="shared" si="5"/>
        <v>0.4558905</v>
      </c>
      <c r="H27" s="505"/>
      <c r="I27" s="517"/>
    </row>
    <row r="28">
      <c r="A28" s="503" t="s">
        <v>139</v>
      </c>
      <c r="B28" s="405">
        <f t="shared" ref="B28:G28" si="6">SUM($B$13:$B$17)*B34</f>
        <v>0.08816626875</v>
      </c>
      <c r="C28" s="405">
        <f t="shared" si="6"/>
        <v>0.08816626875</v>
      </c>
      <c r="D28" s="405">
        <f t="shared" si="6"/>
        <v>0.08816626875</v>
      </c>
      <c r="E28" s="405">
        <f t="shared" si="6"/>
        <v>0.08816626875</v>
      </c>
      <c r="F28" s="405">
        <f t="shared" si="6"/>
        <v>0.08816626875</v>
      </c>
      <c r="G28" s="405">
        <f t="shared" si="6"/>
        <v>0.08816626875</v>
      </c>
    </row>
    <row r="29">
      <c r="A29" s="503" t="s">
        <v>145</v>
      </c>
      <c r="B29" s="405">
        <f t="shared" ref="B29:G29" si="7">SUM($B$13:$B$17)*B35</f>
        <v>0.244326364</v>
      </c>
      <c r="C29" s="405">
        <f t="shared" si="7"/>
        <v>0.244326364</v>
      </c>
      <c r="D29" s="405">
        <f t="shared" si="7"/>
        <v>0.244326364</v>
      </c>
      <c r="E29" s="405">
        <f t="shared" si="7"/>
        <v>0.244326364</v>
      </c>
      <c r="F29" s="405">
        <f t="shared" si="7"/>
        <v>0.244326364</v>
      </c>
      <c r="G29" s="405">
        <f t="shared" si="7"/>
        <v>0.244326364</v>
      </c>
    </row>
    <row r="30">
      <c r="A30" s="512" t="s">
        <v>586</v>
      </c>
      <c r="B30" s="513">
        <f t="shared" ref="B30:G30" si="8">SUM(B26:B29)</f>
        <v>5.622468758</v>
      </c>
      <c r="C30" s="513">
        <f t="shared" si="8"/>
        <v>6.338306258</v>
      </c>
      <c r="D30" s="513">
        <f t="shared" si="8"/>
        <v>3.077460133</v>
      </c>
      <c r="E30" s="513">
        <f t="shared" si="8"/>
        <v>0.8695356327</v>
      </c>
      <c r="F30" s="513">
        <f t="shared" si="8"/>
        <v>0.4486866327</v>
      </c>
      <c r="G30" s="513">
        <f t="shared" si="8"/>
        <v>0.9950534927</v>
      </c>
    </row>
    <row r="31">
      <c r="B31" s="399"/>
      <c r="C31" s="399"/>
      <c r="D31" s="399"/>
      <c r="E31" s="399"/>
      <c r="F31" s="399"/>
      <c r="G31" s="399"/>
    </row>
    <row r="32">
      <c r="A32" s="435" t="s">
        <v>587</v>
      </c>
      <c r="B32" s="515">
        <v>0.0</v>
      </c>
      <c r="C32" s="515">
        <v>0.0</v>
      </c>
      <c r="D32" s="515">
        <v>0.025</v>
      </c>
      <c r="E32" s="515">
        <v>0.034</v>
      </c>
      <c r="F32" s="515">
        <v>0.034</v>
      </c>
      <c r="G32" s="515">
        <v>0.034</v>
      </c>
    </row>
    <row r="33">
      <c r="A33" s="435" t="s">
        <v>588</v>
      </c>
      <c r="B33" s="515">
        <v>0.075</v>
      </c>
      <c r="C33" s="515">
        <v>0.075</v>
      </c>
      <c r="D33" s="515">
        <v>0.25</v>
      </c>
      <c r="E33" s="515">
        <v>0.075</v>
      </c>
      <c r="F33" s="515">
        <v>0.075</v>
      </c>
      <c r="G33" s="515">
        <v>0.075</v>
      </c>
    </row>
    <row r="34">
      <c r="A34" s="1" t="s">
        <v>589</v>
      </c>
      <c r="B34" s="518">
        <v>0.00125</v>
      </c>
      <c r="C34" s="518">
        <v>0.00125</v>
      </c>
      <c r="D34" s="518">
        <v>0.00125</v>
      </c>
      <c r="E34" s="518">
        <v>0.00125</v>
      </c>
      <c r="F34" s="518">
        <v>0.00125</v>
      </c>
      <c r="G34" s="518">
        <v>0.00125</v>
      </c>
    </row>
    <row r="35">
      <c r="A35" s="1" t="s">
        <v>591</v>
      </c>
      <c r="B35" s="519">
        <v>0.003464</v>
      </c>
      <c r="C35" s="519">
        <v>0.003464</v>
      </c>
      <c r="D35" s="519">
        <v>0.003464</v>
      </c>
      <c r="E35" s="519">
        <v>0.003464</v>
      </c>
      <c r="F35" s="519">
        <v>0.003464</v>
      </c>
      <c r="G35" s="519">
        <v>0.003464</v>
      </c>
    </row>
    <row r="36">
      <c r="B36" s="399"/>
      <c r="C36" s="399"/>
      <c r="D36" s="399"/>
      <c r="E36" s="399"/>
      <c r="F36" s="399"/>
      <c r="G36" s="399"/>
    </row>
    <row r="37">
      <c r="A37" s="520" t="s">
        <v>592</v>
      </c>
      <c r="B37" s="521">
        <f t="shared" ref="B37:G37" si="9">B18+B20+B21+B30</f>
        <v>88.03548376</v>
      </c>
      <c r="C37" s="521">
        <f t="shared" si="9"/>
        <v>98.29582126</v>
      </c>
      <c r="D37" s="521">
        <f t="shared" si="9"/>
        <v>13.05916013</v>
      </c>
      <c r="E37" s="521">
        <f t="shared" si="9"/>
        <v>5.796535633</v>
      </c>
      <c r="F37" s="521">
        <f t="shared" si="9"/>
        <v>1.514686633</v>
      </c>
      <c r="G37" s="521">
        <f t="shared" si="9"/>
        <v>7.073593493</v>
      </c>
    </row>
    <row r="40">
      <c r="C40" s="436"/>
      <c r="F40" s="460"/>
    </row>
    <row r="41">
      <c r="A41" s="402" t="s">
        <v>122</v>
      </c>
    </row>
    <row r="42">
      <c r="A42" s="498" t="s">
        <v>88</v>
      </c>
    </row>
    <row r="43">
      <c r="A43" s="499" t="s">
        <v>564</v>
      </c>
      <c r="B43" s="399" t="s">
        <v>593</v>
      </c>
      <c r="C43" s="399" t="s">
        <v>593</v>
      </c>
      <c r="D43" s="399" t="s">
        <v>593</v>
      </c>
      <c r="E43" s="399" t="s">
        <v>593</v>
      </c>
      <c r="F43" s="399" t="s">
        <v>593</v>
      </c>
      <c r="G43" s="399" t="s">
        <v>593</v>
      </c>
    </row>
    <row r="44">
      <c r="A44" s="499" t="s">
        <v>567</v>
      </c>
      <c r="B44" s="399" t="s">
        <v>568</v>
      </c>
      <c r="C44" s="399" t="s">
        <v>568</v>
      </c>
      <c r="D44" s="399" t="s">
        <v>568</v>
      </c>
      <c r="E44" s="399" t="s">
        <v>568</v>
      </c>
      <c r="F44" s="399" t="s">
        <v>568</v>
      </c>
      <c r="G44" s="399" t="s">
        <v>568</v>
      </c>
    </row>
    <row r="45">
      <c r="A45" s="499" t="s">
        <v>569</v>
      </c>
      <c r="B45" s="399" t="s">
        <v>570</v>
      </c>
      <c r="C45" s="399" t="s">
        <v>570</v>
      </c>
      <c r="D45" s="399" t="s">
        <v>570</v>
      </c>
      <c r="E45" s="399" t="s">
        <v>570</v>
      </c>
      <c r="F45" s="399" t="s">
        <v>570</v>
      </c>
      <c r="G45" s="399" t="s">
        <v>570</v>
      </c>
    </row>
    <row r="46">
      <c r="A46" s="499" t="s">
        <v>571</v>
      </c>
      <c r="B46" s="501"/>
      <c r="C46" s="501"/>
      <c r="D46" s="501"/>
      <c r="E46" s="501"/>
      <c r="F46" s="501"/>
      <c r="G46" s="501"/>
    </row>
    <row r="47">
      <c r="A47" s="499" t="s">
        <v>572</v>
      </c>
      <c r="B47" s="501"/>
      <c r="C47" s="501"/>
      <c r="D47" s="501"/>
      <c r="E47" s="501"/>
      <c r="F47" s="501"/>
      <c r="G47" s="501"/>
    </row>
    <row r="49">
      <c r="A49" s="503" t="s">
        <v>594</v>
      </c>
      <c r="B49" s="522">
        <v>22.88</v>
      </c>
      <c r="C49" s="522">
        <v>22.88</v>
      </c>
      <c r="D49" s="522">
        <v>3.06</v>
      </c>
      <c r="E49" s="522">
        <v>4.88</v>
      </c>
      <c r="F49" s="522">
        <v>0.75</v>
      </c>
      <c r="G49" s="522">
        <v>2.55</v>
      </c>
    </row>
    <row r="50">
      <c r="A50" s="503" t="s">
        <v>595</v>
      </c>
      <c r="B50" s="522">
        <v>10.56</v>
      </c>
      <c r="C50" s="522">
        <v>10.56</v>
      </c>
      <c r="D50" s="522">
        <v>1.31</v>
      </c>
      <c r="E50" s="523">
        <v>2.09</v>
      </c>
      <c r="F50" s="523">
        <v>0.32</v>
      </c>
      <c r="G50" s="523">
        <v>0.97</v>
      </c>
    </row>
    <row r="51">
      <c r="A51" s="503" t="s">
        <v>596</v>
      </c>
      <c r="B51" s="522">
        <v>2.65</v>
      </c>
      <c r="C51" s="522">
        <v>2.65</v>
      </c>
      <c r="D51" s="522">
        <v>0.39</v>
      </c>
      <c r="E51" s="522">
        <v>0.58</v>
      </c>
      <c r="F51" s="522">
        <v>0.1</v>
      </c>
      <c r="G51" s="522">
        <v>0.35</v>
      </c>
    </row>
    <row r="52">
      <c r="A52" s="512" t="s">
        <v>597</v>
      </c>
      <c r="B52" s="513">
        <f t="shared" ref="B52:G52" si="10">(B49*B54)+(B50*B55)+(B56*B51)</f>
        <v>11.442</v>
      </c>
      <c r="C52" s="513">
        <f t="shared" si="10"/>
        <v>11.442</v>
      </c>
      <c r="D52" s="513">
        <f t="shared" si="10"/>
        <v>1.476</v>
      </c>
      <c r="E52" s="513">
        <f t="shared" si="10"/>
        <v>2.346</v>
      </c>
      <c r="F52" s="513">
        <f t="shared" si="10"/>
        <v>0.362</v>
      </c>
      <c r="G52" s="513">
        <f t="shared" si="10"/>
        <v>1.162</v>
      </c>
    </row>
    <row r="53">
      <c r="A53" s="421"/>
      <c r="B53" s="399"/>
      <c r="C53" s="399"/>
      <c r="D53" s="399"/>
      <c r="E53" s="399"/>
      <c r="F53" s="399"/>
      <c r="G53" s="399"/>
    </row>
    <row r="54">
      <c r="A54" s="399" t="s">
        <v>599</v>
      </c>
      <c r="B54" s="516">
        <v>0.2</v>
      </c>
      <c r="C54" s="516">
        <v>0.2</v>
      </c>
      <c r="D54" s="516">
        <v>0.2</v>
      </c>
      <c r="E54" s="516">
        <v>0.2</v>
      </c>
      <c r="F54" s="516">
        <v>0.2</v>
      </c>
      <c r="G54" s="516">
        <v>0.2</v>
      </c>
    </row>
    <row r="55">
      <c r="A55" s="1" t="s">
        <v>600</v>
      </c>
      <c r="B55" s="516">
        <v>0.6</v>
      </c>
      <c r="C55" s="516">
        <v>0.6</v>
      </c>
      <c r="D55" s="516">
        <v>0.6</v>
      </c>
      <c r="E55" s="516">
        <v>0.6</v>
      </c>
      <c r="F55" s="516">
        <v>0.6</v>
      </c>
      <c r="G55" s="516">
        <v>0.6</v>
      </c>
    </row>
    <row r="56">
      <c r="A56" s="451" t="s">
        <v>601</v>
      </c>
      <c r="B56" s="524">
        <v>0.2</v>
      </c>
      <c r="C56" s="524">
        <v>0.2</v>
      </c>
      <c r="D56" s="524">
        <v>0.2</v>
      </c>
      <c r="E56" s="524">
        <v>0.2</v>
      </c>
      <c r="F56" s="524">
        <v>0.2</v>
      </c>
      <c r="G56" s="524">
        <v>0.2</v>
      </c>
    </row>
    <row r="57">
      <c r="B57" s="430">
        <f t="shared" ref="B57:G57" si="11">SUM(B54:B56)</f>
        <v>1</v>
      </c>
      <c r="C57" s="430">
        <f t="shared" si="11"/>
        <v>1</v>
      </c>
      <c r="D57" s="430">
        <f t="shared" si="11"/>
        <v>1</v>
      </c>
      <c r="E57" s="430">
        <f t="shared" si="11"/>
        <v>1</v>
      </c>
      <c r="F57" s="430">
        <f t="shared" si="11"/>
        <v>1</v>
      </c>
      <c r="G57" s="430">
        <f t="shared" si="11"/>
        <v>1</v>
      </c>
    </row>
    <row r="59">
      <c r="A59" s="520" t="s">
        <v>592</v>
      </c>
      <c r="B59" s="521">
        <f t="shared" ref="B59:G59" si="12">B37+B52</f>
        <v>99.47748376</v>
      </c>
      <c r="C59" s="521">
        <f t="shared" si="12"/>
        <v>109.7378213</v>
      </c>
      <c r="D59" s="521">
        <f t="shared" si="12"/>
        <v>14.53516013</v>
      </c>
      <c r="E59" s="521">
        <f t="shared" si="12"/>
        <v>8.142535633</v>
      </c>
      <c r="F59" s="521">
        <f t="shared" si="12"/>
        <v>1.876686633</v>
      </c>
      <c r="G59" s="521">
        <f t="shared" si="12"/>
        <v>8.235593493</v>
      </c>
    </row>
    <row r="63">
      <c r="A63" s="402" t="s">
        <v>130</v>
      </c>
    </row>
    <row r="64">
      <c r="A64" s="498" t="s">
        <v>88</v>
      </c>
    </row>
    <row r="65">
      <c r="A65" s="499" t="s">
        <v>564</v>
      </c>
      <c r="B65" s="399" t="s">
        <v>603</v>
      </c>
      <c r="C65" s="399" t="s">
        <v>603</v>
      </c>
      <c r="D65" s="399" t="s">
        <v>603</v>
      </c>
      <c r="E65" s="399" t="s">
        <v>603</v>
      </c>
      <c r="F65" s="399" t="s">
        <v>603</v>
      </c>
      <c r="G65" s="399" t="s">
        <v>603</v>
      </c>
    </row>
    <row r="66">
      <c r="A66" s="499" t="s">
        <v>567</v>
      </c>
      <c r="B66" s="399" t="s">
        <v>568</v>
      </c>
      <c r="C66" s="399" t="s">
        <v>568</v>
      </c>
      <c r="D66" s="399" t="s">
        <v>568</v>
      </c>
      <c r="E66" s="399" t="s">
        <v>568</v>
      </c>
      <c r="F66" s="399" t="s">
        <v>568</v>
      </c>
      <c r="G66" s="399" t="s">
        <v>568</v>
      </c>
    </row>
    <row r="67">
      <c r="A67" s="499" t="s">
        <v>569</v>
      </c>
      <c r="B67" s="399" t="s">
        <v>570</v>
      </c>
      <c r="C67" s="399" t="s">
        <v>570</v>
      </c>
      <c r="D67" s="399" t="s">
        <v>570</v>
      </c>
      <c r="E67" s="399" t="s">
        <v>570</v>
      </c>
      <c r="F67" s="399" t="s">
        <v>570</v>
      </c>
      <c r="G67" s="399" t="s">
        <v>570</v>
      </c>
    </row>
    <row r="68">
      <c r="A68" s="499" t="s">
        <v>571</v>
      </c>
      <c r="B68" s="501"/>
      <c r="C68" s="501"/>
      <c r="D68" s="501"/>
      <c r="E68" s="501"/>
      <c r="F68" s="501"/>
      <c r="G68" s="501"/>
    </row>
    <row r="69">
      <c r="A69" s="499" t="s">
        <v>572</v>
      </c>
      <c r="B69" s="501"/>
      <c r="C69" s="501"/>
      <c r="D69" s="501"/>
      <c r="E69" s="501"/>
      <c r="F69" s="501"/>
      <c r="G69" s="501"/>
    </row>
    <row r="71">
      <c r="A71" s="503" t="s">
        <v>130</v>
      </c>
      <c r="B71" s="405">
        <v>11.94</v>
      </c>
      <c r="C71" s="405">
        <v>11.94</v>
      </c>
      <c r="D71" s="405">
        <v>6.28</v>
      </c>
      <c r="E71" s="405">
        <v>6.28</v>
      </c>
      <c r="F71" s="405">
        <v>5.78</v>
      </c>
      <c r="G71" s="405">
        <v>6.28</v>
      </c>
    </row>
    <row r="72">
      <c r="A72" s="503" t="s">
        <v>604</v>
      </c>
      <c r="B72" s="503"/>
      <c r="C72" s="503"/>
      <c r="D72" s="503"/>
      <c r="E72" s="503"/>
      <c r="F72" s="503"/>
      <c r="G72" s="503"/>
    </row>
    <row r="73">
      <c r="A73" s="503" t="s">
        <v>605</v>
      </c>
      <c r="B73" s="504">
        <v>1.01</v>
      </c>
      <c r="C73" s="504">
        <v>1.01</v>
      </c>
      <c r="D73" s="504">
        <v>0.6</v>
      </c>
      <c r="E73" s="504">
        <v>0.6</v>
      </c>
      <c r="F73" s="504">
        <v>0.6</v>
      </c>
      <c r="G73" s="504">
        <v>0.6</v>
      </c>
    </row>
    <row r="74">
      <c r="A74" s="503" t="s">
        <v>606</v>
      </c>
      <c r="B74" s="504">
        <v>0.3</v>
      </c>
      <c r="C74" s="504">
        <v>0.3</v>
      </c>
      <c r="D74" s="504">
        <v>0.3</v>
      </c>
      <c r="E74" s="504">
        <v>0.3</v>
      </c>
      <c r="F74" s="504">
        <v>0.3</v>
      </c>
      <c r="G74" s="504">
        <v>0.3</v>
      </c>
    </row>
    <row r="75">
      <c r="A75" s="503" t="s">
        <v>607</v>
      </c>
      <c r="B75" s="446">
        <f t="shared" ref="B75:C75" si="13">25/80</f>
        <v>0.3125</v>
      </c>
      <c r="C75" s="446">
        <f t="shared" si="13"/>
        <v>0.3125</v>
      </c>
      <c r="D75" s="446">
        <f>25/720</f>
        <v>0.03472222222</v>
      </c>
      <c r="E75" s="446">
        <f>25/450</f>
        <v>0.05555555556</v>
      </c>
      <c r="F75" s="446">
        <f>25/2940</f>
        <v>0.008503401361</v>
      </c>
      <c r="G75" s="446">
        <f>25/640</f>
        <v>0.0390625</v>
      </c>
      <c r="H75" s="526"/>
      <c r="I75" s="526"/>
      <c r="J75" s="526"/>
      <c r="K75" s="526"/>
      <c r="L75" s="526"/>
      <c r="M75" s="526"/>
      <c r="N75" s="526"/>
      <c r="O75" s="526"/>
      <c r="P75" s="526"/>
      <c r="Q75" s="526"/>
      <c r="R75" s="526"/>
      <c r="S75" s="526"/>
      <c r="T75" s="526"/>
      <c r="U75" s="526"/>
    </row>
    <row r="76">
      <c r="A76" s="503" t="s">
        <v>608</v>
      </c>
      <c r="B76" s="527">
        <v>0.0</v>
      </c>
      <c r="C76" s="527">
        <v>0.0</v>
      </c>
      <c r="D76" s="527">
        <v>1.2</v>
      </c>
      <c r="E76" s="527">
        <v>1.2</v>
      </c>
      <c r="F76" s="527">
        <v>1.2</v>
      </c>
      <c r="G76" s="527">
        <v>1.2</v>
      </c>
    </row>
    <row r="77">
      <c r="A77" s="503" t="s">
        <v>609</v>
      </c>
      <c r="B77" s="527">
        <v>1.3</v>
      </c>
      <c r="C77" s="527">
        <v>1.3</v>
      </c>
      <c r="D77" s="527">
        <v>0.0</v>
      </c>
      <c r="E77" s="527">
        <v>0.0</v>
      </c>
      <c r="F77" s="527">
        <v>0.0</v>
      </c>
      <c r="G77" s="527">
        <v>0.0</v>
      </c>
    </row>
    <row r="78">
      <c r="A78" s="503" t="s">
        <v>610</v>
      </c>
      <c r="B78" s="503"/>
      <c r="C78" s="503"/>
      <c r="D78" s="503"/>
      <c r="E78" s="503"/>
      <c r="F78" s="503"/>
      <c r="G78" s="503"/>
    </row>
    <row r="79">
      <c r="A79" s="503" t="s">
        <v>192</v>
      </c>
      <c r="B79" s="504">
        <v>0.3</v>
      </c>
      <c r="C79" s="504">
        <v>0.3</v>
      </c>
      <c r="D79" s="527">
        <v>0.0</v>
      </c>
      <c r="E79" s="527">
        <v>0.0</v>
      </c>
      <c r="F79" s="527">
        <v>0.0</v>
      </c>
      <c r="G79" s="527">
        <v>0.0</v>
      </c>
    </row>
    <row r="80">
      <c r="A80" s="503" t="s">
        <v>611</v>
      </c>
      <c r="B80" s="418">
        <v>0.31</v>
      </c>
      <c r="C80" s="418">
        <v>0.31</v>
      </c>
      <c r="D80" s="418">
        <v>0.31</v>
      </c>
      <c r="E80" s="418">
        <v>0.31</v>
      </c>
      <c r="F80" s="418">
        <v>0.31</v>
      </c>
      <c r="G80" s="418">
        <v>0.31</v>
      </c>
    </row>
    <row r="81">
      <c r="A81" s="512" t="s">
        <v>612</v>
      </c>
      <c r="B81" s="513">
        <f t="shared" ref="B81:G81" si="14">SUM(B71:B80)</f>
        <v>15.4725</v>
      </c>
      <c r="C81" s="513">
        <f t="shared" si="14"/>
        <v>15.4725</v>
      </c>
      <c r="D81" s="513">
        <f t="shared" si="14"/>
        <v>8.724722222</v>
      </c>
      <c r="E81" s="513">
        <f t="shared" si="14"/>
        <v>8.745555556</v>
      </c>
      <c r="F81" s="513">
        <f t="shared" si="14"/>
        <v>8.198503401</v>
      </c>
      <c r="G81" s="513">
        <f t="shared" si="14"/>
        <v>8.7290625</v>
      </c>
    </row>
    <row r="83">
      <c r="A83" s="520" t="s">
        <v>592</v>
      </c>
      <c r="B83" s="521">
        <f t="shared" ref="B83:G83" si="15">B59+B81</f>
        <v>114.9499838</v>
      </c>
      <c r="C83" s="521">
        <f t="shared" si="15"/>
        <v>125.2103213</v>
      </c>
      <c r="D83" s="521">
        <f t="shared" si="15"/>
        <v>23.25988235</v>
      </c>
      <c r="E83" s="521">
        <f t="shared" si="15"/>
        <v>16.88809119</v>
      </c>
      <c r="F83" s="521">
        <f t="shared" si="15"/>
        <v>10.07519003</v>
      </c>
      <c r="G83" s="521">
        <f t="shared" si="15"/>
        <v>16.96465599</v>
      </c>
    </row>
    <row r="86">
      <c r="B86" s="1" t="s">
        <v>613</v>
      </c>
      <c r="D86" s="1" t="s">
        <v>614</v>
      </c>
      <c r="E86" s="1" t="s">
        <v>615</v>
      </c>
      <c r="F86" s="1" t="s">
        <v>616</v>
      </c>
      <c r="G86" s="1" t="s">
        <v>617</v>
      </c>
    </row>
    <row r="87">
      <c r="A87" s="421"/>
      <c r="B87" s="399"/>
      <c r="C87" s="399"/>
      <c r="D87" s="399"/>
      <c r="E87" s="399"/>
      <c r="F87" s="399"/>
      <c r="G87" s="399"/>
    </row>
    <row r="88">
      <c r="B88" s="446"/>
      <c r="D88" s="446"/>
      <c r="E88" s="446"/>
      <c r="F88" s="446"/>
      <c r="G88" s="446"/>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495" t="s">
        <v>618</v>
      </c>
    </row>
    <row r="2">
      <c r="A2" s="496" t="s">
        <v>558</v>
      </c>
      <c r="B2" s="496" t="s">
        <v>106</v>
      </c>
      <c r="C2" s="496" t="s">
        <v>119</v>
      </c>
      <c r="D2" s="496" t="s">
        <v>108</v>
      </c>
      <c r="E2" s="496" t="s">
        <v>121</v>
      </c>
      <c r="F2" s="496" t="s">
        <v>137</v>
      </c>
      <c r="G2" s="496" t="s">
        <v>153</v>
      </c>
      <c r="H2" s="1" t="s">
        <v>559</v>
      </c>
      <c r="I2" s="1" t="s">
        <v>158</v>
      </c>
      <c r="J2" s="1" t="s">
        <v>560</v>
      </c>
    </row>
    <row r="3">
      <c r="A3" s="497" t="s">
        <v>561</v>
      </c>
      <c r="B3" s="497" t="s">
        <v>562</v>
      </c>
      <c r="C3" s="497" t="s">
        <v>562</v>
      </c>
      <c r="D3" s="497" t="s">
        <v>563</v>
      </c>
      <c r="E3" s="497" t="s">
        <v>563</v>
      </c>
      <c r="F3" s="497" t="s">
        <v>563</v>
      </c>
      <c r="G3" s="497" t="s">
        <v>563</v>
      </c>
    </row>
    <row r="5">
      <c r="A5" s="402" t="s">
        <v>92</v>
      </c>
    </row>
    <row r="6">
      <c r="A6" s="498" t="s">
        <v>88</v>
      </c>
    </row>
    <row r="7">
      <c r="A7" s="499" t="s">
        <v>564</v>
      </c>
      <c r="B7" s="399" t="s">
        <v>566</v>
      </c>
      <c r="C7" s="399" t="s">
        <v>566</v>
      </c>
      <c r="D7" s="399" t="s">
        <v>566</v>
      </c>
      <c r="E7" s="399" t="s">
        <v>566</v>
      </c>
      <c r="F7" s="399" t="s">
        <v>566</v>
      </c>
      <c r="G7" s="399" t="s">
        <v>566</v>
      </c>
    </row>
    <row r="8">
      <c r="A8" s="499" t="s">
        <v>567</v>
      </c>
      <c r="B8" s="399" t="s">
        <v>568</v>
      </c>
      <c r="C8" s="399" t="s">
        <v>568</v>
      </c>
      <c r="D8" s="399" t="s">
        <v>568</v>
      </c>
      <c r="E8" s="399" t="s">
        <v>568</v>
      </c>
      <c r="F8" s="399" t="s">
        <v>568</v>
      </c>
      <c r="G8" s="399" t="s">
        <v>568</v>
      </c>
    </row>
    <row r="9">
      <c r="A9" s="499" t="s">
        <v>569</v>
      </c>
      <c r="B9" s="399" t="s">
        <v>570</v>
      </c>
      <c r="C9" s="399" t="s">
        <v>570</v>
      </c>
      <c r="D9" s="399" t="s">
        <v>570</v>
      </c>
      <c r="E9" s="399" t="s">
        <v>570</v>
      </c>
      <c r="F9" s="399" t="s">
        <v>570</v>
      </c>
      <c r="G9" s="399" t="s">
        <v>570</v>
      </c>
    </row>
    <row r="10">
      <c r="A10" s="499" t="s">
        <v>571</v>
      </c>
      <c r="B10" s="500">
        <v>150000.0</v>
      </c>
      <c r="C10" s="500">
        <v>150000.0</v>
      </c>
      <c r="D10" s="501"/>
      <c r="E10" s="501"/>
      <c r="F10" s="501"/>
      <c r="G10" s="501"/>
    </row>
    <row r="11">
      <c r="A11" s="499" t="s">
        <v>572</v>
      </c>
      <c r="B11" s="399" t="s">
        <v>573</v>
      </c>
      <c r="C11" s="399" t="s">
        <v>573</v>
      </c>
      <c r="D11" s="501"/>
      <c r="E11" s="501"/>
      <c r="F11" s="501"/>
      <c r="G11" s="501"/>
    </row>
    <row r="12">
      <c r="B12" s="399"/>
      <c r="C12" s="399"/>
      <c r="D12" s="399"/>
      <c r="E12" s="399"/>
      <c r="F12" s="399"/>
      <c r="G12" s="399"/>
    </row>
    <row r="13">
      <c r="A13" s="503" t="s">
        <v>574</v>
      </c>
      <c r="B13" s="405">
        <v>6.1433</v>
      </c>
      <c r="C13" s="405">
        <v>6.1433</v>
      </c>
      <c r="D13" s="504">
        <v>0.0</v>
      </c>
      <c r="E13" s="504">
        <v>0.0</v>
      </c>
      <c r="F13" s="504">
        <v>0.0</v>
      </c>
      <c r="G13" s="504">
        <v>0.0</v>
      </c>
      <c r="H13" s="505"/>
      <c r="I13" s="506"/>
    </row>
    <row r="14">
      <c r="A14" s="503" t="s">
        <v>575</v>
      </c>
      <c r="B14" s="405">
        <v>38.23</v>
      </c>
      <c r="C14" s="405">
        <v>45.3</v>
      </c>
      <c r="D14" s="507">
        <v>6.87</v>
      </c>
      <c r="E14" s="507">
        <v>3.79</v>
      </c>
      <c r="F14" s="507">
        <v>0.82</v>
      </c>
      <c r="G14" s="508">
        <v>3.8336</v>
      </c>
      <c r="H14" s="505"/>
      <c r="I14" s="506"/>
    </row>
    <row r="15">
      <c r="A15" s="503" t="s">
        <v>576</v>
      </c>
      <c r="B15" s="405">
        <f t="shared" ref="B15:G15" si="1">(B13+B14)*B23</f>
        <v>15.530655</v>
      </c>
      <c r="C15" s="405">
        <f t="shared" si="1"/>
        <v>18.005155</v>
      </c>
      <c r="D15" s="405">
        <f t="shared" si="1"/>
        <v>2.4045</v>
      </c>
      <c r="E15" s="405">
        <f t="shared" si="1"/>
        <v>1.137</v>
      </c>
      <c r="F15" s="405">
        <f t="shared" si="1"/>
        <v>0.246</v>
      </c>
      <c r="G15" s="405">
        <f t="shared" si="1"/>
        <v>1.15008</v>
      </c>
      <c r="H15" s="505"/>
      <c r="I15" s="506"/>
    </row>
    <row r="16">
      <c r="A16" s="503" t="s">
        <v>577</v>
      </c>
      <c r="B16" s="405">
        <v>8.1762</v>
      </c>
      <c r="C16" s="405">
        <v>8.1762</v>
      </c>
      <c r="D16" s="509">
        <v>0.544</v>
      </c>
      <c r="E16" s="510">
        <v>0.0</v>
      </c>
      <c r="F16" s="510">
        <v>0.0</v>
      </c>
      <c r="G16" s="510">
        <v>0.8422</v>
      </c>
      <c r="H16" s="505"/>
      <c r="I16" s="511"/>
    </row>
    <row r="17">
      <c r="A17" s="503" t="s">
        <v>578</v>
      </c>
      <c r="B17" s="405">
        <f t="shared" ref="B17:G17" si="2">B16*B24</f>
        <v>2.45286</v>
      </c>
      <c r="C17" s="405">
        <f t="shared" si="2"/>
        <v>2.45286</v>
      </c>
      <c r="D17" s="405">
        <f t="shared" si="2"/>
        <v>0.1632</v>
      </c>
      <c r="E17" s="405">
        <f t="shared" si="2"/>
        <v>0</v>
      </c>
      <c r="F17" s="405">
        <f t="shared" si="2"/>
        <v>0</v>
      </c>
      <c r="G17" s="405">
        <f t="shared" si="2"/>
        <v>0.25266</v>
      </c>
      <c r="H17" s="505"/>
      <c r="I17" s="506"/>
    </row>
    <row r="18">
      <c r="A18" s="512" t="s">
        <v>579</v>
      </c>
      <c r="B18" s="513">
        <f t="shared" ref="B18:G18" si="3">SUM(B13:B17)</f>
        <v>70.533015</v>
      </c>
      <c r="C18" s="513">
        <f t="shared" si="3"/>
        <v>80.077515</v>
      </c>
      <c r="D18" s="513">
        <f t="shared" si="3"/>
        <v>9.9817</v>
      </c>
      <c r="E18" s="513">
        <f t="shared" si="3"/>
        <v>4.927</v>
      </c>
      <c r="F18" s="513">
        <f t="shared" si="3"/>
        <v>1.066</v>
      </c>
      <c r="G18" s="513">
        <f t="shared" si="3"/>
        <v>6.07854</v>
      </c>
      <c r="H18" s="24"/>
      <c r="I18" s="84"/>
    </row>
    <row r="19">
      <c r="A19" s="421"/>
      <c r="B19" s="399"/>
      <c r="C19" s="399"/>
      <c r="D19" s="399"/>
      <c r="E19" s="399"/>
      <c r="F19" s="399"/>
      <c r="G19" s="399"/>
      <c r="H19" s="505"/>
      <c r="I19" s="506"/>
    </row>
    <row r="20">
      <c r="A20" s="399" t="s">
        <v>580</v>
      </c>
      <c r="B20" s="405">
        <v>10.0</v>
      </c>
      <c r="C20" s="405">
        <v>10.0</v>
      </c>
      <c r="D20" s="405">
        <v>0.0</v>
      </c>
      <c r="E20" s="405">
        <v>0.0</v>
      </c>
      <c r="F20" s="405">
        <v>0.0</v>
      </c>
      <c r="G20" s="405">
        <v>0.0</v>
      </c>
      <c r="H20" s="505"/>
      <c r="I20" s="506"/>
    </row>
    <row r="21">
      <c r="A21" s="399" t="s">
        <v>581</v>
      </c>
      <c r="B21" s="405">
        <v>1.88</v>
      </c>
      <c r="C21" s="405">
        <v>1.88</v>
      </c>
      <c r="D21" s="405">
        <v>0.0</v>
      </c>
      <c r="E21" s="405">
        <v>0.0</v>
      </c>
      <c r="F21" s="405">
        <v>0.0</v>
      </c>
      <c r="G21" s="405">
        <v>0.0</v>
      </c>
      <c r="H21" s="505"/>
      <c r="I21" s="506"/>
    </row>
    <row r="22">
      <c r="A22" s="421"/>
      <c r="B22" s="399"/>
      <c r="C22" s="399"/>
      <c r="D22" s="399"/>
      <c r="E22" s="399"/>
      <c r="F22" s="399"/>
      <c r="G22" s="399"/>
      <c r="H22" s="505"/>
      <c r="I22" s="506"/>
    </row>
    <row r="23">
      <c r="A23" s="399" t="s">
        <v>582</v>
      </c>
      <c r="B23" s="515">
        <v>0.35</v>
      </c>
      <c r="C23" s="515">
        <v>0.35</v>
      </c>
      <c r="D23" s="515">
        <v>0.35</v>
      </c>
      <c r="E23" s="515">
        <v>0.3</v>
      </c>
      <c r="F23" s="515">
        <v>0.3</v>
      </c>
      <c r="G23" s="516">
        <v>0.3</v>
      </c>
      <c r="H23" s="505"/>
      <c r="I23" s="511"/>
    </row>
    <row r="24">
      <c r="A24" s="1" t="s">
        <v>583</v>
      </c>
      <c r="B24" s="515">
        <v>0.3</v>
      </c>
      <c r="C24" s="515">
        <v>0.3</v>
      </c>
      <c r="D24" s="515">
        <v>0.3</v>
      </c>
      <c r="E24" s="516">
        <v>0.3</v>
      </c>
      <c r="F24" s="516">
        <v>0.3</v>
      </c>
      <c r="G24" s="516">
        <v>0.3</v>
      </c>
      <c r="H24" s="505"/>
      <c r="I24" s="506"/>
    </row>
    <row r="25">
      <c r="B25" s="399"/>
      <c r="C25" s="399"/>
      <c r="D25" s="399"/>
      <c r="E25" s="399"/>
      <c r="F25" s="399"/>
      <c r="G25" s="399"/>
      <c r="H25" s="505"/>
      <c r="I25" s="506"/>
    </row>
    <row r="26">
      <c r="A26" s="503" t="s">
        <v>584</v>
      </c>
      <c r="B26" s="405">
        <f t="shared" ref="B26:G26" si="4">sum(B13:B17)*B32</f>
        <v>0</v>
      </c>
      <c r="C26" s="405">
        <f t="shared" si="4"/>
        <v>0</v>
      </c>
      <c r="D26" s="405">
        <f t="shared" si="4"/>
        <v>0.2495425</v>
      </c>
      <c r="E26" s="405">
        <f t="shared" si="4"/>
        <v>0.167518</v>
      </c>
      <c r="F26" s="405">
        <f t="shared" si="4"/>
        <v>0.036244</v>
      </c>
      <c r="G26" s="405">
        <f t="shared" si="4"/>
        <v>0.20667036</v>
      </c>
      <c r="H26" s="24"/>
      <c r="I26" s="84"/>
    </row>
    <row r="27">
      <c r="A27" s="503" t="s">
        <v>585</v>
      </c>
      <c r="B27" s="405">
        <f t="shared" ref="B27:G27" si="5">sum(B13:B17)*B33</f>
        <v>5.289976125</v>
      </c>
      <c r="C27" s="405">
        <f t="shared" si="5"/>
        <v>6.005813625</v>
      </c>
      <c r="D27" s="405">
        <f t="shared" si="5"/>
        <v>2.495425</v>
      </c>
      <c r="E27" s="405">
        <f t="shared" si="5"/>
        <v>0.369525</v>
      </c>
      <c r="F27" s="405">
        <f t="shared" si="5"/>
        <v>0.07995</v>
      </c>
      <c r="G27" s="405">
        <f t="shared" si="5"/>
        <v>0.4558905</v>
      </c>
      <c r="H27" s="505"/>
      <c r="I27" s="517"/>
    </row>
    <row r="28">
      <c r="A28" s="503" t="s">
        <v>139</v>
      </c>
      <c r="B28" s="405">
        <f t="shared" ref="B28:G28" si="6">SUM($B$13:$B$17)*B34</f>
        <v>0.08816626875</v>
      </c>
      <c r="C28" s="405">
        <f t="shared" si="6"/>
        <v>0.08816626875</v>
      </c>
      <c r="D28" s="405">
        <f t="shared" si="6"/>
        <v>0.08816626875</v>
      </c>
      <c r="E28" s="405">
        <f t="shared" si="6"/>
        <v>0.08816626875</v>
      </c>
      <c r="F28" s="405">
        <f t="shared" si="6"/>
        <v>0.08816626875</v>
      </c>
      <c r="G28" s="405">
        <f t="shared" si="6"/>
        <v>0.08816626875</v>
      </c>
    </row>
    <row r="29">
      <c r="A29" s="503" t="s">
        <v>145</v>
      </c>
      <c r="B29" s="405">
        <f t="shared" ref="B29:G29" si="7">SUM($B$13:$B$17)*B35</f>
        <v>0.244326364</v>
      </c>
      <c r="C29" s="405">
        <f t="shared" si="7"/>
        <v>0.244326364</v>
      </c>
      <c r="D29" s="405">
        <f t="shared" si="7"/>
        <v>0.244326364</v>
      </c>
      <c r="E29" s="405">
        <f t="shared" si="7"/>
        <v>0.244326364</v>
      </c>
      <c r="F29" s="405">
        <f t="shared" si="7"/>
        <v>0.244326364</v>
      </c>
      <c r="G29" s="405">
        <f t="shared" si="7"/>
        <v>0.244326364</v>
      </c>
    </row>
    <row r="30">
      <c r="A30" s="512" t="s">
        <v>586</v>
      </c>
      <c r="B30" s="513">
        <f t="shared" ref="B30:G30" si="8">SUM(B26:B29)</f>
        <v>5.622468758</v>
      </c>
      <c r="C30" s="513">
        <f t="shared" si="8"/>
        <v>6.338306258</v>
      </c>
      <c r="D30" s="513">
        <f t="shared" si="8"/>
        <v>3.077460133</v>
      </c>
      <c r="E30" s="513">
        <f t="shared" si="8"/>
        <v>0.8695356327</v>
      </c>
      <c r="F30" s="513">
        <f t="shared" si="8"/>
        <v>0.4486866327</v>
      </c>
      <c r="G30" s="513">
        <f t="shared" si="8"/>
        <v>0.9950534927</v>
      </c>
    </row>
    <row r="31">
      <c r="B31" s="399"/>
      <c r="C31" s="399"/>
      <c r="D31" s="399"/>
      <c r="E31" s="399"/>
      <c r="F31" s="399"/>
      <c r="G31" s="399"/>
    </row>
    <row r="32">
      <c r="A32" s="435" t="s">
        <v>587</v>
      </c>
      <c r="B32" s="515">
        <v>0.0</v>
      </c>
      <c r="C32" s="515">
        <v>0.0</v>
      </c>
      <c r="D32" s="515">
        <v>0.025</v>
      </c>
      <c r="E32" s="515">
        <v>0.034</v>
      </c>
      <c r="F32" s="515">
        <v>0.034</v>
      </c>
      <c r="G32" s="515">
        <v>0.034</v>
      </c>
    </row>
    <row r="33">
      <c r="A33" s="435" t="s">
        <v>588</v>
      </c>
      <c r="B33" s="515">
        <v>0.075</v>
      </c>
      <c r="C33" s="515">
        <v>0.075</v>
      </c>
      <c r="D33" s="515">
        <v>0.25</v>
      </c>
      <c r="E33" s="515">
        <v>0.075</v>
      </c>
      <c r="F33" s="515">
        <v>0.075</v>
      </c>
      <c r="G33" s="515">
        <v>0.075</v>
      </c>
    </row>
    <row r="34">
      <c r="A34" s="1" t="s">
        <v>589</v>
      </c>
      <c r="B34" s="518">
        <v>0.00125</v>
      </c>
      <c r="C34" s="518">
        <v>0.00125</v>
      </c>
      <c r="D34" s="518">
        <v>0.00125</v>
      </c>
      <c r="E34" s="518">
        <v>0.00125</v>
      </c>
      <c r="F34" s="518">
        <v>0.00125</v>
      </c>
      <c r="G34" s="518">
        <v>0.00125</v>
      </c>
    </row>
    <row r="35">
      <c r="A35" s="1" t="s">
        <v>591</v>
      </c>
      <c r="B35" s="519">
        <v>0.003464</v>
      </c>
      <c r="C35" s="519">
        <v>0.003464</v>
      </c>
      <c r="D35" s="519">
        <v>0.003464</v>
      </c>
      <c r="E35" s="519">
        <v>0.003464</v>
      </c>
      <c r="F35" s="519">
        <v>0.003464</v>
      </c>
      <c r="G35" s="519">
        <v>0.003464</v>
      </c>
    </row>
    <row r="36">
      <c r="B36" s="399"/>
      <c r="C36" s="399"/>
      <c r="D36" s="399"/>
      <c r="E36" s="399"/>
      <c r="F36" s="399"/>
      <c r="G36" s="399"/>
    </row>
    <row r="37">
      <c r="A37" s="520" t="s">
        <v>592</v>
      </c>
      <c r="B37" s="521">
        <f t="shared" ref="B37:G37" si="9">B18+B20+B21+B30</f>
        <v>88.03548376</v>
      </c>
      <c r="C37" s="521">
        <f t="shared" si="9"/>
        <v>98.29582126</v>
      </c>
      <c r="D37" s="521">
        <f t="shared" si="9"/>
        <v>13.05916013</v>
      </c>
      <c r="E37" s="521">
        <f t="shared" si="9"/>
        <v>5.796535633</v>
      </c>
      <c r="F37" s="521">
        <f t="shared" si="9"/>
        <v>1.514686633</v>
      </c>
      <c r="G37" s="521">
        <f t="shared" si="9"/>
        <v>7.073593493</v>
      </c>
    </row>
    <row r="40">
      <c r="C40" s="436"/>
      <c r="F40" s="460"/>
    </row>
    <row r="41">
      <c r="A41" s="402" t="s">
        <v>122</v>
      </c>
    </row>
    <row r="42">
      <c r="A42" s="498" t="s">
        <v>88</v>
      </c>
    </row>
    <row r="43">
      <c r="A43" s="499" t="s">
        <v>564</v>
      </c>
      <c r="B43" s="399" t="s">
        <v>593</v>
      </c>
      <c r="C43" s="399" t="s">
        <v>593</v>
      </c>
      <c r="D43" s="399" t="s">
        <v>593</v>
      </c>
      <c r="E43" s="399" t="s">
        <v>593</v>
      </c>
      <c r="F43" s="399" t="s">
        <v>593</v>
      </c>
      <c r="G43" s="399" t="s">
        <v>593</v>
      </c>
    </row>
    <row r="44">
      <c r="A44" s="499" t="s">
        <v>567</v>
      </c>
      <c r="B44" s="399" t="s">
        <v>568</v>
      </c>
      <c r="C44" s="399" t="s">
        <v>568</v>
      </c>
      <c r="D44" s="399" t="s">
        <v>568</v>
      </c>
      <c r="E44" s="399" t="s">
        <v>568</v>
      </c>
      <c r="F44" s="399" t="s">
        <v>568</v>
      </c>
      <c r="G44" s="399" t="s">
        <v>568</v>
      </c>
    </row>
    <row r="45">
      <c r="A45" s="499" t="s">
        <v>569</v>
      </c>
      <c r="B45" s="399" t="s">
        <v>570</v>
      </c>
      <c r="C45" s="399" t="s">
        <v>570</v>
      </c>
      <c r="D45" s="399" t="s">
        <v>570</v>
      </c>
      <c r="E45" s="399" t="s">
        <v>570</v>
      </c>
      <c r="F45" s="399" t="s">
        <v>570</v>
      </c>
      <c r="G45" s="399" t="s">
        <v>570</v>
      </c>
    </row>
    <row r="46">
      <c r="A46" s="499" t="s">
        <v>571</v>
      </c>
      <c r="B46" s="501"/>
      <c r="C46" s="501"/>
      <c r="D46" s="501"/>
      <c r="E46" s="501"/>
      <c r="F46" s="501"/>
      <c r="G46" s="501"/>
    </row>
    <row r="47">
      <c r="A47" s="499" t="s">
        <v>572</v>
      </c>
      <c r="B47" s="501"/>
      <c r="C47" s="501"/>
      <c r="D47" s="501"/>
      <c r="E47" s="501"/>
      <c r="F47" s="501"/>
      <c r="G47" s="501"/>
    </row>
    <row r="49">
      <c r="A49" s="503" t="s">
        <v>594</v>
      </c>
      <c r="B49" s="522">
        <v>22.88</v>
      </c>
      <c r="C49" s="522">
        <v>22.88</v>
      </c>
      <c r="D49" s="522">
        <v>3.06</v>
      </c>
      <c r="E49" s="522">
        <v>4.88</v>
      </c>
      <c r="F49" s="522">
        <v>0.75</v>
      </c>
      <c r="G49" s="522">
        <v>2.55</v>
      </c>
    </row>
    <row r="50">
      <c r="A50" s="503" t="s">
        <v>595</v>
      </c>
      <c r="B50" s="522">
        <v>10.56</v>
      </c>
      <c r="C50" s="522">
        <v>10.56</v>
      </c>
      <c r="D50" s="522">
        <v>1.31</v>
      </c>
      <c r="E50" s="523">
        <v>2.09</v>
      </c>
      <c r="F50" s="523">
        <v>0.32</v>
      </c>
      <c r="G50" s="523">
        <v>0.97</v>
      </c>
    </row>
    <row r="51">
      <c r="A51" s="503" t="s">
        <v>596</v>
      </c>
      <c r="B51" s="522">
        <v>2.65</v>
      </c>
      <c r="C51" s="522">
        <v>2.65</v>
      </c>
      <c r="D51" s="522">
        <v>0.39</v>
      </c>
      <c r="E51" s="522">
        <v>0.58</v>
      </c>
      <c r="F51" s="522">
        <v>0.1</v>
      </c>
      <c r="G51" s="522">
        <v>0.35</v>
      </c>
    </row>
    <row r="52">
      <c r="A52" s="512" t="s">
        <v>597</v>
      </c>
      <c r="B52" s="513">
        <f t="shared" ref="B52:G52" si="10">(B49*B54)+(B50*B55)+(B56*B51)</f>
        <v>11.442</v>
      </c>
      <c r="C52" s="513">
        <f t="shared" si="10"/>
        <v>11.442</v>
      </c>
      <c r="D52" s="513">
        <f t="shared" si="10"/>
        <v>1.476</v>
      </c>
      <c r="E52" s="513">
        <f t="shared" si="10"/>
        <v>2.346</v>
      </c>
      <c r="F52" s="513">
        <f t="shared" si="10"/>
        <v>0.362</v>
      </c>
      <c r="G52" s="513">
        <f t="shared" si="10"/>
        <v>1.162</v>
      </c>
    </row>
    <row r="53">
      <c r="A53" s="421"/>
      <c r="B53" s="399"/>
      <c r="C53" s="399"/>
      <c r="D53" s="399"/>
      <c r="E53" s="399"/>
      <c r="F53" s="399"/>
      <c r="G53" s="399"/>
    </row>
    <row r="54">
      <c r="A54" s="399" t="s">
        <v>599</v>
      </c>
      <c r="B54" s="516">
        <v>0.2</v>
      </c>
      <c r="C54" s="516">
        <v>0.2</v>
      </c>
      <c r="D54" s="516">
        <v>0.2</v>
      </c>
      <c r="E54" s="516">
        <v>0.2</v>
      </c>
      <c r="F54" s="516">
        <v>0.2</v>
      </c>
      <c r="G54" s="516">
        <v>0.2</v>
      </c>
    </row>
    <row r="55">
      <c r="A55" s="1" t="s">
        <v>600</v>
      </c>
      <c r="B55" s="516">
        <v>0.6</v>
      </c>
      <c r="C55" s="516">
        <v>0.6</v>
      </c>
      <c r="D55" s="516">
        <v>0.6</v>
      </c>
      <c r="E55" s="516">
        <v>0.6</v>
      </c>
      <c r="F55" s="516">
        <v>0.6</v>
      </c>
      <c r="G55" s="516">
        <v>0.6</v>
      </c>
    </row>
    <row r="56">
      <c r="A56" s="451" t="s">
        <v>601</v>
      </c>
      <c r="B56" s="524">
        <v>0.2</v>
      </c>
      <c r="C56" s="524">
        <v>0.2</v>
      </c>
      <c r="D56" s="524">
        <v>0.2</v>
      </c>
      <c r="E56" s="524">
        <v>0.2</v>
      </c>
      <c r="F56" s="524">
        <v>0.2</v>
      </c>
      <c r="G56" s="524">
        <v>0.2</v>
      </c>
    </row>
    <row r="57">
      <c r="B57" s="430">
        <f t="shared" ref="B57:G57" si="11">SUM(B54:B56)</f>
        <v>1</v>
      </c>
      <c r="C57" s="430">
        <f t="shared" si="11"/>
        <v>1</v>
      </c>
      <c r="D57" s="430">
        <f t="shared" si="11"/>
        <v>1</v>
      </c>
      <c r="E57" s="430">
        <f t="shared" si="11"/>
        <v>1</v>
      </c>
      <c r="F57" s="430">
        <f t="shared" si="11"/>
        <v>1</v>
      </c>
      <c r="G57" s="430">
        <f t="shared" si="11"/>
        <v>1</v>
      </c>
    </row>
    <row r="59">
      <c r="A59" s="520" t="s">
        <v>592</v>
      </c>
      <c r="B59" s="521">
        <f t="shared" ref="B59:G59" si="12">B37+B52</f>
        <v>99.47748376</v>
      </c>
      <c r="C59" s="521">
        <f t="shared" si="12"/>
        <v>109.7378213</v>
      </c>
      <c r="D59" s="521">
        <f t="shared" si="12"/>
        <v>14.53516013</v>
      </c>
      <c r="E59" s="521">
        <f t="shared" si="12"/>
        <v>8.142535633</v>
      </c>
      <c r="F59" s="521">
        <f t="shared" si="12"/>
        <v>1.876686633</v>
      </c>
      <c r="G59" s="521">
        <f t="shared" si="12"/>
        <v>8.235593493</v>
      </c>
    </row>
    <row r="63">
      <c r="A63" s="402" t="s">
        <v>130</v>
      </c>
    </row>
    <row r="64">
      <c r="A64" s="498" t="s">
        <v>88</v>
      </c>
    </row>
    <row r="65">
      <c r="A65" s="499" t="s">
        <v>564</v>
      </c>
      <c r="B65" s="399" t="s">
        <v>603</v>
      </c>
      <c r="C65" s="399" t="s">
        <v>603</v>
      </c>
      <c r="D65" s="399" t="s">
        <v>603</v>
      </c>
      <c r="E65" s="399" t="s">
        <v>603</v>
      </c>
      <c r="F65" s="399" t="s">
        <v>603</v>
      </c>
      <c r="G65" s="399" t="s">
        <v>603</v>
      </c>
    </row>
    <row r="66">
      <c r="A66" s="499" t="s">
        <v>567</v>
      </c>
      <c r="B66" s="399" t="s">
        <v>568</v>
      </c>
      <c r="C66" s="399" t="s">
        <v>568</v>
      </c>
      <c r="D66" s="399" t="s">
        <v>568</v>
      </c>
      <c r="E66" s="399" t="s">
        <v>568</v>
      </c>
      <c r="F66" s="399" t="s">
        <v>568</v>
      </c>
      <c r="G66" s="399" t="s">
        <v>568</v>
      </c>
    </row>
    <row r="67">
      <c r="A67" s="499" t="s">
        <v>569</v>
      </c>
      <c r="B67" s="399" t="s">
        <v>570</v>
      </c>
      <c r="C67" s="399" t="s">
        <v>570</v>
      </c>
      <c r="D67" s="399" t="s">
        <v>570</v>
      </c>
      <c r="E67" s="399" t="s">
        <v>570</v>
      </c>
      <c r="F67" s="399" t="s">
        <v>570</v>
      </c>
      <c r="G67" s="399" t="s">
        <v>570</v>
      </c>
    </row>
    <row r="68">
      <c r="A68" s="499" t="s">
        <v>571</v>
      </c>
      <c r="B68" s="501"/>
      <c r="C68" s="501"/>
      <c r="D68" s="501"/>
      <c r="E68" s="501"/>
      <c r="F68" s="501"/>
      <c r="G68" s="501"/>
    </row>
    <row r="69">
      <c r="A69" s="499" t="s">
        <v>572</v>
      </c>
      <c r="B69" s="501"/>
      <c r="C69" s="501"/>
      <c r="D69" s="501"/>
      <c r="E69" s="501"/>
      <c r="F69" s="501"/>
      <c r="G69" s="501"/>
    </row>
    <row r="71">
      <c r="A71" s="503" t="s">
        <v>130</v>
      </c>
      <c r="B71" s="405">
        <v>44.0</v>
      </c>
      <c r="C71" s="405">
        <v>44.0</v>
      </c>
      <c r="D71" s="405">
        <v>22.0</v>
      </c>
      <c r="E71" s="405">
        <v>22.0</v>
      </c>
      <c r="F71" s="405">
        <v>22.0</v>
      </c>
      <c r="G71" s="405">
        <v>22.0</v>
      </c>
    </row>
    <row r="72">
      <c r="A72" s="503" t="s">
        <v>604</v>
      </c>
      <c r="B72" s="503"/>
      <c r="C72" s="503"/>
      <c r="D72" s="503"/>
      <c r="E72" s="503"/>
      <c r="F72" s="503"/>
      <c r="G72" s="503"/>
    </row>
    <row r="73">
      <c r="A73" s="503" t="s">
        <v>605</v>
      </c>
      <c r="B73" s="504">
        <v>1.01</v>
      </c>
      <c r="C73" s="504">
        <v>1.01</v>
      </c>
      <c r="D73" s="504">
        <v>0.6</v>
      </c>
      <c r="E73" s="504">
        <v>0.6</v>
      </c>
      <c r="F73" s="504">
        <v>0.6</v>
      </c>
      <c r="G73" s="504">
        <v>0.6</v>
      </c>
    </row>
    <row r="74">
      <c r="A74" s="503" t="s">
        <v>606</v>
      </c>
      <c r="B74" s="504">
        <v>0.35</v>
      </c>
      <c r="C74" s="504">
        <v>0.35</v>
      </c>
      <c r="D74" s="504">
        <v>0.35</v>
      </c>
      <c r="E74" s="504">
        <v>0.35</v>
      </c>
      <c r="F74" s="504">
        <v>0.35</v>
      </c>
      <c r="G74" s="504">
        <v>0.35</v>
      </c>
    </row>
    <row r="75">
      <c r="A75" s="503" t="s">
        <v>607</v>
      </c>
      <c r="B75" s="510">
        <v>0.31</v>
      </c>
      <c r="C75" s="510">
        <v>0.31</v>
      </c>
      <c r="D75" s="510">
        <v>0.03</v>
      </c>
      <c r="E75" s="510">
        <v>0.06</v>
      </c>
      <c r="F75" s="510">
        <v>0.01</v>
      </c>
      <c r="G75" s="510">
        <v>0.04</v>
      </c>
      <c r="H75" s="526"/>
      <c r="I75" s="526"/>
      <c r="J75" s="526"/>
      <c r="K75" s="526"/>
      <c r="L75" s="526"/>
      <c r="M75" s="526"/>
      <c r="N75" s="526"/>
      <c r="O75" s="526"/>
      <c r="P75" s="526"/>
      <c r="Q75" s="526"/>
      <c r="R75" s="526"/>
      <c r="S75" s="526"/>
      <c r="T75" s="526"/>
      <c r="U75" s="526"/>
    </row>
    <row r="76">
      <c r="A76" s="503" t="s">
        <v>608</v>
      </c>
      <c r="B76" s="527">
        <v>0.0</v>
      </c>
      <c r="C76" s="527">
        <v>0.0</v>
      </c>
      <c r="D76" s="527">
        <v>1.2</v>
      </c>
      <c r="E76" s="527">
        <v>1.2</v>
      </c>
      <c r="F76" s="527">
        <v>1.2</v>
      </c>
      <c r="G76" s="527">
        <v>1.2</v>
      </c>
    </row>
    <row r="77">
      <c r="A77" s="503" t="s">
        <v>609</v>
      </c>
      <c r="B77" s="527">
        <v>1.3</v>
      </c>
      <c r="C77" s="527">
        <v>1.3</v>
      </c>
      <c r="D77" s="527">
        <v>0.0</v>
      </c>
      <c r="E77" s="527">
        <v>0.0</v>
      </c>
      <c r="F77" s="527">
        <v>0.0</v>
      </c>
      <c r="G77" s="527">
        <v>0.0</v>
      </c>
    </row>
    <row r="78">
      <c r="A78" s="503" t="s">
        <v>610</v>
      </c>
      <c r="B78" s="503"/>
      <c r="C78" s="503"/>
      <c r="D78" s="503"/>
      <c r="E78" s="503"/>
      <c r="F78" s="503"/>
      <c r="G78" s="503"/>
    </row>
    <row r="79">
      <c r="A79" s="503" t="s">
        <v>192</v>
      </c>
      <c r="B79" s="504">
        <v>0.3</v>
      </c>
      <c r="C79" s="504">
        <v>0.3</v>
      </c>
      <c r="D79" s="527">
        <v>0.0</v>
      </c>
      <c r="E79" s="527">
        <v>0.0</v>
      </c>
      <c r="F79" s="527">
        <v>0.0</v>
      </c>
      <c r="G79" s="527">
        <v>0.0</v>
      </c>
    </row>
    <row r="80">
      <c r="A80" s="503" t="s">
        <v>611</v>
      </c>
      <c r="B80" s="418">
        <v>0.31</v>
      </c>
      <c r="C80" s="418">
        <v>0.31</v>
      </c>
      <c r="D80" s="418">
        <v>0.31</v>
      </c>
      <c r="E80" s="418">
        <v>0.31</v>
      </c>
      <c r="F80" s="418">
        <v>0.31</v>
      </c>
      <c r="G80" s="418">
        <v>0.31</v>
      </c>
    </row>
    <row r="81">
      <c r="A81" s="512" t="s">
        <v>612</v>
      </c>
      <c r="B81" s="513">
        <f t="shared" ref="B81:G81" si="13">SUM(B71:B80)</f>
        <v>47.58</v>
      </c>
      <c r="C81" s="513">
        <f t="shared" si="13"/>
        <v>47.58</v>
      </c>
      <c r="D81" s="513">
        <f t="shared" si="13"/>
        <v>24.49</v>
      </c>
      <c r="E81" s="513">
        <f t="shared" si="13"/>
        <v>24.52</v>
      </c>
      <c r="F81" s="513">
        <f t="shared" si="13"/>
        <v>24.47</v>
      </c>
      <c r="G81" s="513">
        <f t="shared" si="13"/>
        <v>24.5</v>
      </c>
    </row>
    <row r="83">
      <c r="A83" s="520" t="s">
        <v>592</v>
      </c>
      <c r="B83" s="521">
        <f t="shared" ref="B83:G83" si="14">B59+B81</f>
        <v>147.0574838</v>
      </c>
      <c r="C83" s="521">
        <f t="shared" si="14"/>
        <v>157.3178213</v>
      </c>
      <c r="D83" s="521">
        <f t="shared" si="14"/>
        <v>39.02516013</v>
      </c>
      <c r="E83" s="521">
        <f t="shared" si="14"/>
        <v>32.66253563</v>
      </c>
      <c r="F83" s="521">
        <f t="shared" si="14"/>
        <v>26.34668663</v>
      </c>
      <c r="G83" s="521">
        <f t="shared" si="14"/>
        <v>32.73559349</v>
      </c>
    </row>
    <row r="87">
      <c r="A87" s="421"/>
      <c r="B87" s="399"/>
      <c r="C87" s="399" t="s">
        <v>623</v>
      </c>
      <c r="D87" s="399">
        <v>70.0</v>
      </c>
      <c r="E87" s="399">
        <v>24.0</v>
      </c>
      <c r="F87" s="399">
        <v>14.0</v>
      </c>
      <c r="G87" s="399">
        <v>29.0</v>
      </c>
    </row>
    <row r="88">
      <c r="C88" s="1" t="s">
        <v>624</v>
      </c>
      <c r="D88" s="460">
        <v>10.0</v>
      </c>
      <c r="E88" s="460">
        <v>10.0</v>
      </c>
      <c r="F88" s="460">
        <v>10.0</v>
      </c>
      <c r="G88" s="460">
        <v>10.0</v>
      </c>
    </row>
    <row r="89">
      <c r="D89" s="446">
        <f t="shared" ref="D89:G89" si="15">(D87-D83)+D88</f>
        <v>40.97483987</v>
      </c>
      <c r="E89" s="446">
        <f t="shared" si="15"/>
        <v>1.337464367</v>
      </c>
      <c r="F89" s="446">
        <f t="shared" si="15"/>
        <v>-2.346686633</v>
      </c>
      <c r="G89" s="446">
        <f t="shared" si="15"/>
        <v>6.264406507</v>
      </c>
    </row>
    <row r="91">
      <c r="C91" s="1" t="s">
        <v>625</v>
      </c>
      <c r="D91" s="569">
        <f t="shared" ref="D91:G91" si="16">D87*0.13</f>
        <v>9.1</v>
      </c>
      <c r="E91" s="569">
        <f t="shared" si="16"/>
        <v>3.12</v>
      </c>
      <c r="F91" s="569">
        <f t="shared" si="16"/>
        <v>1.82</v>
      </c>
      <c r="G91" s="569">
        <f t="shared" si="16"/>
        <v>3.77</v>
      </c>
    </row>
    <row r="93">
      <c r="C93" s="572" t="s">
        <v>626</v>
      </c>
      <c r="D93" s="446">
        <f t="shared" ref="D93:G93" si="17">D89-D91</f>
        <v>31.87483987</v>
      </c>
      <c r="E93" s="446">
        <f t="shared" si="17"/>
        <v>-1.782535633</v>
      </c>
      <c r="F93" s="446">
        <f t="shared" si="17"/>
        <v>-4.166686633</v>
      </c>
      <c r="G93" s="446">
        <f t="shared" si="17"/>
        <v>2.494406507</v>
      </c>
    </row>
    <row r="97">
      <c r="F97" s="575"/>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9" max="9" width="18.38"/>
    <col customWidth="1" min="10" max="10" width="20.88"/>
  </cols>
  <sheetData>
    <row r="1">
      <c r="A1" s="600"/>
      <c r="B1" s="601"/>
      <c r="C1" s="602"/>
      <c r="D1" s="600"/>
      <c r="E1" s="600"/>
      <c r="F1" s="602"/>
      <c r="G1" s="604"/>
      <c r="H1" s="604"/>
      <c r="I1" s="604"/>
      <c r="J1" s="604"/>
    </row>
    <row r="2">
      <c r="A2" s="605" t="s">
        <v>628</v>
      </c>
      <c r="B2" s="606">
        <v>44933.0</v>
      </c>
      <c r="C2" s="607"/>
      <c r="D2" s="605" t="s">
        <v>629</v>
      </c>
      <c r="E2" s="605" t="s">
        <v>630</v>
      </c>
      <c r="F2" s="607"/>
      <c r="G2" s="608" t="s">
        <v>631</v>
      </c>
      <c r="H2" s="609"/>
      <c r="I2" s="610" t="s">
        <v>632</v>
      </c>
      <c r="J2" s="609"/>
    </row>
    <row r="3">
      <c r="A3" s="611" t="s">
        <v>633</v>
      </c>
      <c r="B3" s="612">
        <v>31.0</v>
      </c>
      <c r="C3" s="613" t="s">
        <v>634</v>
      </c>
      <c r="D3" s="614"/>
      <c r="E3" s="614"/>
      <c r="F3" s="615"/>
      <c r="G3" s="616" t="s">
        <v>635</v>
      </c>
      <c r="H3" s="617">
        <v>1442794.0</v>
      </c>
      <c r="I3" s="618" t="s">
        <v>636</v>
      </c>
      <c r="J3" s="619">
        <v>58775.0</v>
      </c>
    </row>
    <row r="4">
      <c r="A4" s="611" t="s">
        <v>637</v>
      </c>
      <c r="B4" s="620">
        <f>count('OLD Sales'!B15:AF15)</f>
        <v>31</v>
      </c>
      <c r="C4" s="621"/>
      <c r="D4" s="17"/>
      <c r="E4" s="17"/>
      <c r="F4" s="34"/>
      <c r="G4" s="616" t="s">
        <v>638</v>
      </c>
      <c r="H4" s="622">
        <v>6922.0</v>
      </c>
      <c r="I4" s="618" t="s">
        <v>639</v>
      </c>
      <c r="J4" s="623">
        <v>230.0</v>
      </c>
    </row>
    <row r="5">
      <c r="A5" s="624"/>
      <c r="B5" s="625" t="s">
        <v>640</v>
      </c>
      <c r="C5" s="609"/>
      <c r="D5" s="625" t="s">
        <v>641</v>
      </c>
      <c r="E5" s="626"/>
      <c r="F5" s="609"/>
      <c r="G5" s="616" t="s">
        <v>642</v>
      </c>
      <c r="H5" s="617">
        <v>509669.0</v>
      </c>
      <c r="I5" s="618" t="s">
        <v>643</v>
      </c>
      <c r="J5" s="619">
        <v>16862.0</v>
      </c>
    </row>
    <row r="6">
      <c r="A6" s="627" t="s">
        <v>644</v>
      </c>
      <c r="B6" s="627" t="s">
        <v>645</v>
      </c>
      <c r="C6" s="628" t="s">
        <v>637</v>
      </c>
      <c r="D6" s="627" t="s">
        <v>641</v>
      </c>
      <c r="E6" s="627" t="s">
        <v>646</v>
      </c>
      <c r="F6" s="627" t="s">
        <v>647</v>
      </c>
      <c r="G6" s="616" t="s">
        <v>648</v>
      </c>
      <c r="H6" s="629">
        <v>606911.0</v>
      </c>
      <c r="I6" s="618" t="s">
        <v>649</v>
      </c>
      <c r="J6" s="630">
        <v>20230.0</v>
      </c>
    </row>
    <row r="7">
      <c r="A7" s="631">
        <v>1.0</v>
      </c>
      <c r="B7" s="632">
        <f t="shared" ref="B7:B37" si="1">$B$38/$B$3</f>
        <v>64516.12903</v>
      </c>
      <c r="C7" s="633">
        <f>'OLD Sales'!B14</f>
        <v>49127.2</v>
      </c>
      <c r="D7" s="634">
        <f t="shared" ref="D7:D38" si="2">C7/$B$4*$B$3</f>
        <v>49127.2</v>
      </c>
      <c r="E7" s="635">
        <f t="shared" ref="E7:E38" si="3">D7/B7-1</f>
        <v>-0.2385284</v>
      </c>
      <c r="F7" s="636">
        <f t="shared" ref="F7:F38" si="4">D7-B7</f>
        <v>-15388.92903</v>
      </c>
      <c r="G7" s="616" t="s">
        <v>650</v>
      </c>
      <c r="H7" s="622">
        <v>3.63</v>
      </c>
      <c r="I7" s="637"/>
      <c r="J7" s="637"/>
    </row>
    <row r="8">
      <c r="A8" s="638">
        <v>2.0</v>
      </c>
      <c r="B8" s="639">
        <f t="shared" si="1"/>
        <v>64516.12903</v>
      </c>
      <c r="C8" s="640">
        <f>'OLD Sales'!C14</f>
        <v>44359.94</v>
      </c>
      <c r="D8" s="634">
        <f t="shared" si="2"/>
        <v>44359.94</v>
      </c>
      <c r="E8" s="641">
        <f t="shared" si="3"/>
        <v>-0.31242093</v>
      </c>
      <c r="F8" s="642">
        <f t="shared" si="4"/>
        <v>-20156.18903</v>
      </c>
      <c r="G8" s="616" t="s">
        <v>651</v>
      </c>
      <c r="H8" s="643">
        <v>0.3</v>
      </c>
      <c r="I8" s="644"/>
      <c r="J8" s="637"/>
    </row>
    <row r="9">
      <c r="A9" s="638">
        <v>3.0</v>
      </c>
      <c r="B9" s="632">
        <f t="shared" si="1"/>
        <v>64516.12903</v>
      </c>
      <c r="C9" s="645">
        <f>'OLD Sales'!D14</f>
        <v>41176.95</v>
      </c>
      <c r="D9" s="634">
        <f t="shared" si="2"/>
        <v>41176.95</v>
      </c>
      <c r="E9" s="641">
        <f t="shared" si="3"/>
        <v>-0.361757275</v>
      </c>
      <c r="F9" s="642">
        <f t="shared" si="4"/>
        <v>-23339.17903</v>
      </c>
      <c r="G9" s="646" t="s">
        <v>652</v>
      </c>
      <c r="H9" s="622" t="s">
        <v>653</v>
      </c>
      <c r="I9" s="637"/>
      <c r="J9" s="637"/>
    </row>
    <row r="10">
      <c r="A10" s="638">
        <v>4.0</v>
      </c>
      <c r="B10" s="639">
        <f t="shared" si="1"/>
        <v>64516.12903</v>
      </c>
      <c r="C10" s="640">
        <f>'OLD Sales'!E14</f>
        <v>43682.34</v>
      </c>
      <c r="D10" s="634">
        <f t="shared" si="2"/>
        <v>43682.34</v>
      </c>
      <c r="E10" s="641">
        <f t="shared" si="3"/>
        <v>-0.32292373</v>
      </c>
      <c r="F10" s="642">
        <f t="shared" si="4"/>
        <v>-20833.78903</v>
      </c>
      <c r="G10" s="616" t="s">
        <v>654</v>
      </c>
      <c r="H10" s="647">
        <v>256.11</v>
      </c>
      <c r="I10" s="637"/>
      <c r="J10" s="637"/>
    </row>
    <row r="11">
      <c r="A11" s="638">
        <v>5.0</v>
      </c>
      <c r="B11" s="632">
        <f t="shared" si="1"/>
        <v>64516.12903</v>
      </c>
      <c r="C11" s="645">
        <f>'OLD Sales'!F14</f>
        <v>40447.23</v>
      </c>
      <c r="D11" s="634">
        <f t="shared" si="2"/>
        <v>40447.23</v>
      </c>
      <c r="E11" s="641">
        <f t="shared" si="3"/>
        <v>-0.373067935</v>
      </c>
      <c r="F11" s="642">
        <f t="shared" si="4"/>
        <v>-24068.89903</v>
      </c>
    </row>
    <row r="12">
      <c r="A12" s="638">
        <v>6.0</v>
      </c>
      <c r="B12" s="639">
        <f t="shared" si="1"/>
        <v>64516.12903</v>
      </c>
      <c r="C12" s="640">
        <f>'OLD Sales'!G14</f>
        <v>43380.21</v>
      </c>
      <c r="D12" s="634">
        <f t="shared" si="2"/>
        <v>43380.21</v>
      </c>
      <c r="E12" s="641">
        <f t="shared" si="3"/>
        <v>-0.327606745</v>
      </c>
      <c r="F12" s="642">
        <f t="shared" si="4"/>
        <v>-21135.91903</v>
      </c>
      <c r="G12" s="649" t="s">
        <v>655</v>
      </c>
      <c r="H12" s="650" t="s">
        <v>656</v>
      </c>
      <c r="I12" s="650" t="s">
        <v>657</v>
      </c>
      <c r="J12" s="651" t="s">
        <v>658</v>
      </c>
      <c r="K12" s="604"/>
    </row>
    <row r="13">
      <c r="A13" s="638">
        <v>7.0</v>
      </c>
      <c r="B13" s="632">
        <f t="shared" si="1"/>
        <v>64516.12903</v>
      </c>
      <c r="C13" s="645">
        <f>'OLD Sales'!H14</f>
        <v>47720.49</v>
      </c>
      <c r="D13" s="634">
        <f t="shared" si="2"/>
        <v>47720.49</v>
      </c>
      <c r="E13" s="641">
        <f t="shared" si="3"/>
        <v>-0.260332405</v>
      </c>
      <c r="F13" s="642">
        <f t="shared" si="4"/>
        <v>-16795.63903</v>
      </c>
      <c r="G13" s="653" t="s">
        <v>659</v>
      </c>
      <c r="H13" s="654">
        <v>2000000.0</v>
      </c>
      <c r="I13" s="655">
        <f>C38</f>
        <v>1411507.75</v>
      </c>
      <c r="J13" s="656">
        <f t="shared" ref="J13:J20" si="5">I13/H13-1</f>
        <v>-0.294246125</v>
      </c>
    </row>
    <row r="14">
      <c r="A14" s="638">
        <v>8.0</v>
      </c>
      <c r="B14" s="639">
        <f t="shared" si="1"/>
        <v>64516.12903</v>
      </c>
      <c r="C14" s="640">
        <f>'OLD Sales'!I14</f>
        <v>53389.16</v>
      </c>
      <c r="D14" s="634">
        <f t="shared" si="2"/>
        <v>53389.16</v>
      </c>
      <c r="E14" s="641">
        <f t="shared" si="3"/>
        <v>-0.17246802</v>
      </c>
      <c r="F14" s="642">
        <f t="shared" si="4"/>
        <v>-11126.96903</v>
      </c>
      <c r="G14" s="653" t="s">
        <v>660</v>
      </c>
      <c r="H14" s="657">
        <v>7800.0</v>
      </c>
      <c r="I14" s="658">
        <f>sum('OLD Sales'!B15:AF15)</f>
        <v>5740</v>
      </c>
      <c r="J14" s="656">
        <f t="shared" si="5"/>
        <v>-0.2641025641</v>
      </c>
    </row>
    <row r="15">
      <c r="A15" s="638">
        <v>9.0</v>
      </c>
      <c r="B15" s="632">
        <f t="shared" si="1"/>
        <v>64516.12903</v>
      </c>
      <c r="C15" s="645">
        <f>'OLD Sales'!J14</f>
        <v>55427.36</v>
      </c>
      <c r="D15" s="634">
        <f t="shared" si="2"/>
        <v>55427.36</v>
      </c>
      <c r="E15" s="641">
        <f t="shared" si="3"/>
        <v>-0.14087592</v>
      </c>
      <c r="F15" s="642">
        <f t="shared" si="4"/>
        <v>-9088.769032</v>
      </c>
      <c r="G15" s="653" t="s">
        <v>661</v>
      </c>
      <c r="H15" s="654">
        <v>700000.0</v>
      </c>
      <c r="I15" s="655">
        <f>sum('OLD Sales'!B26:AF26)</f>
        <v>542625.68</v>
      </c>
      <c r="J15" s="656">
        <f t="shared" si="5"/>
        <v>-0.2248204571</v>
      </c>
    </row>
    <row r="16">
      <c r="A16" s="638">
        <v>10.0</v>
      </c>
      <c r="B16" s="639">
        <f t="shared" si="1"/>
        <v>64516.12903</v>
      </c>
      <c r="C16" s="640">
        <f>'OLD Sales'!K14</f>
        <v>45887.67</v>
      </c>
      <c r="D16" s="634">
        <f t="shared" si="2"/>
        <v>45887.67</v>
      </c>
      <c r="E16" s="641">
        <f t="shared" si="3"/>
        <v>-0.288741115</v>
      </c>
      <c r="F16" s="642">
        <f t="shared" si="4"/>
        <v>-18628.45903</v>
      </c>
      <c r="G16" s="653" t="s">
        <v>662</v>
      </c>
      <c r="H16" s="659">
        <f t="shared" ref="H16:I16" si="6">H13/H15</f>
        <v>2.857142857</v>
      </c>
      <c r="I16" s="660">
        <f t="shared" si="6"/>
        <v>2.601254976</v>
      </c>
      <c r="J16" s="656">
        <f t="shared" si="5"/>
        <v>-0.08956075853</v>
      </c>
    </row>
    <row r="17">
      <c r="A17" s="638">
        <v>11.0</v>
      </c>
      <c r="B17" s="632">
        <f t="shared" si="1"/>
        <v>64516.12903</v>
      </c>
      <c r="C17" s="645">
        <f>'OLD Sales'!L14</f>
        <v>51043.74</v>
      </c>
      <c r="D17" s="634">
        <f t="shared" si="2"/>
        <v>51043.74</v>
      </c>
      <c r="E17" s="641">
        <f t="shared" si="3"/>
        <v>-0.20882203</v>
      </c>
      <c r="F17" s="642">
        <f t="shared" si="4"/>
        <v>-13472.38903</v>
      </c>
      <c r="G17" s="653" t="s">
        <v>663</v>
      </c>
      <c r="H17" s="661">
        <f t="shared" ref="H17:I17" si="7">H15/H13</f>
        <v>0.35</v>
      </c>
      <c r="I17" s="663">
        <f t="shared" si="7"/>
        <v>0.3844298269</v>
      </c>
      <c r="J17" s="656">
        <f t="shared" si="5"/>
        <v>0.098370934</v>
      </c>
    </row>
    <row r="18">
      <c r="A18" s="638">
        <v>12.0</v>
      </c>
      <c r="B18" s="639">
        <f t="shared" si="1"/>
        <v>64516.12903</v>
      </c>
      <c r="C18" s="639">
        <f>'OLD Sales'!M14</f>
        <v>51340.77</v>
      </c>
      <c r="D18" s="634">
        <f t="shared" si="2"/>
        <v>51340.77</v>
      </c>
      <c r="E18" s="641">
        <f t="shared" si="3"/>
        <v>-0.204218065</v>
      </c>
      <c r="F18" s="642">
        <f t="shared" si="4"/>
        <v>-13175.35903</v>
      </c>
      <c r="G18" s="653" t="s">
        <v>665</v>
      </c>
      <c r="H18" s="664">
        <v>0.0125</v>
      </c>
      <c r="I18" s="663">
        <f>I14/I20</f>
        <v>0.01646321876</v>
      </c>
      <c r="J18" s="656">
        <f t="shared" si="5"/>
        <v>0.3170575008</v>
      </c>
    </row>
    <row r="19">
      <c r="A19" s="638">
        <v>13.0</v>
      </c>
      <c r="B19" s="632">
        <f t="shared" si="1"/>
        <v>64516.12903</v>
      </c>
      <c r="C19" s="665">
        <f>'OLD Sales'!N14</f>
        <v>80153.53</v>
      </c>
      <c r="D19" s="634">
        <f t="shared" si="2"/>
        <v>80153.53</v>
      </c>
      <c r="E19" s="641">
        <f t="shared" si="3"/>
        <v>0.242379715</v>
      </c>
      <c r="F19" s="642">
        <f t="shared" si="4"/>
        <v>15637.40097</v>
      </c>
      <c r="G19" s="653" t="s">
        <v>666</v>
      </c>
      <c r="H19" s="666">
        <f t="shared" ref="H19:I19" si="8">H13/H14</f>
        <v>256.4102564</v>
      </c>
      <c r="I19" s="666">
        <f t="shared" si="8"/>
        <v>245.9072735</v>
      </c>
      <c r="J19" s="656">
        <f t="shared" si="5"/>
        <v>-0.04096163328</v>
      </c>
    </row>
    <row r="20">
      <c r="A20" s="638">
        <v>14.0</v>
      </c>
      <c r="B20" s="639">
        <f t="shared" si="1"/>
        <v>64516.12903</v>
      </c>
      <c r="C20" s="639">
        <f>'OLD Sales'!O14</f>
        <v>68572.56</v>
      </c>
      <c r="D20" s="634">
        <f t="shared" si="2"/>
        <v>68572.56</v>
      </c>
      <c r="E20" s="641">
        <f t="shared" si="3"/>
        <v>0.06287468</v>
      </c>
      <c r="F20" s="642">
        <f t="shared" si="4"/>
        <v>4056.430968</v>
      </c>
      <c r="G20" s="653" t="s">
        <v>667</v>
      </c>
      <c r="H20" s="667">
        <f>H14/H18</f>
        <v>624000</v>
      </c>
      <c r="I20" s="667">
        <f>sum(C83:C113)</f>
        <v>348656</v>
      </c>
      <c r="J20" s="656">
        <f t="shared" si="5"/>
        <v>-0.4412564103</v>
      </c>
    </row>
    <row r="21">
      <c r="A21" s="638">
        <v>15.0</v>
      </c>
      <c r="B21" s="632">
        <f t="shared" si="1"/>
        <v>64516.12903</v>
      </c>
      <c r="C21" s="665">
        <f>'OLD Sales'!P14</f>
        <v>60624.25</v>
      </c>
      <c r="D21" s="634">
        <f t="shared" si="2"/>
        <v>60624.25</v>
      </c>
      <c r="E21" s="641">
        <f t="shared" si="3"/>
        <v>-0.060324125</v>
      </c>
      <c r="F21" s="642">
        <f t="shared" si="4"/>
        <v>-3891.879032</v>
      </c>
      <c r="G21" s="669"/>
      <c r="H21" s="604"/>
    </row>
    <row r="22">
      <c r="A22" s="638">
        <v>16.0</v>
      </c>
      <c r="B22" s="639">
        <f t="shared" si="1"/>
        <v>64516.12903</v>
      </c>
      <c r="C22" s="639">
        <f>'OLD Sales'!Q14</f>
        <v>59856.53</v>
      </c>
      <c r="D22" s="634">
        <f t="shared" si="2"/>
        <v>59856.53</v>
      </c>
      <c r="E22" s="641">
        <f t="shared" si="3"/>
        <v>-0.072223785</v>
      </c>
      <c r="F22" s="642">
        <f t="shared" si="4"/>
        <v>-4659.599032</v>
      </c>
      <c r="G22" s="671" t="s">
        <v>669</v>
      </c>
      <c r="H22" s="672" t="s">
        <v>670</v>
      </c>
      <c r="I22" s="673" t="s">
        <v>671</v>
      </c>
    </row>
    <row r="23">
      <c r="A23" s="638">
        <v>17.0</v>
      </c>
      <c r="B23" s="632">
        <f t="shared" si="1"/>
        <v>64516.12903</v>
      </c>
      <c r="C23" s="665">
        <f>'OLD Sales'!R14</f>
        <v>32044.25</v>
      </c>
      <c r="D23" s="634">
        <f t="shared" si="2"/>
        <v>32044.25</v>
      </c>
      <c r="E23" s="641">
        <f t="shared" si="3"/>
        <v>-0.503314125</v>
      </c>
      <c r="F23" s="642">
        <f t="shared" si="4"/>
        <v>-32471.87903</v>
      </c>
      <c r="G23" s="671"/>
      <c r="H23" s="674"/>
      <c r="I23" s="675"/>
    </row>
    <row r="24">
      <c r="A24" s="638">
        <v>18.0</v>
      </c>
      <c r="B24" s="639">
        <f t="shared" si="1"/>
        <v>64516.12903</v>
      </c>
      <c r="C24" s="639">
        <f>'OLD Sales'!S14</f>
        <v>60316.3</v>
      </c>
      <c r="D24" s="634">
        <f t="shared" si="2"/>
        <v>60316.3</v>
      </c>
      <c r="E24" s="641">
        <f t="shared" si="3"/>
        <v>-0.06509735</v>
      </c>
      <c r="F24" s="642">
        <f t="shared" si="4"/>
        <v>-4199.829032</v>
      </c>
      <c r="G24" s="671"/>
      <c r="H24" s="676"/>
      <c r="I24" s="675"/>
    </row>
    <row r="25">
      <c r="A25" s="638">
        <v>19.0</v>
      </c>
      <c r="B25" s="632">
        <f t="shared" si="1"/>
        <v>64516.12903</v>
      </c>
      <c r="C25" s="665">
        <f>'OLD Sales'!T14</f>
        <v>43139.27</v>
      </c>
      <c r="D25" s="634">
        <f t="shared" si="2"/>
        <v>43139.27</v>
      </c>
      <c r="E25" s="641">
        <f t="shared" si="3"/>
        <v>-0.331341315</v>
      </c>
      <c r="F25" s="642">
        <f t="shared" si="4"/>
        <v>-21376.85903</v>
      </c>
      <c r="G25" s="671"/>
      <c r="H25" s="677"/>
      <c r="I25" s="675"/>
    </row>
    <row r="26">
      <c r="A26" s="638">
        <v>20.0</v>
      </c>
      <c r="B26" s="639">
        <f t="shared" si="1"/>
        <v>64516.12903</v>
      </c>
      <c r="C26" s="639">
        <f>'OLD Sales'!U14</f>
        <v>47288.79</v>
      </c>
      <c r="D26" s="634">
        <f t="shared" si="2"/>
        <v>47288.79</v>
      </c>
      <c r="E26" s="641">
        <f t="shared" si="3"/>
        <v>-0.267023755</v>
      </c>
      <c r="F26" s="642">
        <f t="shared" si="4"/>
        <v>-17227.33903</v>
      </c>
      <c r="G26" s="678"/>
      <c r="H26" s="679"/>
      <c r="I26" s="675"/>
    </row>
    <row r="27">
      <c r="A27" s="638">
        <v>21.0</v>
      </c>
      <c r="B27" s="632">
        <f t="shared" si="1"/>
        <v>64516.12903</v>
      </c>
      <c r="C27" s="665">
        <f>'OLD Sales'!V14</f>
        <v>48826.1</v>
      </c>
      <c r="D27" s="634">
        <f t="shared" si="2"/>
        <v>48826.1</v>
      </c>
      <c r="E27" s="641">
        <f t="shared" si="3"/>
        <v>-0.24319545</v>
      </c>
      <c r="F27" s="642">
        <f t="shared" si="4"/>
        <v>-15690.02903</v>
      </c>
      <c r="G27" s="678"/>
      <c r="H27" s="679"/>
      <c r="I27" s="675"/>
    </row>
    <row r="28">
      <c r="A28" s="638">
        <v>22.0</v>
      </c>
      <c r="B28" s="639">
        <f t="shared" si="1"/>
        <v>64516.12903</v>
      </c>
      <c r="C28" s="639">
        <f>'OLD Sales'!W14</f>
        <v>41957.56</v>
      </c>
      <c r="D28" s="634">
        <f t="shared" si="2"/>
        <v>41957.56</v>
      </c>
      <c r="E28" s="641">
        <f t="shared" si="3"/>
        <v>-0.34965782</v>
      </c>
      <c r="F28" s="642">
        <f t="shared" si="4"/>
        <v>-22558.56903</v>
      </c>
      <c r="G28" s="671"/>
      <c r="H28" s="680"/>
      <c r="I28" s="675"/>
    </row>
    <row r="29">
      <c r="A29" s="638">
        <v>23.0</v>
      </c>
      <c r="B29" s="632">
        <f t="shared" si="1"/>
        <v>64516.12903</v>
      </c>
      <c r="C29" s="665">
        <f>'OLD Sales'!X14</f>
        <v>40174.12</v>
      </c>
      <c r="D29" s="634">
        <f t="shared" si="2"/>
        <v>40174.12</v>
      </c>
      <c r="E29" s="641">
        <f t="shared" si="3"/>
        <v>-0.37730114</v>
      </c>
      <c r="F29" s="642">
        <f t="shared" si="4"/>
        <v>-24342.00903</v>
      </c>
      <c r="G29" s="678"/>
      <c r="H29" s="674"/>
      <c r="I29" s="675"/>
    </row>
    <row r="30">
      <c r="A30" s="638">
        <v>24.0</v>
      </c>
      <c r="B30" s="639">
        <f t="shared" si="1"/>
        <v>64516.12903</v>
      </c>
      <c r="C30" s="639">
        <f>'OLD Sales'!Y14</f>
        <v>31487.95</v>
      </c>
      <c r="D30" s="634">
        <f t="shared" si="2"/>
        <v>31487.95</v>
      </c>
      <c r="E30" s="641">
        <f t="shared" si="3"/>
        <v>-0.511936775</v>
      </c>
      <c r="F30" s="642">
        <f t="shared" si="4"/>
        <v>-33028.17903</v>
      </c>
    </row>
    <row r="31">
      <c r="A31" s="638">
        <v>25.0</v>
      </c>
      <c r="B31" s="632">
        <f t="shared" si="1"/>
        <v>64516.12903</v>
      </c>
      <c r="C31" s="665">
        <f>'OLD Sales'!Z14</f>
        <v>36143.33</v>
      </c>
      <c r="D31" s="634">
        <f t="shared" si="2"/>
        <v>36143.33</v>
      </c>
      <c r="E31" s="641">
        <f t="shared" si="3"/>
        <v>-0.439778385</v>
      </c>
      <c r="F31" s="642">
        <f t="shared" si="4"/>
        <v>-28372.79903</v>
      </c>
    </row>
    <row r="32">
      <c r="A32" s="638">
        <v>26.0</v>
      </c>
      <c r="B32" s="639">
        <f t="shared" si="1"/>
        <v>64516.12903</v>
      </c>
      <c r="C32" s="639">
        <f>'OLD Sales'!AA14</f>
        <v>30366.88</v>
      </c>
      <c r="D32" s="634">
        <f t="shared" si="2"/>
        <v>30366.88</v>
      </c>
      <c r="E32" s="641">
        <f t="shared" si="3"/>
        <v>-0.52931336</v>
      </c>
      <c r="F32" s="642">
        <f t="shared" si="4"/>
        <v>-34149.24903</v>
      </c>
    </row>
    <row r="33">
      <c r="A33" s="638">
        <v>27.0</v>
      </c>
      <c r="B33" s="632">
        <f t="shared" si="1"/>
        <v>64516.12903</v>
      </c>
      <c r="C33" s="665">
        <f>'OLD Sales'!AB14</f>
        <v>34701.54</v>
      </c>
      <c r="D33" s="634">
        <f t="shared" si="2"/>
        <v>34701.54</v>
      </c>
      <c r="E33" s="641">
        <f t="shared" si="3"/>
        <v>-0.46212613</v>
      </c>
      <c r="F33" s="642">
        <f t="shared" si="4"/>
        <v>-29814.58903</v>
      </c>
    </row>
    <row r="34">
      <c r="A34" s="638">
        <v>28.0</v>
      </c>
      <c r="B34" s="639">
        <f t="shared" si="1"/>
        <v>64516.12903</v>
      </c>
      <c r="C34" s="639">
        <f>'OLD Sales'!AC14</f>
        <v>30849.69</v>
      </c>
      <c r="D34" s="634">
        <f t="shared" si="2"/>
        <v>30849.69</v>
      </c>
      <c r="E34" s="641">
        <f t="shared" si="3"/>
        <v>-0.521829805</v>
      </c>
      <c r="F34" s="642">
        <f t="shared" si="4"/>
        <v>-33666.43903</v>
      </c>
    </row>
    <row r="35">
      <c r="A35" s="638">
        <v>29.0</v>
      </c>
      <c r="B35" s="632">
        <f t="shared" si="1"/>
        <v>64516.12903</v>
      </c>
      <c r="C35" s="665">
        <f>'OLD Sales'!AD14</f>
        <v>32381.7</v>
      </c>
      <c r="D35" s="634">
        <f t="shared" si="2"/>
        <v>32381.7</v>
      </c>
      <c r="E35" s="641">
        <f t="shared" si="3"/>
        <v>-0.49808365</v>
      </c>
      <c r="F35" s="642">
        <f t="shared" si="4"/>
        <v>-32134.42903</v>
      </c>
    </row>
    <row r="36">
      <c r="A36" s="638">
        <v>30.0</v>
      </c>
      <c r="B36" s="639">
        <f t="shared" si="1"/>
        <v>64516.12903</v>
      </c>
      <c r="C36" s="639">
        <f>'OLD Sales'!AE14</f>
        <v>31165.57</v>
      </c>
      <c r="D36" s="634">
        <f t="shared" si="2"/>
        <v>31165.57</v>
      </c>
      <c r="E36" s="641">
        <f t="shared" si="3"/>
        <v>-0.516933665</v>
      </c>
      <c r="F36" s="642">
        <f t="shared" si="4"/>
        <v>-33350.55903</v>
      </c>
    </row>
    <row r="37">
      <c r="A37" s="638">
        <v>31.0</v>
      </c>
      <c r="B37" s="632">
        <f t="shared" si="1"/>
        <v>64516.12903</v>
      </c>
      <c r="C37" s="682">
        <f>'OLD Sales'!AF14</f>
        <v>34474.77</v>
      </c>
      <c r="D37" s="634">
        <f t="shared" si="2"/>
        <v>34474.77</v>
      </c>
      <c r="E37" s="641">
        <f t="shared" si="3"/>
        <v>-0.465641065</v>
      </c>
      <c r="F37" s="642">
        <f t="shared" si="4"/>
        <v>-30041.35903</v>
      </c>
    </row>
    <row r="38">
      <c r="A38" s="683" t="s">
        <v>673</v>
      </c>
      <c r="B38" s="684">
        <f>H13</f>
        <v>2000000</v>
      </c>
      <c r="C38" s="684">
        <f>sum(C7:C37)</f>
        <v>1411507.75</v>
      </c>
      <c r="D38" s="685">
        <f t="shared" si="2"/>
        <v>1411507.75</v>
      </c>
      <c r="E38" s="686">
        <f t="shared" si="3"/>
        <v>-0.294246125</v>
      </c>
      <c r="F38" s="684">
        <f t="shared" si="4"/>
        <v>-588492.25</v>
      </c>
    </row>
    <row r="40">
      <c r="A40" s="605" t="s">
        <v>628</v>
      </c>
      <c r="B40" s="606">
        <v>44933.0</v>
      </c>
      <c r="C40" s="607"/>
      <c r="D40" s="605" t="s">
        <v>629</v>
      </c>
      <c r="E40" s="605" t="s">
        <v>630</v>
      </c>
      <c r="F40" s="607"/>
    </row>
    <row r="41">
      <c r="A41" s="611" t="s">
        <v>633</v>
      </c>
      <c r="B41" s="612">
        <v>31.0</v>
      </c>
      <c r="C41" s="613" t="s">
        <v>674</v>
      </c>
      <c r="D41" s="614"/>
      <c r="E41" s="614"/>
      <c r="F41" s="615"/>
    </row>
    <row r="42">
      <c r="A42" s="611" t="s">
        <v>637</v>
      </c>
      <c r="B42" s="620">
        <f>COUNT('OLD Sales'!B15:AF15)</f>
        <v>31</v>
      </c>
      <c r="C42" s="621"/>
      <c r="D42" s="17"/>
      <c r="E42" s="17"/>
      <c r="F42" s="34"/>
    </row>
    <row r="43">
      <c r="A43" s="624"/>
      <c r="B43" s="625" t="s">
        <v>640</v>
      </c>
      <c r="C43" s="609"/>
      <c r="D43" s="625" t="s">
        <v>641</v>
      </c>
      <c r="E43" s="626"/>
      <c r="F43" s="609"/>
    </row>
    <row r="44">
      <c r="A44" s="627" t="s">
        <v>644</v>
      </c>
      <c r="B44" s="627" t="s">
        <v>675</v>
      </c>
      <c r="C44" s="628" t="s">
        <v>637</v>
      </c>
      <c r="D44" s="627" t="s">
        <v>641</v>
      </c>
      <c r="E44" s="627" t="s">
        <v>646</v>
      </c>
      <c r="F44" s="627" t="s">
        <v>647</v>
      </c>
    </row>
    <row r="45">
      <c r="A45" s="631">
        <v>1.0</v>
      </c>
      <c r="B45" s="633">
        <f t="shared" ref="B45:B75" si="9">$B$76/$B$41</f>
        <v>22580.64516</v>
      </c>
      <c r="C45" s="633">
        <f>'OLD Sales'!B26</f>
        <v>11327.86</v>
      </c>
      <c r="D45" s="634">
        <f t="shared" ref="D45:D76" si="10">C45/$B$4*$B$3</f>
        <v>11327.86</v>
      </c>
      <c r="E45" s="635">
        <f t="shared" ref="E45:E76" si="11">D45/B45-1</f>
        <v>-0.4983376286</v>
      </c>
      <c r="F45" s="636">
        <f t="shared" ref="F45:F76" si="12">D45-B45</f>
        <v>-11252.78516</v>
      </c>
    </row>
    <row r="46">
      <c r="A46" s="638">
        <v>2.0</v>
      </c>
      <c r="B46" s="640">
        <f t="shared" si="9"/>
        <v>22580.64516</v>
      </c>
      <c r="C46" s="640">
        <f>'OLD Sales'!C26</f>
        <v>13517.97</v>
      </c>
      <c r="D46" s="634">
        <f t="shared" si="10"/>
        <v>13517.97</v>
      </c>
      <c r="E46" s="641">
        <f t="shared" si="11"/>
        <v>-0.4013470429</v>
      </c>
      <c r="F46" s="642">
        <f t="shared" si="12"/>
        <v>-9062.675161</v>
      </c>
    </row>
    <row r="47">
      <c r="A47" s="638">
        <v>3.0</v>
      </c>
      <c r="B47" s="633">
        <f t="shared" si="9"/>
        <v>22580.64516</v>
      </c>
      <c r="C47" s="645">
        <f>'OLD Sales'!D26</f>
        <v>15222.62</v>
      </c>
      <c r="D47" s="634">
        <f t="shared" si="10"/>
        <v>15222.62</v>
      </c>
      <c r="E47" s="641">
        <f t="shared" si="11"/>
        <v>-0.3258554</v>
      </c>
      <c r="F47" s="642">
        <f t="shared" si="12"/>
        <v>-7358.025161</v>
      </c>
    </row>
    <row r="48">
      <c r="A48" s="638">
        <v>4.0</v>
      </c>
      <c r="B48" s="640">
        <f t="shared" si="9"/>
        <v>22580.64516</v>
      </c>
      <c r="C48" s="640">
        <f>'OLD Sales'!E26</f>
        <v>17391.59</v>
      </c>
      <c r="D48" s="634">
        <f t="shared" si="10"/>
        <v>17391.59</v>
      </c>
      <c r="E48" s="641">
        <f t="shared" si="11"/>
        <v>-0.2298010143</v>
      </c>
      <c r="F48" s="642">
        <f t="shared" si="12"/>
        <v>-5189.055161</v>
      </c>
    </row>
    <row r="49">
      <c r="A49" s="638">
        <v>5.0</v>
      </c>
      <c r="B49" s="633">
        <f t="shared" si="9"/>
        <v>22580.64516</v>
      </c>
      <c r="C49" s="645">
        <f>'OLD Sales'!F26</f>
        <v>16628.56</v>
      </c>
      <c r="D49" s="634">
        <f t="shared" si="10"/>
        <v>16628.56</v>
      </c>
      <c r="E49" s="641">
        <f t="shared" si="11"/>
        <v>-0.2635923429</v>
      </c>
      <c r="F49" s="642">
        <f t="shared" si="12"/>
        <v>-5952.085161</v>
      </c>
    </row>
    <row r="50">
      <c r="A50" s="638">
        <v>6.0</v>
      </c>
      <c r="B50" s="640">
        <f t="shared" si="9"/>
        <v>22580.64516</v>
      </c>
      <c r="C50" s="640">
        <f>'OLD Sales'!G26</f>
        <v>16709.03</v>
      </c>
      <c r="D50" s="634">
        <f t="shared" si="10"/>
        <v>16709.03</v>
      </c>
      <c r="E50" s="641">
        <f t="shared" si="11"/>
        <v>-0.2600286714</v>
      </c>
      <c r="F50" s="642">
        <f t="shared" si="12"/>
        <v>-5871.615161</v>
      </c>
    </row>
    <row r="51">
      <c r="A51" s="638">
        <v>7.0</v>
      </c>
      <c r="B51" s="633">
        <f t="shared" si="9"/>
        <v>22580.64516</v>
      </c>
      <c r="C51" s="645">
        <f>'OLD Sales'!H26</f>
        <v>17024.02</v>
      </c>
      <c r="D51" s="634">
        <f t="shared" si="10"/>
        <v>17024.02</v>
      </c>
      <c r="E51" s="641">
        <f t="shared" si="11"/>
        <v>-0.2460791143</v>
      </c>
      <c r="F51" s="642">
        <f t="shared" si="12"/>
        <v>-5556.625161</v>
      </c>
    </row>
    <row r="52">
      <c r="A52" s="638">
        <v>8.0</v>
      </c>
      <c r="B52" s="640">
        <f t="shared" si="9"/>
        <v>22580.64516</v>
      </c>
      <c r="C52" s="640">
        <f>'OLD Sales'!I26</f>
        <v>17663.92</v>
      </c>
      <c r="D52" s="634">
        <f t="shared" si="10"/>
        <v>17663.92</v>
      </c>
      <c r="E52" s="641">
        <f t="shared" si="11"/>
        <v>-0.2177406857</v>
      </c>
      <c r="F52" s="642">
        <f t="shared" si="12"/>
        <v>-4916.725161</v>
      </c>
    </row>
    <row r="53">
      <c r="A53" s="638">
        <v>9.0</v>
      </c>
      <c r="B53" s="633">
        <f t="shared" si="9"/>
        <v>22580.64516</v>
      </c>
      <c r="C53" s="645">
        <f>'OLD Sales'!J26</f>
        <v>20961.74</v>
      </c>
      <c r="D53" s="634">
        <f t="shared" si="10"/>
        <v>20961.74</v>
      </c>
      <c r="E53" s="641">
        <f t="shared" si="11"/>
        <v>-0.07169437143</v>
      </c>
      <c r="F53" s="642">
        <f t="shared" si="12"/>
        <v>-1618.905161</v>
      </c>
    </row>
    <row r="54">
      <c r="A54" s="638">
        <v>10.0</v>
      </c>
      <c r="B54" s="640">
        <f t="shared" si="9"/>
        <v>22580.64516</v>
      </c>
      <c r="C54" s="640">
        <f>'OLD Sales'!K26</f>
        <v>19992.76</v>
      </c>
      <c r="D54" s="634">
        <f t="shared" si="10"/>
        <v>19992.76</v>
      </c>
      <c r="E54" s="641">
        <f t="shared" si="11"/>
        <v>-0.1146063429</v>
      </c>
      <c r="F54" s="642">
        <f t="shared" si="12"/>
        <v>-2587.885161</v>
      </c>
    </row>
    <row r="55">
      <c r="A55" s="638">
        <v>11.0</v>
      </c>
      <c r="B55" s="633">
        <f t="shared" si="9"/>
        <v>22580.64516</v>
      </c>
      <c r="C55" s="645">
        <f>'OLD Sales'!L26</f>
        <v>18412</v>
      </c>
      <c r="D55" s="634">
        <f t="shared" si="10"/>
        <v>18412</v>
      </c>
      <c r="E55" s="641">
        <f t="shared" si="11"/>
        <v>-0.1846114286</v>
      </c>
      <c r="F55" s="642">
        <f t="shared" si="12"/>
        <v>-4168.645161</v>
      </c>
    </row>
    <row r="56">
      <c r="A56" s="638">
        <v>12.0</v>
      </c>
      <c r="B56" s="640">
        <f t="shared" si="9"/>
        <v>22580.64516</v>
      </c>
      <c r="C56" s="639">
        <f>'OLD Sales'!M26</f>
        <v>13259.68</v>
      </c>
      <c r="D56" s="634">
        <f t="shared" si="10"/>
        <v>13259.68</v>
      </c>
      <c r="E56" s="641">
        <f t="shared" si="11"/>
        <v>-0.4127856</v>
      </c>
      <c r="F56" s="642">
        <f t="shared" si="12"/>
        <v>-9320.965161</v>
      </c>
    </row>
    <row r="57">
      <c r="A57" s="638">
        <v>13.0</v>
      </c>
      <c r="B57" s="633">
        <f t="shared" si="9"/>
        <v>22580.64516</v>
      </c>
      <c r="C57" s="665">
        <f>'OLD Sales'!N26</f>
        <v>13518.4</v>
      </c>
      <c r="D57" s="634">
        <f t="shared" si="10"/>
        <v>13518.4</v>
      </c>
      <c r="E57" s="641">
        <f t="shared" si="11"/>
        <v>-0.401328</v>
      </c>
      <c r="F57" s="642">
        <f t="shared" si="12"/>
        <v>-9062.245161</v>
      </c>
    </row>
    <row r="58">
      <c r="A58" s="638">
        <v>14.0</v>
      </c>
      <c r="B58" s="640">
        <f t="shared" si="9"/>
        <v>22580.64516</v>
      </c>
      <c r="C58" s="639">
        <f>'OLD Sales'!O26</f>
        <v>17427.33</v>
      </c>
      <c r="D58" s="634">
        <f t="shared" si="10"/>
        <v>17427.33</v>
      </c>
      <c r="E58" s="641">
        <f t="shared" si="11"/>
        <v>-0.2282182429</v>
      </c>
      <c r="F58" s="642">
        <f t="shared" si="12"/>
        <v>-5153.315161</v>
      </c>
    </row>
    <row r="59">
      <c r="A59" s="638">
        <v>15.0</v>
      </c>
      <c r="B59" s="633">
        <f t="shared" si="9"/>
        <v>22580.64516</v>
      </c>
      <c r="C59" s="665">
        <f>'OLD Sales'!P26</f>
        <v>22526.89</v>
      </c>
      <c r="D59" s="634">
        <f t="shared" si="10"/>
        <v>22526.89</v>
      </c>
      <c r="E59" s="641">
        <f t="shared" si="11"/>
        <v>-0.002380585714</v>
      </c>
      <c r="F59" s="642">
        <f t="shared" si="12"/>
        <v>-53.75516129</v>
      </c>
    </row>
    <row r="60">
      <c r="A60" s="638">
        <v>16.0</v>
      </c>
      <c r="B60" s="640">
        <f t="shared" si="9"/>
        <v>22580.64516</v>
      </c>
      <c r="C60" s="639">
        <f>'OLD Sales'!Q26</f>
        <v>25721.72</v>
      </c>
      <c r="D60" s="634">
        <f t="shared" si="10"/>
        <v>25721.72</v>
      </c>
      <c r="E60" s="641">
        <f t="shared" si="11"/>
        <v>0.1391047429</v>
      </c>
      <c r="F60" s="642">
        <f t="shared" si="12"/>
        <v>3141.074839</v>
      </c>
    </row>
    <row r="61">
      <c r="A61" s="638">
        <v>17.0</v>
      </c>
      <c r="B61" s="633">
        <f t="shared" si="9"/>
        <v>22580.64516</v>
      </c>
      <c r="C61" s="665">
        <f>'OLD Sales'!R26</f>
        <v>19138.35</v>
      </c>
      <c r="D61" s="634">
        <f t="shared" si="10"/>
        <v>19138.35</v>
      </c>
      <c r="E61" s="641">
        <f t="shared" si="11"/>
        <v>-0.1524445</v>
      </c>
      <c r="F61" s="642">
        <f t="shared" si="12"/>
        <v>-3442.295161</v>
      </c>
    </row>
    <row r="62">
      <c r="A62" s="638">
        <v>18.0</v>
      </c>
      <c r="B62" s="640">
        <f t="shared" si="9"/>
        <v>22580.64516</v>
      </c>
      <c r="C62" s="639">
        <f>'OLD Sales'!S26</f>
        <v>20674.57</v>
      </c>
      <c r="D62" s="634">
        <f t="shared" si="10"/>
        <v>20674.57</v>
      </c>
      <c r="E62" s="641">
        <f t="shared" si="11"/>
        <v>-0.0844119</v>
      </c>
      <c r="F62" s="642">
        <f t="shared" si="12"/>
        <v>-1906.075161</v>
      </c>
    </row>
    <row r="63">
      <c r="A63" s="638">
        <v>19.0</v>
      </c>
      <c r="B63" s="633">
        <f t="shared" si="9"/>
        <v>22580.64516</v>
      </c>
      <c r="C63" s="665">
        <f>'OLD Sales'!T26</f>
        <v>20199.92</v>
      </c>
      <c r="D63" s="634">
        <f t="shared" si="10"/>
        <v>20199.92</v>
      </c>
      <c r="E63" s="641">
        <f t="shared" si="11"/>
        <v>-0.1054321143</v>
      </c>
      <c r="F63" s="642">
        <f t="shared" si="12"/>
        <v>-2380.725161</v>
      </c>
    </row>
    <row r="64">
      <c r="A64" s="638">
        <v>20.0</v>
      </c>
      <c r="B64" s="640">
        <f t="shared" si="9"/>
        <v>22580.64516</v>
      </c>
      <c r="C64" s="639">
        <f>'OLD Sales'!U26</f>
        <v>20401.34</v>
      </c>
      <c r="D64" s="634">
        <f t="shared" si="10"/>
        <v>20401.34</v>
      </c>
      <c r="E64" s="641">
        <f t="shared" si="11"/>
        <v>-0.09651208571</v>
      </c>
      <c r="F64" s="642">
        <f t="shared" si="12"/>
        <v>-2179.305161</v>
      </c>
    </row>
    <row r="65">
      <c r="A65" s="638">
        <v>21.0</v>
      </c>
      <c r="B65" s="633">
        <f t="shared" si="9"/>
        <v>22580.64516</v>
      </c>
      <c r="C65" s="665">
        <f>'OLD Sales'!V26</f>
        <v>21451.15</v>
      </c>
      <c r="D65" s="634">
        <f t="shared" si="10"/>
        <v>21451.15</v>
      </c>
      <c r="E65" s="641">
        <f t="shared" si="11"/>
        <v>-0.0500205</v>
      </c>
      <c r="F65" s="642">
        <f t="shared" si="12"/>
        <v>-1129.495161</v>
      </c>
    </row>
    <row r="66">
      <c r="A66" s="638">
        <v>22.0</v>
      </c>
      <c r="B66" s="640">
        <f t="shared" si="9"/>
        <v>22580.64516</v>
      </c>
      <c r="C66" s="639">
        <f>'OLD Sales'!W26</f>
        <v>23411.02</v>
      </c>
      <c r="D66" s="634">
        <f t="shared" si="10"/>
        <v>23411.02</v>
      </c>
      <c r="E66" s="641">
        <f t="shared" si="11"/>
        <v>0.03677374286</v>
      </c>
      <c r="F66" s="642">
        <f t="shared" si="12"/>
        <v>830.3748387</v>
      </c>
    </row>
    <row r="67">
      <c r="A67" s="638">
        <v>23.0</v>
      </c>
      <c r="B67" s="633">
        <f t="shared" si="9"/>
        <v>22580.64516</v>
      </c>
      <c r="C67" s="665">
        <f>'OLD Sales'!X26</f>
        <v>25874.43</v>
      </c>
      <c r="D67" s="634">
        <f t="shared" si="10"/>
        <v>25874.43</v>
      </c>
      <c r="E67" s="641">
        <f t="shared" si="11"/>
        <v>0.1458676143</v>
      </c>
      <c r="F67" s="642">
        <f t="shared" si="12"/>
        <v>3293.784839</v>
      </c>
    </row>
    <row r="68">
      <c r="A68" s="638">
        <v>24.0</v>
      </c>
      <c r="B68" s="640">
        <f t="shared" si="9"/>
        <v>22580.64516</v>
      </c>
      <c r="C68" s="639">
        <f>'OLD Sales'!Y26</f>
        <v>18694.33</v>
      </c>
      <c r="D68" s="634">
        <f t="shared" si="10"/>
        <v>18694.33</v>
      </c>
      <c r="E68" s="641">
        <f t="shared" si="11"/>
        <v>-0.1721082429</v>
      </c>
      <c r="F68" s="642">
        <f t="shared" si="12"/>
        <v>-3886.315161</v>
      </c>
    </row>
    <row r="69">
      <c r="A69" s="638">
        <v>25.0</v>
      </c>
      <c r="B69" s="633">
        <f t="shared" si="9"/>
        <v>22580.64516</v>
      </c>
      <c r="C69" s="665">
        <f>'OLD Sales'!Z26</f>
        <v>16639.97</v>
      </c>
      <c r="D69" s="634">
        <f t="shared" si="10"/>
        <v>16639.97</v>
      </c>
      <c r="E69" s="641">
        <f t="shared" si="11"/>
        <v>-0.2630870429</v>
      </c>
      <c r="F69" s="642">
        <f t="shared" si="12"/>
        <v>-5940.675161</v>
      </c>
    </row>
    <row r="70">
      <c r="A70" s="638">
        <v>26.0</v>
      </c>
      <c r="B70" s="640">
        <f t="shared" si="9"/>
        <v>22580.64516</v>
      </c>
      <c r="C70" s="639">
        <f>'OLD Sales'!AA26</f>
        <v>15867.8</v>
      </c>
      <c r="D70" s="634">
        <f t="shared" si="10"/>
        <v>15867.8</v>
      </c>
      <c r="E70" s="641">
        <f t="shared" si="11"/>
        <v>-0.2972831429</v>
      </c>
      <c r="F70" s="642">
        <f t="shared" si="12"/>
        <v>-6712.845161</v>
      </c>
    </row>
    <row r="71">
      <c r="A71" s="638">
        <v>27.0</v>
      </c>
      <c r="B71" s="633">
        <f t="shared" si="9"/>
        <v>22580.64516</v>
      </c>
      <c r="C71" s="665">
        <f>'OLD Sales'!AB26</f>
        <v>14258.22</v>
      </c>
      <c r="D71" s="634">
        <f t="shared" si="10"/>
        <v>14258.22</v>
      </c>
      <c r="E71" s="641">
        <f t="shared" si="11"/>
        <v>-0.3685645429</v>
      </c>
      <c r="F71" s="642">
        <f t="shared" si="12"/>
        <v>-8322.425161</v>
      </c>
    </row>
    <row r="72">
      <c r="A72" s="638">
        <v>28.0</v>
      </c>
      <c r="B72" s="640">
        <f t="shared" si="9"/>
        <v>22580.64516</v>
      </c>
      <c r="C72" s="639">
        <f>'OLD Sales'!AC26</f>
        <v>13700.92</v>
      </c>
      <c r="D72" s="634">
        <f t="shared" si="10"/>
        <v>13700.92</v>
      </c>
      <c r="E72" s="641">
        <f t="shared" si="11"/>
        <v>-0.3932449714</v>
      </c>
      <c r="F72" s="642">
        <f t="shared" si="12"/>
        <v>-8879.725161</v>
      </c>
    </row>
    <row r="73">
      <c r="A73" s="638">
        <v>29.0</v>
      </c>
      <c r="B73" s="633">
        <f t="shared" si="9"/>
        <v>22580.64516</v>
      </c>
      <c r="C73" s="665">
        <f>'OLD Sales'!AD26</f>
        <v>12603.61</v>
      </c>
      <c r="D73" s="634">
        <f t="shared" si="10"/>
        <v>12603.61</v>
      </c>
      <c r="E73" s="641">
        <f t="shared" si="11"/>
        <v>-0.4418401286</v>
      </c>
      <c r="F73" s="642">
        <f t="shared" si="12"/>
        <v>-9977.035161</v>
      </c>
    </row>
    <row r="74">
      <c r="A74" s="638">
        <v>30.0</v>
      </c>
      <c r="B74" s="640">
        <f t="shared" si="9"/>
        <v>22580.64516</v>
      </c>
      <c r="C74" s="639">
        <f>'OLD Sales'!AE26</f>
        <v>12166.5</v>
      </c>
      <c r="D74" s="634">
        <f t="shared" si="10"/>
        <v>12166.5</v>
      </c>
      <c r="E74" s="641">
        <f t="shared" si="11"/>
        <v>-0.4611978571</v>
      </c>
      <c r="F74" s="642">
        <f t="shared" si="12"/>
        <v>-10414.14516</v>
      </c>
    </row>
    <row r="75">
      <c r="A75" s="638">
        <v>31.0</v>
      </c>
      <c r="B75" s="633">
        <f t="shared" si="9"/>
        <v>22580.64516</v>
      </c>
      <c r="C75" s="682">
        <f>'OLD Sales'!AF26</f>
        <v>10237.46</v>
      </c>
      <c r="D75" s="634">
        <f t="shared" si="10"/>
        <v>10237.46</v>
      </c>
      <c r="E75" s="692">
        <f t="shared" si="11"/>
        <v>-0.5466267714</v>
      </c>
      <c r="F75" s="693">
        <f t="shared" si="12"/>
        <v>-12343.18516</v>
      </c>
    </row>
    <row r="76">
      <c r="A76" s="683" t="s">
        <v>673</v>
      </c>
      <c r="B76" s="684">
        <f>H15</f>
        <v>700000</v>
      </c>
      <c r="C76" s="684">
        <f>sum(C45:C75)</f>
        <v>542625.68</v>
      </c>
      <c r="D76" s="684">
        <f t="shared" si="10"/>
        <v>542625.68</v>
      </c>
      <c r="E76" s="695">
        <f t="shared" si="11"/>
        <v>-0.2248204571</v>
      </c>
      <c r="F76" s="696">
        <f t="shared" si="12"/>
        <v>-157374.32</v>
      </c>
    </row>
    <row r="78">
      <c r="A78" s="605" t="s">
        <v>628</v>
      </c>
      <c r="B78" s="606">
        <v>44933.0</v>
      </c>
      <c r="C78" s="607"/>
      <c r="D78" s="605" t="s">
        <v>629</v>
      </c>
      <c r="E78" s="605" t="s">
        <v>630</v>
      </c>
      <c r="F78" s="607"/>
    </row>
    <row r="79">
      <c r="A79" s="611" t="s">
        <v>633</v>
      </c>
      <c r="B79" s="612">
        <v>31.0</v>
      </c>
      <c r="C79" s="613" t="s">
        <v>680</v>
      </c>
      <c r="D79" s="614"/>
      <c r="E79" s="614"/>
      <c r="F79" s="615"/>
    </row>
    <row r="80">
      <c r="A80" s="611" t="s">
        <v>637</v>
      </c>
      <c r="B80" s="620">
        <f>COUNT(C83:C113)</f>
        <v>31</v>
      </c>
      <c r="C80" s="621"/>
      <c r="D80" s="17"/>
      <c r="E80" s="17"/>
      <c r="F80" s="34"/>
    </row>
    <row r="81">
      <c r="A81" s="624"/>
      <c r="B81" s="625" t="s">
        <v>640</v>
      </c>
      <c r="C81" s="609"/>
      <c r="D81" s="625" t="s">
        <v>641</v>
      </c>
      <c r="E81" s="626"/>
      <c r="F81" s="609"/>
      <c r="H81" s="698"/>
      <c r="I81" s="698"/>
      <c r="J81" s="698"/>
    </row>
    <row r="82">
      <c r="A82" s="627" t="s">
        <v>644</v>
      </c>
      <c r="B82" s="627" t="s">
        <v>681</v>
      </c>
      <c r="C82" s="628" t="s">
        <v>637</v>
      </c>
      <c r="D82" s="627" t="s">
        <v>641</v>
      </c>
      <c r="E82" s="627" t="s">
        <v>646</v>
      </c>
      <c r="F82" s="627" t="s">
        <v>647</v>
      </c>
      <c r="H82" s="698"/>
      <c r="I82" s="698"/>
      <c r="J82" s="698"/>
    </row>
    <row r="83">
      <c r="A83" s="631">
        <v>1.0</v>
      </c>
      <c r="B83" s="699">
        <f t="shared" ref="B83:B113" si="13">$B$114/$B$79</f>
        <v>20129.03226</v>
      </c>
      <c r="C83" s="700">
        <v>10846.0</v>
      </c>
      <c r="D83" s="701">
        <f t="shared" ref="D83:D114" si="14">C83/$B$4*$B$3</f>
        <v>10846</v>
      </c>
      <c r="E83" s="635">
        <f t="shared" ref="E83:E114" si="15">D83/B83-1</f>
        <v>-0.4611762821</v>
      </c>
      <c r="F83" s="702">
        <f t="shared" ref="F83:F114" si="16">D83-B83</f>
        <v>-9283.032258</v>
      </c>
      <c r="H83" s="698"/>
      <c r="I83" s="698"/>
      <c r="J83" s="698"/>
    </row>
    <row r="84">
      <c r="A84" s="638">
        <v>2.0</v>
      </c>
      <c r="B84" s="704">
        <f t="shared" si="13"/>
        <v>20129.03226</v>
      </c>
      <c r="C84" s="700">
        <v>12273.0</v>
      </c>
      <c r="D84" s="701">
        <f t="shared" si="14"/>
        <v>12273</v>
      </c>
      <c r="E84" s="641">
        <f t="shared" si="15"/>
        <v>-0.3902836538</v>
      </c>
      <c r="F84" s="705">
        <f t="shared" si="16"/>
        <v>-7856.032258</v>
      </c>
      <c r="H84" s="698"/>
      <c r="I84" s="698"/>
      <c r="J84" s="698"/>
    </row>
    <row r="85">
      <c r="A85" s="638">
        <v>3.0</v>
      </c>
      <c r="B85" s="699">
        <f t="shared" si="13"/>
        <v>20129.03226</v>
      </c>
      <c r="C85" s="700">
        <v>12077.0</v>
      </c>
      <c r="D85" s="701">
        <f t="shared" si="14"/>
        <v>12077</v>
      </c>
      <c r="E85" s="641">
        <f t="shared" si="15"/>
        <v>-0.4000208333</v>
      </c>
      <c r="F85" s="705">
        <f t="shared" si="16"/>
        <v>-8052.032258</v>
      </c>
      <c r="H85" s="698"/>
      <c r="I85" s="698"/>
      <c r="J85" s="698"/>
    </row>
    <row r="86">
      <c r="A86" s="638">
        <v>4.0</v>
      </c>
      <c r="B86" s="704">
        <f t="shared" si="13"/>
        <v>20129.03226</v>
      </c>
      <c r="C86" s="700">
        <v>12183.0</v>
      </c>
      <c r="D86" s="701">
        <f t="shared" si="14"/>
        <v>12183</v>
      </c>
      <c r="E86" s="641">
        <f t="shared" si="15"/>
        <v>-0.3947548077</v>
      </c>
      <c r="F86" s="705">
        <f t="shared" si="16"/>
        <v>-7946.032258</v>
      </c>
      <c r="H86" s="698"/>
      <c r="I86" s="698"/>
      <c r="J86" s="698"/>
    </row>
    <row r="87">
      <c r="A87" s="638">
        <v>5.0</v>
      </c>
      <c r="B87" s="699">
        <f t="shared" si="13"/>
        <v>20129.03226</v>
      </c>
      <c r="C87" s="700">
        <v>10976.0</v>
      </c>
      <c r="D87" s="701">
        <f t="shared" si="14"/>
        <v>10976</v>
      </c>
      <c r="E87" s="641">
        <f t="shared" si="15"/>
        <v>-0.4547179487</v>
      </c>
      <c r="F87" s="705">
        <f t="shared" si="16"/>
        <v>-9153.032258</v>
      </c>
      <c r="H87" s="698"/>
      <c r="I87" s="698"/>
      <c r="J87" s="698"/>
    </row>
    <row r="88">
      <c r="A88" s="638">
        <v>6.0</v>
      </c>
      <c r="B88" s="704">
        <f t="shared" si="13"/>
        <v>20129.03226</v>
      </c>
      <c r="C88" s="700">
        <v>11393.0</v>
      </c>
      <c r="D88" s="701">
        <f t="shared" si="14"/>
        <v>11393</v>
      </c>
      <c r="E88" s="641">
        <f t="shared" si="15"/>
        <v>-0.4340016026</v>
      </c>
      <c r="F88" s="705">
        <f t="shared" si="16"/>
        <v>-8736.032258</v>
      </c>
      <c r="I88" s="698"/>
      <c r="J88" s="698"/>
    </row>
    <row r="89">
      <c r="A89" s="638">
        <v>7.0</v>
      </c>
      <c r="B89" s="699">
        <f t="shared" si="13"/>
        <v>20129.03226</v>
      </c>
      <c r="C89" s="700">
        <v>12209.0</v>
      </c>
      <c r="D89" s="701">
        <f t="shared" si="14"/>
        <v>12209</v>
      </c>
      <c r="E89" s="641">
        <f t="shared" si="15"/>
        <v>-0.393463141</v>
      </c>
      <c r="F89" s="705">
        <f t="shared" si="16"/>
        <v>-7920.032258</v>
      </c>
      <c r="I89" s="698"/>
      <c r="J89" s="698"/>
    </row>
    <row r="90">
      <c r="A90" s="638">
        <v>8.0</v>
      </c>
      <c r="B90" s="704">
        <f t="shared" si="13"/>
        <v>20129.03226</v>
      </c>
      <c r="C90" s="700">
        <v>12363.0</v>
      </c>
      <c r="D90" s="701">
        <f t="shared" si="14"/>
        <v>12363</v>
      </c>
      <c r="E90" s="641">
        <f t="shared" si="15"/>
        <v>-0.3858125</v>
      </c>
      <c r="F90" s="705">
        <f t="shared" si="16"/>
        <v>-7766.032258</v>
      </c>
      <c r="I90" s="698"/>
      <c r="J90" s="698"/>
    </row>
    <row r="91">
      <c r="A91" s="638">
        <v>9.0</v>
      </c>
      <c r="B91" s="699">
        <f t="shared" si="13"/>
        <v>20129.03226</v>
      </c>
      <c r="C91" s="700">
        <v>13589.0</v>
      </c>
      <c r="D91" s="701">
        <f t="shared" si="14"/>
        <v>13589</v>
      </c>
      <c r="E91" s="641">
        <f t="shared" si="15"/>
        <v>-0.3249054487</v>
      </c>
      <c r="F91" s="705">
        <f t="shared" si="16"/>
        <v>-6540.032258</v>
      </c>
      <c r="I91" s="698"/>
      <c r="J91" s="698"/>
    </row>
    <row r="92">
      <c r="A92" s="638">
        <v>10.0</v>
      </c>
      <c r="B92" s="704">
        <f t="shared" si="13"/>
        <v>20129.03226</v>
      </c>
      <c r="C92" s="700">
        <v>13094.0</v>
      </c>
      <c r="D92" s="701">
        <f t="shared" si="14"/>
        <v>13094</v>
      </c>
      <c r="E92" s="641">
        <f t="shared" si="15"/>
        <v>-0.3494967949</v>
      </c>
      <c r="F92" s="705">
        <f t="shared" si="16"/>
        <v>-7035.032258</v>
      </c>
      <c r="I92" s="698"/>
      <c r="J92" s="698"/>
    </row>
    <row r="93">
      <c r="A93" s="638">
        <v>11.0</v>
      </c>
      <c r="B93" s="699">
        <f t="shared" si="13"/>
        <v>20129.03226</v>
      </c>
      <c r="C93" s="700">
        <v>12622.0</v>
      </c>
      <c r="D93" s="701">
        <f t="shared" si="14"/>
        <v>12622</v>
      </c>
      <c r="E93" s="641">
        <f t="shared" si="15"/>
        <v>-0.3729455128</v>
      </c>
      <c r="F93" s="705">
        <f t="shared" si="16"/>
        <v>-7507.032258</v>
      </c>
      <c r="I93" s="698"/>
      <c r="J93" s="698"/>
    </row>
    <row r="94">
      <c r="A94" s="638">
        <v>12.0</v>
      </c>
      <c r="B94" s="704">
        <f t="shared" si="13"/>
        <v>20129.03226</v>
      </c>
      <c r="C94" s="700">
        <v>9925.0</v>
      </c>
      <c r="D94" s="701">
        <f t="shared" si="14"/>
        <v>9925</v>
      </c>
      <c r="E94" s="641">
        <f t="shared" si="15"/>
        <v>-0.5069310897</v>
      </c>
      <c r="F94" s="705">
        <f t="shared" si="16"/>
        <v>-10204.03226</v>
      </c>
      <c r="I94" s="698"/>
      <c r="J94" s="698"/>
    </row>
    <row r="95">
      <c r="A95" s="638">
        <v>13.0</v>
      </c>
      <c r="B95" s="699">
        <f t="shared" si="13"/>
        <v>20129.03226</v>
      </c>
      <c r="C95" s="700">
        <v>12228.0</v>
      </c>
      <c r="D95" s="701">
        <f t="shared" si="14"/>
        <v>12228</v>
      </c>
      <c r="E95" s="641">
        <f t="shared" si="15"/>
        <v>-0.3925192308</v>
      </c>
      <c r="F95" s="705">
        <f t="shared" si="16"/>
        <v>-7901.032258</v>
      </c>
      <c r="I95" s="698"/>
      <c r="J95" s="698"/>
    </row>
    <row r="96">
      <c r="A96" s="638">
        <v>14.0</v>
      </c>
      <c r="B96" s="704">
        <f t="shared" si="13"/>
        <v>20129.03226</v>
      </c>
      <c r="C96" s="700">
        <v>18033.0</v>
      </c>
      <c r="D96" s="701">
        <f t="shared" si="14"/>
        <v>18033</v>
      </c>
      <c r="E96" s="641">
        <f t="shared" si="15"/>
        <v>-0.1041298077</v>
      </c>
      <c r="F96" s="705">
        <f t="shared" si="16"/>
        <v>-2096.032258</v>
      </c>
      <c r="I96" s="707"/>
      <c r="J96" s="698"/>
    </row>
    <row r="97">
      <c r="A97" s="638">
        <v>15.0</v>
      </c>
      <c r="B97" s="699">
        <f t="shared" si="13"/>
        <v>20129.03226</v>
      </c>
      <c r="C97" s="700">
        <v>13151.0</v>
      </c>
      <c r="D97" s="701">
        <f t="shared" si="14"/>
        <v>13151</v>
      </c>
      <c r="E97" s="641">
        <f t="shared" si="15"/>
        <v>-0.3466650641</v>
      </c>
      <c r="F97" s="705">
        <f t="shared" si="16"/>
        <v>-6978.032258</v>
      </c>
      <c r="I97" s="698"/>
      <c r="J97" s="698"/>
    </row>
    <row r="98">
      <c r="A98" s="638">
        <v>16.0</v>
      </c>
      <c r="B98" s="704">
        <f t="shared" si="13"/>
        <v>20129.03226</v>
      </c>
      <c r="C98" s="700">
        <v>14557.0</v>
      </c>
      <c r="D98" s="701">
        <f t="shared" si="14"/>
        <v>14557</v>
      </c>
      <c r="E98" s="641">
        <f t="shared" si="15"/>
        <v>-0.2768157051</v>
      </c>
      <c r="F98" s="705">
        <f t="shared" si="16"/>
        <v>-5572.032258</v>
      </c>
      <c r="I98" s="698"/>
      <c r="J98" s="698"/>
    </row>
    <row r="99">
      <c r="A99" s="638">
        <v>17.0</v>
      </c>
      <c r="B99" s="699">
        <f t="shared" si="13"/>
        <v>20129.03226</v>
      </c>
      <c r="C99" s="700">
        <v>11405.0</v>
      </c>
      <c r="D99" s="701">
        <f t="shared" si="14"/>
        <v>11405</v>
      </c>
      <c r="E99" s="641">
        <f t="shared" si="15"/>
        <v>-0.4334054487</v>
      </c>
      <c r="F99" s="705">
        <f t="shared" si="16"/>
        <v>-8724.032258</v>
      </c>
      <c r="I99" s="698"/>
      <c r="J99" s="698"/>
    </row>
    <row r="100">
      <c r="A100" s="638">
        <v>18.0</v>
      </c>
      <c r="B100" s="704">
        <f t="shared" si="13"/>
        <v>20129.03226</v>
      </c>
      <c r="C100" s="700">
        <v>11710.0</v>
      </c>
      <c r="D100" s="701">
        <f t="shared" si="14"/>
        <v>11710</v>
      </c>
      <c r="E100" s="641">
        <f t="shared" si="15"/>
        <v>-0.4182532051</v>
      </c>
      <c r="F100" s="705">
        <f t="shared" si="16"/>
        <v>-8419.032258</v>
      </c>
    </row>
    <row r="101">
      <c r="A101" s="638">
        <v>19.0</v>
      </c>
      <c r="B101" s="699">
        <f t="shared" si="13"/>
        <v>20129.03226</v>
      </c>
      <c r="C101" s="700">
        <v>10611.0</v>
      </c>
      <c r="D101" s="701">
        <f t="shared" si="14"/>
        <v>10611</v>
      </c>
      <c r="E101" s="641">
        <f t="shared" si="15"/>
        <v>-0.4728509615</v>
      </c>
      <c r="F101" s="705">
        <f t="shared" si="16"/>
        <v>-9518.032258</v>
      </c>
    </row>
    <row r="102">
      <c r="A102" s="638">
        <v>20.0</v>
      </c>
      <c r="B102" s="704">
        <f t="shared" si="13"/>
        <v>20129.03226</v>
      </c>
      <c r="C102" s="700">
        <v>10038.0</v>
      </c>
      <c r="D102" s="701">
        <f t="shared" si="14"/>
        <v>10038</v>
      </c>
      <c r="E102" s="641">
        <f t="shared" si="15"/>
        <v>-0.5013173077</v>
      </c>
      <c r="F102" s="705">
        <f t="shared" si="16"/>
        <v>-10091.03226</v>
      </c>
    </row>
    <row r="103">
      <c r="A103" s="638">
        <v>21.0</v>
      </c>
      <c r="B103" s="699">
        <f t="shared" si="13"/>
        <v>20129.03226</v>
      </c>
      <c r="C103" s="700">
        <v>11142.0</v>
      </c>
      <c r="D103" s="701">
        <f t="shared" si="14"/>
        <v>11142</v>
      </c>
      <c r="E103" s="641">
        <f t="shared" si="15"/>
        <v>-0.4464711538</v>
      </c>
      <c r="F103" s="705">
        <f t="shared" si="16"/>
        <v>-8987.032258</v>
      </c>
    </row>
    <row r="104">
      <c r="A104" s="638">
        <v>22.0</v>
      </c>
      <c r="B104" s="704">
        <f t="shared" si="13"/>
        <v>20129.03226</v>
      </c>
      <c r="C104" s="700">
        <v>11891.0</v>
      </c>
      <c r="D104" s="701">
        <f t="shared" si="14"/>
        <v>11891</v>
      </c>
      <c r="E104" s="641">
        <f t="shared" si="15"/>
        <v>-0.4092612179</v>
      </c>
      <c r="F104" s="705">
        <f t="shared" si="16"/>
        <v>-8238.032258</v>
      </c>
    </row>
    <row r="105">
      <c r="A105" s="638">
        <v>23.0</v>
      </c>
      <c r="B105" s="699">
        <f t="shared" si="13"/>
        <v>20129.03226</v>
      </c>
      <c r="C105" s="700">
        <v>11946.0</v>
      </c>
      <c r="D105" s="701">
        <f t="shared" si="14"/>
        <v>11946</v>
      </c>
      <c r="E105" s="641">
        <f t="shared" si="15"/>
        <v>-0.4065288462</v>
      </c>
      <c r="F105" s="705">
        <f t="shared" si="16"/>
        <v>-8183.032258</v>
      </c>
    </row>
    <row r="106">
      <c r="A106" s="638">
        <v>24.0</v>
      </c>
      <c r="B106" s="704">
        <f t="shared" si="13"/>
        <v>20129.03226</v>
      </c>
      <c r="C106" s="700">
        <v>9565.0</v>
      </c>
      <c r="D106" s="701">
        <f t="shared" si="14"/>
        <v>9565</v>
      </c>
      <c r="E106" s="641">
        <f t="shared" si="15"/>
        <v>-0.5248157051</v>
      </c>
      <c r="F106" s="705">
        <f t="shared" si="16"/>
        <v>-10564.03226</v>
      </c>
    </row>
    <row r="107">
      <c r="A107" s="638">
        <v>25.0</v>
      </c>
      <c r="B107" s="699">
        <f t="shared" si="13"/>
        <v>20129.03226</v>
      </c>
      <c r="C107" s="700">
        <v>9027.0</v>
      </c>
      <c r="D107" s="701">
        <f t="shared" si="14"/>
        <v>9027</v>
      </c>
      <c r="E107" s="641">
        <f t="shared" si="15"/>
        <v>-0.5515432692</v>
      </c>
      <c r="F107" s="705">
        <f t="shared" si="16"/>
        <v>-11102.03226</v>
      </c>
    </row>
    <row r="108">
      <c r="A108" s="638">
        <v>26.0</v>
      </c>
      <c r="B108" s="704">
        <f t="shared" si="13"/>
        <v>20129.03226</v>
      </c>
      <c r="C108" s="700">
        <v>8927.0</v>
      </c>
      <c r="D108" s="701">
        <f t="shared" si="14"/>
        <v>8927</v>
      </c>
      <c r="E108" s="641">
        <f t="shared" si="15"/>
        <v>-0.5565112179</v>
      </c>
      <c r="F108" s="705">
        <f t="shared" si="16"/>
        <v>-11202.03226</v>
      </c>
      <c r="I108" s="709"/>
    </row>
    <row r="109">
      <c r="A109" s="638">
        <v>27.0</v>
      </c>
      <c r="B109" s="699">
        <f t="shared" si="13"/>
        <v>20129.03226</v>
      </c>
      <c r="C109" s="700">
        <v>8634.0</v>
      </c>
      <c r="D109" s="701">
        <f t="shared" si="14"/>
        <v>8634</v>
      </c>
      <c r="E109" s="641">
        <f t="shared" si="15"/>
        <v>-0.5710673077</v>
      </c>
      <c r="F109" s="705">
        <f t="shared" si="16"/>
        <v>-11495.03226</v>
      </c>
    </row>
    <row r="110">
      <c r="A110" s="638">
        <v>28.0</v>
      </c>
      <c r="B110" s="704">
        <f t="shared" si="13"/>
        <v>20129.03226</v>
      </c>
      <c r="C110" s="700">
        <v>8523.0</v>
      </c>
      <c r="D110" s="701">
        <f t="shared" si="14"/>
        <v>8523</v>
      </c>
      <c r="E110" s="641">
        <f t="shared" si="15"/>
        <v>-0.5765817308</v>
      </c>
      <c r="F110" s="705">
        <f t="shared" si="16"/>
        <v>-11606.03226</v>
      </c>
    </row>
    <row r="111">
      <c r="A111" s="638">
        <v>29.0</v>
      </c>
      <c r="B111" s="699">
        <f t="shared" si="13"/>
        <v>20129.03226</v>
      </c>
      <c r="C111" s="700">
        <v>8104.0</v>
      </c>
      <c r="D111" s="701">
        <f t="shared" si="14"/>
        <v>8104</v>
      </c>
      <c r="E111" s="641">
        <f t="shared" si="15"/>
        <v>-0.5973974359</v>
      </c>
      <c r="F111" s="705">
        <f t="shared" si="16"/>
        <v>-12025.03226</v>
      </c>
    </row>
    <row r="112">
      <c r="A112" s="638">
        <v>30.0</v>
      </c>
      <c r="B112" s="704">
        <f t="shared" si="13"/>
        <v>20129.03226</v>
      </c>
      <c r="C112" s="700">
        <v>8194.0</v>
      </c>
      <c r="D112" s="701">
        <f t="shared" si="14"/>
        <v>8194</v>
      </c>
      <c r="E112" s="641">
        <f t="shared" si="15"/>
        <v>-0.5929262821</v>
      </c>
      <c r="F112" s="705">
        <f t="shared" si="16"/>
        <v>-11935.03226</v>
      </c>
    </row>
    <row r="113">
      <c r="A113" s="638">
        <v>31.0</v>
      </c>
      <c r="B113" s="699">
        <f t="shared" si="13"/>
        <v>20129.03226</v>
      </c>
      <c r="C113" s="700">
        <v>7420.0</v>
      </c>
      <c r="D113" s="701">
        <f t="shared" si="14"/>
        <v>7420</v>
      </c>
      <c r="E113" s="641">
        <f t="shared" si="15"/>
        <v>-0.6313782051</v>
      </c>
      <c r="F113" s="705">
        <f t="shared" si="16"/>
        <v>-12709.03226</v>
      </c>
    </row>
    <row r="114">
      <c r="A114" s="683" t="s">
        <v>673</v>
      </c>
      <c r="B114" s="711">
        <f>H20</f>
        <v>624000</v>
      </c>
      <c r="C114" s="711">
        <f>sum(C83:C113)</f>
        <v>348656</v>
      </c>
      <c r="D114" s="711">
        <f t="shared" si="14"/>
        <v>348656</v>
      </c>
      <c r="E114" s="686">
        <f t="shared" si="15"/>
        <v>-0.4412564103</v>
      </c>
      <c r="F114" s="711">
        <f t="shared" si="16"/>
        <v>-275344</v>
      </c>
    </row>
  </sheetData>
  <mergeCells count="12">
    <mergeCell ref="B43:C43"/>
    <mergeCell ref="D43:F43"/>
    <mergeCell ref="C79:F80"/>
    <mergeCell ref="B81:C81"/>
    <mergeCell ref="D81:F81"/>
    <mergeCell ref="G2:H2"/>
    <mergeCell ref="I2:J2"/>
    <mergeCell ref="C3:F4"/>
    <mergeCell ref="B5:C5"/>
    <mergeCell ref="D5:F5"/>
    <mergeCell ref="H21:I21"/>
    <mergeCell ref="C41:F42"/>
  </mergeCells>
  <conditionalFormatting sqref="E7:E37 E83:E113">
    <cfRule type="cellIs" dxfId="0" priority="1" operator="greaterThan">
      <formula>"0%"</formula>
    </cfRule>
  </conditionalFormatting>
  <conditionalFormatting sqref="E7:E37 E83:E113">
    <cfRule type="cellIs" dxfId="1" priority="2" operator="lessThanOrEqual">
      <formula>"0%"</formula>
    </cfRule>
  </conditionalFormatting>
  <conditionalFormatting sqref="E38 E114">
    <cfRule type="cellIs" dxfId="0" priority="3" operator="greaterThan">
      <formula>"0%"</formula>
    </cfRule>
  </conditionalFormatting>
  <conditionalFormatting sqref="E38 E114">
    <cfRule type="cellIs" dxfId="1" priority="4" operator="lessThanOrEqual">
      <formula>"0%"</formula>
    </cfRule>
  </conditionalFormatting>
  <conditionalFormatting sqref="F7:F38 F45:F75 F83:F114">
    <cfRule type="cellIs" dxfId="0" priority="5" operator="greaterThan">
      <formula>"0$"</formula>
    </cfRule>
  </conditionalFormatting>
  <conditionalFormatting sqref="F7:F38 F45:F75 F83:F114">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6 E114">
    <cfRule type="cellIs" dxfId="0" priority="17" operator="lessThanOrEqual">
      <formula>"0%"</formula>
    </cfRule>
  </conditionalFormatting>
  <conditionalFormatting sqref="F76 F114">
    <cfRule type="cellIs" dxfId="0" priority="18" operator="lessThanOrEqual">
      <formula>0</formula>
    </cfRule>
  </conditionalFormatting>
  <conditionalFormatting sqref="E76 E114">
    <cfRule type="cellIs" dxfId="2" priority="19" operator="greaterThan">
      <formula>"0%"</formula>
    </cfRule>
  </conditionalFormatting>
  <conditionalFormatting sqref="F76 F114">
    <cfRule type="cellIs" dxfId="2" priority="20" operator="greaterThan">
      <formula>0</formula>
    </cfRule>
  </conditionalFormatting>
  <conditionalFormatting sqref="E45:E75">
    <cfRule type="cellIs" dxfId="0" priority="21" operator="lessThanOrEqual">
      <formula>"0%"</formula>
    </cfRule>
  </conditionalFormatting>
  <conditionalFormatting sqref="E45:E75">
    <cfRule type="cellIs" dxfId="1" priority="22" operator="greater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4.63"/>
    <col customWidth="1" min="3" max="3" width="12.25"/>
    <col customWidth="1" min="4" max="4" width="11.75"/>
    <col customWidth="1" min="5" max="5" width="17.38"/>
    <col customWidth="1" min="7" max="7" width="10.63"/>
    <col customWidth="1" min="8" max="8" width="21.0"/>
    <col customWidth="1" min="11" max="11" width="19.5"/>
    <col customWidth="1" min="14" max="14" width="15.25"/>
    <col customWidth="1" min="20" max="20" width="23.0"/>
  </cols>
  <sheetData>
    <row r="1">
      <c r="B1" s="397" t="s">
        <v>67</v>
      </c>
      <c r="T1" s="434"/>
      <c r="U1" s="438"/>
      <c r="V1" s="438"/>
      <c r="W1" s="438"/>
      <c r="X1" s="438"/>
      <c r="Y1" s="438"/>
      <c r="Z1" s="438"/>
      <c r="AA1" s="438"/>
      <c r="AB1" s="438"/>
      <c r="AC1" s="438"/>
      <c r="AD1" s="438"/>
      <c r="AE1" s="438"/>
      <c r="AF1" s="438"/>
      <c r="AG1" s="712"/>
      <c r="AH1" s="712"/>
      <c r="AI1" s="712"/>
      <c r="AJ1" s="712"/>
      <c r="AK1" s="712"/>
      <c r="AL1" s="712"/>
      <c r="AM1" s="712"/>
      <c r="AN1" s="712"/>
      <c r="AO1" s="712"/>
      <c r="AP1" s="712"/>
      <c r="AQ1" s="712"/>
      <c r="AR1" s="712"/>
      <c r="AS1" s="712"/>
      <c r="AT1" s="712"/>
      <c r="AU1" s="712"/>
      <c r="AV1" s="712"/>
      <c r="AW1" s="712"/>
      <c r="AX1" s="712"/>
      <c r="AY1" s="712"/>
    </row>
    <row r="2">
      <c r="A2" s="398" t="s">
        <v>88</v>
      </c>
      <c r="B2" s="714" t="s">
        <v>92</v>
      </c>
      <c r="C2" s="609"/>
      <c r="E2" s="715" t="s">
        <v>94</v>
      </c>
      <c r="F2" s="609"/>
      <c r="G2" s="403"/>
      <c r="H2" s="715" t="s">
        <v>481</v>
      </c>
      <c r="I2" s="609"/>
      <c r="J2" s="716"/>
      <c r="K2" s="715" t="s">
        <v>97</v>
      </c>
      <c r="L2" s="609"/>
      <c r="N2" s="715" t="s">
        <v>99</v>
      </c>
      <c r="O2" s="609"/>
      <c r="Q2" s="715" t="s">
        <v>101</v>
      </c>
      <c r="R2" s="609"/>
      <c r="T2" s="402" t="s">
        <v>463</v>
      </c>
      <c r="U2" s="717">
        <v>45108.0</v>
      </c>
      <c r="V2" s="717">
        <v>45109.0</v>
      </c>
      <c r="W2" s="717">
        <v>45110.0</v>
      </c>
      <c r="X2" s="717">
        <v>45111.0</v>
      </c>
      <c r="Y2" s="717">
        <v>45112.0</v>
      </c>
      <c r="Z2" s="717">
        <v>45113.0</v>
      </c>
      <c r="AA2" s="717">
        <v>45114.0</v>
      </c>
      <c r="AB2" s="717">
        <v>45115.0</v>
      </c>
      <c r="AC2" s="717">
        <v>45116.0</v>
      </c>
      <c r="AD2" s="718">
        <v>45117.0</v>
      </c>
      <c r="AE2" s="717">
        <v>45118.0</v>
      </c>
      <c r="AF2" s="717">
        <v>45119.0</v>
      </c>
      <c r="AG2" s="717">
        <v>45120.0</v>
      </c>
      <c r="AH2" s="717">
        <v>45121.0</v>
      </c>
      <c r="AI2" s="717">
        <v>45122.0</v>
      </c>
      <c r="AJ2" s="717">
        <v>45123.0</v>
      </c>
      <c r="AK2" s="717">
        <v>45124.0</v>
      </c>
      <c r="AL2" s="717">
        <v>45125.0</v>
      </c>
      <c r="AM2" s="717">
        <v>45126.0</v>
      </c>
      <c r="AN2" s="717">
        <v>45127.0</v>
      </c>
      <c r="AO2" s="717">
        <v>45128.0</v>
      </c>
      <c r="AP2" s="717">
        <v>45129.0</v>
      </c>
      <c r="AQ2" s="717">
        <v>45130.0</v>
      </c>
      <c r="AR2" s="717">
        <v>45131.0</v>
      </c>
      <c r="AS2" s="717">
        <v>45132.0</v>
      </c>
      <c r="AT2" s="717">
        <v>45133.0</v>
      </c>
      <c r="AU2" s="717">
        <v>45134.0</v>
      </c>
      <c r="AV2" s="717">
        <v>45135.0</v>
      </c>
      <c r="AW2" s="717">
        <v>45136.0</v>
      </c>
      <c r="AX2" s="717">
        <v>45137.0</v>
      </c>
      <c r="AY2" s="717">
        <v>45138.0</v>
      </c>
    </row>
    <row r="3">
      <c r="A3" s="405"/>
      <c r="B3" s="719" t="s">
        <v>106</v>
      </c>
      <c r="C3" s="720">
        <v>81.22</v>
      </c>
      <c r="D3" s="721">
        <v>86.9</v>
      </c>
      <c r="E3" s="722" t="s">
        <v>108</v>
      </c>
      <c r="F3" s="723">
        <f>('OLD Detailed Report'!AG170)/'OLD Detailed Report'!AG164</f>
        <v>0.1146175762</v>
      </c>
      <c r="G3" s="724"/>
      <c r="H3" s="725" t="s">
        <v>92</v>
      </c>
      <c r="I3" s="726">
        <f>(C3*F9)+(C4*F8)+(C5*F3)+(C6*F4)+(C7*F5)+(C8*F6)+(C9*F7)</f>
        <v>92.47004941</v>
      </c>
      <c r="J3" s="727">
        <f>(D3*F9)+(D4*F8)+(D5*F3)+(D6*F4)+(D7*F5)+(D8*F6)+(D9*F7)</f>
        <v>99.3878855</v>
      </c>
      <c r="K3" s="728" t="s">
        <v>488</v>
      </c>
      <c r="L3" s="729">
        <v>0.029</v>
      </c>
      <c r="N3" s="719" t="s">
        <v>113</v>
      </c>
      <c r="O3" s="730">
        <v>0.22</v>
      </c>
      <c r="Q3" s="722" t="s">
        <v>114</v>
      </c>
      <c r="R3" s="731">
        <v>10.0</v>
      </c>
      <c r="T3" s="732" t="s">
        <v>686</v>
      </c>
      <c r="U3" s="733"/>
      <c r="V3" s="733"/>
      <c r="W3" s="733"/>
      <c r="X3" s="733"/>
      <c r="Y3" s="733"/>
      <c r="Z3" s="733"/>
      <c r="AA3" s="733"/>
      <c r="AB3" s="733"/>
      <c r="AC3" s="733"/>
      <c r="AD3" s="733"/>
      <c r="AE3" s="733"/>
      <c r="AF3" s="733"/>
      <c r="AG3" s="734"/>
      <c r="AH3" s="734"/>
      <c r="AI3" s="734"/>
      <c r="AJ3" s="734"/>
      <c r="AK3" s="734"/>
      <c r="AL3" s="734"/>
      <c r="AM3" s="734"/>
      <c r="AN3" s="414">
        <v>24.0</v>
      </c>
      <c r="AO3" s="414">
        <v>44.0</v>
      </c>
      <c r="AP3" s="414">
        <v>53.0</v>
      </c>
      <c r="AQ3" s="414">
        <v>53.0</v>
      </c>
      <c r="AR3" s="734"/>
      <c r="AS3" s="734"/>
      <c r="AT3" s="734"/>
      <c r="AU3" s="734"/>
      <c r="AV3" s="734"/>
      <c r="AW3" s="734"/>
      <c r="AX3" s="734"/>
      <c r="AY3" s="734"/>
    </row>
    <row r="4">
      <c r="A4" s="405"/>
      <c r="B4" s="719" t="s">
        <v>119</v>
      </c>
      <c r="C4" s="720">
        <v>91.14</v>
      </c>
      <c r="D4" s="721">
        <v>97.61</v>
      </c>
      <c r="E4" s="722" t="s">
        <v>121</v>
      </c>
      <c r="F4" s="723">
        <f>('OLD Detailed Report'!AG166)/'OLD Detailed Report'!AG164</f>
        <v>0.3359631821</v>
      </c>
      <c r="G4" s="724"/>
      <c r="H4" s="725" t="s">
        <v>122</v>
      </c>
      <c r="I4" s="726">
        <f>C32+(D32*0.78)</f>
        <v>13.0593</v>
      </c>
      <c r="J4" s="735"/>
      <c r="K4" s="722" t="s">
        <v>124</v>
      </c>
      <c r="L4" s="729">
        <v>0.034</v>
      </c>
      <c r="N4" s="719" t="s">
        <v>125</v>
      </c>
      <c r="O4" s="730">
        <v>0.13</v>
      </c>
      <c r="Q4" s="722" t="s">
        <v>126</v>
      </c>
      <c r="R4" s="731">
        <v>20.0</v>
      </c>
      <c r="T4" s="413" t="s">
        <v>467</v>
      </c>
      <c r="U4" s="416"/>
      <c r="V4" s="416"/>
      <c r="W4" s="416"/>
      <c r="X4" s="416"/>
      <c r="Y4" s="736"/>
      <c r="Z4" s="736"/>
      <c r="AA4" s="736"/>
      <c r="AB4" s="736"/>
      <c r="AC4" s="736"/>
      <c r="AD4" s="736"/>
      <c r="AE4" s="736"/>
      <c r="AF4" s="736"/>
      <c r="AG4" s="737"/>
      <c r="AH4" s="737"/>
      <c r="AI4" s="737"/>
      <c r="AJ4" s="737"/>
      <c r="AK4" s="737"/>
      <c r="AL4" s="737"/>
      <c r="AM4" s="737"/>
      <c r="AN4" s="416">
        <v>42.0</v>
      </c>
      <c r="AO4" s="416">
        <v>58.0</v>
      </c>
      <c r="AP4" s="416">
        <v>60.0</v>
      </c>
      <c r="AQ4" s="416">
        <v>56.0</v>
      </c>
      <c r="AR4" s="737"/>
      <c r="AS4" s="737"/>
      <c r="AT4" s="737"/>
      <c r="AU4" s="737"/>
      <c r="AV4" s="737"/>
      <c r="AW4" s="737"/>
      <c r="AX4" s="737"/>
      <c r="AY4" s="737"/>
    </row>
    <row r="5">
      <c r="A5" s="405"/>
      <c r="B5" s="719" t="s">
        <v>127</v>
      </c>
      <c r="C5" s="726">
        <v>10.5</v>
      </c>
      <c r="D5" s="721">
        <v>13.44</v>
      </c>
      <c r="E5" s="722" t="s">
        <v>129</v>
      </c>
      <c r="F5" s="723">
        <f>('OLD Detailed Report'!AG167)/'OLD Detailed Report'!AG164</f>
        <v>0</v>
      </c>
      <c r="G5" s="724"/>
      <c r="H5" s="719" t="s">
        <v>130</v>
      </c>
      <c r="I5" s="726">
        <f>C28</f>
        <v>15.06</v>
      </c>
      <c r="K5" s="722" t="s">
        <v>132</v>
      </c>
      <c r="L5" s="729">
        <v>0.075</v>
      </c>
      <c r="N5" s="719" t="s">
        <v>133</v>
      </c>
      <c r="O5" s="738"/>
      <c r="Q5" s="722" t="s">
        <v>135</v>
      </c>
      <c r="R5" s="731">
        <v>20.0</v>
      </c>
      <c r="T5" s="413" t="s">
        <v>116</v>
      </c>
      <c r="U5" s="416"/>
      <c r="V5" s="416"/>
      <c r="W5" s="416"/>
      <c r="X5" s="416"/>
      <c r="Y5" s="736"/>
      <c r="Z5" s="736"/>
      <c r="AA5" s="736"/>
      <c r="AB5" s="736"/>
      <c r="AC5" s="736"/>
      <c r="AD5" s="736"/>
      <c r="AE5" s="736"/>
      <c r="AF5" s="736"/>
      <c r="AG5" s="737"/>
      <c r="AH5" s="737"/>
      <c r="AI5" s="737"/>
      <c r="AJ5" s="737"/>
      <c r="AK5" s="737"/>
      <c r="AL5" s="737"/>
      <c r="AM5" s="737"/>
      <c r="AN5" s="416">
        <v>0.0</v>
      </c>
      <c r="AO5" s="416">
        <v>0.0</v>
      </c>
      <c r="AP5" s="416">
        <v>1.0</v>
      </c>
      <c r="AQ5" s="416">
        <v>1.0</v>
      </c>
      <c r="AR5" s="737"/>
      <c r="AS5" s="737"/>
      <c r="AT5" s="737"/>
      <c r="AU5" s="737"/>
      <c r="AV5" s="737"/>
      <c r="AW5" s="737"/>
      <c r="AX5" s="737"/>
      <c r="AY5" s="737"/>
    </row>
    <row r="6">
      <c r="A6" s="405"/>
      <c r="B6" s="719" t="s">
        <v>121</v>
      </c>
      <c r="C6" s="726">
        <v>4.93</v>
      </c>
      <c r="D6" s="721">
        <v>5.49</v>
      </c>
      <c r="E6" s="722" t="s">
        <v>137</v>
      </c>
      <c r="F6" s="723">
        <f>('OLD Detailed Report'!AG168)/'OLD Detailed Report'!AG164</f>
        <v>0.1700635547</v>
      </c>
      <c r="G6" s="724"/>
      <c r="H6" s="728" t="s">
        <v>138</v>
      </c>
      <c r="I6" s="726">
        <v>16.81</v>
      </c>
      <c r="K6" s="722" t="s">
        <v>139</v>
      </c>
      <c r="L6" s="741">
        <v>0.00125</v>
      </c>
      <c r="Q6" s="722" t="s">
        <v>140</v>
      </c>
      <c r="R6" s="742">
        <v>1.0</v>
      </c>
      <c r="T6" s="413" t="s">
        <v>469</v>
      </c>
      <c r="U6" s="416"/>
      <c r="V6" s="416"/>
      <c r="W6" s="416"/>
      <c r="X6" s="416"/>
      <c r="Y6" s="736"/>
      <c r="Z6" s="736"/>
      <c r="AA6" s="736"/>
      <c r="AB6" s="736"/>
      <c r="AC6" s="736"/>
      <c r="AD6" s="736"/>
      <c r="AE6" s="736"/>
      <c r="AF6" s="736"/>
      <c r="AG6" s="712"/>
      <c r="AH6" s="712"/>
      <c r="AI6" s="712"/>
      <c r="AJ6" s="712"/>
      <c r="AK6" s="712"/>
      <c r="AL6" s="712"/>
      <c r="AM6" s="712"/>
      <c r="AN6" s="416">
        <v>2.0</v>
      </c>
      <c r="AO6" s="416">
        <v>0.0</v>
      </c>
      <c r="AP6" s="416">
        <v>1.0</v>
      </c>
      <c r="AQ6" s="416">
        <v>2.0</v>
      </c>
      <c r="AR6" s="712"/>
      <c r="AS6" s="712"/>
      <c r="AT6" s="712"/>
      <c r="AU6" s="712"/>
      <c r="AV6" s="712"/>
      <c r="AW6" s="712"/>
      <c r="AX6" s="712"/>
      <c r="AY6" s="712"/>
    </row>
    <row r="7">
      <c r="A7" s="405"/>
      <c r="B7" s="719" t="s">
        <v>129</v>
      </c>
      <c r="C7" s="726">
        <v>6.37</v>
      </c>
      <c r="D7" s="744"/>
      <c r="E7" s="722" t="s">
        <v>142</v>
      </c>
      <c r="F7" s="723">
        <f>('OLD Detailed Report'!AG169)/'OLD Detailed Report'!AG164</f>
        <v>0.1895682665</v>
      </c>
      <c r="G7" s="724"/>
      <c r="H7" s="722" t="s">
        <v>144</v>
      </c>
      <c r="I7" s="745">
        <f>I3*0.075</f>
        <v>6.935253706</v>
      </c>
      <c r="K7" s="722" t="s">
        <v>145</v>
      </c>
      <c r="L7" s="746">
        <v>0.003464</v>
      </c>
      <c r="N7" s="418" t="s">
        <v>688</v>
      </c>
      <c r="O7" s="747">
        <v>0.943</v>
      </c>
      <c r="T7" s="413" t="s">
        <v>470</v>
      </c>
      <c r="U7" s="416"/>
      <c r="V7" s="416"/>
      <c r="W7" s="416"/>
      <c r="X7" s="416"/>
      <c r="Y7" s="736"/>
      <c r="Z7" s="736"/>
      <c r="AA7" s="736"/>
      <c r="AB7" s="736"/>
      <c r="AC7" s="736"/>
      <c r="AD7" s="736"/>
      <c r="AE7" s="736"/>
      <c r="AF7" s="736"/>
      <c r="AG7" s="712"/>
      <c r="AH7" s="712"/>
      <c r="AI7" s="712"/>
      <c r="AJ7" s="712"/>
      <c r="AK7" s="712"/>
      <c r="AL7" s="712"/>
      <c r="AM7" s="712"/>
      <c r="AN7" s="416">
        <v>7.0</v>
      </c>
      <c r="AO7" s="416">
        <v>6.0</v>
      </c>
      <c r="AP7" s="416">
        <v>2.0</v>
      </c>
      <c r="AQ7" s="416">
        <v>3.0</v>
      </c>
      <c r="AR7" s="712"/>
      <c r="AS7" s="712"/>
      <c r="AT7" s="712"/>
      <c r="AU7" s="712"/>
      <c r="AV7" s="712"/>
      <c r="AW7" s="712"/>
      <c r="AX7" s="712"/>
      <c r="AY7" s="712"/>
    </row>
    <row r="8">
      <c r="A8" s="405"/>
      <c r="B8" s="719" t="s">
        <v>137</v>
      </c>
      <c r="C8" s="726">
        <v>1.07</v>
      </c>
      <c r="D8" s="721">
        <v>1.19</v>
      </c>
      <c r="E8" s="722" t="s">
        <v>147</v>
      </c>
      <c r="F8" s="723">
        <f>'OLD Detailed Report'!AG140/'OLD Detailed Report'!AG141</f>
        <v>0.7131734007</v>
      </c>
      <c r="G8" s="724"/>
      <c r="H8" s="722" t="s">
        <v>149</v>
      </c>
      <c r="I8" s="726">
        <f>(C5*F3)*0.025+(C6*F4)*0.034+(C7*F5)*0.034+(C8*F6)*0.034+(C9*F7)*0.034</f>
        <v>0.1311311944</v>
      </c>
      <c r="K8" s="722" t="s">
        <v>150</v>
      </c>
      <c r="L8" s="729">
        <v>0.075</v>
      </c>
      <c r="M8" s="748" t="s">
        <v>690</v>
      </c>
      <c r="N8" s="418" t="s">
        <v>691</v>
      </c>
      <c r="O8" s="747">
        <f>1-O7</f>
        <v>0.057</v>
      </c>
      <c r="T8" s="420" t="s">
        <v>471</v>
      </c>
      <c r="U8" s="21"/>
      <c r="V8" s="21"/>
      <c r="W8" s="21"/>
      <c r="X8" s="21"/>
      <c r="Y8" s="712"/>
      <c r="Z8" s="712"/>
      <c r="AA8" s="712"/>
      <c r="AB8" s="712"/>
      <c r="AC8" s="712"/>
      <c r="AD8" s="712"/>
      <c r="AE8" s="712"/>
      <c r="AF8" s="712"/>
      <c r="AG8" s="712"/>
      <c r="AH8" s="712"/>
      <c r="AI8" s="712"/>
      <c r="AJ8" s="712"/>
      <c r="AK8" s="712"/>
      <c r="AL8" s="712"/>
      <c r="AM8" s="712"/>
      <c r="AN8" s="21">
        <v>0.0</v>
      </c>
      <c r="AO8" s="21">
        <v>0.0</v>
      </c>
      <c r="AP8" s="21">
        <v>2.0</v>
      </c>
      <c r="AQ8" s="21">
        <v>1.0</v>
      </c>
      <c r="AR8" s="712"/>
      <c r="AS8" s="712"/>
      <c r="AT8" s="712"/>
      <c r="AU8" s="712"/>
      <c r="AV8" s="712"/>
      <c r="AW8" s="712"/>
      <c r="AX8" s="712"/>
      <c r="AY8" s="712"/>
    </row>
    <row r="9">
      <c r="A9" s="405"/>
      <c r="B9" s="749" t="s">
        <v>153</v>
      </c>
      <c r="C9" s="726">
        <v>5.98</v>
      </c>
      <c r="D9" s="721">
        <v>6.66</v>
      </c>
      <c r="E9" s="722" t="s">
        <v>106</v>
      </c>
      <c r="F9" s="723">
        <f>1-F8</f>
        <v>0.2868265993</v>
      </c>
      <c r="G9" s="724"/>
      <c r="H9" s="752" t="s">
        <v>154</v>
      </c>
      <c r="I9" s="726">
        <f>'OLD Sales'!B56*0.029</f>
        <v>7.131310932</v>
      </c>
      <c r="K9" s="722" t="s">
        <v>156</v>
      </c>
      <c r="L9" s="729">
        <v>0.025</v>
      </c>
      <c r="T9" s="420" t="s">
        <v>472</v>
      </c>
      <c r="U9" s="21"/>
      <c r="V9" s="21"/>
      <c r="W9" s="21"/>
      <c r="X9" s="21"/>
      <c r="Y9" s="712"/>
      <c r="Z9" s="712"/>
      <c r="AA9" s="712"/>
      <c r="AB9" s="712"/>
      <c r="AC9" s="712"/>
      <c r="AD9" s="712"/>
      <c r="AE9" s="712"/>
      <c r="AF9" s="712"/>
      <c r="AG9" s="754"/>
      <c r="AH9" s="754"/>
      <c r="AI9" s="754"/>
      <c r="AJ9" s="754"/>
      <c r="AK9" s="754"/>
      <c r="AL9" s="754"/>
      <c r="AM9" s="754"/>
      <c r="AN9" s="21">
        <v>0.0</v>
      </c>
      <c r="AO9" s="21">
        <v>4.0</v>
      </c>
      <c r="AP9" s="21">
        <v>4.0</v>
      </c>
      <c r="AQ9" s="21">
        <v>8.0</v>
      </c>
      <c r="AR9" s="754"/>
      <c r="AS9" s="754"/>
      <c r="AT9" s="754"/>
      <c r="AU9" s="754"/>
      <c r="AV9" s="754"/>
      <c r="AW9" s="754"/>
      <c r="AX9" s="754"/>
      <c r="AY9" s="754"/>
    </row>
    <row r="10">
      <c r="A10" s="421"/>
      <c r="B10" s="722" t="s">
        <v>163</v>
      </c>
      <c r="C10" s="757"/>
      <c r="E10" s="722" t="s">
        <v>163</v>
      </c>
      <c r="F10" s="738"/>
      <c r="H10" s="722" t="s">
        <v>159</v>
      </c>
      <c r="I10" s="745">
        <f>0.3</f>
        <v>0.3</v>
      </c>
      <c r="K10" s="722" t="s">
        <v>160</v>
      </c>
      <c r="L10" s="726">
        <v>15.0</v>
      </c>
      <c r="T10" s="420" t="s">
        <v>476</v>
      </c>
      <c r="U10" s="21"/>
      <c r="V10" s="21"/>
      <c r="W10" s="21"/>
      <c r="X10" s="21"/>
      <c r="Y10" s="712"/>
      <c r="Z10" s="712"/>
      <c r="AA10" s="712"/>
      <c r="AB10" s="712"/>
      <c r="AC10" s="712"/>
      <c r="AD10" s="712"/>
      <c r="AE10" s="712"/>
      <c r="AF10" s="712"/>
      <c r="AG10" s="754"/>
      <c r="AH10" s="754"/>
      <c r="AI10" s="754"/>
      <c r="AJ10" s="754"/>
      <c r="AK10" s="754"/>
      <c r="AL10" s="754"/>
      <c r="AM10" s="754"/>
      <c r="AN10" s="21">
        <v>0.0</v>
      </c>
      <c r="AO10" s="21">
        <v>0.0</v>
      </c>
      <c r="AP10" s="21">
        <v>1.0</v>
      </c>
      <c r="AQ10" s="21">
        <v>0.0</v>
      </c>
      <c r="AR10" s="754"/>
      <c r="AS10" s="754"/>
      <c r="AT10" s="754"/>
      <c r="AU10" s="754"/>
      <c r="AV10" s="754"/>
      <c r="AW10" s="754"/>
      <c r="AX10" s="754"/>
      <c r="AY10" s="754"/>
    </row>
    <row r="11" outlineLevel="1">
      <c r="A11" s="759"/>
      <c r="B11" s="722" t="s">
        <v>162</v>
      </c>
      <c r="C11" s="757"/>
      <c r="D11" s="403"/>
      <c r="E11" s="722" t="s">
        <v>162</v>
      </c>
      <c r="F11" s="738"/>
      <c r="H11" s="722" t="s">
        <v>163</v>
      </c>
      <c r="I11" s="738"/>
      <c r="N11" s="760" t="s">
        <v>696</v>
      </c>
      <c r="O11" s="761">
        <v>252.085</v>
      </c>
      <c r="P11" s="762">
        <f>(O12*O7)+(O13*O8)</f>
        <v>16.80639794</v>
      </c>
      <c r="T11" s="763" t="s">
        <v>478</v>
      </c>
      <c r="U11" s="425">
        <f t="shared" ref="U11:AY11" si="1">SUM(U3:U10)</f>
        <v>0</v>
      </c>
      <c r="V11" s="425">
        <f t="shared" si="1"/>
        <v>0</v>
      </c>
      <c r="W11" s="425">
        <f t="shared" si="1"/>
        <v>0</v>
      </c>
      <c r="X11" s="425">
        <f t="shared" si="1"/>
        <v>0</v>
      </c>
      <c r="Y11" s="425">
        <f t="shared" si="1"/>
        <v>0</v>
      </c>
      <c r="Z11" s="425">
        <f t="shared" si="1"/>
        <v>0</v>
      </c>
      <c r="AA11" s="425">
        <f t="shared" si="1"/>
        <v>0</v>
      </c>
      <c r="AB11" s="425">
        <f t="shared" si="1"/>
        <v>0</v>
      </c>
      <c r="AC11" s="425">
        <f t="shared" si="1"/>
        <v>0</v>
      </c>
      <c r="AD11" s="425">
        <f t="shared" si="1"/>
        <v>0</v>
      </c>
      <c r="AE11" s="425">
        <f t="shared" si="1"/>
        <v>0</v>
      </c>
      <c r="AF11" s="425">
        <f t="shared" si="1"/>
        <v>0</v>
      </c>
      <c r="AG11" s="425">
        <f t="shared" si="1"/>
        <v>0</v>
      </c>
      <c r="AH11" s="425">
        <f t="shared" si="1"/>
        <v>0</v>
      </c>
      <c r="AI11" s="425">
        <f t="shared" si="1"/>
        <v>0</v>
      </c>
      <c r="AJ11" s="425">
        <f t="shared" si="1"/>
        <v>0</v>
      </c>
      <c r="AK11" s="425">
        <f t="shared" si="1"/>
        <v>0</v>
      </c>
      <c r="AL11" s="425">
        <f t="shared" si="1"/>
        <v>0</v>
      </c>
      <c r="AM11" s="425">
        <f t="shared" si="1"/>
        <v>0</v>
      </c>
      <c r="AN11" s="425">
        <f t="shared" si="1"/>
        <v>75</v>
      </c>
      <c r="AO11" s="425">
        <f t="shared" si="1"/>
        <v>112</v>
      </c>
      <c r="AP11" s="425">
        <f t="shared" si="1"/>
        <v>124</v>
      </c>
      <c r="AQ11" s="425">
        <f t="shared" si="1"/>
        <v>124</v>
      </c>
      <c r="AR11" s="425">
        <f t="shared" si="1"/>
        <v>0</v>
      </c>
      <c r="AS11" s="425">
        <f t="shared" si="1"/>
        <v>0</v>
      </c>
      <c r="AT11" s="425">
        <f t="shared" si="1"/>
        <v>0</v>
      </c>
      <c r="AU11" s="425">
        <f t="shared" si="1"/>
        <v>0</v>
      </c>
      <c r="AV11" s="425">
        <f t="shared" si="1"/>
        <v>0</v>
      </c>
      <c r="AW11" s="425">
        <f t="shared" si="1"/>
        <v>0</v>
      </c>
      <c r="AX11" s="425">
        <f t="shared" si="1"/>
        <v>0</v>
      </c>
      <c r="AY11" s="425">
        <f t="shared" si="1"/>
        <v>0</v>
      </c>
    </row>
    <row r="12" outlineLevel="1">
      <c r="A12" s="421"/>
      <c r="B12" s="722" t="s">
        <v>165</v>
      </c>
      <c r="C12" s="757"/>
      <c r="D12" s="408"/>
      <c r="E12" s="722" t="s">
        <v>165</v>
      </c>
      <c r="F12" s="738"/>
      <c r="H12" s="722" t="s">
        <v>162</v>
      </c>
      <c r="I12" s="738"/>
      <c r="K12" s="722" t="s">
        <v>168</v>
      </c>
      <c r="L12" s="729">
        <v>0.95</v>
      </c>
      <c r="N12" s="1" t="s">
        <v>700</v>
      </c>
      <c r="O12" s="765">
        <v>14.469966</v>
      </c>
      <c r="Q12" s="767"/>
      <c r="T12" s="771" t="s">
        <v>479</v>
      </c>
      <c r="U12" s="772">
        <v>45108.0</v>
      </c>
      <c r="V12" s="772">
        <v>45109.0</v>
      </c>
      <c r="W12" s="772">
        <v>45110.0</v>
      </c>
      <c r="X12" s="772">
        <v>45111.0</v>
      </c>
      <c r="Y12" s="772">
        <v>45112.0</v>
      </c>
      <c r="Z12" s="772">
        <v>45113.0</v>
      </c>
      <c r="AA12" s="772">
        <v>45114.0</v>
      </c>
      <c r="AB12" s="772">
        <v>45115.0</v>
      </c>
      <c r="AC12" s="772">
        <v>45116.0</v>
      </c>
      <c r="AD12" s="775">
        <v>45117.0</v>
      </c>
      <c r="AE12" s="772">
        <v>45118.0</v>
      </c>
      <c r="AF12" s="772">
        <v>45119.0</v>
      </c>
      <c r="AG12" s="772">
        <v>45120.0</v>
      </c>
      <c r="AH12" s="772">
        <v>45121.0</v>
      </c>
      <c r="AI12" s="772">
        <v>45122.0</v>
      </c>
      <c r="AJ12" s="772">
        <v>45123.0</v>
      </c>
      <c r="AK12" s="772">
        <v>45124.0</v>
      </c>
      <c r="AL12" s="772">
        <v>45125.0</v>
      </c>
      <c r="AM12" s="772">
        <v>45126.0</v>
      </c>
      <c r="AN12" s="772">
        <v>45127.0</v>
      </c>
      <c r="AO12" s="772">
        <v>45128.0</v>
      </c>
      <c r="AP12" s="772">
        <v>45129.0</v>
      </c>
      <c r="AQ12" s="772">
        <v>45130.0</v>
      </c>
      <c r="AR12" s="772">
        <v>45131.0</v>
      </c>
      <c r="AS12" s="772">
        <v>45132.0</v>
      </c>
      <c r="AT12" s="772">
        <v>45133.0</v>
      </c>
      <c r="AU12" s="772">
        <v>45134.0</v>
      </c>
      <c r="AV12" s="772">
        <v>45135.0</v>
      </c>
      <c r="AW12" s="772">
        <v>45136.0</v>
      </c>
      <c r="AX12" s="772">
        <v>45137.0</v>
      </c>
      <c r="AY12" s="772">
        <v>45138.0</v>
      </c>
    </row>
    <row r="13" outlineLevel="1">
      <c r="A13" s="421"/>
      <c r="B13" s="722" t="s">
        <v>170</v>
      </c>
      <c r="C13" s="757"/>
      <c r="D13" s="408"/>
      <c r="E13" s="722" t="s">
        <v>170</v>
      </c>
      <c r="F13" s="738"/>
      <c r="H13" s="722" t="s">
        <v>165</v>
      </c>
      <c r="I13" s="738"/>
      <c r="K13" s="722" t="s">
        <v>171</v>
      </c>
      <c r="L13" s="729">
        <v>0.05</v>
      </c>
      <c r="N13" s="1" t="s">
        <v>706</v>
      </c>
      <c r="O13" s="761">
        <v>55.46</v>
      </c>
      <c r="T13" s="413" t="s">
        <v>686</v>
      </c>
      <c r="U13" s="778" t="str">
        <f t="shared" ref="U13:AY13" si="2">iferror(U3/U$11,"")</f>
        <v/>
      </c>
      <c r="V13" s="778" t="str">
        <f t="shared" si="2"/>
        <v/>
      </c>
      <c r="W13" s="778" t="str">
        <f t="shared" si="2"/>
        <v/>
      </c>
      <c r="X13" s="778" t="str">
        <f t="shared" si="2"/>
        <v/>
      </c>
      <c r="Y13" s="778" t="str">
        <f t="shared" si="2"/>
        <v/>
      </c>
      <c r="Z13" s="778" t="str">
        <f t="shared" si="2"/>
        <v/>
      </c>
      <c r="AA13" s="778" t="str">
        <f t="shared" si="2"/>
        <v/>
      </c>
      <c r="AB13" s="778" t="str">
        <f t="shared" si="2"/>
        <v/>
      </c>
      <c r="AC13" s="778" t="str">
        <f t="shared" si="2"/>
        <v/>
      </c>
      <c r="AD13" s="778" t="str">
        <f t="shared" si="2"/>
        <v/>
      </c>
      <c r="AE13" s="778" t="str">
        <f t="shared" si="2"/>
        <v/>
      </c>
      <c r="AF13" s="778" t="str">
        <f t="shared" si="2"/>
        <v/>
      </c>
      <c r="AG13" s="778" t="str">
        <f t="shared" si="2"/>
        <v/>
      </c>
      <c r="AH13" s="778" t="str">
        <f t="shared" si="2"/>
        <v/>
      </c>
      <c r="AI13" s="778" t="str">
        <f t="shared" si="2"/>
        <v/>
      </c>
      <c r="AJ13" s="778" t="str">
        <f t="shared" si="2"/>
        <v/>
      </c>
      <c r="AK13" s="778" t="str">
        <f t="shared" si="2"/>
        <v/>
      </c>
      <c r="AL13" s="778" t="str">
        <f t="shared" si="2"/>
        <v/>
      </c>
      <c r="AM13" s="778" t="str">
        <f t="shared" si="2"/>
        <v/>
      </c>
      <c r="AN13" s="778">
        <f t="shared" si="2"/>
        <v>0.32</v>
      </c>
      <c r="AO13" s="778">
        <f t="shared" si="2"/>
        <v>0.3928571429</v>
      </c>
      <c r="AP13" s="778">
        <f t="shared" si="2"/>
        <v>0.4274193548</v>
      </c>
      <c r="AQ13" s="778">
        <f t="shared" si="2"/>
        <v>0.4274193548</v>
      </c>
      <c r="AR13" s="778" t="str">
        <f t="shared" si="2"/>
        <v/>
      </c>
      <c r="AS13" s="778" t="str">
        <f t="shared" si="2"/>
        <v/>
      </c>
      <c r="AT13" s="778" t="str">
        <f t="shared" si="2"/>
        <v/>
      </c>
      <c r="AU13" s="778" t="str">
        <f t="shared" si="2"/>
        <v/>
      </c>
      <c r="AV13" s="778" t="str">
        <f t="shared" si="2"/>
        <v/>
      </c>
      <c r="AW13" s="778" t="str">
        <f t="shared" si="2"/>
        <v/>
      </c>
      <c r="AX13" s="778" t="str">
        <f t="shared" si="2"/>
        <v/>
      </c>
      <c r="AY13" s="778" t="str">
        <f t="shared" si="2"/>
        <v/>
      </c>
    </row>
    <row r="14" outlineLevel="1">
      <c r="B14" s="722" t="s">
        <v>173</v>
      </c>
      <c r="C14" s="757"/>
      <c r="D14" s="408"/>
      <c r="E14" s="722" t="s">
        <v>173</v>
      </c>
      <c r="F14" s="738"/>
      <c r="H14" s="722" t="s">
        <v>170</v>
      </c>
      <c r="I14" s="738"/>
      <c r="K14" s="722" t="s">
        <v>174</v>
      </c>
      <c r="L14" s="781">
        <v>0.0</v>
      </c>
      <c r="N14" s="21"/>
      <c r="T14" s="413" t="s">
        <v>467</v>
      </c>
      <c r="U14" s="778" t="str">
        <f t="shared" ref="U14:AY14" si="3">iferror(U4/U$11,"")</f>
        <v/>
      </c>
      <c r="V14" s="778" t="str">
        <f t="shared" si="3"/>
        <v/>
      </c>
      <c r="W14" s="778" t="str">
        <f t="shared" si="3"/>
        <v/>
      </c>
      <c r="X14" s="778" t="str">
        <f t="shared" si="3"/>
        <v/>
      </c>
      <c r="Y14" s="778" t="str">
        <f t="shared" si="3"/>
        <v/>
      </c>
      <c r="Z14" s="778" t="str">
        <f t="shared" si="3"/>
        <v/>
      </c>
      <c r="AA14" s="778" t="str">
        <f t="shared" si="3"/>
        <v/>
      </c>
      <c r="AB14" s="778" t="str">
        <f t="shared" si="3"/>
        <v/>
      </c>
      <c r="AC14" s="778" t="str">
        <f t="shared" si="3"/>
        <v/>
      </c>
      <c r="AD14" s="778" t="str">
        <f t="shared" si="3"/>
        <v/>
      </c>
      <c r="AE14" s="778" t="str">
        <f t="shared" si="3"/>
        <v/>
      </c>
      <c r="AF14" s="778" t="str">
        <f t="shared" si="3"/>
        <v/>
      </c>
      <c r="AG14" s="778" t="str">
        <f t="shared" si="3"/>
        <v/>
      </c>
      <c r="AH14" s="778" t="str">
        <f t="shared" si="3"/>
        <v/>
      </c>
      <c r="AI14" s="778" t="str">
        <f t="shared" si="3"/>
        <v/>
      </c>
      <c r="AJ14" s="778" t="str">
        <f t="shared" si="3"/>
        <v/>
      </c>
      <c r="AK14" s="778" t="str">
        <f t="shared" si="3"/>
        <v/>
      </c>
      <c r="AL14" s="778" t="str">
        <f t="shared" si="3"/>
        <v/>
      </c>
      <c r="AM14" s="778" t="str">
        <f t="shared" si="3"/>
        <v/>
      </c>
      <c r="AN14" s="778">
        <f t="shared" si="3"/>
        <v>0.56</v>
      </c>
      <c r="AO14" s="778">
        <f t="shared" si="3"/>
        <v>0.5178571429</v>
      </c>
      <c r="AP14" s="778">
        <f t="shared" si="3"/>
        <v>0.4838709677</v>
      </c>
      <c r="AQ14" s="778">
        <f t="shared" si="3"/>
        <v>0.4516129032</v>
      </c>
      <c r="AR14" s="778" t="str">
        <f t="shared" si="3"/>
        <v/>
      </c>
      <c r="AS14" s="778" t="str">
        <f t="shared" si="3"/>
        <v/>
      </c>
      <c r="AT14" s="778" t="str">
        <f t="shared" si="3"/>
        <v/>
      </c>
      <c r="AU14" s="778" t="str">
        <f t="shared" si="3"/>
        <v/>
      </c>
      <c r="AV14" s="778" t="str">
        <f t="shared" si="3"/>
        <v/>
      </c>
      <c r="AW14" s="778" t="str">
        <f t="shared" si="3"/>
        <v/>
      </c>
      <c r="AX14" s="778" t="str">
        <f t="shared" si="3"/>
        <v/>
      </c>
      <c r="AY14" s="778" t="str">
        <f t="shared" si="3"/>
        <v/>
      </c>
    </row>
    <row r="15">
      <c r="A15" s="1"/>
      <c r="B15" s="433"/>
      <c r="C15" s="403"/>
      <c r="D15" s="403"/>
      <c r="E15" s="434"/>
      <c r="F15" s="522"/>
      <c r="H15" s="722" t="s">
        <v>151</v>
      </c>
      <c r="I15" s="785">
        <f>SUM(I3:I13)</f>
        <v>151.8970452</v>
      </c>
      <c r="K15" s="722" t="s">
        <v>175</v>
      </c>
      <c r="L15" s="786">
        <v>0.0</v>
      </c>
      <c r="N15" s="21"/>
      <c r="T15" s="413" t="s">
        <v>116</v>
      </c>
      <c r="U15" s="778" t="str">
        <f t="shared" ref="U15:AY15" si="4">iferror(U5/U$11,"")</f>
        <v/>
      </c>
      <c r="V15" s="778" t="str">
        <f t="shared" si="4"/>
        <v/>
      </c>
      <c r="W15" s="778" t="str">
        <f t="shared" si="4"/>
        <v/>
      </c>
      <c r="X15" s="778" t="str">
        <f t="shared" si="4"/>
        <v/>
      </c>
      <c r="Y15" s="778" t="str">
        <f t="shared" si="4"/>
        <v/>
      </c>
      <c r="Z15" s="778" t="str">
        <f t="shared" si="4"/>
        <v/>
      </c>
      <c r="AA15" s="778" t="str">
        <f t="shared" si="4"/>
        <v/>
      </c>
      <c r="AB15" s="778" t="str">
        <f t="shared" si="4"/>
        <v/>
      </c>
      <c r="AC15" s="778" t="str">
        <f t="shared" si="4"/>
        <v/>
      </c>
      <c r="AD15" s="778" t="str">
        <f t="shared" si="4"/>
        <v/>
      </c>
      <c r="AE15" s="778" t="str">
        <f t="shared" si="4"/>
        <v/>
      </c>
      <c r="AF15" s="778" t="str">
        <f t="shared" si="4"/>
        <v/>
      </c>
      <c r="AG15" s="778" t="str">
        <f t="shared" si="4"/>
        <v/>
      </c>
      <c r="AH15" s="778" t="str">
        <f t="shared" si="4"/>
        <v/>
      </c>
      <c r="AI15" s="778" t="str">
        <f t="shared" si="4"/>
        <v/>
      </c>
      <c r="AJ15" s="778" t="str">
        <f t="shared" si="4"/>
        <v/>
      </c>
      <c r="AK15" s="778" t="str">
        <f t="shared" si="4"/>
        <v/>
      </c>
      <c r="AL15" s="778" t="str">
        <f t="shared" si="4"/>
        <v/>
      </c>
      <c r="AM15" s="778" t="str">
        <f t="shared" si="4"/>
        <v/>
      </c>
      <c r="AN15" s="778">
        <f t="shared" si="4"/>
        <v>0</v>
      </c>
      <c r="AO15" s="778">
        <f t="shared" si="4"/>
        <v>0</v>
      </c>
      <c r="AP15" s="778">
        <f t="shared" si="4"/>
        <v>0.008064516129</v>
      </c>
      <c r="AQ15" s="778">
        <f t="shared" si="4"/>
        <v>0.008064516129</v>
      </c>
      <c r="AR15" s="778" t="str">
        <f t="shared" si="4"/>
        <v/>
      </c>
      <c r="AS15" s="778" t="str">
        <f t="shared" si="4"/>
        <v/>
      </c>
      <c r="AT15" s="778" t="str">
        <f t="shared" si="4"/>
        <v/>
      </c>
      <c r="AU15" s="778" t="str">
        <f t="shared" si="4"/>
        <v/>
      </c>
      <c r="AV15" s="778" t="str">
        <f t="shared" si="4"/>
        <v/>
      </c>
      <c r="AW15" s="778" t="str">
        <f t="shared" si="4"/>
        <v/>
      </c>
      <c r="AX15" s="778" t="str">
        <f t="shared" si="4"/>
        <v/>
      </c>
      <c r="AY15" s="778" t="str">
        <f t="shared" si="4"/>
        <v/>
      </c>
    </row>
    <row r="16">
      <c r="A16" s="1"/>
      <c r="B16" s="795" t="s">
        <v>178</v>
      </c>
      <c r="C16" s="796" t="s">
        <v>179</v>
      </c>
      <c r="D16" s="796" t="s">
        <v>180</v>
      </c>
      <c r="E16" s="434"/>
      <c r="F16" s="522"/>
      <c r="N16" s="21"/>
      <c r="T16" s="413" t="s">
        <v>469</v>
      </c>
      <c r="U16" s="778" t="str">
        <f t="shared" ref="U16:AY16" si="5">iferror(U6/U$11,"")</f>
        <v/>
      </c>
      <c r="V16" s="778" t="str">
        <f t="shared" si="5"/>
        <v/>
      </c>
      <c r="W16" s="778" t="str">
        <f t="shared" si="5"/>
        <v/>
      </c>
      <c r="X16" s="778" t="str">
        <f t="shared" si="5"/>
        <v/>
      </c>
      <c r="Y16" s="778" t="str">
        <f t="shared" si="5"/>
        <v/>
      </c>
      <c r="Z16" s="778" t="str">
        <f t="shared" si="5"/>
        <v/>
      </c>
      <c r="AA16" s="778" t="str">
        <f t="shared" si="5"/>
        <v/>
      </c>
      <c r="AB16" s="778" t="str">
        <f t="shared" si="5"/>
        <v/>
      </c>
      <c r="AC16" s="778" t="str">
        <f t="shared" si="5"/>
        <v/>
      </c>
      <c r="AD16" s="778" t="str">
        <f t="shared" si="5"/>
        <v/>
      </c>
      <c r="AE16" s="778" t="str">
        <f t="shared" si="5"/>
        <v/>
      </c>
      <c r="AF16" s="778" t="str">
        <f t="shared" si="5"/>
        <v/>
      </c>
      <c r="AG16" s="778" t="str">
        <f t="shared" si="5"/>
        <v/>
      </c>
      <c r="AH16" s="778" t="str">
        <f t="shared" si="5"/>
        <v/>
      </c>
      <c r="AI16" s="778" t="str">
        <f t="shared" si="5"/>
        <v/>
      </c>
      <c r="AJ16" s="778" t="str">
        <f t="shared" si="5"/>
        <v/>
      </c>
      <c r="AK16" s="778" t="str">
        <f t="shared" si="5"/>
        <v/>
      </c>
      <c r="AL16" s="778" t="str">
        <f t="shared" si="5"/>
        <v/>
      </c>
      <c r="AM16" s="778" t="str">
        <f t="shared" si="5"/>
        <v/>
      </c>
      <c r="AN16" s="778">
        <f t="shared" si="5"/>
        <v>0.02666666667</v>
      </c>
      <c r="AO16" s="778">
        <f t="shared" si="5"/>
        <v>0</v>
      </c>
      <c r="AP16" s="778">
        <f t="shared" si="5"/>
        <v>0.008064516129</v>
      </c>
      <c r="AQ16" s="778">
        <f t="shared" si="5"/>
        <v>0.01612903226</v>
      </c>
      <c r="AR16" s="778" t="str">
        <f t="shared" si="5"/>
        <v/>
      </c>
      <c r="AS16" s="778" t="str">
        <f t="shared" si="5"/>
        <v/>
      </c>
      <c r="AT16" s="778" t="str">
        <f t="shared" si="5"/>
        <v/>
      </c>
      <c r="AU16" s="778" t="str">
        <f t="shared" si="5"/>
        <v/>
      </c>
      <c r="AV16" s="778" t="str">
        <f t="shared" si="5"/>
        <v/>
      </c>
      <c r="AW16" s="778" t="str">
        <f t="shared" si="5"/>
        <v/>
      </c>
      <c r="AX16" s="778" t="str">
        <f t="shared" si="5"/>
        <v/>
      </c>
      <c r="AY16" s="778" t="str">
        <f t="shared" si="5"/>
        <v/>
      </c>
    </row>
    <row r="17">
      <c r="A17" s="1" t="s">
        <v>182</v>
      </c>
      <c r="B17" s="722" t="s">
        <v>183</v>
      </c>
      <c r="C17" s="726">
        <v>11.94</v>
      </c>
      <c r="D17" s="720">
        <v>6.155</v>
      </c>
      <c r="E17" s="434"/>
      <c r="F17" s="522"/>
      <c r="N17" s="801"/>
      <c r="T17" s="413" t="s">
        <v>470</v>
      </c>
      <c r="U17" s="778" t="str">
        <f t="shared" ref="U17:AY17" si="6">iferror(U7/U$11,"")</f>
        <v/>
      </c>
      <c r="V17" s="778" t="str">
        <f t="shared" si="6"/>
        <v/>
      </c>
      <c r="W17" s="778" t="str">
        <f t="shared" si="6"/>
        <v/>
      </c>
      <c r="X17" s="778" t="str">
        <f t="shared" si="6"/>
        <v/>
      </c>
      <c r="Y17" s="778" t="str">
        <f t="shared" si="6"/>
        <v/>
      </c>
      <c r="Z17" s="778" t="str">
        <f t="shared" si="6"/>
        <v/>
      </c>
      <c r="AA17" s="778" t="str">
        <f t="shared" si="6"/>
        <v/>
      </c>
      <c r="AB17" s="778" t="str">
        <f t="shared" si="6"/>
        <v/>
      </c>
      <c r="AC17" s="778" t="str">
        <f t="shared" si="6"/>
        <v/>
      </c>
      <c r="AD17" s="778" t="str">
        <f t="shared" si="6"/>
        <v/>
      </c>
      <c r="AE17" s="778" t="str">
        <f t="shared" si="6"/>
        <v/>
      </c>
      <c r="AF17" s="778" t="str">
        <f t="shared" si="6"/>
        <v/>
      </c>
      <c r="AG17" s="778" t="str">
        <f t="shared" si="6"/>
        <v/>
      </c>
      <c r="AH17" s="778" t="str">
        <f t="shared" si="6"/>
        <v/>
      </c>
      <c r="AI17" s="778" t="str">
        <f t="shared" si="6"/>
        <v/>
      </c>
      <c r="AJ17" s="778" t="str">
        <f t="shared" si="6"/>
        <v/>
      </c>
      <c r="AK17" s="778" t="str">
        <f t="shared" si="6"/>
        <v/>
      </c>
      <c r="AL17" s="778" t="str">
        <f t="shared" si="6"/>
        <v/>
      </c>
      <c r="AM17" s="778" t="str">
        <f t="shared" si="6"/>
        <v/>
      </c>
      <c r="AN17" s="778">
        <f t="shared" si="6"/>
        <v>0.09333333333</v>
      </c>
      <c r="AO17" s="778">
        <f t="shared" si="6"/>
        <v>0.05357142857</v>
      </c>
      <c r="AP17" s="778">
        <f t="shared" si="6"/>
        <v>0.01612903226</v>
      </c>
      <c r="AQ17" s="778">
        <f t="shared" si="6"/>
        <v>0.02419354839</v>
      </c>
      <c r="AR17" s="778" t="str">
        <f t="shared" si="6"/>
        <v/>
      </c>
      <c r="AS17" s="778" t="str">
        <f t="shared" si="6"/>
        <v/>
      </c>
      <c r="AT17" s="778" t="str">
        <f t="shared" si="6"/>
        <v/>
      </c>
      <c r="AU17" s="778" t="str">
        <f t="shared" si="6"/>
        <v/>
      </c>
      <c r="AV17" s="778" t="str">
        <f t="shared" si="6"/>
        <v/>
      </c>
      <c r="AW17" s="778" t="str">
        <f t="shared" si="6"/>
        <v/>
      </c>
      <c r="AX17" s="778" t="str">
        <f t="shared" si="6"/>
        <v/>
      </c>
      <c r="AY17" s="778" t="str">
        <f t="shared" si="6"/>
        <v/>
      </c>
    </row>
    <row r="18">
      <c r="B18" s="722" t="s">
        <v>185</v>
      </c>
      <c r="C18" s="738">
        <v>11.94</v>
      </c>
      <c r="D18" s="738">
        <v>6.16</v>
      </c>
      <c r="E18" s="434"/>
      <c r="F18" s="724"/>
      <c r="L18" s="803"/>
      <c r="T18" s="420" t="s">
        <v>471</v>
      </c>
      <c r="U18" s="778" t="str">
        <f t="shared" ref="U18:AY18" si="7">iferror(U8/U$11,"")</f>
        <v/>
      </c>
      <c r="V18" s="778" t="str">
        <f t="shared" si="7"/>
        <v/>
      </c>
      <c r="W18" s="778" t="str">
        <f t="shared" si="7"/>
        <v/>
      </c>
      <c r="X18" s="778" t="str">
        <f t="shared" si="7"/>
        <v/>
      </c>
      <c r="Y18" s="778" t="str">
        <f t="shared" si="7"/>
        <v/>
      </c>
      <c r="Z18" s="778" t="str">
        <f t="shared" si="7"/>
        <v/>
      </c>
      <c r="AA18" s="778" t="str">
        <f t="shared" si="7"/>
        <v/>
      </c>
      <c r="AB18" s="778" t="str">
        <f t="shared" si="7"/>
        <v/>
      </c>
      <c r="AC18" s="778" t="str">
        <f t="shared" si="7"/>
        <v/>
      </c>
      <c r="AD18" s="778" t="str">
        <f t="shared" si="7"/>
        <v/>
      </c>
      <c r="AE18" s="778" t="str">
        <f t="shared" si="7"/>
        <v/>
      </c>
      <c r="AF18" s="778" t="str">
        <f t="shared" si="7"/>
        <v/>
      </c>
      <c r="AG18" s="778" t="str">
        <f t="shared" si="7"/>
        <v/>
      </c>
      <c r="AH18" s="778" t="str">
        <f t="shared" si="7"/>
        <v/>
      </c>
      <c r="AI18" s="778" t="str">
        <f t="shared" si="7"/>
        <v/>
      </c>
      <c r="AJ18" s="778" t="str">
        <f t="shared" si="7"/>
        <v/>
      </c>
      <c r="AK18" s="778" t="str">
        <f t="shared" si="7"/>
        <v/>
      </c>
      <c r="AL18" s="778" t="str">
        <f t="shared" si="7"/>
        <v/>
      </c>
      <c r="AM18" s="778" t="str">
        <f t="shared" si="7"/>
        <v/>
      </c>
      <c r="AN18" s="778">
        <f t="shared" si="7"/>
        <v>0</v>
      </c>
      <c r="AO18" s="778">
        <f t="shared" si="7"/>
        <v>0</v>
      </c>
      <c r="AP18" s="778">
        <f t="shared" si="7"/>
        <v>0.01612903226</v>
      </c>
      <c r="AQ18" s="778">
        <f t="shared" si="7"/>
        <v>0.008064516129</v>
      </c>
      <c r="AR18" s="778" t="str">
        <f t="shared" si="7"/>
        <v/>
      </c>
      <c r="AS18" s="778" t="str">
        <f t="shared" si="7"/>
        <v/>
      </c>
      <c r="AT18" s="778" t="str">
        <f t="shared" si="7"/>
        <v/>
      </c>
      <c r="AU18" s="778" t="str">
        <f t="shared" si="7"/>
        <v/>
      </c>
      <c r="AV18" s="778" t="str">
        <f t="shared" si="7"/>
        <v/>
      </c>
      <c r="AW18" s="778" t="str">
        <f t="shared" si="7"/>
        <v/>
      </c>
      <c r="AX18" s="778" t="str">
        <f t="shared" si="7"/>
        <v/>
      </c>
      <c r="AY18" s="778" t="str">
        <f t="shared" si="7"/>
        <v/>
      </c>
    </row>
    <row r="19">
      <c r="B19" s="722" t="s">
        <v>187</v>
      </c>
      <c r="C19" s="738">
        <v>11.94</v>
      </c>
      <c r="D19" s="738">
        <v>6.16</v>
      </c>
      <c r="E19" s="434"/>
      <c r="F19" s="724"/>
      <c r="T19" s="420" t="s">
        <v>472</v>
      </c>
      <c r="U19" s="778" t="str">
        <f t="shared" ref="U19:AY19" si="8">iferror(U9/U$11,"")</f>
        <v/>
      </c>
      <c r="V19" s="778" t="str">
        <f t="shared" si="8"/>
        <v/>
      </c>
      <c r="W19" s="778" t="str">
        <f t="shared" si="8"/>
        <v/>
      </c>
      <c r="X19" s="778" t="str">
        <f t="shared" si="8"/>
        <v/>
      </c>
      <c r="Y19" s="778" t="str">
        <f t="shared" si="8"/>
        <v/>
      </c>
      <c r="Z19" s="778" t="str">
        <f t="shared" si="8"/>
        <v/>
      </c>
      <c r="AA19" s="778" t="str">
        <f t="shared" si="8"/>
        <v/>
      </c>
      <c r="AB19" s="778" t="str">
        <f t="shared" si="8"/>
        <v/>
      </c>
      <c r="AC19" s="778" t="str">
        <f t="shared" si="8"/>
        <v/>
      </c>
      <c r="AD19" s="778" t="str">
        <f t="shared" si="8"/>
        <v/>
      </c>
      <c r="AE19" s="778" t="str">
        <f t="shared" si="8"/>
        <v/>
      </c>
      <c r="AF19" s="778" t="str">
        <f t="shared" si="8"/>
        <v/>
      </c>
      <c r="AG19" s="778" t="str">
        <f t="shared" si="8"/>
        <v/>
      </c>
      <c r="AH19" s="778" t="str">
        <f t="shared" si="8"/>
        <v/>
      </c>
      <c r="AI19" s="778" t="str">
        <f t="shared" si="8"/>
        <v/>
      </c>
      <c r="AJ19" s="778" t="str">
        <f t="shared" si="8"/>
        <v/>
      </c>
      <c r="AK19" s="778" t="str">
        <f t="shared" si="8"/>
        <v/>
      </c>
      <c r="AL19" s="778" t="str">
        <f t="shared" si="8"/>
        <v/>
      </c>
      <c r="AM19" s="778" t="str">
        <f t="shared" si="8"/>
        <v/>
      </c>
      <c r="AN19" s="778">
        <f t="shared" si="8"/>
        <v>0</v>
      </c>
      <c r="AO19" s="778">
        <f t="shared" si="8"/>
        <v>0.03571428571</v>
      </c>
      <c r="AP19" s="778">
        <f t="shared" si="8"/>
        <v>0.03225806452</v>
      </c>
      <c r="AQ19" s="778">
        <f t="shared" si="8"/>
        <v>0.06451612903</v>
      </c>
      <c r="AR19" s="778" t="str">
        <f t="shared" si="8"/>
        <v/>
      </c>
      <c r="AS19" s="778" t="str">
        <f t="shared" si="8"/>
        <v/>
      </c>
      <c r="AT19" s="778" t="str">
        <f t="shared" si="8"/>
        <v/>
      </c>
      <c r="AU19" s="778" t="str">
        <f t="shared" si="8"/>
        <v/>
      </c>
      <c r="AV19" s="778" t="str">
        <f t="shared" si="8"/>
        <v/>
      </c>
      <c r="AW19" s="778" t="str">
        <f t="shared" si="8"/>
        <v/>
      </c>
      <c r="AX19" s="778" t="str">
        <f t="shared" si="8"/>
        <v/>
      </c>
      <c r="AY19" s="778" t="str">
        <f t="shared" si="8"/>
        <v/>
      </c>
    </row>
    <row r="20">
      <c r="A20" s="398" t="s">
        <v>88</v>
      </c>
      <c r="B20" s="722" t="s">
        <v>190</v>
      </c>
      <c r="C20" s="745">
        <f t="shared" ref="C20:D20" si="9">sum(C21:C27)</f>
        <v>3.12</v>
      </c>
      <c r="D20" s="745">
        <f t="shared" si="9"/>
        <v>2.31</v>
      </c>
      <c r="T20" s="443" t="s">
        <v>476</v>
      </c>
      <c r="U20" s="810" t="str">
        <f t="shared" ref="U20:AY20" si="10">iferror(U10/U$11,"")</f>
        <v/>
      </c>
      <c r="V20" s="810" t="str">
        <f t="shared" si="10"/>
        <v/>
      </c>
      <c r="W20" s="810" t="str">
        <f t="shared" si="10"/>
        <v/>
      </c>
      <c r="X20" s="810" t="str">
        <f t="shared" si="10"/>
        <v/>
      </c>
      <c r="Y20" s="810" t="str">
        <f t="shared" si="10"/>
        <v/>
      </c>
      <c r="Z20" s="810" t="str">
        <f t="shared" si="10"/>
        <v/>
      </c>
      <c r="AA20" s="810" t="str">
        <f t="shared" si="10"/>
        <v/>
      </c>
      <c r="AB20" s="810" t="str">
        <f t="shared" si="10"/>
        <v/>
      </c>
      <c r="AC20" s="810" t="str">
        <f t="shared" si="10"/>
        <v/>
      </c>
      <c r="AD20" s="810" t="str">
        <f t="shared" si="10"/>
        <v/>
      </c>
      <c r="AE20" s="810" t="str">
        <f t="shared" si="10"/>
        <v/>
      </c>
      <c r="AF20" s="810" t="str">
        <f t="shared" si="10"/>
        <v/>
      </c>
      <c r="AG20" s="810" t="str">
        <f t="shared" si="10"/>
        <v/>
      </c>
      <c r="AH20" s="810" t="str">
        <f t="shared" si="10"/>
        <v/>
      </c>
      <c r="AI20" s="810" t="str">
        <f t="shared" si="10"/>
        <v/>
      </c>
      <c r="AJ20" s="810" t="str">
        <f t="shared" si="10"/>
        <v/>
      </c>
      <c r="AK20" s="810" t="str">
        <f t="shared" si="10"/>
        <v/>
      </c>
      <c r="AL20" s="810" t="str">
        <f t="shared" si="10"/>
        <v/>
      </c>
      <c r="AM20" s="810" t="str">
        <f t="shared" si="10"/>
        <v/>
      </c>
      <c r="AN20" s="810">
        <f t="shared" si="10"/>
        <v>0</v>
      </c>
      <c r="AO20" s="810">
        <f t="shared" si="10"/>
        <v>0</v>
      </c>
      <c r="AP20" s="810">
        <f t="shared" si="10"/>
        <v>0.008064516129</v>
      </c>
      <c r="AQ20" s="810">
        <f t="shared" si="10"/>
        <v>0</v>
      </c>
      <c r="AR20" s="810" t="str">
        <f t="shared" si="10"/>
        <v/>
      </c>
      <c r="AS20" s="810" t="str">
        <f t="shared" si="10"/>
        <v/>
      </c>
      <c r="AT20" s="810" t="str">
        <f t="shared" si="10"/>
        <v/>
      </c>
      <c r="AU20" s="810" t="str">
        <f t="shared" si="10"/>
        <v/>
      </c>
      <c r="AV20" s="810" t="str">
        <f t="shared" si="10"/>
        <v/>
      </c>
      <c r="AW20" s="810" t="str">
        <f t="shared" si="10"/>
        <v/>
      </c>
      <c r="AX20" s="810" t="str">
        <f t="shared" si="10"/>
        <v/>
      </c>
      <c r="AY20" s="810" t="str">
        <f t="shared" si="10"/>
        <v/>
      </c>
    </row>
    <row r="21" outlineLevel="1">
      <c r="B21" s="817" t="s">
        <v>191</v>
      </c>
      <c r="C21" s="786"/>
      <c r="D21" s="786"/>
      <c r="E21" s="434"/>
      <c r="F21" s="724"/>
      <c r="T21" s="441"/>
      <c r="U21" s="820"/>
      <c r="V21" s="820"/>
      <c r="W21" s="820"/>
      <c r="X21" s="820"/>
      <c r="Y21" s="820"/>
      <c r="Z21" s="820"/>
      <c r="AA21" s="820"/>
      <c r="AB21" s="820"/>
      <c r="AC21" s="820"/>
      <c r="AD21" s="820"/>
      <c r="AE21" s="820"/>
      <c r="AF21" s="820"/>
      <c r="AG21" s="712"/>
      <c r="AH21" s="712"/>
      <c r="AI21" s="712"/>
      <c r="AJ21" s="712"/>
      <c r="AK21" s="712"/>
      <c r="AL21" s="712"/>
      <c r="AM21" s="712"/>
      <c r="AN21" s="712"/>
      <c r="AO21" s="712"/>
      <c r="AP21" s="712"/>
      <c r="AQ21" s="712"/>
      <c r="AR21" s="712"/>
      <c r="AS21" s="712"/>
      <c r="AT21" s="712"/>
      <c r="AU21" s="712"/>
      <c r="AV21" s="712"/>
      <c r="AW21" s="712"/>
      <c r="AX21" s="712"/>
      <c r="AY21" s="712"/>
    </row>
    <row r="22" outlineLevel="1">
      <c r="B22" s="817" t="s">
        <v>192</v>
      </c>
      <c r="C22" s="726">
        <v>0.3</v>
      </c>
      <c r="D22" s="726">
        <v>0.0</v>
      </c>
      <c r="E22" s="434"/>
      <c r="F22" s="724"/>
      <c r="T22" s="825"/>
      <c r="U22" s="820"/>
      <c r="V22" s="820"/>
      <c r="W22" s="820"/>
      <c r="X22" s="820"/>
      <c r="Y22" s="820"/>
      <c r="Z22" s="820"/>
      <c r="AA22" s="820"/>
      <c r="AB22" s="820"/>
      <c r="AC22" s="820"/>
      <c r="AD22" s="820"/>
      <c r="AE22" s="820"/>
      <c r="AF22" s="820"/>
      <c r="AG22" s="712"/>
      <c r="AH22" s="712"/>
      <c r="AI22" s="712"/>
      <c r="AJ22" s="712"/>
      <c r="AK22" s="712"/>
      <c r="AL22" s="712"/>
      <c r="AM22" s="712"/>
      <c r="AN22" s="712"/>
      <c r="AO22" s="712"/>
      <c r="AP22" s="712"/>
      <c r="AQ22" s="712"/>
      <c r="AR22" s="712"/>
      <c r="AS22" s="712"/>
      <c r="AT22" s="712"/>
      <c r="AU22" s="712"/>
      <c r="AV22" s="712"/>
      <c r="AW22" s="712"/>
      <c r="AX22" s="712"/>
      <c r="AY22" s="712"/>
    </row>
    <row r="23" outlineLevel="1">
      <c r="B23" s="817" t="s">
        <v>193</v>
      </c>
      <c r="C23" s="726">
        <v>0.31</v>
      </c>
      <c r="D23" s="726">
        <v>0.31</v>
      </c>
      <c r="E23" s="434"/>
      <c r="F23" s="724"/>
      <c r="T23" s="825"/>
      <c r="U23" s="820"/>
      <c r="V23" s="820"/>
      <c r="W23" s="820"/>
      <c r="X23" s="820"/>
      <c r="Y23" s="820"/>
      <c r="Z23" s="820"/>
      <c r="AA23" s="820"/>
      <c r="AB23" s="820"/>
      <c r="AC23" s="820"/>
      <c r="AD23" s="820"/>
      <c r="AE23" s="820"/>
      <c r="AF23" s="820"/>
      <c r="AG23" s="712"/>
      <c r="AH23" s="712"/>
      <c r="AI23" s="712"/>
      <c r="AJ23" s="712"/>
      <c r="AK23" s="712"/>
      <c r="AL23" s="712"/>
      <c r="AM23" s="712"/>
      <c r="AN23" s="712"/>
      <c r="AO23" s="712"/>
      <c r="AP23" s="712"/>
      <c r="AQ23" s="712"/>
      <c r="AR23" s="712"/>
      <c r="AS23" s="712"/>
      <c r="AT23" s="712"/>
      <c r="AU23" s="712"/>
      <c r="AV23" s="712"/>
      <c r="AW23" s="712"/>
      <c r="AX23" s="712"/>
      <c r="AY23" s="712"/>
    </row>
    <row r="24" outlineLevel="1">
      <c r="B24" s="817" t="s">
        <v>194</v>
      </c>
      <c r="C24" s="726">
        <v>1.01</v>
      </c>
      <c r="D24" s="726">
        <v>0.6</v>
      </c>
      <c r="E24" s="434"/>
      <c r="F24" s="724"/>
      <c r="T24" s="825"/>
      <c r="U24" s="820"/>
      <c r="V24" s="820"/>
      <c r="W24" s="820"/>
      <c r="X24" s="820"/>
      <c r="Y24" s="820"/>
      <c r="Z24" s="820"/>
      <c r="AA24" s="820"/>
      <c r="AB24" s="820"/>
      <c r="AC24" s="820"/>
      <c r="AD24" s="820"/>
      <c r="AE24" s="820"/>
      <c r="AF24" s="820"/>
      <c r="AG24" s="712"/>
      <c r="AH24" s="712"/>
      <c r="AI24" s="712"/>
      <c r="AJ24" s="712"/>
      <c r="AK24" s="712"/>
      <c r="AL24" s="712"/>
      <c r="AM24" s="712"/>
      <c r="AN24" s="712"/>
      <c r="AO24" s="712"/>
      <c r="AP24" s="712"/>
      <c r="AQ24" s="712"/>
      <c r="AR24" s="712"/>
      <c r="AS24" s="712"/>
      <c r="AT24" s="712"/>
      <c r="AU24" s="712"/>
      <c r="AV24" s="712"/>
      <c r="AW24" s="712"/>
      <c r="AX24" s="712"/>
      <c r="AY24" s="712"/>
    </row>
    <row r="25" outlineLevel="1">
      <c r="B25" s="817" t="s">
        <v>195</v>
      </c>
      <c r="C25" s="726">
        <v>0.3</v>
      </c>
      <c r="D25" s="726">
        <v>0.3</v>
      </c>
      <c r="E25" s="434"/>
      <c r="F25" s="724"/>
      <c r="T25" s="434"/>
      <c r="U25" s="438"/>
      <c r="V25" s="438"/>
      <c r="W25" s="438"/>
      <c r="X25" s="438"/>
      <c r="Y25" s="438"/>
      <c r="Z25" s="438"/>
      <c r="AA25" s="438"/>
      <c r="AB25" s="438"/>
      <c r="AC25" s="438"/>
      <c r="AD25" s="438"/>
      <c r="AE25" s="438"/>
      <c r="AF25" s="438"/>
      <c r="AG25" s="712"/>
      <c r="AH25" s="712"/>
      <c r="AI25" s="712"/>
      <c r="AJ25" s="712"/>
      <c r="AK25" s="712"/>
      <c r="AL25" s="712"/>
      <c r="AM25" s="712"/>
      <c r="AN25" s="712"/>
      <c r="AO25" s="712"/>
      <c r="AP25" s="712"/>
      <c r="AQ25" s="712"/>
      <c r="AR25" s="712"/>
      <c r="AS25" s="712"/>
      <c r="AT25" s="712"/>
      <c r="AU25" s="712"/>
      <c r="AV25" s="712"/>
      <c r="AW25" s="712"/>
      <c r="AX25" s="712"/>
      <c r="AY25" s="712"/>
    </row>
    <row r="26" outlineLevel="1">
      <c r="B26" s="817" t="s">
        <v>197</v>
      </c>
      <c r="C26" s="726">
        <v>0.0</v>
      </c>
      <c r="D26" s="726">
        <v>1.1</v>
      </c>
      <c r="E26" s="434"/>
      <c r="F26" s="724"/>
      <c r="T26" s="434"/>
      <c r="U26" s="438"/>
      <c r="V26" s="438"/>
      <c r="W26" s="438"/>
      <c r="X26" s="438"/>
      <c r="Y26" s="438"/>
      <c r="Z26" s="438"/>
      <c r="AA26" s="438"/>
      <c r="AB26" s="438"/>
      <c r="AC26" s="438"/>
      <c r="AD26" s="438"/>
      <c r="AE26" s="438"/>
      <c r="AF26" s="438"/>
      <c r="AG26" s="712"/>
      <c r="AH26" s="712"/>
      <c r="AI26" s="712"/>
      <c r="AJ26" s="712"/>
      <c r="AK26" s="712"/>
      <c r="AL26" s="712"/>
      <c r="AM26" s="712"/>
      <c r="AN26" s="712"/>
      <c r="AO26" s="712"/>
      <c r="AP26" s="712"/>
      <c r="AQ26" s="712"/>
      <c r="AR26" s="712"/>
      <c r="AS26" s="712"/>
      <c r="AT26" s="712"/>
      <c r="AU26" s="712"/>
      <c r="AV26" s="712"/>
      <c r="AW26" s="712"/>
      <c r="AX26" s="712"/>
      <c r="AY26" s="712"/>
    </row>
    <row r="27" outlineLevel="1">
      <c r="B27" s="817" t="s">
        <v>198</v>
      </c>
      <c r="C27" s="726">
        <v>1.2</v>
      </c>
      <c r="D27" s="726">
        <v>0.0</v>
      </c>
      <c r="E27" s="434"/>
      <c r="F27" s="724"/>
      <c r="T27" s="434"/>
      <c r="U27" s="438"/>
      <c r="V27" s="438"/>
      <c r="W27" s="438"/>
      <c r="X27" s="438"/>
      <c r="Y27" s="438"/>
      <c r="Z27" s="438"/>
      <c r="AA27" s="438"/>
      <c r="AB27" s="438"/>
      <c r="AC27" s="438"/>
      <c r="AD27" s="438"/>
      <c r="AE27" s="438"/>
      <c r="AF27" s="438"/>
      <c r="AG27" s="712"/>
      <c r="AH27" s="712"/>
      <c r="AI27" s="712"/>
      <c r="AJ27" s="712"/>
      <c r="AK27" s="712"/>
      <c r="AL27" s="712"/>
      <c r="AM27" s="712"/>
      <c r="AN27" s="712"/>
      <c r="AO27" s="712"/>
      <c r="AP27" s="712"/>
      <c r="AQ27" s="712"/>
      <c r="AR27" s="712"/>
      <c r="AS27" s="712"/>
      <c r="AT27" s="712"/>
      <c r="AU27" s="712"/>
      <c r="AV27" s="712"/>
      <c r="AW27" s="712"/>
      <c r="AX27" s="712"/>
      <c r="AY27" s="712"/>
    </row>
    <row r="28">
      <c r="B28" s="833" t="s">
        <v>199</v>
      </c>
      <c r="C28" s="834">
        <f t="shared" ref="C28:D28" si="11">C20+C17-C21</f>
        <v>15.06</v>
      </c>
      <c r="D28" s="834">
        <f t="shared" si="11"/>
        <v>8.465</v>
      </c>
      <c r="T28" s="434"/>
      <c r="U28" s="438"/>
      <c r="V28" s="438"/>
      <c r="W28" s="438"/>
      <c r="X28" s="438"/>
      <c r="Y28" s="438"/>
      <c r="Z28" s="438"/>
      <c r="AA28" s="438"/>
      <c r="AB28" s="438"/>
      <c r="AC28" s="438"/>
      <c r="AD28" s="438"/>
      <c r="AE28" s="438"/>
      <c r="AF28" s="438"/>
      <c r="AG28" s="712"/>
      <c r="AH28" s="712"/>
      <c r="AI28" s="712"/>
      <c r="AJ28" s="712"/>
      <c r="AK28" s="712"/>
      <c r="AL28" s="712"/>
      <c r="AM28" s="712"/>
      <c r="AN28" s="712"/>
      <c r="AO28" s="712"/>
      <c r="AP28" s="712"/>
      <c r="AQ28" s="712"/>
      <c r="AR28" s="712"/>
      <c r="AS28" s="712"/>
      <c r="AT28" s="712"/>
      <c r="AU28" s="712"/>
      <c r="AV28" s="712"/>
      <c r="AW28" s="712"/>
      <c r="AX28" s="712"/>
      <c r="AY28" s="712"/>
    </row>
    <row r="29">
      <c r="B29" s="833" t="s">
        <v>200</v>
      </c>
      <c r="C29" s="738">
        <v>15.06</v>
      </c>
      <c r="D29" s="738"/>
      <c r="E29" s="434"/>
      <c r="F29" s="724"/>
      <c r="T29" s="434"/>
      <c r="U29" s="438"/>
      <c r="V29" s="438"/>
      <c r="W29" s="438"/>
      <c r="X29" s="438"/>
      <c r="Y29" s="438"/>
      <c r="Z29" s="438"/>
      <c r="AA29" s="438"/>
      <c r="AB29" s="438"/>
      <c r="AC29" s="438"/>
      <c r="AD29" s="438"/>
      <c r="AE29" s="438"/>
      <c r="AF29" s="438"/>
      <c r="AG29" s="712"/>
      <c r="AH29" s="712"/>
      <c r="AI29" s="712"/>
      <c r="AJ29" s="712"/>
      <c r="AK29" s="712"/>
      <c r="AL29" s="712"/>
      <c r="AM29" s="712"/>
      <c r="AN29" s="712"/>
      <c r="AO29" s="712"/>
      <c r="AP29" s="712"/>
      <c r="AQ29" s="712"/>
      <c r="AR29" s="712"/>
      <c r="AS29" s="712"/>
      <c r="AT29" s="712"/>
      <c r="AU29" s="712"/>
      <c r="AV29" s="712"/>
      <c r="AW29" s="712"/>
      <c r="AX29" s="712"/>
      <c r="AY29" s="712"/>
    </row>
    <row r="30">
      <c r="B30" s="833" t="s">
        <v>201</v>
      </c>
      <c r="C30" s="738">
        <v>20.0</v>
      </c>
      <c r="D30" s="738"/>
      <c r="E30" s="434"/>
      <c r="F30" s="724"/>
      <c r="T30" s="434"/>
      <c r="U30" s="438"/>
      <c r="V30" s="438"/>
      <c r="W30" s="438"/>
      <c r="X30" s="438"/>
      <c r="Y30" s="438"/>
      <c r="Z30" s="438"/>
      <c r="AA30" s="438"/>
      <c r="AB30" s="438"/>
      <c r="AC30" s="438"/>
      <c r="AD30" s="438"/>
      <c r="AE30" s="438"/>
      <c r="AF30" s="438"/>
      <c r="AG30" s="712"/>
      <c r="AH30" s="712"/>
      <c r="AI30" s="712"/>
      <c r="AJ30" s="712"/>
      <c r="AK30" s="712"/>
      <c r="AL30" s="712"/>
      <c r="AM30" s="712"/>
      <c r="AN30" s="712"/>
      <c r="AO30" s="712"/>
      <c r="AP30" s="712"/>
      <c r="AQ30" s="712"/>
      <c r="AR30" s="712"/>
      <c r="AS30" s="712"/>
      <c r="AT30" s="712"/>
      <c r="AU30" s="712"/>
      <c r="AV30" s="712"/>
      <c r="AW30" s="712"/>
      <c r="AX30" s="712"/>
      <c r="AY30" s="712"/>
    </row>
    <row r="31">
      <c r="A31" s="422" t="s">
        <v>88</v>
      </c>
      <c r="B31" s="795" t="s">
        <v>203</v>
      </c>
      <c r="C31" s="796" t="s">
        <v>179</v>
      </c>
      <c r="D31" s="796" t="s">
        <v>180</v>
      </c>
      <c r="T31" s="434"/>
      <c r="U31" s="438"/>
      <c r="V31" s="438"/>
      <c r="W31" s="438"/>
      <c r="X31" s="438"/>
      <c r="Y31" s="438"/>
      <c r="Z31" s="438"/>
      <c r="AA31" s="438"/>
      <c r="AB31" s="438"/>
      <c r="AC31" s="438"/>
      <c r="AD31" s="438"/>
      <c r="AE31" s="438"/>
      <c r="AF31" s="438"/>
      <c r="AG31" s="712"/>
      <c r="AH31" s="712"/>
      <c r="AI31" s="712"/>
      <c r="AJ31" s="712"/>
      <c r="AK31" s="712"/>
      <c r="AL31" s="712"/>
      <c r="AM31" s="712"/>
      <c r="AN31" s="712"/>
      <c r="AO31" s="712"/>
      <c r="AP31" s="712"/>
      <c r="AQ31" s="712"/>
      <c r="AR31" s="712"/>
      <c r="AS31" s="712"/>
      <c r="AT31" s="712"/>
      <c r="AU31" s="712"/>
      <c r="AV31" s="712"/>
      <c r="AW31" s="712"/>
      <c r="AX31" s="712"/>
      <c r="AY31" s="712"/>
    </row>
    <row r="32">
      <c r="B32" s="719" t="s">
        <v>204</v>
      </c>
      <c r="C32" s="726">
        <v>11.94</v>
      </c>
      <c r="D32" s="726">
        <v>1.435</v>
      </c>
      <c r="T32" s="434"/>
      <c r="U32" s="438"/>
      <c r="V32" s="438"/>
      <c r="W32" s="438"/>
      <c r="X32" s="438"/>
      <c r="Y32" s="438"/>
      <c r="Z32" s="438"/>
      <c r="AA32" s="438"/>
      <c r="AB32" s="438"/>
      <c r="AC32" s="438"/>
      <c r="AD32" s="438"/>
      <c r="AE32" s="438"/>
      <c r="AF32" s="438"/>
      <c r="AG32" s="712"/>
      <c r="AH32" s="712"/>
      <c r="AI32" s="712"/>
      <c r="AJ32" s="712"/>
      <c r="AK32" s="712"/>
      <c r="AL32" s="712"/>
      <c r="AM32" s="712"/>
      <c r="AN32" s="712"/>
      <c r="AO32" s="712"/>
      <c r="AP32" s="712"/>
      <c r="AQ32" s="712"/>
      <c r="AR32" s="712"/>
      <c r="AS32" s="712"/>
      <c r="AT32" s="712"/>
      <c r="AU32" s="712"/>
      <c r="AV32" s="712"/>
      <c r="AW32" s="712"/>
      <c r="AX32" s="712"/>
      <c r="AY32" s="712"/>
    </row>
    <row r="33">
      <c r="B33" s="719" t="s">
        <v>206</v>
      </c>
      <c r="C33" s="726">
        <v>11.94</v>
      </c>
      <c r="D33" s="726">
        <v>1.44</v>
      </c>
      <c r="E33" s="433"/>
      <c r="F33" s="434"/>
      <c r="T33" s="434"/>
      <c r="U33" s="438"/>
      <c r="V33" s="438"/>
      <c r="W33" s="438"/>
      <c r="X33" s="438"/>
      <c r="Y33" s="438"/>
      <c r="Z33" s="438"/>
      <c r="AA33" s="438"/>
      <c r="AB33" s="438"/>
      <c r="AC33" s="438"/>
      <c r="AD33" s="438"/>
      <c r="AE33" s="438"/>
      <c r="AF33" s="438"/>
      <c r="AG33" s="712"/>
      <c r="AH33" s="712"/>
      <c r="AI33" s="712"/>
      <c r="AJ33" s="712"/>
      <c r="AK33" s="712"/>
      <c r="AL33" s="712"/>
      <c r="AM33" s="712"/>
      <c r="AN33" s="712"/>
      <c r="AO33" s="712"/>
      <c r="AP33" s="712"/>
      <c r="AQ33" s="712"/>
      <c r="AR33" s="712"/>
      <c r="AS33" s="712"/>
      <c r="AT33" s="712"/>
      <c r="AU33" s="712"/>
      <c r="AV33" s="712"/>
      <c r="AW33" s="712"/>
      <c r="AX33" s="712"/>
      <c r="AY33" s="712"/>
    </row>
    <row r="34">
      <c r="B34" s="719" t="s">
        <v>207</v>
      </c>
      <c r="C34" s="726">
        <v>11.94</v>
      </c>
      <c r="D34" s="726">
        <v>1.44</v>
      </c>
      <c r="E34" s="434"/>
      <c r="F34" s="839"/>
      <c r="T34" s="434"/>
      <c r="U34" s="438"/>
      <c r="V34" s="438"/>
      <c r="W34" s="438"/>
      <c r="X34" s="438"/>
      <c r="Y34" s="438"/>
      <c r="Z34" s="438"/>
      <c r="AA34" s="438"/>
      <c r="AB34" s="438"/>
      <c r="AC34" s="438"/>
      <c r="AD34" s="438"/>
      <c r="AE34" s="438"/>
      <c r="AF34" s="438"/>
      <c r="AG34" s="712"/>
      <c r="AH34" s="712"/>
      <c r="AI34" s="712"/>
      <c r="AJ34" s="712"/>
      <c r="AK34" s="712"/>
      <c r="AL34" s="712"/>
      <c r="AM34" s="712"/>
      <c r="AN34" s="712"/>
      <c r="AO34" s="712"/>
      <c r="AP34" s="712"/>
      <c r="AQ34" s="712"/>
      <c r="AR34" s="712"/>
      <c r="AS34" s="712"/>
      <c r="AT34" s="712"/>
      <c r="AU34" s="712"/>
      <c r="AV34" s="712"/>
      <c r="AW34" s="712"/>
      <c r="AX34" s="712"/>
      <c r="AY34" s="712"/>
    </row>
    <row r="35">
      <c r="B35" s="840"/>
      <c r="C35" s="841"/>
      <c r="E35" s="434"/>
      <c r="F35" s="839"/>
      <c r="T35" s="434"/>
      <c r="U35" s="438"/>
      <c r="V35" s="438"/>
      <c r="W35" s="438"/>
      <c r="X35" s="438"/>
      <c r="Y35" s="438"/>
      <c r="Z35" s="438"/>
      <c r="AA35" s="438"/>
      <c r="AB35" s="438"/>
      <c r="AC35" s="438"/>
      <c r="AD35" s="438"/>
      <c r="AE35" s="438"/>
      <c r="AF35" s="438"/>
      <c r="AG35" s="712"/>
      <c r="AH35" s="712"/>
      <c r="AI35" s="712"/>
      <c r="AJ35" s="712"/>
      <c r="AK35" s="712"/>
      <c r="AL35" s="712"/>
      <c r="AM35" s="712"/>
      <c r="AN35" s="712"/>
      <c r="AO35" s="712"/>
      <c r="AP35" s="712"/>
      <c r="AQ35" s="712"/>
      <c r="AR35" s="712"/>
      <c r="AS35" s="712"/>
      <c r="AT35" s="712"/>
      <c r="AU35" s="712"/>
      <c r="AV35" s="712"/>
      <c r="AW35" s="712"/>
      <c r="AX35" s="712"/>
      <c r="AY35" s="712"/>
    </row>
    <row r="36">
      <c r="B36" s="795" t="s">
        <v>209</v>
      </c>
      <c r="C36" s="796" t="s">
        <v>179</v>
      </c>
      <c r="E36" s="752" t="s">
        <v>735</v>
      </c>
      <c r="F36" s="842"/>
      <c r="G36" s="1" t="s">
        <v>736</v>
      </c>
      <c r="T36" s="434"/>
      <c r="U36" s="438"/>
      <c r="V36" s="438"/>
      <c r="W36" s="438"/>
      <c r="X36" s="438"/>
      <c r="Y36" s="438"/>
      <c r="Z36" s="438"/>
      <c r="AA36" s="438"/>
      <c r="AB36" s="438"/>
      <c r="AC36" s="438"/>
      <c r="AD36" s="438"/>
      <c r="AE36" s="438"/>
      <c r="AF36" s="438"/>
      <c r="AG36" s="712"/>
      <c r="AH36" s="712"/>
      <c r="AI36" s="712"/>
      <c r="AJ36" s="712"/>
      <c r="AK36" s="712"/>
      <c r="AL36" s="712"/>
      <c r="AM36" s="712"/>
      <c r="AN36" s="712"/>
      <c r="AO36" s="712"/>
      <c r="AP36" s="712"/>
      <c r="AQ36" s="712"/>
      <c r="AR36" s="712"/>
      <c r="AS36" s="712"/>
      <c r="AT36" s="712"/>
      <c r="AU36" s="712"/>
      <c r="AV36" s="712"/>
      <c r="AW36" s="712"/>
      <c r="AX36" s="712"/>
      <c r="AY36" s="712"/>
    </row>
    <row r="37">
      <c r="A37" s="843">
        <f>AVERAGE(D3:D4)</f>
        <v>92.255</v>
      </c>
      <c r="B37" s="728" t="s">
        <v>211</v>
      </c>
      <c r="C37" s="845">
        <v>2.27</v>
      </c>
      <c r="E37" s="752" t="s">
        <v>737</v>
      </c>
      <c r="F37" s="846">
        <v>0.63</v>
      </c>
      <c r="T37" s="434"/>
      <c r="U37" s="438"/>
      <c r="V37" s="438"/>
      <c r="W37" s="438"/>
      <c r="X37" s="438"/>
      <c r="Y37" s="438"/>
      <c r="Z37" s="438"/>
      <c r="AA37" s="438"/>
      <c r="AB37" s="438"/>
      <c r="AC37" s="438"/>
      <c r="AD37" s="438"/>
      <c r="AE37" s="438"/>
      <c r="AF37" s="438"/>
      <c r="AG37" s="712"/>
      <c r="AH37" s="712"/>
      <c r="AI37" s="712"/>
      <c r="AJ37" s="712"/>
      <c r="AK37" s="712"/>
      <c r="AL37" s="712"/>
      <c r="AM37" s="712"/>
      <c r="AN37" s="712"/>
      <c r="AO37" s="712"/>
      <c r="AP37" s="712"/>
      <c r="AQ37" s="712"/>
      <c r="AR37" s="712"/>
      <c r="AS37" s="712"/>
      <c r="AT37" s="712"/>
      <c r="AU37" s="712"/>
      <c r="AV37" s="712"/>
      <c r="AW37" s="712"/>
      <c r="AX37" s="712"/>
      <c r="AY37" s="712"/>
    </row>
    <row r="38">
      <c r="A38" s="843">
        <f>sum(C37:C38)</f>
        <v>2.51</v>
      </c>
      <c r="B38" s="728" t="s">
        <v>212</v>
      </c>
      <c r="C38" s="845">
        <v>0.24</v>
      </c>
      <c r="E38" s="752" t="s">
        <v>212</v>
      </c>
      <c r="F38" s="846">
        <v>0.11</v>
      </c>
      <c r="T38" s="434"/>
      <c r="U38" s="438"/>
      <c r="V38" s="438"/>
      <c r="W38" s="438"/>
      <c r="X38" s="438"/>
      <c r="Y38" s="438"/>
      <c r="Z38" s="438"/>
      <c r="AA38" s="438"/>
      <c r="AB38" s="438"/>
      <c r="AC38" s="438"/>
      <c r="AD38" s="438"/>
      <c r="AE38" s="438"/>
      <c r="AF38" s="438"/>
      <c r="AG38" s="712"/>
      <c r="AH38" s="712"/>
      <c r="AI38" s="712"/>
      <c r="AJ38" s="712"/>
      <c r="AK38" s="712"/>
      <c r="AL38" s="712"/>
      <c r="AM38" s="712"/>
      <c r="AN38" s="712"/>
      <c r="AO38" s="712"/>
      <c r="AP38" s="712"/>
      <c r="AQ38" s="712"/>
      <c r="AR38" s="712"/>
      <c r="AS38" s="712"/>
      <c r="AT38" s="712"/>
      <c r="AU38" s="712"/>
      <c r="AV38" s="712"/>
      <c r="AW38" s="712"/>
      <c r="AX38" s="712"/>
      <c r="AY38" s="712"/>
    </row>
    <row r="39">
      <c r="A39" s="847">
        <f>C40</f>
        <v>11.94</v>
      </c>
      <c r="B39" s="795" t="s">
        <v>213</v>
      </c>
      <c r="C39" s="796" t="s">
        <v>179</v>
      </c>
      <c r="E39" s="752" t="s">
        <v>738</v>
      </c>
      <c r="F39" s="846">
        <v>1.01</v>
      </c>
      <c r="T39" s="434"/>
      <c r="U39" s="438"/>
      <c r="V39" s="438"/>
      <c r="W39" s="438"/>
      <c r="X39" s="438"/>
      <c r="Y39" s="438"/>
      <c r="Z39" s="438"/>
      <c r="AA39" s="438"/>
      <c r="AB39" s="438"/>
      <c r="AC39" s="438"/>
      <c r="AD39" s="438"/>
      <c r="AE39" s="438"/>
      <c r="AF39" s="438"/>
      <c r="AG39" s="712"/>
      <c r="AH39" s="712"/>
      <c r="AI39" s="712"/>
      <c r="AJ39" s="712"/>
      <c r="AK39" s="712"/>
      <c r="AL39" s="712"/>
      <c r="AM39" s="712"/>
      <c r="AN39" s="712"/>
      <c r="AO39" s="712"/>
      <c r="AP39" s="712"/>
      <c r="AQ39" s="712"/>
      <c r="AR39" s="712"/>
      <c r="AS39" s="712"/>
      <c r="AT39" s="712"/>
      <c r="AU39" s="712"/>
      <c r="AV39" s="712"/>
      <c r="AW39" s="712"/>
      <c r="AX39" s="712"/>
      <c r="AY39" s="712"/>
    </row>
    <row r="40">
      <c r="A40" s="843">
        <f>sum(F37:F39)</f>
        <v>1.75</v>
      </c>
      <c r="B40" s="728" t="s">
        <v>739</v>
      </c>
      <c r="C40" s="848">
        <v>11.94</v>
      </c>
      <c r="E40" s="434"/>
      <c r="F40" s="849"/>
      <c r="T40" s="434"/>
      <c r="U40" s="438"/>
      <c r="V40" s="438"/>
      <c r="W40" s="438"/>
      <c r="X40" s="438"/>
      <c r="Y40" s="438"/>
      <c r="Z40" s="438"/>
      <c r="AA40" s="438"/>
      <c r="AB40" s="438"/>
      <c r="AC40" s="438"/>
      <c r="AD40" s="438"/>
      <c r="AE40" s="438"/>
      <c r="AF40" s="438"/>
      <c r="AG40" s="712"/>
      <c r="AH40" s="712"/>
      <c r="AI40" s="712"/>
      <c r="AJ40" s="712"/>
      <c r="AK40" s="712"/>
      <c r="AL40" s="712"/>
      <c r="AM40" s="712"/>
      <c r="AN40" s="712"/>
      <c r="AO40" s="712"/>
      <c r="AP40" s="712"/>
      <c r="AQ40" s="712"/>
      <c r="AR40" s="712"/>
      <c r="AS40" s="712"/>
      <c r="AT40" s="712"/>
      <c r="AU40" s="712"/>
      <c r="AV40" s="712"/>
      <c r="AW40" s="712"/>
      <c r="AX40" s="712"/>
      <c r="AY40" s="712"/>
    </row>
    <row r="41">
      <c r="A41" s="850">
        <f>C32</f>
        <v>11.94</v>
      </c>
      <c r="B41" s="722" t="s">
        <v>218</v>
      </c>
      <c r="C41" s="851">
        <v>0.1</v>
      </c>
      <c r="D41" s="1" t="s">
        <v>741</v>
      </c>
      <c r="E41" s="434"/>
      <c r="F41" s="849"/>
      <c r="T41" s="434"/>
      <c r="U41" s="438"/>
      <c r="V41" s="438"/>
      <c r="W41" s="438"/>
      <c r="X41" s="438"/>
      <c r="Y41" s="438"/>
      <c r="Z41" s="438"/>
      <c r="AA41" s="438"/>
      <c r="AB41" s="438"/>
      <c r="AC41" s="438"/>
      <c r="AD41" s="438"/>
      <c r="AE41" s="438"/>
      <c r="AF41" s="438"/>
      <c r="AG41" s="712"/>
      <c r="AH41" s="712"/>
      <c r="AI41" s="712"/>
      <c r="AJ41" s="712"/>
      <c r="AK41" s="712"/>
      <c r="AL41" s="712"/>
      <c r="AM41" s="712"/>
      <c r="AN41" s="712"/>
      <c r="AO41" s="712"/>
      <c r="AP41" s="712"/>
      <c r="AQ41" s="712"/>
      <c r="AR41" s="712"/>
      <c r="AS41" s="712"/>
      <c r="AT41" s="712"/>
      <c r="AU41" s="712"/>
      <c r="AV41" s="712"/>
      <c r="AW41" s="712"/>
      <c r="AX41" s="712"/>
      <c r="AY41" s="712"/>
    </row>
    <row r="42">
      <c r="A42" s="852"/>
      <c r="E42" s="434"/>
      <c r="F42" s="849"/>
      <c r="T42" s="434"/>
      <c r="U42" s="438"/>
      <c r="V42" s="438"/>
      <c r="W42" s="438"/>
      <c r="X42" s="438"/>
      <c r="Y42" s="438"/>
      <c r="Z42" s="438"/>
      <c r="AA42" s="438"/>
      <c r="AB42" s="438"/>
      <c r="AC42" s="438"/>
      <c r="AD42" s="438"/>
      <c r="AE42" s="438"/>
      <c r="AF42" s="438"/>
      <c r="AG42" s="712"/>
      <c r="AH42" s="712"/>
      <c r="AI42" s="712"/>
      <c r="AJ42" s="712"/>
      <c r="AK42" s="712"/>
      <c r="AL42" s="712"/>
      <c r="AM42" s="712"/>
      <c r="AN42" s="712"/>
      <c r="AO42" s="712"/>
      <c r="AP42" s="712"/>
      <c r="AQ42" s="712"/>
      <c r="AR42" s="712"/>
      <c r="AS42" s="712"/>
      <c r="AT42" s="712"/>
      <c r="AU42" s="712"/>
      <c r="AV42" s="712"/>
      <c r="AW42" s="712"/>
      <c r="AX42" s="712"/>
      <c r="AY42" s="712"/>
    </row>
    <row r="43">
      <c r="A43" s="843">
        <f>sum(A37:A41)</f>
        <v>120.395</v>
      </c>
      <c r="E43" s="434"/>
      <c r="F43" s="849"/>
      <c r="T43" s="434"/>
      <c r="U43" s="438"/>
      <c r="V43" s="438"/>
      <c r="W43" s="438"/>
      <c r="X43" s="438"/>
      <c r="Y43" s="438"/>
      <c r="Z43" s="438"/>
      <c r="AA43" s="438"/>
      <c r="AB43" s="438"/>
      <c r="AC43" s="438"/>
      <c r="AD43" s="438"/>
      <c r="AE43" s="438"/>
      <c r="AF43" s="438"/>
      <c r="AG43" s="712"/>
      <c r="AH43" s="712"/>
      <c r="AI43" s="712"/>
      <c r="AJ43" s="712"/>
      <c r="AK43" s="712"/>
      <c r="AL43" s="712"/>
      <c r="AM43" s="712"/>
      <c r="AN43" s="712"/>
      <c r="AO43" s="712"/>
      <c r="AP43" s="712"/>
      <c r="AQ43" s="712"/>
      <c r="AR43" s="712"/>
      <c r="AS43" s="712"/>
      <c r="AT43" s="712"/>
      <c r="AU43" s="712"/>
      <c r="AV43" s="712"/>
      <c r="AW43" s="712"/>
      <c r="AX43" s="712"/>
      <c r="AY43" s="712"/>
    </row>
    <row r="44">
      <c r="T44" s="434"/>
      <c r="U44" s="438"/>
      <c r="V44" s="438"/>
      <c r="W44" s="438"/>
      <c r="X44" s="438"/>
      <c r="Y44" s="438"/>
      <c r="Z44" s="438"/>
      <c r="AA44" s="438"/>
      <c r="AB44" s="438"/>
      <c r="AC44" s="438"/>
      <c r="AD44" s="438"/>
      <c r="AE44" s="438"/>
      <c r="AF44" s="438"/>
      <c r="AG44" s="712"/>
      <c r="AH44" s="712"/>
      <c r="AI44" s="712"/>
      <c r="AJ44" s="712"/>
      <c r="AK44" s="712"/>
      <c r="AL44" s="712"/>
      <c r="AM44" s="712"/>
      <c r="AN44" s="712"/>
      <c r="AO44" s="712"/>
      <c r="AP44" s="712"/>
      <c r="AQ44" s="712"/>
      <c r="AR44" s="712"/>
      <c r="AS44" s="712"/>
      <c r="AT44" s="712"/>
      <c r="AU44" s="712"/>
      <c r="AV44" s="712"/>
      <c r="AW44" s="712"/>
      <c r="AX44" s="712"/>
      <c r="AY44" s="712"/>
    </row>
    <row r="45">
      <c r="T45" s="434"/>
      <c r="U45" s="438"/>
      <c r="V45" s="438"/>
      <c r="W45" s="438"/>
      <c r="X45" s="438"/>
      <c r="Y45" s="438"/>
      <c r="Z45" s="438"/>
      <c r="AA45" s="438"/>
      <c r="AB45" s="438"/>
      <c r="AC45" s="438"/>
      <c r="AD45" s="438"/>
      <c r="AE45" s="438"/>
      <c r="AF45" s="438"/>
      <c r="AG45" s="712"/>
      <c r="AH45" s="712"/>
      <c r="AI45" s="712"/>
      <c r="AJ45" s="712"/>
      <c r="AK45" s="712"/>
      <c r="AL45" s="712"/>
      <c r="AM45" s="712"/>
      <c r="AN45" s="712"/>
      <c r="AO45" s="712"/>
      <c r="AP45" s="712"/>
      <c r="AQ45" s="712"/>
      <c r="AR45" s="712"/>
      <c r="AS45" s="712"/>
      <c r="AT45" s="712"/>
      <c r="AU45" s="712"/>
      <c r="AV45" s="712"/>
      <c r="AW45" s="712"/>
      <c r="AX45" s="712"/>
      <c r="AY45" s="712"/>
    </row>
    <row r="46">
      <c r="A46" s="439"/>
      <c r="B46" s="439"/>
      <c r="T46" s="434"/>
      <c r="U46" s="438"/>
      <c r="V46" s="438"/>
      <c r="W46" s="438"/>
      <c r="X46" s="438"/>
      <c r="Y46" s="438"/>
      <c r="Z46" s="438"/>
      <c r="AA46" s="438"/>
      <c r="AB46" s="438"/>
      <c r="AC46" s="438"/>
      <c r="AD46" s="438"/>
      <c r="AE46" s="438"/>
      <c r="AF46" s="438"/>
      <c r="AG46" s="712"/>
      <c r="AH46" s="712"/>
      <c r="AI46" s="712"/>
      <c r="AJ46" s="712"/>
      <c r="AK46" s="712"/>
      <c r="AL46" s="712"/>
      <c r="AM46" s="712"/>
      <c r="AN46" s="712"/>
      <c r="AO46" s="712"/>
      <c r="AP46" s="712"/>
      <c r="AQ46" s="712"/>
      <c r="AR46" s="712"/>
      <c r="AS46" s="712"/>
      <c r="AT46" s="712"/>
      <c r="AU46" s="712"/>
      <c r="AV46" s="712"/>
      <c r="AW46" s="712"/>
      <c r="AX46" s="712"/>
      <c r="AY46" s="712"/>
    </row>
    <row r="47">
      <c r="T47" s="434"/>
      <c r="U47" s="438"/>
      <c r="V47" s="438"/>
      <c r="W47" s="438"/>
      <c r="X47" s="438"/>
      <c r="Y47" s="438"/>
      <c r="Z47" s="438"/>
      <c r="AA47" s="438"/>
      <c r="AB47" s="438"/>
      <c r="AC47" s="438"/>
      <c r="AD47" s="438"/>
      <c r="AE47" s="438"/>
      <c r="AF47" s="438"/>
      <c r="AG47" s="712"/>
      <c r="AH47" s="712"/>
      <c r="AI47" s="712"/>
      <c r="AJ47" s="712"/>
      <c r="AK47" s="712"/>
      <c r="AL47" s="712"/>
      <c r="AM47" s="712"/>
      <c r="AN47" s="712"/>
      <c r="AO47" s="712"/>
      <c r="AP47" s="712"/>
      <c r="AQ47" s="712"/>
      <c r="AR47" s="712"/>
      <c r="AS47" s="712"/>
      <c r="AT47" s="712"/>
      <c r="AU47" s="712"/>
      <c r="AV47" s="712"/>
      <c r="AW47" s="712"/>
      <c r="AX47" s="712"/>
      <c r="AY47" s="712"/>
    </row>
    <row r="48">
      <c r="T48" s="434"/>
      <c r="U48" s="438"/>
      <c r="V48" s="438"/>
      <c r="W48" s="438"/>
      <c r="X48" s="438"/>
      <c r="Y48" s="438"/>
      <c r="Z48" s="438"/>
      <c r="AA48" s="438"/>
      <c r="AB48" s="438"/>
      <c r="AC48" s="438"/>
      <c r="AD48" s="438"/>
      <c r="AE48" s="438"/>
      <c r="AF48" s="438"/>
      <c r="AG48" s="712"/>
      <c r="AH48" s="712"/>
      <c r="AI48" s="712"/>
      <c r="AJ48" s="712"/>
      <c r="AK48" s="712"/>
      <c r="AL48" s="712"/>
      <c r="AM48" s="712"/>
      <c r="AN48" s="712"/>
      <c r="AO48" s="712"/>
      <c r="AP48" s="712"/>
      <c r="AQ48" s="712"/>
      <c r="AR48" s="712"/>
      <c r="AS48" s="712"/>
      <c r="AT48" s="712"/>
      <c r="AU48" s="712"/>
      <c r="AV48" s="712"/>
      <c r="AW48" s="712"/>
      <c r="AX48" s="712"/>
      <c r="AY48" s="712"/>
    </row>
    <row r="49">
      <c r="T49" s="434"/>
      <c r="U49" s="438"/>
      <c r="V49" s="438"/>
      <c r="W49" s="438"/>
      <c r="X49" s="438"/>
      <c r="Y49" s="438"/>
      <c r="Z49" s="438"/>
      <c r="AA49" s="438"/>
      <c r="AB49" s="438"/>
      <c r="AC49" s="438"/>
      <c r="AD49" s="438"/>
      <c r="AE49" s="438"/>
      <c r="AF49" s="438"/>
      <c r="AG49" s="712"/>
      <c r="AH49" s="712"/>
      <c r="AI49" s="712"/>
      <c r="AJ49" s="712"/>
      <c r="AK49" s="712"/>
      <c r="AL49" s="712"/>
      <c r="AM49" s="712"/>
      <c r="AN49" s="712"/>
      <c r="AO49" s="712"/>
      <c r="AP49" s="712"/>
      <c r="AQ49" s="712"/>
      <c r="AR49" s="712"/>
      <c r="AS49" s="712"/>
      <c r="AT49" s="712"/>
      <c r="AU49" s="712"/>
      <c r="AV49" s="712"/>
      <c r="AW49" s="712"/>
      <c r="AX49" s="712"/>
      <c r="AY49" s="712"/>
    </row>
    <row r="50">
      <c r="T50" s="434"/>
      <c r="U50" s="438"/>
      <c r="V50" s="438"/>
      <c r="W50" s="438"/>
      <c r="X50" s="438"/>
      <c r="Y50" s="438"/>
      <c r="Z50" s="438"/>
      <c r="AA50" s="438"/>
      <c r="AB50" s="438"/>
      <c r="AC50" s="438"/>
      <c r="AD50" s="438"/>
      <c r="AE50" s="438"/>
      <c r="AF50" s="438"/>
      <c r="AG50" s="712"/>
      <c r="AH50" s="712"/>
      <c r="AI50" s="712"/>
      <c r="AJ50" s="712"/>
      <c r="AK50" s="712"/>
      <c r="AL50" s="712"/>
      <c r="AM50" s="712"/>
      <c r="AN50" s="712"/>
      <c r="AO50" s="712"/>
      <c r="AP50" s="712"/>
      <c r="AQ50" s="712"/>
      <c r="AR50" s="712"/>
      <c r="AS50" s="712"/>
      <c r="AT50" s="712"/>
      <c r="AU50" s="712"/>
      <c r="AV50" s="712"/>
      <c r="AW50" s="712"/>
      <c r="AX50" s="712"/>
      <c r="AY50" s="712"/>
    </row>
    <row r="51">
      <c r="T51" s="434"/>
      <c r="U51" s="438"/>
      <c r="V51" s="438"/>
      <c r="W51" s="438"/>
      <c r="X51" s="438"/>
      <c r="Y51" s="438"/>
      <c r="Z51" s="438"/>
      <c r="AA51" s="438"/>
      <c r="AB51" s="438"/>
      <c r="AC51" s="438"/>
      <c r="AD51" s="438"/>
      <c r="AE51" s="438"/>
      <c r="AF51" s="438"/>
      <c r="AG51" s="712"/>
      <c r="AH51" s="712"/>
      <c r="AI51" s="712"/>
      <c r="AJ51" s="712"/>
      <c r="AK51" s="712"/>
      <c r="AL51" s="712"/>
      <c r="AM51" s="712"/>
      <c r="AN51" s="712"/>
      <c r="AO51" s="712"/>
      <c r="AP51" s="712"/>
      <c r="AQ51" s="712"/>
      <c r="AR51" s="712"/>
      <c r="AS51" s="712"/>
      <c r="AT51" s="712"/>
      <c r="AU51" s="712"/>
      <c r="AV51" s="712"/>
      <c r="AW51" s="712"/>
      <c r="AX51" s="712"/>
      <c r="AY51" s="712"/>
    </row>
    <row r="52">
      <c r="T52" s="434"/>
      <c r="U52" s="438"/>
      <c r="V52" s="438"/>
      <c r="W52" s="438"/>
      <c r="X52" s="438"/>
      <c r="Y52" s="438"/>
      <c r="Z52" s="438"/>
      <c r="AA52" s="438"/>
      <c r="AB52" s="438"/>
      <c r="AC52" s="438"/>
      <c r="AD52" s="438"/>
      <c r="AE52" s="438"/>
      <c r="AF52" s="438"/>
      <c r="AG52" s="712"/>
      <c r="AH52" s="712"/>
      <c r="AI52" s="712"/>
      <c r="AJ52" s="712"/>
      <c r="AK52" s="712"/>
      <c r="AL52" s="712"/>
      <c r="AM52" s="712"/>
      <c r="AN52" s="712"/>
      <c r="AO52" s="712"/>
      <c r="AP52" s="712"/>
      <c r="AQ52" s="712"/>
      <c r="AR52" s="712"/>
      <c r="AS52" s="712"/>
      <c r="AT52" s="712"/>
      <c r="AU52" s="712"/>
      <c r="AV52" s="712"/>
      <c r="AW52" s="712"/>
      <c r="AX52" s="712"/>
      <c r="AY52" s="712"/>
    </row>
    <row r="53">
      <c r="T53" s="434"/>
      <c r="U53" s="438"/>
      <c r="V53" s="438"/>
      <c r="W53" s="438"/>
      <c r="X53" s="438"/>
      <c r="Y53" s="438"/>
      <c r="Z53" s="438"/>
      <c r="AA53" s="438"/>
      <c r="AB53" s="438"/>
      <c r="AC53" s="438"/>
      <c r="AD53" s="438"/>
      <c r="AE53" s="438"/>
      <c r="AF53" s="438"/>
      <c r="AG53" s="712"/>
      <c r="AH53" s="712"/>
      <c r="AI53" s="712"/>
      <c r="AJ53" s="712"/>
      <c r="AK53" s="712"/>
      <c r="AL53" s="712"/>
      <c r="AM53" s="712"/>
      <c r="AN53" s="712"/>
      <c r="AO53" s="712"/>
      <c r="AP53" s="712"/>
      <c r="AQ53" s="712"/>
      <c r="AR53" s="712"/>
      <c r="AS53" s="712"/>
      <c r="AT53" s="712"/>
      <c r="AU53" s="712"/>
      <c r="AV53" s="712"/>
      <c r="AW53" s="712"/>
      <c r="AX53" s="712"/>
      <c r="AY53" s="712"/>
    </row>
    <row r="54">
      <c r="T54" s="434"/>
      <c r="U54" s="438"/>
      <c r="V54" s="438"/>
      <c r="W54" s="438"/>
      <c r="X54" s="438"/>
      <c r="Y54" s="438"/>
      <c r="Z54" s="438"/>
      <c r="AA54" s="438"/>
      <c r="AB54" s="438"/>
      <c r="AC54" s="438"/>
      <c r="AD54" s="438"/>
      <c r="AE54" s="438"/>
      <c r="AF54" s="438"/>
      <c r="AG54" s="712"/>
      <c r="AH54" s="712"/>
      <c r="AI54" s="712"/>
      <c r="AJ54" s="712"/>
      <c r="AK54" s="712"/>
      <c r="AL54" s="712"/>
      <c r="AM54" s="712"/>
      <c r="AN54" s="712"/>
      <c r="AO54" s="712"/>
      <c r="AP54" s="712"/>
      <c r="AQ54" s="712"/>
      <c r="AR54" s="712"/>
      <c r="AS54" s="712"/>
      <c r="AT54" s="712"/>
      <c r="AU54" s="712"/>
      <c r="AV54" s="712"/>
      <c r="AW54" s="712"/>
      <c r="AX54" s="712"/>
      <c r="AY54" s="712"/>
    </row>
    <row r="55">
      <c r="T55" s="434"/>
      <c r="U55" s="438"/>
      <c r="V55" s="438"/>
      <c r="W55" s="438"/>
      <c r="X55" s="438"/>
      <c r="Y55" s="438"/>
      <c r="Z55" s="438"/>
      <c r="AA55" s="438"/>
      <c r="AB55" s="438"/>
      <c r="AC55" s="438"/>
      <c r="AD55" s="438"/>
      <c r="AE55" s="438"/>
      <c r="AF55" s="438"/>
      <c r="AG55" s="712"/>
      <c r="AH55" s="712"/>
      <c r="AI55" s="712"/>
      <c r="AJ55" s="712"/>
      <c r="AK55" s="712"/>
      <c r="AL55" s="712"/>
      <c r="AM55" s="712"/>
      <c r="AN55" s="712"/>
      <c r="AO55" s="712"/>
      <c r="AP55" s="712"/>
      <c r="AQ55" s="712"/>
      <c r="AR55" s="712"/>
      <c r="AS55" s="712"/>
      <c r="AT55" s="712"/>
      <c r="AU55" s="712"/>
      <c r="AV55" s="712"/>
      <c r="AW55" s="712"/>
      <c r="AX55" s="712"/>
      <c r="AY55" s="712"/>
    </row>
    <row r="56">
      <c r="T56" s="434"/>
      <c r="U56" s="438"/>
      <c r="V56" s="438"/>
      <c r="W56" s="438"/>
      <c r="X56" s="438"/>
      <c r="Y56" s="438"/>
      <c r="Z56" s="438"/>
      <c r="AA56" s="438"/>
      <c r="AB56" s="438"/>
      <c r="AC56" s="438"/>
      <c r="AD56" s="438"/>
      <c r="AE56" s="438"/>
      <c r="AF56" s="438"/>
      <c r="AG56" s="712"/>
      <c r="AH56" s="712"/>
      <c r="AI56" s="712"/>
      <c r="AJ56" s="712"/>
      <c r="AK56" s="712"/>
      <c r="AL56" s="712"/>
      <c r="AM56" s="712"/>
      <c r="AN56" s="712"/>
      <c r="AO56" s="712"/>
      <c r="AP56" s="712"/>
      <c r="AQ56" s="712"/>
      <c r="AR56" s="712"/>
      <c r="AS56" s="712"/>
      <c r="AT56" s="712"/>
      <c r="AU56" s="712"/>
      <c r="AV56" s="712"/>
      <c r="AW56" s="712"/>
      <c r="AX56" s="712"/>
      <c r="AY56" s="712"/>
    </row>
    <row r="57">
      <c r="T57" s="434"/>
      <c r="U57" s="438"/>
      <c r="V57" s="438"/>
      <c r="W57" s="438"/>
      <c r="X57" s="438"/>
      <c r="Y57" s="438"/>
      <c r="Z57" s="438"/>
      <c r="AA57" s="438"/>
      <c r="AB57" s="438"/>
      <c r="AC57" s="438"/>
      <c r="AD57" s="438"/>
      <c r="AE57" s="438"/>
      <c r="AF57" s="438"/>
      <c r="AG57" s="712"/>
      <c r="AH57" s="712"/>
      <c r="AI57" s="712"/>
      <c r="AJ57" s="712"/>
      <c r="AK57" s="712"/>
      <c r="AL57" s="712"/>
      <c r="AM57" s="712"/>
      <c r="AN57" s="712"/>
      <c r="AO57" s="712"/>
      <c r="AP57" s="712"/>
      <c r="AQ57" s="712"/>
      <c r="AR57" s="712"/>
      <c r="AS57" s="712"/>
      <c r="AT57" s="712"/>
      <c r="AU57" s="712"/>
      <c r="AV57" s="712"/>
      <c r="AW57" s="712"/>
      <c r="AX57" s="712"/>
      <c r="AY57" s="712"/>
    </row>
    <row r="58">
      <c r="T58" s="434"/>
      <c r="U58" s="438"/>
      <c r="V58" s="438"/>
      <c r="W58" s="438"/>
      <c r="X58" s="438"/>
      <c r="Y58" s="438"/>
      <c r="Z58" s="438"/>
      <c r="AA58" s="438"/>
      <c r="AB58" s="438"/>
      <c r="AC58" s="438"/>
      <c r="AD58" s="438"/>
      <c r="AE58" s="438"/>
      <c r="AF58" s="438"/>
      <c r="AG58" s="712"/>
      <c r="AH58" s="712"/>
      <c r="AI58" s="712"/>
      <c r="AJ58" s="712"/>
      <c r="AK58" s="712"/>
      <c r="AL58" s="712"/>
      <c r="AM58" s="712"/>
      <c r="AN58" s="712"/>
      <c r="AO58" s="712"/>
      <c r="AP58" s="712"/>
      <c r="AQ58" s="712"/>
      <c r="AR58" s="712"/>
      <c r="AS58" s="712"/>
      <c r="AT58" s="712"/>
      <c r="AU58" s="712"/>
      <c r="AV58" s="712"/>
      <c r="AW58" s="712"/>
      <c r="AX58" s="712"/>
      <c r="AY58" s="712"/>
    </row>
    <row r="59">
      <c r="T59" s="434"/>
      <c r="U59" s="438"/>
      <c r="V59" s="438"/>
      <c r="W59" s="438"/>
      <c r="X59" s="438"/>
      <c r="Y59" s="438"/>
      <c r="Z59" s="438"/>
      <c r="AA59" s="438"/>
      <c r="AB59" s="438"/>
      <c r="AC59" s="438"/>
      <c r="AD59" s="438"/>
      <c r="AE59" s="438"/>
      <c r="AF59" s="438"/>
      <c r="AG59" s="712"/>
      <c r="AH59" s="712"/>
      <c r="AI59" s="712"/>
      <c r="AJ59" s="712"/>
      <c r="AK59" s="712"/>
      <c r="AL59" s="712"/>
      <c r="AM59" s="712"/>
      <c r="AN59" s="712"/>
      <c r="AO59" s="712"/>
      <c r="AP59" s="712"/>
      <c r="AQ59" s="712"/>
      <c r="AR59" s="712"/>
      <c r="AS59" s="712"/>
      <c r="AT59" s="712"/>
      <c r="AU59" s="712"/>
      <c r="AV59" s="712"/>
      <c r="AW59" s="712"/>
      <c r="AX59" s="712"/>
      <c r="AY59" s="712"/>
    </row>
    <row r="60">
      <c r="T60" s="434"/>
      <c r="U60" s="438"/>
      <c r="V60" s="438"/>
      <c r="W60" s="438"/>
      <c r="X60" s="438"/>
      <c r="Y60" s="438"/>
      <c r="Z60" s="438"/>
      <c r="AA60" s="438"/>
      <c r="AB60" s="438"/>
      <c r="AC60" s="438"/>
      <c r="AD60" s="438"/>
      <c r="AE60" s="438"/>
      <c r="AF60" s="438"/>
      <c r="AG60" s="712"/>
      <c r="AH60" s="712"/>
      <c r="AI60" s="712"/>
      <c r="AJ60" s="712"/>
      <c r="AK60" s="712"/>
      <c r="AL60" s="712"/>
      <c r="AM60" s="712"/>
      <c r="AN60" s="712"/>
      <c r="AO60" s="712"/>
      <c r="AP60" s="712"/>
      <c r="AQ60" s="712"/>
      <c r="AR60" s="712"/>
      <c r="AS60" s="712"/>
      <c r="AT60" s="712"/>
      <c r="AU60" s="712"/>
      <c r="AV60" s="712"/>
      <c r="AW60" s="712"/>
      <c r="AX60" s="712"/>
      <c r="AY60" s="712"/>
    </row>
    <row r="61">
      <c r="T61" s="434"/>
      <c r="U61" s="438"/>
      <c r="V61" s="438"/>
      <c r="W61" s="438"/>
      <c r="X61" s="438"/>
      <c r="Y61" s="438"/>
      <c r="Z61" s="438"/>
      <c r="AA61" s="438"/>
      <c r="AB61" s="438"/>
      <c r="AC61" s="438"/>
      <c r="AD61" s="438"/>
      <c r="AE61" s="438"/>
      <c r="AF61" s="438"/>
      <c r="AG61" s="712"/>
      <c r="AH61" s="712"/>
      <c r="AI61" s="712"/>
      <c r="AJ61" s="712"/>
      <c r="AK61" s="712"/>
      <c r="AL61" s="712"/>
      <c r="AM61" s="712"/>
      <c r="AN61" s="712"/>
      <c r="AO61" s="712"/>
      <c r="AP61" s="712"/>
      <c r="AQ61" s="712"/>
      <c r="AR61" s="712"/>
      <c r="AS61" s="712"/>
      <c r="AT61" s="712"/>
      <c r="AU61" s="712"/>
      <c r="AV61" s="712"/>
      <c r="AW61" s="712"/>
      <c r="AX61" s="712"/>
      <c r="AY61" s="712"/>
    </row>
    <row r="62">
      <c r="T62" s="434"/>
      <c r="U62" s="438"/>
      <c r="V62" s="438"/>
      <c r="W62" s="438"/>
      <c r="X62" s="438"/>
      <c r="Y62" s="438"/>
      <c r="Z62" s="438"/>
      <c r="AA62" s="438"/>
      <c r="AB62" s="438"/>
      <c r="AC62" s="438"/>
      <c r="AD62" s="438"/>
      <c r="AE62" s="438"/>
      <c r="AF62" s="438"/>
      <c r="AG62" s="712"/>
      <c r="AH62" s="712"/>
      <c r="AI62" s="712"/>
      <c r="AJ62" s="712"/>
      <c r="AK62" s="712"/>
      <c r="AL62" s="712"/>
      <c r="AM62" s="712"/>
      <c r="AN62" s="712"/>
      <c r="AO62" s="712"/>
      <c r="AP62" s="712"/>
      <c r="AQ62" s="712"/>
      <c r="AR62" s="712"/>
      <c r="AS62" s="712"/>
      <c r="AT62" s="712"/>
      <c r="AU62" s="712"/>
      <c r="AV62" s="712"/>
      <c r="AW62" s="712"/>
      <c r="AX62" s="712"/>
      <c r="AY62" s="712"/>
    </row>
    <row r="63">
      <c r="T63" s="434"/>
      <c r="U63" s="438"/>
      <c r="V63" s="438"/>
      <c r="W63" s="438"/>
      <c r="X63" s="438"/>
      <c r="Y63" s="438"/>
      <c r="Z63" s="438"/>
      <c r="AA63" s="438"/>
      <c r="AB63" s="438"/>
      <c r="AC63" s="438"/>
      <c r="AD63" s="438"/>
      <c r="AE63" s="438"/>
      <c r="AF63" s="438"/>
      <c r="AG63" s="712"/>
      <c r="AH63" s="712"/>
      <c r="AI63" s="712"/>
      <c r="AJ63" s="712"/>
      <c r="AK63" s="712"/>
      <c r="AL63" s="712"/>
      <c r="AM63" s="712"/>
      <c r="AN63" s="712"/>
      <c r="AO63" s="712"/>
      <c r="AP63" s="712"/>
      <c r="AQ63" s="712"/>
      <c r="AR63" s="712"/>
      <c r="AS63" s="712"/>
      <c r="AT63" s="712"/>
      <c r="AU63" s="712"/>
      <c r="AV63" s="712"/>
      <c r="AW63" s="712"/>
      <c r="AX63" s="712"/>
      <c r="AY63" s="712"/>
    </row>
    <row r="64">
      <c r="T64" s="434"/>
      <c r="U64" s="438"/>
      <c r="V64" s="438"/>
      <c r="W64" s="438"/>
      <c r="X64" s="438"/>
      <c r="Y64" s="438"/>
      <c r="Z64" s="438"/>
      <c r="AA64" s="438"/>
      <c r="AB64" s="438"/>
      <c r="AC64" s="438"/>
      <c r="AD64" s="438"/>
      <c r="AE64" s="438"/>
      <c r="AF64" s="438"/>
      <c r="AG64" s="712"/>
      <c r="AH64" s="712"/>
      <c r="AI64" s="712"/>
      <c r="AJ64" s="712"/>
      <c r="AK64" s="712"/>
      <c r="AL64" s="712"/>
      <c r="AM64" s="712"/>
      <c r="AN64" s="712"/>
      <c r="AO64" s="712"/>
      <c r="AP64" s="712"/>
      <c r="AQ64" s="712"/>
      <c r="AR64" s="712"/>
      <c r="AS64" s="712"/>
      <c r="AT64" s="712"/>
      <c r="AU64" s="712"/>
      <c r="AV64" s="712"/>
      <c r="AW64" s="712"/>
      <c r="AX64" s="712"/>
      <c r="AY64" s="712"/>
    </row>
    <row r="65">
      <c r="T65" s="434"/>
      <c r="U65" s="438"/>
      <c r="V65" s="438"/>
      <c r="W65" s="438"/>
      <c r="X65" s="438"/>
      <c r="Y65" s="438"/>
      <c r="Z65" s="438"/>
      <c r="AA65" s="438"/>
      <c r="AB65" s="438"/>
      <c r="AC65" s="438"/>
      <c r="AD65" s="438"/>
      <c r="AE65" s="438"/>
      <c r="AF65" s="438"/>
      <c r="AG65" s="712"/>
      <c r="AH65" s="712"/>
      <c r="AI65" s="712"/>
      <c r="AJ65" s="712"/>
      <c r="AK65" s="712"/>
      <c r="AL65" s="712"/>
      <c r="AM65" s="712"/>
      <c r="AN65" s="712"/>
      <c r="AO65" s="712"/>
      <c r="AP65" s="712"/>
      <c r="AQ65" s="712"/>
      <c r="AR65" s="712"/>
      <c r="AS65" s="712"/>
      <c r="AT65" s="712"/>
      <c r="AU65" s="712"/>
      <c r="AV65" s="712"/>
      <c r="AW65" s="712"/>
      <c r="AX65" s="712"/>
      <c r="AY65" s="712"/>
    </row>
    <row r="66">
      <c r="T66" s="434"/>
      <c r="U66" s="438"/>
      <c r="V66" s="438"/>
      <c r="W66" s="438"/>
      <c r="X66" s="438"/>
      <c r="Y66" s="438"/>
      <c r="Z66" s="438"/>
      <c r="AA66" s="438"/>
      <c r="AB66" s="438"/>
      <c r="AC66" s="438"/>
      <c r="AD66" s="438"/>
      <c r="AE66" s="438"/>
      <c r="AF66" s="438"/>
      <c r="AG66" s="712"/>
      <c r="AH66" s="712"/>
      <c r="AI66" s="712"/>
      <c r="AJ66" s="712"/>
      <c r="AK66" s="712"/>
      <c r="AL66" s="712"/>
      <c r="AM66" s="712"/>
      <c r="AN66" s="712"/>
      <c r="AO66" s="712"/>
      <c r="AP66" s="712"/>
      <c r="AQ66" s="712"/>
      <c r="AR66" s="712"/>
      <c r="AS66" s="712"/>
      <c r="AT66" s="712"/>
      <c r="AU66" s="712"/>
      <c r="AV66" s="712"/>
      <c r="AW66" s="712"/>
      <c r="AX66" s="712"/>
      <c r="AY66" s="712"/>
    </row>
    <row r="67">
      <c r="T67" s="434"/>
      <c r="U67" s="438"/>
      <c r="V67" s="438"/>
      <c r="W67" s="438"/>
      <c r="X67" s="438"/>
      <c r="Y67" s="438"/>
      <c r="Z67" s="438"/>
      <c r="AA67" s="438"/>
      <c r="AB67" s="438"/>
      <c r="AC67" s="438"/>
      <c r="AD67" s="438"/>
      <c r="AE67" s="438"/>
      <c r="AF67" s="438"/>
      <c r="AG67" s="712"/>
      <c r="AH67" s="712"/>
      <c r="AI67" s="712"/>
      <c r="AJ67" s="712"/>
      <c r="AK67" s="712"/>
      <c r="AL67" s="712"/>
      <c r="AM67" s="712"/>
      <c r="AN67" s="712"/>
      <c r="AO67" s="712"/>
      <c r="AP67" s="712"/>
      <c r="AQ67" s="712"/>
      <c r="AR67" s="712"/>
      <c r="AS67" s="712"/>
      <c r="AT67" s="712"/>
      <c r="AU67" s="712"/>
      <c r="AV67" s="712"/>
      <c r="AW67" s="712"/>
      <c r="AX67" s="712"/>
      <c r="AY67" s="712"/>
    </row>
    <row r="68">
      <c r="T68" s="434"/>
      <c r="U68" s="438"/>
      <c r="V68" s="438"/>
      <c r="W68" s="438"/>
      <c r="X68" s="438"/>
      <c r="Y68" s="438"/>
      <c r="Z68" s="438"/>
      <c r="AA68" s="438"/>
      <c r="AB68" s="438"/>
      <c r="AC68" s="438"/>
      <c r="AD68" s="438"/>
      <c r="AE68" s="438"/>
      <c r="AF68" s="438"/>
      <c r="AG68" s="712"/>
      <c r="AH68" s="712"/>
      <c r="AI68" s="712"/>
      <c r="AJ68" s="712"/>
      <c r="AK68" s="712"/>
      <c r="AL68" s="712"/>
      <c r="AM68" s="712"/>
      <c r="AN68" s="712"/>
      <c r="AO68" s="712"/>
      <c r="AP68" s="712"/>
      <c r="AQ68" s="712"/>
      <c r="AR68" s="712"/>
      <c r="AS68" s="712"/>
      <c r="AT68" s="712"/>
      <c r="AU68" s="712"/>
      <c r="AV68" s="712"/>
      <c r="AW68" s="712"/>
      <c r="AX68" s="712"/>
      <c r="AY68" s="712"/>
    </row>
    <row r="69">
      <c r="T69" s="434"/>
      <c r="U69" s="438"/>
      <c r="V69" s="438"/>
      <c r="W69" s="438"/>
      <c r="X69" s="438"/>
      <c r="Y69" s="438"/>
      <c r="Z69" s="438"/>
      <c r="AA69" s="438"/>
      <c r="AB69" s="438"/>
      <c r="AC69" s="438"/>
      <c r="AD69" s="438"/>
      <c r="AE69" s="438"/>
      <c r="AF69" s="438"/>
      <c r="AG69" s="712"/>
      <c r="AH69" s="712"/>
      <c r="AI69" s="712"/>
      <c r="AJ69" s="712"/>
      <c r="AK69" s="712"/>
      <c r="AL69" s="712"/>
      <c r="AM69" s="712"/>
      <c r="AN69" s="712"/>
      <c r="AO69" s="712"/>
      <c r="AP69" s="712"/>
      <c r="AQ69" s="712"/>
      <c r="AR69" s="712"/>
      <c r="AS69" s="712"/>
      <c r="AT69" s="712"/>
      <c r="AU69" s="712"/>
      <c r="AV69" s="712"/>
      <c r="AW69" s="712"/>
      <c r="AX69" s="712"/>
      <c r="AY69" s="712"/>
    </row>
    <row r="70">
      <c r="T70" s="434"/>
      <c r="U70" s="438"/>
      <c r="V70" s="438"/>
      <c r="W70" s="438"/>
      <c r="X70" s="438"/>
      <c r="Y70" s="438"/>
      <c r="Z70" s="438"/>
      <c r="AA70" s="438"/>
      <c r="AB70" s="438"/>
      <c r="AC70" s="438"/>
      <c r="AD70" s="438"/>
      <c r="AE70" s="438"/>
      <c r="AF70" s="438"/>
      <c r="AG70" s="712"/>
      <c r="AH70" s="712"/>
      <c r="AI70" s="712"/>
      <c r="AJ70" s="712"/>
      <c r="AK70" s="712"/>
      <c r="AL70" s="712"/>
      <c r="AM70" s="712"/>
      <c r="AN70" s="712"/>
      <c r="AO70" s="712"/>
      <c r="AP70" s="712"/>
      <c r="AQ70" s="712"/>
      <c r="AR70" s="712"/>
      <c r="AS70" s="712"/>
      <c r="AT70" s="712"/>
      <c r="AU70" s="712"/>
      <c r="AV70" s="712"/>
      <c r="AW70" s="712"/>
      <c r="AX70" s="712"/>
      <c r="AY70" s="712"/>
    </row>
    <row r="71">
      <c r="T71" s="434"/>
      <c r="U71" s="438"/>
      <c r="V71" s="438"/>
      <c r="W71" s="438"/>
      <c r="X71" s="438"/>
      <c r="Y71" s="438"/>
      <c r="Z71" s="438"/>
      <c r="AA71" s="438"/>
      <c r="AB71" s="438"/>
      <c r="AC71" s="438"/>
      <c r="AD71" s="438"/>
      <c r="AE71" s="438"/>
      <c r="AF71" s="438"/>
      <c r="AG71" s="712"/>
      <c r="AH71" s="712"/>
      <c r="AI71" s="712"/>
      <c r="AJ71" s="712"/>
      <c r="AK71" s="712"/>
      <c r="AL71" s="712"/>
      <c r="AM71" s="712"/>
      <c r="AN71" s="712"/>
      <c r="AO71" s="712"/>
      <c r="AP71" s="712"/>
      <c r="AQ71" s="712"/>
      <c r="AR71" s="712"/>
      <c r="AS71" s="712"/>
      <c r="AT71" s="712"/>
      <c r="AU71" s="712"/>
      <c r="AV71" s="712"/>
      <c r="AW71" s="712"/>
      <c r="AX71" s="712"/>
      <c r="AY71" s="712"/>
    </row>
    <row r="72">
      <c r="T72" s="434"/>
      <c r="U72" s="438"/>
      <c r="V72" s="438"/>
      <c r="W72" s="438"/>
      <c r="X72" s="438"/>
      <c r="Y72" s="438"/>
      <c r="Z72" s="438"/>
      <c r="AA72" s="438"/>
      <c r="AB72" s="438"/>
      <c r="AC72" s="438"/>
      <c r="AD72" s="438"/>
      <c r="AE72" s="438"/>
      <c r="AF72" s="438"/>
      <c r="AG72" s="712"/>
      <c r="AH72" s="712"/>
      <c r="AI72" s="712"/>
      <c r="AJ72" s="712"/>
      <c r="AK72" s="712"/>
      <c r="AL72" s="712"/>
      <c r="AM72" s="712"/>
      <c r="AN72" s="712"/>
      <c r="AO72" s="712"/>
      <c r="AP72" s="712"/>
      <c r="AQ72" s="712"/>
      <c r="AR72" s="712"/>
      <c r="AS72" s="712"/>
      <c r="AT72" s="712"/>
      <c r="AU72" s="712"/>
      <c r="AV72" s="712"/>
      <c r="AW72" s="712"/>
      <c r="AX72" s="712"/>
      <c r="AY72" s="712"/>
    </row>
    <row r="73">
      <c r="T73" s="434"/>
      <c r="U73" s="438"/>
      <c r="V73" s="438"/>
      <c r="W73" s="438"/>
      <c r="X73" s="438"/>
      <c r="Y73" s="438"/>
      <c r="Z73" s="438"/>
      <c r="AA73" s="438"/>
      <c r="AB73" s="438"/>
      <c r="AC73" s="438"/>
      <c r="AD73" s="438"/>
      <c r="AE73" s="438"/>
      <c r="AF73" s="438"/>
      <c r="AG73" s="712"/>
      <c r="AH73" s="712"/>
      <c r="AI73" s="712"/>
      <c r="AJ73" s="712"/>
      <c r="AK73" s="712"/>
      <c r="AL73" s="712"/>
      <c r="AM73" s="712"/>
      <c r="AN73" s="712"/>
      <c r="AO73" s="712"/>
      <c r="AP73" s="712"/>
      <c r="AQ73" s="712"/>
      <c r="AR73" s="712"/>
      <c r="AS73" s="712"/>
      <c r="AT73" s="712"/>
      <c r="AU73" s="712"/>
      <c r="AV73" s="712"/>
      <c r="AW73" s="712"/>
      <c r="AX73" s="712"/>
      <c r="AY73" s="712"/>
    </row>
    <row r="74">
      <c r="T74" s="434"/>
      <c r="U74" s="438"/>
      <c r="V74" s="438"/>
      <c r="W74" s="438"/>
      <c r="X74" s="438"/>
      <c r="Y74" s="438"/>
      <c r="Z74" s="438"/>
      <c r="AA74" s="438"/>
      <c r="AB74" s="438"/>
      <c r="AC74" s="438"/>
      <c r="AD74" s="438"/>
      <c r="AE74" s="438"/>
      <c r="AF74" s="438"/>
      <c r="AG74" s="712"/>
      <c r="AH74" s="712"/>
      <c r="AI74" s="712"/>
      <c r="AJ74" s="712"/>
      <c r="AK74" s="712"/>
      <c r="AL74" s="712"/>
      <c r="AM74" s="712"/>
      <c r="AN74" s="712"/>
      <c r="AO74" s="712"/>
      <c r="AP74" s="712"/>
      <c r="AQ74" s="712"/>
      <c r="AR74" s="712"/>
      <c r="AS74" s="712"/>
      <c r="AT74" s="712"/>
      <c r="AU74" s="712"/>
      <c r="AV74" s="712"/>
      <c r="AW74" s="712"/>
      <c r="AX74" s="712"/>
      <c r="AY74" s="712"/>
    </row>
    <row r="75">
      <c r="T75" s="434"/>
      <c r="U75" s="438"/>
      <c r="V75" s="438"/>
      <c r="W75" s="438"/>
      <c r="X75" s="438"/>
      <c r="Y75" s="438"/>
      <c r="Z75" s="438"/>
      <c r="AA75" s="438"/>
      <c r="AB75" s="438"/>
      <c r="AC75" s="438"/>
      <c r="AD75" s="438"/>
      <c r="AE75" s="438"/>
      <c r="AF75" s="438"/>
      <c r="AG75" s="712"/>
      <c r="AH75" s="712"/>
      <c r="AI75" s="712"/>
      <c r="AJ75" s="712"/>
      <c r="AK75" s="712"/>
      <c r="AL75" s="712"/>
      <c r="AM75" s="712"/>
      <c r="AN75" s="712"/>
      <c r="AO75" s="712"/>
      <c r="AP75" s="712"/>
      <c r="AQ75" s="712"/>
      <c r="AR75" s="712"/>
      <c r="AS75" s="712"/>
      <c r="AT75" s="712"/>
      <c r="AU75" s="712"/>
      <c r="AV75" s="712"/>
      <c r="AW75" s="712"/>
      <c r="AX75" s="712"/>
      <c r="AY75" s="712"/>
    </row>
    <row r="76">
      <c r="T76" s="434"/>
      <c r="U76" s="438"/>
      <c r="V76" s="438"/>
      <c r="W76" s="438"/>
      <c r="X76" s="438"/>
      <c r="Y76" s="438"/>
      <c r="Z76" s="438"/>
      <c r="AA76" s="438"/>
      <c r="AB76" s="438"/>
      <c r="AC76" s="438"/>
      <c r="AD76" s="438"/>
      <c r="AE76" s="438"/>
      <c r="AF76" s="438"/>
      <c r="AG76" s="712"/>
      <c r="AH76" s="712"/>
      <c r="AI76" s="712"/>
      <c r="AJ76" s="712"/>
      <c r="AK76" s="712"/>
      <c r="AL76" s="712"/>
      <c r="AM76" s="712"/>
      <c r="AN76" s="712"/>
      <c r="AO76" s="712"/>
      <c r="AP76" s="712"/>
      <c r="AQ76" s="712"/>
      <c r="AR76" s="712"/>
      <c r="AS76" s="712"/>
      <c r="AT76" s="712"/>
      <c r="AU76" s="712"/>
      <c r="AV76" s="712"/>
      <c r="AW76" s="712"/>
      <c r="AX76" s="712"/>
      <c r="AY76" s="712"/>
    </row>
    <row r="77">
      <c r="T77" s="434"/>
      <c r="U77" s="438"/>
      <c r="V77" s="438"/>
      <c r="W77" s="438"/>
      <c r="X77" s="438"/>
      <c r="Y77" s="438"/>
      <c r="Z77" s="438"/>
      <c r="AA77" s="438"/>
      <c r="AB77" s="438"/>
      <c r="AC77" s="438"/>
      <c r="AD77" s="438"/>
      <c r="AE77" s="438"/>
      <c r="AF77" s="438"/>
      <c r="AG77" s="712"/>
      <c r="AH77" s="712"/>
      <c r="AI77" s="712"/>
      <c r="AJ77" s="712"/>
      <c r="AK77" s="712"/>
      <c r="AL77" s="712"/>
      <c r="AM77" s="712"/>
      <c r="AN77" s="712"/>
      <c r="AO77" s="712"/>
      <c r="AP77" s="712"/>
      <c r="AQ77" s="712"/>
      <c r="AR77" s="712"/>
      <c r="AS77" s="712"/>
      <c r="AT77" s="712"/>
      <c r="AU77" s="712"/>
      <c r="AV77" s="712"/>
      <c r="AW77" s="712"/>
      <c r="AX77" s="712"/>
      <c r="AY77" s="712"/>
    </row>
    <row r="78">
      <c r="T78" s="434"/>
      <c r="U78" s="438"/>
      <c r="V78" s="438"/>
      <c r="W78" s="438"/>
      <c r="X78" s="438"/>
      <c r="Y78" s="438"/>
      <c r="Z78" s="438"/>
      <c r="AA78" s="438"/>
      <c r="AB78" s="438"/>
      <c r="AC78" s="438"/>
      <c r="AD78" s="438"/>
      <c r="AE78" s="438"/>
      <c r="AF78" s="438"/>
      <c r="AG78" s="712"/>
      <c r="AH78" s="712"/>
      <c r="AI78" s="712"/>
      <c r="AJ78" s="712"/>
      <c r="AK78" s="712"/>
      <c r="AL78" s="712"/>
      <c r="AM78" s="712"/>
      <c r="AN78" s="712"/>
      <c r="AO78" s="712"/>
      <c r="AP78" s="712"/>
      <c r="AQ78" s="712"/>
      <c r="AR78" s="712"/>
      <c r="AS78" s="712"/>
      <c r="AT78" s="712"/>
      <c r="AU78" s="712"/>
      <c r="AV78" s="712"/>
      <c r="AW78" s="712"/>
      <c r="AX78" s="712"/>
      <c r="AY78" s="712"/>
    </row>
    <row r="79">
      <c r="T79" s="434"/>
      <c r="U79" s="438"/>
      <c r="V79" s="438"/>
      <c r="W79" s="438"/>
      <c r="X79" s="438"/>
      <c r="Y79" s="438"/>
      <c r="Z79" s="438"/>
      <c r="AA79" s="438"/>
      <c r="AB79" s="438"/>
      <c r="AC79" s="438"/>
      <c r="AD79" s="438"/>
      <c r="AE79" s="438"/>
      <c r="AF79" s="438"/>
      <c r="AG79" s="712"/>
      <c r="AH79" s="712"/>
      <c r="AI79" s="712"/>
      <c r="AJ79" s="712"/>
      <c r="AK79" s="712"/>
      <c r="AL79" s="712"/>
      <c r="AM79" s="712"/>
      <c r="AN79" s="712"/>
      <c r="AO79" s="712"/>
      <c r="AP79" s="712"/>
      <c r="AQ79" s="712"/>
      <c r="AR79" s="712"/>
      <c r="AS79" s="712"/>
      <c r="AT79" s="712"/>
      <c r="AU79" s="712"/>
      <c r="AV79" s="712"/>
      <c r="AW79" s="712"/>
      <c r="AX79" s="712"/>
      <c r="AY79" s="712"/>
    </row>
    <row r="80">
      <c r="T80" s="434"/>
      <c r="U80" s="438"/>
      <c r="V80" s="438"/>
      <c r="W80" s="438"/>
      <c r="X80" s="438"/>
      <c r="Y80" s="438"/>
      <c r="Z80" s="438"/>
      <c r="AA80" s="438"/>
      <c r="AB80" s="438"/>
      <c r="AC80" s="438"/>
      <c r="AD80" s="438"/>
      <c r="AE80" s="438"/>
      <c r="AF80" s="438"/>
      <c r="AG80" s="712"/>
      <c r="AH80" s="712"/>
      <c r="AI80" s="712"/>
      <c r="AJ80" s="712"/>
      <c r="AK80" s="712"/>
      <c r="AL80" s="712"/>
      <c r="AM80" s="712"/>
      <c r="AN80" s="712"/>
      <c r="AO80" s="712"/>
      <c r="AP80" s="712"/>
      <c r="AQ80" s="712"/>
      <c r="AR80" s="712"/>
      <c r="AS80" s="712"/>
      <c r="AT80" s="712"/>
      <c r="AU80" s="712"/>
      <c r="AV80" s="712"/>
      <c r="AW80" s="712"/>
      <c r="AX80" s="712"/>
      <c r="AY80" s="712"/>
    </row>
    <row r="81">
      <c r="T81" s="434"/>
      <c r="U81" s="438"/>
      <c r="V81" s="438"/>
      <c r="W81" s="438"/>
      <c r="X81" s="438"/>
      <c r="Y81" s="438"/>
      <c r="Z81" s="438"/>
      <c r="AA81" s="438"/>
      <c r="AB81" s="438"/>
      <c r="AC81" s="438"/>
      <c r="AD81" s="438"/>
      <c r="AE81" s="438"/>
      <c r="AF81" s="438"/>
      <c r="AG81" s="712"/>
      <c r="AH81" s="712"/>
      <c r="AI81" s="712"/>
      <c r="AJ81" s="712"/>
      <c r="AK81" s="712"/>
      <c r="AL81" s="712"/>
      <c r="AM81" s="712"/>
      <c r="AN81" s="712"/>
      <c r="AO81" s="712"/>
      <c r="AP81" s="712"/>
      <c r="AQ81" s="712"/>
      <c r="AR81" s="712"/>
      <c r="AS81" s="712"/>
      <c r="AT81" s="712"/>
      <c r="AU81" s="712"/>
      <c r="AV81" s="712"/>
      <c r="AW81" s="712"/>
      <c r="AX81" s="712"/>
      <c r="AY81" s="712"/>
    </row>
    <row r="82">
      <c r="T82" s="434"/>
      <c r="U82" s="438"/>
      <c r="V82" s="438"/>
      <c r="W82" s="438"/>
      <c r="X82" s="438"/>
      <c r="Y82" s="438"/>
      <c r="Z82" s="438"/>
      <c r="AA82" s="438"/>
      <c r="AB82" s="438"/>
      <c r="AC82" s="438"/>
      <c r="AD82" s="438"/>
      <c r="AE82" s="438"/>
      <c r="AF82" s="438"/>
      <c r="AG82" s="712"/>
      <c r="AH82" s="712"/>
      <c r="AI82" s="712"/>
      <c r="AJ82" s="712"/>
      <c r="AK82" s="712"/>
      <c r="AL82" s="712"/>
      <c r="AM82" s="712"/>
      <c r="AN82" s="712"/>
      <c r="AO82" s="712"/>
      <c r="AP82" s="712"/>
      <c r="AQ82" s="712"/>
      <c r="AR82" s="712"/>
      <c r="AS82" s="712"/>
      <c r="AT82" s="712"/>
      <c r="AU82" s="712"/>
      <c r="AV82" s="712"/>
      <c r="AW82" s="712"/>
      <c r="AX82" s="712"/>
      <c r="AY82" s="712"/>
    </row>
    <row r="83">
      <c r="T83" s="434"/>
      <c r="U83" s="438"/>
      <c r="V83" s="438"/>
      <c r="W83" s="438"/>
      <c r="X83" s="438"/>
      <c r="Y83" s="438"/>
      <c r="Z83" s="438"/>
      <c r="AA83" s="438"/>
      <c r="AB83" s="438"/>
      <c r="AC83" s="438"/>
      <c r="AD83" s="438"/>
      <c r="AE83" s="438"/>
      <c r="AF83" s="438"/>
      <c r="AG83" s="712"/>
      <c r="AH83" s="712"/>
      <c r="AI83" s="712"/>
      <c r="AJ83" s="712"/>
      <c r="AK83" s="712"/>
      <c r="AL83" s="712"/>
      <c r="AM83" s="712"/>
      <c r="AN83" s="712"/>
      <c r="AO83" s="712"/>
      <c r="AP83" s="712"/>
      <c r="AQ83" s="712"/>
      <c r="AR83" s="712"/>
      <c r="AS83" s="712"/>
      <c r="AT83" s="712"/>
      <c r="AU83" s="712"/>
      <c r="AV83" s="712"/>
      <c r="AW83" s="712"/>
      <c r="AX83" s="712"/>
      <c r="AY83" s="712"/>
    </row>
    <row r="84">
      <c r="T84" s="434"/>
      <c r="U84" s="438"/>
      <c r="V84" s="438"/>
      <c r="W84" s="438"/>
      <c r="X84" s="438"/>
      <c r="Y84" s="438"/>
      <c r="Z84" s="438"/>
      <c r="AA84" s="438"/>
      <c r="AB84" s="438"/>
      <c r="AC84" s="438"/>
      <c r="AD84" s="438"/>
      <c r="AE84" s="438"/>
      <c r="AF84" s="438"/>
      <c r="AG84" s="712"/>
      <c r="AH84" s="712"/>
      <c r="AI84" s="712"/>
      <c r="AJ84" s="712"/>
      <c r="AK84" s="712"/>
      <c r="AL84" s="712"/>
      <c r="AM84" s="712"/>
      <c r="AN84" s="712"/>
      <c r="AO84" s="712"/>
      <c r="AP84" s="712"/>
      <c r="AQ84" s="712"/>
      <c r="AR84" s="712"/>
      <c r="AS84" s="712"/>
      <c r="AT84" s="712"/>
      <c r="AU84" s="712"/>
      <c r="AV84" s="712"/>
      <c r="AW84" s="712"/>
      <c r="AX84" s="712"/>
      <c r="AY84" s="712"/>
    </row>
    <row r="85">
      <c r="T85" s="434"/>
      <c r="U85" s="438"/>
      <c r="V85" s="438"/>
      <c r="W85" s="438"/>
      <c r="X85" s="438"/>
      <c r="Y85" s="438"/>
      <c r="Z85" s="438"/>
      <c r="AA85" s="438"/>
      <c r="AB85" s="438"/>
      <c r="AC85" s="438"/>
      <c r="AD85" s="438"/>
      <c r="AE85" s="438"/>
      <c r="AF85" s="438"/>
      <c r="AG85" s="712"/>
      <c r="AH85" s="712"/>
      <c r="AI85" s="712"/>
      <c r="AJ85" s="712"/>
      <c r="AK85" s="712"/>
      <c r="AL85" s="712"/>
      <c r="AM85" s="712"/>
      <c r="AN85" s="712"/>
      <c r="AO85" s="712"/>
      <c r="AP85" s="712"/>
      <c r="AQ85" s="712"/>
      <c r="AR85" s="712"/>
      <c r="AS85" s="712"/>
      <c r="AT85" s="712"/>
      <c r="AU85" s="712"/>
      <c r="AV85" s="712"/>
      <c r="AW85" s="712"/>
      <c r="AX85" s="712"/>
      <c r="AY85" s="712"/>
    </row>
    <row r="86">
      <c r="T86" s="434"/>
      <c r="U86" s="438"/>
      <c r="V86" s="438"/>
      <c r="W86" s="438"/>
      <c r="X86" s="438"/>
      <c r="Y86" s="438"/>
      <c r="Z86" s="438"/>
      <c r="AA86" s="438"/>
      <c r="AB86" s="438"/>
      <c r="AC86" s="438"/>
      <c r="AD86" s="438"/>
      <c r="AE86" s="438"/>
      <c r="AF86" s="438"/>
      <c r="AG86" s="712"/>
      <c r="AH86" s="712"/>
      <c r="AI86" s="712"/>
      <c r="AJ86" s="712"/>
      <c r="AK86" s="712"/>
      <c r="AL86" s="712"/>
      <c r="AM86" s="712"/>
      <c r="AN86" s="712"/>
      <c r="AO86" s="712"/>
      <c r="AP86" s="712"/>
      <c r="AQ86" s="712"/>
      <c r="AR86" s="712"/>
      <c r="AS86" s="712"/>
      <c r="AT86" s="712"/>
      <c r="AU86" s="712"/>
      <c r="AV86" s="712"/>
      <c r="AW86" s="712"/>
      <c r="AX86" s="712"/>
      <c r="AY86" s="712"/>
    </row>
    <row r="87">
      <c r="T87" s="434"/>
      <c r="U87" s="438"/>
      <c r="V87" s="438"/>
      <c r="W87" s="438"/>
      <c r="X87" s="438"/>
      <c r="Y87" s="438"/>
      <c r="Z87" s="438"/>
      <c r="AA87" s="438"/>
      <c r="AB87" s="438"/>
      <c r="AC87" s="438"/>
      <c r="AD87" s="438"/>
      <c r="AE87" s="438"/>
      <c r="AF87" s="438"/>
      <c r="AG87" s="712"/>
      <c r="AH87" s="712"/>
      <c r="AI87" s="712"/>
      <c r="AJ87" s="712"/>
      <c r="AK87" s="712"/>
      <c r="AL87" s="712"/>
      <c r="AM87" s="712"/>
      <c r="AN87" s="712"/>
      <c r="AO87" s="712"/>
      <c r="AP87" s="712"/>
      <c r="AQ87" s="712"/>
      <c r="AR87" s="712"/>
      <c r="AS87" s="712"/>
      <c r="AT87" s="712"/>
      <c r="AU87" s="712"/>
      <c r="AV87" s="712"/>
      <c r="AW87" s="712"/>
      <c r="AX87" s="712"/>
      <c r="AY87" s="712"/>
    </row>
    <row r="88">
      <c r="T88" s="434"/>
      <c r="U88" s="438"/>
      <c r="V88" s="438"/>
      <c r="W88" s="438"/>
      <c r="X88" s="438"/>
      <c r="Y88" s="438"/>
      <c r="Z88" s="438"/>
      <c r="AA88" s="438"/>
      <c r="AB88" s="438"/>
      <c r="AC88" s="438"/>
      <c r="AD88" s="438"/>
      <c r="AE88" s="438"/>
      <c r="AF88" s="438"/>
      <c r="AG88" s="712"/>
      <c r="AH88" s="712"/>
      <c r="AI88" s="712"/>
      <c r="AJ88" s="712"/>
      <c r="AK88" s="712"/>
      <c r="AL88" s="712"/>
      <c r="AM88" s="712"/>
      <c r="AN88" s="712"/>
      <c r="AO88" s="712"/>
      <c r="AP88" s="712"/>
      <c r="AQ88" s="712"/>
      <c r="AR88" s="712"/>
      <c r="AS88" s="712"/>
      <c r="AT88" s="712"/>
      <c r="AU88" s="712"/>
      <c r="AV88" s="712"/>
      <c r="AW88" s="712"/>
      <c r="AX88" s="712"/>
      <c r="AY88" s="712"/>
    </row>
    <row r="89">
      <c r="T89" s="434"/>
      <c r="U89" s="438"/>
      <c r="V89" s="438"/>
      <c r="W89" s="438"/>
      <c r="X89" s="438"/>
      <c r="Y89" s="438"/>
      <c r="Z89" s="438"/>
      <c r="AA89" s="438"/>
      <c r="AB89" s="438"/>
      <c r="AC89" s="438"/>
      <c r="AD89" s="438"/>
      <c r="AE89" s="438"/>
      <c r="AF89" s="438"/>
      <c r="AG89" s="712"/>
      <c r="AH89" s="712"/>
      <c r="AI89" s="712"/>
      <c r="AJ89" s="712"/>
      <c r="AK89" s="712"/>
      <c r="AL89" s="712"/>
      <c r="AM89" s="712"/>
      <c r="AN89" s="712"/>
      <c r="AO89" s="712"/>
      <c r="AP89" s="712"/>
      <c r="AQ89" s="712"/>
      <c r="AR89" s="712"/>
      <c r="AS89" s="712"/>
      <c r="AT89" s="712"/>
      <c r="AU89" s="712"/>
      <c r="AV89" s="712"/>
      <c r="AW89" s="712"/>
      <c r="AX89" s="712"/>
      <c r="AY89" s="712"/>
    </row>
    <row r="90">
      <c r="T90" s="434"/>
      <c r="U90" s="438"/>
      <c r="V90" s="438"/>
      <c r="W90" s="438"/>
      <c r="X90" s="438"/>
      <c r="Y90" s="438"/>
      <c r="Z90" s="438"/>
      <c r="AA90" s="438"/>
      <c r="AB90" s="438"/>
      <c r="AC90" s="438"/>
      <c r="AD90" s="438"/>
      <c r="AE90" s="438"/>
      <c r="AF90" s="438"/>
      <c r="AG90" s="712"/>
      <c r="AH90" s="712"/>
      <c r="AI90" s="712"/>
      <c r="AJ90" s="712"/>
      <c r="AK90" s="712"/>
      <c r="AL90" s="712"/>
      <c r="AM90" s="712"/>
      <c r="AN90" s="712"/>
      <c r="AO90" s="712"/>
      <c r="AP90" s="712"/>
      <c r="AQ90" s="712"/>
      <c r="AR90" s="712"/>
      <c r="AS90" s="712"/>
      <c r="AT90" s="712"/>
      <c r="AU90" s="712"/>
      <c r="AV90" s="712"/>
      <c r="AW90" s="712"/>
      <c r="AX90" s="712"/>
      <c r="AY90" s="712"/>
    </row>
    <row r="91">
      <c r="T91" s="434"/>
      <c r="U91" s="438"/>
      <c r="V91" s="438"/>
      <c r="W91" s="438"/>
      <c r="X91" s="438"/>
      <c r="Y91" s="438"/>
      <c r="Z91" s="438"/>
      <c r="AA91" s="438"/>
      <c r="AB91" s="438"/>
      <c r="AC91" s="438"/>
      <c r="AD91" s="438"/>
      <c r="AE91" s="438"/>
      <c r="AF91" s="438"/>
      <c r="AG91" s="712"/>
      <c r="AH91" s="712"/>
      <c r="AI91" s="712"/>
      <c r="AJ91" s="712"/>
      <c r="AK91" s="712"/>
      <c r="AL91" s="712"/>
      <c r="AM91" s="712"/>
      <c r="AN91" s="712"/>
      <c r="AO91" s="712"/>
      <c r="AP91" s="712"/>
      <c r="AQ91" s="712"/>
      <c r="AR91" s="712"/>
      <c r="AS91" s="712"/>
      <c r="AT91" s="712"/>
      <c r="AU91" s="712"/>
      <c r="AV91" s="712"/>
      <c r="AW91" s="712"/>
      <c r="AX91" s="712"/>
      <c r="AY91" s="712"/>
    </row>
    <row r="92">
      <c r="T92" s="434"/>
      <c r="U92" s="438"/>
      <c r="V92" s="438"/>
      <c r="W92" s="438"/>
      <c r="X92" s="438"/>
      <c r="Y92" s="438"/>
      <c r="Z92" s="438"/>
      <c r="AA92" s="438"/>
      <c r="AB92" s="438"/>
      <c r="AC92" s="438"/>
      <c r="AD92" s="438"/>
      <c r="AE92" s="438"/>
      <c r="AF92" s="438"/>
      <c r="AG92" s="712"/>
      <c r="AH92" s="712"/>
      <c r="AI92" s="712"/>
      <c r="AJ92" s="712"/>
      <c r="AK92" s="712"/>
      <c r="AL92" s="712"/>
      <c r="AM92" s="712"/>
      <c r="AN92" s="712"/>
      <c r="AO92" s="712"/>
      <c r="AP92" s="712"/>
      <c r="AQ92" s="712"/>
      <c r="AR92" s="712"/>
      <c r="AS92" s="712"/>
      <c r="AT92" s="712"/>
      <c r="AU92" s="712"/>
      <c r="AV92" s="712"/>
      <c r="AW92" s="712"/>
      <c r="AX92" s="712"/>
      <c r="AY92" s="712"/>
    </row>
    <row r="93">
      <c r="T93" s="434"/>
      <c r="U93" s="438"/>
      <c r="V93" s="438"/>
      <c r="W93" s="438"/>
      <c r="X93" s="438"/>
      <c r="Y93" s="438"/>
      <c r="Z93" s="438"/>
      <c r="AA93" s="438"/>
      <c r="AB93" s="438"/>
      <c r="AC93" s="438"/>
      <c r="AD93" s="438"/>
      <c r="AE93" s="438"/>
      <c r="AF93" s="438"/>
      <c r="AG93" s="712"/>
      <c r="AH93" s="712"/>
      <c r="AI93" s="712"/>
      <c r="AJ93" s="712"/>
      <c r="AK93" s="712"/>
      <c r="AL93" s="712"/>
      <c r="AM93" s="712"/>
      <c r="AN93" s="712"/>
      <c r="AO93" s="712"/>
      <c r="AP93" s="712"/>
      <c r="AQ93" s="712"/>
      <c r="AR93" s="712"/>
      <c r="AS93" s="712"/>
      <c r="AT93" s="712"/>
      <c r="AU93" s="712"/>
      <c r="AV93" s="712"/>
      <c r="AW93" s="712"/>
      <c r="AX93" s="712"/>
      <c r="AY93" s="712"/>
    </row>
    <row r="94">
      <c r="T94" s="434"/>
      <c r="U94" s="438"/>
      <c r="V94" s="438"/>
      <c r="W94" s="438"/>
      <c r="X94" s="438"/>
      <c r="Y94" s="438"/>
      <c r="Z94" s="438"/>
      <c r="AA94" s="438"/>
      <c r="AB94" s="438"/>
      <c r="AC94" s="438"/>
      <c r="AD94" s="438"/>
      <c r="AE94" s="438"/>
      <c r="AF94" s="438"/>
      <c r="AG94" s="712"/>
      <c r="AH94" s="712"/>
      <c r="AI94" s="712"/>
      <c r="AJ94" s="712"/>
      <c r="AK94" s="712"/>
      <c r="AL94" s="712"/>
      <c r="AM94" s="712"/>
      <c r="AN94" s="712"/>
      <c r="AO94" s="712"/>
      <c r="AP94" s="712"/>
      <c r="AQ94" s="712"/>
      <c r="AR94" s="712"/>
      <c r="AS94" s="712"/>
      <c r="AT94" s="712"/>
      <c r="AU94" s="712"/>
      <c r="AV94" s="712"/>
      <c r="AW94" s="712"/>
      <c r="AX94" s="712"/>
      <c r="AY94" s="712"/>
    </row>
    <row r="95">
      <c r="T95" s="434"/>
      <c r="U95" s="438"/>
      <c r="V95" s="438"/>
      <c r="W95" s="438"/>
      <c r="X95" s="438"/>
      <c r="Y95" s="438"/>
      <c r="Z95" s="438"/>
      <c r="AA95" s="438"/>
      <c r="AB95" s="438"/>
      <c r="AC95" s="438"/>
      <c r="AD95" s="438"/>
      <c r="AE95" s="438"/>
      <c r="AF95" s="438"/>
      <c r="AG95" s="712"/>
      <c r="AH95" s="712"/>
      <c r="AI95" s="712"/>
      <c r="AJ95" s="712"/>
      <c r="AK95" s="712"/>
      <c r="AL95" s="712"/>
      <c r="AM95" s="712"/>
      <c r="AN95" s="712"/>
      <c r="AO95" s="712"/>
      <c r="AP95" s="712"/>
      <c r="AQ95" s="712"/>
      <c r="AR95" s="712"/>
      <c r="AS95" s="712"/>
      <c r="AT95" s="712"/>
      <c r="AU95" s="712"/>
      <c r="AV95" s="712"/>
      <c r="AW95" s="712"/>
      <c r="AX95" s="712"/>
      <c r="AY95" s="712"/>
    </row>
    <row r="96">
      <c r="T96" s="434"/>
      <c r="U96" s="438"/>
      <c r="V96" s="438"/>
      <c r="W96" s="438"/>
      <c r="X96" s="438"/>
      <c r="Y96" s="438"/>
      <c r="Z96" s="438"/>
      <c r="AA96" s="438"/>
      <c r="AB96" s="438"/>
      <c r="AC96" s="438"/>
      <c r="AD96" s="438"/>
      <c r="AE96" s="438"/>
      <c r="AF96" s="438"/>
      <c r="AG96" s="712"/>
      <c r="AH96" s="712"/>
      <c r="AI96" s="712"/>
      <c r="AJ96" s="712"/>
      <c r="AK96" s="712"/>
      <c r="AL96" s="712"/>
      <c r="AM96" s="712"/>
      <c r="AN96" s="712"/>
      <c r="AO96" s="712"/>
      <c r="AP96" s="712"/>
      <c r="AQ96" s="712"/>
      <c r="AR96" s="712"/>
      <c r="AS96" s="712"/>
      <c r="AT96" s="712"/>
      <c r="AU96" s="712"/>
      <c r="AV96" s="712"/>
      <c r="AW96" s="712"/>
      <c r="AX96" s="712"/>
      <c r="AY96" s="712"/>
    </row>
    <row r="97">
      <c r="T97" s="434"/>
      <c r="U97" s="438"/>
      <c r="V97" s="438"/>
      <c r="W97" s="438"/>
      <c r="X97" s="438"/>
      <c r="Y97" s="438"/>
      <c r="Z97" s="438"/>
      <c r="AA97" s="438"/>
      <c r="AB97" s="438"/>
      <c r="AC97" s="438"/>
      <c r="AD97" s="438"/>
      <c r="AE97" s="438"/>
      <c r="AF97" s="438"/>
      <c r="AG97" s="712"/>
      <c r="AH97" s="712"/>
      <c r="AI97" s="712"/>
      <c r="AJ97" s="712"/>
      <c r="AK97" s="712"/>
      <c r="AL97" s="712"/>
      <c r="AM97" s="712"/>
      <c r="AN97" s="712"/>
      <c r="AO97" s="712"/>
      <c r="AP97" s="712"/>
      <c r="AQ97" s="712"/>
      <c r="AR97" s="712"/>
      <c r="AS97" s="712"/>
      <c r="AT97" s="712"/>
      <c r="AU97" s="712"/>
      <c r="AV97" s="712"/>
      <c r="AW97" s="712"/>
      <c r="AX97" s="712"/>
      <c r="AY97" s="712"/>
    </row>
    <row r="98">
      <c r="T98" s="434"/>
      <c r="U98" s="438"/>
      <c r="V98" s="438"/>
      <c r="W98" s="438"/>
      <c r="X98" s="438"/>
      <c r="Y98" s="438"/>
      <c r="Z98" s="438"/>
      <c r="AA98" s="438"/>
      <c r="AB98" s="438"/>
      <c r="AC98" s="438"/>
      <c r="AD98" s="438"/>
      <c r="AE98" s="438"/>
      <c r="AF98" s="438"/>
      <c r="AG98" s="712"/>
      <c r="AH98" s="712"/>
      <c r="AI98" s="712"/>
      <c r="AJ98" s="712"/>
      <c r="AK98" s="712"/>
      <c r="AL98" s="712"/>
      <c r="AM98" s="712"/>
      <c r="AN98" s="712"/>
      <c r="AO98" s="712"/>
      <c r="AP98" s="712"/>
      <c r="AQ98" s="712"/>
      <c r="AR98" s="712"/>
      <c r="AS98" s="712"/>
      <c r="AT98" s="712"/>
      <c r="AU98" s="712"/>
      <c r="AV98" s="712"/>
      <c r="AW98" s="712"/>
      <c r="AX98" s="712"/>
      <c r="AY98" s="712"/>
    </row>
    <row r="99">
      <c r="T99" s="434"/>
      <c r="U99" s="438"/>
      <c r="V99" s="438"/>
      <c r="W99" s="438"/>
      <c r="X99" s="438"/>
      <c r="Y99" s="438"/>
      <c r="Z99" s="438"/>
      <c r="AA99" s="438"/>
      <c r="AB99" s="438"/>
      <c r="AC99" s="438"/>
      <c r="AD99" s="438"/>
      <c r="AE99" s="438"/>
      <c r="AF99" s="438"/>
      <c r="AG99" s="712"/>
      <c r="AH99" s="712"/>
      <c r="AI99" s="712"/>
      <c r="AJ99" s="712"/>
      <c r="AK99" s="712"/>
      <c r="AL99" s="712"/>
      <c r="AM99" s="712"/>
      <c r="AN99" s="712"/>
      <c r="AO99" s="712"/>
      <c r="AP99" s="712"/>
      <c r="AQ99" s="712"/>
      <c r="AR99" s="712"/>
      <c r="AS99" s="712"/>
      <c r="AT99" s="712"/>
      <c r="AU99" s="712"/>
      <c r="AV99" s="712"/>
      <c r="AW99" s="712"/>
      <c r="AX99" s="712"/>
      <c r="AY99" s="712"/>
    </row>
    <row r="100">
      <c r="T100" s="434"/>
      <c r="U100" s="438"/>
      <c r="V100" s="438"/>
      <c r="W100" s="438"/>
      <c r="X100" s="438"/>
      <c r="Y100" s="438"/>
      <c r="Z100" s="438"/>
      <c r="AA100" s="438"/>
      <c r="AB100" s="438"/>
      <c r="AC100" s="438"/>
      <c r="AD100" s="438"/>
      <c r="AE100" s="438"/>
      <c r="AF100" s="438"/>
      <c r="AG100" s="712"/>
      <c r="AH100" s="712"/>
      <c r="AI100" s="712"/>
      <c r="AJ100" s="712"/>
      <c r="AK100" s="712"/>
      <c r="AL100" s="712"/>
      <c r="AM100" s="712"/>
      <c r="AN100" s="712"/>
      <c r="AO100" s="712"/>
      <c r="AP100" s="712"/>
      <c r="AQ100" s="712"/>
      <c r="AR100" s="712"/>
      <c r="AS100" s="712"/>
      <c r="AT100" s="712"/>
      <c r="AU100" s="712"/>
      <c r="AV100" s="712"/>
      <c r="AW100" s="712"/>
      <c r="AX100" s="712"/>
      <c r="AY100" s="712"/>
    </row>
    <row r="101">
      <c r="T101" s="434"/>
      <c r="U101" s="438"/>
      <c r="V101" s="438"/>
      <c r="W101" s="438"/>
      <c r="X101" s="438"/>
      <c r="Y101" s="438"/>
      <c r="Z101" s="438"/>
      <c r="AA101" s="438"/>
      <c r="AB101" s="438"/>
      <c r="AC101" s="438"/>
      <c r="AD101" s="438"/>
      <c r="AE101" s="438"/>
      <c r="AF101" s="438"/>
      <c r="AG101" s="712"/>
      <c r="AH101" s="712"/>
      <c r="AI101" s="712"/>
      <c r="AJ101" s="712"/>
      <c r="AK101" s="712"/>
      <c r="AL101" s="712"/>
      <c r="AM101" s="712"/>
      <c r="AN101" s="712"/>
      <c r="AO101" s="712"/>
      <c r="AP101" s="712"/>
      <c r="AQ101" s="712"/>
      <c r="AR101" s="712"/>
      <c r="AS101" s="712"/>
      <c r="AT101" s="712"/>
      <c r="AU101" s="712"/>
      <c r="AV101" s="712"/>
      <c r="AW101" s="712"/>
      <c r="AX101" s="712"/>
      <c r="AY101" s="712"/>
    </row>
    <row r="102">
      <c r="T102" s="434"/>
      <c r="U102" s="438"/>
      <c r="V102" s="438"/>
      <c r="W102" s="438"/>
      <c r="X102" s="438"/>
      <c r="Y102" s="438"/>
      <c r="Z102" s="438"/>
      <c r="AA102" s="438"/>
      <c r="AB102" s="438"/>
      <c r="AC102" s="438"/>
      <c r="AD102" s="438"/>
      <c r="AE102" s="438"/>
      <c r="AF102" s="438"/>
      <c r="AG102" s="712"/>
      <c r="AH102" s="712"/>
      <c r="AI102" s="712"/>
      <c r="AJ102" s="712"/>
      <c r="AK102" s="712"/>
      <c r="AL102" s="712"/>
      <c r="AM102" s="712"/>
      <c r="AN102" s="712"/>
      <c r="AO102" s="712"/>
      <c r="AP102" s="712"/>
      <c r="AQ102" s="712"/>
      <c r="AR102" s="712"/>
      <c r="AS102" s="712"/>
      <c r="AT102" s="712"/>
      <c r="AU102" s="712"/>
      <c r="AV102" s="712"/>
      <c r="AW102" s="712"/>
      <c r="AX102" s="712"/>
      <c r="AY102" s="712"/>
    </row>
    <row r="103">
      <c r="T103" s="434"/>
      <c r="U103" s="438"/>
      <c r="V103" s="438"/>
      <c r="W103" s="438"/>
      <c r="X103" s="438"/>
      <c r="Y103" s="438"/>
      <c r="Z103" s="438"/>
      <c r="AA103" s="438"/>
      <c r="AB103" s="438"/>
      <c r="AC103" s="438"/>
      <c r="AD103" s="438"/>
      <c r="AE103" s="438"/>
      <c r="AF103" s="438"/>
      <c r="AG103" s="712"/>
      <c r="AH103" s="712"/>
      <c r="AI103" s="712"/>
      <c r="AJ103" s="712"/>
      <c r="AK103" s="712"/>
      <c r="AL103" s="712"/>
      <c r="AM103" s="712"/>
      <c r="AN103" s="712"/>
      <c r="AO103" s="712"/>
      <c r="AP103" s="712"/>
      <c r="AQ103" s="712"/>
      <c r="AR103" s="712"/>
      <c r="AS103" s="712"/>
      <c r="AT103" s="712"/>
      <c r="AU103" s="712"/>
      <c r="AV103" s="712"/>
      <c r="AW103" s="712"/>
      <c r="AX103" s="712"/>
      <c r="AY103" s="712"/>
    </row>
    <row r="104">
      <c r="T104" s="434"/>
      <c r="U104" s="438"/>
      <c r="V104" s="438"/>
      <c r="W104" s="438"/>
      <c r="X104" s="438"/>
      <c r="Y104" s="438"/>
      <c r="Z104" s="438"/>
      <c r="AA104" s="438"/>
      <c r="AB104" s="438"/>
      <c r="AC104" s="438"/>
      <c r="AD104" s="438"/>
      <c r="AE104" s="438"/>
      <c r="AF104" s="438"/>
      <c r="AG104" s="712"/>
      <c r="AH104" s="712"/>
      <c r="AI104" s="712"/>
      <c r="AJ104" s="712"/>
      <c r="AK104" s="712"/>
      <c r="AL104" s="712"/>
      <c r="AM104" s="712"/>
      <c r="AN104" s="712"/>
      <c r="AO104" s="712"/>
      <c r="AP104" s="712"/>
      <c r="AQ104" s="712"/>
      <c r="AR104" s="712"/>
      <c r="AS104" s="712"/>
      <c r="AT104" s="712"/>
      <c r="AU104" s="712"/>
      <c r="AV104" s="712"/>
      <c r="AW104" s="712"/>
      <c r="AX104" s="712"/>
      <c r="AY104" s="712"/>
    </row>
    <row r="105">
      <c r="T105" s="434"/>
      <c r="U105" s="438"/>
      <c r="V105" s="438"/>
      <c r="W105" s="438"/>
      <c r="X105" s="438"/>
      <c r="Y105" s="438"/>
      <c r="Z105" s="438"/>
      <c r="AA105" s="438"/>
      <c r="AB105" s="438"/>
      <c r="AC105" s="438"/>
      <c r="AD105" s="438"/>
      <c r="AE105" s="438"/>
      <c r="AF105" s="438"/>
      <c r="AG105" s="712"/>
      <c r="AH105" s="712"/>
      <c r="AI105" s="712"/>
      <c r="AJ105" s="712"/>
      <c r="AK105" s="712"/>
      <c r="AL105" s="712"/>
      <c r="AM105" s="712"/>
      <c r="AN105" s="712"/>
      <c r="AO105" s="712"/>
      <c r="AP105" s="712"/>
      <c r="AQ105" s="712"/>
      <c r="AR105" s="712"/>
      <c r="AS105" s="712"/>
      <c r="AT105" s="712"/>
      <c r="AU105" s="712"/>
      <c r="AV105" s="712"/>
      <c r="AW105" s="712"/>
      <c r="AX105" s="712"/>
      <c r="AY105" s="712"/>
    </row>
    <row r="106">
      <c r="T106" s="434"/>
      <c r="U106" s="438"/>
      <c r="V106" s="438"/>
      <c r="W106" s="438"/>
      <c r="X106" s="438"/>
      <c r="Y106" s="438"/>
      <c r="Z106" s="438"/>
      <c r="AA106" s="438"/>
      <c r="AB106" s="438"/>
      <c r="AC106" s="438"/>
      <c r="AD106" s="438"/>
      <c r="AE106" s="438"/>
      <c r="AF106" s="438"/>
      <c r="AG106" s="712"/>
      <c r="AH106" s="712"/>
      <c r="AI106" s="712"/>
      <c r="AJ106" s="712"/>
      <c r="AK106" s="712"/>
      <c r="AL106" s="712"/>
      <c r="AM106" s="712"/>
      <c r="AN106" s="712"/>
      <c r="AO106" s="712"/>
      <c r="AP106" s="712"/>
      <c r="AQ106" s="712"/>
      <c r="AR106" s="712"/>
      <c r="AS106" s="712"/>
      <c r="AT106" s="712"/>
      <c r="AU106" s="712"/>
      <c r="AV106" s="712"/>
      <c r="AW106" s="712"/>
      <c r="AX106" s="712"/>
      <c r="AY106" s="712"/>
    </row>
    <row r="107">
      <c r="T107" s="434"/>
      <c r="U107" s="438"/>
      <c r="V107" s="438"/>
      <c r="W107" s="438"/>
      <c r="X107" s="438"/>
      <c r="Y107" s="438"/>
      <c r="Z107" s="438"/>
      <c r="AA107" s="438"/>
      <c r="AB107" s="438"/>
      <c r="AC107" s="438"/>
      <c r="AD107" s="438"/>
      <c r="AE107" s="438"/>
      <c r="AF107" s="438"/>
      <c r="AG107" s="712"/>
      <c r="AH107" s="712"/>
      <c r="AI107" s="712"/>
      <c r="AJ107" s="712"/>
      <c r="AK107" s="712"/>
      <c r="AL107" s="712"/>
      <c r="AM107" s="712"/>
      <c r="AN107" s="712"/>
      <c r="AO107" s="712"/>
      <c r="AP107" s="712"/>
      <c r="AQ107" s="712"/>
      <c r="AR107" s="712"/>
      <c r="AS107" s="712"/>
      <c r="AT107" s="712"/>
      <c r="AU107" s="712"/>
      <c r="AV107" s="712"/>
      <c r="AW107" s="712"/>
      <c r="AX107" s="712"/>
      <c r="AY107" s="712"/>
    </row>
    <row r="108">
      <c r="T108" s="434"/>
      <c r="U108" s="438"/>
      <c r="V108" s="438"/>
      <c r="W108" s="438"/>
      <c r="X108" s="438"/>
      <c r="Y108" s="438"/>
      <c r="Z108" s="438"/>
      <c r="AA108" s="438"/>
      <c r="AB108" s="438"/>
      <c r="AC108" s="438"/>
      <c r="AD108" s="438"/>
      <c r="AE108" s="438"/>
      <c r="AF108" s="438"/>
      <c r="AG108" s="712"/>
      <c r="AH108" s="712"/>
      <c r="AI108" s="712"/>
      <c r="AJ108" s="712"/>
      <c r="AK108" s="712"/>
      <c r="AL108" s="712"/>
      <c r="AM108" s="712"/>
      <c r="AN108" s="712"/>
      <c r="AO108" s="712"/>
      <c r="AP108" s="712"/>
      <c r="AQ108" s="712"/>
      <c r="AR108" s="712"/>
      <c r="AS108" s="712"/>
      <c r="AT108" s="712"/>
      <c r="AU108" s="712"/>
      <c r="AV108" s="712"/>
      <c r="AW108" s="712"/>
      <c r="AX108" s="712"/>
      <c r="AY108" s="712"/>
    </row>
    <row r="109">
      <c r="T109" s="434"/>
      <c r="U109" s="438"/>
      <c r="V109" s="438"/>
      <c r="W109" s="438"/>
      <c r="X109" s="438"/>
      <c r="Y109" s="438"/>
      <c r="Z109" s="438"/>
      <c r="AA109" s="438"/>
      <c r="AB109" s="438"/>
      <c r="AC109" s="438"/>
      <c r="AD109" s="438"/>
      <c r="AE109" s="438"/>
      <c r="AF109" s="438"/>
      <c r="AG109" s="712"/>
      <c r="AH109" s="712"/>
      <c r="AI109" s="712"/>
      <c r="AJ109" s="712"/>
      <c r="AK109" s="712"/>
      <c r="AL109" s="712"/>
      <c r="AM109" s="712"/>
      <c r="AN109" s="712"/>
      <c r="AO109" s="712"/>
      <c r="AP109" s="712"/>
      <c r="AQ109" s="712"/>
      <c r="AR109" s="712"/>
      <c r="AS109" s="712"/>
      <c r="AT109" s="712"/>
      <c r="AU109" s="712"/>
      <c r="AV109" s="712"/>
      <c r="AW109" s="712"/>
      <c r="AX109" s="712"/>
      <c r="AY109" s="712"/>
    </row>
    <row r="110">
      <c r="T110" s="434"/>
      <c r="U110" s="438"/>
      <c r="V110" s="438"/>
      <c r="W110" s="438"/>
      <c r="X110" s="438"/>
      <c r="Y110" s="438"/>
      <c r="Z110" s="438"/>
      <c r="AA110" s="438"/>
      <c r="AB110" s="438"/>
      <c r="AC110" s="438"/>
      <c r="AD110" s="438"/>
      <c r="AE110" s="438"/>
      <c r="AF110" s="438"/>
      <c r="AG110" s="712"/>
      <c r="AH110" s="712"/>
      <c r="AI110" s="712"/>
      <c r="AJ110" s="712"/>
      <c r="AK110" s="712"/>
      <c r="AL110" s="712"/>
      <c r="AM110" s="712"/>
      <c r="AN110" s="712"/>
      <c r="AO110" s="712"/>
      <c r="AP110" s="712"/>
      <c r="AQ110" s="712"/>
      <c r="AR110" s="712"/>
      <c r="AS110" s="712"/>
      <c r="AT110" s="712"/>
      <c r="AU110" s="712"/>
      <c r="AV110" s="712"/>
      <c r="AW110" s="712"/>
      <c r="AX110" s="712"/>
      <c r="AY110" s="712"/>
    </row>
    <row r="111">
      <c r="T111" s="434"/>
      <c r="U111" s="438"/>
      <c r="V111" s="438"/>
      <c r="W111" s="438"/>
      <c r="X111" s="438"/>
      <c r="Y111" s="438"/>
      <c r="Z111" s="438"/>
      <c r="AA111" s="438"/>
      <c r="AB111" s="438"/>
      <c r="AC111" s="438"/>
      <c r="AD111" s="438"/>
      <c r="AE111" s="438"/>
      <c r="AF111" s="438"/>
      <c r="AG111" s="712"/>
      <c r="AH111" s="712"/>
      <c r="AI111" s="712"/>
      <c r="AJ111" s="712"/>
      <c r="AK111" s="712"/>
      <c r="AL111" s="712"/>
      <c r="AM111" s="712"/>
      <c r="AN111" s="712"/>
      <c r="AO111" s="712"/>
      <c r="AP111" s="712"/>
      <c r="AQ111" s="712"/>
      <c r="AR111" s="712"/>
      <c r="AS111" s="712"/>
      <c r="AT111" s="712"/>
      <c r="AU111" s="712"/>
      <c r="AV111" s="712"/>
      <c r="AW111" s="712"/>
      <c r="AX111" s="712"/>
      <c r="AY111" s="712"/>
    </row>
    <row r="112">
      <c r="T112" s="434"/>
      <c r="U112" s="438"/>
      <c r="V112" s="438"/>
      <c r="W112" s="438"/>
      <c r="X112" s="438"/>
      <c r="Y112" s="438"/>
      <c r="Z112" s="438"/>
      <c r="AA112" s="438"/>
      <c r="AB112" s="438"/>
      <c r="AC112" s="438"/>
      <c r="AD112" s="438"/>
      <c r="AE112" s="438"/>
      <c r="AF112" s="438"/>
      <c r="AG112" s="712"/>
      <c r="AH112" s="712"/>
      <c r="AI112" s="712"/>
      <c r="AJ112" s="712"/>
      <c r="AK112" s="712"/>
      <c r="AL112" s="712"/>
      <c r="AM112" s="712"/>
      <c r="AN112" s="712"/>
      <c r="AO112" s="712"/>
      <c r="AP112" s="712"/>
      <c r="AQ112" s="712"/>
      <c r="AR112" s="712"/>
      <c r="AS112" s="712"/>
      <c r="AT112" s="712"/>
      <c r="AU112" s="712"/>
      <c r="AV112" s="712"/>
      <c r="AW112" s="712"/>
      <c r="AX112" s="712"/>
      <c r="AY112" s="712"/>
    </row>
    <row r="113">
      <c r="T113" s="434"/>
      <c r="U113" s="438"/>
      <c r="V113" s="438"/>
      <c r="W113" s="438"/>
      <c r="X113" s="438"/>
      <c r="Y113" s="438"/>
      <c r="Z113" s="438"/>
      <c r="AA113" s="438"/>
      <c r="AB113" s="438"/>
      <c r="AC113" s="438"/>
      <c r="AD113" s="438"/>
      <c r="AE113" s="438"/>
      <c r="AF113" s="438"/>
      <c r="AG113" s="712"/>
      <c r="AH113" s="712"/>
      <c r="AI113" s="712"/>
      <c r="AJ113" s="712"/>
      <c r="AK113" s="712"/>
      <c r="AL113" s="712"/>
      <c r="AM113" s="712"/>
      <c r="AN113" s="712"/>
      <c r="AO113" s="712"/>
      <c r="AP113" s="712"/>
      <c r="AQ113" s="712"/>
      <c r="AR113" s="712"/>
      <c r="AS113" s="712"/>
      <c r="AT113" s="712"/>
      <c r="AU113" s="712"/>
      <c r="AV113" s="712"/>
      <c r="AW113" s="712"/>
      <c r="AX113" s="712"/>
      <c r="AY113" s="712"/>
    </row>
    <row r="114">
      <c r="T114" s="434"/>
      <c r="U114" s="438"/>
      <c r="V114" s="438"/>
      <c r="W114" s="438"/>
      <c r="X114" s="438"/>
      <c r="Y114" s="438"/>
      <c r="Z114" s="438"/>
      <c r="AA114" s="438"/>
      <c r="AB114" s="438"/>
      <c r="AC114" s="438"/>
      <c r="AD114" s="438"/>
      <c r="AE114" s="438"/>
      <c r="AF114" s="438"/>
      <c r="AG114" s="712"/>
      <c r="AH114" s="712"/>
      <c r="AI114" s="712"/>
      <c r="AJ114" s="712"/>
      <c r="AK114" s="712"/>
      <c r="AL114" s="712"/>
      <c r="AM114" s="712"/>
      <c r="AN114" s="712"/>
      <c r="AO114" s="712"/>
      <c r="AP114" s="712"/>
      <c r="AQ114" s="712"/>
      <c r="AR114" s="712"/>
      <c r="AS114" s="712"/>
      <c r="AT114" s="712"/>
      <c r="AU114" s="712"/>
      <c r="AV114" s="712"/>
      <c r="AW114" s="712"/>
      <c r="AX114" s="712"/>
      <c r="AY114" s="712"/>
    </row>
    <row r="115">
      <c r="T115" s="434"/>
      <c r="U115" s="438"/>
      <c r="V115" s="438"/>
      <c r="W115" s="438"/>
      <c r="X115" s="438"/>
      <c r="Y115" s="438"/>
      <c r="Z115" s="438"/>
      <c r="AA115" s="438"/>
      <c r="AB115" s="438"/>
      <c r="AC115" s="438"/>
      <c r="AD115" s="438"/>
      <c r="AE115" s="438"/>
      <c r="AF115" s="438"/>
      <c r="AG115" s="712"/>
      <c r="AH115" s="712"/>
      <c r="AI115" s="712"/>
      <c r="AJ115" s="712"/>
      <c r="AK115" s="712"/>
      <c r="AL115" s="712"/>
      <c r="AM115" s="712"/>
      <c r="AN115" s="712"/>
      <c r="AO115" s="712"/>
      <c r="AP115" s="712"/>
      <c r="AQ115" s="712"/>
      <c r="AR115" s="712"/>
      <c r="AS115" s="712"/>
      <c r="AT115" s="712"/>
      <c r="AU115" s="712"/>
      <c r="AV115" s="712"/>
      <c r="AW115" s="712"/>
      <c r="AX115" s="712"/>
      <c r="AY115" s="712"/>
    </row>
    <row r="116">
      <c r="T116" s="434"/>
      <c r="U116" s="438"/>
      <c r="V116" s="438"/>
      <c r="W116" s="438"/>
      <c r="X116" s="438"/>
      <c r="Y116" s="438"/>
      <c r="Z116" s="438"/>
      <c r="AA116" s="438"/>
      <c r="AB116" s="438"/>
      <c r="AC116" s="438"/>
      <c r="AD116" s="438"/>
      <c r="AE116" s="438"/>
      <c r="AF116" s="438"/>
      <c r="AG116" s="712"/>
      <c r="AH116" s="712"/>
      <c r="AI116" s="712"/>
      <c r="AJ116" s="712"/>
      <c r="AK116" s="712"/>
      <c r="AL116" s="712"/>
      <c r="AM116" s="712"/>
      <c r="AN116" s="712"/>
      <c r="AO116" s="712"/>
      <c r="AP116" s="712"/>
      <c r="AQ116" s="712"/>
      <c r="AR116" s="712"/>
      <c r="AS116" s="712"/>
      <c r="AT116" s="712"/>
      <c r="AU116" s="712"/>
      <c r="AV116" s="712"/>
      <c r="AW116" s="712"/>
      <c r="AX116" s="712"/>
      <c r="AY116" s="712"/>
    </row>
    <row r="117">
      <c r="T117" s="434"/>
      <c r="U117" s="438"/>
      <c r="V117" s="438"/>
      <c r="W117" s="438"/>
      <c r="X117" s="438"/>
      <c r="Y117" s="438"/>
      <c r="Z117" s="438"/>
      <c r="AA117" s="438"/>
      <c r="AB117" s="438"/>
      <c r="AC117" s="438"/>
      <c r="AD117" s="438"/>
      <c r="AE117" s="438"/>
      <c r="AF117" s="438"/>
      <c r="AG117" s="712"/>
      <c r="AH117" s="712"/>
      <c r="AI117" s="712"/>
      <c r="AJ117" s="712"/>
      <c r="AK117" s="712"/>
      <c r="AL117" s="712"/>
      <c r="AM117" s="712"/>
      <c r="AN117" s="712"/>
      <c r="AO117" s="712"/>
      <c r="AP117" s="712"/>
      <c r="AQ117" s="712"/>
      <c r="AR117" s="712"/>
      <c r="AS117" s="712"/>
      <c r="AT117" s="712"/>
      <c r="AU117" s="712"/>
      <c r="AV117" s="712"/>
      <c r="AW117" s="712"/>
      <c r="AX117" s="712"/>
      <c r="AY117" s="712"/>
    </row>
    <row r="118">
      <c r="T118" s="434"/>
      <c r="U118" s="438"/>
      <c r="V118" s="438"/>
      <c r="W118" s="438"/>
      <c r="X118" s="438"/>
      <c r="Y118" s="438"/>
      <c r="Z118" s="438"/>
      <c r="AA118" s="438"/>
      <c r="AB118" s="438"/>
      <c r="AC118" s="438"/>
      <c r="AD118" s="438"/>
      <c r="AE118" s="438"/>
      <c r="AF118" s="438"/>
      <c r="AG118" s="712"/>
      <c r="AH118" s="712"/>
      <c r="AI118" s="712"/>
      <c r="AJ118" s="712"/>
      <c r="AK118" s="712"/>
      <c r="AL118" s="712"/>
      <c r="AM118" s="712"/>
      <c r="AN118" s="712"/>
      <c r="AO118" s="712"/>
      <c r="AP118" s="712"/>
      <c r="AQ118" s="712"/>
      <c r="AR118" s="712"/>
      <c r="AS118" s="712"/>
      <c r="AT118" s="712"/>
      <c r="AU118" s="712"/>
      <c r="AV118" s="712"/>
      <c r="AW118" s="712"/>
      <c r="AX118" s="712"/>
      <c r="AY118" s="712"/>
    </row>
    <row r="119">
      <c r="T119" s="434"/>
      <c r="U119" s="438"/>
      <c r="V119" s="438"/>
      <c r="W119" s="438"/>
      <c r="X119" s="438"/>
      <c r="Y119" s="438"/>
      <c r="Z119" s="438"/>
      <c r="AA119" s="438"/>
      <c r="AB119" s="438"/>
      <c r="AC119" s="438"/>
      <c r="AD119" s="438"/>
      <c r="AE119" s="438"/>
      <c r="AF119" s="438"/>
      <c r="AG119" s="712"/>
      <c r="AH119" s="712"/>
      <c r="AI119" s="712"/>
      <c r="AJ119" s="712"/>
      <c r="AK119" s="712"/>
      <c r="AL119" s="712"/>
      <c r="AM119" s="712"/>
      <c r="AN119" s="712"/>
      <c r="AO119" s="712"/>
      <c r="AP119" s="712"/>
      <c r="AQ119" s="712"/>
      <c r="AR119" s="712"/>
      <c r="AS119" s="712"/>
      <c r="AT119" s="712"/>
      <c r="AU119" s="712"/>
      <c r="AV119" s="712"/>
      <c r="AW119" s="712"/>
      <c r="AX119" s="712"/>
      <c r="AY119" s="712"/>
    </row>
    <row r="120">
      <c r="T120" s="434"/>
      <c r="U120" s="438"/>
      <c r="V120" s="438"/>
      <c r="W120" s="438"/>
      <c r="X120" s="438"/>
      <c r="Y120" s="438"/>
      <c r="Z120" s="438"/>
      <c r="AA120" s="438"/>
      <c r="AB120" s="438"/>
      <c r="AC120" s="438"/>
      <c r="AD120" s="438"/>
      <c r="AE120" s="438"/>
      <c r="AF120" s="438"/>
      <c r="AG120" s="712"/>
      <c r="AH120" s="712"/>
      <c r="AI120" s="712"/>
      <c r="AJ120" s="712"/>
      <c r="AK120" s="712"/>
      <c r="AL120" s="712"/>
      <c r="AM120" s="712"/>
      <c r="AN120" s="712"/>
      <c r="AO120" s="712"/>
      <c r="AP120" s="712"/>
      <c r="AQ120" s="712"/>
      <c r="AR120" s="712"/>
      <c r="AS120" s="712"/>
      <c r="AT120" s="712"/>
      <c r="AU120" s="712"/>
      <c r="AV120" s="712"/>
      <c r="AW120" s="712"/>
      <c r="AX120" s="712"/>
      <c r="AY120" s="712"/>
    </row>
    <row r="121">
      <c r="T121" s="434"/>
      <c r="U121" s="438"/>
      <c r="V121" s="438"/>
      <c r="W121" s="438"/>
      <c r="X121" s="438"/>
      <c r="Y121" s="438"/>
      <c r="Z121" s="438"/>
      <c r="AA121" s="438"/>
      <c r="AB121" s="438"/>
      <c r="AC121" s="438"/>
      <c r="AD121" s="438"/>
      <c r="AE121" s="438"/>
      <c r="AF121" s="438"/>
      <c r="AG121" s="712"/>
      <c r="AH121" s="712"/>
      <c r="AI121" s="712"/>
      <c r="AJ121" s="712"/>
      <c r="AK121" s="712"/>
      <c r="AL121" s="712"/>
      <c r="AM121" s="712"/>
      <c r="AN121" s="712"/>
      <c r="AO121" s="712"/>
      <c r="AP121" s="712"/>
      <c r="AQ121" s="712"/>
      <c r="AR121" s="712"/>
      <c r="AS121" s="712"/>
      <c r="AT121" s="712"/>
      <c r="AU121" s="712"/>
      <c r="AV121" s="712"/>
      <c r="AW121" s="712"/>
      <c r="AX121" s="712"/>
      <c r="AY121" s="712"/>
    </row>
    <row r="122">
      <c r="T122" s="434"/>
      <c r="U122" s="438"/>
      <c r="V122" s="438"/>
      <c r="W122" s="438"/>
      <c r="X122" s="438"/>
      <c r="Y122" s="438"/>
      <c r="Z122" s="438"/>
      <c r="AA122" s="438"/>
      <c r="AB122" s="438"/>
      <c r="AC122" s="438"/>
      <c r="AD122" s="438"/>
      <c r="AE122" s="438"/>
      <c r="AF122" s="438"/>
      <c r="AG122" s="712"/>
      <c r="AH122" s="712"/>
      <c r="AI122" s="712"/>
      <c r="AJ122" s="712"/>
      <c r="AK122" s="712"/>
      <c r="AL122" s="712"/>
      <c r="AM122" s="712"/>
      <c r="AN122" s="712"/>
      <c r="AO122" s="712"/>
      <c r="AP122" s="712"/>
      <c r="AQ122" s="712"/>
      <c r="AR122" s="712"/>
      <c r="AS122" s="712"/>
      <c r="AT122" s="712"/>
      <c r="AU122" s="712"/>
      <c r="AV122" s="712"/>
      <c r="AW122" s="712"/>
      <c r="AX122" s="712"/>
      <c r="AY122" s="712"/>
    </row>
    <row r="123">
      <c r="T123" s="434"/>
      <c r="U123" s="438"/>
      <c r="V123" s="438"/>
      <c r="W123" s="438"/>
      <c r="X123" s="438"/>
      <c r="Y123" s="438"/>
      <c r="Z123" s="438"/>
      <c r="AA123" s="438"/>
      <c r="AB123" s="438"/>
      <c r="AC123" s="438"/>
      <c r="AD123" s="438"/>
      <c r="AE123" s="438"/>
      <c r="AF123" s="438"/>
      <c r="AG123" s="712"/>
      <c r="AH123" s="712"/>
      <c r="AI123" s="712"/>
      <c r="AJ123" s="712"/>
      <c r="AK123" s="712"/>
      <c r="AL123" s="712"/>
      <c r="AM123" s="712"/>
      <c r="AN123" s="712"/>
      <c r="AO123" s="712"/>
      <c r="AP123" s="712"/>
      <c r="AQ123" s="712"/>
      <c r="AR123" s="712"/>
      <c r="AS123" s="712"/>
      <c r="AT123" s="712"/>
      <c r="AU123" s="712"/>
      <c r="AV123" s="712"/>
      <c r="AW123" s="712"/>
      <c r="AX123" s="712"/>
      <c r="AY123" s="712"/>
    </row>
    <row r="124">
      <c r="T124" s="434"/>
      <c r="U124" s="438"/>
      <c r="V124" s="438"/>
      <c r="W124" s="438"/>
      <c r="X124" s="438"/>
      <c r="Y124" s="438"/>
      <c r="Z124" s="438"/>
      <c r="AA124" s="438"/>
      <c r="AB124" s="438"/>
      <c r="AC124" s="438"/>
      <c r="AD124" s="438"/>
      <c r="AE124" s="438"/>
      <c r="AF124" s="438"/>
      <c r="AG124" s="712"/>
      <c r="AH124" s="712"/>
      <c r="AI124" s="712"/>
      <c r="AJ124" s="712"/>
      <c r="AK124" s="712"/>
      <c r="AL124" s="712"/>
      <c r="AM124" s="712"/>
      <c r="AN124" s="712"/>
      <c r="AO124" s="712"/>
      <c r="AP124" s="712"/>
      <c r="AQ124" s="712"/>
      <c r="AR124" s="712"/>
      <c r="AS124" s="712"/>
      <c r="AT124" s="712"/>
      <c r="AU124" s="712"/>
      <c r="AV124" s="712"/>
      <c r="AW124" s="712"/>
      <c r="AX124" s="712"/>
      <c r="AY124" s="712"/>
    </row>
    <row r="125">
      <c r="T125" s="434"/>
      <c r="U125" s="438"/>
      <c r="V125" s="438"/>
      <c r="W125" s="438"/>
      <c r="X125" s="438"/>
      <c r="Y125" s="438"/>
      <c r="Z125" s="438"/>
      <c r="AA125" s="438"/>
      <c r="AB125" s="438"/>
      <c r="AC125" s="438"/>
      <c r="AD125" s="438"/>
      <c r="AE125" s="438"/>
      <c r="AF125" s="438"/>
      <c r="AG125" s="712"/>
      <c r="AH125" s="712"/>
      <c r="AI125" s="712"/>
      <c r="AJ125" s="712"/>
      <c r="AK125" s="712"/>
      <c r="AL125" s="712"/>
      <c r="AM125" s="712"/>
      <c r="AN125" s="712"/>
      <c r="AO125" s="712"/>
      <c r="AP125" s="712"/>
      <c r="AQ125" s="712"/>
      <c r="AR125" s="712"/>
      <c r="AS125" s="712"/>
      <c r="AT125" s="712"/>
      <c r="AU125" s="712"/>
      <c r="AV125" s="712"/>
      <c r="AW125" s="712"/>
      <c r="AX125" s="712"/>
      <c r="AY125" s="712"/>
    </row>
    <row r="126">
      <c r="T126" s="434"/>
      <c r="U126" s="438"/>
      <c r="V126" s="438"/>
      <c r="W126" s="438"/>
      <c r="X126" s="438"/>
      <c r="Y126" s="438"/>
      <c r="Z126" s="438"/>
      <c r="AA126" s="438"/>
      <c r="AB126" s="438"/>
      <c r="AC126" s="438"/>
      <c r="AD126" s="438"/>
      <c r="AE126" s="438"/>
      <c r="AF126" s="438"/>
      <c r="AG126" s="712"/>
      <c r="AH126" s="712"/>
      <c r="AI126" s="712"/>
      <c r="AJ126" s="712"/>
      <c r="AK126" s="712"/>
      <c r="AL126" s="712"/>
      <c r="AM126" s="712"/>
      <c r="AN126" s="712"/>
      <c r="AO126" s="712"/>
      <c r="AP126" s="712"/>
      <c r="AQ126" s="712"/>
      <c r="AR126" s="712"/>
      <c r="AS126" s="712"/>
      <c r="AT126" s="712"/>
      <c r="AU126" s="712"/>
      <c r="AV126" s="712"/>
      <c r="AW126" s="712"/>
      <c r="AX126" s="712"/>
      <c r="AY126" s="712"/>
    </row>
    <row r="127">
      <c r="T127" s="434"/>
      <c r="U127" s="438"/>
      <c r="V127" s="438"/>
      <c r="W127" s="438"/>
      <c r="X127" s="438"/>
      <c r="Y127" s="438"/>
      <c r="Z127" s="438"/>
      <c r="AA127" s="438"/>
      <c r="AB127" s="438"/>
      <c r="AC127" s="438"/>
      <c r="AD127" s="438"/>
      <c r="AE127" s="438"/>
      <c r="AF127" s="438"/>
      <c r="AG127" s="712"/>
      <c r="AH127" s="712"/>
      <c r="AI127" s="712"/>
      <c r="AJ127" s="712"/>
      <c r="AK127" s="712"/>
      <c r="AL127" s="712"/>
      <c r="AM127" s="712"/>
      <c r="AN127" s="712"/>
      <c r="AO127" s="712"/>
      <c r="AP127" s="712"/>
      <c r="AQ127" s="712"/>
      <c r="AR127" s="712"/>
      <c r="AS127" s="712"/>
      <c r="AT127" s="712"/>
      <c r="AU127" s="712"/>
      <c r="AV127" s="712"/>
      <c r="AW127" s="712"/>
      <c r="AX127" s="712"/>
      <c r="AY127" s="712"/>
    </row>
    <row r="128">
      <c r="T128" s="434"/>
      <c r="U128" s="438"/>
      <c r="V128" s="438"/>
      <c r="W128" s="438"/>
      <c r="X128" s="438"/>
      <c r="Y128" s="438"/>
      <c r="Z128" s="438"/>
      <c r="AA128" s="438"/>
      <c r="AB128" s="438"/>
      <c r="AC128" s="438"/>
      <c r="AD128" s="438"/>
      <c r="AE128" s="438"/>
      <c r="AF128" s="438"/>
      <c r="AG128" s="712"/>
      <c r="AH128" s="712"/>
      <c r="AI128" s="712"/>
      <c r="AJ128" s="712"/>
      <c r="AK128" s="712"/>
      <c r="AL128" s="712"/>
      <c r="AM128" s="712"/>
      <c r="AN128" s="712"/>
      <c r="AO128" s="712"/>
      <c r="AP128" s="712"/>
      <c r="AQ128" s="712"/>
      <c r="AR128" s="712"/>
      <c r="AS128" s="712"/>
      <c r="AT128" s="712"/>
      <c r="AU128" s="712"/>
      <c r="AV128" s="712"/>
      <c r="AW128" s="712"/>
      <c r="AX128" s="712"/>
      <c r="AY128" s="712"/>
    </row>
    <row r="129">
      <c r="T129" s="434"/>
      <c r="U129" s="438"/>
      <c r="V129" s="438"/>
      <c r="W129" s="438"/>
      <c r="X129" s="438"/>
      <c r="Y129" s="438"/>
      <c r="Z129" s="438"/>
      <c r="AA129" s="438"/>
      <c r="AB129" s="438"/>
      <c r="AC129" s="438"/>
      <c r="AD129" s="438"/>
      <c r="AE129" s="438"/>
      <c r="AF129" s="438"/>
      <c r="AG129" s="712"/>
      <c r="AH129" s="712"/>
      <c r="AI129" s="712"/>
      <c r="AJ129" s="712"/>
      <c r="AK129" s="712"/>
      <c r="AL129" s="712"/>
      <c r="AM129" s="712"/>
      <c r="AN129" s="712"/>
      <c r="AO129" s="712"/>
      <c r="AP129" s="712"/>
      <c r="AQ129" s="712"/>
      <c r="AR129" s="712"/>
      <c r="AS129" s="712"/>
      <c r="AT129" s="712"/>
      <c r="AU129" s="712"/>
      <c r="AV129" s="712"/>
      <c r="AW129" s="712"/>
      <c r="AX129" s="712"/>
      <c r="AY129" s="712"/>
    </row>
    <row r="130">
      <c r="T130" s="434"/>
      <c r="U130" s="438"/>
      <c r="V130" s="438"/>
      <c r="W130" s="438"/>
      <c r="X130" s="438"/>
      <c r="Y130" s="438"/>
      <c r="Z130" s="438"/>
      <c r="AA130" s="438"/>
      <c r="AB130" s="438"/>
      <c r="AC130" s="438"/>
      <c r="AD130" s="438"/>
      <c r="AE130" s="438"/>
      <c r="AF130" s="438"/>
      <c r="AG130" s="712"/>
      <c r="AH130" s="712"/>
      <c r="AI130" s="712"/>
      <c r="AJ130" s="712"/>
      <c r="AK130" s="712"/>
      <c r="AL130" s="712"/>
      <c r="AM130" s="712"/>
      <c r="AN130" s="712"/>
      <c r="AO130" s="712"/>
      <c r="AP130" s="712"/>
      <c r="AQ130" s="712"/>
      <c r="AR130" s="712"/>
      <c r="AS130" s="712"/>
      <c r="AT130" s="712"/>
      <c r="AU130" s="712"/>
      <c r="AV130" s="712"/>
      <c r="AW130" s="712"/>
      <c r="AX130" s="712"/>
      <c r="AY130" s="712"/>
    </row>
    <row r="131">
      <c r="T131" s="434"/>
      <c r="U131" s="438"/>
      <c r="V131" s="438"/>
      <c r="W131" s="438"/>
      <c r="X131" s="438"/>
      <c r="Y131" s="438"/>
      <c r="Z131" s="438"/>
      <c r="AA131" s="438"/>
      <c r="AB131" s="438"/>
      <c r="AC131" s="438"/>
      <c r="AD131" s="438"/>
      <c r="AE131" s="438"/>
      <c r="AF131" s="438"/>
      <c r="AG131" s="712"/>
      <c r="AH131" s="712"/>
      <c r="AI131" s="712"/>
      <c r="AJ131" s="712"/>
      <c r="AK131" s="712"/>
      <c r="AL131" s="712"/>
      <c r="AM131" s="712"/>
      <c r="AN131" s="712"/>
      <c r="AO131" s="712"/>
      <c r="AP131" s="712"/>
      <c r="AQ131" s="712"/>
      <c r="AR131" s="712"/>
      <c r="AS131" s="712"/>
      <c r="AT131" s="712"/>
      <c r="AU131" s="712"/>
      <c r="AV131" s="712"/>
      <c r="AW131" s="712"/>
      <c r="AX131" s="712"/>
      <c r="AY131" s="712"/>
    </row>
    <row r="132">
      <c r="T132" s="434"/>
      <c r="U132" s="438"/>
      <c r="V132" s="438"/>
      <c r="W132" s="438"/>
      <c r="X132" s="438"/>
      <c r="Y132" s="438"/>
      <c r="Z132" s="438"/>
      <c r="AA132" s="438"/>
      <c r="AB132" s="438"/>
      <c r="AC132" s="438"/>
      <c r="AD132" s="438"/>
      <c r="AE132" s="438"/>
      <c r="AF132" s="438"/>
      <c r="AG132" s="712"/>
      <c r="AH132" s="712"/>
      <c r="AI132" s="712"/>
      <c r="AJ132" s="712"/>
      <c r="AK132" s="712"/>
      <c r="AL132" s="712"/>
      <c r="AM132" s="712"/>
      <c r="AN132" s="712"/>
      <c r="AO132" s="712"/>
      <c r="AP132" s="712"/>
      <c r="AQ132" s="712"/>
      <c r="AR132" s="712"/>
      <c r="AS132" s="712"/>
      <c r="AT132" s="712"/>
      <c r="AU132" s="712"/>
      <c r="AV132" s="712"/>
      <c r="AW132" s="712"/>
      <c r="AX132" s="712"/>
      <c r="AY132" s="712"/>
    </row>
    <row r="133">
      <c r="T133" s="434"/>
      <c r="U133" s="438"/>
      <c r="V133" s="438"/>
      <c r="W133" s="438"/>
      <c r="X133" s="438"/>
      <c r="Y133" s="438"/>
      <c r="Z133" s="438"/>
      <c r="AA133" s="438"/>
      <c r="AB133" s="438"/>
      <c r="AC133" s="438"/>
      <c r="AD133" s="438"/>
      <c r="AE133" s="438"/>
      <c r="AF133" s="438"/>
      <c r="AG133" s="712"/>
      <c r="AH133" s="712"/>
      <c r="AI133" s="712"/>
      <c r="AJ133" s="712"/>
      <c r="AK133" s="712"/>
      <c r="AL133" s="712"/>
      <c r="AM133" s="712"/>
      <c r="AN133" s="712"/>
      <c r="AO133" s="712"/>
      <c r="AP133" s="712"/>
      <c r="AQ133" s="712"/>
      <c r="AR133" s="712"/>
      <c r="AS133" s="712"/>
      <c r="AT133" s="712"/>
      <c r="AU133" s="712"/>
      <c r="AV133" s="712"/>
      <c r="AW133" s="712"/>
      <c r="AX133" s="712"/>
      <c r="AY133" s="712"/>
    </row>
    <row r="134">
      <c r="T134" s="434"/>
      <c r="U134" s="438"/>
      <c r="V134" s="438"/>
      <c r="W134" s="438"/>
      <c r="X134" s="438"/>
      <c r="Y134" s="438"/>
      <c r="Z134" s="438"/>
      <c r="AA134" s="438"/>
      <c r="AB134" s="438"/>
      <c r="AC134" s="438"/>
      <c r="AD134" s="438"/>
      <c r="AE134" s="438"/>
      <c r="AF134" s="438"/>
      <c r="AG134" s="712"/>
      <c r="AH134" s="712"/>
      <c r="AI134" s="712"/>
      <c r="AJ134" s="712"/>
      <c r="AK134" s="712"/>
      <c r="AL134" s="712"/>
      <c r="AM134" s="712"/>
      <c r="AN134" s="712"/>
      <c r="AO134" s="712"/>
      <c r="AP134" s="712"/>
      <c r="AQ134" s="712"/>
      <c r="AR134" s="712"/>
      <c r="AS134" s="712"/>
      <c r="AT134" s="712"/>
      <c r="AU134" s="712"/>
      <c r="AV134" s="712"/>
      <c r="AW134" s="712"/>
      <c r="AX134" s="712"/>
      <c r="AY134" s="712"/>
    </row>
    <row r="135">
      <c r="T135" s="434"/>
      <c r="U135" s="438"/>
      <c r="V135" s="438"/>
      <c r="W135" s="438"/>
      <c r="X135" s="438"/>
      <c r="Y135" s="438"/>
      <c r="Z135" s="438"/>
      <c r="AA135" s="438"/>
      <c r="AB135" s="438"/>
      <c r="AC135" s="438"/>
      <c r="AD135" s="438"/>
      <c r="AE135" s="438"/>
      <c r="AF135" s="438"/>
      <c r="AG135" s="712"/>
      <c r="AH135" s="712"/>
      <c r="AI135" s="712"/>
      <c r="AJ135" s="712"/>
      <c r="AK135" s="712"/>
      <c r="AL135" s="712"/>
      <c r="AM135" s="712"/>
      <c r="AN135" s="712"/>
      <c r="AO135" s="712"/>
      <c r="AP135" s="712"/>
      <c r="AQ135" s="712"/>
      <c r="AR135" s="712"/>
      <c r="AS135" s="712"/>
      <c r="AT135" s="712"/>
      <c r="AU135" s="712"/>
      <c r="AV135" s="712"/>
      <c r="AW135" s="712"/>
      <c r="AX135" s="712"/>
      <c r="AY135" s="712"/>
    </row>
    <row r="136">
      <c r="T136" s="434"/>
      <c r="U136" s="438"/>
      <c r="V136" s="438"/>
      <c r="W136" s="438"/>
      <c r="X136" s="438"/>
      <c r="Y136" s="438"/>
      <c r="Z136" s="438"/>
      <c r="AA136" s="438"/>
      <c r="AB136" s="438"/>
      <c r="AC136" s="438"/>
      <c r="AD136" s="438"/>
      <c r="AE136" s="438"/>
      <c r="AF136" s="438"/>
      <c r="AG136" s="712"/>
      <c r="AH136" s="712"/>
      <c r="AI136" s="712"/>
      <c r="AJ136" s="712"/>
      <c r="AK136" s="712"/>
      <c r="AL136" s="712"/>
      <c r="AM136" s="712"/>
      <c r="AN136" s="712"/>
      <c r="AO136" s="712"/>
      <c r="AP136" s="712"/>
      <c r="AQ136" s="712"/>
      <c r="AR136" s="712"/>
      <c r="AS136" s="712"/>
      <c r="AT136" s="712"/>
      <c r="AU136" s="712"/>
      <c r="AV136" s="712"/>
      <c r="AW136" s="712"/>
      <c r="AX136" s="712"/>
      <c r="AY136" s="712"/>
    </row>
    <row r="137">
      <c r="T137" s="434"/>
      <c r="U137" s="438"/>
      <c r="V137" s="438"/>
      <c r="W137" s="438"/>
      <c r="X137" s="438"/>
      <c r="Y137" s="438"/>
      <c r="Z137" s="438"/>
      <c r="AA137" s="438"/>
      <c r="AB137" s="438"/>
      <c r="AC137" s="438"/>
      <c r="AD137" s="438"/>
      <c r="AE137" s="438"/>
      <c r="AF137" s="438"/>
      <c r="AG137" s="712"/>
      <c r="AH137" s="712"/>
      <c r="AI137" s="712"/>
      <c r="AJ137" s="712"/>
      <c r="AK137" s="712"/>
      <c r="AL137" s="712"/>
      <c r="AM137" s="712"/>
      <c r="AN137" s="712"/>
      <c r="AO137" s="712"/>
      <c r="AP137" s="712"/>
      <c r="AQ137" s="712"/>
      <c r="AR137" s="712"/>
      <c r="AS137" s="712"/>
      <c r="AT137" s="712"/>
      <c r="AU137" s="712"/>
      <c r="AV137" s="712"/>
      <c r="AW137" s="712"/>
      <c r="AX137" s="712"/>
      <c r="AY137" s="712"/>
    </row>
    <row r="138">
      <c r="T138" s="434"/>
      <c r="U138" s="438"/>
      <c r="V138" s="438"/>
      <c r="W138" s="438"/>
      <c r="X138" s="438"/>
      <c r="Y138" s="438"/>
      <c r="Z138" s="438"/>
      <c r="AA138" s="438"/>
      <c r="AB138" s="438"/>
      <c r="AC138" s="438"/>
      <c r="AD138" s="438"/>
      <c r="AE138" s="438"/>
      <c r="AF138" s="438"/>
      <c r="AG138" s="712"/>
      <c r="AH138" s="712"/>
      <c r="AI138" s="712"/>
      <c r="AJ138" s="712"/>
      <c r="AK138" s="712"/>
      <c r="AL138" s="712"/>
      <c r="AM138" s="712"/>
      <c r="AN138" s="712"/>
      <c r="AO138" s="712"/>
      <c r="AP138" s="712"/>
      <c r="AQ138" s="712"/>
      <c r="AR138" s="712"/>
      <c r="AS138" s="712"/>
      <c r="AT138" s="712"/>
      <c r="AU138" s="712"/>
      <c r="AV138" s="712"/>
      <c r="AW138" s="712"/>
      <c r="AX138" s="712"/>
      <c r="AY138" s="712"/>
    </row>
    <row r="139">
      <c r="T139" s="434"/>
      <c r="U139" s="438"/>
      <c r="V139" s="438"/>
      <c r="W139" s="438"/>
      <c r="X139" s="438"/>
      <c r="Y139" s="438"/>
      <c r="Z139" s="438"/>
      <c r="AA139" s="438"/>
      <c r="AB139" s="438"/>
      <c r="AC139" s="438"/>
      <c r="AD139" s="438"/>
      <c r="AE139" s="438"/>
      <c r="AF139" s="438"/>
      <c r="AG139" s="712"/>
      <c r="AH139" s="712"/>
      <c r="AI139" s="712"/>
      <c r="AJ139" s="712"/>
      <c r="AK139" s="712"/>
      <c r="AL139" s="712"/>
      <c r="AM139" s="712"/>
      <c r="AN139" s="712"/>
      <c r="AO139" s="712"/>
      <c r="AP139" s="712"/>
      <c r="AQ139" s="712"/>
      <c r="AR139" s="712"/>
      <c r="AS139" s="712"/>
      <c r="AT139" s="712"/>
      <c r="AU139" s="712"/>
      <c r="AV139" s="712"/>
      <c r="AW139" s="712"/>
      <c r="AX139" s="712"/>
      <c r="AY139" s="712"/>
    </row>
    <row r="140">
      <c r="T140" s="434"/>
      <c r="U140" s="438"/>
      <c r="V140" s="438"/>
      <c r="W140" s="438"/>
      <c r="X140" s="438"/>
      <c r="Y140" s="438"/>
      <c r="Z140" s="438"/>
      <c r="AA140" s="438"/>
      <c r="AB140" s="438"/>
      <c r="AC140" s="438"/>
      <c r="AD140" s="438"/>
      <c r="AE140" s="438"/>
      <c r="AF140" s="438"/>
      <c r="AG140" s="712"/>
      <c r="AH140" s="712"/>
      <c r="AI140" s="712"/>
      <c r="AJ140" s="712"/>
      <c r="AK140" s="712"/>
      <c r="AL140" s="712"/>
      <c r="AM140" s="712"/>
      <c r="AN140" s="712"/>
      <c r="AO140" s="712"/>
      <c r="AP140" s="712"/>
      <c r="AQ140" s="712"/>
      <c r="AR140" s="712"/>
      <c r="AS140" s="712"/>
      <c r="AT140" s="712"/>
      <c r="AU140" s="712"/>
      <c r="AV140" s="712"/>
      <c r="AW140" s="712"/>
      <c r="AX140" s="712"/>
      <c r="AY140" s="712"/>
    </row>
    <row r="141">
      <c r="T141" s="434"/>
      <c r="U141" s="438"/>
      <c r="V141" s="438"/>
      <c r="W141" s="438"/>
      <c r="X141" s="438"/>
      <c r="Y141" s="438"/>
      <c r="Z141" s="438"/>
      <c r="AA141" s="438"/>
      <c r="AB141" s="438"/>
      <c r="AC141" s="438"/>
      <c r="AD141" s="438"/>
      <c r="AE141" s="438"/>
      <c r="AF141" s="438"/>
      <c r="AG141" s="712"/>
      <c r="AH141" s="712"/>
      <c r="AI141" s="712"/>
      <c r="AJ141" s="712"/>
      <c r="AK141" s="712"/>
      <c r="AL141" s="712"/>
      <c r="AM141" s="712"/>
      <c r="AN141" s="712"/>
      <c r="AO141" s="712"/>
      <c r="AP141" s="712"/>
      <c r="AQ141" s="712"/>
      <c r="AR141" s="712"/>
      <c r="AS141" s="712"/>
      <c r="AT141" s="712"/>
      <c r="AU141" s="712"/>
      <c r="AV141" s="712"/>
      <c r="AW141" s="712"/>
      <c r="AX141" s="712"/>
      <c r="AY141" s="712"/>
    </row>
    <row r="142">
      <c r="T142" s="434"/>
      <c r="U142" s="438"/>
      <c r="V142" s="438"/>
      <c r="W142" s="438"/>
      <c r="X142" s="438"/>
      <c r="Y142" s="438"/>
      <c r="Z142" s="438"/>
      <c r="AA142" s="438"/>
      <c r="AB142" s="438"/>
      <c r="AC142" s="438"/>
      <c r="AD142" s="438"/>
      <c r="AE142" s="438"/>
      <c r="AF142" s="438"/>
      <c r="AG142" s="712"/>
      <c r="AH142" s="712"/>
      <c r="AI142" s="712"/>
      <c r="AJ142" s="712"/>
      <c r="AK142" s="712"/>
      <c r="AL142" s="712"/>
      <c r="AM142" s="712"/>
      <c r="AN142" s="712"/>
      <c r="AO142" s="712"/>
      <c r="AP142" s="712"/>
      <c r="AQ142" s="712"/>
      <c r="AR142" s="712"/>
      <c r="AS142" s="712"/>
      <c r="AT142" s="712"/>
      <c r="AU142" s="712"/>
      <c r="AV142" s="712"/>
      <c r="AW142" s="712"/>
      <c r="AX142" s="712"/>
      <c r="AY142" s="712"/>
    </row>
    <row r="143">
      <c r="T143" s="434"/>
      <c r="U143" s="438"/>
      <c r="V143" s="438"/>
      <c r="W143" s="438"/>
      <c r="X143" s="438"/>
      <c r="Y143" s="438"/>
      <c r="Z143" s="438"/>
      <c r="AA143" s="438"/>
      <c r="AB143" s="438"/>
      <c r="AC143" s="438"/>
      <c r="AD143" s="438"/>
      <c r="AE143" s="438"/>
      <c r="AF143" s="438"/>
      <c r="AG143" s="712"/>
      <c r="AH143" s="712"/>
      <c r="AI143" s="712"/>
      <c r="AJ143" s="712"/>
      <c r="AK143" s="712"/>
      <c r="AL143" s="712"/>
      <c r="AM143" s="712"/>
      <c r="AN143" s="712"/>
      <c r="AO143" s="712"/>
      <c r="AP143" s="712"/>
      <c r="AQ143" s="712"/>
      <c r="AR143" s="712"/>
      <c r="AS143" s="712"/>
      <c r="AT143" s="712"/>
      <c r="AU143" s="712"/>
      <c r="AV143" s="712"/>
      <c r="AW143" s="712"/>
      <c r="AX143" s="712"/>
      <c r="AY143" s="712"/>
    </row>
    <row r="144">
      <c r="T144" s="434"/>
      <c r="U144" s="438"/>
      <c r="V144" s="438"/>
      <c r="W144" s="438"/>
      <c r="X144" s="438"/>
      <c r="Y144" s="438"/>
      <c r="Z144" s="438"/>
      <c r="AA144" s="438"/>
      <c r="AB144" s="438"/>
      <c r="AC144" s="438"/>
      <c r="AD144" s="438"/>
      <c r="AE144" s="438"/>
      <c r="AF144" s="438"/>
      <c r="AG144" s="712"/>
      <c r="AH144" s="712"/>
      <c r="AI144" s="712"/>
      <c r="AJ144" s="712"/>
      <c r="AK144" s="712"/>
      <c r="AL144" s="712"/>
      <c r="AM144" s="712"/>
      <c r="AN144" s="712"/>
      <c r="AO144" s="712"/>
      <c r="AP144" s="712"/>
      <c r="AQ144" s="712"/>
      <c r="AR144" s="712"/>
      <c r="AS144" s="712"/>
      <c r="AT144" s="712"/>
      <c r="AU144" s="712"/>
      <c r="AV144" s="712"/>
      <c r="AW144" s="712"/>
      <c r="AX144" s="712"/>
      <c r="AY144" s="712"/>
    </row>
    <row r="145">
      <c r="T145" s="434"/>
      <c r="U145" s="438"/>
      <c r="V145" s="438"/>
      <c r="W145" s="438"/>
      <c r="X145" s="438"/>
      <c r="Y145" s="438"/>
      <c r="Z145" s="438"/>
      <c r="AA145" s="438"/>
      <c r="AB145" s="438"/>
      <c r="AC145" s="438"/>
      <c r="AD145" s="438"/>
      <c r="AE145" s="438"/>
      <c r="AF145" s="438"/>
      <c r="AG145" s="712"/>
      <c r="AH145" s="712"/>
      <c r="AI145" s="712"/>
      <c r="AJ145" s="712"/>
      <c r="AK145" s="712"/>
      <c r="AL145" s="712"/>
      <c r="AM145" s="712"/>
      <c r="AN145" s="712"/>
      <c r="AO145" s="712"/>
      <c r="AP145" s="712"/>
      <c r="AQ145" s="712"/>
      <c r="AR145" s="712"/>
      <c r="AS145" s="712"/>
      <c r="AT145" s="712"/>
      <c r="AU145" s="712"/>
      <c r="AV145" s="712"/>
      <c r="AW145" s="712"/>
      <c r="AX145" s="712"/>
      <c r="AY145" s="712"/>
    </row>
    <row r="146">
      <c r="T146" s="434"/>
      <c r="U146" s="438"/>
      <c r="V146" s="438"/>
      <c r="W146" s="438"/>
      <c r="X146" s="438"/>
      <c r="Y146" s="438"/>
      <c r="Z146" s="438"/>
      <c r="AA146" s="438"/>
      <c r="AB146" s="438"/>
      <c r="AC146" s="438"/>
      <c r="AD146" s="438"/>
      <c r="AE146" s="438"/>
      <c r="AF146" s="438"/>
      <c r="AG146" s="712"/>
      <c r="AH146" s="712"/>
      <c r="AI146" s="712"/>
      <c r="AJ146" s="712"/>
      <c r="AK146" s="712"/>
      <c r="AL146" s="712"/>
      <c r="AM146" s="712"/>
      <c r="AN146" s="712"/>
      <c r="AO146" s="712"/>
      <c r="AP146" s="712"/>
      <c r="AQ146" s="712"/>
      <c r="AR146" s="712"/>
      <c r="AS146" s="712"/>
      <c r="AT146" s="712"/>
      <c r="AU146" s="712"/>
      <c r="AV146" s="712"/>
      <c r="AW146" s="712"/>
      <c r="AX146" s="712"/>
      <c r="AY146" s="712"/>
    </row>
    <row r="147">
      <c r="T147" s="434"/>
      <c r="U147" s="438"/>
      <c r="V147" s="438"/>
      <c r="W147" s="438"/>
      <c r="X147" s="438"/>
      <c r="Y147" s="438"/>
      <c r="Z147" s="438"/>
      <c r="AA147" s="438"/>
      <c r="AB147" s="438"/>
      <c r="AC147" s="438"/>
      <c r="AD147" s="438"/>
      <c r="AE147" s="438"/>
      <c r="AF147" s="438"/>
      <c r="AG147" s="712"/>
      <c r="AH147" s="712"/>
      <c r="AI147" s="712"/>
      <c r="AJ147" s="712"/>
      <c r="AK147" s="712"/>
      <c r="AL147" s="712"/>
      <c r="AM147" s="712"/>
      <c r="AN147" s="712"/>
      <c r="AO147" s="712"/>
      <c r="AP147" s="712"/>
      <c r="AQ147" s="712"/>
      <c r="AR147" s="712"/>
      <c r="AS147" s="712"/>
      <c r="AT147" s="712"/>
      <c r="AU147" s="712"/>
      <c r="AV147" s="712"/>
      <c r="AW147" s="712"/>
      <c r="AX147" s="712"/>
      <c r="AY147" s="712"/>
    </row>
    <row r="148">
      <c r="T148" s="434"/>
      <c r="U148" s="438"/>
      <c r="V148" s="438"/>
      <c r="W148" s="438"/>
      <c r="X148" s="438"/>
      <c r="Y148" s="438"/>
      <c r="Z148" s="438"/>
      <c r="AA148" s="438"/>
      <c r="AB148" s="438"/>
      <c r="AC148" s="438"/>
      <c r="AD148" s="438"/>
      <c r="AE148" s="438"/>
      <c r="AF148" s="438"/>
      <c r="AG148" s="712"/>
      <c r="AH148" s="712"/>
      <c r="AI148" s="712"/>
      <c r="AJ148" s="712"/>
      <c r="AK148" s="712"/>
      <c r="AL148" s="712"/>
      <c r="AM148" s="712"/>
      <c r="AN148" s="712"/>
      <c r="AO148" s="712"/>
      <c r="AP148" s="712"/>
      <c r="AQ148" s="712"/>
      <c r="AR148" s="712"/>
      <c r="AS148" s="712"/>
      <c r="AT148" s="712"/>
      <c r="AU148" s="712"/>
      <c r="AV148" s="712"/>
      <c r="AW148" s="712"/>
      <c r="AX148" s="712"/>
      <c r="AY148" s="712"/>
    </row>
    <row r="149">
      <c r="T149" s="434"/>
      <c r="U149" s="438"/>
      <c r="V149" s="438"/>
      <c r="W149" s="438"/>
      <c r="X149" s="438"/>
      <c r="Y149" s="438"/>
      <c r="Z149" s="438"/>
      <c r="AA149" s="438"/>
      <c r="AB149" s="438"/>
      <c r="AC149" s="438"/>
      <c r="AD149" s="438"/>
      <c r="AE149" s="438"/>
      <c r="AF149" s="438"/>
      <c r="AG149" s="712"/>
      <c r="AH149" s="712"/>
      <c r="AI149" s="712"/>
      <c r="AJ149" s="712"/>
      <c r="AK149" s="712"/>
      <c r="AL149" s="712"/>
      <c r="AM149" s="712"/>
      <c r="AN149" s="712"/>
      <c r="AO149" s="712"/>
      <c r="AP149" s="712"/>
      <c r="AQ149" s="712"/>
      <c r="AR149" s="712"/>
      <c r="AS149" s="712"/>
      <c r="AT149" s="712"/>
      <c r="AU149" s="712"/>
      <c r="AV149" s="712"/>
      <c r="AW149" s="712"/>
      <c r="AX149" s="712"/>
      <c r="AY149" s="712"/>
    </row>
    <row r="150">
      <c r="T150" s="434"/>
      <c r="U150" s="438"/>
      <c r="V150" s="438"/>
      <c r="W150" s="438"/>
      <c r="X150" s="438"/>
      <c r="Y150" s="438"/>
      <c r="Z150" s="438"/>
      <c r="AA150" s="438"/>
      <c r="AB150" s="438"/>
      <c r="AC150" s="438"/>
      <c r="AD150" s="438"/>
      <c r="AE150" s="438"/>
      <c r="AF150" s="438"/>
      <c r="AG150" s="712"/>
      <c r="AH150" s="712"/>
      <c r="AI150" s="712"/>
      <c r="AJ150" s="712"/>
      <c r="AK150" s="712"/>
      <c r="AL150" s="712"/>
      <c r="AM150" s="712"/>
      <c r="AN150" s="712"/>
      <c r="AO150" s="712"/>
      <c r="AP150" s="712"/>
      <c r="AQ150" s="712"/>
      <c r="AR150" s="712"/>
      <c r="AS150" s="712"/>
      <c r="AT150" s="712"/>
      <c r="AU150" s="712"/>
      <c r="AV150" s="712"/>
      <c r="AW150" s="712"/>
      <c r="AX150" s="712"/>
      <c r="AY150" s="712"/>
    </row>
    <row r="151">
      <c r="T151" s="434"/>
      <c r="U151" s="438"/>
      <c r="V151" s="438"/>
      <c r="W151" s="438"/>
      <c r="X151" s="438"/>
      <c r="Y151" s="438"/>
      <c r="Z151" s="438"/>
      <c r="AA151" s="438"/>
      <c r="AB151" s="438"/>
      <c r="AC151" s="438"/>
      <c r="AD151" s="438"/>
      <c r="AE151" s="438"/>
      <c r="AF151" s="438"/>
      <c r="AG151" s="712"/>
      <c r="AH151" s="712"/>
      <c r="AI151" s="712"/>
      <c r="AJ151" s="712"/>
      <c r="AK151" s="712"/>
      <c r="AL151" s="712"/>
      <c r="AM151" s="712"/>
      <c r="AN151" s="712"/>
      <c r="AO151" s="712"/>
      <c r="AP151" s="712"/>
      <c r="AQ151" s="712"/>
      <c r="AR151" s="712"/>
      <c r="AS151" s="712"/>
      <c r="AT151" s="712"/>
      <c r="AU151" s="712"/>
      <c r="AV151" s="712"/>
      <c r="AW151" s="712"/>
      <c r="AX151" s="712"/>
      <c r="AY151" s="712"/>
    </row>
    <row r="152">
      <c r="T152" s="434"/>
      <c r="U152" s="438"/>
      <c r="V152" s="438"/>
      <c r="W152" s="438"/>
      <c r="X152" s="438"/>
      <c r="Y152" s="438"/>
      <c r="Z152" s="438"/>
      <c r="AA152" s="438"/>
      <c r="AB152" s="438"/>
      <c r="AC152" s="438"/>
      <c r="AD152" s="438"/>
      <c r="AE152" s="438"/>
      <c r="AF152" s="438"/>
      <c r="AG152" s="712"/>
      <c r="AH152" s="712"/>
      <c r="AI152" s="712"/>
      <c r="AJ152" s="712"/>
      <c r="AK152" s="712"/>
      <c r="AL152" s="712"/>
      <c r="AM152" s="712"/>
      <c r="AN152" s="712"/>
      <c r="AO152" s="712"/>
      <c r="AP152" s="712"/>
      <c r="AQ152" s="712"/>
      <c r="AR152" s="712"/>
      <c r="AS152" s="712"/>
      <c r="AT152" s="712"/>
      <c r="AU152" s="712"/>
      <c r="AV152" s="712"/>
      <c r="AW152" s="712"/>
      <c r="AX152" s="712"/>
      <c r="AY152" s="712"/>
    </row>
    <row r="153">
      <c r="T153" s="434"/>
      <c r="U153" s="438"/>
      <c r="V153" s="438"/>
      <c r="W153" s="438"/>
      <c r="X153" s="438"/>
      <c r="Y153" s="438"/>
      <c r="Z153" s="438"/>
      <c r="AA153" s="438"/>
      <c r="AB153" s="438"/>
      <c r="AC153" s="438"/>
      <c r="AD153" s="438"/>
      <c r="AE153" s="438"/>
      <c r="AF153" s="438"/>
      <c r="AG153" s="712"/>
      <c r="AH153" s="712"/>
      <c r="AI153" s="712"/>
      <c r="AJ153" s="712"/>
      <c r="AK153" s="712"/>
      <c r="AL153" s="712"/>
      <c r="AM153" s="712"/>
      <c r="AN153" s="712"/>
      <c r="AO153" s="712"/>
      <c r="AP153" s="712"/>
      <c r="AQ153" s="712"/>
      <c r="AR153" s="712"/>
      <c r="AS153" s="712"/>
      <c r="AT153" s="712"/>
      <c r="AU153" s="712"/>
      <c r="AV153" s="712"/>
      <c r="AW153" s="712"/>
      <c r="AX153" s="712"/>
      <c r="AY153" s="712"/>
    </row>
    <row r="154">
      <c r="T154" s="434"/>
      <c r="U154" s="438"/>
      <c r="V154" s="438"/>
      <c r="W154" s="438"/>
      <c r="X154" s="438"/>
      <c r="Y154" s="438"/>
      <c r="Z154" s="438"/>
      <c r="AA154" s="438"/>
      <c r="AB154" s="438"/>
      <c r="AC154" s="438"/>
      <c r="AD154" s="438"/>
      <c r="AE154" s="438"/>
      <c r="AF154" s="438"/>
      <c r="AG154" s="712"/>
      <c r="AH154" s="712"/>
      <c r="AI154" s="712"/>
      <c r="AJ154" s="712"/>
      <c r="AK154" s="712"/>
      <c r="AL154" s="712"/>
      <c r="AM154" s="712"/>
      <c r="AN154" s="712"/>
      <c r="AO154" s="712"/>
      <c r="AP154" s="712"/>
      <c r="AQ154" s="712"/>
      <c r="AR154" s="712"/>
      <c r="AS154" s="712"/>
      <c r="AT154" s="712"/>
      <c r="AU154" s="712"/>
      <c r="AV154" s="712"/>
      <c r="AW154" s="712"/>
      <c r="AX154" s="712"/>
      <c r="AY154" s="712"/>
    </row>
    <row r="155">
      <c r="T155" s="434"/>
      <c r="U155" s="438"/>
      <c r="V155" s="438"/>
      <c r="W155" s="438"/>
      <c r="X155" s="438"/>
      <c r="Y155" s="438"/>
      <c r="Z155" s="438"/>
      <c r="AA155" s="438"/>
      <c r="AB155" s="438"/>
      <c r="AC155" s="438"/>
      <c r="AD155" s="438"/>
      <c r="AE155" s="438"/>
      <c r="AF155" s="438"/>
      <c r="AG155" s="712"/>
      <c r="AH155" s="712"/>
      <c r="AI155" s="712"/>
      <c r="AJ155" s="712"/>
      <c r="AK155" s="712"/>
      <c r="AL155" s="712"/>
      <c r="AM155" s="712"/>
      <c r="AN155" s="712"/>
      <c r="AO155" s="712"/>
      <c r="AP155" s="712"/>
      <c r="AQ155" s="712"/>
      <c r="AR155" s="712"/>
      <c r="AS155" s="712"/>
      <c r="AT155" s="712"/>
      <c r="AU155" s="712"/>
      <c r="AV155" s="712"/>
      <c r="AW155" s="712"/>
      <c r="AX155" s="712"/>
      <c r="AY155" s="712"/>
    </row>
    <row r="156">
      <c r="T156" s="434"/>
      <c r="U156" s="438"/>
      <c r="V156" s="438"/>
      <c r="W156" s="438"/>
      <c r="X156" s="438"/>
      <c r="Y156" s="438"/>
      <c r="Z156" s="438"/>
      <c r="AA156" s="438"/>
      <c r="AB156" s="438"/>
      <c r="AC156" s="438"/>
      <c r="AD156" s="438"/>
      <c r="AE156" s="438"/>
      <c r="AF156" s="438"/>
      <c r="AG156" s="712"/>
      <c r="AH156" s="712"/>
      <c r="AI156" s="712"/>
      <c r="AJ156" s="712"/>
      <c r="AK156" s="712"/>
      <c r="AL156" s="712"/>
      <c r="AM156" s="712"/>
      <c r="AN156" s="712"/>
      <c r="AO156" s="712"/>
      <c r="AP156" s="712"/>
      <c r="AQ156" s="712"/>
      <c r="AR156" s="712"/>
      <c r="AS156" s="712"/>
      <c r="AT156" s="712"/>
      <c r="AU156" s="712"/>
      <c r="AV156" s="712"/>
      <c r="AW156" s="712"/>
      <c r="AX156" s="712"/>
      <c r="AY156" s="712"/>
    </row>
    <row r="157">
      <c r="T157" s="434"/>
      <c r="U157" s="438"/>
      <c r="V157" s="438"/>
      <c r="W157" s="438"/>
      <c r="X157" s="438"/>
      <c r="Y157" s="438"/>
      <c r="Z157" s="438"/>
      <c r="AA157" s="438"/>
      <c r="AB157" s="438"/>
      <c r="AC157" s="438"/>
      <c r="AD157" s="438"/>
      <c r="AE157" s="438"/>
      <c r="AF157" s="438"/>
      <c r="AG157" s="712"/>
      <c r="AH157" s="712"/>
      <c r="AI157" s="712"/>
      <c r="AJ157" s="712"/>
      <c r="AK157" s="712"/>
      <c r="AL157" s="712"/>
      <c r="AM157" s="712"/>
      <c r="AN157" s="712"/>
      <c r="AO157" s="712"/>
      <c r="AP157" s="712"/>
      <c r="AQ157" s="712"/>
      <c r="AR157" s="712"/>
      <c r="AS157" s="712"/>
      <c r="AT157" s="712"/>
      <c r="AU157" s="712"/>
      <c r="AV157" s="712"/>
      <c r="AW157" s="712"/>
      <c r="AX157" s="712"/>
      <c r="AY157" s="712"/>
    </row>
    <row r="158">
      <c r="T158" s="434"/>
      <c r="U158" s="438"/>
      <c r="V158" s="438"/>
      <c r="W158" s="438"/>
      <c r="X158" s="438"/>
      <c r="Y158" s="438"/>
      <c r="Z158" s="438"/>
      <c r="AA158" s="438"/>
      <c r="AB158" s="438"/>
      <c r="AC158" s="438"/>
      <c r="AD158" s="438"/>
      <c r="AE158" s="438"/>
      <c r="AF158" s="438"/>
      <c r="AG158" s="712"/>
      <c r="AH158" s="712"/>
      <c r="AI158" s="712"/>
      <c r="AJ158" s="712"/>
      <c r="AK158" s="712"/>
      <c r="AL158" s="712"/>
      <c r="AM158" s="712"/>
      <c r="AN158" s="712"/>
      <c r="AO158" s="712"/>
      <c r="AP158" s="712"/>
      <c r="AQ158" s="712"/>
      <c r="AR158" s="712"/>
      <c r="AS158" s="712"/>
      <c r="AT158" s="712"/>
      <c r="AU158" s="712"/>
      <c r="AV158" s="712"/>
      <c r="AW158" s="712"/>
      <c r="AX158" s="712"/>
      <c r="AY158" s="712"/>
    </row>
    <row r="159">
      <c r="T159" s="434"/>
      <c r="U159" s="438"/>
      <c r="V159" s="438"/>
      <c r="W159" s="438"/>
      <c r="X159" s="438"/>
      <c r="Y159" s="438"/>
      <c r="Z159" s="438"/>
      <c r="AA159" s="438"/>
      <c r="AB159" s="438"/>
      <c r="AC159" s="438"/>
      <c r="AD159" s="438"/>
      <c r="AE159" s="438"/>
      <c r="AF159" s="438"/>
      <c r="AG159" s="712"/>
      <c r="AH159" s="712"/>
      <c r="AI159" s="712"/>
      <c r="AJ159" s="712"/>
      <c r="AK159" s="712"/>
      <c r="AL159" s="712"/>
      <c r="AM159" s="712"/>
      <c r="AN159" s="712"/>
      <c r="AO159" s="712"/>
      <c r="AP159" s="712"/>
      <c r="AQ159" s="712"/>
      <c r="AR159" s="712"/>
      <c r="AS159" s="712"/>
      <c r="AT159" s="712"/>
      <c r="AU159" s="712"/>
      <c r="AV159" s="712"/>
      <c r="AW159" s="712"/>
      <c r="AX159" s="712"/>
      <c r="AY159" s="712"/>
    </row>
    <row r="160">
      <c r="T160" s="434"/>
      <c r="U160" s="438"/>
      <c r="V160" s="438"/>
      <c r="W160" s="438"/>
      <c r="X160" s="438"/>
      <c r="Y160" s="438"/>
      <c r="Z160" s="438"/>
      <c r="AA160" s="438"/>
      <c r="AB160" s="438"/>
      <c r="AC160" s="438"/>
      <c r="AD160" s="438"/>
      <c r="AE160" s="438"/>
      <c r="AF160" s="438"/>
      <c r="AG160" s="712"/>
      <c r="AH160" s="712"/>
      <c r="AI160" s="712"/>
      <c r="AJ160" s="712"/>
      <c r="AK160" s="712"/>
      <c r="AL160" s="712"/>
      <c r="AM160" s="712"/>
      <c r="AN160" s="712"/>
      <c r="AO160" s="712"/>
      <c r="AP160" s="712"/>
      <c r="AQ160" s="712"/>
      <c r="AR160" s="712"/>
      <c r="AS160" s="712"/>
      <c r="AT160" s="712"/>
      <c r="AU160" s="712"/>
      <c r="AV160" s="712"/>
      <c r="AW160" s="712"/>
      <c r="AX160" s="712"/>
      <c r="AY160" s="712"/>
    </row>
    <row r="161">
      <c r="T161" s="434"/>
      <c r="U161" s="438"/>
      <c r="V161" s="438"/>
      <c r="W161" s="438"/>
      <c r="X161" s="438"/>
      <c r="Y161" s="438"/>
      <c r="Z161" s="438"/>
      <c r="AA161" s="438"/>
      <c r="AB161" s="438"/>
      <c r="AC161" s="438"/>
      <c r="AD161" s="438"/>
      <c r="AE161" s="438"/>
      <c r="AF161" s="438"/>
      <c r="AG161" s="712"/>
      <c r="AH161" s="712"/>
      <c r="AI161" s="712"/>
      <c r="AJ161" s="712"/>
      <c r="AK161" s="712"/>
      <c r="AL161" s="712"/>
      <c r="AM161" s="712"/>
      <c r="AN161" s="712"/>
      <c r="AO161" s="712"/>
      <c r="AP161" s="712"/>
      <c r="AQ161" s="712"/>
      <c r="AR161" s="712"/>
      <c r="AS161" s="712"/>
      <c r="AT161" s="712"/>
      <c r="AU161" s="712"/>
      <c r="AV161" s="712"/>
      <c r="AW161" s="712"/>
      <c r="AX161" s="712"/>
      <c r="AY161" s="712"/>
    </row>
    <row r="162">
      <c r="T162" s="434"/>
      <c r="U162" s="438"/>
      <c r="V162" s="438"/>
      <c r="W162" s="438"/>
      <c r="X162" s="438"/>
      <c r="Y162" s="438"/>
      <c r="Z162" s="438"/>
      <c r="AA162" s="438"/>
      <c r="AB162" s="438"/>
      <c r="AC162" s="438"/>
      <c r="AD162" s="438"/>
      <c r="AE162" s="438"/>
      <c r="AF162" s="438"/>
      <c r="AG162" s="712"/>
      <c r="AH162" s="712"/>
      <c r="AI162" s="712"/>
      <c r="AJ162" s="712"/>
      <c r="AK162" s="712"/>
      <c r="AL162" s="712"/>
      <c r="AM162" s="712"/>
      <c r="AN162" s="712"/>
      <c r="AO162" s="712"/>
      <c r="AP162" s="712"/>
      <c r="AQ162" s="712"/>
      <c r="AR162" s="712"/>
      <c r="AS162" s="712"/>
      <c r="AT162" s="712"/>
      <c r="AU162" s="712"/>
      <c r="AV162" s="712"/>
      <c r="AW162" s="712"/>
      <c r="AX162" s="712"/>
      <c r="AY162" s="712"/>
    </row>
    <row r="163">
      <c r="T163" s="434"/>
      <c r="U163" s="438"/>
      <c r="V163" s="438"/>
      <c r="W163" s="438"/>
      <c r="X163" s="438"/>
      <c r="Y163" s="438"/>
      <c r="Z163" s="438"/>
      <c r="AA163" s="438"/>
      <c r="AB163" s="438"/>
      <c r="AC163" s="438"/>
      <c r="AD163" s="438"/>
      <c r="AE163" s="438"/>
      <c r="AF163" s="438"/>
      <c r="AG163" s="712"/>
      <c r="AH163" s="712"/>
      <c r="AI163" s="712"/>
      <c r="AJ163" s="712"/>
      <c r="AK163" s="712"/>
      <c r="AL163" s="712"/>
      <c r="AM163" s="712"/>
      <c r="AN163" s="712"/>
      <c r="AO163" s="712"/>
      <c r="AP163" s="712"/>
      <c r="AQ163" s="712"/>
      <c r="AR163" s="712"/>
      <c r="AS163" s="712"/>
      <c r="AT163" s="712"/>
      <c r="AU163" s="712"/>
      <c r="AV163" s="712"/>
      <c r="AW163" s="712"/>
      <c r="AX163" s="712"/>
      <c r="AY163" s="712"/>
    </row>
    <row r="164">
      <c r="T164" s="434"/>
      <c r="U164" s="438"/>
      <c r="V164" s="438"/>
      <c r="W164" s="438"/>
      <c r="X164" s="438"/>
      <c r="Y164" s="438"/>
      <c r="Z164" s="438"/>
      <c r="AA164" s="438"/>
      <c r="AB164" s="438"/>
      <c r="AC164" s="438"/>
      <c r="AD164" s="438"/>
      <c r="AE164" s="438"/>
      <c r="AF164" s="438"/>
      <c r="AG164" s="712"/>
      <c r="AH164" s="712"/>
      <c r="AI164" s="712"/>
      <c r="AJ164" s="712"/>
      <c r="AK164" s="712"/>
      <c r="AL164" s="712"/>
      <c r="AM164" s="712"/>
      <c r="AN164" s="712"/>
      <c r="AO164" s="712"/>
      <c r="AP164" s="712"/>
      <c r="AQ164" s="712"/>
      <c r="AR164" s="712"/>
      <c r="AS164" s="712"/>
      <c r="AT164" s="712"/>
      <c r="AU164" s="712"/>
      <c r="AV164" s="712"/>
      <c r="AW164" s="712"/>
      <c r="AX164" s="712"/>
      <c r="AY164" s="712"/>
    </row>
    <row r="165">
      <c r="T165" s="434"/>
      <c r="U165" s="438"/>
      <c r="V165" s="438"/>
      <c r="W165" s="438"/>
      <c r="X165" s="438"/>
      <c r="Y165" s="438"/>
      <c r="Z165" s="438"/>
      <c r="AA165" s="438"/>
      <c r="AB165" s="438"/>
      <c r="AC165" s="438"/>
      <c r="AD165" s="438"/>
      <c r="AE165" s="438"/>
      <c r="AF165" s="438"/>
      <c r="AG165" s="712"/>
      <c r="AH165" s="712"/>
      <c r="AI165" s="712"/>
      <c r="AJ165" s="712"/>
      <c r="AK165" s="712"/>
      <c r="AL165" s="712"/>
      <c r="AM165" s="712"/>
      <c r="AN165" s="712"/>
      <c r="AO165" s="712"/>
      <c r="AP165" s="712"/>
      <c r="AQ165" s="712"/>
      <c r="AR165" s="712"/>
      <c r="AS165" s="712"/>
      <c r="AT165" s="712"/>
      <c r="AU165" s="712"/>
      <c r="AV165" s="712"/>
      <c r="AW165" s="712"/>
      <c r="AX165" s="712"/>
      <c r="AY165" s="712"/>
    </row>
    <row r="166">
      <c r="T166" s="434"/>
      <c r="U166" s="438"/>
      <c r="V166" s="438"/>
      <c r="W166" s="438"/>
      <c r="X166" s="438"/>
      <c r="Y166" s="438"/>
      <c r="Z166" s="438"/>
      <c r="AA166" s="438"/>
      <c r="AB166" s="438"/>
      <c r="AC166" s="438"/>
      <c r="AD166" s="438"/>
      <c r="AE166" s="438"/>
      <c r="AF166" s="438"/>
      <c r="AG166" s="712"/>
      <c r="AH166" s="712"/>
      <c r="AI166" s="712"/>
      <c r="AJ166" s="712"/>
      <c r="AK166" s="712"/>
      <c r="AL166" s="712"/>
      <c r="AM166" s="712"/>
      <c r="AN166" s="712"/>
      <c r="AO166" s="712"/>
      <c r="AP166" s="712"/>
      <c r="AQ166" s="712"/>
      <c r="AR166" s="712"/>
      <c r="AS166" s="712"/>
      <c r="AT166" s="712"/>
      <c r="AU166" s="712"/>
      <c r="AV166" s="712"/>
      <c r="AW166" s="712"/>
      <c r="AX166" s="712"/>
      <c r="AY166" s="712"/>
    </row>
    <row r="167">
      <c r="T167" s="434"/>
      <c r="U167" s="438"/>
      <c r="V167" s="438"/>
      <c r="W167" s="438"/>
      <c r="X167" s="438"/>
      <c r="Y167" s="438"/>
      <c r="Z167" s="438"/>
      <c r="AA167" s="438"/>
      <c r="AB167" s="438"/>
      <c r="AC167" s="438"/>
      <c r="AD167" s="438"/>
      <c r="AE167" s="438"/>
      <c r="AF167" s="438"/>
      <c r="AG167" s="712"/>
      <c r="AH167" s="712"/>
      <c r="AI167" s="712"/>
      <c r="AJ167" s="712"/>
      <c r="AK167" s="712"/>
      <c r="AL167" s="712"/>
      <c r="AM167" s="712"/>
      <c r="AN167" s="712"/>
      <c r="AO167" s="712"/>
      <c r="AP167" s="712"/>
      <c r="AQ167" s="712"/>
      <c r="AR167" s="712"/>
      <c r="AS167" s="712"/>
      <c r="AT167" s="712"/>
      <c r="AU167" s="712"/>
      <c r="AV167" s="712"/>
      <c r="AW167" s="712"/>
      <c r="AX167" s="712"/>
      <c r="AY167" s="712"/>
    </row>
    <row r="168">
      <c r="T168" s="434"/>
      <c r="U168" s="438"/>
      <c r="V168" s="438"/>
      <c r="W168" s="438"/>
      <c r="X168" s="438"/>
      <c r="Y168" s="438"/>
      <c r="Z168" s="438"/>
      <c r="AA168" s="438"/>
      <c r="AB168" s="438"/>
      <c r="AC168" s="438"/>
      <c r="AD168" s="438"/>
      <c r="AE168" s="438"/>
      <c r="AF168" s="438"/>
      <c r="AG168" s="712"/>
      <c r="AH168" s="712"/>
      <c r="AI168" s="712"/>
      <c r="AJ168" s="712"/>
      <c r="AK168" s="712"/>
      <c r="AL168" s="712"/>
      <c r="AM168" s="712"/>
      <c r="AN168" s="712"/>
      <c r="AO168" s="712"/>
      <c r="AP168" s="712"/>
      <c r="AQ168" s="712"/>
      <c r="AR168" s="712"/>
      <c r="AS168" s="712"/>
      <c r="AT168" s="712"/>
      <c r="AU168" s="712"/>
      <c r="AV168" s="712"/>
      <c r="AW168" s="712"/>
      <c r="AX168" s="712"/>
      <c r="AY168" s="712"/>
    </row>
    <row r="169">
      <c r="T169" s="434"/>
      <c r="U169" s="438"/>
      <c r="V169" s="438"/>
      <c r="W169" s="438"/>
      <c r="X169" s="438"/>
      <c r="Y169" s="438"/>
      <c r="Z169" s="438"/>
      <c r="AA169" s="438"/>
      <c r="AB169" s="438"/>
      <c r="AC169" s="438"/>
      <c r="AD169" s="438"/>
      <c r="AE169" s="438"/>
      <c r="AF169" s="438"/>
      <c r="AG169" s="712"/>
      <c r="AH169" s="712"/>
      <c r="AI169" s="712"/>
      <c r="AJ169" s="712"/>
      <c r="AK169" s="712"/>
      <c r="AL169" s="712"/>
      <c r="AM169" s="712"/>
      <c r="AN169" s="712"/>
      <c r="AO169" s="712"/>
      <c r="AP169" s="712"/>
      <c r="AQ169" s="712"/>
      <c r="AR169" s="712"/>
      <c r="AS169" s="712"/>
      <c r="AT169" s="712"/>
      <c r="AU169" s="712"/>
      <c r="AV169" s="712"/>
      <c r="AW169" s="712"/>
      <c r="AX169" s="712"/>
      <c r="AY169" s="712"/>
    </row>
    <row r="170">
      <c r="T170" s="434"/>
      <c r="U170" s="438"/>
      <c r="V170" s="438"/>
      <c r="W170" s="438"/>
      <c r="X170" s="438"/>
      <c r="Y170" s="438"/>
      <c r="Z170" s="438"/>
      <c r="AA170" s="438"/>
      <c r="AB170" s="438"/>
      <c r="AC170" s="438"/>
      <c r="AD170" s="438"/>
      <c r="AE170" s="438"/>
      <c r="AF170" s="438"/>
      <c r="AG170" s="712"/>
      <c r="AH170" s="712"/>
      <c r="AI170" s="712"/>
      <c r="AJ170" s="712"/>
      <c r="AK170" s="712"/>
      <c r="AL170" s="712"/>
      <c r="AM170" s="712"/>
      <c r="AN170" s="712"/>
      <c r="AO170" s="712"/>
      <c r="AP170" s="712"/>
      <c r="AQ170" s="712"/>
      <c r="AR170" s="712"/>
      <c r="AS170" s="712"/>
      <c r="AT170" s="712"/>
      <c r="AU170" s="712"/>
      <c r="AV170" s="712"/>
      <c r="AW170" s="712"/>
      <c r="AX170" s="712"/>
      <c r="AY170" s="712"/>
    </row>
    <row r="171">
      <c r="T171" s="434"/>
      <c r="U171" s="438"/>
      <c r="V171" s="438"/>
      <c r="W171" s="438"/>
      <c r="X171" s="438"/>
      <c r="Y171" s="438"/>
      <c r="Z171" s="438"/>
      <c r="AA171" s="438"/>
      <c r="AB171" s="438"/>
      <c r="AC171" s="438"/>
      <c r="AD171" s="438"/>
      <c r="AE171" s="438"/>
      <c r="AF171" s="438"/>
      <c r="AG171" s="712"/>
      <c r="AH171" s="712"/>
      <c r="AI171" s="712"/>
      <c r="AJ171" s="712"/>
      <c r="AK171" s="712"/>
      <c r="AL171" s="712"/>
      <c r="AM171" s="712"/>
      <c r="AN171" s="712"/>
      <c r="AO171" s="712"/>
      <c r="AP171" s="712"/>
      <c r="AQ171" s="712"/>
      <c r="AR171" s="712"/>
      <c r="AS171" s="712"/>
      <c r="AT171" s="712"/>
      <c r="AU171" s="712"/>
      <c r="AV171" s="712"/>
      <c r="AW171" s="712"/>
      <c r="AX171" s="712"/>
      <c r="AY171" s="712"/>
    </row>
    <row r="172">
      <c r="T172" s="434"/>
      <c r="U172" s="438"/>
      <c r="V172" s="438"/>
      <c r="W172" s="438"/>
      <c r="X172" s="438"/>
      <c r="Y172" s="438"/>
      <c r="Z172" s="438"/>
      <c r="AA172" s="438"/>
      <c r="AB172" s="438"/>
      <c r="AC172" s="438"/>
      <c r="AD172" s="438"/>
      <c r="AE172" s="438"/>
      <c r="AF172" s="438"/>
      <c r="AG172" s="712"/>
      <c r="AH172" s="712"/>
      <c r="AI172" s="712"/>
      <c r="AJ172" s="712"/>
      <c r="AK172" s="712"/>
      <c r="AL172" s="712"/>
      <c r="AM172" s="712"/>
      <c r="AN172" s="712"/>
      <c r="AO172" s="712"/>
      <c r="AP172" s="712"/>
      <c r="AQ172" s="712"/>
      <c r="AR172" s="712"/>
      <c r="AS172" s="712"/>
      <c r="AT172" s="712"/>
      <c r="AU172" s="712"/>
      <c r="AV172" s="712"/>
      <c r="AW172" s="712"/>
      <c r="AX172" s="712"/>
      <c r="AY172" s="712"/>
    </row>
    <row r="173">
      <c r="T173" s="434"/>
      <c r="U173" s="438"/>
      <c r="V173" s="438"/>
      <c r="W173" s="438"/>
      <c r="X173" s="438"/>
      <c r="Y173" s="438"/>
      <c r="Z173" s="438"/>
      <c r="AA173" s="438"/>
      <c r="AB173" s="438"/>
      <c r="AC173" s="438"/>
      <c r="AD173" s="438"/>
      <c r="AE173" s="438"/>
      <c r="AF173" s="438"/>
      <c r="AG173" s="712"/>
      <c r="AH173" s="712"/>
      <c r="AI173" s="712"/>
      <c r="AJ173" s="712"/>
      <c r="AK173" s="712"/>
      <c r="AL173" s="712"/>
      <c r="AM173" s="712"/>
      <c r="AN173" s="712"/>
      <c r="AO173" s="712"/>
      <c r="AP173" s="712"/>
      <c r="AQ173" s="712"/>
      <c r="AR173" s="712"/>
      <c r="AS173" s="712"/>
      <c r="AT173" s="712"/>
      <c r="AU173" s="712"/>
      <c r="AV173" s="712"/>
      <c r="AW173" s="712"/>
      <c r="AX173" s="712"/>
      <c r="AY173" s="712"/>
    </row>
    <row r="174">
      <c r="T174" s="434"/>
      <c r="U174" s="438"/>
      <c r="V174" s="438"/>
      <c r="W174" s="438"/>
      <c r="X174" s="438"/>
      <c r="Y174" s="438"/>
      <c r="Z174" s="438"/>
      <c r="AA174" s="438"/>
      <c r="AB174" s="438"/>
      <c r="AC174" s="438"/>
      <c r="AD174" s="438"/>
      <c r="AE174" s="438"/>
      <c r="AF174" s="438"/>
      <c r="AG174" s="712"/>
      <c r="AH174" s="712"/>
      <c r="AI174" s="712"/>
      <c r="AJ174" s="712"/>
      <c r="AK174" s="712"/>
      <c r="AL174" s="712"/>
      <c r="AM174" s="712"/>
      <c r="AN174" s="712"/>
      <c r="AO174" s="712"/>
      <c r="AP174" s="712"/>
      <c r="AQ174" s="712"/>
      <c r="AR174" s="712"/>
      <c r="AS174" s="712"/>
      <c r="AT174" s="712"/>
      <c r="AU174" s="712"/>
      <c r="AV174" s="712"/>
      <c r="AW174" s="712"/>
      <c r="AX174" s="712"/>
      <c r="AY174" s="712"/>
    </row>
    <row r="175">
      <c r="T175" s="434"/>
      <c r="U175" s="438"/>
      <c r="V175" s="438"/>
      <c r="W175" s="438"/>
      <c r="X175" s="438"/>
      <c r="Y175" s="438"/>
      <c r="Z175" s="438"/>
      <c r="AA175" s="438"/>
      <c r="AB175" s="438"/>
      <c r="AC175" s="438"/>
      <c r="AD175" s="438"/>
      <c r="AE175" s="438"/>
      <c r="AF175" s="438"/>
      <c r="AG175" s="712"/>
      <c r="AH175" s="712"/>
      <c r="AI175" s="712"/>
      <c r="AJ175" s="712"/>
      <c r="AK175" s="712"/>
      <c r="AL175" s="712"/>
      <c r="AM175" s="712"/>
      <c r="AN175" s="712"/>
      <c r="AO175" s="712"/>
      <c r="AP175" s="712"/>
      <c r="AQ175" s="712"/>
      <c r="AR175" s="712"/>
      <c r="AS175" s="712"/>
      <c r="AT175" s="712"/>
      <c r="AU175" s="712"/>
      <c r="AV175" s="712"/>
      <c r="AW175" s="712"/>
      <c r="AX175" s="712"/>
      <c r="AY175" s="712"/>
    </row>
    <row r="176">
      <c r="T176" s="434"/>
      <c r="U176" s="438"/>
      <c r="V176" s="438"/>
      <c r="W176" s="438"/>
      <c r="X176" s="438"/>
      <c r="Y176" s="438"/>
      <c r="Z176" s="438"/>
      <c r="AA176" s="438"/>
      <c r="AB176" s="438"/>
      <c r="AC176" s="438"/>
      <c r="AD176" s="438"/>
      <c r="AE176" s="438"/>
      <c r="AF176" s="438"/>
      <c r="AG176" s="712"/>
      <c r="AH176" s="712"/>
      <c r="AI176" s="712"/>
      <c r="AJ176" s="712"/>
      <c r="AK176" s="712"/>
      <c r="AL176" s="712"/>
      <c r="AM176" s="712"/>
      <c r="AN176" s="712"/>
      <c r="AO176" s="712"/>
      <c r="AP176" s="712"/>
      <c r="AQ176" s="712"/>
      <c r="AR176" s="712"/>
      <c r="AS176" s="712"/>
      <c r="AT176" s="712"/>
      <c r="AU176" s="712"/>
      <c r="AV176" s="712"/>
      <c r="AW176" s="712"/>
      <c r="AX176" s="712"/>
      <c r="AY176" s="712"/>
    </row>
    <row r="177">
      <c r="T177" s="434"/>
      <c r="U177" s="438"/>
      <c r="V177" s="438"/>
      <c r="W177" s="438"/>
      <c r="X177" s="438"/>
      <c r="Y177" s="438"/>
      <c r="Z177" s="438"/>
      <c r="AA177" s="438"/>
      <c r="AB177" s="438"/>
      <c r="AC177" s="438"/>
      <c r="AD177" s="438"/>
      <c r="AE177" s="438"/>
      <c r="AF177" s="438"/>
      <c r="AG177" s="712"/>
      <c r="AH177" s="712"/>
      <c r="AI177" s="712"/>
      <c r="AJ177" s="712"/>
      <c r="AK177" s="712"/>
      <c r="AL177" s="712"/>
      <c r="AM177" s="712"/>
      <c r="AN177" s="712"/>
      <c r="AO177" s="712"/>
      <c r="AP177" s="712"/>
      <c r="AQ177" s="712"/>
      <c r="AR177" s="712"/>
      <c r="AS177" s="712"/>
      <c r="AT177" s="712"/>
      <c r="AU177" s="712"/>
      <c r="AV177" s="712"/>
      <c r="AW177" s="712"/>
      <c r="AX177" s="712"/>
      <c r="AY177" s="712"/>
    </row>
    <row r="178">
      <c r="T178" s="434"/>
      <c r="U178" s="438"/>
      <c r="V178" s="438"/>
      <c r="W178" s="438"/>
      <c r="X178" s="438"/>
      <c r="Y178" s="438"/>
      <c r="Z178" s="438"/>
      <c r="AA178" s="438"/>
      <c r="AB178" s="438"/>
      <c r="AC178" s="438"/>
      <c r="AD178" s="438"/>
      <c r="AE178" s="438"/>
      <c r="AF178" s="438"/>
      <c r="AG178" s="712"/>
      <c r="AH178" s="712"/>
      <c r="AI178" s="712"/>
      <c r="AJ178" s="712"/>
      <c r="AK178" s="712"/>
      <c r="AL178" s="712"/>
      <c r="AM178" s="712"/>
      <c r="AN178" s="712"/>
      <c r="AO178" s="712"/>
      <c r="AP178" s="712"/>
      <c r="AQ178" s="712"/>
      <c r="AR178" s="712"/>
      <c r="AS178" s="712"/>
      <c r="AT178" s="712"/>
      <c r="AU178" s="712"/>
      <c r="AV178" s="712"/>
      <c r="AW178" s="712"/>
      <c r="AX178" s="712"/>
      <c r="AY178" s="712"/>
    </row>
    <row r="179">
      <c r="T179" s="434"/>
      <c r="U179" s="438"/>
      <c r="V179" s="438"/>
      <c r="W179" s="438"/>
      <c r="X179" s="438"/>
      <c r="Y179" s="438"/>
      <c r="Z179" s="438"/>
      <c r="AA179" s="438"/>
      <c r="AB179" s="438"/>
      <c r="AC179" s="438"/>
      <c r="AD179" s="438"/>
      <c r="AE179" s="438"/>
      <c r="AF179" s="438"/>
      <c r="AG179" s="712"/>
      <c r="AH179" s="712"/>
      <c r="AI179" s="712"/>
      <c r="AJ179" s="712"/>
      <c r="AK179" s="712"/>
      <c r="AL179" s="712"/>
      <c r="AM179" s="712"/>
      <c r="AN179" s="712"/>
      <c r="AO179" s="712"/>
      <c r="AP179" s="712"/>
      <c r="AQ179" s="712"/>
      <c r="AR179" s="712"/>
      <c r="AS179" s="712"/>
      <c r="AT179" s="712"/>
      <c r="AU179" s="712"/>
      <c r="AV179" s="712"/>
      <c r="AW179" s="712"/>
      <c r="AX179" s="712"/>
      <c r="AY179" s="712"/>
    </row>
    <row r="180">
      <c r="T180" s="434"/>
      <c r="U180" s="438"/>
      <c r="V180" s="438"/>
      <c r="W180" s="438"/>
      <c r="X180" s="438"/>
      <c r="Y180" s="438"/>
      <c r="Z180" s="438"/>
      <c r="AA180" s="438"/>
      <c r="AB180" s="438"/>
      <c r="AC180" s="438"/>
      <c r="AD180" s="438"/>
      <c r="AE180" s="438"/>
      <c r="AF180" s="438"/>
      <c r="AG180" s="712"/>
      <c r="AH180" s="712"/>
      <c r="AI180" s="712"/>
      <c r="AJ180" s="712"/>
      <c r="AK180" s="712"/>
      <c r="AL180" s="712"/>
      <c r="AM180" s="712"/>
      <c r="AN180" s="712"/>
      <c r="AO180" s="712"/>
      <c r="AP180" s="712"/>
      <c r="AQ180" s="712"/>
      <c r="AR180" s="712"/>
      <c r="AS180" s="712"/>
      <c r="AT180" s="712"/>
      <c r="AU180" s="712"/>
      <c r="AV180" s="712"/>
      <c r="AW180" s="712"/>
      <c r="AX180" s="712"/>
      <c r="AY180" s="712"/>
    </row>
    <row r="181">
      <c r="T181" s="434"/>
      <c r="U181" s="438"/>
      <c r="V181" s="438"/>
      <c r="W181" s="438"/>
      <c r="X181" s="438"/>
      <c r="Y181" s="438"/>
      <c r="Z181" s="438"/>
      <c r="AA181" s="438"/>
      <c r="AB181" s="438"/>
      <c r="AC181" s="438"/>
      <c r="AD181" s="438"/>
      <c r="AE181" s="438"/>
      <c r="AF181" s="438"/>
      <c r="AG181" s="712"/>
      <c r="AH181" s="712"/>
      <c r="AI181" s="712"/>
      <c r="AJ181" s="712"/>
      <c r="AK181" s="712"/>
      <c r="AL181" s="712"/>
      <c r="AM181" s="712"/>
      <c r="AN181" s="712"/>
      <c r="AO181" s="712"/>
      <c r="AP181" s="712"/>
      <c r="AQ181" s="712"/>
      <c r="AR181" s="712"/>
      <c r="AS181" s="712"/>
      <c r="AT181" s="712"/>
      <c r="AU181" s="712"/>
      <c r="AV181" s="712"/>
      <c r="AW181" s="712"/>
      <c r="AX181" s="712"/>
      <c r="AY181" s="712"/>
    </row>
    <row r="182">
      <c r="T182" s="434"/>
      <c r="U182" s="438"/>
      <c r="V182" s="438"/>
      <c r="W182" s="438"/>
      <c r="X182" s="438"/>
      <c r="Y182" s="438"/>
      <c r="Z182" s="438"/>
      <c r="AA182" s="438"/>
      <c r="AB182" s="438"/>
      <c r="AC182" s="438"/>
      <c r="AD182" s="438"/>
      <c r="AE182" s="438"/>
      <c r="AF182" s="438"/>
      <c r="AG182" s="712"/>
      <c r="AH182" s="712"/>
      <c r="AI182" s="712"/>
      <c r="AJ182" s="712"/>
      <c r="AK182" s="712"/>
      <c r="AL182" s="712"/>
      <c r="AM182" s="712"/>
      <c r="AN182" s="712"/>
      <c r="AO182" s="712"/>
      <c r="AP182" s="712"/>
      <c r="AQ182" s="712"/>
      <c r="AR182" s="712"/>
      <c r="AS182" s="712"/>
      <c r="AT182" s="712"/>
      <c r="AU182" s="712"/>
      <c r="AV182" s="712"/>
      <c r="AW182" s="712"/>
      <c r="AX182" s="712"/>
      <c r="AY182" s="712"/>
    </row>
    <row r="183">
      <c r="T183" s="434"/>
      <c r="U183" s="438"/>
      <c r="V183" s="438"/>
      <c r="W183" s="438"/>
      <c r="X183" s="438"/>
      <c r="Y183" s="438"/>
      <c r="Z183" s="438"/>
      <c r="AA183" s="438"/>
      <c r="AB183" s="438"/>
      <c r="AC183" s="438"/>
      <c r="AD183" s="438"/>
      <c r="AE183" s="438"/>
      <c r="AF183" s="438"/>
      <c r="AG183" s="712"/>
      <c r="AH183" s="712"/>
      <c r="AI183" s="712"/>
      <c r="AJ183" s="712"/>
      <c r="AK183" s="712"/>
      <c r="AL183" s="712"/>
      <c r="AM183" s="712"/>
      <c r="AN183" s="712"/>
      <c r="AO183" s="712"/>
      <c r="AP183" s="712"/>
      <c r="AQ183" s="712"/>
      <c r="AR183" s="712"/>
      <c r="AS183" s="712"/>
      <c r="AT183" s="712"/>
      <c r="AU183" s="712"/>
      <c r="AV183" s="712"/>
      <c r="AW183" s="712"/>
      <c r="AX183" s="712"/>
      <c r="AY183" s="712"/>
    </row>
    <row r="184">
      <c r="T184" s="434"/>
      <c r="U184" s="438"/>
      <c r="V184" s="438"/>
      <c r="W184" s="438"/>
      <c r="X184" s="438"/>
      <c r="Y184" s="438"/>
      <c r="Z184" s="438"/>
      <c r="AA184" s="438"/>
      <c r="AB184" s="438"/>
      <c r="AC184" s="438"/>
      <c r="AD184" s="438"/>
      <c r="AE184" s="438"/>
      <c r="AF184" s="438"/>
      <c r="AG184" s="712"/>
      <c r="AH184" s="712"/>
      <c r="AI184" s="712"/>
      <c r="AJ184" s="712"/>
      <c r="AK184" s="712"/>
      <c r="AL184" s="712"/>
      <c r="AM184" s="712"/>
      <c r="AN184" s="712"/>
      <c r="AO184" s="712"/>
      <c r="AP184" s="712"/>
      <c r="AQ184" s="712"/>
      <c r="AR184" s="712"/>
      <c r="AS184" s="712"/>
      <c r="AT184" s="712"/>
      <c r="AU184" s="712"/>
      <c r="AV184" s="712"/>
      <c r="AW184" s="712"/>
      <c r="AX184" s="712"/>
      <c r="AY184" s="712"/>
    </row>
    <row r="185">
      <c r="T185" s="434"/>
      <c r="U185" s="438"/>
      <c r="V185" s="438"/>
      <c r="W185" s="438"/>
      <c r="X185" s="438"/>
      <c r="Y185" s="438"/>
      <c r="Z185" s="438"/>
      <c r="AA185" s="438"/>
      <c r="AB185" s="438"/>
      <c r="AC185" s="438"/>
      <c r="AD185" s="438"/>
      <c r="AE185" s="438"/>
      <c r="AF185" s="438"/>
      <c r="AG185" s="712"/>
      <c r="AH185" s="712"/>
      <c r="AI185" s="712"/>
      <c r="AJ185" s="712"/>
      <c r="AK185" s="712"/>
      <c r="AL185" s="712"/>
      <c r="AM185" s="712"/>
      <c r="AN185" s="712"/>
      <c r="AO185" s="712"/>
      <c r="AP185" s="712"/>
      <c r="AQ185" s="712"/>
      <c r="AR185" s="712"/>
      <c r="AS185" s="712"/>
      <c r="AT185" s="712"/>
      <c r="AU185" s="712"/>
      <c r="AV185" s="712"/>
      <c r="AW185" s="712"/>
      <c r="AX185" s="712"/>
      <c r="AY185" s="712"/>
    </row>
    <row r="186">
      <c r="T186" s="434"/>
      <c r="U186" s="438"/>
      <c r="V186" s="438"/>
      <c r="W186" s="438"/>
      <c r="X186" s="438"/>
      <c r="Y186" s="438"/>
      <c r="Z186" s="438"/>
      <c r="AA186" s="438"/>
      <c r="AB186" s="438"/>
      <c r="AC186" s="438"/>
      <c r="AD186" s="438"/>
      <c r="AE186" s="438"/>
      <c r="AF186" s="438"/>
      <c r="AG186" s="712"/>
      <c r="AH186" s="712"/>
      <c r="AI186" s="712"/>
      <c r="AJ186" s="712"/>
      <c r="AK186" s="712"/>
      <c r="AL186" s="712"/>
      <c r="AM186" s="712"/>
      <c r="AN186" s="712"/>
      <c r="AO186" s="712"/>
      <c r="AP186" s="712"/>
      <c r="AQ186" s="712"/>
      <c r="AR186" s="712"/>
      <c r="AS186" s="712"/>
      <c r="AT186" s="712"/>
      <c r="AU186" s="712"/>
      <c r="AV186" s="712"/>
      <c r="AW186" s="712"/>
      <c r="AX186" s="712"/>
      <c r="AY186" s="712"/>
    </row>
    <row r="187">
      <c r="T187" s="434"/>
      <c r="U187" s="438"/>
      <c r="V187" s="438"/>
      <c r="W187" s="438"/>
      <c r="X187" s="438"/>
      <c r="Y187" s="438"/>
      <c r="Z187" s="438"/>
      <c r="AA187" s="438"/>
      <c r="AB187" s="438"/>
      <c r="AC187" s="438"/>
      <c r="AD187" s="438"/>
      <c r="AE187" s="438"/>
      <c r="AF187" s="438"/>
      <c r="AG187" s="712"/>
      <c r="AH187" s="712"/>
      <c r="AI187" s="712"/>
      <c r="AJ187" s="712"/>
      <c r="AK187" s="712"/>
      <c r="AL187" s="712"/>
      <c r="AM187" s="712"/>
      <c r="AN187" s="712"/>
      <c r="AO187" s="712"/>
      <c r="AP187" s="712"/>
      <c r="AQ187" s="712"/>
      <c r="AR187" s="712"/>
      <c r="AS187" s="712"/>
      <c r="AT187" s="712"/>
      <c r="AU187" s="712"/>
      <c r="AV187" s="712"/>
      <c r="AW187" s="712"/>
      <c r="AX187" s="712"/>
      <c r="AY187" s="712"/>
    </row>
    <row r="188">
      <c r="T188" s="434"/>
      <c r="U188" s="438"/>
      <c r="V188" s="438"/>
      <c r="W188" s="438"/>
      <c r="X188" s="438"/>
      <c r="Y188" s="438"/>
      <c r="Z188" s="438"/>
      <c r="AA188" s="438"/>
      <c r="AB188" s="438"/>
      <c r="AC188" s="438"/>
      <c r="AD188" s="438"/>
      <c r="AE188" s="438"/>
      <c r="AF188" s="438"/>
      <c r="AG188" s="712"/>
      <c r="AH188" s="712"/>
      <c r="AI188" s="712"/>
      <c r="AJ188" s="712"/>
      <c r="AK188" s="712"/>
      <c r="AL188" s="712"/>
      <c r="AM188" s="712"/>
      <c r="AN188" s="712"/>
      <c r="AO188" s="712"/>
      <c r="AP188" s="712"/>
      <c r="AQ188" s="712"/>
      <c r="AR188" s="712"/>
      <c r="AS188" s="712"/>
      <c r="AT188" s="712"/>
      <c r="AU188" s="712"/>
      <c r="AV188" s="712"/>
      <c r="AW188" s="712"/>
      <c r="AX188" s="712"/>
      <c r="AY188" s="712"/>
    </row>
    <row r="189">
      <c r="T189" s="434"/>
      <c r="U189" s="438"/>
      <c r="V189" s="438"/>
      <c r="W189" s="438"/>
      <c r="X189" s="438"/>
      <c r="Y189" s="438"/>
      <c r="Z189" s="438"/>
      <c r="AA189" s="438"/>
      <c r="AB189" s="438"/>
      <c r="AC189" s="438"/>
      <c r="AD189" s="438"/>
      <c r="AE189" s="438"/>
      <c r="AF189" s="438"/>
      <c r="AG189" s="712"/>
      <c r="AH189" s="712"/>
      <c r="AI189" s="712"/>
      <c r="AJ189" s="712"/>
      <c r="AK189" s="712"/>
      <c r="AL189" s="712"/>
      <c r="AM189" s="712"/>
      <c r="AN189" s="712"/>
      <c r="AO189" s="712"/>
      <c r="AP189" s="712"/>
      <c r="AQ189" s="712"/>
      <c r="AR189" s="712"/>
      <c r="AS189" s="712"/>
      <c r="AT189" s="712"/>
      <c r="AU189" s="712"/>
      <c r="AV189" s="712"/>
      <c r="AW189" s="712"/>
      <c r="AX189" s="712"/>
      <c r="AY189" s="712"/>
    </row>
    <row r="190">
      <c r="T190" s="434"/>
      <c r="U190" s="438"/>
      <c r="V190" s="438"/>
      <c r="W190" s="438"/>
      <c r="X190" s="438"/>
      <c r="Y190" s="438"/>
      <c r="Z190" s="438"/>
      <c r="AA190" s="438"/>
      <c r="AB190" s="438"/>
      <c r="AC190" s="438"/>
      <c r="AD190" s="438"/>
      <c r="AE190" s="438"/>
      <c r="AF190" s="438"/>
      <c r="AG190" s="712"/>
      <c r="AH190" s="712"/>
      <c r="AI190" s="712"/>
      <c r="AJ190" s="712"/>
      <c r="AK190" s="712"/>
      <c r="AL190" s="712"/>
      <c r="AM190" s="712"/>
      <c r="AN190" s="712"/>
      <c r="AO190" s="712"/>
      <c r="AP190" s="712"/>
      <c r="AQ190" s="712"/>
      <c r="AR190" s="712"/>
      <c r="AS190" s="712"/>
      <c r="AT190" s="712"/>
      <c r="AU190" s="712"/>
      <c r="AV190" s="712"/>
      <c r="AW190" s="712"/>
      <c r="AX190" s="712"/>
      <c r="AY190" s="712"/>
    </row>
    <row r="191">
      <c r="T191" s="434"/>
      <c r="U191" s="438"/>
      <c r="V191" s="438"/>
      <c r="W191" s="438"/>
      <c r="X191" s="438"/>
      <c r="Y191" s="438"/>
      <c r="Z191" s="438"/>
      <c r="AA191" s="438"/>
      <c r="AB191" s="438"/>
      <c r="AC191" s="438"/>
      <c r="AD191" s="438"/>
      <c r="AE191" s="438"/>
      <c r="AF191" s="438"/>
      <c r="AG191" s="712"/>
      <c r="AH191" s="712"/>
      <c r="AI191" s="712"/>
      <c r="AJ191" s="712"/>
      <c r="AK191" s="712"/>
      <c r="AL191" s="712"/>
      <c r="AM191" s="712"/>
      <c r="AN191" s="712"/>
      <c r="AO191" s="712"/>
      <c r="AP191" s="712"/>
      <c r="AQ191" s="712"/>
      <c r="AR191" s="712"/>
      <c r="AS191" s="712"/>
      <c r="AT191" s="712"/>
      <c r="AU191" s="712"/>
      <c r="AV191" s="712"/>
      <c r="AW191" s="712"/>
      <c r="AX191" s="712"/>
      <c r="AY191" s="712"/>
    </row>
    <row r="192">
      <c r="T192" s="434"/>
      <c r="U192" s="438"/>
      <c r="V192" s="438"/>
      <c r="W192" s="438"/>
      <c r="X192" s="438"/>
      <c r="Y192" s="438"/>
      <c r="Z192" s="438"/>
      <c r="AA192" s="438"/>
      <c r="AB192" s="438"/>
      <c r="AC192" s="438"/>
      <c r="AD192" s="438"/>
      <c r="AE192" s="438"/>
      <c r="AF192" s="438"/>
      <c r="AG192" s="712"/>
      <c r="AH192" s="712"/>
      <c r="AI192" s="712"/>
      <c r="AJ192" s="712"/>
      <c r="AK192" s="712"/>
      <c r="AL192" s="712"/>
      <c r="AM192" s="712"/>
      <c r="AN192" s="712"/>
      <c r="AO192" s="712"/>
      <c r="AP192" s="712"/>
      <c r="AQ192" s="712"/>
      <c r="AR192" s="712"/>
      <c r="AS192" s="712"/>
      <c r="AT192" s="712"/>
      <c r="AU192" s="712"/>
      <c r="AV192" s="712"/>
      <c r="AW192" s="712"/>
      <c r="AX192" s="712"/>
      <c r="AY192" s="712"/>
    </row>
    <row r="193">
      <c r="T193" s="434"/>
      <c r="U193" s="438"/>
      <c r="V193" s="438"/>
      <c r="W193" s="438"/>
      <c r="X193" s="438"/>
      <c r="Y193" s="438"/>
      <c r="Z193" s="438"/>
      <c r="AA193" s="438"/>
      <c r="AB193" s="438"/>
      <c r="AC193" s="438"/>
      <c r="AD193" s="438"/>
      <c r="AE193" s="438"/>
      <c r="AF193" s="438"/>
      <c r="AG193" s="712"/>
      <c r="AH193" s="712"/>
      <c r="AI193" s="712"/>
      <c r="AJ193" s="712"/>
      <c r="AK193" s="712"/>
      <c r="AL193" s="712"/>
      <c r="AM193" s="712"/>
      <c r="AN193" s="712"/>
      <c r="AO193" s="712"/>
      <c r="AP193" s="712"/>
      <c r="AQ193" s="712"/>
      <c r="AR193" s="712"/>
      <c r="AS193" s="712"/>
      <c r="AT193" s="712"/>
      <c r="AU193" s="712"/>
      <c r="AV193" s="712"/>
      <c r="AW193" s="712"/>
      <c r="AX193" s="712"/>
      <c r="AY193" s="712"/>
    </row>
    <row r="194">
      <c r="T194" s="434"/>
      <c r="U194" s="438"/>
      <c r="V194" s="438"/>
      <c r="W194" s="438"/>
      <c r="X194" s="438"/>
      <c r="Y194" s="438"/>
      <c r="Z194" s="438"/>
      <c r="AA194" s="438"/>
      <c r="AB194" s="438"/>
      <c r="AC194" s="438"/>
      <c r="AD194" s="438"/>
      <c r="AE194" s="438"/>
      <c r="AF194" s="438"/>
      <c r="AG194" s="712"/>
      <c r="AH194" s="712"/>
      <c r="AI194" s="712"/>
      <c r="AJ194" s="712"/>
      <c r="AK194" s="712"/>
      <c r="AL194" s="712"/>
      <c r="AM194" s="712"/>
      <c r="AN194" s="712"/>
      <c r="AO194" s="712"/>
      <c r="AP194" s="712"/>
      <c r="AQ194" s="712"/>
      <c r="AR194" s="712"/>
      <c r="AS194" s="712"/>
      <c r="AT194" s="712"/>
      <c r="AU194" s="712"/>
      <c r="AV194" s="712"/>
      <c r="AW194" s="712"/>
      <c r="AX194" s="712"/>
      <c r="AY194" s="712"/>
    </row>
    <row r="195">
      <c r="T195" s="434"/>
      <c r="U195" s="438"/>
      <c r="V195" s="438"/>
      <c r="W195" s="438"/>
      <c r="X195" s="438"/>
      <c r="Y195" s="438"/>
      <c r="Z195" s="438"/>
      <c r="AA195" s="438"/>
      <c r="AB195" s="438"/>
      <c r="AC195" s="438"/>
      <c r="AD195" s="438"/>
      <c r="AE195" s="438"/>
      <c r="AF195" s="438"/>
      <c r="AG195" s="712"/>
      <c r="AH195" s="712"/>
      <c r="AI195" s="712"/>
      <c r="AJ195" s="712"/>
      <c r="AK195" s="712"/>
      <c r="AL195" s="712"/>
      <c r="AM195" s="712"/>
      <c r="AN195" s="712"/>
      <c r="AO195" s="712"/>
      <c r="AP195" s="712"/>
      <c r="AQ195" s="712"/>
      <c r="AR195" s="712"/>
      <c r="AS195" s="712"/>
      <c r="AT195" s="712"/>
      <c r="AU195" s="712"/>
      <c r="AV195" s="712"/>
      <c r="AW195" s="712"/>
      <c r="AX195" s="712"/>
      <c r="AY195" s="712"/>
    </row>
    <row r="196">
      <c r="T196" s="434"/>
      <c r="U196" s="438"/>
      <c r="V196" s="438"/>
      <c r="W196" s="438"/>
      <c r="X196" s="438"/>
      <c r="Y196" s="438"/>
      <c r="Z196" s="438"/>
      <c r="AA196" s="438"/>
      <c r="AB196" s="438"/>
      <c r="AC196" s="438"/>
      <c r="AD196" s="438"/>
      <c r="AE196" s="438"/>
      <c r="AF196" s="438"/>
      <c r="AG196" s="712"/>
      <c r="AH196" s="712"/>
      <c r="AI196" s="712"/>
      <c r="AJ196" s="712"/>
      <c r="AK196" s="712"/>
      <c r="AL196" s="712"/>
      <c r="AM196" s="712"/>
      <c r="AN196" s="712"/>
      <c r="AO196" s="712"/>
      <c r="AP196" s="712"/>
      <c r="AQ196" s="712"/>
      <c r="AR196" s="712"/>
      <c r="AS196" s="712"/>
      <c r="AT196" s="712"/>
      <c r="AU196" s="712"/>
      <c r="AV196" s="712"/>
      <c r="AW196" s="712"/>
      <c r="AX196" s="712"/>
      <c r="AY196" s="712"/>
    </row>
    <row r="197">
      <c r="T197" s="434"/>
      <c r="U197" s="438"/>
      <c r="V197" s="438"/>
      <c r="W197" s="438"/>
      <c r="X197" s="438"/>
      <c r="Y197" s="438"/>
      <c r="Z197" s="438"/>
      <c r="AA197" s="438"/>
      <c r="AB197" s="438"/>
      <c r="AC197" s="438"/>
      <c r="AD197" s="438"/>
      <c r="AE197" s="438"/>
      <c r="AF197" s="438"/>
      <c r="AG197" s="712"/>
      <c r="AH197" s="712"/>
      <c r="AI197" s="712"/>
      <c r="AJ197" s="712"/>
      <c r="AK197" s="712"/>
      <c r="AL197" s="712"/>
      <c r="AM197" s="712"/>
      <c r="AN197" s="712"/>
      <c r="AO197" s="712"/>
      <c r="AP197" s="712"/>
      <c r="AQ197" s="712"/>
      <c r="AR197" s="712"/>
      <c r="AS197" s="712"/>
      <c r="AT197" s="712"/>
      <c r="AU197" s="712"/>
      <c r="AV197" s="712"/>
      <c r="AW197" s="712"/>
      <c r="AX197" s="712"/>
      <c r="AY197" s="712"/>
    </row>
    <row r="198">
      <c r="T198" s="434"/>
      <c r="U198" s="438"/>
      <c r="V198" s="438"/>
      <c r="W198" s="438"/>
      <c r="X198" s="438"/>
      <c r="Y198" s="438"/>
      <c r="Z198" s="438"/>
      <c r="AA198" s="438"/>
      <c r="AB198" s="438"/>
      <c r="AC198" s="438"/>
      <c r="AD198" s="438"/>
      <c r="AE198" s="438"/>
      <c r="AF198" s="438"/>
      <c r="AG198" s="712"/>
      <c r="AH198" s="712"/>
      <c r="AI198" s="712"/>
      <c r="AJ198" s="712"/>
      <c r="AK198" s="712"/>
      <c r="AL198" s="712"/>
      <c r="AM198" s="712"/>
      <c r="AN198" s="712"/>
      <c r="AO198" s="712"/>
      <c r="AP198" s="712"/>
      <c r="AQ198" s="712"/>
      <c r="AR198" s="712"/>
      <c r="AS198" s="712"/>
      <c r="AT198" s="712"/>
      <c r="AU198" s="712"/>
      <c r="AV198" s="712"/>
      <c r="AW198" s="712"/>
      <c r="AX198" s="712"/>
      <c r="AY198" s="712"/>
    </row>
    <row r="199">
      <c r="T199" s="434"/>
      <c r="U199" s="438"/>
      <c r="V199" s="438"/>
      <c r="W199" s="438"/>
      <c r="X199" s="438"/>
      <c r="Y199" s="438"/>
      <c r="Z199" s="438"/>
      <c r="AA199" s="438"/>
      <c r="AB199" s="438"/>
      <c r="AC199" s="438"/>
      <c r="AD199" s="438"/>
      <c r="AE199" s="438"/>
      <c r="AF199" s="438"/>
      <c r="AG199" s="712"/>
      <c r="AH199" s="712"/>
      <c r="AI199" s="712"/>
      <c r="AJ199" s="712"/>
      <c r="AK199" s="712"/>
      <c r="AL199" s="712"/>
      <c r="AM199" s="712"/>
      <c r="AN199" s="712"/>
      <c r="AO199" s="712"/>
      <c r="AP199" s="712"/>
      <c r="AQ199" s="712"/>
      <c r="AR199" s="712"/>
      <c r="AS199" s="712"/>
      <c r="AT199" s="712"/>
      <c r="AU199" s="712"/>
      <c r="AV199" s="712"/>
      <c r="AW199" s="712"/>
      <c r="AX199" s="712"/>
      <c r="AY199" s="712"/>
    </row>
    <row r="200">
      <c r="T200" s="434"/>
      <c r="U200" s="438"/>
      <c r="V200" s="438"/>
      <c r="W200" s="438"/>
      <c r="X200" s="438"/>
      <c r="Y200" s="438"/>
      <c r="Z200" s="438"/>
      <c r="AA200" s="438"/>
      <c r="AB200" s="438"/>
      <c r="AC200" s="438"/>
      <c r="AD200" s="438"/>
      <c r="AE200" s="438"/>
      <c r="AF200" s="438"/>
      <c r="AG200" s="712"/>
      <c r="AH200" s="712"/>
      <c r="AI200" s="712"/>
      <c r="AJ200" s="712"/>
      <c r="AK200" s="712"/>
      <c r="AL200" s="712"/>
      <c r="AM200" s="712"/>
      <c r="AN200" s="712"/>
      <c r="AO200" s="712"/>
      <c r="AP200" s="712"/>
      <c r="AQ200" s="712"/>
      <c r="AR200" s="712"/>
      <c r="AS200" s="712"/>
      <c r="AT200" s="712"/>
      <c r="AU200" s="712"/>
      <c r="AV200" s="712"/>
      <c r="AW200" s="712"/>
      <c r="AX200" s="712"/>
      <c r="AY200" s="712"/>
    </row>
    <row r="201">
      <c r="T201" s="434"/>
      <c r="U201" s="438"/>
      <c r="V201" s="438"/>
      <c r="W201" s="438"/>
      <c r="X201" s="438"/>
      <c r="Y201" s="438"/>
      <c r="Z201" s="438"/>
      <c r="AA201" s="438"/>
      <c r="AB201" s="438"/>
      <c r="AC201" s="438"/>
      <c r="AD201" s="438"/>
      <c r="AE201" s="438"/>
      <c r="AF201" s="438"/>
      <c r="AG201" s="712"/>
      <c r="AH201" s="712"/>
      <c r="AI201" s="712"/>
      <c r="AJ201" s="712"/>
      <c r="AK201" s="712"/>
      <c r="AL201" s="712"/>
      <c r="AM201" s="712"/>
      <c r="AN201" s="712"/>
      <c r="AO201" s="712"/>
      <c r="AP201" s="712"/>
      <c r="AQ201" s="712"/>
      <c r="AR201" s="712"/>
      <c r="AS201" s="712"/>
      <c r="AT201" s="712"/>
      <c r="AU201" s="712"/>
      <c r="AV201" s="712"/>
      <c r="AW201" s="712"/>
      <c r="AX201" s="712"/>
      <c r="AY201" s="712"/>
    </row>
    <row r="202">
      <c r="T202" s="434"/>
      <c r="U202" s="438"/>
      <c r="V202" s="438"/>
      <c r="W202" s="438"/>
      <c r="X202" s="438"/>
      <c r="Y202" s="438"/>
      <c r="Z202" s="438"/>
      <c r="AA202" s="438"/>
      <c r="AB202" s="438"/>
      <c r="AC202" s="438"/>
      <c r="AD202" s="438"/>
      <c r="AE202" s="438"/>
      <c r="AF202" s="438"/>
      <c r="AG202" s="712"/>
      <c r="AH202" s="712"/>
      <c r="AI202" s="712"/>
      <c r="AJ202" s="712"/>
      <c r="AK202" s="712"/>
      <c r="AL202" s="712"/>
      <c r="AM202" s="712"/>
      <c r="AN202" s="712"/>
      <c r="AO202" s="712"/>
      <c r="AP202" s="712"/>
      <c r="AQ202" s="712"/>
      <c r="AR202" s="712"/>
      <c r="AS202" s="712"/>
      <c r="AT202" s="712"/>
      <c r="AU202" s="712"/>
      <c r="AV202" s="712"/>
      <c r="AW202" s="712"/>
      <c r="AX202" s="712"/>
      <c r="AY202" s="712"/>
    </row>
    <row r="203">
      <c r="T203" s="434"/>
      <c r="U203" s="438"/>
      <c r="V203" s="438"/>
      <c r="W203" s="438"/>
      <c r="X203" s="438"/>
      <c r="Y203" s="438"/>
      <c r="Z203" s="438"/>
      <c r="AA203" s="438"/>
      <c r="AB203" s="438"/>
      <c r="AC203" s="438"/>
      <c r="AD203" s="438"/>
      <c r="AE203" s="438"/>
      <c r="AF203" s="438"/>
      <c r="AG203" s="712"/>
      <c r="AH203" s="712"/>
      <c r="AI203" s="712"/>
      <c r="AJ203" s="712"/>
      <c r="AK203" s="712"/>
      <c r="AL203" s="712"/>
      <c r="AM203" s="712"/>
      <c r="AN203" s="712"/>
      <c r="AO203" s="712"/>
      <c r="AP203" s="712"/>
      <c r="AQ203" s="712"/>
      <c r="AR203" s="712"/>
      <c r="AS203" s="712"/>
      <c r="AT203" s="712"/>
      <c r="AU203" s="712"/>
      <c r="AV203" s="712"/>
      <c r="AW203" s="712"/>
      <c r="AX203" s="712"/>
      <c r="AY203" s="712"/>
    </row>
    <row r="204">
      <c r="T204" s="434"/>
      <c r="U204" s="438"/>
      <c r="V204" s="438"/>
      <c r="W204" s="438"/>
      <c r="X204" s="438"/>
      <c r="Y204" s="438"/>
      <c r="Z204" s="438"/>
      <c r="AA204" s="438"/>
      <c r="AB204" s="438"/>
      <c r="AC204" s="438"/>
      <c r="AD204" s="438"/>
      <c r="AE204" s="438"/>
      <c r="AF204" s="438"/>
      <c r="AG204" s="712"/>
      <c r="AH204" s="712"/>
      <c r="AI204" s="712"/>
      <c r="AJ204" s="712"/>
      <c r="AK204" s="712"/>
      <c r="AL204" s="712"/>
      <c r="AM204" s="712"/>
      <c r="AN204" s="712"/>
      <c r="AO204" s="712"/>
      <c r="AP204" s="712"/>
      <c r="AQ204" s="712"/>
      <c r="AR204" s="712"/>
      <c r="AS204" s="712"/>
      <c r="AT204" s="712"/>
      <c r="AU204" s="712"/>
      <c r="AV204" s="712"/>
      <c r="AW204" s="712"/>
      <c r="AX204" s="712"/>
      <c r="AY204" s="712"/>
    </row>
    <row r="205">
      <c r="T205" s="434"/>
      <c r="U205" s="438"/>
      <c r="V205" s="438"/>
      <c r="W205" s="438"/>
      <c r="X205" s="438"/>
      <c r="Y205" s="438"/>
      <c r="Z205" s="438"/>
      <c r="AA205" s="438"/>
      <c r="AB205" s="438"/>
      <c r="AC205" s="438"/>
      <c r="AD205" s="438"/>
      <c r="AE205" s="438"/>
      <c r="AF205" s="438"/>
      <c r="AG205" s="712"/>
      <c r="AH205" s="712"/>
      <c r="AI205" s="712"/>
      <c r="AJ205" s="712"/>
      <c r="AK205" s="712"/>
      <c r="AL205" s="712"/>
      <c r="AM205" s="712"/>
      <c r="AN205" s="712"/>
      <c r="AO205" s="712"/>
      <c r="AP205" s="712"/>
      <c r="AQ205" s="712"/>
      <c r="AR205" s="712"/>
      <c r="AS205" s="712"/>
      <c r="AT205" s="712"/>
      <c r="AU205" s="712"/>
      <c r="AV205" s="712"/>
      <c r="AW205" s="712"/>
      <c r="AX205" s="712"/>
      <c r="AY205" s="712"/>
    </row>
    <row r="206">
      <c r="T206" s="434"/>
      <c r="U206" s="438"/>
      <c r="V206" s="438"/>
      <c r="W206" s="438"/>
      <c r="X206" s="438"/>
      <c r="Y206" s="438"/>
      <c r="Z206" s="438"/>
      <c r="AA206" s="438"/>
      <c r="AB206" s="438"/>
      <c r="AC206" s="438"/>
      <c r="AD206" s="438"/>
      <c r="AE206" s="438"/>
      <c r="AF206" s="438"/>
      <c r="AG206" s="712"/>
      <c r="AH206" s="712"/>
      <c r="AI206" s="712"/>
      <c r="AJ206" s="712"/>
      <c r="AK206" s="712"/>
      <c r="AL206" s="712"/>
      <c r="AM206" s="712"/>
      <c r="AN206" s="712"/>
      <c r="AO206" s="712"/>
      <c r="AP206" s="712"/>
      <c r="AQ206" s="712"/>
      <c r="AR206" s="712"/>
      <c r="AS206" s="712"/>
      <c r="AT206" s="712"/>
      <c r="AU206" s="712"/>
      <c r="AV206" s="712"/>
      <c r="AW206" s="712"/>
      <c r="AX206" s="712"/>
      <c r="AY206" s="712"/>
    </row>
    <row r="207">
      <c r="T207" s="434"/>
      <c r="U207" s="438"/>
      <c r="V207" s="438"/>
      <c r="W207" s="438"/>
      <c r="X207" s="438"/>
      <c r="Y207" s="438"/>
      <c r="Z207" s="438"/>
      <c r="AA207" s="438"/>
      <c r="AB207" s="438"/>
      <c r="AC207" s="438"/>
      <c r="AD207" s="438"/>
      <c r="AE207" s="438"/>
      <c r="AF207" s="438"/>
      <c r="AG207" s="712"/>
      <c r="AH207" s="712"/>
      <c r="AI207" s="712"/>
      <c r="AJ207" s="712"/>
      <c r="AK207" s="712"/>
      <c r="AL207" s="712"/>
      <c r="AM207" s="712"/>
      <c r="AN207" s="712"/>
      <c r="AO207" s="712"/>
      <c r="AP207" s="712"/>
      <c r="AQ207" s="712"/>
      <c r="AR207" s="712"/>
      <c r="AS207" s="712"/>
      <c r="AT207" s="712"/>
      <c r="AU207" s="712"/>
      <c r="AV207" s="712"/>
      <c r="AW207" s="712"/>
      <c r="AX207" s="712"/>
      <c r="AY207" s="712"/>
    </row>
    <row r="208">
      <c r="T208" s="434"/>
      <c r="U208" s="438"/>
      <c r="V208" s="438"/>
      <c r="W208" s="438"/>
      <c r="X208" s="438"/>
      <c r="Y208" s="438"/>
      <c r="Z208" s="438"/>
      <c r="AA208" s="438"/>
      <c r="AB208" s="438"/>
      <c r="AC208" s="438"/>
      <c r="AD208" s="438"/>
      <c r="AE208" s="438"/>
      <c r="AF208" s="438"/>
      <c r="AG208" s="712"/>
      <c r="AH208" s="712"/>
      <c r="AI208" s="712"/>
      <c r="AJ208" s="712"/>
      <c r="AK208" s="712"/>
      <c r="AL208" s="712"/>
      <c r="AM208" s="712"/>
      <c r="AN208" s="712"/>
      <c r="AO208" s="712"/>
      <c r="AP208" s="712"/>
      <c r="AQ208" s="712"/>
      <c r="AR208" s="712"/>
      <c r="AS208" s="712"/>
      <c r="AT208" s="712"/>
      <c r="AU208" s="712"/>
      <c r="AV208" s="712"/>
      <c r="AW208" s="712"/>
      <c r="AX208" s="712"/>
      <c r="AY208" s="712"/>
    </row>
    <row r="209">
      <c r="T209" s="434"/>
      <c r="U209" s="438"/>
      <c r="V209" s="438"/>
      <c r="W209" s="438"/>
      <c r="X209" s="438"/>
      <c r="Y209" s="438"/>
      <c r="Z209" s="438"/>
      <c r="AA209" s="438"/>
      <c r="AB209" s="438"/>
      <c r="AC209" s="438"/>
      <c r="AD209" s="438"/>
      <c r="AE209" s="438"/>
      <c r="AF209" s="438"/>
      <c r="AG209" s="712"/>
      <c r="AH209" s="712"/>
      <c r="AI209" s="712"/>
      <c r="AJ209" s="712"/>
      <c r="AK209" s="712"/>
      <c r="AL209" s="712"/>
      <c r="AM209" s="712"/>
      <c r="AN209" s="712"/>
      <c r="AO209" s="712"/>
      <c r="AP209" s="712"/>
      <c r="AQ209" s="712"/>
      <c r="AR209" s="712"/>
      <c r="AS209" s="712"/>
      <c r="AT209" s="712"/>
      <c r="AU209" s="712"/>
      <c r="AV209" s="712"/>
      <c r="AW209" s="712"/>
      <c r="AX209" s="712"/>
      <c r="AY209" s="712"/>
    </row>
    <row r="210">
      <c r="T210" s="434"/>
      <c r="U210" s="438"/>
      <c r="V210" s="438"/>
      <c r="W210" s="438"/>
      <c r="X210" s="438"/>
      <c r="Y210" s="438"/>
      <c r="Z210" s="438"/>
      <c r="AA210" s="438"/>
      <c r="AB210" s="438"/>
      <c r="AC210" s="438"/>
      <c r="AD210" s="438"/>
      <c r="AE210" s="438"/>
      <c r="AF210" s="438"/>
      <c r="AG210" s="712"/>
      <c r="AH210" s="712"/>
      <c r="AI210" s="712"/>
      <c r="AJ210" s="712"/>
      <c r="AK210" s="712"/>
      <c r="AL210" s="712"/>
      <c r="AM210" s="712"/>
      <c r="AN210" s="712"/>
      <c r="AO210" s="712"/>
      <c r="AP210" s="712"/>
      <c r="AQ210" s="712"/>
      <c r="AR210" s="712"/>
      <c r="AS210" s="712"/>
      <c r="AT210" s="712"/>
      <c r="AU210" s="712"/>
      <c r="AV210" s="712"/>
      <c r="AW210" s="712"/>
      <c r="AX210" s="712"/>
      <c r="AY210" s="712"/>
    </row>
    <row r="211">
      <c r="T211" s="434"/>
      <c r="U211" s="438"/>
      <c r="V211" s="438"/>
      <c r="W211" s="438"/>
      <c r="X211" s="438"/>
      <c r="Y211" s="438"/>
      <c r="Z211" s="438"/>
      <c r="AA211" s="438"/>
      <c r="AB211" s="438"/>
      <c r="AC211" s="438"/>
      <c r="AD211" s="438"/>
      <c r="AE211" s="438"/>
      <c r="AF211" s="438"/>
      <c r="AG211" s="712"/>
      <c r="AH211" s="712"/>
      <c r="AI211" s="712"/>
      <c r="AJ211" s="712"/>
      <c r="AK211" s="712"/>
      <c r="AL211" s="712"/>
      <c r="AM211" s="712"/>
      <c r="AN211" s="712"/>
      <c r="AO211" s="712"/>
      <c r="AP211" s="712"/>
      <c r="AQ211" s="712"/>
      <c r="AR211" s="712"/>
      <c r="AS211" s="712"/>
      <c r="AT211" s="712"/>
      <c r="AU211" s="712"/>
      <c r="AV211" s="712"/>
      <c r="AW211" s="712"/>
      <c r="AX211" s="712"/>
      <c r="AY211" s="712"/>
    </row>
    <row r="212">
      <c r="T212" s="434"/>
      <c r="U212" s="438"/>
      <c r="V212" s="438"/>
      <c r="W212" s="438"/>
      <c r="X212" s="438"/>
      <c r="Y212" s="438"/>
      <c r="Z212" s="438"/>
      <c r="AA212" s="438"/>
      <c r="AB212" s="438"/>
      <c r="AC212" s="438"/>
      <c r="AD212" s="438"/>
      <c r="AE212" s="438"/>
      <c r="AF212" s="438"/>
      <c r="AG212" s="712"/>
      <c r="AH212" s="712"/>
      <c r="AI212" s="712"/>
      <c r="AJ212" s="712"/>
      <c r="AK212" s="712"/>
      <c r="AL212" s="712"/>
      <c r="AM212" s="712"/>
      <c r="AN212" s="712"/>
      <c r="AO212" s="712"/>
      <c r="AP212" s="712"/>
      <c r="AQ212" s="712"/>
      <c r="AR212" s="712"/>
      <c r="AS212" s="712"/>
      <c r="AT212" s="712"/>
      <c r="AU212" s="712"/>
      <c r="AV212" s="712"/>
      <c r="AW212" s="712"/>
      <c r="AX212" s="712"/>
      <c r="AY212" s="712"/>
    </row>
    <row r="213">
      <c r="T213" s="434"/>
      <c r="U213" s="438"/>
      <c r="V213" s="438"/>
      <c r="W213" s="438"/>
      <c r="X213" s="438"/>
      <c r="Y213" s="438"/>
      <c r="Z213" s="438"/>
      <c r="AA213" s="438"/>
      <c r="AB213" s="438"/>
      <c r="AC213" s="438"/>
      <c r="AD213" s="438"/>
      <c r="AE213" s="438"/>
      <c r="AF213" s="438"/>
      <c r="AG213" s="712"/>
      <c r="AH213" s="712"/>
      <c r="AI213" s="712"/>
      <c r="AJ213" s="712"/>
      <c r="AK213" s="712"/>
      <c r="AL213" s="712"/>
      <c r="AM213" s="712"/>
      <c r="AN213" s="712"/>
      <c r="AO213" s="712"/>
      <c r="AP213" s="712"/>
      <c r="AQ213" s="712"/>
      <c r="AR213" s="712"/>
      <c r="AS213" s="712"/>
      <c r="AT213" s="712"/>
      <c r="AU213" s="712"/>
      <c r="AV213" s="712"/>
      <c r="AW213" s="712"/>
      <c r="AX213" s="712"/>
      <c r="AY213" s="712"/>
    </row>
    <row r="214">
      <c r="T214" s="434"/>
      <c r="U214" s="438"/>
      <c r="V214" s="438"/>
      <c r="W214" s="438"/>
      <c r="X214" s="438"/>
      <c r="Y214" s="438"/>
      <c r="Z214" s="438"/>
      <c r="AA214" s="438"/>
      <c r="AB214" s="438"/>
      <c r="AC214" s="438"/>
      <c r="AD214" s="438"/>
      <c r="AE214" s="438"/>
      <c r="AF214" s="438"/>
      <c r="AG214" s="712"/>
      <c r="AH214" s="712"/>
      <c r="AI214" s="712"/>
      <c r="AJ214" s="712"/>
      <c r="AK214" s="712"/>
      <c r="AL214" s="712"/>
      <c r="AM214" s="712"/>
      <c r="AN214" s="712"/>
      <c r="AO214" s="712"/>
      <c r="AP214" s="712"/>
      <c r="AQ214" s="712"/>
      <c r="AR214" s="712"/>
      <c r="AS214" s="712"/>
      <c r="AT214" s="712"/>
      <c r="AU214" s="712"/>
      <c r="AV214" s="712"/>
      <c r="AW214" s="712"/>
      <c r="AX214" s="712"/>
      <c r="AY214" s="712"/>
    </row>
    <row r="215">
      <c r="T215" s="434"/>
      <c r="U215" s="438"/>
      <c r="V215" s="438"/>
      <c r="W215" s="438"/>
      <c r="X215" s="438"/>
      <c r="Y215" s="438"/>
      <c r="Z215" s="438"/>
      <c r="AA215" s="438"/>
      <c r="AB215" s="438"/>
      <c r="AC215" s="438"/>
      <c r="AD215" s="438"/>
      <c r="AE215" s="438"/>
      <c r="AF215" s="438"/>
      <c r="AG215" s="712"/>
      <c r="AH215" s="712"/>
      <c r="AI215" s="712"/>
      <c r="AJ215" s="712"/>
      <c r="AK215" s="712"/>
      <c r="AL215" s="712"/>
      <c r="AM215" s="712"/>
      <c r="AN215" s="712"/>
      <c r="AO215" s="712"/>
      <c r="AP215" s="712"/>
      <c r="AQ215" s="712"/>
      <c r="AR215" s="712"/>
      <c r="AS215" s="712"/>
      <c r="AT215" s="712"/>
      <c r="AU215" s="712"/>
      <c r="AV215" s="712"/>
      <c r="AW215" s="712"/>
      <c r="AX215" s="712"/>
      <c r="AY215" s="712"/>
    </row>
    <row r="216">
      <c r="T216" s="434"/>
      <c r="U216" s="438"/>
      <c r="V216" s="438"/>
      <c r="W216" s="438"/>
      <c r="X216" s="438"/>
      <c r="Y216" s="438"/>
      <c r="Z216" s="438"/>
      <c r="AA216" s="438"/>
      <c r="AB216" s="438"/>
      <c r="AC216" s="438"/>
      <c r="AD216" s="438"/>
      <c r="AE216" s="438"/>
      <c r="AF216" s="438"/>
      <c r="AG216" s="712"/>
      <c r="AH216" s="712"/>
      <c r="AI216" s="712"/>
      <c r="AJ216" s="712"/>
      <c r="AK216" s="712"/>
      <c r="AL216" s="712"/>
      <c r="AM216" s="712"/>
      <c r="AN216" s="712"/>
      <c r="AO216" s="712"/>
      <c r="AP216" s="712"/>
      <c r="AQ216" s="712"/>
      <c r="AR216" s="712"/>
      <c r="AS216" s="712"/>
      <c r="AT216" s="712"/>
      <c r="AU216" s="712"/>
      <c r="AV216" s="712"/>
      <c r="AW216" s="712"/>
      <c r="AX216" s="712"/>
      <c r="AY216" s="712"/>
    </row>
    <row r="217">
      <c r="T217" s="434"/>
      <c r="U217" s="438"/>
      <c r="V217" s="438"/>
      <c r="W217" s="438"/>
      <c r="X217" s="438"/>
      <c r="Y217" s="438"/>
      <c r="Z217" s="438"/>
      <c r="AA217" s="438"/>
      <c r="AB217" s="438"/>
      <c r="AC217" s="438"/>
      <c r="AD217" s="438"/>
      <c r="AE217" s="438"/>
      <c r="AF217" s="438"/>
      <c r="AG217" s="712"/>
      <c r="AH217" s="712"/>
      <c r="AI217" s="712"/>
      <c r="AJ217" s="712"/>
      <c r="AK217" s="712"/>
      <c r="AL217" s="712"/>
      <c r="AM217" s="712"/>
      <c r="AN217" s="712"/>
      <c r="AO217" s="712"/>
      <c r="AP217" s="712"/>
      <c r="AQ217" s="712"/>
      <c r="AR217" s="712"/>
      <c r="AS217" s="712"/>
      <c r="AT217" s="712"/>
      <c r="AU217" s="712"/>
      <c r="AV217" s="712"/>
      <c r="AW217" s="712"/>
      <c r="AX217" s="712"/>
      <c r="AY217" s="712"/>
    </row>
    <row r="218">
      <c r="T218" s="434"/>
      <c r="U218" s="438"/>
      <c r="V218" s="438"/>
      <c r="W218" s="438"/>
      <c r="X218" s="438"/>
      <c r="Y218" s="438"/>
      <c r="Z218" s="438"/>
      <c r="AA218" s="438"/>
      <c r="AB218" s="438"/>
      <c r="AC218" s="438"/>
      <c r="AD218" s="438"/>
      <c r="AE218" s="438"/>
      <c r="AF218" s="438"/>
      <c r="AG218" s="712"/>
      <c r="AH218" s="712"/>
      <c r="AI218" s="712"/>
      <c r="AJ218" s="712"/>
      <c r="AK218" s="712"/>
      <c r="AL218" s="712"/>
      <c r="AM218" s="712"/>
      <c r="AN218" s="712"/>
      <c r="AO218" s="712"/>
      <c r="AP218" s="712"/>
      <c r="AQ218" s="712"/>
      <c r="AR218" s="712"/>
      <c r="AS218" s="712"/>
      <c r="AT218" s="712"/>
      <c r="AU218" s="712"/>
      <c r="AV218" s="712"/>
      <c r="AW218" s="712"/>
      <c r="AX218" s="712"/>
      <c r="AY218" s="712"/>
    </row>
    <row r="219">
      <c r="T219" s="434"/>
      <c r="U219" s="438"/>
      <c r="V219" s="438"/>
      <c r="W219" s="438"/>
      <c r="X219" s="438"/>
      <c r="Y219" s="438"/>
      <c r="Z219" s="438"/>
      <c r="AA219" s="438"/>
      <c r="AB219" s="438"/>
      <c r="AC219" s="438"/>
      <c r="AD219" s="438"/>
      <c r="AE219" s="438"/>
      <c r="AF219" s="438"/>
      <c r="AG219" s="712"/>
      <c r="AH219" s="712"/>
      <c r="AI219" s="712"/>
      <c r="AJ219" s="712"/>
      <c r="AK219" s="712"/>
      <c r="AL219" s="712"/>
      <c r="AM219" s="712"/>
      <c r="AN219" s="712"/>
      <c r="AO219" s="712"/>
      <c r="AP219" s="712"/>
      <c r="AQ219" s="712"/>
      <c r="AR219" s="712"/>
      <c r="AS219" s="712"/>
      <c r="AT219" s="712"/>
      <c r="AU219" s="712"/>
      <c r="AV219" s="712"/>
      <c r="AW219" s="712"/>
      <c r="AX219" s="712"/>
      <c r="AY219" s="712"/>
    </row>
    <row r="220">
      <c r="T220" s="434"/>
      <c r="U220" s="438"/>
      <c r="V220" s="438"/>
      <c r="W220" s="438"/>
      <c r="X220" s="438"/>
      <c r="Y220" s="438"/>
      <c r="Z220" s="438"/>
      <c r="AA220" s="438"/>
      <c r="AB220" s="438"/>
      <c r="AC220" s="438"/>
      <c r="AD220" s="438"/>
      <c r="AE220" s="438"/>
      <c r="AF220" s="438"/>
      <c r="AG220" s="712"/>
      <c r="AH220" s="712"/>
      <c r="AI220" s="712"/>
      <c r="AJ220" s="712"/>
      <c r="AK220" s="712"/>
      <c r="AL220" s="712"/>
      <c r="AM220" s="712"/>
      <c r="AN220" s="712"/>
      <c r="AO220" s="712"/>
      <c r="AP220" s="712"/>
      <c r="AQ220" s="712"/>
      <c r="AR220" s="712"/>
      <c r="AS220" s="712"/>
      <c r="AT220" s="712"/>
      <c r="AU220" s="712"/>
      <c r="AV220" s="712"/>
      <c r="AW220" s="712"/>
      <c r="AX220" s="712"/>
      <c r="AY220" s="712"/>
    </row>
    <row r="221">
      <c r="T221" s="434"/>
      <c r="U221" s="438"/>
      <c r="V221" s="438"/>
      <c r="W221" s="438"/>
      <c r="X221" s="438"/>
      <c r="Y221" s="438"/>
      <c r="Z221" s="438"/>
      <c r="AA221" s="438"/>
      <c r="AB221" s="438"/>
      <c r="AC221" s="438"/>
      <c r="AD221" s="438"/>
      <c r="AE221" s="438"/>
      <c r="AF221" s="438"/>
      <c r="AG221" s="712"/>
      <c r="AH221" s="712"/>
      <c r="AI221" s="712"/>
      <c r="AJ221" s="712"/>
      <c r="AK221" s="712"/>
      <c r="AL221" s="712"/>
      <c r="AM221" s="712"/>
      <c r="AN221" s="712"/>
      <c r="AO221" s="712"/>
      <c r="AP221" s="712"/>
      <c r="AQ221" s="712"/>
      <c r="AR221" s="712"/>
      <c r="AS221" s="712"/>
      <c r="AT221" s="712"/>
      <c r="AU221" s="712"/>
      <c r="AV221" s="712"/>
      <c r="AW221" s="712"/>
      <c r="AX221" s="712"/>
      <c r="AY221" s="712"/>
    </row>
    <row r="222">
      <c r="T222" s="434"/>
      <c r="U222" s="438"/>
      <c r="V222" s="438"/>
      <c r="W222" s="438"/>
      <c r="X222" s="438"/>
      <c r="Y222" s="438"/>
      <c r="Z222" s="438"/>
      <c r="AA222" s="438"/>
      <c r="AB222" s="438"/>
      <c r="AC222" s="438"/>
      <c r="AD222" s="438"/>
      <c r="AE222" s="438"/>
      <c r="AF222" s="438"/>
      <c r="AG222" s="712"/>
      <c r="AH222" s="712"/>
      <c r="AI222" s="712"/>
      <c r="AJ222" s="712"/>
      <c r="AK222" s="712"/>
      <c r="AL222" s="712"/>
      <c r="AM222" s="712"/>
      <c r="AN222" s="712"/>
      <c r="AO222" s="712"/>
      <c r="AP222" s="712"/>
      <c r="AQ222" s="712"/>
      <c r="AR222" s="712"/>
      <c r="AS222" s="712"/>
      <c r="AT222" s="712"/>
      <c r="AU222" s="712"/>
      <c r="AV222" s="712"/>
      <c r="AW222" s="712"/>
      <c r="AX222" s="712"/>
      <c r="AY222" s="712"/>
    </row>
    <row r="223">
      <c r="T223" s="434"/>
      <c r="U223" s="438"/>
      <c r="V223" s="438"/>
      <c r="W223" s="438"/>
      <c r="X223" s="438"/>
      <c r="Y223" s="438"/>
      <c r="Z223" s="438"/>
      <c r="AA223" s="438"/>
      <c r="AB223" s="438"/>
      <c r="AC223" s="438"/>
      <c r="AD223" s="438"/>
      <c r="AE223" s="438"/>
      <c r="AF223" s="438"/>
      <c r="AG223" s="712"/>
      <c r="AH223" s="712"/>
      <c r="AI223" s="712"/>
      <c r="AJ223" s="712"/>
      <c r="AK223" s="712"/>
      <c r="AL223" s="712"/>
      <c r="AM223" s="712"/>
      <c r="AN223" s="712"/>
      <c r="AO223" s="712"/>
      <c r="AP223" s="712"/>
      <c r="AQ223" s="712"/>
      <c r="AR223" s="712"/>
      <c r="AS223" s="712"/>
      <c r="AT223" s="712"/>
      <c r="AU223" s="712"/>
      <c r="AV223" s="712"/>
      <c r="AW223" s="712"/>
      <c r="AX223" s="712"/>
      <c r="AY223" s="712"/>
    </row>
    <row r="224">
      <c r="T224" s="434"/>
      <c r="U224" s="438"/>
      <c r="V224" s="438"/>
      <c r="W224" s="438"/>
      <c r="X224" s="438"/>
      <c r="Y224" s="438"/>
      <c r="Z224" s="438"/>
      <c r="AA224" s="438"/>
      <c r="AB224" s="438"/>
      <c r="AC224" s="438"/>
      <c r="AD224" s="438"/>
      <c r="AE224" s="438"/>
      <c r="AF224" s="438"/>
      <c r="AG224" s="712"/>
      <c r="AH224" s="712"/>
      <c r="AI224" s="712"/>
      <c r="AJ224" s="712"/>
      <c r="AK224" s="712"/>
      <c r="AL224" s="712"/>
      <c r="AM224" s="712"/>
      <c r="AN224" s="712"/>
      <c r="AO224" s="712"/>
      <c r="AP224" s="712"/>
      <c r="AQ224" s="712"/>
      <c r="AR224" s="712"/>
      <c r="AS224" s="712"/>
      <c r="AT224" s="712"/>
      <c r="AU224" s="712"/>
      <c r="AV224" s="712"/>
      <c r="AW224" s="712"/>
      <c r="AX224" s="712"/>
      <c r="AY224" s="712"/>
    </row>
    <row r="225">
      <c r="T225" s="434"/>
      <c r="U225" s="438"/>
      <c r="V225" s="438"/>
      <c r="W225" s="438"/>
      <c r="X225" s="438"/>
      <c r="Y225" s="438"/>
      <c r="Z225" s="438"/>
      <c r="AA225" s="438"/>
      <c r="AB225" s="438"/>
      <c r="AC225" s="438"/>
      <c r="AD225" s="438"/>
      <c r="AE225" s="438"/>
      <c r="AF225" s="438"/>
      <c r="AG225" s="712"/>
      <c r="AH225" s="712"/>
      <c r="AI225" s="712"/>
      <c r="AJ225" s="712"/>
      <c r="AK225" s="712"/>
      <c r="AL225" s="712"/>
      <c r="AM225" s="712"/>
      <c r="AN225" s="712"/>
      <c r="AO225" s="712"/>
      <c r="AP225" s="712"/>
      <c r="AQ225" s="712"/>
      <c r="AR225" s="712"/>
      <c r="AS225" s="712"/>
      <c r="AT225" s="712"/>
      <c r="AU225" s="712"/>
      <c r="AV225" s="712"/>
      <c r="AW225" s="712"/>
      <c r="AX225" s="712"/>
      <c r="AY225" s="712"/>
    </row>
    <row r="226">
      <c r="T226" s="434"/>
      <c r="U226" s="438"/>
      <c r="V226" s="438"/>
      <c r="W226" s="438"/>
      <c r="X226" s="438"/>
      <c r="Y226" s="438"/>
      <c r="Z226" s="438"/>
      <c r="AA226" s="438"/>
      <c r="AB226" s="438"/>
      <c r="AC226" s="438"/>
      <c r="AD226" s="438"/>
      <c r="AE226" s="438"/>
      <c r="AF226" s="438"/>
      <c r="AG226" s="712"/>
      <c r="AH226" s="712"/>
      <c r="AI226" s="712"/>
      <c r="AJ226" s="712"/>
      <c r="AK226" s="712"/>
      <c r="AL226" s="712"/>
      <c r="AM226" s="712"/>
      <c r="AN226" s="712"/>
      <c r="AO226" s="712"/>
      <c r="AP226" s="712"/>
      <c r="AQ226" s="712"/>
      <c r="AR226" s="712"/>
      <c r="AS226" s="712"/>
      <c r="AT226" s="712"/>
      <c r="AU226" s="712"/>
      <c r="AV226" s="712"/>
      <c r="AW226" s="712"/>
      <c r="AX226" s="712"/>
      <c r="AY226" s="712"/>
    </row>
    <row r="227">
      <c r="T227" s="434"/>
      <c r="U227" s="438"/>
      <c r="V227" s="438"/>
      <c r="W227" s="438"/>
      <c r="X227" s="438"/>
      <c r="Y227" s="438"/>
      <c r="Z227" s="438"/>
      <c r="AA227" s="438"/>
      <c r="AB227" s="438"/>
      <c r="AC227" s="438"/>
      <c r="AD227" s="438"/>
      <c r="AE227" s="438"/>
      <c r="AF227" s="438"/>
      <c r="AG227" s="712"/>
      <c r="AH227" s="712"/>
      <c r="AI227" s="712"/>
      <c r="AJ227" s="712"/>
      <c r="AK227" s="712"/>
      <c r="AL227" s="712"/>
      <c r="AM227" s="712"/>
      <c r="AN227" s="712"/>
      <c r="AO227" s="712"/>
      <c r="AP227" s="712"/>
      <c r="AQ227" s="712"/>
      <c r="AR227" s="712"/>
      <c r="AS227" s="712"/>
      <c r="AT227" s="712"/>
      <c r="AU227" s="712"/>
      <c r="AV227" s="712"/>
      <c r="AW227" s="712"/>
      <c r="AX227" s="712"/>
      <c r="AY227" s="712"/>
    </row>
    <row r="228">
      <c r="T228" s="434"/>
      <c r="U228" s="438"/>
      <c r="V228" s="438"/>
      <c r="W228" s="438"/>
      <c r="X228" s="438"/>
      <c r="Y228" s="438"/>
      <c r="Z228" s="438"/>
      <c r="AA228" s="438"/>
      <c r="AB228" s="438"/>
      <c r="AC228" s="438"/>
      <c r="AD228" s="438"/>
      <c r="AE228" s="438"/>
      <c r="AF228" s="438"/>
      <c r="AG228" s="712"/>
      <c r="AH228" s="712"/>
      <c r="AI228" s="712"/>
      <c r="AJ228" s="712"/>
      <c r="AK228" s="712"/>
      <c r="AL228" s="712"/>
      <c r="AM228" s="712"/>
      <c r="AN228" s="712"/>
      <c r="AO228" s="712"/>
      <c r="AP228" s="712"/>
      <c r="AQ228" s="712"/>
      <c r="AR228" s="712"/>
      <c r="AS228" s="712"/>
      <c r="AT228" s="712"/>
      <c r="AU228" s="712"/>
      <c r="AV228" s="712"/>
      <c r="AW228" s="712"/>
      <c r="AX228" s="712"/>
      <c r="AY228" s="712"/>
    </row>
    <row r="229">
      <c r="T229" s="434"/>
      <c r="U229" s="438"/>
      <c r="V229" s="438"/>
      <c r="W229" s="438"/>
      <c r="X229" s="438"/>
      <c r="Y229" s="438"/>
      <c r="Z229" s="438"/>
      <c r="AA229" s="438"/>
      <c r="AB229" s="438"/>
      <c r="AC229" s="438"/>
      <c r="AD229" s="438"/>
      <c r="AE229" s="438"/>
      <c r="AF229" s="438"/>
      <c r="AG229" s="712"/>
      <c r="AH229" s="712"/>
      <c r="AI229" s="712"/>
      <c r="AJ229" s="712"/>
      <c r="AK229" s="712"/>
      <c r="AL229" s="712"/>
      <c r="AM229" s="712"/>
      <c r="AN229" s="712"/>
      <c r="AO229" s="712"/>
      <c r="AP229" s="712"/>
      <c r="AQ229" s="712"/>
      <c r="AR229" s="712"/>
      <c r="AS229" s="712"/>
      <c r="AT229" s="712"/>
      <c r="AU229" s="712"/>
      <c r="AV229" s="712"/>
      <c r="AW229" s="712"/>
      <c r="AX229" s="712"/>
      <c r="AY229" s="712"/>
    </row>
    <row r="230">
      <c r="T230" s="434"/>
      <c r="U230" s="438"/>
      <c r="V230" s="438"/>
      <c r="W230" s="438"/>
      <c r="X230" s="438"/>
      <c r="Y230" s="438"/>
      <c r="Z230" s="438"/>
      <c r="AA230" s="438"/>
      <c r="AB230" s="438"/>
      <c r="AC230" s="438"/>
      <c r="AD230" s="438"/>
      <c r="AE230" s="438"/>
      <c r="AF230" s="438"/>
      <c r="AG230" s="712"/>
      <c r="AH230" s="712"/>
      <c r="AI230" s="712"/>
      <c r="AJ230" s="712"/>
      <c r="AK230" s="712"/>
      <c r="AL230" s="712"/>
      <c r="AM230" s="712"/>
      <c r="AN230" s="712"/>
      <c r="AO230" s="712"/>
      <c r="AP230" s="712"/>
      <c r="AQ230" s="712"/>
      <c r="AR230" s="712"/>
      <c r="AS230" s="712"/>
      <c r="AT230" s="712"/>
      <c r="AU230" s="712"/>
      <c r="AV230" s="712"/>
      <c r="AW230" s="712"/>
      <c r="AX230" s="712"/>
      <c r="AY230" s="712"/>
    </row>
    <row r="231">
      <c r="T231" s="434"/>
      <c r="U231" s="438"/>
      <c r="V231" s="438"/>
      <c r="W231" s="438"/>
      <c r="X231" s="438"/>
      <c r="Y231" s="438"/>
      <c r="Z231" s="438"/>
      <c r="AA231" s="438"/>
      <c r="AB231" s="438"/>
      <c r="AC231" s="438"/>
      <c r="AD231" s="438"/>
      <c r="AE231" s="438"/>
      <c r="AF231" s="438"/>
      <c r="AG231" s="712"/>
      <c r="AH231" s="712"/>
      <c r="AI231" s="712"/>
      <c r="AJ231" s="712"/>
      <c r="AK231" s="712"/>
      <c r="AL231" s="712"/>
      <c r="AM231" s="712"/>
      <c r="AN231" s="712"/>
      <c r="AO231" s="712"/>
      <c r="AP231" s="712"/>
      <c r="AQ231" s="712"/>
      <c r="AR231" s="712"/>
      <c r="AS231" s="712"/>
      <c r="AT231" s="712"/>
      <c r="AU231" s="712"/>
      <c r="AV231" s="712"/>
      <c r="AW231" s="712"/>
      <c r="AX231" s="712"/>
      <c r="AY231" s="712"/>
    </row>
    <row r="232">
      <c r="T232" s="434"/>
      <c r="U232" s="438"/>
      <c r="V232" s="438"/>
      <c r="W232" s="438"/>
      <c r="X232" s="438"/>
      <c r="Y232" s="438"/>
      <c r="Z232" s="438"/>
      <c r="AA232" s="438"/>
      <c r="AB232" s="438"/>
      <c r="AC232" s="438"/>
      <c r="AD232" s="438"/>
      <c r="AE232" s="438"/>
      <c r="AF232" s="438"/>
      <c r="AG232" s="712"/>
      <c r="AH232" s="712"/>
      <c r="AI232" s="712"/>
      <c r="AJ232" s="712"/>
      <c r="AK232" s="712"/>
      <c r="AL232" s="712"/>
      <c r="AM232" s="712"/>
      <c r="AN232" s="712"/>
      <c r="AO232" s="712"/>
      <c r="AP232" s="712"/>
      <c r="AQ232" s="712"/>
      <c r="AR232" s="712"/>
      <c r="AS232" s="712"/>
      <c r="AT232" s="712"/>
      <c r="AU232" s="712"/>
      <c r="AV232" s="712"/>
      <c r="AW232" s="712"/>
      <c r="AX232" s="712"/>
      <c r="AY232" s="712"/>
    </row>
    <row r="233">
      <c r="T233" s="434"/>
      <c r="U233" s="438"/>
      <c r="V233" s="438"/>
      <c r="W233" s="438"/>
      <c r="X233" s="438"/>
      <c r="Y233" s="438"/>
      <c r="Z233" s="438"/>
      <c r="AA233" s="438"/>
      <c r="AB233" s="438"/>
      <c r="AC233" s="438"/>
      <c r="AD233" s="438"/>
      <c r="AE233" s="438"/>
      <c r="AF233" s="438"/>
      <c r="AG233" s="712"/>
      <c r="AH233" s="712"/>
      <c r="AI233" s="712"/>
      <c r="AJ233" s="712"/>
      <c r="AK233" s="712"/>
      <c r="AL233" s="712"/>
      <c r="AM233" s="712"/>
      <c r="AN233" s="712"/>
      <c r="AO233" s="712"/>
      <c r="AP233" s="712"/>
      <c r="AQ233" s="712"/>
      <c r="AR233" s="712"/>
      <c r="AS233" s="712"/>
      <c r="AT233" s="712"/>
      <c r="AU233" s="712"/>
      <c r="AV233" s="712"/>
      <c r="AW233" s="712"/>
      <c r="AX233" s="712"/>
      <c r="AY233" s="712"/>
    </row>
    <row r="234">
      <c r="T234" s="434"/>
      <c r="U234" s="438"/>
      <c r="V234" s="438"/>
      <c r="W234" s="438"/>
      <c r="X234" s="438"/>
      <c r="Y234" s="438"/>
      <c r="Z234" s="438"/>
      <c r="AA234" s="438"/>
      <c r="AB234" s="438"/>
      <c r="AC234" s="438"/>
      <c r="AD234" s="438"/>
      <c r="AE234" s="438"/>
      <c r="AF234" s="438"/>
      <c r="AG234" s="712"/>
      <c r="AH234" s="712"/>
      <c r="AI234" s="712"/>
      <c r="AJ234" s="712"/>
      <c r="AK234" s="712"/>
      <c r="AL234" s="712"/>
      <c r="AM234" s="712"/>
      <c r="AN234" s="712"/>
      <c r="AO234" s="712"/>
      <c r="AP234" s="712"/>
      <c r="AQ234" s="712"/>
      <c r="AR234" s="712"/>
      <c r="AS234" s="712"/>
      <c r="AT234" s="712"/>
      <c r="AU234" s="712"/>
      <c r="AV234" s="712"/>
      <c r="AW234" s="712"/>
      <c r="AX234" s="712"/>
      <c r="AY234" s="712"/>
    </row>
    <row r="235">
      <c r="T235" s="434"/>
      <c r="U235" s="438"/>
      <c r="V235" s="438"/>
      <c r="W235" s="438"/>
      <c r="X235" s="438"/>
      <c r="Y235" s="438"/>
      <c r="Z235" s="438"/>
      <c r="AA235" s="438"/>
      <c r="AB235" s="438"/>
      <c r="AC235" s="438"/>
      <c r="AD235" s="438"/>
      <c r="AE235" s="438"/>
      <c r="AF235" s="438"/>
      <c r="AG235" s="712"/>
      <c r="AH235" s="712"/>
      <c r="AI235" s="712"/>
      <c r="AJ235" s="712"/>
      <c r="AK235" s="712"/>
      <c r="AL235" s="712"/>
      <c r="AM235" s="712"/>
      <c r="AN235" s="712"/>
      <c r="AO235" s="712"/>
      <c r="AP235" s="712"/>
      <c r="AQ235" s="712"/>
      <c r="AR235" s="712"/>
      <c r="AS235" s="712"/>
      <c r="AT235" s="712"/>
      <c r="AU235" s="712"/>
      <c r="AV235" s="712"/>
      <c r="AW235" s="712"/>
      <c r="AX235" s="712"/>
      <c r="AY235" s="712"/>
    </row>
    <row r="236">
      <c r="T236" s="434"/>
      <c r="U236" s="438"/>
      <c r="V236" s="438"/>
      <c r="W236" s="438"/>
      <c r="X236" s="438"/>
      <c r="Y236" s="438"/>
      <c r="Z236" s="438"/>
      <c r="AA236" s="438"/>
      <c r="AB236" s="438"/>
      <c r="AC236" s="438"/>
      <c r="AD236" s="438"/>
      <c r="AE236" s="438"/>
      <c r="AF236" s="438"/>
      <c r="AG236" s="712"/>
      <c r="AH236" s="712"/>
      <c r="AI236" s="712"/>
      <c r="AJ236" s="712"/>
      <c r="AK236" s="712"/>
      <c r="AL236" s="712"/>
      <c r="AM236" s="712"/>
      <c r="AN236" s="712"/>
      <c r="AO236" s="712"/>
      <c r="AP236" s="712"/>
      <c r="AQ236" s="712"/>
      <c r="AR236" s="712"/>
      <c r="AS236" s="712"/>
      <c r="AT236" s="712"/>
      <c r="AU236" s="712"/>
      <c r="AV236" s="712"/>
      <c r="AW236" s="712"/>
      <c r="AX236" s="712"/>
      <c r="AY236" s="712"/>
    </row>
    <row r="237">
      <c r="T237" s="434"/>
      <c r="U237" s="438"/>
      <c r="V237" s="438"/>
      <c r="W237" s="438"/>
      <c r="X237" s="438"/>
      <c r="Y237" s="438"/>
      <c r="Z237" s="438"/>
      <c r="AA237" s="438"/>
      <c r="AB237" s="438"/>
      <c r="AC237" s="438"/>
      <c r="AD237" s="438"/>
      <c r="AE237" s="438"/>
      <c r="AF237" s="438"/>
      <c r="AG237" s="712"/>
      <c r="AH237" s="712"/>
      <c r="AI237" s="712"/>
      <c r="AJ237" s="712"/>
      <c r="AK237" s="712"/>
      <c r="AL237" s="712"/>
      <c r="AM237" s="712"/>
      <c r="AN237" s="712"/>
      <c r="AO237" s="712"/>
      <c r="AP237" s="712"/>
      <c r="AQ237" s="712"/>
      <c r="AR237" s="712"/>
      <c r="AS237" s="712"/>
      <c r="AT237" s="712"/>
      <c r="AU237" s="712"/>
      <c r="AV237" s="712"/>
      <c r="AW237" s="712"/>
      <c r="AX237" s="712"/>
      <c r="AY237" s="712"/>
    </row>
    <row r="238">
      <c r="T238" s="434"/>
      <c r="U238" s="438"/>
      <c r="V238" s="438"/>
      <c r="W238" s="438"/>
      <c r="X238" s="438"/>
      <c r="Y238" s="438"/>
      <c r="Z238" s="438"/>
      <c r="AA238" s="438"/>
      <c r="AB238" s="438"/>
      <c r="AC238" s="438"/>
      <c r="AD238" s="438"/>
      <c r="AE238" s="438"/>
      <c r="AF238" s="438"/>
      <c r="AG238" s="712"/>
      <c r="AH238" s="712"/>
      <c r="AI238" s="712"/>
      <c r="AJ238" s="712"/>
      <c r="AK238" s="712"/>
      <c r="AL238" s="712"/>
      <c r="AM238" s="712"/>
      <c r="AN238" s="712"/>
      <c r="AO238" s="712"/>
      <c r="AP238" s="712"/>
      <c r="AQ238" s="712"/>
      <c r="AR238" s="712"/>
      <c r="AS238" s="712"/>
      <c r="AT238" s="712"/>
      <c r="AU238" s="712"/>
      <c r="AV238" s="712"/>
      <c r="AW238" s="712"/>
      <c r="AX238" s="712"/>
      <c r="AY238" s="712"/>
    </row>
    <row r="239">
      <c r="T239" s="434"/>
      <c r="U239" s="438"/>
      <c r="V239" s="438"/>
      <c r="W239" s="438"/>
      <c r="X239" s="438"/>
      <c r="Y239" s="438"/>
      <c r="Z239" s="438"/>
      <c r="AA239" s="438"/>
      <c r="AB239" s="438"/>
      <c r="AC239" s="438"/>
      <c r="AD239" s="438"/>
      <c r="AE239" s="438"/>
      <c r="AF239" s="438"/>
      <c r="AG239" s="712"/>
      <c r="AH239" s="712"/>
      <c r="AI239" s="712"/>
      <c r="AJ239" s="712"/>
      <c r="AK239" s="712"/>
      <c r="AL239" s="712"/>
      <c r="AM239" s="712"/>
      <c r="AN239" s="712"/>
      <c r="AO239" s="712"/>
      <c r="AP239" s="712"/>
      <c r="AQ239" s="712"/>
      <c r="AR239" s="712"/>
      <c r="AS239" s="712"/>
      <c r="AT239" s="712"/>
      <c r="AU239" s="712"/>
      <c r="AV239" s="712"/>
      <c r="AW239" s="712"/>
      <c r="AX239" s="712"/>
      <c r="AY239" s="712"/>
    </row>
    <row r="240">
      <c r="T240" s="434"/>
      <c r="U240" s="438"/>
      <c r="V240" s="438"/>
      <c r="W240" s="438"/>
      <c r="X240" s="438"/>
      <c r="Y240" s="438"/>
      <c r="Z240" s="438"/>
      <c r="AA240" s="438"/>
      <c r="AB240" s="438"/>
      <c r="AC240" s="438"/>
      <c r="AD240" s="438"/>
      <c r="AE240" s="438"/>
      <c r="AF240" s="438"/>
      <c r="AG240" s="712"/>
      <c r="AH240" s="712"/>
      <c r="AI240" s="712"/>
      <c r="AJ240" s="712"/>
      <c r="AK240" s="712"/>
      <c r="AL240" s="712"/>
      <c r="AM240" s="712"/>
      <c r="AN240" s="712"/>
      <c r="AO240" s="712"/>
      <c r="AP240" s="712"/>
      <c r="AQ240" s="712"/>
      <c r="AR240" s="712"/>
      <c r="AS240" s="712"/>
      <c r="AT240" s="712"/>
      <c r="AU240" s="712"/>
      <c r="AV240" s="712"/>
      <c r="AW240" s="712"/>
      <c r="AX240" s="712"/>
      <c r="AY240" s="712"/>
    </row>
    <row r="241">
      <c r="T241" s="434"/>
      <c r="U241" s="438"/>
      <c r="V241" s="438"/>
      <c r="W241" s="438"/>
      <c r="X241" s="438"/>
      <c r="Y241" s="438"/>
      <c r="Z241" s="438"/>
      <c r="AA241" s="438"/>
      <c r="AB241" s="438"/>
      <c r="AC241" s="438"/>
      <c r="AD241" s="438"/>
      <c r="AE241" s="438"/>
      <c r="AF241" s="438"/>
      <c r="AG241" s="712"/>
      <c r="AH241" s="712"/>
      <c r="AI241" s="712"/>
      <c r="AJ241" s="712"/>
      <c r="AK241" s="712"/>
      <c r="AL241" s="712"/>
      <c r="AM241" s="712"/>
      <c r="AN241" s="712"/>
      <c r="AO241" s="712"/>
      <c r="AP241" s="712"/>
      <c r="AQ241" s="712"/>
      <c r="AR241" s="712"/>
      <c r="AS241" s="712"/>
      <c r="AT241" s="712"/>
      <c r="AU241" s="712"/>
      <c r="AV241" s="712"/>
      <c r="AW241" s="712"/>
      <c r="AX241" s="712"/>
      <c r="AY241" s="712"/>
    </row>
    <row r="242">
      <c r="T242" s="434"/>
      <c r="U242" s="438"/>
      <c r="V242" s="438"/>
      <c r="W242" s="438"/>
      <c r="X242" s="438"/>
      <c r="Y242" s="438"/>
      <c r="Z242" s="438"/>
      <c r="AA242" s="438"/>
      <c r="AB242" s="438"/>
      <c r="AC242" s="438"/>
      <c r="AD242" s="438"/>
      <c r="AE242" s="438"/>
      <c r="AF242" s="438"/>
      <c r="AG242" s="712"/>
      <c r="AH242" s="712"/>
      <c r="AI242" s="712"/>
      <c r="AJ242" s="712"/>
      <c r="AK242" s="712"/>
      <c r="AL242" s="712"/>
      <c r="AM242" s="712"/>
      <c r="AN242" s="712"/>
      <c r="AO242" s="712"/>
      <c r="AP242" s="712"/>
      <c r="AQ242" s="712"/>
      <c r="AR242" s="712"/>
      <c r="AS242" s="712"/>
      <c r="AT242" s="712"/>
      <c r="AU242" s="712"/>
      <c r="AV242" s="712"/>
      <c r="AW242" s="712"/>
      <c r="AX242" s="712"/>
      <c r="AY242" s="712"/>
    </row>
    <row r="243">
      <c r="T243" s="434"/>
      <c r="U243" s="438"/>
      <c r="V243" s="438"/>
      <c r="W243" s="438"/>
      <c r="X243" s="438"/>
      <c r="Y243" s="438"/>
      <c r="Z243" s="438"/>
      <c r="AA243" s="438"/>
      <c r="AB243" s="438"/>
      <c r="AC243" s="438"/>
      <c r="AD243" s="438"/>
      <c r="AE243" s="438"/>
      <c r="AF243" s="438"/>
      <c r="AG243" s="712"/>
      <c r="AH243" s="712"/>
      <c r="AI243" s="712"/>
      <c r="AJ243" s="712"/>
      <c r="AK243" s="712"/>
      <c r="AL243" s="712"/>
      <c r="AM243" s="712"/>
      <c r="AN243" s="712"/>
      <c r="AO243" s="712"/>
      <c r="AP243" s="712"/>
      <c r="AQ243" s="712"/>
      <c r="AR243" s="712"/>
      <c r="AS243" s="712"/>
      <c r="AT243" s="712"/>
      <c r="AU243" s="712"/>
      <c r="AV243" s="712"/>
      <c r="AW243" s="712"/>
      <c r="AX243" s="712"/>
      <c r="AY243" s="712"/>
    </row>
    <row r="244">
      <c r="T244" s="434"/>
      <c r="U244" s="438"/>
      <c r="V244" s="438"/>
      <c r="W244" s="438"/>
      <c r="X244" s="438"/>
      <c r="Y244" s="438"/>
      <c r="Z244" s="438"/>
      <c r="AA244" s="438"/>
      <c r="AB244" s="438"/>
      <c r="AC244" s="438"/>
      <c r="AD244" s="438"/>
      <c r="AE244" s="438"/>
      <c r="AF244" s="438"/>
      <c r="AG244" s="712"/>
      <c r="AH244" s="712"/>
      <c r="AI244" s="712"/>
      <c r="AJ244" s="712"/>
      <c r="AK244" s="712"/>
      <c r="AL244" s="712"/>
      <c r="AM244" s="712"/>
      <c r="AN244" s="712"/>
      <c r="AO244" s="712"/>
      <c r="AP244" s="712"/>
      <c r="AQ244" s="712"/>
      <c r="AR244" s="712"/>
      <c r="AS244" s="712"/>
      <c r="AT244" s="712"/>
      <c r="AU244" s="712"/>
      <c r="AV244" s="712"/>
      <c r="AW244" s="712"/>
      <c r="AX244" s="712"/>
      <c r="AY244" s="712"/>
    </row>
    <row r="245">
      <c r="T245" s="434"/>
      <c r="U245" s="438"/>
      <c r="V245" s="438"/>
      <c r="W245" s="438"/>
      <c r="X245" s="438"/>
      <c r="Y245" s="438"/>
      <c r="Z245" s="438"/>
      <c r="AA245" s="438"/>
      <c r="AB245" s="438"/>
      <c r="AC245" s="438"/>
      <c r="AD245" s="438"/>
      <c r="AE245" s="438"/>
      <c r="AF245" s="438"/>
      <c r="AG245" s="712"/>
      <c r="AH245" s="712"/>
      <c r="AI245" s="712"/>
      <c r="AJ245" s="712"/>
      <c r="AK245" s="712"/>
      <c r="AL245" s="712"/>
      <c r="AM245" s="712"/>
      <c r="AN245" s="712"/>
      <c r="AO245" s="712"/>
      <c r="AP245" s="712"/>
      <c r="AQ245" s="712"/>
      <c r="AR245" s="712"/>
      <c r="AS245" s="712"/>
      <c r="AT245" s="712"/>
      <c r="AU245" s="712"/>
      <c r="AV245" s="712"/>
      <c r="AW245" s="712"/>
      <c r="AX245" s="712"/>
      <c r="AY245" s="712"/>
    </row>
    <row r="246">
      <c r="T246" s="434"/>
      <c r="U246" s="438"/>
      <c r="V246" s="438"/>
      <c r="W246" s="438"/>
      <c r="X246" s="438"/>
      <c r="Y246" s="438"/>
      <c r="Z246" s="438"/>
      <c r="AA246" s="438"/>
      <c r="AB246" s="438"/>
      <c r="AC246" s="438"/>
      <c r="AD246" s="438"/>
      <c r="AE246" s="438"/>
      <c r="AF246" s="438"/>
      <c r="AG246" s="712"/>
      <c r="AH246" s="712"/>
      <c r="AI246" s="712"/>
      <c r="AJ246" s="712"/>
      <c r="AK246" s="712"/>
      <c r="AL246" s="712"/>
      <c r="AM246" s="712"/>
      <c r="AN246" s="712"/>
      <c r="AO246" s="712"/>
      <c r="AP246" s="712"/>
      <c r="AQ246" s="712"/>
      <c r="AR246" s="712"/>
      <c r="AS246" s="712"/>
      <c r="AT246" s="712"/>
      <c r="AU246" s="712"/>
      <c r="AV246" s="712"/>
      <c r="AW246" s="712"/>
      <c r="AX246" s="712"/>
      <c r="AY246" s="712"/>
    </row>
    <row r="247">
      <c r="T247" s="434"/>
      <c r="U247" s="438"/>
      <c r="V247" s="438"/>
      <c r="W247" s="438"/>
      <c r="X247" s="438"/>
      <c r="Y247" s="438"/>
      <c r="Z247" s="438"/>
      <c r="AA247" s="438"/>
      <c r="AB247" s="438"/>
      <c r="AC247" s="438"/>
      <c r="AD247" s="438"/>
      <c r="AE247" s="438"/>
      <c r="AF247" s="438"/>
      <c r="AG247" s="712"/>
      <c r="AH247" s="712"/>
      <c r="AI247" s="712"/>
      <c r="AJ247" s="712"/>
      <c r="AK247" s="712"/>
      <c r="AL247" s="712"/>
      <c r="AM247" s="712"/>
      <c r="AN247" s="712"/>
      <c r="AO247" s="712"/>
      <c r="AP247" s="712"/>
      <c r="AQ247" s="712"/>
      <c r="AR247" s="712"/>
      <c r="AS247" s="712"/>
      <c r="AT247" s="712"/>
      <c r="AU247" s="712"/>
      <c r="AV247" s="712"/>
      <c r="AW247" s="712"/>
      <c r="AX247" s="712"/>
      <c r="AY247" s="712"/>
    </row>
    <row r="248">
      <c r="T248" s="434"/>
      <c r="U248" s="438"/>
      <c r="V248" s="438"/>
      <c r="W248" s="438"/>
      <c r="X248" s="438"/>
      <c r="Y248" s="438"/>
      <c r="Z248" s="438"/>
      <c r="AA248" s="438"/>
      <c r="AB248" s="438"/>
      <c r="AC248" s="438"/>
      <c r="AD248" s="438"/>
      <c r="AE248" s="438"/>
      <c r="AF248" s="438"/>
      <c r="AG248" s="712"/>
      <c r="AH248" s="712"/>
      <c r="AI248" s="712"/>
      <c r="AJ248" s="712"/>
      <c r="AK248" s="712"/>
      <c r="AL248" s="712"/>
      <c r="AM248" s="712"/>
      <c r="AN248" s="712"/>
      <c r="AO248" s="712"/>
      <c r="AP248" s="712"/>
      <c r="AQ248" s="712"/>
      <c r="AR248" s="712"/>
      <c r="AS248" s="712"/>
      <c r="AT248" s="712"/>
      <c r="AU248" s="712"/>
      <c r="AV248" s="712"/>
      <c r="AW248" s="712"/>
      <c r="AX248" s="712"/>
      <c r="AY248" s="712"/>
    </row>
    <row r="249">
      <c r="T249" s="434"/>
      <c r="U249" s="438"/>
      <c r="V249" s="438"/>
      <c r="W249" s="438"/>
      <c r="X249" s="438"/>
      <c r="Y249" s="438"/>
      <c r="Z249" s="438"/>
      <c r="AA249" s="438"/>
      <c r="AB249" s="438"/>
      <c r="AC249" s="438"/>
      <c r="AD249" s="438"/>
      <c r="AE249" s="438"/>
      <c r="AF249" s="438"/>
      <c r="AG249" s="712"/>
      <c r="AH249" s="712"/>
      <c r="AI249" s="712"/>
      <c r="AJ249" s="712"/>
      <c r="AK249" s="712"/>
      <c r="AL249" s="712"/>
      <c r="AM249" s="712"/>
      <c r="AN249" s="712"/>
      <c r="AO249" s="712"/>
      <c r="AP249" s="712"/>
      <c r="AQ249" s="712"/>
      <c r="AR249" s="712"/>
      <c r="AS249" s="712"/>
      <c r="AT249" s="712"/>
      <c r="AU249" s="712"/>
      <c r="AV249" s="712"/>
      <c r="AW249" s="712"/>
      <c r="AX249" s="712"/>
      <c r="AY249" s="712"/>
    </row>
    <row r="250">
      <c r="T250" s="434"/>
      <c r="U250" s="438"/>
      <c r="V250" s="438"/>
      <c r="W250" s="438"/>
      <c r="X250" s="438"/>
      <c r="Y250" s="438"/>
      <c r="Z250" s="438"/>
      <c r="AA250" s="438"/>
      <c r="AB250" s="438"/>
      <c r="AC250" s="438"/>
      <c r="AD250" s="438"/>
      <c r="AE250" s="438"/>
      <c r="AF250" s="438"/>
      <c r="AG250" s="712"/>
      <c r="AH250" s="712"/>
      <c r="AI250" s="712"/>
      <c r="AJ250" s="712"/>
      <c r="AK250" s="712"/>
      <c r="AL250" s="712"/>
      <c r="AM250" s="712"/>
      <c r="AN250" s="712"/>
      <c r="AO250" s="712"/>
      <c r="AP250" s="712"/>
      <c r="AQ250" s="712"/>
      <c r="AR250" s="712"/>
      <c r="AS250" s="712"/>
      <c r="AT250" s="712"/>
      <c r="AU250" s="712"/>
      <c r="AV250" s="712"/>
      <c r="AW250" s="712"/>
      <c r="AX250" s="712"/>
      <c r="AY250" s="712"/>
    </row>
    <row r="251">
      <c r="T251" s="434"/>
      <c r="U251" s="438"/>
      <c r="V251" s="438"/>
      <c r="W251" s="438"/>
      <c r="X251" s="438"/>
      <c r="Y251" s="438"/>
      <c r="Z251" s="438"/>
      <c r="AA251" s="438"/>
      <c r="AB251" s="438"/>
      <c r="AC251" s="438"/>
      <c r="AD251" s="438"/>
      <c r="AE251" s="438"/>
      <c r="AF251" s="438"/>
      <c r="AG251" s="712"/>
      <c r="AH251" s="712"/>
      <c r="AI251" s="712"/>
      <c r="AJ251" s="712"/>
      <c r="AK251" s="712"/>
      <c r="AL251" s="712"/>
      <c r="AM251" s="712"/>
      <c r="AN251" s="712"/>
      <c r="AO251" s="712"/>
      <c r="AP251" s="712"/>
      <c r="AQ251" s="712"/>
      <c r="AR251" s="712"/>
      <c r="AS251" s="712"/>
      <c r="AT251" s="712"/>
      <c r="AU251" s="712"/>
      <c r="AV251" s="712"/>
      <c r="AW251" s="712"/>
      <c r="AX251" s="712"/>
      <c r="AY251" s="712"/>
    </row>
    <row r="252">
      <c r="T252" s="434"/>
      <c r="U252" s="438"/>
      <c r="V252" s="438"/>
      <c r="W252" s="438"/>
      <c r="X252" s="438"/>
      <c r="Y252" s="438"/>
      <c r="Z252" s="438"/>
      <c r="AA252" s="438"/>
      <c r="AB252" s="438"/>
      <c r="AC252" s="438"/>
      <c r="AD252" s="438"/>
      <c r="AE252" s="438"/>
      <c r="AF252" s="438"/>
      <c r="AG252" s="712"/>
      <c r="AH252" s="712"/>
      <c r="AI252" s="712"/>
      <c r="AJ252" s="712"/>
      <c r="AK252" s="712"/>
      <c r="AL252" s="712"/>
      <c r="AM252" s="712"/>
      <c r="AN252" s="712"/>
      <c r="AO252" s="712"/>
      <c r="AP252" s="712"/>
      <c r="AQ252" s="712"/>
      <c r="AR252" s="712"/>
      <c r="AS252" s="712"/>
      <c r="AT252" s="712"/>
      <c r="AU252" s="712"/>
      <c r="AV252" s="712"/>
      <c r="AW252" s="712"/>
      <c r="AX252" s="712"/>
      <c r="AY252" s="712"/>
    </row>
    <row r="253">
      <c r="T253" s="434"/>
      <c r="U253" s="438"/>
      <c r="V253" s="438"/>
      <c r="W253" s="438"/>
      <c r="X253" s="438"/>
      <c r="Y253" s="438"/>
      <c r="Z253" s="438"/>
      <c r="AA253" s="438"/>
      <c r="AB253" s="438"/>
      <c r="AC253" s="438"/>
      <c r="AD253" s="438"/>
      <c r="AE253" s="438"/>
      <c r="AF253" s="438"/>
      <c r="AG253" s="712"/>
      <c r="AH253" s="712"/>
      <c r="AI253" s="712"/>
      <c r="AJ253" s="712"/>
      <c r="AK253" s="712"/>
      <c r="AL253" s="712"/>
      <c r="AM253" s="712"/>
      <c r="AN253" s="712"/>
      <c r="AO253" s="712"/>
      <c r="AP253" s="712"/>
      <c r="AQ253" s="712"/>
      <c r="AR253" s="712"/>
      <c r="AS253" s="712"/>
      <c r="AT253" s="712"/>
      <c r="AU253" s="712"/>
      <c r="AV253" s="712"/>
      <c r="AW253" s="712"/>
      <c r="AX253" s="712"/>
      <c r="AY253" s="712"/>
    </row>
    <row r="254">
      <c r="T254" s="434"/>
      <c r="U254" s="438"/>
      <c r="V254" s="438"/>
      <c r="W254" s="438"/>
      <c r="X254" s="438"/>
      <c r="Y254" s="438"/>
      <c r="Z254" s="438"/>
      <c r="AA254" s="438"/>
      <c r="AB254" s="438"/>
      <c r="AC254" s="438"/>
      <c r="AD254" s="438"/>
      <c r="AE254" s="438"/>
      <c r="AF254" s="438"/>
      <c r="AG254" s="712"/>
      <c r="AH254" s="712"/>
      <c r="AI254" s="712"/>
      <c r="AJ254" s="712"/>
      <c r="AK254" s="712"/>
      <c r="AL254" s="712"/>
      <c r="AM254" s="712"/>
      <c r="AN254" s="712"/>
      <c r="AO254" s="712"/>
      <c r="AP254" s="712"/>
      <c r="AQ254" s="712"/>
      <c r="AR254" s="712"/>
      <c r="AS254" s="712"/>
      <c r="AT254" s="712"/>
      <c r="AU254" s="712"/>
      <c r="AV254" s="712"/>
      <c r="AW254" s="712"/>
      <c r="AX254" s="712"/>
      <c r="AY254" s="712"/>
    </row>
    <row r="255">
      <c r="T255" s="434"/>
      <c r="U255" s="438"/>
      <c r="V255" s="438"/>
      <c r="W255" s="438"/>
      <c r="X255" s="438"/>
      <c r="Y255" s="438"/>
      <c r="Z255" s="438"/>
      <c r="AA255" s="438"/>
      <c r="AB255" s="438"/>
      <c r="AC255" s="438"/>
      <c r="AD255" s="438"/>
      <c r="AE255" s="438"/>
      <c r="AF255" s="438"/>
      <c r="AG255" s="712"/>
      <c r="AH255" s="712"/>
      <c r="AI255" s="712"/>
      <c r="AJ255" s="712"/>
      <c r="AK255" s="712"/>
      <c r="AL255" s="712"/>
      <c r="AM255" s="712"/>
      <c r="AN255" s="712"/>
      <c r="AO255" s="712"/>
      <c r="AP255" s="712"/>
      <c r="AQ255" s="712"/>
      <c r="AR255" s="712"/>
      <c r="AS255" s="712"/>
      <c r="AT255" s="712"/>
      <c r="AU255" s="712"/>
      <c r="AV255" s="712"/>
      <c r="AW255" s="712"/>
      <c r="AX255" s="712"/>
      <c r="AY255" s="712"/>
    </row>
    <row r="256">
      <c r="T256" s="434"/>
      <c r="U256" s="438"/>
      <c r="V256" s="438"/>
      <c r="W256" s="438"/>
      <c r="X256" s="438"/>
      <c r="Y256" s="438"/>
      <c r="Z256" s="438"/>
      <c r="AA256" s="438"/>
      <c r="AB256" s="438"/>
      <c r="AC256" s="438"/>
      <c r="AD256" s="438"/>
      <c r="AE256" s="438"/>
      <c r="AF256" s="438"/>
      <c r="AG256" s="712"/>
      <c r="AH256" s="712"/>
      <c r="AI256" s="712"/>
      <c r="AJ256" s="712"/>
      <c r="AK256" s="712"/>
      <c r="AL256" s="712"/>
      <c r="AM256" s="712"/>
      <c r="AN256" s="712"/>
      <c r="AO256" s="712"/>
      <c r="AP256" s="712"/>
      <c r="AQ256" s="712"/>
      <c r="AR256" s="712"/>
      <c r="AS256" s="712"/>
      <c r="AT256" s="712"/>
      <c r="AU256" s="712"/>
      <c r="AV256" s="712"/>
      <c r="AW256" s="712"/>
      <c r="AX256" s="712"/>
      <c r="AY256" s="712"/>
    </row>
    <row r="257">
      <c r="T257" s="434"/>
      <c r="U257" s="438"/>
      <c r="V257" s="438"/>
      <c r="W257" s="438"/>
      <c r="X257" s="438"/>
      <c r="Y257" s="438"/>
      <c r="Z257" s="438"/>
      <c r="AA257" s="438"/>
      <c r="AB257" s="438"/>
      <c r="AC257" s="438"/>
      <c r="AD257" s="438"/>
      <c r="AE257" s="438"/>
      <c r="AF257" s="438"/>
      <c r="AG257" s="712"/>
      <c r="AH257" s="712"/>
      <c r="AI257" s="712"/>
      <c r="AJ257" s="712"/>
      <c r="AK257" s="712"/>
      <c r="AL257" s="712"/>
      <c r="AM257" s="712"/>
      <c r="AN257" s="712"/>
      <c r="AO257" s="712"/>
      <c r="AP257" s="712"/>
      <c r="AQ257" s="712"/>
      <c r="AR257" s="712"/>
      <c r="AS257" s="712"/>
      <c r="AT257" s="712"/>
      <c r="AU257" s="712"/>
      <c r="AV257" s="712"/>
      <c r="AW257" s="712"/>
      <c r="AX257" s="712"/>
      <c r="AY257" s="712"/>
    </row>
    <row r="258">
      <c r="T258" s="434"/>
      <c r="U258" s="438"/>
      <c r="V258" s="438"/>
      <c r="W258" s="438"/>
      <c r="X258" s="438"/>
      <c r="Y258" s="438"/>
      <c r="Z258" s="438"/>
      <c r="AA258" s="438"/>
      <c r="AB258" s="438"/>
      <c r="AC258" s="438"/>
      <c r="AD258" s="438"/>
      <c r="AE258" s="438"/>
      <c r="AF258" s="438"/>
      <c r="AG258" s="712"/>
      <c r="AH258" s="712"/>
      <c r="AI258" s="712"/>
      <c r="AJ258" s="712"/>
      <c r="AK258" s="712"/>
      <c r="AL258" s="712"/>
      <c r="AM258" s="712"/>
      <c r="AN258" s="712"/>
      <c r="AO258" s="712"/>
      <c r="AP258" s="712"/>
      <c r="AQ258" s="712"/>
      <c r="AR258" s="712"/>
      <c r="AS258" s="712"/>
      <c r="AT258" s="712"/>
      <c r="AU258" s="712"/>
      <c r="AV258" s="712"/>
      <c r="AW258" s="712"/>
      <c r="AX258" s="712"/>
      <c r="AY258" s="712"/>
    </row>
    <row r="259">
      <c r="T259" s="434"/>
      <c r="U259" s="438"/>
      <c r="V259" s="438"/>
      <c r="W259" s="438"/>
      <c r="X259" s="438"/>
      <c r="Y259" s="438"/>
      <c r="Z259" s="438"/>
      <c r="AA259" s="438"/>
      <c r="AB259" s="438"/>
      <c r="AC259" s="438"/>
      <c r="AD259" s="438"/>
      <c r="AE259" s="438"/>
      <c r="AF259" s="438"/>
      <c r="AG259" s="712"/>
      <c r="AH259" s="712"/>
      <c r="AI259" s="712"/>
      <c r="AJ259" s="712"/>
      <c r="AK259" s="712"/>
      <c r="AL259" s="712"/>
      <c r="AM259" s="712"/>
      <c r="AN259" s="712"/>
      <c r="AO259" s="712"/>
      <c r="AP259" s="712"/>
      <c r="AQ259" s="712"/>
      <c r="AR259" s="712"/>
      <c r="AS259" s="712"/>
      <c r="AT259" s="712"/>
      <c r="AU259" s="712"/>
      <c r="AV259" s="712"/>
      <c r="AW259" s="712"/>
      <c r="AX259" s="712"/>
      <c r="AY259" s="712"/>
    </row>
    <row r="260">
      <c r="T260" s="434"/>
      <c r="U260" s="438"/>
      <c r="V260" s="438"/>
      <c r="W260" s="438"/>
      <c r="X260" s="438"/>
      <c r="Y260" s="438"/>
      <c r="Z260" s="438"/>
      <c r="AA260" s="438"/>
      <c r="AB260" s="438"/>
      <c r="AC260" s="438"/>
      <c r="AD260" s="438"/>
      <c r="AE260" s="438"/>
      <c r="AF260" s="438"/>
      <c r="AG260" s="712"/>
      <c r="AH260" s="712"/>
      <c r="AI260" s="712"/>
      <c r="AJ260" s="712"/>
      <c r="AK260" s="712"/>
      <c r="AL260" s="712"/>
      <c r="AM260" s="712"/>
      <c r="AN260" s="712"/>
      <c r="AO260" s="712"/>
      <c r="AP260" s="712"/>
      <c r="AQ260" s="712"/>
      <c r="AR260" s="712"/>
      <c r="AS260" s="712"/>
      <c r="AT260" s="712"/>
      <c r="AU260" s="712"/>
      <c r="AV260" s="712"/>
      <c r="AW260" s="712"/>
      <c r="AX260" s="712"/>
      <c r="AY260" s="712"/>
    </row>
    <row r="261">
      <c r="T261" s="434"/>
      <c r="U261" s="438"/>
      <c r="V261" s="438"/>
      <c r="W261" s="438"/>
      <c r="X261" s="438"/>
      <c r="Y261" s="438"/>
      <c r="Z261" s="438"/>
      <c r="AA261" s="438"/>
      <c r="AB261" s="438"/>
      <c r="AC261" s="438"/>
      <c r="AD261" s="438"/>
      <c r="AE261" s="438"/>
      <c r="AF261" s="438"/>
      <c r="AG261" s="712"/>
      <c r="AH261" s="712"/>
      <c r="AI261" s="712"/>
      <c r="AJ261" s="712"/>
      <c r="AK261" s="712"/>
      <c r="AL261" s="712"/>
      <c r="AM261" s="712"/>
      <c r="AN261" s="712"/>
      <c r="AO261" s="712"/>
      <c r="AP261" s="712"/>
      <c r="AQ261" s="712"/>
      <c r="AR261" s="712"/>
      <c r="AS261" s="712"/>
      <c r="AT261" s="712"/>
      <c r="AU261" s="712"/>
      <c r="AV261" s="712"/>
      <c r="AW261" s="712"/>
      <c r="AX261" s="712"/>
      <c r="AY261" s="712"/>
    </row>
    <row r="262">
      <c r="T262" s="434"/>
      <c r="U262" s="438"/>
      <c r="V262" s="438"/>
      <c r="W262" s="438"/>
      <c r="X262" s="438"/>
      <c r="Y262" s="438"/>
      <c r="Z262" s="438"/>
      <c r="AA262" s="438"/>
      <c r="AB262" s="438"/>
      <c r="AC262" s="438"/>
      <c r="AD262" s="438"/>
      <c r="AE262" s="438"/>
      <c r="AF262" s="438"/>
      <c r="AG262" s="712"/>
      <c r="AH262" s="712"/>
      <c r="AI262" s="712"/>
      <c r="AJ262" s="712"/>
      <c r="AK262" s="712"/>
      <c r="AL262" s="712"/>
      <c r="AM262" s="712"/>
      <c r="AN262" s="712"/>
      <c r="AO262" s="712"/>
      <c r="AP262" s="712"/>
      <c r="AQ262" s="712"/>
      <c r="AR262" s="712"/>
      <c r="AS262" s="712"/>
      <c r="AT262" s="712"/>
      <c r="AU262" s="712"/>
      <c r="AV262" s="712"/>
      <c r="AW262" s="712"/>
      <c r="AX262" s="712"/>
      <c r="AY262" s="712"/>
    </row>
    <row r="263">
      <c r="T263" s="434"/>
      <c r="U263" s="438"/>
      <c r="V263" s="438"/>
      <c r="W263" s="438"/>
      <c r="X263" s="438"/>
      <c r="Y263" s="438"/>
      <c r="Z263" s="438"/>
      <c r="AA263" s="438"/>
      <c r="AB263" s="438"/>
      <c r="AC263" s="438"/>
      <c r="AD263" s="438"/>
      <c r="AE263" s="438"/>
      <c r="AF263" s="438"/>
      <c r="AG263" s="712"/>
      <c r="AH263" s="712"/>
      <c r="AI263" s="712"/>
      <c r="AJ263" s="712"/>
      <c r="AK263" s="712"/>
      <c r="AL263" s="712"/>
      <c r="AM263" s="712"/>
      <c r="AN263" s="712"/>
      <c r="AO263" s="712"/>
      <c r="AP263" s="712"/>
      <c r="AQ263" s="712"/>
      <c r="AR263" s="712"/>
      <c r="AS263" s="712"/>
      <c r="AT263" s="712"/>
      <c r="AU263" s="712"/>
      <c r="AV263" s="712"/>
      <c r="AW263" s="712"/>
      <c r="AX263" s="712"/>
      <c r="AY263" s="712"/>
    </row>
    <row r="264">
      <c r="T264" s="434"/>
      <c r="U264" s="438"/>
      <c r="V264" s="438"/>
      <c r="W264" s="438"/>
      <c r="X264" s="438"/>
      <c r="Y264" s="438"/>
      <c r="Z264" s="438"/>
      <c r="AA264" s="438"/>
      <c r="AB264" s="438"/>
      <c r="AC264" s="438"/>
      <c r="AD264" s="438"/>
      <c r="AE264" s="438"/>
      <c r="AF264" s="438"/>
      <c r="AG264" s="712"/>
      <c r="AH264" s="712"/>
      <c r="AI264" s="712"/>
      <c r="AJ264" s="712"/>
      <c r="AK264" s="712"/>
      <c r="AL264" s="712"/>
      <c r="AM264" s="712"/>
      <c r="AN264" s="712"/>
      <c r="AO264" s="712"/>
      <c r="AP264" s="712"/>
      <c r="AQ264" s="712"/>
      <c r="AR264" s="712"/>
      <c r="AS264" s="712"/>
      <c r="AT264" s="712"/>
      <c r="AU264" s="712"/>
      <c r="AV264" s="712"/>
      <c r="AW264" s="712"/>
      <c r="AX264" s="712"/>
      <c r="AY264" s="712"/>
    </row>
    <row r="265">
      <c r="T265" s="434"/>
      <c r="U265" s="438"/>
      <c r="V265" s="438"/>
      <c r="W265" s="438"/>
      <c r="X265" s="438"/>
      <c r="Y265" s="438"/>
      <c r="Z265" s="438"/>
      <c r="AA265" s="438"/>
      <c r="AB265" s="438"/>
      <c r="AC265" s="438"/>
      <c r="AD265" s="438"/>
      <c r="AE265" s="438"/>
      <c r="AF265" s="438"/>
      <c r="AG265" s="712"/>
      <c r="AH265" s="712"/>
      <c r="AI265" s="712"/>
      <c r="AJ265" s="712"/>
      <c r="AK265" s="712"/>
      <c r="AL265" s="712"/>
      <c r="AM265" s="712"/>
      <c r="AN265" s="712"/>
      <c r="AO265" s="712"/>
      <c r="AP265" s="712"/>
      <c r="AQ265" s="712"/>
      <c r="AR265" s="712"/>
      <c r="AS265" s="712"/>
      <c r="AT265" s="712"/>
      <c r="AU265" s="712"/>
      <c r="AV265" s="712"/>
      <c r="AW265" s="712"/>
      <c r="AX265" s="712"/>
      <c r="AY265" s="712"/>
    </row>
    <row r="266">
      <c r="T266" s="434"/>
      <c r="U266" s="438"/>
      <c r="V266" s="438"/>
      <c r="W266" s="438"/>
      <c r="X266" s="438"/>
      <c r="Y266" s="438"/>
      <c r="Z266" s="438"/>
      <c r="AA266" s="438"/>
      <c r="AB266" s="438"/>
      <c r="AC266" s="438"/>
      <c r="AD266" s="438"/>
      <c r="AE266" s="438"/>
      <c r="AF266" s="438"/>
      <c r="AG266" s="712"/>
      <c r="AH266" s="712"/>
      <c r="AI266" s="712"/>
      <c r="AJ266" s="712"/>
      <c r="AK266" s="712"/>
      <c r="AL266" s="712"/>
      <c r="AM266" s="712"/>
      <c r="AN266" s="712"/>
      <c r="AO266" s="712"/>
      <c r="AP266" s="712"/>
      <c r="AQ266" s="712"/>
      <c r="AR266" s="712"/>
      <c r="AS266" s="712"/>
      <c r="AT266" s="712"/>
      <c r="AU266" s="712"/>
      <c r="AV266" s="712"/>
      <c r="AW266" s="712"/>
      <c r="AX266" s="712"/>
      <c r="AY266" s="712"/>
    </row>
    <row r="267">
      <c r="T267" s="434"/>
      <c r="U267" s="438"/>
      <c r="V267" s="438"/>
      <c r="W267" s="438"/>
      <c r="X267" s="438"/>
      <c r="Y267" s="438"/>
      <c r="Z267" s="438"/>
      <c r="AA267" s="438"/>
      <c r="AB267" s="438"/>
      <c r="AC267" s="438"/>
      <c r="AD267" s="438"/>
      <c r="AE267" s="438"/>
      <c r="AF267" s="438"/>
      <c r="AG267" s="712"/>
      <c r="AH267" s="712"/>
      <c r="AI267" s="712"/>
      <c r="AJ267" s="712"/>
      <c r="AK267" s="712"/>
      <c r="AL267" s="712"/>
      <c r="AM267" s="712"/>
      <c r="AN267" s="712"/>
      <c r="AO267" s="712"/>
      <c r="AP267" s="712"/>
      <c r="AQ267" s="712"/>
      <c r="AR267" s="712"/>
      <c r="AS267" s="712"/>
      <c r="AT267" s="712"/>
      <c r="AU267" s="712"/>
      <c r="AV267" s="712"/>
      <c r="AW267" s="712"/>
      <c r="AX267" s="712"/>
      <c r="AY267" s="712"/>
    </row>
    <row r="268">
      <c r="T268" s="434"/>
      <c r="U268" s="438"/>
      <c r="V268" s="438"/>
      <c r="W268" s="438"/>
      <c r="X268" s="438"/>
      <c r="Y268" s="438"/>
      <c r="Z268" s="438"/>
      <c r="AA268" s="438"/>
      <c r="AB268" s="438"/>
      <c r="AC268" s="438"/>
      <c r="AD268" s="438"/>
      <c r="AE268" s="438"/>
      <c r="AF268" s="438"/>
      <c r="AG268" s="712"/>
      <c r="AH268" s="712"/>
      <c r="AI268" s="712"/>
      <c r="AJ268" s="712"/>
      <c r="AK268" s="712"/>
      <c r="AL268" s="712"/>
      <c r="AM268" s="712"/>
      <c r="AN268" s="712"/>
      <c r="AO268" s="712"/>
      <c r="AP268" s="712"/>
      <c r="AQ268" s="712"/>
      <c r="AR268" s="712"/>
      <c r="AS268" s="712"/>
      <c r="AT268" s="712"/>
      <c r="AU268" s="712"/>
      <c r="AV268" s="712"/>
      <c r="AW268" s="712"/>
      <c r="AX268" s="712"/>
      <c r="AY268" s="712"/>
    </row>
    <row r="269">
      <c r="T269" s="434"/>
      <c r="U269" s="438"/>
      <c r="V269" s="438"/>
      <c r="W269" s="438"/>
      <c r="X269" s="438"/>
      <c r="Y269" s="438"/>
      <c r="Z269" s="438"/>
      <c r="AA269" s="438"/>
      <c r="AB269" s="438"/>
      <c r="AC269" s="438"/>
      <c r="AD269" s="438"/>
      <c r="AE269" s="438"/>
      <c r="AF269" s="438"/>
      <c r="AG269" s="712"/>
      <c r="AH269" s="712"/>
      <c r="AI269" s="712"/>
      <c r="AJ269" s="712"/>
      <c r="AK269" s="712"/>
      <c r="AL269" s="712"/>
      <c r="AM269" s="712"/>
      <c r="AN269" s="712"/>
      <c r="AO269" s="712"/>
      <c r="AP269" s="712"/>
      <c r="AQ269" s="712"/>
      <c r="AR269" s="712"/>
      <c r="AS269" s="712"/>
      <c r="AT269" s="712"/>
      <c r="AU269" s="712"/>
      <c r="AV269" s="712"/>
      <c r="AW269" s="712"/>
      <c r="AX269" s="712"/>
      <c r="AY269" s="712"/>
    </row>
    <row r="270">
      <c r="T270" s="434"/>
      <c r="U270" s="438"/>
      <c r="V270" s="438"/>
      <c r="W270" s="438"/>
      <c r="X270" s="438"/>
      <c r="Y270" s="438"/>
      <c r="Z270" s="438"/>
      <c r="AA270" s="438"/>
      <c r="AB270" s="438"/>
      <c r="AC270" s="438"/>
      <c r="AD270" s="438"/>
      <c r="AE270" s="438"/>
      <c r="AF270" s="438"/>
      <c r="AG270" s="712"/>
      <c r="AH270" s="712"/>
      <c r="AI270" s="712"/>
      <c r="AJ270" s="712"/>
      <c r="AK270" s="712"/>
      <c r="AL270" s="712"/>
      <c r="AM270" s="712"/>
      <c r="AN270" s="712"/>
      <c r="AO270" s="712"/>
      <c r="AP270" s="712"/>
      <c r="AQ270" s="712"/>
      <c r="AR270" s="712"/>
      <c r="AS270" s="712"/>
      <c r="AT270" s="712"/>
      <c r="AU270" s="712"/>
      <c r="AV270" s="712"/>
      <c r="AW270" s="712"/>
      <c r="AX270" s="712"/>
      <c r="AY270" s="712"/>
    </row>
    <row r="271">
      <c r="T271" s="434"/>
      <c r="U271" s="438"/>
      <c r="V271" s="438"/>
      <c r="W271" s="438"/>
      <c r="X271" s="438"/>
      <c r="Y271" s="438"/>
      <c r="Z271" s="438"/>
      <c r="AA271" s="438"/>
      <c r="AB271" s="438"/>
      <c r="AC271" s="438"/>
      <c r="AD271" s="438"/>
      <c r="AE271" s="438"/>
      <c r="AF271" s="438"/>
      <c r="AG271" s="712"/>
      <c r="AH271" s="712"/>
      <c r="AI271" s="712"/>
      <c r="AJ271" s="712"/>
      <c r="AK271" s="712"/>
      <c r="AL271" s="712"/>
      <c r="AM271" s="712"/>
      <c r="AN271" s="712"/>
      <c r="AO271" s="712"/>
      <c r="AP271" s="712"/>
      <c r="AQ271" s="712"/>
      <c r="AR271" s="712"/>
      <c r="AS271" s="712"/>
      <c r="AT271" s="712"/>
      <c r="AU271" s="712"/>
      <c r="AV271" s="712"/>
      <c r="AW271" s="712"/>
      <c r="AX271" s="712"/>
      <c r="AY271" s="712"/>
    </row>
    <row r="272">
      <c r="T272" s="434"/>
      <c r="U272" s="438"/>
      <c r="V272" s="438"/>
      <c r="W272" s="438"/>
      <c r="X272" s="438"/>
      <c r="Y272" s="438"/>
      <c r="Z272" s="438"/>
      <c r="AA272" s="438"/>
      <c r="AB272" s="438"/>
      <c r="AC272" s="438"/>
      <c r="AD272" s="438"/>
      <c r="AE272" s="438"/>
      <c r="AF272" s="438"/>
      <c r="AG272" s="712"/>
      <c r="AH272" s="712"/>
      <c r="AI272" s="712"/>
      <c r="AJ272" s="712"/>
      <c r="AK272" s="712"/>
      <c r="AL272" s="712"/>
      <c r="AM272" s="712"/>
      <c r="AN272" s="712"/>
      <c r="AO272" s="712"/>
      <c r="AP272" s="712"/>
      <c r="AQ272" s="712"/>
      <c r="AR272" s="712"/>
      <c r="AS272" s="712"/>
      <c r="AT272" s="712"/>
      <c r="AU272" s="712"/>
      <c r="AV272" s="712"/>
      <c r="AW272" s="712"/>
      <c r="AX272" s="712"/>
      <c r="AY272" s="712"/>
    </row>
    <row r="273">
      <c r="T273" s="434"/>
      <c r="U273" s="438"/>
      <c r="V273" s="438"/>
      <c r="W273" s="438"/>
      <c r="X273" s="438"/>
      <c r="Y273" s="438"/>
      <c r="Z273" s="438"/>
      <c r="AA273" s="438"/>
      <c r="AB273" s="438"/>
      <c r="AC273" s="438"/>
      <c r="AD273" s="438"/>
      <c r="AE273" s="438"/>
      <c r="AF273" s="438"/>
      <c r="AG273" s="712"/>
      <c r="AH273" s="712"/>
      <c r="AI273" s="712"/>
      <c r="AJ273" s="712"/>
      <c r="AK273" s="712"/>
      <c r="AL273" s="712"/>
      <c r="AM273" s="712"/>
      <c r="AN273" s="712"/>
      <c r="AO273" s="712"/>
      <c r="AP273" s="712"/>
      <c r="AQ273" s="712"/>
      <c r="AR273" s="712"/>
      <c r="AS273" s="712"/>
      <c r="AT273" s="712"/>
      <c r="AU273" s="712"/>
      <c r="AV273" s="712"/>
      <c r="AW273" s="712"/>
      <c r="AX273" s="712"/>
      <c r="AY273" s="712"/>
    </row>
    <row r="274">
      <c r="T274" s="434"/>
      <c r="U274" s="438"/>
      <c r="V274" s="438"/>
      <c r="W274" s="438"/>
      <c r="X274" s="438"/>
      <c r="Y274" s="438"/>
      <c r="Z274" s="438"/>
      <c r="AA274" s="438"/>
      <c r="AB274" s="438"/>
      <c r="AC274" s="438"/>
      <c r="AD274" s="438"/>
      <c r="AE274" s="438"/>
      <c r="AF274" s="438"/>
      <c r="AG274" s="712"/>
      <c r="AH274" s="712"/>
      <c r="AI274" s="712"/>
      <c r="AJ274" s="712"/>
      <c r="AK274" s="712"/>
      <c r="AL274" s="712"/>
      <c r="AM274" s="712"/>
      <c r="AN274" s="712"/>
      <c r="AO274" s="712"/>
      <c r="AP274" s="712"/>
      <c r="AQ274" s="712"/>
      <c r="AR274" s="712"/>
      <c r="AS274" s="712"/>
      <c r="AT274" s="712"/>
      <c r="AU274" s="712"/>
      <c r="AV274" s="712"/>
      <c r="AW274" s="712"/>
      <c r="AX274" s="712"/>
      <c r="AY274" s="712"/>
    </row>
    <row r="275">
      <c r="T275" s="434"/>
      <c r="U275" s="438"/>
      <c r="V275" s="438"/>
      <c r="W275" s="438"/>
      <c r="X275" s="438"/>
      <c r="Y275" s="438"/>
      <c r="Z275" s="438"/>
      <c r="AA275" s="438"/>
      <c r="AB275" s="438"/>
      <c r="AC275" s="438"/>
      <c r="AD275" s="438"/>
      <c r="AE275" s="438"/>
      <c r="AF275" s="438"/>
      <c r="AG275" s="712"/>
      <c r="AH275" s="712"/>
      <c r="AI275" s="712"/>
      <c r="AJ275" s="712"/>
      <c r="AK275" s="712"/>
      <c r="AL275" s="712"/>
      <c r="AM275" s="712"/>
      <c r="AN275" s="712"/>
      <c r="AO275" s="712"/>
      <c r="AP275" s="712"/>
      <c r="AQ275" s="712"/>
      <c r="AR275" s="712"/>
      <c r="AS275" s="712"/>
      <c r="AT275" s="712"/>
      <c r="AU275" s="712"/>
      <c r="AV275" s="712"/>
      <c r="AW275" s="712"/>
      <c r="AX275" s="712"/>
      <c r="AY275" s="712"/>
    </row>
    <row r="276">
      <c r="T276" s="434"/>
      <c r="U276" s="438"/>
      <c r="V276" s="438"/>
      <c r="W276" s="438"/>
      <c r="X276" s="438"/>
      <c r="Y276" s="438"/>
      <c r="Z276" s="438"/>
      <c r="AA276" s="438"/>
      <c r="AB276" s="438"/>
      <c r="AC276" s="438"/>
      <c r="AD276" s="438"/>
      <c r="AE276" s="438"/>
      <c r="AF276" s="438"/>
      <c r="AG276" s="712"/>
      <c r="AH276" s="712"/>
      <c r="AI276" s="712"/>
      <c r="AJ276" s="712"/>
      <c r="AK276" s="712"/>
      <c r="AL276" s="712"/>
      <c r="AM276" s="712"/>
      <c r="AN276" s="712"/>
      <c r="AO276" s="712"/>
      <c r="AP276" s="712"/>
      <c r="AQ276" s="712"/>
      <c r="AR276" s="712"/>
      <c r="AS276" s="712"/>
      <c r="AT276" s="712"/>
      <c r="AU276" s="712"/>
      <c r="AV276" s="712"/>
      <c r="AW276" s="712"/>
      <c r="AX276" s="712"/>
      <c r="AY276" s="712"/>
    </row>
    <row r="277">
      <c r="T277" s="434"/>
      <c r="U277" s="438"/>
      <c r="V277" s="438"/>
      <c r="W277" s="438"/>
      <c r="X277" s="438"/>
      <c r="Y277" s="438"/>
      <c r="Z277" s="438"/>
      <c r="AA277" s="438"/>
      <c r="AB277" s="438"/>
      <c r="AC277" s="438"/>
      <c r="AD277" s="438"/>
      <c r="AE277" s="438"/>
      <c r="AF277" s="438"/>
      <c r="AG277" s="712"/>
      <c r="AH277" s="712"/>
      <c r="AI277" s="712"/>
      <c r="AJ277" s="712"/>
      <c r="AK277" s="712"/>
      <c r="AL277" s="712"/>
      <c r="AM277" s="712"/>
      <c r="AN277" s="712"/>
      <c r="AO277" s="712"/>
      <c r="AP277" s="712"/>
      <c r="AQ277" s="712"/>
      <c r="AR277" s="712"/>
      <c r="AS277" s="712"/>
      <c r="AT277" s="712"/>
      <c r="AU277" s="712"/>
      <c r="AV277" s="712"/>
      <c r="AW277" s="712"/>
      <c r="AX277" s="712"/>
      <c r="AY277" s="712"/>
    </row>
    <row r="278">
      <c r="T278" s="434"/>
      <c r="U278" s="438"/>
      <c r="V278" s="438"/>
      <c r="W278" s="438"/>
      <c r="X278" s="438"/>
      <c r="Y278" s="438"/>
      <c r="Z278" s="438"/>
      <c r="AA278" s="438"/>
      <c r="AB278" s="438"/>
      <c r="AC278" s="438"/>
      <c r="AD278" s="438"/>
      <c r="AE278" s="438"/>
      <c r="AF278" s="438"/>
      <c r="AG278" s="712"/>
      <c r="AH278" s="712"/>
      <c r="AI278" s="712"/>
      <c r="AJ278" s="712"/>
      <c r="AK278" s="712"/>
      <c r="AL278" s="712"/>
      <c r="AM278" s="712"/>
      <c r="AN278" s="712"/>
      <c r="AO278" s="712"/>
      <c r="AP278" s="712"/>
      <c r="AQ278" s="712"/>
      <c r="AR278" s="712"/>
      <c r="AS278" s="712"/>
      <c r="AT278" s="712"/>
      <c r="AU278" s="712"/>
      <c r="AV278" s="712"/>
      <c r="AW278" s="712"/>
      <c r="AX278" s="712"/>
      <c r="AY278" s="712"/>
    </row>
    <row r="279">
      <c r="T279" s="434"/>
      <c r="U279" s="438"/>
      <c r="V279" s="438"/>
      <c r="W279" s="438"/>
      <c r="X279" s="438"/>
      <c r="Y279" s="438"/>
      <c r="Z279" s="438"/>
      <c r="AA279" s="438"/>
      <c r="AB279" s="438"/>
      <c r="AC279" s="438"/>
      <c r="AD279" s="438"/>
      <c r="AE279" s="438"/>
      <c r="AF279" s="438"/>
      <c r="AG279" s="712"/>
      <c r="AH279" s="712"/>
      <c r="AI279" s="712"/>
      <c r="AJ279" s="712"/>
      <c r="AK279" s="712"/>
      <c r="AL279" s="712"/>
      <c r="AM279" s="712"/>
      <c r="AN279" s="712"/>
      <c r="AO279" s="712"/>
      <c r="AP279" s="712"/>
      <c r="AQ279" s="712"/>
      <c r="AR279" s="712"/>
      <c r="AS279" s="712"/>
      <c r="AT279" s="712"/>
      <c r="AU279" s="712"/>
      <c r="AV279" s="712"/>
      <c r="AW279" s="712"/>
      <c r="AX279" s="712"/>
      <c r="AY279" s="712"/>
    </row>
    <row r="280">
      <c r="T280" s="434"/>
      <c r="U280" s="438"/>
      <c r="V280" s="438"/>
      <c r="W280" s="438"/>
      <c r="X280" s="438"/>
      <c r="Y280" s="438"/>
      <c r="Z280" s="438"/>
      <c r="AA280" s="438"/>
      <c r="AB280" s="438"/>
      <c r="AC280" s="438"/>
      <c r="AD280" s="438"/>
      <c r="AE280" s="438"/>
      <c r="AF280" s="438"/>
      <c r="AG280" s="712"/>
      <c r="AH280" s="712"/>
      <c r="AI280" s="712"/>
      <c r="AJ280" s="712"/>
      <c r="AK280" s="712"/>
      <c r="AL280" s="712"/>
      <c r="AM280" s="712"/>
      <c r="AN280" s="712"/>
      <c r="AO280" s="712"/>
      <c r="AP280" s="712"/>
      <c r="AQ280" s="712"/>
      <c r="AR280" s="712"/>
      <c r="AS280" s="712"/>
      <c r="AT280" s="712"/>
      <c r="AU280" s="712"/>
      <c r="AV280" s="712"/>
      <c r="AW280" s="712"/>
      <c r="AX280" s="712"/>
      <c r="AY280" s="712"/>
    </row>
    <row r="281">
      <c r="T281" s="434"/>
      <c r="U281" s="438"/>
      <c r="V281" s="438"/>
      <c r="W281" s="438"/>
      <c r="X281" s="438"/>
      <c r="Y281" s="438"/>
      <c r="Z281" s="438"/>
      <c r="AA281" s="438"/>
      <c r="AB281" s="438"/>
      <c r="AC281" s="438"/>
      <c r="AD281" s="438"/>
      <c r="AE281" s="438"/>
      <c r="AF281" s="438"/>
      <c r="AG281" s="712"/>
      <c r="AH281" s="712"/>
      <c r="AI281" s="712"/>
      <c r="AJ281" s="712"/>
      <c r="AK281" s="712"/>
      <c r="AL281" s="712"/>
      <c r="AM281" s="712"/>
      <c r="AN281" s="712"/>
      <c r="AO281" s="712"/>
      <c r="AP281" s="712"/>
      <c r="AQ281" s="712"/>
      <c r="AR281" s="712"/>
      <c r="AS281" s="712"/>
      <c r="AT281" s="712"/>
      <c r="AU281" s="712"/>
      <c r="AV281" s="712"/>
      <c r="AW281" s="712"/>
      <c r="AX281" s="712"/>
      <c r="AY281" s="712"/>
    </row>
    <row r="282">
      <c r="T282" s="434"/>
      <c r="U282" s="438"/>
      <c r="V282" s="438"/>
      <c r="W282" s="438"/>
      <c r="X282" s="438"/>
      <c r="Y282" s="438"/>
      <c r="Z282" s="438"/>
      <c r="AA282" s="438"/>
      <c r="AB282" s="438"/>
      <c r="AC282" s="438"/>
      <c r="AD282" s="438"/>
      <c r="AE282" s="438"/>
      <c r="AF282" s="438"/>
      <c r="AG282" s="712"/>
      <c r="AH282" s="712"/>
      <c r="AI282" s="712"/>
      <c r="AJ282" s="712"/>
      <c r="AK282" s="712"/>
      <c r="AL282" s="712"/>
      <c r="AM282" s="712"/>
      <c r="AN282" s="712"/>
      <c r="AO282" s="712"/>
      <c r="AP282" s="712"/>
      <c r="AQ282" s="712"/>
      <c r="AR282" s="712"/>
      <c r="AS282" s="712"/>
      <c r="AT282" s="712"/>
      <c r="AU282" s="712"/>
      <c r="AV282" s="712"/>
      <c r="AW282" s="712"/>
      <c r="AX282" s="712"/>
      <c r="AY282" s="712"/>
    </row>
    <row r="283">
      <c r="T283" s="434"/>
      <c r="U283" s="438"/>
      <c r="V283" s="438"/>
      <c r="W283" s="438"/>
      <c r="X283" s="438"/>
      <c r="Y283" s="438"/>
      <c r="Z283" s="438"/>
      <c r="AA283" s="438"/>
      <c r="AB283" s="438"/>
      <c r="AC283" s="438"/>
      <c r="AD283" s="438"/>
      <c r="AE283" s="438"/>
      <c r="AF283" s="438"/>
      <c r="AG283" s="712"/>
      <c r="AH283" s="712"/>
      <c r="AI283" s="712"/>
      <c r="AJ283" s="712"/>
      <c r="AK283" s="712"/>
      <c r="AL283" s="712"/>
      <c r="AM283" s="712"/>
      <c r="AN283" s="712"/>
      <c r="AO283" s="712"/>
      <c r="AP283" s="712"/>
      <c r="AQ283" s="712"/>
      <c r="AR283" s="712"/>
      <c r="AS283" s="712"/>
      <c r="AT283" s="712"/>
      <c r="AU283" s="712"/>
      <c r="AV283" s="712"/>
      <c r="AW283" s="712"/>
      <c r="AX283" s="712"/>
      <c r="AY283" s="712"/>
    </row>
    <row r="284">
      <c r="T284" s="434"/>
      <c r="U284" s="438"/>
      <c r="V284" s="438"/>
      <c r="W284" s="438"/>
      <c r="X284" s="438"/>
      <c r="Y284" s="438"/>
      <c r="Z284" s="438"/>
      <c r="AA284" s="438"/>
      <c r="AB284" s="438"/>
      <c r="AC284" s="438"/>
      <c r="AD284" s="438"/>
      <c r="AE284" s="438"/>
      <c r="AF284" s="438"/>
      <c r="AG284" s="712"/>
      <c r="AH284" s="712"/>
      <c r="AI284" s="712"/>
      <c r="AJ284" s="712"/>
      <c r="AK284" s="712"/>
      <c r="AL284" s="712"/>
      <c r="AM284" s="712"/>
      <c r="AN284" s="712"/>
      <c r="AO284" s="712"/>
      <c r="AP284" s="712"/>
      <c r="AQ284" s="712"/>
      <c r="AR284" s="712"/>
      <c r="AS284" s="712"/>
      <c r="AT284" s="712"/>
      <c r="AU284" s="712"/>
      <c r="AV284" s="712"/>
      <c r="AW284" s="712"/>
      <c r="AX284" s="712"/>
      <c r="AY284" s="712"/>
    </row>
    <row r="285">
      <c r="T285" s="434"/>
      <c r="U285" s="438"/>
      <c r="V285" s="438"/>
      <c r="W285" s="438"/>
      <c r="X285" s="438"/>
      <c r="Y285" s="438"/>
      <c r="Z285" s="438"/>
      <c r="AA285" s="438"/>
      <c r="AB285" s="438"/>
      <c r="AC285" s="438"/>
      <c r="AD285" s="438"/>
      <c r="AE285" s="438"/>
      <c r="AF285" s="438"/>
      <c r="AG285" s="712"/>
      <c r="AH285" s="712"/>
      <c r="AI285" s="712"/>
      <c r="AJ285" s="712"/>
      <c r="AK285" s="712"/>
      <c r="AL285" s="712"/>
      <c r="AM285" s="712"/>
      <c r="AN285" s="712"/>
      <c r="AO285" s="712"/>
      <c r="AP285" s="712"/>
      <c r="AQ285" s="712"/>
      <c r="AR285" s="712"/>
      <c r="AS285" s="712"/>
      <c r="AT285" s="712"/>
      <c r="AU285" s="712"/>
      <c r="AV285" s="712"/>
      <c r="AW285" s="712"/>
      <c r="AX285" s="712"/>
      <c r="AY285" s="712"/>
    </row>
    <row r="286">
      <c r="T286" s="434"/>
      <c r="U286" s="438"/>
      <c r="V286" s="438"/>
      <c r="W286" s="438"/>
      <c r="X286" s="438"/>
      <c r="Y286" s="438"/>
      <c r="Z286" s="438"/>
      <c r="AA286" s="438"/>
      <c r="AB286" s="438"/>
      <c r="AC286" s="438"/>
      <c r="AD286" s="438"/>
      <c r="AE286" s="438"/>
      <c r="AF286" s="438"/>
      <c r="AG286" s="712"/>
      <c r="AH286" s="712"/>
      <c r="AI286" s="712"/>
      <c r="AJ286" s="712"/>
      <c r="AK286" s="712"/>
      <c r="AL286" s="712"/>
      <c r="AM286" s="712"/>
      <c r="AN286" s="712"/>
      <c r="AO286" s="712"/>
      <c r="AP286" s="712"/>
      <c r="AQ286" s="712"/>
      <c r="AR286" s="712"/>
      <c r="AS286" s="712"/>
      <c r="AT286" s="712"/>
      <c r="AU286" s="712"/>
      <c r="AV286" s="712"/>
      <c r="AW286" s="712"/>
      <c r="AX286" s="712"/>
      <c r="AY286" s="712"/>
    </row>
    <row r="287">
      <c r="T287" s="434"/>
      <c r="U287" s="438"/>
      <c r="V287" s="438"/>
      <c r="W287" s="438"/>
      <c r="X287" s="438"/>
      <c r="Y287" s="438"/>
      <c r="Z287" s="438"/>
      <c r="AA287" s="438"/>
      <c r="AB287" s="438"/>
      <c r="AC287" s="438"/>
      <c r="AD287" s="438"/>
      <c r="AE287" s="438"/>
      <c r="AF287" s="438"/>
      <c r="AG287" s="712"/>
      <c r="AH287" s="712"/>
      <c r="AI287" s="712"/>
      <c r="AJ287" s="712"/>
      <c r="AK287" s="712"/>
      <c r="AL287" s="712"/>
      <c r="AM287" s="712"/>
      <c r="AN287" s="712"/>
      <c r="AO287" s="712"/>
      <c r="AP287" s="712"/>
      <c r="AQ287" s="712"/>
      <c r="AR287" s="712"/>
      <c r="AS287" s="712"/>
      <c r="AT287" s="712"/>
      <c r="AU287" s="712"/>
      <c r="AV287" s="712"/>
      <c r="AW287" s="712"/>
      <c r="AX287" s="712"/>
      <c r="AY287" s="712"/>
    </row>
    <row r="288">
      <c r="T288" s="434"/>
      <c r="U288" s="438"/>
      <c r="V288" s="438"/>
      <c r="W288" s="438"/>
      <c r="X288" s="438"/>
      <c r="Y288" s="438"/>
      <c r="Z288" s="438"/>
      <c r="AA288" s="438"/>
      <c r="AB288" s="438"/>
      <c r="AC288" s="438"/>
      <c r="AD288" s="438"/>
      <c r="AE288" s="438"/>
      <c r="AF288" s="438"/>
      <c r="AG288" s="712"/>
      <c r="AH288" s="712"/>
      <c r="AI288" s="712"/>
      <c r="AJ288" s="712"/>
      <c r="AK288" s="712"/>
      <c r="AL288" s="712"/>
      <c r="AM288" s="712"/>
      <c r="AN288" s="712"/>
      <c r="AO288" s="712"/>
      <c r="AP288" s="712"/>
      <c r="AQ288" s="712"/>
      <c r="AR288" s="712"/>
      <c r="AS288" s="712"/>
      <c r="AT288" s="712"/>
      <c r="AU288" s="712"/>
      <c r="AV288" s="712"/>
      <c r="AW288" s="712"/>
      <c r="AX288" s="712"/>
      <c r="AY288" s="712"/>
    </row>
    <row r="289">
      <c r="T289" s="434"/>
      <c r="U289" s="438"/>
      <c r="V289" s="438"/>
      <c r="W289" s="438"/>
      <c r="X289" s="438"/>
      <c r="Y289" s="438"/>
      <c r="Z289" s="438"/>
      <c r="AA289" s="438"/>
      <c r="AB289" s="438"/>
      <c r="AC289" s="438"/>
      <c r="AD289" s="438"/>
      <c r="AE289" s="438"/>
      <c r="AF289" s="438"/>
      <c r="AG289" s="712"/>
      <c r="AH289" s="712"/>
      <c r="AI289" s="712"/>
      <c r="AJ289" s="712"/>
      <c r="AK289" s="712"/>
      <c r="AL289" s="712"/>
      <c r="AM289" s="712"/>
      <c r="AN289" s="712"/>
      <c r="AO289" s="712"/>
      <c r="AP289" s="712"/>
      <c r="AQ289" s="712"/>
      <c r="AR289" s="712"/>
      <c r="AS289" s="712"/>
      <c r="AT289" s="712"/>
      <c r="AU289" s="712"/>
      <c r="AV289" s="712"/>
      <c r="AW289" s="712"/>
      <c r="AX289" s="712"/>
      <c r="AY289" s="712"/>
    </row>
    <row r="290">
      <c r="T290" s="434"/>
      <c r="U290" s="438"/>
      <c r="V290" s="438"/>
      <c r="W290" s="438"/>
      <c r="X290" s="438"/>
      <c r="Y290" s="438"/>
      <c r="Z290" s="438"/>
      <c r="AA290" s="438"/>
      <c r="AB290" s="438"/>
      <c r="AC290" s="438"/>
      <c r="AD290" s="438"/>
      <c r="AE290" s="438"/>
      <c r="AF290" s="438"/>
      <c r="AG290" s="712"/>
      <c r="AH290" s="712"/>
      <c r="AI290" s="712"/>
      <c r="AJ290" s="712"/>
      <c r="AK290" s="712"/>
      <c r="AL290" s="712"/>
      <c r="AM290" s="712"/>
      <c r="AN290" s="712"/>
      <c r="AO290" s="712"/>
      <c r="AP290" s="712"/>
      <c r="AQ290" s="712"/>
      <c r="AR290" s="712"/>
      <c r="AS290" s="712"/>
      <c r="AT290" s="712"/>
      <c r="AU290" s="712"/>
      <c r="AV290" s="712"/>
      <c r="AW290" s="712"/>
      <c r="AX290" s="712"/>
      <c r="AY290" s="712"/>
    </row>
    <row r="291">
      <c r="T291" s="434"/>
      <c r="U291" s="438"/>
      <c r="V291" s="438"/>
      <c r="W291" s="438"/>
      <c r="X291" s="438"/>
      <c r="Y291" s="438"/>
      <c r="Z291" s="438"/>
      <c r="AA291" s="438"/>
      <c r="AB291" s="438"/>
      <c r="AC291" s="438"/>
      <c r="AD291" s="438"/>
      <c r="AE291" s="438"/>
      <c r="AF291" s="438"/>
      <c r="AG291" s="712"/>
      <c r="AH291" s="712"/>
      <c r="AI291" s="712"/>
      <c r="AJ291" s="712"/>
      <c r="AK291" s="712"/>
      <c r="AL291" s="712"/>
      <c r="AM291" s="712"/>
      <c r="AN291" s="712"/>
      <c r="AO291" s="712"/>
      <c r="AP291" s="712"/>
      <c r="AQ291" s="712"/>
      <c r="AR291" s="712"/>
      <c r="AS291" s="712"/>
      <c r="AT291" s="712"/>
      <c r="AU291" s="712"/>
      <c r="AV291" s="712"/>
      <c r="AW291" s="712"/>
      <c r="AX291" s="712"/>
      <c r="AY291" s="712"/>
    </row>
    <row r="292">
      <c r="T292" s="434"/>
      <c r="U292" s="438"/>
      <c r="V292" s="438"/>
      <c r="W292" s="438"/>
      <c r="X292" s="438"/>
      <c r="Y292" s="438"/>
      <c r="Z292" s="438"/>
      <c r="AA292" s="438"/>
      <c r="AB292" s="438"/>
      <c r="AC292" s="438"/>
      <c r="AD292" s="438"/>
      <c r="AE292" s="438"/>
      <c r="AF292" s="438"/>
      <c r="AG292" s="712"/>
      <c r="AH292" s="712"/>
      <c r="AI292" s="712"/>
      <c r="AJ292" s="712"/>
      <c r="AK292" s="712"/>
      <c r="AL292" s="712"/>
      <c r="AM292" s="712"/>
      <c r="AN292" s="712"/>
      <c r="AO292" s="712"/>
      <c r="AP292" s="712"/>
      <c r="AQ292" s="712"/>
      <c r="AR292" s="712"/>
      <c r="AS292" s="712"/>
      <c r="AT292" s="712"/>
      <c r="AU292" s="712"/>
      <c r="AV292" s="712"/>
      <c r="AW292" s="712"/>
      <c r="AX292" s="712"/>
      <c r="AY292" s="712"/>
    </row>
    <row r="293">
      <c r="T293" s="434"/>
      <c r="U293" s="438"/>
      <c r="V293" s="438"/>
      <c r="W293" s="438"/>
      <c r="X293" s="438"/>
      <c r="Y293" s="438"/>
      <c r="Z293" s="438"/>
      <c r="AA293" s="438"/>
      <c r="AB293" s="438"/>
      <c r="AC293" s="438"/>
      <c r="AD293" s="438"/>
      <c r="AE293" s="438"/>
      <c r="AF293" s="438"/>
      <c r="AG293" s="712"/>
      <c r="AH293" s="712"/>
      <c r="AI293" s="712"/>
      <c r="AJ293" s="712"/>
      <c r="AK293" s="712"/>
      <c r="AL293" s="712"/>
      <c r="AM293" s="712"/>
      <c r="AN293" s="712"/>
      <c r="AO293" s="712"/>
      <c r="AP293" s="712"/>
      <c r="AQ293" s="712"/>
      <c r="AR293" s="712"/>
      <c r="AS293" s="712"/>
      <c r="AT293" s="712"/>
      <c r="AU293" s="712"/>
      <c r="AV293" s="712"/>
      <c r="AW293" s="712"/>
      <c r="AX293" s="712"/>
      <c r="AY293" s="712"/>
    </row>
    <row r="294">
      <c r="T294" s="434"/>
      <c r="U294" s="438"/>
      <c r="V294" s="438"/>
      <c r="W294" s="438"/>
      <c r="X294" s="438"/>
      <c r="Y294" s="438"/>
      <c r="Z294" s="438"/>
      <c r="AA294" s="438"/>
      <c r="AB294" s="438"/>
      <c r="AC294" s="438"/>
      <c r="AD294" s="438"/>
      <c r="AE294" s="438"/>
      <c r="AF294" s="438"/>
      <c r="AG294" s="712"/>
      <c r="AH294" s="712"/>
      <c r="AI294" s="712"/>
      <c r="AJ294" s="712"/>
      <c r="AK294" s="712"/>
      <c r="AL294" s="712"/>
      <c r="AM294" s="712"/>
      <c r="AN294" s="712"/>
      <c r="AO294" s="712"/>
      <c r="AP294" s="712"/>
      <c r="AQ294" s="712"/>
      <c r="AR294" s="712"/>
      <c r="AS294" s="712"/>
      <c r="AT294" s="712"/>
      <c r="AU294" s="712"/>
      <c r="AV294" s="712"/>
      <c r="AW294" s="712"/>
      <c r="AX294" s="712"/>
      <c r="AY294" s="712"/>
    </row>
    <row r="295">
      <c r="T295" s="434"/>
      <c r="U295" s="438"/>
      <c r="V295" s="438"/>
      <c r="W295" s="438"/>
      <c r="X295" s="438"/>
      <c r="Y295" s="438"/>
      <c r="Z295" s="438"/>
      <c r="AA295" s="438"/>
      <c r="AB295" s="438"/>
      <c r="AC295" s="438"/>
      <c r="AD295" s="438"/>
      <c r="AE295" s="438"/>
      <c r="AF295" s="438"/>
      <c r="AG295" s="712"/>
      <c r="AH295" s="712"/>
      <c r="AI295" s="712"/>
      <c r="AJ295" s="712"/>
      <c r="AK295" s="712"/>
      <c r="AL295" s="712"/>
      <c r="AM295" s="712"/>
      <c r="AN295" s="712"/>
      <c r="AO295" s="712"/>
      <c r="AP295" s="712"/>
      <c r="AQ295" s="712"/>
      <c r="AR295" s="712"/>
      <c r="AS295" s="712"/>
      <c r="AT295" s="712"/>
      <c r="AU295" s="712"/>
      <c r="AV295" s="712"/>
      <c r="AW295" s="712"/>
      <c r="AX295" s="712"/>
      <c r="AY295" s="712"/>
    </row>
    <row r="296">
      <c r="T296" s="434"/>
      <c r="U296" s="438"/>
      <c r="V296" s="438"/>
      <c r="W296" s="438"/>
      <c r="X296" s="438"/>
      <c r="Y296" s="438"/>
      <c r="Z296" s="438"/>
      <c r="AA296" s="438"/>
      <c r="AB296" s="438"/>
      <c r="AC296" s="438"/>
      <c r="AD296" s="438"/>
      <c r="AE296" s="438"/>
      <c r="AF296" s="438"/>
      <c r="AG296" s="712"/>
      <c r="AH296" s="712"/>
      <c r="AI296" s="712"/>
      <c r="AJ296" s="712"/>
      <c r="AK296" s="712"/>
      <c r="AL296" s="712"/>
      <c r="AM296" s="712"/>
      <c r="AN296" s="712"/>
      <c r="AO296" s="712"/>
      <c r="AP296" s="712"/>
      <c r="AQ296" s="712"/>
      <c r="AR296" s="712"/>
      <c r="AS296" s="712"/>
      <c r="AT296" s="712"/>
      <c r="AU296" s="712"/>
      <c r="AV296" s="712"/>
      <c r="AW296" s="712"/>
      <c r="AX296" s="712"/>
      <c r="AY296" s="712"/>
    </row>
    <row r="297">
      <c r="T297" s="434"/>
      <c r="U297" s="438"/>
      <c r="V297" s="438"/>
      <c r="W297" s="438"/>
      <c r="X297" s="438"/>
      <c r="Y297" s="438"/>
      <c r="Z297" s="438"/>
      <c r="AA297" s="438"/>
      <c r="AB297" s="438"/>
      <c r="AC297" s="438"/>
      <c r="AD297" s="438"/>
      <c r="AE297" s="438"/>
      <c r="AF297" s="438"/>
      <c r="AG297" s="712"/>
      <c r="AH297" s="712"/>
      <c r="AI297" s="712"/>
      <c r="AJ297" s="712"/>
      <c r="AK297" s="712"/>
      <c r="AL297" s="712"/>
      <c r="AM297" s="712"/>
      <c r="AN297" s="712"/>
      <c r="AO297" s="712"/>
      <c r="AP297" s="712"/>
      <c r="AQ297" s="712"/>
      <c r="AR297" s="712"/>
      <c r="AS297" s="712"/>
      <c r="AT297" s="712"/>
      <c r="AU297" s="712"/>
      <c r="AV297" s="712"/>
      <c r="AW297" s="712"/>
      <c r="AX297" s="712"/>
      <c r="AY297" s="712"/>
    </row>
    <row r="298">
      <c r="T298" s="434"/>
      <c r="U298" s="438"/>
      <c r="V298" s="438"/>
      <c r="W298" s="438"/>
      <c r="X298" s="438"/>
      <c r="Y298" s="438"/>
      <c r="Z298" s="438"/>
      <c r="AA298" s="438"/>
      <c r="AB298" s="438"/>
      <c r="AC298" s="438"/>
      <c r="AD298" s="438"/>
      <c r="AE298" s="438"/>
      <c r="AF298" s="438"/>
      <c r="AG298" s="712"/>
      <c r="AH298" s="712"/>
      <c r="AI298" s="712"/>
      <c r="AJ298" s="712"/>
      <c r="AK298" s="712"/>
      <c r="AL298" s="712"/>
      <c r="AM298" s="712"/>
      <c r="AN298" s="712"/>
      <c r="AO298" s="712"/>
      <c r="AP298" s="712"/>
      <c r="AQ298" s="712"/>
      <c r="AR298" s="712"/>
      <c r="AS298" s="712"/>
      <c r="AT298" s="712"/>
      <c r="AU298" s="712"/>
      <c r="AV298" s="712"/>
      <c r="AW298" s="712"/>
      <c r="AX298" s="712"/>
      <c r="AY298" s="712"/>
    </row>
    <row r="299">
      <c r="T299" s="434"/>
      <c r="U299" s="438"/>
      <c r="V299" s="438"/>
      <c r="W299" s="438"/>
      <c r="X299" s="438"/>
      <c r="Y299" s="438"/>
      <c r="Z299" s="438"/>
      <c r="AA299" s="438"/>
      <c r="AB299" s="438"/>
      <c r="AC299" s="438"/>
      <c r="AD299" s="438"/>
      <c r="AE299" s="438"/>
      <c r="AF299" s="438"/>
      <c r="AG299" s="712"/>
      <c r="AH299" s="712"/>
      <c r="AI299" s="712"/>
      <c r="AJ299" s="712"/>
      <c r="AK299" s="712"/>
      <c r="AL299" s="712"/>
      <c r="AM299" s="712"/>
      <c r="AN299" s="712"/>
      <c r="AO299" s="712"/>
      <c r="AP299" s="712"/>
      <c r="AQ299" s="712"/>
      <c r="AR299" s="712"/>
      <c r="AS299" s="712"/>
      <c r="AT299" s="712"/>
      <c r="AU299" s="712"/>
      <c r="AV299" s="712"/>
      <c r="AW299" s="712"/>
      <c r="AX299" s="712"/>
      <c r="AY299" s="712"/>
    </row>
    <row r="300">
      <c r="T300" s="434"/>
      <c r="U300" s="438"/>
      <c r="V300" s="438"/>
      <c r="W300" s="438"/>
      <c r="X300" s="438"/>
      <c r="Y300" s="438"/>
      <c r="Z300" s="438"/>
      <c r="AA300" s="438"/>
      <c r="AB300" s="438"/>
      <c r="AC300" s="438"/>
      <c r="AD300" s="438"/>
      <c r="AE300" s="438"/>
      <c r="AF300" s="438"/>
      <c r="AG300" s="712"/>
      <c r="AH300" s="712"/>
      <c r="AI300" s="712"/>
      <c r="AJ300" s="712"/>
      <c r="AK300" s="712"/>
      <c r="AL300" s="712"/>
      <c r="AM300" s="712"/>
      <c r="AN300" s="712"/>
      <c r="AO300" s="712"/>
      <c r="AP300" s="712"/>
      <c r="AQ300" s="712"/>
      <c r="AR300" s="712"/>
      <c r="AS300" s="712"/>
      <c r="AT300" s="712"/>
      <c r="AU300" s="712"/>
      <c r="AV300" s="712"/>
      <c r="AW300" s="712"/>
      <c r="AX300" s="712"/>
      <c r="AY300" s="712"/>
    </row>
    <row r="301">
      <c r="T301" s="434"/>
      <c r="U301" s="438"/>
      <c r="V301" s="438"/>
      <c r="W301" s="438"/>
      <c r="X301" s="438"/>
      <c r="Y301" s="438"/>
      <c r="Z301" s="438"/>
      <c r="AA301" s="438"/>
      <c r="AB301" s="438"/>
      <c r="AC301" s="438"/>
      <c r="AD301" s="438"/>
      <c r="AE301" s="438"/>
      <c r="AF301" s="438"/>
      <c r="AG301" s="712"/>
      <c r="AH301" s="712"/>
      <c r="AI301" s="712"/>
      <c r="AJ301" s="712"/>
      <c r="AK301" s="712"/>
      <c r="AL301" s="712"/>
      <c r="AM301" s="712"/>
      <c r="AN301" s="712"/>
      <c r="AO301" s="712"/>
      <c r="AP301" s="712"/>
      <c r="AQ301" s="712"/>
      <c r="AR301" s="712"/>
      <c r="AS301" s="712"/>
      <c r="AT301" s="712"/>
      <c r="AU301" s="712"/>
      <c r="AV301" s="712"/>
      <c r="AW301" s="712"/>
      <c r="AX301" s="712"/>
      <c r="AY301" s="712"/>
    </row>
    <row r="302">
      <c r="T302" s="434"/>
      <c r="U302" s="438"/>
      <c r="V302" s="438"/>
      <c r="W302" s="438"/>
      <c r="X302" s="438"/>
      <c r="Y302" s="438"/>
      <c r="Z302" s="438"/>
      <c r="AA302" s="438"/>
      <c r="AB302" s="438"/>
      <c r="AC302" s="438"/>
      <c r="AD302" s="438"/>
      <c r="AE302" s="438"/>
      <c r="AF302" s="438"/>
      <c r="AG302" s="712"/>
      <c r="AH302" s="712"/>
      <c r="AI302" s="712"/>
      <c r="AJ302" s="712"/>
      <c r="AK302" s="712"/>
      <c r="AL302" s="712"/>
      <c r="AM302" s="712"/>
      <c r="AN302" s="712"/>
      <c r="AO302" s="712"/>
      <c r="AP302" s="712"/>
      <c r="AQ302" s="712"/>
      <c r="AR302" s="712"/>
      <c r="AS302" s="712"/>
      <c r="AT302" s="712"/>
      <c r="AU302" s="712"/>
      <c r="AV302" s="712"/>
      <c r="AW302" s="712"/>
      <c r="AX302" s="712"/>
      <c r="AY302" s="712"/>
    </row>
    <row r="303">
      <c r="T303" s="434"/>
      <c r="U303" s="438"/>
      <c r="V303" s="438"/>
      <c r="W303" s="438"/>
      <c r="X303" s="438"/>
      <c r="Y303" s="438"/>
      <c r="Z303" s="438"/>
      <c r="AA303" s="438"/>
      <c r="AB303" s="438"/>
      <c r="AC303" s="438"/>
      <c r="AD303" s="438"/>
      <c r="AE303" s="438"/>
      <c r="AF303" s="438"/>
      <c r="AG303" s="712"/>
      <c r="AH303" s="712"/>
      <c r="AI303" s="712"/>
      <c r="AJ303" s="712"/>
      <c r="AK303" s="712"/>
      <c r="AL303" s="712"/>
      <c r="AM303" s="712"/>
      <c r="AN303" s="712"/>
      <c r="AO303" s="712"/>
      <c r="AP303" s="712"/>
      <c r="AQ303" s="712"/>
      <c r="AR303" s="712"/>
      <c r="AS303" s="712"/>
      <c r="AT303" s="712"/>
      <c r="AU303" s="712"/>
      <c r="AV303" s="712"/>
      <c r="AW303" s="712"/>
      <c r="AX303" s="712"/>
      <c r="AY303" s="712"/>
    </row>
    <row r="304">
      <c r="T304" s="434"/>
      <c r="U304" s="438"/>
      <c r="V304" s="438"/>
      <c r="W304" s="438"/>
      <c r="X304" s="438"/>
      <c r="Y304" s="438"/>
      <c r="Z304" s="438"/>
      <c r="AA304" s="438"/>
      <c r="AB304" s="438"/>
      <c r="AC304" s="438"/>
      <c r="AD304" s="438"/>
      <c r="AE304" s="438"/>
      <c r="AF304" s="438"/>
      <c r="AG304" s="712"/>
      <c r="AH304" s="712"/>
      <c r="AI304" s="712"/>
      <c r="AJ304" s="712"/>
      <c r="AK304" s="712"/>
      <c r="AL304" s="712"/>
      <c r="AM304" s="712"/>
      <c r="AN304" s="712"/>
      <c r="AO304" s="712"/>
      <c r="AP304" s="712"/>
      <c r="AQ304" s="712"/>
      <c r="AR304" s="712"/>
      <c r="AS304" s="712"/>
      <c r="AT304" s="712"/>
      <c r="AU304" s="712"/>
      <c r="AV304" s="712"/>
      <c r="AW304" s="712"/>
      <c r="AX304" s="712"/>
      <c r="AY304" s="712"/>
    </row>
    <row r="305">
      <c r="T305" s="434"/>
      <c r="U305" s="438"/>
      <c r="V305" s="438"/>
      <c r="W305" s="438"/>
      <c r="X305" s="438"/>
      <c r="Y305" s="438"/>
      <c r="Z305" s="438"/>
      <c r="AA305" s="438"/>
      <c r="AB305" s="438"/>
      <c r="AC305" s="438"/>
      <c r="AD305" s="438"/>
      <c r="AE305" s="438"/>
      <c r="AF305" s="438"/>
      <c r="AG305" s="712"/>
      <c r="AH305" s="712"/>
      <c r="AI305" s="712"/>
      <c r="AJ305" s="712"/>
      <c r="AK305" s="712"/>
      <c r="AL305" s="712"/>
      <c r="AM305" s="712"/>
      <c r="AN305" s="712"/>
      <c r="AO305" s="712"/>
      <c r="AP305" s="712"/>
      <c r="AQ305" s="712"/>
      <c r="AR305" s="712"/>
      <c r="AS305" s="712"/>
      <c r="AT305" s="712"/>
      <c r="AU305" s="712"/>
      <c r="AV305" s="712"/>
      <c r="AW305" s="712"/>
      <c r="AX305" s="712"/>
      <c r="AY305" s="712"/>
    </row>
    <row r="306">
      <c r="T306" s="434"/>
      <c r="U306" s="438"/>
      <c r="V306" s="438"/>
      <c r="W306" s="438"/>
      <c r="X306" s="438"/>
      <c r="Y306" s="438"/>
      <c r="Z306" s="438"/>
      <c r="AA306" s="438"/>
      <c r="AB306" s="438"/>
      <c r="AC306" s="438"/>
      <c r="AD306" s="438"/>
      <c r="AE306" s="438"/>
      <c r="AF306" s="438"/>
      <c r="AG306" s="712"/>
      <c r="AH306" s="712"/>
      <c r="AI306" s="712"/>
      <c r="AJ306" s="712"/>
      <c r="AK306" s="712"/>
      <c r="AL306" s="712"/>
      <c r="AM306" s="712"/>
      <c r="AN306" s="712"/>
      <c r="AO306" s="712"/>
      <c r="AP306" s="712"/>
      <c r="AQ306" s="712"/>
      <c r="AR306" s="712"/>
      <c r="AS306" s="712"/>
      <c r="AT306" s="712"/>
      <c r="AU306" s="712"/>
      <c r="AV306" s="712"/>
      <c r="AW306" s="712"/>
      <c r="AX306" s="712"/>
      <c r="AY306" s="712"/>
    </row>
    <row r="307">
      <c r="T307" s="434"/>
      <c r="U307" s="438"/>
      <c r="V307" s="438"/>
      <c r="W307" s="438"/>
      <c r="X307" s="438"/>
      <c r="Y307" s="438"/>
      <c r="Z307" s="438"/>
      <c r="AA307" s="438"/>
      <c r="AB307" s="438"/>
      <c r="AC307" s="438"/>
      <c r="AD307" s="438"/>
      <c r="AE307" s="438"/>
      <c r="AF307" s="438"/>
      <c r="AG307" s="712"/>
      <c r="AH307" s="712"/>
      <c r="AI307" s="712"/>
      <c r="AJ307" s="712"/>
      <c r="AK307" s="712"/>
      <c r="AL307" s="712"/>
      <c r="AM307" s="712"/>
      <c r="AN307" s="712"/>
      <c r="AO307" s="712"/>
      <c r="AP307" s="712"/>
      <c r="AQ307" s="712"/>
      <c r="AR307" s="712"/>
      <c r="AS307" s="712"/>
      <c r="AT307" s="712"/>
      <c r="AU307" s="712"/>
      <c r="AV307" s="712"/>
      <c r="AW307" s="712"/>
      <c r="AX307" s="712"/>
      <c r="AY307" s="712"/>
    </row>
    <row r="308">
      <c r="T308" s="434"/>
      <c r="U308" s="438"/>
      <c r="V308" s="438"/>
      <c r="W308" s="438"/>
      <c r="X308" s="438"/>
      <c r="Y308" s="438"/>
      <c r="Z308" s="438"/>
      <c r="AA308" s="438"/>
      <c r="AB308" s="438"/>
      <c r="AC308" s="438"/>
      <c r="AD308" s="438"/>
      <c r="AE308" s="438"/>
      <c r="AF308" s="438"/>
      <c r="AG308" s="712"/>
      <c r="AH308" s="712"/>
      <c r="AI308" s="712"/>
      <c r="AJ308" s="712"/>
      <c r="AK308" s="712"/>
      <c r="AL308" s="712"/>
      <c r="AM308" s="712"/>
      <c r="AN308" s="712"/>
      <c r="AO308" s="712"/>
      <c r="AP308" s="712"/>
      <c r="AQ308" s="712"/>
      <c r="AR308" s="712"/>
      <c r="AS308" s="712"/>
      <c r="AT308" s="712"/>
      <c r="AU308" s="712"/>
      <c r="AV308" s="712"/>
      <c r="AW308" s="712"/>
      <c r="AX308" s="712"/>
      <c r="AY308" s="712"/>
    </row>
    <row r="309">
      <c r="T309" s="434"/>
      <c r="U309" s="438"/>
      <c r="V309" s="438"/>
      <c r="W309" s="438"/>
      <c r="X309" s="438"/>
      <c r="Y309" s="438"/>
      <c r="Z309" s="438"/>
      <c r="AA309" s="438"/>
      <c r="AB309" s="438"/>
      <c r="AC309" s="438"/>
      <c r="AD309" s="438"/>
      <c r="AE309" s="438"/>
      <c r="AF309" s="438"/>
      <c r="AG309" s="712"/>
      <c r="AH309" s="712"/>
      <c r="AI309" s="712"/>
      <c r="AJ309" s="712"/>
      <c r="AK309" s="712"/>
      <c r="AL309" s="712"/>
      <c r="AM309" s="712"/>
      <c r="AN309" s="712"/>
      <c r="AO309" s="712"/>
      <c r="AP309" s="712"/>
      <c r="AQ309" s="712"/>
      <c r="AR309" s="712"/>
      <c r="AS309" s="712"/>
      <c r="AT309" s="712"/>
      <c r="AU309" s="712"/>
      <c r="AV309" s="712"/>
      <c r="AW309" s="712"/>
      <c r="AX309" s="712"/>
      <c r="AY309" s="712"/>
    </row>
    <row r="310">
      <c r="T310" s="434"/>
      <c r="U310" s="438"/>
      <c r="V310" s="438"/>
      <c r="W310" s="438"/>
      <c r="X310" s="438"/>
      <c r="Y310" s="438"/>
      <c r="Z310" s="438"/>
      <c r="AA310" s="438"/>
      <c r="AB310" s="438"/>
      <c r="AC310" s="438"/>
      <c r="AD310" s="438"/>
      <c r="AE310" s="438"/>
      <c r="AF310" s="438"/>
      <c r="AG310" s="712"/>
      <c r="AH310" s="712"/>
      <c r="AI310" s="712"/>
      <c r="AJ310" s="712"/>
      <c r="AK310" s="712"/>
      <c r="AL310" s="712"/>
      <c r="AM310" s="712"/>
      <c r="AN310" s="712"/>
      <c r="AO310" s="712"/>
      <c r="AP310" s="712"/>
      <c r="AQ310" s="712"/>
      <c r="AR310" s="712"/>
      <c r="AS310" s="712"/>
      <c r="AT310" s="712"/>
      <c r="AU310" s="712"/>
      <c r="AV310" s="712"/>
      <c r="AW310" s="712"/>
      <c r="AX310" s="712"/>
      <c r="AY310" s="712"/>
    </row>
    <row r="311">
      <c r="T311" s="434"/>
      <c r="U311" s="438"/>
      <c r="V311" s="438"/>
      <c r="W311" s="438"/>
      <c r="X311" s="438"/>
      <c r="Y311" s="438"/>
      <c r="Z311" s="438"/>
      <c r="AA311" s="438"/>
      <c r="AB311" s="438"/>
      <c r="AC311" s="438"/>
      <c r="AD311" s="438"/>
      <c r="AE311" s="438"/>
      <c r="AF311" s="438"/>
      <c r="AG311" s="712"/>
      <c r="AH311" s="712"/>
      <c r="AI311" s="712"/>
      <c r="AJ311" s="712"/>
      <c r="AK311" s="712"/>
      <c r="AL311" s="712"/>
      <c r="AM311" s="712"/>
      <c r="AN311" s="712"/>
      <c r="AO311" s="712"/>
      <c r="AP311" s="712"/>
      <c r="AQ311" s="712"/>
      <c r="AR311" s="712"/>
      <c r="AS311" s="712"/>
      <c r="AT311" s="712"/>
      <c r="AU311" s="712"/>
      <c r="AV311" s="712"/>
      <c r="AW311" s="712"/>
      <c r="AX311" s="712"/>
      <c r="AY311" s="712"/>
    </row>
    <row r="312">
      <c r="T312" s="434"/>
      <c r="U312" s="438"/>
      <c r="V312" s="438"/>
      <c r="W312" s="438"/>
      <c r="X312" s="438"/>
      <c r="Y312" s="438"/>
      <c r="Z312" s="438"/>
      <c r="AA312" s="438"/>
      <c r="AB312" s="438"/>
      <c r="AC312" s="438"/>
      <c r="AD312" s="438"/>
      <c r="AE312" s="438"/>
      <c r="AF312" s="438"/>
      <c r="AG312" s="712"/>
      <c r="AH312" s="712"/>
      <c r="AI312" s="712"/>
      <c r="AJ312" s="712"/>
      <c r="AK312" s="712"/>
      <c r="AL312" s="712"/>
      <c r="AM312" s="712"/>
      <c r="AN312" s="712"/>
      <c r="AO312" s="712"/>
      <c r="AP312" s="712"/>
      <c r="AQ312" s="712"/>
      <c r="AR312" s="712"/>
      <c r="AS312" s="712"/>
      <c r="AT312" s="712"/>
      <c r="AU312" s="712"/>
      <c r="AV312" s="712"/>
      <c r="AW312" s="712"/>
      <c r="AX312" s="712"/>
      <c r="AY312" s="712"/>
    </row>
    <row r="313">
      <c r="T313" s="434"/>
      <c r="U313" s="438"/>
      <c r="V313" s="438"/>
      <c r="W313" s="438"/>
      <c r="X313" s="438"/>
      <c r="Y313" s="438"/>
      <c r="Z313" s="438"/>
      <c r="AA313" s="438"/>
      <c r="AB313" s="438"/>
      <c r="AC313" s="438"/>
      <c r="AD313" s="438"/>
      <c r="AE313" s="438"/>
      <c r="AF313" s="438"/>
      <c r="AG313" s="712"/>
      <c r="AH313" s="712"/>
      <c r="AI313" s="712"/>
      <c r="AJ313" s="712"/>
      <c r="AK313" s="712"/>
      <c r="AL313" s="712"/>
      <c r="AM313" s="712"/>
      <c r="AN313" s="712"/>
      <c r="AO313" s="712"/>
      <c r="AP313" s="712"/>
      <c r="AQ313" s="712"/>
      <c r="AR313" s="712"/>
      <c r="AS313" s="712"/>
      <c r="AT313" s="712"/>
      <c r="AU313" s="712"/>
      <c r="AV313" s="712"/>
      <c r="AW313" s="712"/>
      <c r="AX313" s="712"/>
      <c r="AY313" s="712"/>
    </row>
    <row r="314">
      <c r="T314" s="434"/>
      <c r="U314" s="438"/>
      <c r="V314" s="438"/>
      <c r="W314" s="438"/>
      <c r="X314" s="438"/>
      <c r="Y314" s="438"/>
      <c r="Z314" s="438"/>
      <c r="AA314" s="438"/>
      <c r="AB314" s="438"/>
      <c r="AC314" s="438"/>
      <c r="AD314" s="438"/>
      <c r="AE314" s="438"/>
      <c r="AF314" s="438"/>
      <c r="AG314" s="712"/>
      <c r="AH314" s="712"/>
      <c r="AI314" s="712"/>
      <c r="AJ314" s="712"/>
      <c r="AK314" s="712"/>
      <c r="AL314" s="712"/>
      <c r="AM314" s="712"/>
      <c r="AN314" s="712"/>
      <c r="AO314" s="712"/>
      <c r="AP314" s="712"/>
      <c r="AQ314" s="712"/>
      <c r="AR314" s="712"/>
      <c r="AS314" s="712"/>
      <c r="AT314" s="712"/>
      <c r="AU314" s="712"/>
      <c r="AV314" s="712"/>
      <c r="AW314" s="712"/>
      <c r="AX314" s="712"/>
      <c r="AY314" s="712"/>
    </row>
    <row r="315">
      <c r="T315" s="434"/>
      <c r="U315" s="438"/>
      <c r="V315" s="438"/>
      <c r="W315" s="438"/>
      <c r="X315" s="438"/>
      <c r="Y315" s="438"/>
      <c r="Z315" s="438"/>
      <c r="AA315" s="438"/>
      <c r="AB315" s="438"/>
      <c r="AC315" s="438"/>
      <c r="AD315" s="438"/>
      <c r="AE315" s="438"/>
      <c r="AF315" s="438"/>
      <c r="AG315" s="712"/>
      <c r="AH315" s="712"/>
      <c r="AI315" s="712"/>
      <c r="AJ315" s="712"/>
      <c r="AK315" s="712"/>
      <c r="AL315" s="712"/>
      <c r="AM315" s="712"/>
      <c r="AN315" s="712"/>
      <c r="AO315" s="712"/>
      <c r="AP315" s="712"/>
      <c r="AQ315" s="712"/>
      <c r="AR315" s="712"/>
      <c r="AS315" s="712"/>
      <c r="AT315" s="712"/>
      <c r="AU315" s="712"/>
      <c r="AV315" s="712"/>
      <c r="AW315" s="712"/>
      <c r="AX315" s="712"/>
      <c r="AY315" s="712"/>
    </row>
    <row r="316">
      <c r="T316" s="434"/>
      <c r="U316" s="438"/>
      <c r="V316" s="438"/>
      <c r="W316" s="438"/>
      <c r="X316" s="438"/>
      <c r="Y316" s="438"/>
      <c r="Z316" s="438"/>
      <c r="AA316" s="438"/>
      <c r="AB316" s="438"/>
      <c r="AC316" s="438"/>
      <c r="AD316" s="438"/>
      <c r="AE316" s="438"/>
      <c r="AF316" s="438"/>
      <c r="AG316" s="712"/>
      <c r="AH316" s="712"/>
      <c r="AI316" s="712"/>
      <c r="AJ316" s="712"/>
      <c r="AK316" s="712"/>
      <c r="AL316" s="712"/>
      <c r="AM316" s="712"/>
      <c r="AN316" s="712"/>
      <c r="AO316" s="712"/>
      <c r="AP316" s="712"/>
      <c r="AQ316" s="712"/>
      <c r="AR316" s="712"/>
      <c r="AS316" s="712"/>
      <c r="AT316" s="712"/>
      <c r="AU316" s="712"/>
      <c r="AV316" s="712"/>
      <c r="AW316" s="712"/>
      <c r="AX316" s="712"/>
      <c r="AY316" s="712"/>
    </row>
    <row r="317">
      <c r="T317" s="434"/>
      <c r="U317" s="438"/>
      <c r="V317" s="438"/>
      <c r="W317" s="438"/>
      <c r="X317" s="438"/>
      <c r="Y317" s="438"/>
      <c r="Z317" s="438"/>
      <c r="AA317" s="438"/>
      <c r="AB317" s="438"/>
      <c r="AC317" s="438"/>
      <c r="AD317" s="438"/>
      <c r="AE317" s="438"/>
      <c r="AF317" s="438"/>
      <c r="AG317" s="712"/>
      <c r="AH317" s="712"/>
      <c r="AI317" s="712"/>
      <c r="AJ317" s="712"/>
      <c r="AK317" s="712"/>
      <c r="AL317" s="712"/>
      <c r="AM317" s="712"/>
      <c r="AN317" s="712"/>
      <c r="AO317" s="712"/>
      <c r="AP317" s="712"/>
      <c r="AQ317" s="712"/>
      <c r="AR317" s="712"/>
      <c r="AS317" s="712"/>
      <c r="AT317" s="712"/>
      <c r="AU317" s="712"/>
      <c r="AV317" s="712"/>
      <c r="AW317" s="712"/>
      <c r="AX317" s="712"/>
      <c r="AY317" s="712"/>
    </row>
    <row r="318">
      <c r="T318" s="434"/>
      <c r="U318" s="438"/>
      <c r="V318" s="438"/>
      <c r="W318" s="438"/>
      <c r="X318" s="438"/>
      <c r="Y318" s="438"/>
      <c r="Z318" s="438"/>
      <c r="AA318" s="438"/>
      <c r="AB318" s="438"/>
      <c r="AC318" s="438"/>
      <c r="AD318" s="438"/>
      <c r="AE318" s="438"/>
      <c r="AF318" s="438"/>
      <c r="AG318" s="712"/>
      <c r="AH318" s="712"/>
      <c r="AI318" s="712"/>
      <c r="AJ318" s="712"/>
      <c r="AK318" s="712"/>
      <c r="AL318" s="712"/>
      <c r="AM318" s="712"/>
      <c r="AN318" s="712"/>
      <c r="AO318" s="712"/>
      <c r="AP318" s="712"/>
      <c r="AQ318" s="712"/>
      <c r="AR318" s="712"/>
      <c r="AS318" s="712"/>
      <c r="AT318" s="712"/>
      <c r="AU318" s="712"/>
      <c r="AV318" s="712"/>
      <c r="AW318" s="712"/>
      <c r="AX318" s="712"/>
      <c r="AY318" s="712"/>
    </row>
    <row r="319">
      <c r="T319" s="434"/>
      <c r="U319" s="438"/>
      <c r="V319" s="438"/>
      <c r="W319" s="438"/>
      <c r="X319" s="438"/>
      <c r="Y319" s="438"/>
      <c r="Z319" s="438"/>
      <c r="AA319" s="438"/>
      <c r="AB319" s="438"/>
      <c r="AC319" s="438"/>
      <c r="AD319" s="438"/>
      <c r="AE319" s="438"/>
      <c r="AF319" s="438"/>
      <c r="AG319" s="712"/>
      <c r="AH319" s="712"/>
      <c r="AI319" s="712"/>
      <c r="AJ319" s="712"/>
      <c r="AK319" s="712"/>
      <c r="AL319" s="712"/>
      <c r="AM319" s="712"/>
      <c r="AN319" s="712"/>
      <c r="AO319" s="712"/>
      <c r="AP319" s="712"/>
      <c r="AQ319" s="712"/>
      <c r="AR319" s="712"/>
      <c r="AS319" s="712"/>
      <c r="AT319" s="712"/>
      <c r="AU319" s="712"/>
      <c r="AV319" s="712"/>
      <c r="AW319" s="712"/>
      <c r="AX319" s="712"/>
      <c r="AY319" s="712"/>
    </row>
    <row r="320">
      <c r="T320" s="434"/>
      <c r="U320" s="438"/>
      <c r="V320" s="438"/>
      <c r="W320" s="438"/>
      <c r="X320" s="438"/>
      <c r="Y320" s="438"/>
      <c r="Z320" s="438"/>
      <c r="AA320" s="438"/>
      <c r="AB320" s="438"/>
      <c r="AC320" s="438"/>
      <c r="AD320" s="438"/>
      <c r="AE320" s="438"/>
      <c r="AF320" s="438"/>
      <c r="AG320" s="712"/>
      <c r="AH320" s="712"/>
      <c r="AI320" s="712"/>
      <c r="AJ320" s="712"/>
      <c r="AK320" s="712"/>
      <c r="AL320" s="712"/>
      <c r="AM320" s="712"/>
      <c r="AN320" s="712"/>
      <c r="AO320" s="712"/>
      <c r="AP320" s="712"/>
      <c r="AQ320" s="712"/>
      <c r="AR320" s="712"/>
      <c r="AS320" s="712"/>
      <c r="AT320" s="712"/>
      <c r="AU320" s="712"/>
      <c r="AV320" s="712"/>
      <c r="AW320" s="712"/>
      <c r="AX320" s="712"/>
      <c r="AY320" s="712"/>
    </row>
    <row r="321">
      <c r="T321" s="434"/>
      <c r="U321" s="438"/>
      <c r="V321" s="438"/>
      <c r="W321" s="438"/>
      <c r="X321" s="438"/>
      <c r="Y321" s="438"/>
      <c r="Z321" s="438"/>
      <c r="AA321" s="438"/>
      <c r="AB321" s="438"/>
      <c r="AC321" s="438"/>
      <c r="AD321" s="438"/>
      <c r="AE321" s="438"/>
      <c r="AF321" s="438"/>
      <c r="AG321" s="712"/>
      <c r="AH321" s="712"/>
      <c r="AI321" s="712"/>
      <c r="AJ321" s="712"/>
      <c r="AK321" s="712"/>
      <c r="AL321" s="712"/>
      <c r="AM321" s="712"/>
      <c r="AN321" s="712"/>
      <c r="AO321" s="712"/>
      <c r="AP321" s="712"/>
      <c r="AQ321" s="712"/>
      <c r="AR321" s="712"/>
      <c r="AS321" s="712"/>
      <c r="AT321" s="712"/>
      <c r="AU321" s="712"/>
      <c r="AV321" s="712"/>
      <c r="AW321" s="712"/>
      <c r="AX321" s="712"/>
      <c r="AY321" s="712"/>
    </row>
    <row r="322">
      <c r="T322" s="434"/>
      <c r="U322" s="438"/>
      <c r="V322" s="438"/>
      <c r="W322" s="438"/>
      <c r="X322" s="438"/>
      <c r="Y322" s="438"/>
      <c r="Z322" s="438"/>
      <c r="AA322" s="438"/>
      <c r="AB322" s="438"/>
      <c r="AC322" s="438"/>
      <c r="AD322" s="438"/>
      <c r="AE322" s="438"/>
      <c r="AF322" s="438"/>
      <c r="AG322" s="712"/>
      <c r="AH322" s="712"/>
      <c r="AI322" s="712"/>
      <c r="AJ322" s="712"/>
      <c r="AK322" s="712"/>
      <c r="AL322" s="712"/>
      <c r="AM322" s="712"/>
      <c r="AN322" s="712"/>
      <c r="AO322" s="712"/>
      <c r="AP322" s="712"/>
      <c r="AQ322" s="712"/>
      <c r="AR322" s="712"/>
      <c r="AS322" s="712"/>
      <c r="AT322" s="712"/>
      <c r="AU322" s="712"/>
      <c r="AV322" s="712"/>
      <c r="AW322" s="712"/>
      <c r="AX322" s="712"/>
      <c r="AY322" s="712"/>
    </row>
    <row r="323">
      <c r="T323" s="434"/>
      <c r="U323" s="438"/>
      <c r="V323" s="438"/>
      <c r="W323" s="438"/>
      <c r="X323" s="438"/>
      <c r="Y323" s="438"/>
      <c r="Z323" s="438"/>
      <c r="AA323" s="438"/>
      <c r="AB323" s="438"/>
      <c r="AC323" s="438"/>
      <c r="AD323" s="438"/>
      <c r="AE323" s="438"/>
      <c r="AF323" s="438"/>
      <c r="AG323" s="712"/>
      <c r="AH323" s="712"/>
      <c r="AI323" s="712"/>
      <c r="AJ323" s="712"/>
      <c r="AK323" s="712"/>
      <c r="AL323" s="712"/>
      <c r="AM323" s="712"/>
      <c r="AN323" s="712"/>
      <c r="AO323" s="712"/>
      <c r="AP323" s="712"/>
      <c r="AQ323" s="712"/>
      <c r="AR323" s="712"/>
      <c r="AS323" s="712"/>
      <c r="AT323" s="712"/>
      <c r="AU323" s="712"/>
      <c r="AV323" s="712"/>
      <c r="AW323" s="712"/>
      <c r="AX323" s="712"/>
      <c r="AY323" s="712"/>
    </row>
    <row r="324">
      <c r="T324" s="434"/>
      <c r="U324" s="438"/>
      <c r="V324" s="438"/>
      <c r="W324" s="438"/>
      <c r="X324" s="438"/>
      <c r="Y324" s="438"/>
      <c r="Z324" s="438"/>
      <c r="AA324" s="438"/>
      <c r="AB324" s="438"/>
      <c r="AC324" s="438"/>
      <c r="AD324" s="438"/>
      <c r="AE324" s="438"/>
      <c r="AF324" s="438"/>
      <c r="AG324" s="712"/>
      <c r="AH324" s="712"/>
      <c r="AI324" s="712"/>
      <c r="AJ324" s="712"/>
      <c r="AK324" s="712"/>
      <c r="AL324" s="712"/>
      <c r="AM324" s="712"/>
      <c r="AN324" s="712"/>
      <c r="AO324" s="712"/>
      <c r="AP324" s="712"/>
      <c r="AQ324" s="712"/>
      <c r="AR324" s="712"/>
      <c r="AS324" s="712"/>
      <c r="AT324" s="712"/>
      <c r="AU324" s="712"/>
      <c r="AV324" s="712"/>
      <c r="AW324" s="712"/>
      <c r="AX324" s="712"/>
      <c r="AY324" s="712"/>
    </row>
    <row r="325">
      <c r="T325" s="434"/>
      <c r="U325" s="438"/>
      <c r="V325" s="438"/>
      <c r="W325" s="438"/>
      <c r="X325" s="438"/>
      <c r="Y325" s="438"/>
      <c r="Z325" s="438"/>
      <c r="AA325" s="438"/>
      <c r="AB325" s="438"/>
      <c r="AC325" s="438"/>
      <c r="AD325" s="438"/>
      <c r="AE325" s="438"/>
      <c r="AF325" s="438"/>
      <c r="AG325" s="712"/>
      <c r="AH325" s="712"/>
      <c r="AI325" s="712"/>
      <c r="AJ325" s="712"/>
      <c r="AK325" s="712"/>
      <c r="AL325" s="712"/>
      <c r="AM325" s="712"/>
      <c r="AN325" s="712"/>
      <c r="AO325" s="712"/>
      <c r="AP325" s="712"/>
      <c r="AQ325" s="712"/>
      <c r="AR325" s="712"/>
      <c r="AS325" s="712"/>
      <c r="AT325" s="712"/>
      <c r="AU325" s="712"/>
      <c r="AV325" s="712"/>
      <c r="AW325" s="712"/>
      <c r="AX325" s="712"/>
      <c r="AY325" s="712"/>
    </row>
    <row r="326">
      <c r="T326" s="434"/>
      <c r="U326" s="438"/>
      <c r="V326" s="438"/>
      <c r="W326" s="438"/>
      <c r="X326" s="438"/>
      <c r="Y326" s="438"/>
      <c r="Z326" s="438"/>
      <c r="AA326" s="438"/>
      <c r="AB326" s="438"/>
      <c r="AC326" s="438"/>
      <c r="AD326" s="438"/>
      <c r="AE326" s="438"/>
      <c r="AF326" s="438"/>
      <c r="AG326" s="712"/>
      <c r="AH326" s="712"/>
      <c r="AI326" s="712"/>
      <c r="AJ326" s="712"/>
      <c r="AK326" s="712"/>
      <c r="AL326" s="712"/>
      <c r="AM326" s="712"/>
      <c r="AN326" s="712"/>
      <c r="AO326" s="712"/>
      <c r="AP326" s="712"/>
      <c r="AQ326" s="712"/>
      <c r="AR326" s="712"/>
      <c r="AS326" s="712"/>
      <c r="AT326" s="712"/>
      <c r="AU326" s="712"/>
      <c r="AV326" s="712"/>
      <c r="AW326" s="712"/>
      <c r="AX326" s="712"/>
      <c r="AY326" s="712"/>
    </row>
    <row r="327">
      <c r="T327" s="434"/>
      <c r="U327" s="438"/>
      <c r="V327" s="438"/>
      <c r="W327" s="438"/>
      <c r="X327" s="438"/>
      <c r="Y327" s="438"/>
      <c r="Z327" s="438"/>
      <c r="AA327" s="438"/>
      <c r="AB327" s="438"/>
      <c r="AC327" s="438"/>
      <c r="AD327" s="438"/>
      <c r="AE327" s="438"/>
      <c r="AF327" s="438"/>
      <c r="AG327" s="712"/>
      <c r="AH327" s="712"/>
      <c r="AI327" s="712"/>
      <c r="AJ327" s="712"/>
      <c r="AK327" s="712"/>
      <c r="AL327" s="712"/>
      <c r="AM327" s="712"/>
      <c r="AN327" s="712"/>
      <c r="AO327" s="712"/>
      <c r="AP327" s="712"/>
      <c r="AQ327" s="712"/>
      <c r="AR327" s="712"/>
      <c r="AS327" s="712"/>
      <c r="AT327" s="712"/>
      <c r="AU327" s="712"/>
      <c r="AV327" s="712"/>
      <c r="AW327" s="712"/>
      <c r="AX327" s="712"/>
      <c r="AY327" s="712"/>
    </row>
    <row r="328">
      <c r="T328" s="434"/>
      <c r="U328" s="438"/>
      <c r="V328" s="438"/>
      <c r="W328" s="438"/>
      <c r="X328" s="438"/>
      <c r="Y328" s="438"/>
      <c r="Z328" s="438"/>
      <c r="AA328" s="438"/>
      <c r="AB328" s="438"/>
      <c r="AC328" s="438"/>
      <c r="AD328" s="438"/>
      <c r="AE328" s="438"/>
      <c r="AF328" s="438"/>
      <c r="AG328" s="712"/>
      <c r="AH328" s="712"/>
      <c r="AI328" s="712"/>
      <c r="AJ328" s="712"/>
      <c r="AK328" s="712"/>
      <c r="AL328" s="712"/>
      <c r="AM328" s="712"/>
      <c r="AN328" s="712"/>
      <c r="AO328" s="712"/>
      <c r="AP328" s="712"/>
      <c r="AQ328" s="712"/>
      <c r="AR328" s="712"/>
      <c r="AS328" s="712"/>
      <c r="AT328" s="712"/>
      <c r="AU328" s="712"/>
      <c r="AV328" s="712"/>
      <c r="AW328" s="712"/>
      <c r="AX328" s="712"/>
      <c r="AY328" s="712"/>
    </row>
    <row r="329">
      <c r="T329" s="434"/>
      <c r="U329" s="438"/>
      <c r="V329" s="438"/>
      <c r="W329" s="438"/>
      <c r="X329" s="438"/>
      <c r="Y329" s="438"/>
      <c r="Z329" s="438"/>
      <c r="AA329" s="438"/>
      <c r="AB329" s="438"/>
      <c r="AC329" s="438"/>
      <c r="AD329" s="438"/>
      <c r="AE329" s="438"/>
      <c r="AF329" s="438"/>
      <c r="AG329" s="712"/>
      <c r="AH329" s="712"/>
      <c r="AI329" s="712"/>
      <c r="AJ329" s="712"/>
      <c r="AK329" s="712"/>
      <c r="AL329" s="712"/>
      <c r="AM329" s="712"/>
      <c r="AN329" s="712"/>
      <c r="AO329" s="712"/>
      <c r="AP329" s="712"/>
      <c r="AQ329" s="712"/>
      <c r="AR329" s="712"/>
      <c r="AS329" s="712"/>
      <c r="AT329" s="712"/>
      <c r="AU329" s="712"/>
      <c r="AV329" s="712"/>
      <c r="AW329" s="712"/>
      <c r="AX329" s="712"/>
      <c r="AY329" s="712"/>
    </row>
    <row r="330">
      <c r="T330" s="434"/>
      <c r="U330" s="438"/>
      <c r="V330" s="438"/>
      <c r="W330" s="438"/>
      <c r="X330" s="438"/>
      <c r="Y330" s="438"/>
      <c r="Z330" s="438"/>
      <c r="AA330" s="438"/>
      <c r="AB330" s="438"/>
      <c r="AC330" s="438"/>
      <c r="AD330" s="438"/>
      <c r="AE330" s="438"/>
      <c r="AF330" s="438"/>
      <c r="AG330" s="712"/>
      <c r="AH330" s="712"/>
      <c r="AI330" s="712"/>
      <c r="AJ330" s="712"/>
      <c r="AK330" s="712"/>
      <c r="AL330" s="712"/>
      <c r="AM330" s="712"/>
      <c r="AN330" s="712"/>
      <c r="AO330" s="712"/>
      <c r="AP330" s="712"/>
      <c r="AQ330" s="712"/>
      <c r="AR330" s="712"/>
      <c r="AS330" s="712"/>
      <c r="AT330" s="712"/>
      <c r="AU330" s="712"/>
      <c r="AV330" s="712"/>
      <c r="AW330" s="712"/>
      <c r="AX330" s="712"/>
      <c r="AY330" s="712"/>
    </row>
    <row r="331">
      <c r="T331" s="434"/>
      <c r="U331" s="438"/>
      <c r="V331" s="438"/>
      <c r="W331" s="438"/>
      <c r="X331" s="438"/>
      <c r="Y331" s="438"/>
      <c r="Z331" s="438"/>
      <c r="AA331" s="438"/>
      <c r="AB331" s="438"/>
      <c r="AC331" s="438"/>
      <c r="AD331" s="438"/>
      <c r="AE331" s="438"/>
      <c r="AF331" s="438"/>
      <c r="AG331" s="712"/>
      <c r="AH331" s="712"/>
      <c r="AI331" s="712"/>
      <c r="AJ331" s="712"/>
      <c r="AK331" s="712"/>
      <c r="AL331" s="712"/>
      <c r="AM331" s="712"/>
      <c r="AN331" s="712"/>
      <c r="AO331" s="712"/>
      <c r="AP331" s="712"/>
      <c r="AQ331" s="712"/>
      <c r="AR331" s="712"/>
      <c r="AS331" s="712"/>
      <c r="AT331" s="712"/>
      <c r="AU331" s="712"/>
      <c r="AV331" s="712"/>
      <c r="AW331" s="712"/>
      <c r="AX331" s="712"/>
      <c r="AY331" s="712"/>
    </row>
    <row r="332">
      <c r="T332" s="434"/>
      <c r="U332" s="438"/>
      <c r="V332" s="438"/>
      <c r="W332" s="438"/>
      <c r="X332" s="438"/>
      <c r="Y332" s="438"/>
      <c r="Z332" s="438"/>
      <c r="AA332" s="438"/>
      <c r="AB332" s="438"/>
      <c r="AC332" s="438"/>
      <c r="AD332" s="438"/>
      <c r="AE332" s="438"/>
      <c r="AF332" s="438"/>
      <c r="AG332" s="712"/>
      <c r="AH332" s="712"/>
      <c r="AI332" s="712"/>
      <c r="AJ332" s="712"/>
      <c r="AK332" s="712"/>
      <c r="AL332" s="712"/>
      <c r="AM332" s="712"/>
      <c r="AN332" s="712"/>
      <c r="AO332" s="712"/>
      <c r="AP332" s="712"/>
      <c r="AQ332" s="712"/>
      <c r="AR332" s="712"/>
      <c r="AS332" s="712"/>
      <c r="AT332" s="712"/>
      <c r="AU332" s="712"/>
      <c r="AV332" s="712"/>
      <c r="AW332" s="712"/>
      <c r="AX332" s="712"/>
      <c r="AY332" s="712"/>
    </row>
    <row r="333">
      <c r="T333" s="434"/>
      <c r="U333" s="438"/>
      <c r="V333" s="438"/>
      <c r="W333" s="438"/>
      <c r="X333" s="438"/>
      <c r="Y333" s="438"/>
      <c r="Z333" s="438"/>
      <c r="AA333" s="438"/>
      <c r="AB333" s="438"/>
      <c r="AC333" s="438"/>
      <c r="AD333" s="438"/>
      <c r="AE333" s="438"/>
      <c r="AF333" s="438"/>
      <c r="AG333" s="712"/>
      <c r="AH333" s="712"/>
      <c r="AI333" s="712"/>
      <c r="AJ333" s="712"/>
      <c r="AK333" s="712"/>
      <c r="AL333" s="712"/>
      <c r="AM333" s="712"/>
      <c r="AN333" s="712"/>
      <c r="AO333" s="712"/>
      <c r="AP333" s="712"/>
      <c r="AQ333" s="712"/>
      <c r="AR333" s="712"/>
      <c r="AS333" s="712"/>
      <c r="AT333" s="712"/>
      <c r="AU333" s="712"/>
      <c r="AV333" s="712"/>
      <c r="AW333" s="712"/>
      <c r="AX333" s="712"/>
      <c r="AY333" s="712"/>
    </row>
    <row r="334">
      <c r="T334" s="434"/>
      <c r="U334" s="438"/>
      <c r="V334" s="438"/>
      <c r="W334" s="438"/>
      <c r="X334" s="438"/>
      <c r="Y334" s="438"/>
      <c r="Z334" s="438"/>
      <c r="AA334" s="438"/>
      <c r="AB334" s="438"/>
      <c r="AC334" s="438"/>
      <c r="AD334" s="438"/>
      <c r="AE334" s="438"/>
      <c r="AF334" s="438"/>
      <c r="AG334" s="712"/>
      <c r="AH334" s="712"/>
      <c r="AI334" s="712"/>
      <c r="AJ334" s="712"/>
      <c r="AK334" s="712"/>
      <c r="AL334" s="712"/>
      <c r="AM334" s="712"/>
      <c r="AN334" s="712"/>
      <c r="AO334" s="712"/>
      <c r="AP334" s="712"/>
      <c r="AQ334" s="712"/>
      <c r="AR334" s="712"/>
      <c r="AS334" s="712"/>
      <c r="AT334" s="712"/>
      <c r="AU334" s="712"/>
      <c r="AV334" s="712"/>
      <c r="AW334" s="712"/>
      <c r="AX334" s="712"/>
      <c r="AY334" s="712"/>
    </row>
    <row r="335">
      <c r="T335" s="434"/>
      <c r="U335" s="438"/>
      <c r="V335" s="438"/>
      <c r="W335" s="438"/>
      <c r="X335" s="438"/>
      <c r="Y335" s="438"/>
      <c r="Z335" s="438"/>
      <c r="AA335" s="438"/>
      <c r="AB335" s="438"/>
      <c r="AC335" s="438"/>
      <c r="AD335" s="438"/>
      <c r="AE335" s="438"/>
      <c r="AF335" s="438"/>
      <c r="AG335" s="712"/>
      <c r="AH335" s="712"/>
      <c r="AI335" s="712"/>
      <c r="AJ335" s="712"/>
      <c r="AK335" s="712"/>
      <c r="AL335" s="712"/>
      <c r="AM335" s="712"/>
      <c r="AN335" s="712"/>
      <c r="AO335" s="712"/>
      <c r="AP335" s="712"/>
      <c r="AQ335" s="712"/>
      <c r="AR335" s="712"/>
      <c r="AS335" s="712"/>
      <c r="AT335" s="712"/>
      <c r="AU335" s="712"/>
      <c r="AV335" s="712"/>
      <c r="AW335" s="712"/>
      <c r="AX335" s="712"/>
      <c r="AY335" s="712"/>
    </row>
    <row r="336">
      <c r="T336" s="434"/>
      <c r="U336" s="438"/>
      <c r="V336" s="438"/>
      <c r="W336" s="438"/>
      <c r="X336" s="438"/>
      <c r="Y336" s="438"/>
      <c r="Z336" s="438"/>
      <c r="AA336" s="438"/>
      <c r="AB336" s="438"/>
      <c r="AC336" s="438"/>
      <c r="AD336" s="438"/>
      <c r="AE336" s="438"/>
      <c r="AF336" s="438"/>
      <c r="AG336" s="712"/>
      <c r="AH336" s="712"/>
      <c r="AI336" s="712"/>
      <c r="AJ336" s="712"/>
      <c r="AK336" s="712"/>
      <c r="AL336" s="712"/>
      <c r="AM336" s="712"/>
      <c r="AN336" s="712"/>
      <c r="AO336" s="712"/>
      <c r="AP336" s="712"/>
      <c r="AQ336" s="712"/>
      <c r="AR336" s="712"/>
      <c r="AS336" s="712"/>
      <c r="AT336" s="712"/>
      <c r="AU336" s="712"/>
      <c r="AV336" s="712"/>
      <c r="AW336" s="712"/>
      <c r="AX336" s="712"/>
      <c r="AY336" s="712"/>
    </row>
    <row r="337">
      <c r="T337" s="434"/>
      <c r="U337" s="438"/>
      <c r="V337" s="438"/>
      <c r="W337" s="438"/>
      <c r="X337" s="438"/>
      <c r="Y337" s="438"/>
      <c r="Z337" s="438"/>
      <c r="AA337" s="438"/>
      <c r="AB337" s="438"/>
      <c r="AC337" s="438"/>
      <c r="AD337" s="438"/>
      <c r="AE337" s="438"/>
      <c r="AF337" s="438"/>
      <c r="AG337" s="712"/>
      <c r="AH337" s="712"/>
      <c r="AI337" s="712"/>
      <c r="AJ337" s="712"/>
      <c r="AK337" s="712"/>
      <c r="AL337" s="712"/>
      <c r="AM337" s="712"/>
      <c r="AN337" s="712"/>
      <c r="AO337" s="712"/>
      <c r="AP337" s="712"/>
      <c r="AQ337" s="712"/>
      <c r="AR337" s="712"/>
      <c r="AS337" s="712"/>
      <c r="AT337" s="712"/>
      <c r="AU337" s="712"/>
      <c r="AV337" s="712"/>
      <c r="AW337" s="712"/>
      <c r="AX337" s="712"/>
      <c r="AY337" s="712"/>
    </row>
    <row r="338">
      <c r="T338" s="434"/>
      <c r="U338" s="438"/>
      <c r="V338" s="438"/>
      <c r="W338" s="438"/>
      <c r="X338" s="438"/>
      <c r="Y338" s="438"/>
      <c r="Z338" s="438"/>
      <c r="AA338" s="438"/>
      <c r="AB338" s="438"/>
      <c r="AC338" s="438"/>
      <c r="AD338" s="438"/>
      <c r="AE338" s="438"/>
      <c r="AF338" s="438"/>
      <c r="AG338" s="712"/>
      <c r="AH338" s="712"/>
      <c r="AI338" s="712"/>
      <c r="AJ338" s="712"/>
      <c r="AK338" s="712"/>
      <c r="AL338" s="712"/>
      <c r="AM338" s="712"/>
      <c r="AN338" s="712"/>
      <c r="AO338" s="712"/>
      <c r="AP338" s="712"/>
      <c r="AQ338" s="712"/>
      <c r="AR338" s="712"/>
      <c r="AS338" s="712"/>
      <c r="AT338" s="712"/>
      <c r="AU338" s="712"/>
      <c r="AV338" s="712"/>
      <c r="AW338" s="712"/>
      <c r="AX338" s="712"/>
      <c r="AY338" s="712"/>
    </row>
    <row r="339">
      <c r="T339" s="434"/>
      <c r="U339" s="438"/>
      <c r="V339" s="438"/>
      <c r="W339" s="438"/>
      <c r="X339" s="438"/>
      <c r="Y339" s="438"/>
      <c r="Z339" s="438"/>
      <c r="AA339" s="438"/>
      <c r="AB339" s="438"/>
      <c r="AC339" s="438"/>
      <c r="AD339" s="438"/>
      <c r="AE339" s="438"/>
      <c r="AF339" s="438"/>
      <c r="AG339" s="712"/>
      <c r="AH339" s="712"/>
      <c r="AI339" s="712"/>
      <c r="AJ339" s="712"/>
      <c r="AK339" s="712"/>
      <c r="AL339" s="712"/>
      <c r="AM339" s="712"/>
      <c r="AN339" s="712"/>
      <c r="AO339" s="712"/>
      <c r="AP339" s="712"/>
      <c r="AQ339" s="712"/>
      <c r="AR339" s="712"/>
      <c r="AS339" s="712"/>
      <c r="AT339" s="712"/>
      <c r="AU339" s="712"/>
      <c r="AV339" s="712"/>
      <c r="AW339" s="712"/>
      <c r="AX339" s="712"/>
      <c r="AY339" s="712"/>
    </row>
    <row r="340">
      <c r="T340" s="434"/>
      <c r="U340" s="438"/>
      <c r="V340" s="438"/>
      <c r="W340" s="438"/>
      <c r="X340" s="438"/>
      <c r="Y340" s="438"/>
      <c r="Z340" s="438"/>
      <c r="AA340" s="438"/>
      <c r="AB340" s="438"/>
      <c r="AC340" s="438"/>
      <c r="AD340" s="438"/>
      <c r="AE340" s="438"/>
      <c r="AF340" s="438"/>
      <c r="AG340" s="712"/>
      <c r="AH340" s="712"/>
      <c r="AI340" s="712"/>
      <c r="AJ340" s="712"/>
      <c r="AK340" s="712"/>
      <c r="AL340" s="712"/>
      <c r="AM340" s="712"/>
      <c r="AN340" s="712"/>
      <c r="AO340" s="712"/>
      <c r="AP340" s="712"/>
      <c r="AQ340" s="712"/>
      <c r="AR340" s="712"/>
      <c r="AS340" s="712"/>
      <c r="AT340" s="712"/>
      <c r="AU340" s="712"/>
      <c r="AV340" s="712"/>
      <c r="AW340" s="712"/>
      <c r="AX340" s="712"/>
      <c r="AY340" s="712"/>
    </row>
    <row r="341">
      <c r="T341" s="434"/>
      <c r="U341" s="438"/>
      <c r="V341" s="438"/>
      <c r="W341" s="438"/>
      <c r="X341" s="438"/>
      <c r="Y341" s="438"/>
      <c r="Z341" s="438"/>
      <c r="AA341" s="438"/>
      <c r="AB341" s="438"/>
      <c r="AC341" s="438"/>
      <c r="AD341" s="438"/>
      <c r="AE341" s="438"/>
      <c r="AF341" s="438"/>
      <c r="AG341" s="712"/>
      <c r="AH341" s="712"/>
      <c r="AI341" s="712"/>
      <c r="AJ341" s="712"/>
      <c r="AK341" s="712"/>
      <c r="AL341" s="712"/>
      <c r="AM341" s="712"/>
      <c r="AN341" s="712"/>
      <c r="AO341" s="712"/>
      <c r="AP341" s="712"/>
      <c r="AQ341" s="712"/>
      <c r="AR341" s="712"/>
      <c r="AS341" s="712"/>
      <c r="AT341" s="712"/>
      <c r="AU341" s="712"/>
      <c r="AV341" s="712"/>
      <c r="AW341" s="712"/>
      <c r="AX341" s="712"/>
      <c r="AY341" s="712"/>
    </row>
    <row r="342">
      <c r="T342" s="434"/>
      <c r="U342" s="438"/>
      <c r="V342" s="438"/>
      <c r="W342" s="438"/>
      <c r="X342" s="438"/>
      <c r="Y342" s="438"/>
      <c r="Z342" s="438"/>
      <c r="AA342" s="438"/>
      <c r="AB342" s="438"/>
      <c r="AC342" s="438"/>
      <c r="AD342" s="438"/>
      <c r="AE342" s="438"/>
      <c r="AF342" s="438"/>
      <c r="AG342" s="712"/>
      <c r="AH342" s="712"/>
      <c r="AI342" s="712"/>
      <c r="AJ342" s="712"/>
      <c r="AK342" s="712"/>
      <c r="AL342" s="712"/>
      <c r="AM342" s="712"/>
      <c r="AN342" s="712"/>
      <c r="AO342" s="712"/>
      <c r="AP342" s="712"/>
      <c r="AQ342" s="712"/>
      <c r="AR342" s="712"/>
      <c r="AS342" s="712"/>
      <c r="AT342" s="712"/>
      <c r="AU342" s="712"/>
      <c r="AV342" s="712"/>
      <c r="AW342" s="712"/>
      <c r="AX342" s="712"/>
      <c r="AY342" s="712"/>
    </row>
    <row r="343">
      <c r="T343" s="434"/>
      <c r="U343" s="438"/>
      <c r="V343" s="438"/>
      <c r="W343" s="438"/>
      <c r="X343" s="438"/>
      <c r="Y343" s="438"/>
      <c r="Z343" s="438"/>
      <c r="AA343" s="438"/>
      <c r="AB343" s="438"/>
      <c r="AC343" s="438"/>
      <c r="AD343" s="438"/>
      <c r="AE343" s="438"/>
      <c r="AF343" s="438"/>
      <c r="AG343" s="712"/>
      <c r="AH343" s="712"/>
      <c r="AI343" s="712"/>
      <c r="AJ343" s="712"/>
      <c r="AK343" s="712"/>
      <c r="AL343" s="712"/>
      <c r="AM343" s="712"/>
      <c r="AN343" s="712"/>
      <c r="AO343" s="712"/>
      <c r="AP343" s="712"/>
      <c r="AQ343" s="712"/>
      <c r="AR343" s="712"/>
      <c r="AS343" s="712"/>
      <c r="AT343" s="712"/>
      <c r="AU343" s="712"/>
      <c r="AV343" s="712"/>
      <c r="AW343" s="712"/>
      <c r="AX343" s="712"/>
      <c r="AY343" s="712"/>
    </row>
    <row r="344">
      <c r="T344" s="434"/>
      <c r="U344" s="438"/>
      <c r="V344" s="438"/>
      <c r="W344" s="438"/>
      <c r="X344" s="438"/>
      <c r="Y344" s="438"/>
      <c r="Z344" s="438"/>
      <c r="AA344" s="438"/>
      <c r="AB344" s="438"/>
      <c r="AC344" s="438"/>
      <c r="AD344" s="438"/>
      <c r="AE344" s="438"/>
      <c r="AF344" s="438"/>
      <c r="AG344" s="712"/>
      <c r="AH344" s="712"/>
      <c r="AI344" s="712"/>
      <c r="AJ344" s="712"/>
      <c r="AK344" s="712"/>
      <c r="AL344" s="712"/>
      <c r="AM344" s="712"/>
      <c r="AN344" s="712"/>
      <c r="AO344" s="712"/>
      <c r="AP344" s="712"/>
      <c r="AQ344" s="712"/>
      <c r="AR344" s="712"/>
      <c r="AS344" s="712"/>
      <c r="AT344" s="712"/>
      <c r="AU344" s="712"/>
      <c r="AV344" s="712"/>
      <c r="AW344" s="712"/>
      <c r="AX344" s="712"/>
      <c r="AY344" s="712"/>
    </row>
    <row r="345">
      <c r="T345" s="434"/>
      <c r="U345" s="438"/>
      <c r="V345" s="438"/>
      <c r="W345" s="438"/>
      <c r="X345" s="438"/>
      <c r="Y345" s="438"/>
      <c r="Z345" s="438"/>
      <c r="AA345" s="438"/>
      <c r="AB345" s="438"/>
      <c r="AC345" s="438"/>
      <c r="AD345" s="438"/>
      <c r="AE345" s="438"/>
      <c r="AF345" s="438"/>
      <c r="AG345" s="712"/>
      <c r="AH345" s="712"/>
      <c r="AI345" s="712"/>
      <c r="AJ345" s="712"/>
      <c r="AK345" s="712"/>
      <c r="AL345" s="712"/>
      <c r="AM345" s="712"/>
      <c r="AN345" s="712"/>
      <c r="AO345" s="712"/>
      <c r="AP345" s="712"/>
      <c r="AQ345" s="712"/>
      <c r="AR345" s="712"/>
      <c r="AS345" s="712"/>
      <c r="AT345" s="712"/>
      <c r="AU345" s="712"/>
      <c r="AV345" s="712"/>
      <c r="AW345" s="712"/>
      <c r="AX345" s="712"/>
      <c r="AY345" s="712"/>
    </row>
    <row r="346">
      <c r="T346" s="434"/>
      <c r="U346" s="438"/>
      <c r="V346" s="438"/>
      <c r="W346" s="438"/>
      <c r="X346" s="438"/>
      <c r="Y346" s="438"/>
      <c r="Z346" s="438"/>
      <c r="AA346" s="438"/>
      <c r="AB346" s="438"/>
      <c r="AC346" s="438"/>
      <c r="AD346" s="438"/>
      <c r="AE346" s="438"/>
      <c r="AF346" s="438"/>
      <c r="AG346" s="712"/>
      <c r="AH346" s="712"/>
      <c r="AI346" s="712"/>
      <c r="AJ346" s="712"/>
      <c r="AK346" s="712"/>
      <c r="AL346" s="712"/>
      <c r="AM346" s="712"/>
      <c r="AN346" s="712"/>
      <c r="AO346" s="712"/>
      <c r="AP346" s="712"/>
      <c r="AQ346" s="712"/>
      <c r="AR346" s="712"/>
      <c r="AS346" s="712"/>
      <c r="AT346" s="712"/>
      <c r="AU346" s="712"/>
      <c r="AV346" s="712"/>
      <c r="AW346" s="712"/>
      <c r="AX346" s="712"/>
      <c r="AY346" s="712"/>
    </row>
    <row r="347">
      <c r="T347" s="434"/>
      <c r="U347" s="438"/>
      <c r="V347" s="438"/>
      <c r="W347" s="438"/>
      <c r="X347" s="438"/>
      <c r="Y347" s="438"/>
      <c r="Z347" s="438"/>
      <c r="AA347" s="438"/>
      <c r="AB347" s="438"/>
      <c r="AC347" s="438"/>
      <c r="AD347" s="438"/>
      <c r="AE347" s="438"/>
      <c r="AF347" s="438"/>
      <c r="AG347" s="712"/>
      <c r="AH347" s="712"/>
      <c r="AI347" s="712"/>
      <c r="AJ347" s="712"/>
      <c r="AK347" s="712"/>
      <c r="AL347" s="712"/>
      <c r="AM347" s="712"/>
      <c r="AN347" s="712"/>
      <c r="AO347" s="712"/>
      <c r="AP347" s="712"/>
      <c r="AQ347" s="712"/>
      <c r="AR347" s="712"/>
      <c r="AS347" s="712"/>
      <c r="AT347" s="712"/>
      <c r="AU347" s="712"/>
      <c r="AV347" s="712"/>
      <c r="AW347" s="712"/>
      <c r="AX347" s="712"/>
      <c r="AY347" s="712"/>
    </row>
    <row r="348">
      <c r="T348" s="434"/>
      <c r="U348" s="438"/>
      <c r="V348" s="438"/>
      <c r="W348" s="438"/>
      <c r="X348" s="438"/>
      <c r="Y348" s="438"/>
      <c r="Z348" s="438"/>
      <c r="AA348" s="438"/>
      <c r="AB348" s="438"/>
      <c r="AC348" s="438"/>
      <c r="AD348" s="438"/>
      <c r="AE348" s="438"/>
      <c r="AF348" s="438"/>
      <c r="AG348" s="712"/>
      <c r="AH348" s="712"/>
      <c r="AI348" s="712"/>
      <c r="AJ348" s="712"/>
      <c r="AK348" s="712"/>
      <c r="AL348" s="712"/>
      <c r="AM348" s="712"/>
      <c r="AN348" s="712"/>
      <c r="AO348" s="712"/>
      <c r="AP348" s="712"/>
      <c r="AQ348" s="712"/>
      <c r="AR348" s="712"/>
      <c r="AS348" s="712"/>
      <c r="AT348" s="712"/>
      <c r="AU348" s="712"/>
      <c r="AV348" s="712"/>
      <c r="AW348" s="712"/>
      <c r="AX348" s="712"/>
      <c r="AY348" s="712"/>
    </row>
    <row r="349">
      <c r="T349" s="434"/>
      <c r="U349" s="438"/>
      <c r="V349" s="438"/>
      <c r="W349" s="438"/>
      <c r="X349" s="438"/>
      <c r="Y349" s="438"/>
      <c r="Z349" s="438"/>
      <c r="AA349" s="438"/>
      <c r="AB349" s="438"/>
      <c r="AC349" s="438"/>
      <c r="AD349" s="438"/>
      <c r="AE349" s="438"/>
      <c r="AF349" s="438"/>
      <c r="AG349" s="712"/>
      <c r="AH349" s="712"/>
      <c r="AI349" s="712"/>
      <c r="AJ349" s="712"/>
      <c r="AK349" s="712"/>
      <c r="AL349" s="712"/>
      <c r="AM349" s="712"/>
      <c r="AN349" s="712"/>
      <c r="AO349" s="712"/>
      <c r="AP349" s="712"/>
      <c r="AQ349" s="712"/>
      <c r="AR349" s="712"/>
      <c r="AS349" s="712"/>
      <c r="AT349" s="712"/>
      <c r="AU349" s="712"/>
      <c r="AV349" s="712"/>
      <c r="AW349" s="712"/>
      <c r="AX349" s="712"/>
      <c r="AY349" s="712"/>
    </row>
    <row r="350">
      <c r="T350" s="434"/>
      <c r="U350" s="438"/>
      <c r="V350" s="438"/>
      <c r="W350" s="438"/>
      <c r="X350" s="438"/>
      <c r="Y350" s="438"/>
      <c r="Z350" s="438"/>
      <c r="AA350" s="438"/>
      <c r="AB350" s="438"/>
      <c r="AC350" s="438"/>
      <c r="AD350" s="438"/>
      <c r="AE350" s="438"/>
      <c r="AF350" s="438"/>
      <c r="AG350" s="712"/>
      <c r="AH350" s="712"/>
      <c r="AI350" s="712"/>
      <c r="AJ350" s="712"/>
      <c r="AK350" s="712"/>
      <c r="AL350" s="712"/>
      <c r="AM350" s="712"/>
      <c r="AN350" s="712"/>
      <c r="AO350" s="712"/>
      <c r="AP350" s="712"/>
      <c r="AQ350" s="712"/>
      <c r="AR350" s="712"/>
      <c r="AS350" s="712"/>
      <c r="AT350" s="712"/>
      <c r="AU350" s="712"/>
      <c r="AV350" s="712"/>
      <c r="AW350" s="712"/>
      <c r="AX350" s="712"/>
      <c r="AY350" s="712"/>
    </row>
    <row r="351">
      <c r="T351" s="434"/>
      <c r="U351" s="438"/>
      <c r="V351" s="438"/>
      <c r="W351" s="438"/>
      <c r="X351" s="438"/>
      <c r="Y351" s="438"/>
      <c r="Z351" s="438"/>
      <c r="AA351" s="438"/>
      <c r="AB351" s="438"/>
      <c r="AC351" s="438"/>
      <c r="AD351" s="438"/>
      <c r="AE351" s="438"/>
      <c r="AF351" s="438"/>
      <c r="AG351" s="712"/>
      <c r="AH351" s="712"/>
      <c r="AI351" s="712"/>
      <c r="AJ351" s="712"/>
      <c r="AK351" s="712"/>
      <c r="AL351" s="712"/>
      <c r="AM351" s="712"/>
      <c r="AN351" s="712"/>
      <c r="AO351" s="712"/>
      <c r="AP351" s="712"/>
      <c r="AQ351" s="712"/>
      <c r="AR351" s="712"/>
      <c r="AS351" s="712"/>
      <c r="AT351" s="712"/>
      <c r="AU351" s="712"/>
      <c r="AV351" s="712"/>
      <c r="AW351" s="712"/>
      <c r="AX351" s="712"/>
      <c r="AY351" s="712"/>
    </row>
    <row r="352">
      <c r="T352" s="434"/>
      <c r="U352" s="438"/>
      <c r="V352" s="438"/>
      <c r="W352" s="438"/>
      <c r="X352" s="438"/>
      <c r="Y352" s="438"/>
      <c r="Z352" s="438"/>
      <c r="AA352" s="438"/>
      <c r="AB352" s="438"/>
      <c r="AC352" s="438"/>
      <c r="AD352" s="438"/>
      <c r="AE352" s="438"/>
      <c r="AF352" s="438"/>
      <c r="AG352" s="712"/>
      <c r="AH352" s="712"/>
      <c r="AI352" s="712"/>
      <c r="AJ352" s="712"/>
      <c r="AK352" s="712"/>
      <c r="AL352" s="712"/>
      <c r="AM352" s="712"/>
      <c r="AN352" s="712"/>
      <c r="AO352" s="712"/>
      <c r="AP352" s="712"/>
      <c r="AQ352" s="712"/>
      <c r="AR352" s="712"/>
      <c r="AS352" s="712"/>
      <c r="AT352" s="712"/>
      <c r="AU352" s="712"/>
      <c r="AV352" s="712"/>
      <c r="AW352" s="712"/>
      <c r="AX352" s="712"/>
      <c r="AY352" s="712"/>
    </row>
    <row r="353">
      <c r="T353" s="434"/>
      <c r="U353" s="438"/>
      <c r="V353" s="438"/>
      <c r="W353" s="438"/>
      <c r="X353" s="438"/>
      <c r="Y353" s="438"/>
      <c r="Z353" s="438"/>
      <c r="AA353" s="438"/>
      <c r="AB353" s="438"/>
      <c r="AC353" s="438"/>
      <c r="AD353" s="438"/>
      <c r="AE353" s="438"/>
      <c r="AF353" s="438"/>
      <c r="AG353" s="712"/>
      <c r="AH353" s="712"/>
      <c r="AI353" s="712"/>
      <c r="AJ353" s="712"/>
      <c r="AK353" s="712"/>
      <c r="AL353" s="712"/>
      <c r="AM353" s="712"/>
      <c r="AN353" s="712"/>
      <c r="AO353" s="712"/>
      <c r="AP353" s="712"/>
      <c r="AQ353" s="712"/>
      <c r="AR353" s="712"/>
      <c r="AS353" s="712"/>
      <c r="AT353" s="712"/>
      <c r="AU353" s="712"/>
      <c r="AV353" s="712"/>
      <c r="AW353" s="712"/>
      <c r="AX353" s="712"/>
      <c r="AY353" s="712"/>
    </row>
    <row r="354">
      <c r="T354" s="434"/>
      <c r="U354" s="438"/>
      <c r="V354" s="438"/>
      <c r="W354" s="438"/>
      <c r="X354" s="438"/>
      <c r="Y354" s="438"/>
      <c r="Z354" s="438"/>
      <c r="AA354" s="438"/>
      <c r="AB354" s="438"/>
      <c r="AC354" s="438"/>
      <c r="AD354" s="438"/>
      <c r="AE354" s="438"/>
      <c r="AF354" s="438"/>
      <c r="AG354" s="712"/>
      <c r="AH354" s="712"/>
      <c r="AI354" s="712"/>
      <c r="AJ354" s="712"/>
      <c r="AK354" s="712"/>
      <c r="AL354" s="712"/>
      <c r="AM354" s="712"/>
      <c r="AN354" s="712"/>
      <c r="AO354" s="712"/>
      <c r="AP354" s="712"/>
      <c r="AQ354" s="712"/>
      <c r="AR354" s="712"/>
      <c r="AS354" s="712"/>
      <c r="AT354" s="712"/>
      <c r="AU354" s="712"/>
      <c r="AV354" s="712"/>
      <c r="AW354" s="712"/>
      <c r="AX354" s="712"/>
      <c r="AY354" s="712"/>
    </row>
    <row r="355">
      <c r="T355" s="434"/>
      <c r="U355" s="438"/>
      <c r="V355" s="438"/>
      <c r="W355" s="438"/>
      <c r="X355" s="438"/>
      <c r="Y355" s="438"/>
      <c r="Z355" s="438"/>
      <c r="AA355" s="438"/>
      <c r="AB355" s="438"/>
      <c r="AC355" s="438"/>
      <c r="AD355" s="438"/>
      <c r="AE355" s="438"/>
      <c r="AF355" s="438"/>
      <c r="AG355" s="712"/>
      <c r="AH355" s="712"/>
      <c r="AI355" s="712"/>
      <c r="AJ355" s="712"/>
      <c r="AK355" s="712"/>
      <c r="AL355" s="712"/>
      <c r="AM355" s="712"/>
      <c r="AN355" s="712"/>
      <c r="AO355" s="712"/>
      <c r="AP355" s="712"/>
      <c r="AQ355" s="712"/>
      <c r="AR355" s="712"/>
      <c r="AS355" s="712"/>
      <c r="AT355" s="712"/>
      <c r="AU355" s="712"/>
      <c r="AV355" s="712"/>
      <c r="AW355" s="712"/>
      <c r="AX355" s="712"/>
      <c r="AY355" s="712"/>
    </row>
    <row r="356">
      <c r="T356" s="434"/>
      <c r="U356" s="438"/>
      <c r="V356" s="438"/>
      <c r="W356" s="438"/>
      <c r="X356" s="438"/>
      <c r="Y356" s="438"/>
      <c r="Z356" s="438"/>
      <c r="AA356" s="438"/>
      <c r="AB356" s="438"/>
      <c r="AC356" s="438"/>
      <c r="AD356" s="438"/>
      <c r="AE356" s="438"/>
      <c r="AF356" s="438"/>
      <c r="AG356" s="712"/>
      <c r="AH356" s="712"/>
      <c r="AI356" s="712"/>
      <c r="AJ356" s="712"/>
      <c r="AK356" s="712"/>
      <c r="AL356" s="712"/>
      <c r="AM356" s="712"/>
      <c r="AN356" s="712"/>
      <c r="AO356" s="712"/>
      <c r="AP356" s="712"/>
      <c r="AQ356" s="712"/>
      <c r="AR356" s="712"/>
      <c r="AS356" s="712"/>
      <c r="AT356" s="712"/>
      <c r="AU356" s="712"/>
      <c r="AV356" s="712"/>
      <c r="AW356" s="712"/>
      <c r="AX356" s="712"/>
      <c r="AY356" s="712"/>
    </row>
    <row r="357">
      <c r="T357" s="434"/>
      <c r="U357" s="438"/>
      <c r="V357" s="438"/>
      <c r="W357" s="438"/>
      <c r="X357" s="438"/>
      <c r="Y357" s="438"/>
      <c r="Z357" s="438"/>
      <c r="AA357" s="438"/>
      <c r="AB357" s="438"/>
      <c r="AC357" s="438"/>
      <c r="AD357" s="438"/>
      <c r="AE357" s="438"/>
      <c r="AF357" s="438"/>
      <c r="AG357" s="712"/>
      <c r="AH357" s="712"/>
      <c r="AI357" s="712"/>
      <c r="AJ357" s="712"/>
      <c r="AK357" s="712"/>
      <c r="AL357" s="712"/>
      <c r="AM357" s="712"/>
      <c r="AN357" s="712"/>
      <c r="AO357" s="712"/>
      <c r="AP357" s="712"/>
      <c r="AQ357" s="712"/>
      <c r="AR357" s="712"/>
      <c r="AS357" s="712"/>
      <c r="AT357" s="712"/>
      <c r="AU357" s="712"/>
      <c r="AV357" s="712"/>
      <c r="AW357" s="712"/>
      <c r="AX357" s="712"/>
      <c r="AY357" s="712"/>
    </row>
    <row r="358">
      <c r="T358" s="434"/>
      <c r="U358" s="438"/>
      <c r="V358" s="438"/>
      <c r="W358" s="438"/>
      <c r="X358" s="438"/>
      <c r="Y358" s="438"/>
      <c r="Z358" s="438"/>
      <c r="AA358" s="438"/>
      <c r="AB358" s="438"/>
      <c r="AC358" s="438"/>
      <c r="AD358" s="438"/>
      <c r="AE358" s="438"/>
      <c r="AF358" s="438"/>
      <c r="AG358" s="712"/>
      <c r="AH358" s="712"/>
      <c r="AI358" s="712"/>
      <c r="AJ358" s="712"/>
      <c r="AK358" s="712"/>
      <c r="AL358" s="712"/>
      <c r="AM358" s="712"/>
      <c r="AN358" s="712"/>
      <c r="AO358" s="712"/>
      <c r="AP358" s="712"/>
      <c r="AQ358" s="712"/>
      <c r="AR358" s="712"/>
      <c r="AS358" s="712"/>
      <c r="AT358" s="712"/>
      <c r="AU358" s="712"/>
      <c r="AV358" s="712"/>
      <c r="AW358" s="712"/>
      <c r="AX358" s="712"/>
      <c r="AY358" s="712"/>
    </row>
    <row r="359">
      <c r="T359" s="434"/>
      <c r="U359" s="438"/>
      <c r="V359" s="438"/>
      <c r="W359" s="438"/>
      <c r="X359" s="438"/>
      <c r="Y359" s="438"/>
      <c r="Z359" s="438"/>
      <c r="AA359" s="438"/>
      <c r="AB359" s="438"/>
      <c r="AC359" s="438"/>
      <c r="AD359" s="438"/>
      <c r="AE359" s="438"/>
      <c r="AF359" s="438"/>
      <c r="AG359" s="712"/>
      <c r="AH359" s="712"/>
      <c r="AI359" s="712"/>
      <c r="AJ359" s="712"/>
      <c r="AK359" s="712"/>
      <c r="AL359" s="712"/>
      <c r="AM359" s="712"/>
      <c r="AN359" s="712"/>
      <c r="AO359" s="712"/>
      <c r="AP359" s="712"/>
      <c r="AQ359" s="712"/>
      <c r="AR359" s="712"/>
      <c r="AS359" s="712"/>
      <c r="AT359" s="712"/>
      <c r="AU359" s="712"/>
      <c r="AV359" s="712"/>
      <c r="AW359" s="712"/>
      <c r="AX359" s="712"/>
      <c r="AY359" s="712"/>
    </row>
    <row r="360">
      <c r="T360" s="434"/>
      <c r="U360" s="438"/>
      <c r="V360" s="438"/>
      <c r="W360" s="438"/>
      <c r="X360" s="438"/>
      <c r="Y360" s="438"/>
      <c r="Z360" s="438"/>
      <c r="AA360" s="438"/>
      <c r="AB360" s="438"/>
      <c r="AC360" s="438"/>
      <c r="AD360" s="438"/>
      <c r="AE360" s="438"/>
      <c r="AF360" s="438"/>
      <c r="AG360" s="712"/>
      <c r="AH360" s="712"/>
      <c r="AI360" s="712"/>
      <c r="AJ360" s="712"/>
      <c r="AK360" s="712"/>
      <c r="AL360" s="712"/>
      <c r="AM360" s="712"/>
      <c r="AN360" s="712"/>
      <c r="AO360" s="712"/>
      <c r="AP360" s="712"/>
      <c r="AQ360" s="712"/>
      <c r="AR360" s="712"/>
      <c r="AS360" s="712"/>
      <c r="AT360" s="712"/>
      <c r="AU360" s="712"/>
      <c r="AV360" s="712"/>
      <c r="AW360" s="712"/>
      <c r="AX360" s="712"/>
      <c r="AY360" s="712"/>
    </row>
    <row r="361">
      <c r="T361" s="434"/>
      <c r="U361" s="438"/>
      <c r="V361" s="438"/>
      <c r="W361" s="438"/>
      <c r="X361" s="438"/>
      <c r="Y361" s="438"/>
      <c r="Z361" s="438"/>
      <c r="AA361" s="438"/>
      <c r="AB361" s="438"/>
      <c r="AC361" s="438"/>
      <c r="AD361" s="438"/>
      <c r="AE361" s="438"/>
      <c r="AF361" s="438"/>
      <c r="AG361" s="712"/>
      <c r="AH361" s="712"/>
      <c r="AI361" s="712"/>
      <c r="AJ361" s="712"/>
      <c r="AK361" s="712"/>
      <c r="AL361" s="712"/>
      <c r="AM361" s="712"/>
      <c r="AN361" s="712"/>
      <c r="AO361" s="712"/>
      <c r="AP361" s="712"/>
      <c r="AQ361" s="712"/>
      <c r="AR361" s="712"/>
      <c r="AS361" s="712"/>
      <c r="AT361" s="712"/>
      <c r="AU361" s="712"/>
      <c r="AV361" s="712"/>
      <c r="AW361" s="712"/>
      <c r="AX361" s="712"/>
      <c r="AY361" s="712"/>
    </row>
    <row r="362">
      <c r="T362" s="434"/>
      <c r="U362" s="438"/>
      <c r="V362" s="438"/>
      <c r="W362" s="438"/>
      <c r="X362" s="438"/>
      <c r="Y362" s="438"/>
      <c r="Z362" s="438"/>
      <c r="AA362" s="438"/>
      <c r="AB362" s="438"/>
      <c r="AC362" s="438"/>
      <c r="AD362" s="438"/>
      <c r="AE362" s="438"/>
      <c r="AF362" s="438"/>
      <c r="AG362" s="712"/>
      <c r="AH362" s="712"/>
      <c r="AI362" s="712"/>
      <c r="AJ362" s="712"/>
      <c r="AK362" s="712"/>
      <c r="AL362" s="712"/>
      <c r="AM362" s="712"/>
      <c r="AN362" s="712"/>
      <c r="AO362" s="712"/>
      <c r="AP362" s="712"/>
      <c r="AQ362" s="712"/>
      <c r="AR362" s="712"/>
      <c r="AS362" s="712"/>
      <c r="AT362" s="712"/>
      <c r="AU362" s="712"/>
      <c r="AV362" s="712"/>
      <c r="AW362" s="712"/>
      <c r="AX362" s="712"/>
      <c r="AY362" s="712"/>
    </row>
    <row r="363">
      <c r="T363" s="434"/>
      <c r="U363" s="438"/>
      <c r="V363" s="438"/>
      <c r="W363" s="438"/>
      <c r="X363" s="438"/>
      <c r="Y363" s="438"/>
      <c r="Z363" s="438"/>
      <c r="AA363" s="438"/>
      <c r="AB363" s="438"/>
      <c r="AC363" s="438"/>
      <c r="AD363" s="438"/>
      <c r="AE363" s="438"/>
      <c r="AF363" s="438"/>
      <c r="AG363" s="712"/>
      <c r="AH363" s="712"/>
      <c r="AI363" s="712"/>
      <c r="AJ363" s="712"/>
      <c r="AK363" s="712"/>
      <c r="AL363" s="712"/>
      <c r="AM363" s="712"/>
      <c r="AN363" s="712"/>
      <c r="AO363" s="712"/>
      <c r="AP363" s="712"/>
      <c r="AQ363" s="712"/>
      <c r="AR363" s="712"/>
      <c r="AS363" s="712"/>
      <c r="AT363" s="712"/>
      <c r="AU363" s="712"/>
      <c r="AV363" s="712"/>
      <c r="AW363" s="712"/>
      <c r="AX363" s="712"/>
      <c r="AY363" s="712"/>
    </row>
    <row r="364">
      <c r="T364" s="434"/>
      <c r="U364" s="438"/>
      <c r="V364" s="438"/>
      <c r="W364" s="438"/>
      <c r="X364" s="438"/>
      <c r="Y364" s="438"/>
      <c r="Z364" s="438"/>
      <c r="AA364" s="438"/>
      <c r="AB364" s="438"/>
      <c r="AC364" s="438"/>
      <c r="AD364" s="438"/>
      <c r="AE364" s="438"/>
      <c r="AF364" s="438"/>
      <c r="AG364" s="712"/>
      <c r="AH364" s="712"/>
      <c r="AI364" s="712"/>
      <c r="AJ364" s="712"/>
      <c r="AK364" s="712"/>
      <c r="AL364" s="712"/>
      <c r="AM364" s="712"/>
      <c r="AN364" s="712"/>
      <c r="AO364" s="712"/>
      <c r="AP364" s="712"/>
      <c r="AQ364" s="712"/>
      <c r="AR364" s="712"/>
      <c r="AS364" s="712"/>
      <c r="AT364" s="712"/>
      <c r="AU364" s="712"/>
      <c r="AV364" s="712"/>
      <c r="AW364" s="712"/>
      <c r="AX364" s="712"/>
      <c r="AY364" s="712"/>
    </row>
    <row r="365">
      <c r="T365" s="434"/>
      <c r="U365" s="438"/>
      <c r="V365" s="438"/>
      <c r="W365" s="438"/>
      <c r="X365" s="438"/>
      <c r="Y365" s="438"/>
      <c r="Z365" s="438"/>
      <c r="AA365" s="438"/>
      <c r="AB365" s="438"/>
      <c r="AC365" s="438"/>
      <c r="AD365" s="438"/>
      <c r="AE365" s="438"/>
      <c r="AF365" s="438"/>
      <c r="AG365" s="712"/>
      <c r="AH365" s="712"/>
      <c r="AI365" s="712"/>
      <c r="AJ365" s="712"/>
      <c r="AK365" s="712"/>
      <c r="AL365" s="712"/>
      <c r="AM365" s="712"/>
      <c r="AN365" s="712"/>
      <c r="AO365" s="712"/>
      <c r="AP365" s="712"/>
      <c r="AQ365" s="712"/>
      <c r="AR365" s="712"/>
      <c r="AS365" s="712"/>
      <c r="AT365" s="712"/>
      <c r="AU365" s="712"/>
      <c r="AV365" s="712"/>
      <c r="AW365" s="712"/>
      <c r="AX365" s="712"/>
      <c r="AY365" s="712"/>
    </row>
    <row r="366">
      <c r="T366" s="434"/>
      <c r="U366" s="438"/>
      <c r="V366" s="438"/>
      <c r="W366" s="438"/>
      <c r="X366" s="438"/>
      <c r="Y366" s="438"/>
      <c r="Z366" s="438"/>
      <c r="AA366" s="438"/>
      <c r="AB366" s="438"/>
      <c r="AC366" s="438"/>
      <c r="AD366" s="438"/>
      <c r="AE366" s="438"/>
      <c r="AF366" s="438"/>
      <c r="AG366" s="712"/>
      <c r="AH366" s="712"/>
      <c r="AI366" s="712"/>
      <c r="AJ366" s="712"/>
      <c r="AK366" s="712"/>
      <c r="AL366" s="712"/>
      <c r="AM366" s="712"/>
      <c r="AN366" s="712"/>
      <c r="AO366" s="712"/>
      <c r="AP366" s="712"/>
      <c r="AQ366" s="712"/>
      <c r="AR366" s="712"/>
      <c r="AS366" s="712"/>
      <c r="AT366" s="712"/>
      <c r="AU366" s="712"/>
      <c r="AV366" s="712"/>
      <c r="AW366" s="712"/>
      <c r="AX366" s="712"/>
      <c r="AY366" s="712"/>
    </row>
    <row r="367">
      <c r="T367" s="434"/>
      <c r="U367" s="438"/>
      <c r="V367" s="438"/>
      <c r="W367" s="438"/>
      <c r="X367" s="438"/>
      <c r="Y367" s="438"/>
      <c r="Z367" s="438"/>
      <c r="AA367" s="438"/>
      <c r="AB367" s="438"/>
      <c r="AC367" s="438"/>
      <c r="AD367" s="438"/>
      <c r="AE367" s="438"/>
      <c r="AF367" s="438"/>
      <c r="AG367" s="712"/>
      <c r="AH367" s="712"/>
      <c r="AI367" s="712"/>
      <c r="AJ367" s="712"/>
      <c r="AK367" s="712"/>
      <c r="AL367" s="712"/>
      <c r="AM367" s="712"/>
      <c r="AN367" s="712"/>
      <c r="AO367" s="712"/>
      <c r="AP367" s="712"/>
      <c r="AQ367" s="712"/>
      <c r="AR367" s="712"/>
      <c r="AS367" s="712"/>
      <c r="AT367" s="712"/>
      <c r="AU367" s="712"/>
      <c r="AV367" s="712"/>
      <c r="AW367" s="712"/>
      <c r="AX367" s="712"/>
      <c r="AY367" s="712"/>
    </row>
    <row r="368">
      <c r="T368" s="434"/>
      <c r="U368" s="438"/>
      <c r="V368" s="438"/>
      <c r="W368" s="438"/>
      <c r="X368" s="438"/>
      <c r="Y368" s="438"/>
      <c r="Z368" s="438"/>
      <c r="AA368" s="438"/>
      <c r="AB368" s="438"/>
      <c r="AC368" s="438"/>
      <c r="AD368" s="438"/>
      <c r="AE368" s="438"/>
      <c r="AF368" s="438"/>
      <c r="AG368" s="712"/>
      <c r="AH368" s="712"/>
      <c r="AI368" s="712"/>
      <c r="AJ368" s="712"/>
      <c r="AK368" s="712"/>
      <c r="AL368" s="712"/>
      <c r="AM368" s="712"/>
      <c r="AN368" s="712"/>
      <c r="AO368" s="712"/>
      <c r="AP368" s="712"/>
      <c r="AQ368" s="712"/>
      <c r="AR368" s="712"/>
      <c r="AS368" s="712"/>
      <c r="AT368" s="712"/>
      <c r="AU368" s="712"/>
      <c r="AV368" s="712"/>
      <c r="AW368" s="712"/>
      <c r="AX368" s="712"/>
      <c r="AY368" s="712"/>
    </row>
    <row r="369">
      <c r="T369" s="434"/>
      <c r="U369" s="438"/>
      <c r="V369" s="438"/>
      <c r="W369" s="438"/>
      <c r="X369" s="438"/>
      <c r="Y369" s="438"/>
      <c r="Z369" s="438"/>
      <c r="AA369" s="438"/>
      <c r="AB369" s="438"/>
      <c r="AC369" s="438"/>
      <c r="AD369" s="438"/>
      <c r="AE369" s="438"/>
      <c r="AF369" s="438"/>
      <c r="AG369" s="712"/>
      <c r="AH369" s="712"/>
      <c r="AI369" s="712"/>
      <c r="AJ369" s="712"/>
      <c r="AK369" s="712"/>
      <c r="AL369" s="712"/>
      <c r="AM369" s="712"/>
      <c r="AN369" s="712"/>
      <c r="AO369" s="712"/>
      <c r="AP369" s="712"/>
      <c r="AQ369" s="712"/>
      <c r="AR369" s="712"/>
      <c r="AS369" s="712"/>
      <c r="AT369" s="712"/>
      <c r="AU369" s="712"/>
      <c r="AV369" s="712"/>
      <c r="AW369" s="712"/>
      <c r="AX369" s="712"/>
      <c r="AY369" s="712"/>
    </row>
    <row r="370">
      <c r="T370" s="434"/>
      <c r="U370" s="438"/>
      <c r="V370" s="438"/>
      <c r="W370" s="438"/>
      <c r="X370" s="438"/>
      <c r="Y370" s="438"/>
      <c r="Z370" s="438"/>
      <c r="AA370" s="438"/>
      <c r="AB370" s="438"/>
      <c r="AC370" s="438"/>
      <c r="AD370" s="438"/>
      <c r="AE370" s="438"/>
      <c r="AF370" s="438"/>
      <c r="AG370" s="712"/>
      <c r="AH370" s="712"/>
      <c r="AI370" s="712"/>
      <c r="AJ370" s="712"/>
      <c r="AK370" s="712"/>
      <c r="AL370" s="712"/>
      <c r="AM370" s="712"/>
      <c r="AN370" s="712"/>
      <c r="AO370" s="712"/>
      <c r="AP370" s="712"/>
      <c r="AQ370" s="712"/>
      <c r="AR370" s="712"/>
      <c r="AS370" s="712"/>
      <c r="AT370" s="712"/>
      <c r="AU370" s="712"/>
      <c r="AV370" s="712"/>
      <c r="AW370" s="712"/>
      <c r="AX370" s="712"/>
      <c r="AY370" s="712"/>
    </row>
    <row r="371">
      <c r="T371" s="434"/>
      <c r="U371" s="438"/>
      <c r="V371" s="438"/>
      <c r="W371" s="438"/>
      <c r="X371" s="438"/>
      <c r="Y371" s="438"/>
      <c r="Z371" s="438"/>
      <c r="AA371" s="438"/>
      <c r="AB371" s="438"/>
      <c r="AC371" s="438"/>
      <c r="AD371" s="438"/>
      <c r="AE371" s="438"/>
      <c r="AF371" s="438"/>
      <c r="AG371" s="712"/>
      <c r="AH371" s="712"/>
      <c r="AI371" s="712"/>
      <c r="AJ371" s="712"/>
      <c r="AK371" s="712"/>
      <c r="AL371" s="712"/>
      <c r="AM371" s="712"/>
      <c r="AN371" s="712"/>
      <c r="AO371" s="712"/>
      <c r="AP371" s="712"/>
      <c r="AQ371" s="712"/>
      <c r="AR371" s="712"/>
      <c r="AS371" s="712"/>
      <c r="AT371" s="712"/>
      <c r="AU371" s="712"/>
      <c r="AV371" s="712"/>
      <c r="AW371" s="712"/>
      <c r="AX371" s="712"/>
      <c r="AY371" s="712"/>
    </row>
    <row r="372">
      <c r="T372" s="434"/>
      <c r="U372" s="438"/>
      <c r="V372" s="438"/>
      <c r="W372" s="438"/>
      <c r="X372" s="438"/>
      <c r="Y372" s="438"/>
      <c r="Z372" s="438"/>
      <c r="AA372" s="438"/>
      <c r="AB372" s="438"/>
      <c r="AC372" s="438"/>
      <c r="AD372" s="438"/>
      <c r="AE372" s="438"/>
      <c r="AF372" s="438"/>
      <c r="AG372" s="712"/>
      <c r="AH372" s="712"/>
      <c r="AI372" s="712"/>
      <c r="AJ372" s="712"/>
      <c r="AK372" s="712"/>
      <c r="AL372" s="712"/>
      <c r="AM372" s="712"/>
      <c r="AN372" s="712"/>
      <c r="AO372" s="712"/>
      <c r="AP372" s="712"/>
      <c r="AQ372" s="712"/>
      <c r="AR372" s="712"/>
      <c r="AS372" s="712"/>
      <c r="AT372" s="712"/>
      <c r="AU372" s="712"/>
      <c r="AV372" s="712"/>
      <c r="AW372" s="712"/>
      <c r="AX372" s="712"/>
      <c r="AY372" s="712"/>
    </row>
    <row r="373">
      <c r="T373" s="434"/>
      <c r="U373" s="438"/>
      <c r="V373" s="438"/>
      <c r="W373" s="438"/>
      <c r="X373" s="438"/>
      <c r="Y373" s="438"/>
      <c r="Z373" s="438"/>
      <c r="AA373" s="438"/>
      <c r="AB373" s="438"/>
      <c r="AC373" s="438"/>
      <c r="AD373" s="438"/>
      <c r="AE373" s="438"/>
      <c r="AF373" s="438"/>
      <c r="AG373" s="712"/>
      <c r="AH373" s="712"/>
      <c r="AI373" s="712"/>
      <c r="AJ373" s="712"/>
      <c r="AK373" s="712"/>
      <c r="AL373" s="712"/>
      <c r="AM373" s="712"/>
      <c r="AN373" s="712"/>
      <c r="AO373" s="712"/>
      <c r="AP373" s="712"/>
      <c r="AQ373" s="712"/>
      <c r="AR373" s="712"/>
      <c r="AS373" s="712"/>
      <c r="AT373" s="712"/>
      <c r="AU373" s="712"/>
      <c r="AV373" s="712"/>
      <c r="AW373" s="712"/>
      <c r="AX373" s="712"/>
      <c r="AY373" s="712"/>
    </row>
    <row r="374">
      <c r="T374" s="434"/>
      <c r="U374" s="438"/>
      <c r="V374" s="438"/>
      <c r="W374" s="438"/>
      <c r="X374" s="438"/>
      <c r="Y374" s="438"/>
      <c r="Z374" s="438"/>
      <c r="AA374" s="438"/>
      <c r="AB374" s="438"/>
      <c r="AC374" s="438"/>
      <c r="AD374" s="438"/>
      <c r="AE374" s="438"/>
      <c r="AF374" s="438"/>
      <c r="AG374" s="712"/>
      <c r="AH374" s="712"/>
      <c r="AI374" s="712"/>
      <c r="AJ374" s="712"/>
      <c r="AK374" s="712"/>
      <c r="AL374" s="712"/>
      <c r="AM374" s="712"/>
      <c r="AN374" s="712"/>
      <c r="AO374" s="712"/>
      <c r="AP374" s="712"/>
      <c r="AQ374" s="712"/>
      <c r="AR374" s="712"/>
      <c r="AS374" s="712"/>
      <c r="AT374" s="712"/>
      <c r="AU374" s="712"/>
      <c r="AV374" s="712"/>
      <c r="AW374" s="712"/>
      <c r="AX374" s="712"/>
      <c r="AY374" s="712"/>
    </row>
    <row r="375">
      <c r="T375" s="434"/>
      <c r="U375" s="438"/>
      <c r="V375" s="438"/>
      <c r="W375" s="438"/>
      <c r="X375" s="438"/>
      <c r="Y375" s="438"/>
      <c r="Z375" s="438"/>
      <c r="AA375" s="438"/>
      <c r="AB375" s="438"/>
      <c r="AC375" s="438"/>
      <c r="AD375" s="438"/>
      <c r="AE375" s="438"/>
      <c r="AF375" s="438"/>
      <c r="AG375" s="712"/>
      <c r="AH375" s="712"/>
      <c r="AI375" s="712"/>
      <c r="AJ375" s="712"/>
      <c r="AK375" s="712"/>
      <c r="AL375" s="712"/>
      <c r="AM375" s="712"/>
      <c r="AN375" s="712"/>
      <c r="AO375" s="712"/>
      <c r="AP375" s="712"/>
      <c r="AQ375" s="712"/>
      <c r="AR375" s="712"/>
      <c r="AS375" s="712"/>
      <c r="AT375" s="712"/>
      <c r="AU375" s="712"/>
      <c r="AV375" s="712"/>
      <c r="AW375" s="712"/>
      <c r="AX375" s="712"/>
      <c r="AY375" s="712"/>
    </row>
    <row r="376">
      <c r="T376" s="434"/>
      <c r="U376" s="438"/>
      <c r="V376" s="438"/>
      <c r="W376" s="438"/>
      <c r="X376" s="438"/>
      <c r="Y376" s="438"/>
      <c r="Z376" s="438"/>
      <c r="AA376" s="438"/>
      <c r="AB376" s="438"/>
      <c r="AC376" s="438"/>
      <c r="AD376" s="438"/>
      <c r="AE376" s="438"/>
      <c r="AF376" s="438"/>
      <c r="AG376" s="712"/>
      <c r="AH376" s="712"/>
      <c r="AI376" s="712"/>
      <c r="AJ376" s="712"/>
      <c r="AK376" s="712"/>
      <c r="AL376" s="712"/>
      <c r="AM376" s="712"/>
      <c r="AN376" s="712"/>
      <c r="AO376" s="712"/>
      <c r="AP376" s="712"/>
      <c r="AQ376" s="712"/>
      <c r="AR376" s="712"/>
      <c r="AS376" s="712"/>
      <c r="AT376" s="712"/>
      <c r="AU376" s="712"/>
      <c r="AV376" s="712"/>
      <c r="AW376" s="712"/>
      <c r="AX376" s="712"/>
      <c r="AY376" s="712"/>
    </row>
    <row r="377">
      <c r="T377" s="434"/>
      <c r="U377" s="438"/>
      <c r="V377" s="438"/>
      <c r="W377" s="438"/>
      <c r="X377" s="438"/>
      <c r="Y377" s="438"/>
      <c r="Z377" s="438"/>
      <c r="AA377" s="438"/>
      <c r="AB377" s="438"/>
      <c r="AC377" s="438"/>
      <c r="AD377" s="438"/>
      <c r="AE377" s="438"/>
      <c r="AF377" s="438"/>
      <c r="AG377" s="712"/>
      <c r="AH377" s="712"/>
      <c r="AI377" s="712"/>
      <c r="AJ377" s="712"/>
      <c r="AK377" s="712"/>
      <c r="AL377" s="712"/>
      <c r="AM377" s="712"/>
      <c r="AN377" s="712"/>
      <c r="AO377" s="712"/>
      <c r="AP377" s="712"/>
      <c r="AQ377" s="712"/>
      <c r="AR377" s="712"/>
      <c r="AS377" s="712"/>
      <c r="AT377" s="712"/>
      <c r="AU377" s="712"/>
      <c r="AV377" s="712"/>
      <c r="AW377" s="712"/>
      <c r="AX377" s="712"/>
      <c r="AY377" s="712"/>
    </row>
    <row r="378">
      <c r="T378" s="434"/>
      <c r="U378" s="438"/>
      <c r="V378" s="438"/>
      <c r="W378" s="438"/>
      <c r="X378" s="438"/>
      <c r="Y378" s="438"/>
      <c r="Z378" s="438"/>
      <c r="AA378" s="438"/>
      <c r="AB378" s="438"/>
      <c r="AC378" s="438"/>
      <c r="AD378" s="438"/>
      <c r="AE378" s="438"/>
      <c r="AF378" s="438"/>
      <c r="AG378" s="712"/>
      <c r="AH378" s="712"/>
      <c r="AI378" s="712"/>
      <c r="AJ378" s="712"/>
      <c r="AK378" s="712"/>
      <c r="AL378" s="712"/>
      <c r="AM378" s="712"/>
      <c r="AN378" s="712"/>
      <c r="AO378" s="712"/>
      <c r="AP378" s="712"/>
      <c r="AQ378" s="712"/>
      <c r="AR378" s="712"/>
      <c r="AS378" s="712"/>
      <c r="AT378" s="712"/>
      <c r="AU378" s="712"/>
      <c r="AV378" s="712"/>
      <c r="AW378" s="712"/>
      <c r="AX378" s="712"/>
      <c r="AY378" s="712"/>
    </row>
    <row r="379">
      <c r="T379" s="434"/>
      <c r="U379" s="438"/>
      <c r="V379" s="438"/>
      <c r="W379" s="438"/>
      <c r="X379" s="438"/>
      <c r="Y379" s="438"/>
      <c r="Z379" s="438"/>
      <c r="AA379" s="438"/>
      <c r="AB379" s="438"/>
      <c r="AC379" s="438"/>
      <c r="AD379" s="438"/>
      <c r="AE379" s="438"/>
      <c r="AF379" s="438"/>
      <c r="AG379" s="712"/>
      <c r="AH379" s="712"/>
      <c r="AI379" s="712"/>
      <c r="AJ379" s="712"/>
      <c r="AK379" s="712"/>
      <c r="AL379" s="712"/>
      <c r="AM379" s="712"/>
      <c r="AN379" s="712"/>
      <c r="AO379" s="712"/>
      <c r="AP379" s="712"/>
      <c r="AQ379" s="712"/>
      <c r="AR379" s="712"/>
      <c r="AS379" s="712"/>
      <c r="AT379" s="712"/>
      <c r="AU379" s="712"/>
      <c r="AV379" s="712"/>
      <c r="AW379" s="712"/>
      <c r="AX379" s="712"/>
      <c r="AY379" s="712"/>
    </row>
    <row r="380">
      <c r="T380" s="434"/>
      <c r="U380" s="438"/>
      <c r="V380" s="438"/>
      <c r="W380" s="438"/>
      <c r="X380" s="438"/>
      <c r="Y380" s="438"/>
      <c r="Z380" s="438"/>
      <c r="AA380" s="438"/>
      <c r="AB380" s="438"/>
      <c r="AC380" s="438"/>
      <c r="AD380" s="438"/>
      <c r="AE380" s="438"/>
      <c r="AF380" s="438"/>
      <c r="AG380" s="712"/>
      <c r="AH380" s="712"/>
      <c r="AI380" s="712"/>
      <c r="AJ380" s="712"/>
      <c r="AK380" s="712"/>
      <c r="AL380" s="712"/>
      <c r="AM380" s="712"/>
      <c r="AN380" s="712"/>
      <c r="AO380" s="712"/>
      <c r="AP380" s="712"/>
      <c r="AQ380" s="712"/>
      <c r="AR380" s="712"/>
      <c r="AS380" s="712"/>
      <c r="AT380" s="712"/>
      <c r="AU380" s="712"/>
      <c r="AV380" s="712"/>
      <c r="AW380" s="712"/>
      <c r="AX380" s="712"/>
      <c r="AY380" s="712"/>
    </row>
    <row r="381">
      <c r="T381" s="434"/>
      <c r="U381" s="438"/>
      <c r="V381" s="438"/>
      <c r="W381" s="438"/>
      <c r="X381" s="438"/>
      <c r="Y381" s="438"/>
      <c r="Z381" s="438"/>
      <c r="AA381" s="438"/>
      <c r="AB381" s="438"/>
      <c r="AC381" s="438"/>
      <c r="AD381" s="438"/>
      <c r="AE381" s="438"/>
      <c r="AF381" s="438"/>
      <c r="AG381" s="712"/>
      <c r="AH381" s="712"/>
      <c r="AI381" s="712"/>
      <c r="AJ381" s="712"/>
      <c r="AK381" s="712"/>
      <c r="AL381" s="712"/>
      <c r="AM381" s="712"/>
      <c r="AN381" s="712"/>
      <c r="AO381" s="712"/>
      <c r="AP381" s="712"/>
      <c r="AQ381" s="712"/>
      <c r="AR381" s="712"/>
      <c r="AS381" s="712"/>
      <c r="AT381" s="712"/>
      <c r="AU381" s="712"/>
      <c r="AV381" s="712"/>
      <c r="AW381" s="712"/>
      <c r="AX381" s="712"/>
      <c r="AY381" s="712"/>
    </row>
    <row r="382">
      <c r="T382" s="434"/>
      <c r="U382" s="438"/>
      <c r="V382" s="438"/>
      <c r="W382" s="438"/>
      <c r="X382" s="438"/>
      <c r="Y382" s="438"/>
      <c r="Z382" s="438"/>
      <c r="AA382" s="438"/>
      <c r="AB382" s="438"/>
      <c r="AC382" s="438"/>
      <c r="AD382" s="438"/>
      <c r="AE382" s="438"/>
      <c r="AF382" s="438"/>
      <c r="AG382" s="712"/>
      <c r="AH382" s="712"/>
      <c r="AI382" s="712"/>
      <c r="AJ382" s="712"/>
      <c r="AK382" s="712"/>
      <c r="AL382" s="712"/>
      <c r="AM382" s="712"/>
      <c r="AN382" s="712"/>
      <c r="AO382" s="712"/>
      <c r="AP382" s="712"/>
      <c r="AQ382" s="712"/>
      <c r="AR382" s="712"/>
      <c r="AS382" s="712"/>
      <c r="AT382" s="712"/>
      <c r="AU382" s="712"/>
      <c r="AV382" s="712"/>
      <c r="AW382" s="712"/>
      <c r="AX382" s="712"/>
      <c r="AY382" s="712"/>
    </row>
    <row r="383">
      <c r="T383" s="434"/>
      <c r="U383" s="438"/>
      <c r="V383" s="438"/>
      <c r="W383" s="438"/>
      <c r="X383" s="438"/>
      <c r="Y383" s="438"/>
      <c r="Z383" s="438"/>
      <c r="AA383" s="438"/>
      <c r="AB383" s="438"/>
      <c r="AC383" s="438"/>
      <c r="AD383" s="438"/>
      <c r="AE383" s="438"/>
      <c r="AF383" s="438"/>
      <c r="AG383" s="712"/>
      <c r="AH383" s="712"/>
      <c r="AI383" s="712"/>
      <c r="AJ383" s="712"/>
      <c r="AK383" s="712"/>
      <c r="AL383" s="712"/>
      <c r="AM383" s="712"/>
      <c r="AN383" s="712"/>
      <c r="AO383" s="712"/>
      <c r="AP383" s="712"/>
      <c r="AQ383" s="712"/>
      <c r="AR383" s="712"/>
      <c r="AS383" s="712"/>
      <c r="AT383" s="712"/>
      <c r="AU383" s="712"/>
      <c r="AV383" s="712"/>
      <c r="AW383" s="712"/>
      <c r="AX383" s="712"/>
      <c r="AY383" s="712"/>
    </row>
    <row r="384">
      <c r="T384" s="434"/>
      <c r="U384" s="438"/>
      <c r="V384" s="438"/>
      <c r="W384" s="438"/>
      <c r="X384" s="438"/>
      <c r="Y384" s="438"/>
      <c r="Z384" s="438"/>
      <c r="AA384" s="438"/>
      <c r="AB384" s="438"/>
      <c r="AC384" s="438"/>
      <c r="AD384" s="438"/>
      <c r="AE384" s="438"/>
      <c r="AF384" s="438"/>
      <c r="AG384" s="712"/>
      <c r="AH384" s="712"/>
      <c r="AI384" s="712"/>
      <c r="AJ384" s="712"/>
      <c r="AK384" s="712"/>
      <c r="AL384" s="712"/>
      <c r="AM384" s="712"/>
      <c r="AN384" s="712"/>
      <c r="AO384" s="712"/>
      <c r="AP384" s="712"/>
      <c r="AQ384" s="712"/>
      <c r="AR384" s="712"/>
      <c r="AS384" s="712"/>
      <c r="AT384" s="712"/>
      <c r="AU384" s="712"/>
      <c r="AV384" s="712"/>
      <c r="AW384" s="712"/>
      <c r="AX384" s="712"/>
      <c r="AY384" s="712"/>
    </row>
    <row r="385">
      <c r="T385" s="434"/>
      <c r="U385" s="438"/>
      <c r="V385" s="438"/>
      <c r="W385" s="438"/>
      <c r="X385" s="438"/>
      <c r="Y385" s="438"/>
      <c r="Z385" s="438"/>
      <c r="AA385" s="438"/>
      <c r="AB385" s="438"/>
      <c r="AC385" s="438"/>
      <c r="AD385" s="438"/>
      <c r="AE385" s="438"/>
      <c r="AF385" s="438"/>
      <c r="AG385" s="712"/>
      <c r="AH385" s="712"/>
      <c r="AI385" s="712"/>
      <c r="AJ385" s="712"/>
      <c r="AK385" s="712"/>
      <c r="AL385" s="712"/>
      <c r="AM385" s="712"/>
      <c r="AN385" s="712"/>
      <c r="AO385" s="712"/>
      <c r="AP385" s="712"/>
      <c r="AQ385" s="712"/>
      <c r="AR385" s="712"/>
      <c r="AS385" s="712"/>
      <c r="AT385" s="712"/>
      <c r="AU385" s="712"/>
      <c r="AV385" s="712"/>
      <c r="AW385" s="712"/>
      <c r="AX385" s="712"/>
      <c r="AY385" s="712"/>
    </row>
    <row r="386">
      <c r="T386" s="434"/>
      <c r="U386" s="438"/>
      <c r="V386" s="438"/>
      <c r="W386" s="438"/>
      <c r="X386" s="438"/>
      <c r="Y386" s="438"/>
      <c r="Z386" s="438"/>
      <c r="AA386" s="438"/>
      <c r="AB386" s="438"/>
      <c r="AC386" s="438"/>
      <c r="AD386" s="438"/>
      <c r="AE386" s="438"/>
      <c r="AF386" s="438"/>
      <c r="AG386" s="712"/>
      <c r="AH386" s="712"/>
      <c r="AI386" s="712"/>
      <c r="AJ386" s="712"/>
      <c r="AK386" s="712"/>
      <c r="AL386" s="712"/>
      <c r="AM386" s="712"/>
      <c r="AN386" s="712"/>
      <c r="AO386" s="712"/>
      <c r="AP386" s="712"/>
      <c r="AQ386" s="712"/>
      <c r="AR386" s="712"/>
      <c r="AS386" s="712"/>
      <c r="AT386" s="712"/>
      <c r="AU386" s="712"/>
      <c r="AV386" s="712"/>
      <c r="AW386" s="712"/>
      <c r="AX386" s="712"/>
      <c r="AY386" s="712"/>
    </row>
    <row r="387">
      <c r="T387" s="434"/>
      <c r="U387" s="438"/>
      <c r="V387" s="438"/>
      <c r="W387" s="438"/>
      <c r="X387" s="438"/>
      <c r="Y387" s="438"/>
      <c r="Z387" s="438"/>
      <c r="AA387" s="438"/>
      <c r="AB387" s="438"/>
      <c r="AC387" s="438"/>
      <c r="AD387" s="438"/>
      <c r="AE387" s="438"/>
      <c r="AF387" s="438"/>
      <c r="AG387" s="712"/>
      <c r="AH387" s="712"/>
      <c r="AI387" s="712"/>
      <c r="AJ387" s="712"/>
      <c r="AK387" s="712"/>
      <c r="AL387" s="712"/>
      <c r="AM387" s="712"/>
      <c r="AN387" s="712"/>
      <c r="AO387" s="712"/>
      <c r="AP387" s="712"/>
      <c r="AQ387" s="712"/>
      <c r="AR387" s="712"/>
      <c r="AS387" s="712"/>
      <c r="AT387" s="712"/>
      <c r="AU387" s="712"/>
      <c r="AV387" s="712"/>
      <c r="AW387" s="712"/>
      <c r="AX387" s="712"/>
      <c r="AY387" s="712"/>
    </row>
    <row r="388">
      <c r="T388" s="434"/>
      <c r="U388" s="438"/>
      <c r="V388" s="438"/>
      <c r="W388" s="438"/>
      <c r="X388" s="438"/>
      <c r="Y388" s="438"/>
      <c r="Z388" s="438"/>
      <c r="AA388" s="438"/>
      <c r="AB388" s="438"/>
      <c r="AC388" s="438"/>
      <c r="AD388" s="438"/>
      <c r="AE388" s="438"/>
      <c r="AF388" s="438"/>
      <c r="AG388" s="712"/>
      <c r="AH388" s="712"/>
      <c r="AI388" s="712"/>
      <c r="AJ388" s="712"/>
      <c r="AK388" s="712"/>
      <c r="AL388" s="712"/>
      <c r="AM388" s="712"/>
      <c r="AN388" s="712"/>
      <c r="AO388" s="712"/>
      <c r="AP388" s="712"/>
      <c r="AQ388" s="712"/>
      <c r="AR388" s="712"/>
      <c r="AS388" s="712"/>
      <c r="AT388" s="712"/>
      <c r="AU388" s="712"/>
      <c r="AV388" s="712"/>
      <c r="AW388" s="712"/>
      <c r="AX388" s="712"/>
      <c r="AY388" s="712"/>
    </row>
    <row r="389">
      <c r="T389" s="434"/>
      <c r="U389" s="438"/>
      <c r="V389" s="438"/>
      <c r="W389" s="438"/>
      <c r="X389" s="438"/>
      <c r="Y389" s="438"/>
      <c r="Z389" s="438"/>
      <c r="AA389" s="438"/>
      <c r="AB389" s="438"/>
      <c r="AC389" s="438"/>
      <c r="AD389" s="438"/>
      <c r="AE389" s="438"/>
      <c r="AF389" s="438"/>
      <c r="AG389" s="712"/>
      <c r="AH389" s="712"/>
      <c r="AI389" s="712"/>
      <c r="AJ389" s="712"/>
      <c r="AK389" s="712"/>
      <c r="AL389" s="712"/>
      <c r="AM389" s="712"/>
      <c r="AN389" s="712"/>
      <c r="AO389" s="712"/>
      <c r="AP389" s="712"/>
      <c r="AQ389" s="712"/>
      <c r="AR389" s="712"/>
      <c r="AS389" s="712"/>
      <c r="AT389" s="712"/>
      <c r="AU389" s="712"/>
      <c r="AV389" s="712"/>
      <c r="AW389" s="712"/>
      <c r="AX389" s="712"/>
      <c r="AY389" s="712"/>
    </row>
    <row r="390">
      <c r="T390" s="434"/>
      <c r="U390" s="438"/>
      <c r="V390" s="438"/>
      <c r="W390" s="438"/>
      <c r="X390" s="438"/>
      <c r="Y390" s="438"/>
      <c r="Z390" s="438"/>
      <c r="AA390" s="438"/>
      <c r="AB390" s="438"/>
      <c r="AC390" s="438"/>
      <c r="AD390" s="438"/>
      <c r="AE390" s="438"/>
      <c r="AF390" s="438"/>
      <c r="AG390" s="712"/>
      <c r="AH390" s="712"/>
      <c r="AI390" s="712"/>
      <c r="AJ390" s="712"/>
      <c r="AK390" s="712"/>
      <c r="AL390" s="712"/>
      <c r="AM390" s="712"/>
      <c r="AN390" s="712"/>
      <c r="AO390" s="712"/>
      <c r="AP390" s="712"/>
      <c r="AQ390" s="712"/>
      <c r="AR390" s="712"/>
      <c r="AS390" s="712"/>
      <c r="AT390" s="712"/>
      <c r="AU390" s="712"/>
      <c r="AV390" s="712"/>
      <c r="AW390" s="712"/>
      <c r="AX390" s="712"/>
      <c r="AY390" s="712"/>
    </row>
    <row r="391">
      <c r="T391" s="434"/>
      <c r="U391" s="438"/>
      <c r="V391" s="438"/>
      <c r="W391" s="438"/>
      <c r="X391" s="438"/>
      <c r="Y391" s="438"/>
      <c r="Z391" s="438"/>
      <c r="AA391" s="438"/>
      <c r="AB391" s="438"/>
      <c r="AC391" s="438"/>
      <c r="AD391" s="438"/>
      <c r="AE391" s="438"/>
      <c r="AF391" s="438"/>
      <c r="AG391" s="712"/>
      <c r="AH391" s="712"/>
      <c r="AI391" s="712"/>
      <c r="AJ391" s="712"/>
      <c r="AK391" s="712"/>
      <c r="AL391" s="712"/>
      <c r="AM391" s="712"/>
      <c r="AN391" s="712"/>
      <c r="AO391" s="712"/>
      <c r="AP391" s="712"/>
      <c r="AQ391" s="712"/>
      <c r="AR391" s="712"/>
      <c r="AS391" s="712"/>
      <c r="AT391" s="712"/>
      <c r="AU391" s="712"/>
      <c r="AV391" s="712"/>
      <c r="AW391" s="712"/>
      <c r="AX391" s="712"/>
      <c r="AY391" s="712"/>
    </row>
    <row r="392">
      <c r="T392" s="434"/>
      <c r="U392" s="438"/>
      <c r="V392" s="438"/>
      <c r="W392" s="438"/>
      <c r="X392" s="438"/>
      <c r="Y392" s="438"/>
      <c r="Z392" s="438"/>
      <c r="AA392" s="438"/>
      <c r="AB392" s="438"/>
      <c r="AC392" s="438"/>
      <c r="AD392" s="438"/>
      <c r="AE392" s="438"/>
      <c r="AF392" s="438"/>
      <c r="AG392" s="712"/>
      <c r="AH392" s="712"/>
      <c r="AI392" s="712"/>
      <c r="AJ392" s="712"/>
      <c r="AK392" s="712"/>
      <c r="AL392" s="712"/>
      <c r="AM392" s="712"/>
      <c r="AN392" s="712"/>
      <c r="AO392" s="712"/>
      <c r="AP392" s="712"/>
      <c r="AQ392" s="712"/>
      <c r="AR392" s="712"/>
      <c r="AS392" s="712"/>
      <c r="AT392" s="712"/>
      <c r="AU392" s="712"/>
      <c r="AV392" s="712"/>
      <c r="AW392" s="712"/>
      <c r="AX392" s="712"/>
      <c r="AY392" s="712"/>
    </row>
    <row r="393">
      <c r="T393" s="434"/>
      <c r="U393" s="438"/>
      <c r="V393" s="438"/>
      <c r="W393" s="438"/>
      <c r="X393" s="438"/>
      <c r="Y393" s="438"/>
      <c r="Z393" s="438"/>
      <c r="AA393" s="438"/>
      <c r="AB393" s="438"/>
      <c r="AC393" s="438"/>
      <c r="AD393" s="438"/>
      <c r="AE393" s="438"/>
      <c r="AF393" s="438"/>
      <c r="AG393" s="712"/>
      <c r="AH393" s="712"/>
      <c r="AI393" s="712"/>
      <c r="AJ393" s="712"/>
      <c r="AK393" s="712"/>
      <c r="AL393" s="712"/>
      <c r="AM393" s="712"/>
      <c r="AN393" s="712"/>
      <c r="AO393" s="712"/>
      <c r="AP393" s="712"/>
      <c r="AQ393" s="712"/>
      <c r="AR393" s="712"/>
      <c r="AS393" s="712"/>
      <c r="AT393" s="712"/>
      <c r="AU393" s="712"/>
      <c r="AV393" s="712"/>
      <c r="AW393" s="712"/>
      <c r="AX393" s="712"/>
      <c r="AY393" s="712"/>
    </row>
    <row r="394">
      <c r="T394" s="434"/>
      <c r="U394" s="438"/>
      <c r="V394" s="438"/>
      <c r="W394" s="438"/>
      <c r="X394" s="438"/>
      <c r="Y394" s="438"/>
      <c r="Z394" s="438"/>
      <c r="AA394" s="438"/>
      <c r="AB394" s="438"/>
      <c r="AC394" s="438"/>
      <c r="AD394" s="438"/>
      <c r="AE394" s="438"/>
      <c r="AF394" s="438"/>
      <c r="AG394" s="712"/>
      <c r="AH394" s="712"/>
      <c r="AI394" s="712"/>
      <c r="AJ394" s="712"/>
      <c r="AK394" s="712"/>
      <c r="AL394" s="712"/>
      <c r="AM394" s="712"/>
      <c r="AN394" s="712"/>
      <c r="AO394" s="712"/>
      <c r="AP394" s="712"/>
      <c r="AQ394" s="712"/>
      <c r="AR394" s="712"/>
      <c r="AS394" s="712"/>
      <c r="AT394" s="712"/>
      <c r="AU394" s="712"/>
      <c r="AV394" s="712"/>
      <c r="AW394" s="712"/>
      <c r="AX394" s="712"/>
      <c r="AY394" s="712"/>
    </row>
    <row r="395">
      <c r="T395" s="434"/>
      <c r="U395" s="438"/>
      <c r="V395" s="438"/>
      <c r="W395" s="438"/>
      <c r="X395" s="438"/>
      <c r="Y395" s="438"/>
      <c r="Z395" s="438"/>
      <c r="AA395" s="438"/>
      <c r="AB395" s="438"/>
      <c r="AC395" s="438"/>
      <c r="AD395" s="438"/>
      <c r="AE395" s="438"/>
      <c r="AF395" s="438"/>
      <c r="AG395" s="712"/>
      <c r="AH395" s="712"/>
      <c r="AI395" s="712"/>
      <c r="AJ395" s="712"/>
      <c r="AK395" s="712"/>
      <c r="AL395" s="712"/>
      <c r="AM395" s="712"/>
      <c r="AN395" s="712"/>
      <c r="AO395" s="712"/>
      <c r="AP395" s="712"/>
      <c r="AQ395" s="712"/>
      <c r="AR395" s="712"/>
      <c r="AS395" s="712"/>
      <c r="AT395" s="712"/>
      <c r="AU395" s="712"/>
      <c r="AV395" s="712"/>
      <c r="AW395" s="712"/>
      <c r="AX395" s="712"/>
      <c r="AY395" s="712"/>
    </row>
    <row r="396">
      <c r="T396" s="434"/>
      <c r="U396" s="438"/>
      <c r="V396" s="438"/>
      <c r="W396" s="438"/>
      <c r="X396" s="438"/>
      <c r="Y396" s="438"/>
      <c r="Z396" s="438"/>
      <c r="AA396" s="438"/>
      <c r="AB396" s="438"/>
      <c r="AC396" s="438"/>
      <c r="AD396" s="438"/>
      <c r="AE396" s="438"/>
      <c r="AF396" s="438"/>
      <c r="AG396" s="712"/>
      <c r="AH396" s="712"/>
      <c r="AI396" s="712"/>
      <c r="AJ396" s="712"/>
      <c r="AK396" s="712"/>
      <c r="AL396" s="712"/>
      <c r="AM396" s="712"/>
      <c r="AN396" s="712"/>
      <c r="AO396" s="712"/>
      <c r="AP396" s="712"/>
      <c r="AQ396" s="712"/>
      <c r="AR396" s="712"/>
      <c r="AS396" s="712"/>
      <c r="AT396" s="712"/>
      <c r="AU396" s="712"/>
      <c r="AV396" s="712"/>
      <c r="AW396" s="712"/>
      <c r="AX396" s="712"/>
      <c r="AY396" s="712"/>
    </row>
    <row r="397">
      <c r="T397" s="434"/>
      <c r="U397" s="438"/>
      <c r="V397" s="438"/>
      <c r="W397" s="438"/>
      <c r="X397" s="438"/>
      <c r="Y397" s="438"/>
      <c r="Z397" s="438"/>
      <c r="AA397" s="438"/>
      <c r="AB397" s="438"/>
      <c r="AC397" s="438"/>
      <c r="AD397" s="438"/>
      <c r="AE397" s="438"/>
      <c r="AF397" s="438"/>
      <c r="AG397" s="712"/>
      <c r="AH397" s="712"/>
      <c r="AI397" s="712"/>
      <c r="AJ397" s="712"/>
      <c r="AK397" s="712"/>
      <c r="AL397" s="712"/>
      <c r="AM397" s="712"/>
      <c r="AN397" s="712"/>
      <c r="AO397" s="712"/>
      <c r="AP397" s="712"/>
      <c r="AQ397" s="712"/>
      <c r="AR397" s="712"/>
      <c r="AS397" s="712"/>
      <c r="AT397" s="712"/>
      <c r="AU397" s="712"/>
      <c r="AV397" s="712"/>
      <c r="AW397" s="712"/>
      <c r="AX397" s="712"/>
      <c r="AY397" s="712"/>
    </row>
    <row r="398">
      <c r="T398" s="434"/>
      <c r="U398" s="438"/>
      <c r="V398" s="438"/>
      <c r="W398" s="438"/>
      <c r="X398" s="438"/>
      <c r="Y398" s="438"/>
      <c r="Z398" s="438"/>
      <c r="AA398" s="438"/>
      <c r="AB398" s="438"/>
      <c r="AC398" s="438"/>
      <c r="AD398" s="438"/>
      <c r="AE398" s="438"/>
      <c r="AF398" s="438"/>
      <c r="AG398" s="712"/>
      <c r="AH398" s="712"/>
      <c r="AI398" s="712"/>
      <c r="AJ398" s="712"/>
      <c r="AK398" s="712"/>
      <c r="AL398" s="712"/>
      <c r="AM398" s="712"/>
      <c r="AN398" s="712"/>
      <c r="AO398" s="712"/>
      <c r="AP398" s="712"/>
      <c r="AQ398" s="712"/>
      <c r="AR398" s="712"/>
      <c r="AS398" s="712"/>
      <c r="AT398" s="712"/>
      <c r="AU398" s="712"/>
      <c r="AV398" s="712"/>
      <c r="AW398" s="712"/>
      <c r="AX398" s="712"/>
      <c r="AY398" s="712"/>
    </row>
    <row r="399">
      <c r="T399" s="434"/>
      <c r="U399" s="438"/>
      <c r="V399" s="438"/>
      <c r="W399" s="438"/>
      <c r="X399" s="438"/>
      <c r="Y399" s="438"/>
      <c r="Z399" s="438"/>
      <c r="AA399" s="438"/>
      <c r="AB399" s="438"/>
      <c r="AC399" s="438"/>
      <c r="AD399" s="438"/>
      <c r="AE399" s="438"/>
      <c r="AF399" s="438"/>
      <c r="AG399" s="712"/>
      <c r="AH399" s="712"/>
      <c r="AI399" s="712"/>
      <c r="AJ399" s="712"/>
      <c r="AK399" s="712"/>
      <c r="AL399" s="712"/>
      <c r="AM399" s="712"/>
      <c r="AN399" s="712"/>
      <c r="AO399" s="712"/>
      <c r="AP399" s="712"/>
      <c r="AQ399" s="712"/>
      <c r="AR399" s="712"/>
      <c r="AS399" s="712"/>
      <c r="AT399" s="712"/>
      <c r="AU399" s="712"/>
      <c r="AV399" s="712"/>
      <c r="AW399" s="712"/>
      <c r="AX399" s="712"/>
      <c r="AY399" s="712"/>
    </row>
    <row r="400">
      <c r="T400" s="434"/>
      <c r="U400" s="438"/>
      <c r="V400" s="438"/>
      <c r="W400" s="438"/>
      <c r="X400" s="438"/>
      <c r="Y400" s="438"/>
      <c r="Z400" s="438"/>
      <c r="AA400" s="438"/>
      <c r="AB400" s="438"/>
      <c r="AC400" s="438"/>
      <c r="AD400" s="438"/>
      <c r="AE400" s="438"/>
      <c r="AF400" s="438"/>
      <c r="AG400" s="712"/>
      <c r="AH400" s="712"/>
      <c r="AI400" s="712"/>
      <c r="AJ400" s="712"/>
      <c r="AK400" s="712"/>
      <c r="AL400" s="712"/>
      <c r="AM400" s="712"/>
      <c r="AN400" s="712"/>
      <c r="AO400" s="712"/>
      <c r="AP400" s="712"/>
      <c r="AQ400" s="712"/>
      <c r="AR400" s="712"/>
      <c r="AS400" s="712"/>
      <c r="AT400" s="712"/>
      <c r="AU400" s="712"/>
      <c r="AV400" s="712"/>
      <c r="AW400" s="712"/>
      <c r="AX400" s="712"/>
      <c r="AY400" s="712"/>
    </row>
    <row r="401">
      <c r="T401" s="434"/>
      <c r="U401" s="438"/>
      <c r="V401" s="438"/>
      <c r="W401" s="438"/>
      <c r="X401" s="438"/>
      <c r="Y401" s="438"/>
      <c r="Z401" s="438"/>
      <c r="AA401" s="438"/>
      <c r="AB401" s="438"/>
      <c r="AC401" s="438"/>
      <c r="AD401" s="438"/>
      <c r="AE401" s="438"/>
      <c r="AF401" s="438"/>
      <c r="AG401" s="712"/>
      <c r="AH401" s="712"/>
      <c r="AI401" s="712"/>
      <c r="AJ401" s="712"/>
      <c r="AK401" s="712"/>
      <c r="AL401" s="712"/>
      <c r="AM401" s="712"/>
      <c r="AN401" s="712"/>
      <c r="AO401" s="712"/>
      <c r="AP401" s="712"/>
      <c r="AQ401" s="712"/>
      <c r="AR401" s="712"/>
      <c r="AS401" s="712"/>
      <c r="AT401" s="712"/>
      <c r="AU401" s="712"/>
      <c r="AV401" s="712"/>
      <c r="AW401" s="712"/>
      <c r="AX401" s="712"/>
      <c r="AY401" s="712"/>
    </row>
    <row r="402">
      <c r="T402" s="434"/>
      <c r="U402" s="438"/>
      <c r="V402" s="438"/>
      <c r="W402" s="438"/>
      <c r="X402" s="438"/>
      <c r="Y402" s="438"/>
      <c r="Z402" s="438"/>
      <c r="AA402" s="438"/>
      <c r="AB402" s="438"/>
      <c r="AC402" s="438"/>
      <c r="AD402" s="438"/>
      <c r="AE402" s="438"/>
      <c r="AF402" s="438"/>
      <c r="AG402" s="712"/>
      <c r="AH402" s="712"/>
      <c r="AI402" s="712"/>
      <c r="AJ402" s="712"/>
      <c r="AK402" s="712"/>
      <c r="AL402" s="712"/>
      <c r="AM402" s="712"/>
      <c r="AN402" s="712"/>
      <c r="AO402" s="712"/>
      <c r="AP402" s="712"/>
      <c r="AQ402" s="712"/>
      <c r="AR402" s="712"/>
      <c r="AS402" s="712"/>
      <c r="AT402" s="712"/>
      <c r="AU402" s="712"/>
      <c r="AV402" s="712"/>
      <c r="AW402" s="712"/>
      <c r="AX402" s="712"/>
      <c r="AY402" s="712"/>
    </row>
    <row r="403">
      <c r="T403" s="434"/>
      <c r="U403" s="438"/>
      <c r="V403" s="438"/>
      <c r="W403" s="438"/>
      <c r="X403" s="438"/>
      <c r="Y403" s="438"/>
      <c r="Z403" s="438"/>
      <c r="AA403" s="438"/>
      <c r="AB403" s="438"/>
      <c r="AC403" s="438"/>
      <c r="AD403" s="438"/>
      <c r="AE403" s="438"/>
      <c r="AF403" s="438"/>
      <c r="AG403" s="712"/>
      <c r="AH403" s="712"/>
      <c r="AI403" s="712"/>
      <c r="AJ403" s="712"/>
      <c r="AK403" s="712"/>
      <c r="AL403" s="712"/>
      <c r="AM403" s="712"/>
      <c r="AN403" s="712"/>
      <c r="AO403" s="712"/>
      <c r="AP403" s="712"/>
      <c r="AQ403" s="712"/>
      <c r="AR403" s="712"/>
      <c r="AS403" s="712"/>
      <c r="AT403" s="712"/>
      <c r="AU403" s="712"/>
      <c r="AV403" s="712"/>
      <c r="AW403" s="712"/>
      <c r="AX403" s="712"/>
      <c r="AY403" s="712"/>
    </row>
    <row r="404">
      <c r="T404" s="434"/>
      <c r="U404" s="438"/>
      <c r="V404" s="438"/>
      <c r="W404" s="438"/>
      <c r="X404" s="438"/>
      <c r="Y404" s="438"/>
      <c r="Z404" s="438"/>
      <c r="AA404" s="438"/>
      <c r="AB404" s="438"/>
      <c r="AC404" s="438"/>
      <c r="AD404" s="438"/>
      <c r="AE404" s="438"/>
      <c r="AF404" s="438"/>
      <c r="AG404" s="712"/>
      <c r="AH404" s="712"/>
      <c r="AI404" s="712"/>
      <c r="AJ404" s="712"/>
      <c r="AK404" s="712"/>
      <c r="AL404" s="712"/>
      <c r="AM404" s="712"/>
      <c r="AN404" s="712"/>
      <c r="AO404" s="712"/>
      <c r="AP404" s="712"/>
      <c r="AQ404" s="712"/>
      <c r="AR404" s="712"/>
      <c r="AS404" s="712"/>
      <c r="AT404" s="712"/>
      <c r="AU404" s="712"/>
      <c r="AV404" s="712"/>
      <c r="AW404" s="712"/>
      <c r="AX404" s="712"/>
      <c r="AY404" s="712"/>
    </row>
    <row r="405">
      <c r="T405" s="434"/>
      <c r="U405" s="438"/>
      <c r="V405" s="438"/>
      <c r="W405" s="438"/>
      <c r="X405" s="438"/>
      <c r="Y405" s="438"/>
      <c r="Z405" s="438"/>
      <c r="AA405" s="438"/>
      <c r="AB405" s="438"/>
      <c r="AC405" s="438"/>
      <c r="AD405" s="438"/>
      <c r="AE405" s="438"/>
      <c r="AF405" s="438"/>
      <c r="AG405" s="712"/>
      <c r="AH405" s="712"/>
      <c r="AI405" s="712"/>
      <c r="AJ405" s="712"/>
      <c r="AK405" s="712"/>
      <c r="AL405" s="712"/>
      <c r="AM405" s="712"/>
      <c r="AN405" s="712"/>
      <c r="AO405" s="712"/>
      <c r="AP405" s="712"/>
      <c r="AQ405" s="712"/>
      <c r="AR405" s="712"/>
      <c r="AS405" s="712"/>
      <c r="AT405" s="712"/>
      <c r="AU405" s="712"/>
      <c r="AV405" s="712"/>
      <c r="AW405" s="712"/>
      <c r="AX405" s="712"/>
      <c r="AY405" s="712"/>
    </row>
    <row r="406">
      <c r="T406" s="434"/>
      <c r="U406" s="438"/>
      <c r="V406" s="438"/>
      <c r="W406" s="438"/>
      <c r="X406" s="438"/>
      <c r="Y406" s="438"/>
      <c r="Z406" s="438"/>
      <c r="AA406" s="438"/>
      <c r="AB406" s="438"/>
      <c r="AC406" s="438"/>
      <c r="AD406" s="438"/>
      <c r="AE406" s="438"/>
      <c r="AF406" s="438"/>
      <c r="AG406" s="712"/>
      <c r="AH406" s="712"/>
      <c r="AI406" s="712"/>
      <c r="AJ406" s="712"/>
      <c r="AK406" s="712"/>
      <c r="AL406" s="712"/>
      <c r="AM406" s="712"/>
      <c r="AN406" s="712"/>
      <c r="AO406" s="712"/>
      <c r="AP406" s="712"/>
      <c r="AQ406" s="712"/>
      <c r="AR406" s="712"/>
      <c r="AS406" s="712"/>
      <c r="AT406" s="712"/>
      <c r="AU406" s="712"/>
      <c r="AV406" s="712"/>
      <c r="AW406" s="712"/>
      <c r="AX406" s="712"/>
      <c r="AY406" s="712"/>
    </row>
    <row r="407">
      <c r="T407" s="434"/>
      <c r="U407" s="438"/>
      <c r="V407" s="438"/>
      <c r="W407" s="438"/>
      <c r="X407" s="438"/>
      <c r="Y407" s="438"/>
      <c r="Z407" s="438"/>
      <c r="AA407" s="438"/>
      <c r="AB407" s="438"/>
      <c r="AC407" s="438"/>
      <c r="AD407" s="438"/>
      <c r="AE407" s="438"/>
      <c r="AF407" s="438"/>
      <c r="AG407" s="712"/>
      <c r="AH407" s="712"/>
      <c r="AI407" s="712"/>
      <c r="AJ407" s="712"/>
      <c r="AK407" s="712"/>
      <c r="AL407" s="712"/>
      <c r="AM407" s="712"/>
      <c r="AN407" s="712"/>
      <c r="AO407" s="712"/>
      <c r="AP407" s="712"/>
      <c r="AQ407" s="712"/>
      <c r="AR407" s="712"/>
      <c r="AS407" s="712"/>
      <c r="AT407" s="712"/>
      <c r="AU407" s="712"/>
      <c r="AV407" s="712"/>
      <c r="AW407" s="712"/>
      <c r="AX407" s="712"/>
      <c r="AY407" s="712"/>
    </row>
    <row r="408">
      <c r="T408" s="434"/>
      <c r="U408" s="438"/>
      <c r="V408" s="438"/>
      <c r="W408" s="438"/>
      <c r="X408" s="438"/>
      <c r="Y408" s="438"/>
      <c r="Z408" s="438"/>
      <c r="AA408" s="438"/>
      <c r="AB408" s="438"/>
      <c r="AC408" s="438"/>
      <c r="AD408" s="438"/>
      <c r="AE408" s="438"/>
      <c r="AF408" s="438"/>
      <c r="AG408" s="712"/>
      <c r="AH408" s="712"/>
      <c r="AI408" s="712"/>
      <c r="AJ408" s="712"/>
      <c r="AK408" s="712"/>
      <c r="AL408" s="712"/>
      <c r="AM408" s="712"/>
      <c r="AN408" s="712"/>
      <c r="AO408" s="712"/>
      <c r="AP408" s="712"/>
      <c r="AQ408" s="712"/>
      <c r="AR408" s="712"/>
      <c r="AS408" s="712"/>
      <c r="AT408" s="712"/>
      <c r="AU408" s="712"/>
      <c r="AV408" s="712"/>
      <c r="AW408" s="712"/>
      <c r="AX408" s="712"/>
      <c r="AY408" s="712"/>
    </row>
    <row r="409">
      <c r="T409" s="434"/>
      <c r="U409" s="438"/>
      <c r="V409" s="438"/>
      <c r="W409" s="438"/>
      <c r="X409" s="438"/>
      <c r="Y409" s="438"/>
      <c r="Z409" s="438"/>
      <c r="AA409" s="438"/>
      <c r="AB409" s="438"/>
      <c r="AC409" s="438"/>
      <c r="AD409" s="438"/>
      <c r="AE409" s="438"/>
      <c r="AF409" s="438"/>
      <c r="AG409" s="712"/>
      <c r="AH409" s="712"/>
      <c r="AI409" s="712"/>
      <c r="AJ409" s="712"/>
      <c r="AK409" s="712"/>
      <c r="AL409" s="712"/>
      <c r="AM409" s="712"/>
      <c r="AN409" s="712"/>
      <c r="AO409" s="712"/>
      <c r="AP409" s="712"/>
      <c r="AQ409" s="712"/>
      <c r="AR409" s="712"/>
      <c r="AS409" s="712"/>
      <c r="AT409" s="712"/>
      <c r="AU409" s="712"/>
      <c r="AV409" s="712"/>
      <c r="AW409" s="712"/>
      <c r="AX409" s="712"/>
      <c r="AY409" s="712"/>
    </row>
    <row r="410">
      <c r="T410" s="434"/>
      <c r="U410" s="438"/>
      <c r="V410" s="438"/>
      <c r="W410" s="438"/>
      <c r="X410" s="438"/>
      <c r="Y410" s="438"/>
      <c r="Z410" s="438"/>
      <c r="AA410" s="438"/>
      <c r="AB410" s="438"/>
      <c r="AC410" s="438"/>
      <c r="AD410" s="438"/>
      <c r="AE410" s="438"/>
      <c r="AF410" s="438"/>
      <c r="AG410" s="712"/>
      <c r="AH410" s="712"/>
      <c r="AI410" s="712"/>
      <c r="AJ410" s="712"/>
      <c r="AK410" s="712"/>
      <c r="AL410" s="712"/>
      <c r="AM410" s="712"/>
      <c r="AN410" s="712"/>
      <c r="AO410" s="712"/>
      <c r="AP410" s="712"/>
      <c r="AQ410" s="712"/>
      <c r="AR410" s="712"/>
      <c r="AS410" s="712"/>
      <c r="AT410" s="712"/>
      <c r="AU410" s="712"/>
      <c r="AV410" s="712"/>
      <c r="AW410" s="712"/>
      <c r="AX410" s="712"/>
      <c r="AY410" s="712"/>
    </row>
    <row r="411">
      <c r="T411" s="434"/>
      <c r="U411" s="438"/>
      <c r="V411" s="438"/>
      <c r="W411" s="438"/>
      <c r="X411" s="438"/>
      <c r="Y411" s="438"/>
      <c r="Z411" s="438"/>
      <c r="AA411" s="438"/>
      <c r="AB411" s="438"/>
      <c r="AC411" s="438"/>
      <c r="AD411" s="438"/>
      <c r="AE411" s="438"/>
      <c r="AF411" s="438"/>
      <c r="AG411" s="712"/>
      <c r="AH411" s="712"/>
      <c r="AI411" s="712"/>
      <c r="AJ411" s="712"/>
      <c r="AK411" s="712"/>
      <c r="AL411" s="712"/>
      <c r="AM411" s="712"/>
      <c r="AN411" s="712"/>
      <c r="AO411" s="712"/>
      <c r="AP411" s="712"/>
      <c r="AQ411" s="712"/>
      <c r="AR411" s="712"/>
      <c r="AS411" s="712"/>
      <c r="AT411" s="712"/>
      <c r="AU411" s="712"/>
      <c r="AV411" s="712"/>
      <c r="AW411" s="712"/>
      <c r="AX411" s="712"/>
      <c r="AY411" s="712"/>
    </row>
    <row r="412">
      <c r="T412" s="434"/>
      <c r="U412" s="438"/>
      <c r="V412" s="438"/>
      <c r="W412" s="438"/>
      <c r="X412" s="438"/>
      <c r="Y412" s="438"/>
      <c r="Z412" s="438"/>
      <c r="AA412" s="438"/>
      <c r="AB412" s="438"/>
      <c r="AC412" s="438"/>
      <c r="AD412" s="438"/>
      <c r="AE412" s="438"/>
      <c r="AF412" s="438"/>
      <c r="AG412" s="712"/>
      <c r="AH412" s="712"/>
      <c r="AI412" s="712"/>
      <c r="AJ412" s="712"/>
      <c r="AK412" s="712"/>
      <c r="AL412" s="712"/>
      <c r="AM412" s="712"/>
      <c r="AN412" s="712"/>
      <c r="AO412" s="712"/>
      <c r="AP412" s="712"/>
      <c r="AQ412" s="712"/>
      <c r="AR412" s="712"/>
      <c r="AS412" s="712"/>
      <c r="AT412" s="712"/>
      <c r="AU412" s="712"/>
      <c r="AV412" s="712"/>
      <c r="AW412" s="712"/>
      <c r="AX412" s="712"/>
      <c r="AY412" s="712"/>
    </row>
    <row r="413">
      <c r="T413" s="434"/>
      <c r="U413" s="438"/>
      <c r="V413" s="438"/>
      <c r="W413" s="438"/>
      <c r="X413" s="438"/>
      <c r="Y413" s="438"/>
      <c r="Z413" s="438"/>
      <c r="AA413" s="438"/>
      <c r="AB413" s="438"/>
      <c r="AC413" s="438"/>
      <c r="AD413" s="438"/>
      <c r="AE413" s="438"/>
      <c r="AF413" s="438"/>
      <c r="AG413" s="712"/>
      <c r="AH413" s="712"/>
      <c r="AI413" s="712"/>
      <c r="AJ413" s="712"/>
      <c r="AK413" s="712"/>
      <c r="AL413" s="712"/>
      <c r="AM413" s="712"/>
      <c r="AN413" s="712"/>
      <c r="AO413" s="712"/>
      <c r="AP413" s="712"/>
      <c r="AQ413" s="712"/>
      <c r="AR413" s="712"/>
      <c r="AS413" s="712"/>
      <c r="AT413" s="712"/>
      <c r="AU413" s="712"/>
      <c r="AV413" s="712"/>
      <c r="AW413" s="712"/>
      <c r="AX413" s="712"/>
      <c r="AY413" s="712"/>
    </row>
    <row r="414">
      <c r="T414" s="434"/>
      <c r="U414" s="438"/>
      <c r="V414" s="438"/>
      <c r="W414" s="438"/>
      <c r="X414" s="438"/>
      <c r="Y414" s="438"/>
      <c r="Z414" s="438"/>
      <c r="AA414" s="438"/>
      <c r="AB414" s="438"/>
      <c r="AC414" s="438"/>
      <c r="AD414" s="438"/>
      <c r="AE414" s="438"/>
      <c r="AF414" s="438"/>
      <c r="AG414" s="712"/>
      <c r="AH414" s="712"/>
      <c r="AI414" s="712"/>
      <c r="AJ414" s="712"/>
      <c r="AK414" s="712"/>
      <c r="AL414" s="712"/>
      <c r="AM414" s="712"/>
      <c r="AN414" s="712"/>
      <c r="AO414" s="712"/>
      <c r="AP414" s="712"/>
      <c r="AQ414" s="712"/>
      <c r="AR414" s="712"/>
      <c r="AS414" s="712"/>
      <c r="AT414" s="712"/>
      <c r="AU414" s="712"/>
      <c r="AV414" s="712"/>
      <c r="AW414" s="712"/>
      <c r="AX414" s="712"/>
      <c r="AY414" s="712"/>
    </row>
    <row r="415">
      <c r="T415" s="434"/>
      <c r="U415" s="438"/>
      <c r="V415" s="438"/>
      <c r="W415" s="438"/>
      <c r="X415" s="438"/>
      <c r="Y415" s="438"/>
      <c r="Z415" s="438"/>
      <c r="AA415" s="438"/>
      <c r="AB415" s="438"/>
      <c r="AC415" s="438"/>
      <c r="AD415" s="438"/>
      <c r="AE415" s="438"/>
      <c r="AF415" s="438"/>
      <c r="AG415" s="712"/>
      <c r="AH415" s="712"/>
      <c r="AI415" s="712"/>
      <c r="AJ415" s="712"/>
      <c r="AK415" s="712"/>
      <c r="AL415" s="712"/>
      <c r="AM415" s="712"/>
      <c r="AN415" s="712"/>
      <c r="AO415" s="712"/>
      <c r="AP415" s="712"/>
      <c r="AQ415" s="712"/>
      <c r="AR415" s="712"/>
      <c r="AS415" s="712"/>
      <c r="AT415" s="712"/>
      <c r="AU415" s="712"/>
      <c r="AV415" s="712"/>
      <c r="AW415" s="712"/>
      <c r="AX415" s="712"/>
      <c r="AY415" s="712"/>
    </row>
    <row r="416">
      <c r="T416" s="434"/>
      <c r="U416" s="438"/>
      <c r="V416" s="438"/>
      <c r="W416" s="438"/>
      <c r="X416" s="438"/>
      <c r="Y416" s="438"/>
      <c r="Z416" s="438"/>
      <c r="AA416" s="438"/>
      <c r="AB416" s="438"/>
      <c r="AC416" s="438"/>
      <c r="AD416" s="438"/>
      <c r="AE416" s="438"/>
      <c r="AF416" s="438"/>
      <c r="AG416" s="712"/>
      <c r="AH416" s="712"/>
      <c r="AI416" s="712"/>
      <c r="AJ416" s="712"/>
      <c r="AK416" s="712"/>
      <c r="AL416" s="712"/>
      <c r="AM416" s="712"/>
      <c r="AN416" s="712"/>
      <c r="AO416" s="712"/>
      <c r="AP416" s="712"/>
      <c r="AQ416" s="712"/>
      <c r="AR416" s="712"/>
      <c r="AS416" s="712"/>
      <c r="AT416" s="712"/>
      <c r="AU416" s="712"/>
      <c r="AV416" s="712"/>
      <c r="AW416" s="712"/>
      <c r="AX416" s="712"/>
      <c r="AY416" s="712"/>
    </row>
    <row r="417">
      <c r="T417" s="434"/>
      <c r="U417" s="438"/>
      <c r="V417" s="438"/>
      <c r="W417" s="438"/>
      <c r="X417" s="438"/>
      <c r="Y417" s="438"/>
      <c r="Z417" s="438"/>
      <c r="AA417" s="438"/>
      <c r="AB417" s="438"/>
      <c r="AC417" s="438"/>
      <c r="AD417" s="438"/>
      <c r="AE417" s="438"/>
      <c r="AF417" s="438"/>
      <c r="AG417" s="712"/>
      <c r="AH417" s="712"/>
      <c r="AI417" s="712"/>
      <c r="AJ417" s="712"/>
      <c r="AK417" s="712"/>
      <c r="AL417" s="712"/>
      <c r="AM417" s="712"/>
      <c r="AN417" s="712"/>
      <c r="AO417" s="712"/>
      <c r="AP417" s="712"/>
      <c r="AQ417" s="712"/>
      <c r="AR417" s="712"/>
      <c r="AS417" s="712"/>
      <c r="AT417" s="712"/>
      <c r="AU417" s="712"/>
      <c r="AV417" s="712"/>
      <c r="AW417" s="712"/>
      <c r="AX417" s="712"/>
      <c r="AY417" s="712"/>
    </row>
    <row r="418">
      <c r="T418" s="434"/>
      <c r="U418" s="438"/>
      <c r="V418" s="438"/>
      <c r="W418" s="438"/>
      <c r="X418" s="438"/>
      <c r="Y418" s="438"/>
      <c r="Z418" s="438"/>
      <c r="AA418" s="438"/>
      <c r="AB418" s="438"/>
      <c r="AC418" s="438"/>
      <c r="AD418" s="438"/>
      <c r="AE418" s="438"/>
      <c r="AF418" s="438"/>
      <c r="AG418" s="712"/>
      <c r="AH418" s="712"/>
      <c r="AI418" s="712"/>
      <c r="AJ418" s="712"/>
      <c r="AK418" s="712"/>
      <c r="AL418" s="712"/>
      <c r="AM418" s="712"/>
      <c r="AN418" s="712"/>
      <c r="AO418" s="712"/>
      <c r="AP418" s="712"/>
      <c r="AQ418" s="712"/>
      <c r="AR418" s="712"/>
      <c r="AS418" s="712"/>
      <c r="AT418" s="712"/>
      <c r="AU418" s="712"/>
      <c r="AV418" s="712"/>
      <c r="AW418" s="712"/>
      <c r="AX418" s="712"/>
      <c r="AY418" s="712"/>
    </row>
    <row r="419">
      <c r="T419" s="434"/>
      <c r="U419" s="438"/>
      <c r="V419" s="438"/>
      <c r="W419" s="438"/>
      <c r="X419" s="438"/>
      <c r="Y419" s="438"/>
      <c r="Z419" s="438"/>
      <c r="AA419" s="438"/>
      <c r="AB419" s="438"/>
      <c r="AC419" s="438"/>
      <c r="AD419" s="438"/>
      <c r="AE419" s="438"/>
      <c r="AF419" s="438"/>
      <c r="AG419" s="712"/>
      <c r="AH419" s="712"/>
      <c r="AI419" s="712"/>
      <c r="AJ419" s="712"/>
      <c r="AK419" s="712"/>
      <c r="AL419" s="712"/>
      <c r="AM419" s="712"/>
      <c r="AN419" s="712"/>
      <c r="AO419" s="712"/>
      <c r="AP419" s="712"/>
      <c r="AQ419" s="712"/>
      <c r="AR419" s="712"/>
      <c r="AS419" s="712"/>
      <c r="AT419" s="712"/>
      <c r="AU419" s="712"/>
      <c r="AV419" s="712"/>
      <c r="AW419" s="712"/>
      <c r="AX419" s="712"/>
      <c r="AY419" s="712"/>
    </row>
    <row r="420">
      <c r="T420" s="434"/>
      <c r="U420" s="438"/>
      <c r="V420" s="438"/>
      <c r="W420" s="438"/>
      <c r="X420" s="438"/>
      <c r="Y420" s="438"/>
      <c r="Z420" s="438"/>
      <c r="AA420" s="438"/>
      <c r="AB420" s="438"/>
      <c r="AC420" s="438"/>
      <c r="AD420" s="438"/>
      <c r="AE420" s="438"/>
      <c r="AF420" s="438"/>
      <c r="AG420" s="712"/>
      <c r="AH420" s="712"/>
      <c r="AI420" s="712"/>
      <c r="AJ420" s="712"/>
      <c r="AK420" s="712"/>
      <c r="AL420" s="712"/>
      <c r="AM420" s="712"/>
      <c r="AN420" s="712"/>
      <c r="AO420" s="712"/>
      <c r="AP420" s="712"/>
      <c r="AQ420" s="712"/>
      <c r="AR420" s="712"/>
      <c r="AS420" s="712"/>
      <c r="AT420" s="712"/>
      <c r="AU420" s="712"/>
      <c r="AV420" s="712"/>
      <c r="AW420" s="712"/>
      <c r="AX420" s="712"/>
      <c r="AY420" s="712"/>
    </row>
    <row r="421">
      <c r="T421" s="434"/>
      <c r="U421" s="438"/>
      <c r="V421" s="438"/>
      <c r="W421" s="438"/>
      <c r="X421" s="438"/>
      <c r="Y421" s="438"/>
      <c r="Z421" s="438"/>
      <c r="AA421" s="438"/>
      <c r="AB421" s="438"/>
      <c r="AC421" s="438"/>
      <c r="AD421" s="438"/>
      <c r="AE421" s="438"/>
      <c r="AF421" s="438"/>
      <c r="AG421" s="712"/>
      <c r="AH421" s="712"/>
      <c r="AI421" s="712"/>
      <c r="AJ421" s="712"/>
      <c r="AK421" s="712"/>
      <c r="AL421" s="712"/>
      <c r="AM421" s="712"/>
      <c r="AN421" s="712"/>
      <c r="AO421" s="712"/>
      <c r="AP421" s="712"/>
      <c r="AQ421" s="712"/>
      <c r="AR421" s="712"/>
      <c r="AS421" s="712"/>
      <c r="AT421" s="712"/>
      <c r="AU421" s="712"/>
      <c r="AV421" s="712"/>
      <c r="AW421" s="712"/>
      <c r="AX421" s="712"/>
      <c r="AY421" s="712"/>
    </row>
    <row r="422">
      <c r="T422" s="434"/>
      <c r="U422" s="438"/>
      <c r="V422" s="438"/>
      <c r="W422" s="438"/>
      <c r="X422" s="438"/>
      <c r="Y422" s="438"/>
      <c r="Z422" s="438"/>
      <c r="AA422" s="438"/>
      <c r="AB422" s="438"/>
      <c r="AC422" s="438"/>
      <c r="AD422" s="438"/>
      <c r="AE422" s="438"/>
      <c r="AF422" s="438"/>
      <c r="AG422" s="712"/>
      <c r="AH422" s="712"/>
      <c r="AI422" s="712"/>
      <c r="AJ422" s="712"/>
      <c r="AK422" s="712"/>
      <c r="AL422" s="712"/>
      <c r="AM422" s="712"/>
      <c r="AN422" s="712"/>
      <c r="AO422" s="712"/>
      <c r="AP422" s="712"/>
      <c r="AQ422" s="712"/>
      <c r="AR422" s="712"/>
      <c r="AS422" s="712"/>
      <c r="AT422" s="712"/>
      <c r="AU422" s="712"/>
      <c r="AV422" s="712"/>
      <c r="AW422" s="712"/>
      <c r="AX422" s="712"/>
      <c r="AY422" s="712"/>
    </row>
    <row r="423">
      <c r="T423" s="434"/>
      <c r="U423" s="438"/>
      <c r="V423" s="438"/>
      <c r="W423" s="438"/>
      <c r="X423" s="438"/>
      <c r="Y423" s="438"/>
      <c r="Z423" s="438"/>
      <c r="AA423" s="438"/>
      <c r="AB423" s="438"/>
      <c r="AC423" s="438"/>
      <c r="AD423" s="438"/>
      <c r="AE423" s="438"/>
      <c r="AF423" s="438"/>
      <c r="AG423" s="712"/>
      <c r="AH423" s="712"/>
      <c r="AI423" s="712"/>
      <c r="AJ423" s="712"/>
      <c r="AK423" s="712"/>
      <c r="AL423" s="712"/>
      <c r="AM423" s="712"/>
      <c r="AN423" s="712"/>
      <c r="AO423" s="712"/>
      <c r="AP423" s="712"/>
      <c r="AQ423" s="712"/>
      <c r="AR423" s="712"/>
      <c r="AS423" s="712"/>
      <c r="AT423" s="712"/>
      <c r="AU423" s="712"/>
      <c r="AV423" s="712"/>
      <c r="AW423" s="712"/>
      <c r="AX423" s="712"/>
      <c r="AY423" s="712"/>
    </row>
    <row r="424">
      <c r="T424" s="434"/>
      <c r="U424" s="438"/>
      <c r="V424" s="438"/>
      <c r="W424" s="438"/>
      <c r="X424" s="438"/>
      <c r="Y424" s="438"/>
      <c r="Z424" s="438"/>
      <c r="AA424" s="438"/>
      <c r="AB424" s="438"/>
      <c r="AC424" s="438"/>
      <c r="AD424" s="438"/>
      <c r="AE424" s="438"/>
      <c r="AF424" s="438"/>
      <c r="AG424" s="712"/>
      <c r="AH424" s="712"/>
      <c r="AI424" s="712"/>
      <c r="AJ424" s="712"/>
      <c r="AK424" s="712"/>
      <c r="AL424" s="712"/>
      <c r="AM424" s="712"/>
      <c r="AN424" s="712"/>
      <c r="AO424" s="712"/>
      <c r="AP424" s="712"/>
      <c r="AQ424" s="712"/>
      <c r="AR424" s="712"/>
      <c r="AS424" s="712"/>
      <c r="AT424" s="712"/>
      <c r="AU424" s="712"/>
      <c r="AV424" s="712"/>
      <c r="AW424" s="712"/>
      <c r="AX424" s="712"/>
      <c r="AY424" s="712"/>
    </row>
    <row r="425">
      <c r="T425" s="434"/>
      <c r="U425" s="438"/>
      <c r="V425" s="438"/>
      <c r="W425" s="438"/>
      <c r="X425" s="438"/>
      <c r="Y425" s="438"/>
      <c r="Z425" s="438"/>
      <c r="AA425" s="438"/>
      <c r="AB425" s="438"/>
      <c r="AC425" s="438"/>
      <c r="AD425" s="438"/>
      <c r="AE425" s="438"/>
      <c r="AF425" s="438"/>
      <c r="AG425" s="712"/>
      <c r="AH425" s="712"/>
      <c r="AI425" s="712"/>
      <c r="AJ425" s="712"/>
      <c r="AK425" s="712"/>
      <c r="AL425" s="712"/>
      <c r="AM425" s="712"/>
      <c r="AN425" s="712"/>
      <c r="AO425" s="712"/>
      <c r="AP425" s="712"/>
      <c r="AQ425" s="712"/>
      <c r="AR425" s="712"/>
      <c r="AS425" s="712"/>
      <c r="AT425" s="712"/>
      <c r="AU425" s="712"/>
      <c r="AV425" s="712"/>
      <c r="AW425" s="712"/>
      <c r="AX425" s="712"/>
      <c r="AY425" s="712"/>
    </row>
    <row r="426">
      <c r="T426" s="434"/>
      <c r="U426" s="438"/>
      <c r="V426" s="438"/>
      <c r="W426" s="438"/>
      <c r="X426" s="438"/>
      <c r="Y426" s="438"/>
      <c r="Z426" s="438"/>
      <c r="AA426" s="438"/>
      <c r="AB426" s="438"/>
      <c r="AC426" s="438"/>
      <c r="AD426" s="438"/>
      <c r="AE426" s="438"/>
      <c r="AF426" s="438"/>
      <c r="AG426" s="712"/>
      <c r="AH426" s="712"/>
      <c r="AI426" s="712"/>
      <c r="AJ426" s="712"/>
      <c r="AK426" s="712"/>
      <c r="AL426" s="712"/>
      <c r="AM426" s="712"/>
      <c r="AN426" s="712"/>
      <c r="AO426" s="712"/>
      <c r="AP426" s="712"/>
      <c r="AQ426" s="712"/>
      <c r="AR426" s="712"/>
      <c r="AS426" s="712"/>
      <c r="AT426" s="712"/>
      <c r="AU426" s="712"/>
      <c r="AV426" s="712"/>
      <c r="AW426" s="712"/>
      <c r="AX426" s="712"/>
      <c r="AY426" s="712"/>
    </row>
    <row r="427">
      <c r="T427" s="434"/>
      <c r="U427" s="438"/>
      <c r="V427" s="438"/>
      <c r="W427" s="438"/>
      <c r="X427" s="438"/>
      <c r="Y427" s="438"/>
      <c r="Z427" s="438"/>
      <c r="AA427" s="438"/>
      <c r="AB427" s="438"/>
      <c r="AC427" s="438"/>
      <c r="AD427" s="438"/>
      <c r="AE427" s="438"/>
      <c r="AF427" s="438"/>
      <c r="AG427" s="712"/>
      <c r="AH427" s="712"/>
      <c r="AI427" s="712"/>
      <c r="AJ427" s="712"/>
      <c r="AK427" s="712"/>
      <c r="AL427" s="712"/>
      <c r="AM427" s="712"/>
      <c r="AN427" s="712"/>
      <c r="AO427" s="712"/>
      <c r="AP427" s="712"/>
      <c r="AQ427" s="712"/>
      <c r="AR427" s="712"/>
      <c r="AS427" s="712"/>
      <c r="AT427" s="712"/>
      <c r="AU427" s="712"/>
      <c r="AV427" s="712"/>
      <c r="AW427" s="712"/>
      <c r="AX427" s="712"/>
      <c r="AY427" s="712"/>
    </row>
    <row r="428">
      <c r="T428" s="434"/>
      <c r="U428" s="438"/>
      <c r="V428" s="438"/>
      <c r="W428" s="438"/>
      <c r="X428" s="438"/>
      <c r="Y428" s="438"/>
      <c r="Z428" s="438"/>
      <c r="AA428" s="438"/>
      <c r="AB428" s="438"/>
      <c r="AC428" s="438"/>
      <c r="AD428" s="438"/>
      <c r="AE428" s="438"/>
      <c r="AF428" s="438"/>
      <c r="AG428" s="712"/>
      <c r="AH428" s="712"/>
      <c r="AI428" s="712"/>
      <c r="AJ428" s="712"/>
      <c r="AK428" s="712"/>
      <c r="AL428" s="712"/>
      <c r="AM428" s="712"/>
      <c r="AN428" s="712"/>
      <c r="AO428" s="712"/>
      <c r="AP428" s="712"/>
      <c r="AQ428" s="712"/>
      <c r="AR428" s="712"/>
      <c r="AS428" s="712"/>
      <c r="AT428" s="712"/>
      <c r="AU428" s="712"/>
      <c r="AV428" s="712"/>
      <c r="AW428" s="712"/>
      <c r="AX428" s="712"/>
      <c r="AY428" s="712"/>
    </row>
    <row r="429">
      <c r="T429" s="434"/>
      <c r="U429" s="438"/>
      <c r="V429" s="438"/>
      <c r="W429" s="438"/>
      <c r="X429" s="438"/>
      <c r="Y429" s="438"/>
      <c r="Z429" s="438"/>
      <c r="AA429" s="438"/>
      <c r="AB429" s="438"/>
      <c r="AC429" s="438"/>
      <c r="AD429" s="438"/>
      <c r="AE429" s="438"/>
      <c r="AF429" s="438"/>
      <c r="AG429" s="712"/>
      <c r="AH429" s="712"/>
      <c r="AI429" s="712"/>
      <c r="AJ429" s="712"/>
      <c r="AK429" s="712"/>
      <c r="AL429" s="712"/>
      <c r="AM429" s="712"/>
      <c r="AN429" s="712"/>
      <c r="AO429" s="712"/>
      <c r="AP429" s="712"/>
      <c r="AQ429" s="712"/>
      <c r="AR429" s="712"/>
      <c r="AS429" s="712"/>
      <c r="AT429" s="712"/>
      <c r="AU429" s="712"/>
      <c r="AV429" s="712"/>
      <c r="AW429" s="712"/>
      <c r="AX429" s="712"/>
      <c r="AY429" s="712"/>
    </row>
    <row r="430">
      <c r="T430" s="434"/>
      <c r="U430" s="438"/>
      <c r="V430" s="438"/>
      <c r="W430" s="438"/>
      <c r="X430" s="438"/>
      <c r="Y430" s="438"/>
      <c r="Z430" s="438"/>
      <c r="AA430" s="438"/>
      <c r="AB430" s="438"/>
      <c r="AC430" s="438"/>
      <c r="AD430" s="438"/>
      <c r="AE430" s="438"/>
      <c r="AF430" s="438"/>
      <c r="AG430" s="712"/>
      <c r="AH430" s="712"/>
      <c r="AI430" s="712"/>
      <c r="AJ430" s="712"/>
      <c r="AK430" s="712"/>
      <c r="AL430" s="712"/>
      <c r="AM430" s="712"/>
      <c r="AN430" s="712"/>
      <c r="AO430" s="712"/>
      <c r="AP430" s="712"/>
      <c r="AQ430" s="712"/>
      <c r="AR430" s="712"/>
      <c r="AS430" s="712"/>
      <c r="AT430" s="712"/>
      <c r="AU430" s="712"/>
      <c r="AV430" s="712"/>
      <c r="AW430" s="712"/>
      <c r="AX430" s="712"/>
      <c r="AY430" s="712"/>
    </row>
    <row r="431">
      <c r="T431" s="434"/>
      <c r="U431" s="438"/>
      <c r="V431" s="438"/>
      <c r="W431" s="438"/>
      <c r="X431" s="438"/>
      <c r="Y431" s="438"/>
      <c r="Z431" s="438"/>
      <c r="AA431" s="438"/>
      <c r="AB431" s="438"/>
      <c r="AC431" s="438"/>
      <c r="AD431" s="438"/>
      <c r="AE431" s="438"/>
      <c r="AF431" s="438"/>
      <c r="AG431" s="712"/>
      <c r="AH431" s="712"/>
      <c r="AI431" s="712"/>
      <c r="AJ431" s="712"/>
      <c r="AK431" s="712"/>
      <c r="AL431" s="712"/>
      <c r="AM431" s="712"/>
      <c r="AN431" s="712"/>
      <c r="AO431" s="712"/>
      <c r="AP431" s="712"/>
      <c r="AQ431" s="712"/>
      <c r="AR431" s="712"/>
      <c r="AS431" s="712"/>
      <c r="AT431" s="712"/>
      <c r="AU431" s="712"/>
      <c r="AV431" s="712"/>
      <c r="AW431" s="712"/>
      <c r="AX431" s="712"/>
      <c r="AY431" s="712"/>
    </row>
    <row r="432">
      <c r="T432" s="434"/>
      <c r="U432" s="438"/>
      <c r="V432" s="438"/>
      <c r="W432" s="438"/>
      <c r="X432" s="438"/>
      <c r="Y432" s="438"/>
      <c r="Z432" s="438"/>
      <c r="AA432" s="438"/>
      <c r="AB432" s="438"/>
      <c r="AC432" s="438"/>
      <c r="AD432" s="438"/>
      <c r="AE432" s="438"/>
      <c r="AF432" s="438"/>
      <c r="AG432" s="712"/>
      <c r="AH432" s="712"/>
      <c r="AI432" s="712"/>
      <c r="AJ432" s="712"/>
      <c r="AK432" s="712"/>
      <c r="AL432" s="712"/>
      <c r="AM432" s="712"/>
      <c r="AN432" s="712"/>
      <c r="AO432" s="712"/>
      <c r="AP432" s="712"/>
      <c r="AQ432" s="712"/>
      <c r="AR432" s="712"/>
      <c r="AS432" s="712"/>
      <c r="AT432" s="712"/>
      <c r="AU432" s="712"/>
      <c r="AV432" s="712"/>
      <c r="AW432" s="712"/>
      <c r="AX432" s="712"/>
      <c r="AY432" s="712"/>
    </row>
    <row r="433">
      <c r="T433" s="434"/>
      <c r="U433" s="438"/>
      <c r="V433" s="438"/>
      <c r="W433" s="438"/>
      <c r="X433" s="438"/>
      <c r="Y433" s="438"/>
      <c r="Z433" s="438"/>
      <c r="AA433" s="438"/>
      <c r="AB433" s="438"/>
      <c r="AC433" s="438"/>
      <c r="AD433" s="438"/>
      <c r="AE433" s="438"/>
      <c r="AF433" s="438"/>
      <c r="AG433" s="712"/>
      <c r="AH433" s="712"/>
      <c r="AI433" s="712"/>
      <c r="AJ433" s="712"/>
      <c r="AK433" s="712"/>
      <c r="AL433" s="712"/>
      <c r="AM433" s="712"/>
      <c r="AN433" s="712"/>
      <c r="AO433" s="712"/>
      <c r="AP433" s="712"/>
      <c r="AQ433" s="712"/>
      <c r="AR433" s="712"/>
      <c r="AS433" s="712"/>
      <c r="AT433" s="712"/>
      <c r="AU433" s="712"/>
      <c r="AV433" s="712"/>
      <c r="AW433" s="712"/>
      <c r="AX433" s="712"/>
      <c r="AY433" s="712"/>
    </row>
    <row r="434">
      <c r="T434" s="434"/>
      <c r="U434" s="438"/>
      <c r="V434" s="438"/>
      <c r="W434" s="438"/>
      <c r="X434" s="438"/>
      <c r="Y434" s="438"/>
      <c r="Z434" s="438"/>
      <c r="AA434" s="438"/>
      <c r="AB434" s="438"/>
      <c r="AC434" s="438"/>
      <c r="AD434" s="438"/>
      <c r="AE434" s="438"/>
      <c r="AF434" s="438"/>
      <c r="AG434" s="712"/>
      <c r="AH434" s="712"/>
      <c r="AI434" s="712"/>
      <c r="AJ434" s="712"/>
      <c r="AK434" s="712"/>
      <c r="AL434" s="712"/>
      <c r="AM434" s="712"/>
      <c r="AN434" s="712"/>
      <c r="AO434" s="712"/>
      <c r="AP434" s="712"/>
      <c r="AQ434" s="712"/>
      <c r="AR434" s="712"/>
      <c r="AS434" s="712"/>
      <c r="AT434" s="712"/>
      <c r="AU434" s="712"/>
      <c r="AV434" s="712"/>
      <c r="AW434" s="712"/>
      <c r="AX434" s="712"/>
      <c r="AY434" s="712"/>
    </row>
    <row r="435">
      <c r="T435" s="434"/>
      <c r="U435" s="438"/>
      <c r="V435" s="438"/>
      <c r="W435" s="438"/>
      <c r="X435" s="438"/>
      <c r="Y435" s="438"/>
      <c r="Z435" s="438"/>
      <c r="AA435" s="438"/>
      <c r="AB435" s="438"/>
      <c r="AC435" s="438"/>
      <c r="AD435" s="438"/>
      <c r="AE435" s="438"/>
      <c r="AF435" s="438"/>
      <c r="AG435" s="712"/>
      <c r="AH435" s="712"/>
      <c r="AI435" s="712"/>
      <c r="AJ435" s="712"/>
      <c r="AK435" s="712"/>
      <c r="AL435" s="712"/>
      <c r="AM435" s="712"/>
      <c r="AN435" s="712"/>
      <c r="AO435" s="712"/>
      <c r="AP435" s="712"/>
      <c r="AQ435" s="712"/>
      <c r="AR435" s="712"/>
      <c r="AS435" s="712"/>
      <c r="AT435" s="712"/>
      <c r="AU435" s="712"/>
      <c r="AV435" s="712"/>
      <c r="AW435" s="712"/>
      <c r="AX435" s="712"/>
      <c r="AY435" s="712"/>
    </row>
    <row r="436">
      <c r="T436" s="434"/>
      <c r="U436" s="438"/>
      <c r="V436" s="438"/>
      <c r="W436" s="438"/>
      <c r="X436" s="438"/>
      <c r="Y436" s="438"/>
      <c r="Z436" s="438"/>
      <c r="AA436" s="438"/>
      <c r="AB436" s="438"/>
      <c r="AC436" s="438"/>
      <c r="AD436" s="438"/>
      <c r="AE436" s="438"/>
      <c r="AF436" s="438"/>
      <c r="AG436" s="712"/>
      <c r="AH436" s="712"/>
      <c r="AI436" s="712"/>
      <c r="AJ436" s="712"/>
      <c r="AK436" s="712"/>
      <c r="AL436" s="712"/>
      <c r="AM436" s="712"/>
      <c r="AN436" s="712"/>
      <c r="AO436" s="712"/>
      <c r="AP436" s="712"/>
      <c r="AQ436" s="712"/>
      <c r="AR436" s="712"/>
      <c r="AS436" s="712"/>
      <c r="AT436" s="712"/>
      <c r="AU436" s="712"/>
      <c r="AV436" s="712"/>
      <c r="AW436" s="712"/>
      <c r="AX436" s="712"/>
      <c r="AY436" s="712"/>
    </row>
    <row r="437">
      <c r="T437" s="434"/>
      <c r="U437" s="438"/>
      <c r="V437" s="438"/>
      <c r="W437" s="438"/>
      <c r="X437" s="438"/>
      <c r="Y437" s="438"/>
      <c r="Z437" s="438"/>
      <c r="AA437" s="438"/>
      <c r="AB437" s="438"/>
      <c r="AC437" s="438"/>
      <c r="AD437" s="438"/>
      <c r="AE437" s="438"/>
      <c r="AF437" s="438"/>
      <c r="AG437" s="712"/>
      <c r="AH437" s="712"/>
      <c r="AI437" s="712"/>
      <c r="AJ437" s="712"/>
      <c r="AK437" s="712"/>
      <c r="AL437" s="712"/>
      <c r="AM437" s="712"/>
      <c r="AN437" s="712"/>
      <c r="AO437" s="712"/>
      <c r="AP437" s="712"/>
      <c r="AQ437" s="712"/>
      <c r="AR437" s="712"/>
      <c r="AS437" s="712"/>
      <c r="AT437" s="712"/>
      <c r="AU437" s="712"/>
      <c r="AV437" s="712"/>
      <c r="AW437" s="712"/>
      <c r="AX437" s="712"/>
      <c r="AY437" s="712"/>
    </row>
    <row r="438">
      <c r="T438" s="434"/>
      <c r="U438" s="438"/>
      <c r="V438" s="438"/>
      <c r="W438" s="438"/>
      <c r="X438" s="438"/>
      <c r="Y438" s="438"/>
      <c r="Z438" s="438"/>
      <c r="AA438" s="438"/>
      <c r="AB438" s="438"/>
      <c r="AC438" s="438"/>
      <c r="AD438" s="438"/>
      <c r="AE438" s="438"/>
      <c r="AF438" s="438"/>
      <c r="AG438" s="712"/>
      <c r="AH438" s="712"/>
      <c r="AI438" s="712"/>
      <c r="AJ438" s="712"/>
      <c r="AK438" s="712"/>
      <c r="AL438" s="712"/>
      <c r="AM438" s="712"/>
      <c r="AN438" s="712"/>
      <c r="AO438" s="712"/>
      <c r="AP438" s="712"/>
      <c r="AQ438" s="712"/>
      <c r="AR438" s="712"/>
      <c r="AS438" s="712"/>
      <c r="AT438" s="712"/>
      <c r="AU438" s="712"/>
      <c r="AV438" s="712"/>
      <c r="AW438" s="712"/>
      <c r="AX438" s="712"/>
      <c r="AY438" s="712"/>
    </row>
    <row r="439">
      <c r="T439" s="434"/>
      <c r="U439" s="438"/>
      <c r="V439" s="438"/>
      <c r="W439" s="438"/>
      <c r="X439" s="438"/>
      <c r="Y439" s="438"/>
      <c r="Z439" s="438"/>
      <c r="AA439" s="438"/>
      <c r="AB439" s="438"/>
      <c r="AC439" s="438"/>
      <c r="AD439" s="438"/>
      <c r="AE439" s="438"/>
      <c r="AF439" s="438"/>
      <c r="AG439" s="712"/>
      <c r="AH439" s="712"/>
      <c r="AI439" s="712"/>
      <c r="AJ439" s="712"/>
      <c r="AK439" s="712"/>
      <c r="AL439" s="712"/>
      <c r="AM439" s="712"/>
      <c r="AN439" s="712"/>
      <c r="AO439" s="712"/>
      <c r="AP439" s="712"/>
      <c r="AQ439" s="712"/>
      <c r="AR439" s="712"/>
      <c r="AS439" s="712"/>
      <c r="AT439" s="712"/>
      <c r="AU439" s="712"/>
      <c r="AV439" s="712"/>
      <c r="AW439" s="712"/>
      <c r="AX439" s="712"/>
      <c r="AY439" s="712"/>
    </row>
    <row r="440">
      <c r="T440" s="434"/>
      <c r="U440" s="438"/>
      <c r="V440" s="438"/>
      <c r="W440" s="438"/>
      <c r="X440" s="438"/>
      <c r="Y440" s="438"/>
      <c r="Z440" s="438"/>
      <c r="AA440" s="438"/>
      <c r="AB440" s="438"/>
      <c r="AC440" s="438"/>
      <c r="AD440" s="438"/>
      <c r="AE440" s="438"/>
      <c r="AF440" s="438"/>
      <c r="AG440" s="712"/>
      <c r="AH440" s="712"/>
      <c r="AI440" s="712"/>
      <c r="AJ440" s="712"/>
      <c r="AK440" s="712"/>
      <c r="AL440" s="712"/>
      <c r="AM440" s="712"/>
      <c r="AN440" s="712"/>
      <c r="AO440" s="712"/>
      <c r="AP440" s="712"/>
      <c r="AQ440" s="712"/>
      <c r="AR440" s="712"/>
      <c r="AS440" s="712"/>
      <c r="AT440" s="712"/>
      <c r="AU440" s="712"/>
      <c r="AV440" s="712"/>
      <c r="AW440" s="712"/>
      <c r="AX440" s="712"/>
      <c r="AY440" s="712"/>
    </row>
    <row r="441">
      <c r="T441" s="434"/>
      <c r="U441" s="438"/>
      <c r="V441" s="438"/>
      <c r="W441" s="438"/>
      <c r="X441" s="438"/>
      <c r="Y441" s="438"/>
      <c r="Z441" s="438"/>
      <c r="AA441" s="438"/>
      <c r="AB441" s="438"/>
      <c r="AC441" s="438"/>
      <c r="AD441" s="438"/>
      <c r="AE441" s="438"/>
      <c r="AF441" s="438"/>
      <c r="AG441" s="712"/>
      <c r="AH441" s="712"/>
      <c r="AI441" s="712"/>
      <c r="AJ441" s="712"/>
      <c r="AK441" s="712"/>
      <c r="AL441" s="712"/>
      <c r="AM441" s="712"/>
      <c r="AN441" s="712"/>
      <c r="AO441" s="712"/>
      <c r="AP441" s="712"/>
      <c r="AQ441" s="712"/>
      <c r="AR441" s="712"/>
      <c r="AS441" s="712"/>
      <c r="AT441" s="712"/>
      <c r="AU441" s="712"/>
      <c r="AV441" s="712"/>
      <c r="AW441" s="712"/>
      <c r="AX441" s="712"/>
      <c r="AY441" s="712"/>
    </row>
    <row r="442">
      <c r="T442" s="434"/>
      <c r="U442" s="438"/>
      <c r="V442" s="438"/>
      <c r="W442" s="438"/>
      <c r="X442" s="438"/>
      <c r="Y442" s="438"/>
      <c r="Z442" s="438"/>
      <c r="AA442" s="438"/>
      <c r="AB442" s="438"/>
      <c r="AC442" s="438"/>
      <c r="AD442" s="438"/>
      <c r="AE442" s="438"/>
      <c r="AF442" s="438"/>
      <c r="AG442" s="712"/>
      <c r="AH442" s="712"/>
      <c r="AI442" s="712"/>
      <c r="AJ442" s="712"/>
      <c r="AK442" s="712"/>
      <c r="AL442" s="712"/>
      <c r="AM442" s="712"/>
      <c r="AN442" s="712"/>
      <c r="AO442" s="712"/>
      <c r="AP442" s="712"/>
      <c r="AQ442" s="712"/>
      <c r="AR442" s="712"/>
      <c r="AS442" s="712"/>
      <c r="AT442" s="712"/>
      <c r="AU442" s="712"/>
      <c r="AV442" s="712"/>
      <c r="AW442" s="712"/>
      <c r="AX442" s="712"/>
      <c r="AY442" s="712"/>
    </row>
    <row r="443">
      <c r="T443" s="434"/>
      <c r="U443" s="438"/>
      <c r="V443" s="438"/>
      <c r="W443" s="438"/>
      <c r="X443" s="438"/>
      <c r="Y443" s="438"/>
      <c r="Z443" s="438"/>
      <c r="AA443" s="438"/>
      <c r="AB443" s="438"/>
      <c r="AC443" s="438"/>
      <c r="AD443" s="438"/>
      <c r="AE443" s="438"/>
      <c r="AF443" s="438"/>
      <c r="AG443" s="712"/>
      <c r="AH443" s="712"/>
      <c r="AI443" s="712"/>
      <c r="AJ443" s="712"/>
      <c r="AK443" s="712"/>
      <c r="AL443" s="712"/>
      <c r="AM443" s="712"/>
      <c r="AN443" s="712"/>
      <c r="AO443" s="712"/>
      <c r="AP443" s="712"/>
      <c r="AQ443" s="712"/>
      <c r="AR443" s="712"/>
      <c r="AS443" s="712"/>
      <c r="AT443" s="712"/>
      <c r="AU443" s="712"/>
      <c r="AV443" s="712"/>
      <c r="AW443" s="712"/>
      <c r="AX443" s="712"/>
      <c r="AY443" s="712"/>
    </row>
    <row r="444">
      <c r="T444" s="434"/>
      <c r="U444" s="438"/>
      <c r="V444" s="438"/>
      <c r="W444" s="438"/>
      <c r="X444" s="438"/>
      <c r="Y444" s="438"/>
      <c r="Z444" s="438"/>
      <c r="AA444" s="438"/>
      <c r="AB444" s="438"/>
      <c r="AC444" s="438"/>
      <c r="AD444" s="438"/>
      <c r="AE444" s="438"/>
      <c r="AF444" s="438"/>
      <c r="AG444" s="712"/>
      <c r="AH444" s="712"/>
      <c r="AI444" s="712"/>
      <c r="AJ444" s="712"/>
      <c r="AK444" s="712"/>
      <c r="AL444" s="712"/>
      <c r="AM444" s="712"/>
      <c r="AN444" s="712"/>
      <c r="AO444" s="712"/>
      <c r="AP444" s="712"/>
      <c r="AQ444" s="712"/>
      <c r="AR444" s="712"/>
      <c r="AS444" s="712"/>
      <c r="AT444" s="712"/>
      <c r="AU444" s="712"/>
      <c r="AV444" s="712"/>
      <c r="AW444" s="712"/>
      <c r="AX444" s="712"/>
      <c r="AY444" s="712"/>
    </row>
    <row r="445">
      <c r="T445" s="434"/>
      <c r="U445" s="438"/>
      <c r="V445" s="438"/>
      <c r="W445" s="438"/>
      <c r="X445" s="438"/>
      <c r="Y445" s="438"/>
      <c r="Z445" s="438"/>
      <c r="AA445" s="438"/>
      <c r="AB445" s="438"/>
      <c r="AC445" s="438"/>
      <c r="AD445" s="438"/>
      <c r="AE445" s="438"/>
      <c r="AF445" s="438"/>
      <c r="AG445" s="712"/>
      <c r="AH445" s="712"/>
      <c r="AI445" s="712"/>
      <c r="AJ445" s="712"/>
      <c r="AK445" s="712"/>
      <c r="AL445" s="712"/>
      <c r="AM445" s="712"/>
      <c r="AN445" s="712"/>
      <c r="AO445" s="712"/>
      <c r="AP445" s="712"/>
      <c r="AQ445" s="712"/>
      <c r="AR445" s="712"/>
      <c r="AS445" s="712"/>
      <c r="AT445" s="712"/>
      <c r="AU445" s="712"/>
      <c r="AV445" s="712"/>
      <c r="AW445" s="712"/>
      <c r="AX445" s="712"/>
      <c r="AY445" s="712"/>
    </row>
    <row r="446">
      <c r="T446" s="434"/>
      <c r="U446" s="438"/>
      <c r="V446" s="438"/>
      <c r="W446" s="438"/>
      <c r="X446" s="438"/>
      <c r="Y446" s="438"/>
      <c r="Z446" s="438"/>
      <c r="AA446" s="438"/>
      <c r="AB446" s="438"/>
      <c r="AC446" s="438"/>
      <c r="AD446" s="438"/>
      <c r="AE446" s="438"/>
      <c r="AF446" s="438"/>
      <c r="AG446" s="712"/>
      <c r="AH446" s="712"/>
      <c r="AI446" s="712"/>
      <c r="AJ446" s="712"/>
      <c r="AK446" s="712"/>
      <c r="AL446" s="712"/>
      <c r="AM446" s="712"/>
      <c r="AN446" s="712"/>
      <c r="AO446" s="712"/>
      <c r="AP446" s="712"/>
      <c r="AQ446" s="712"/>
      <c r="AR446" s="712"/>
      <c r="AS446" s="712"/>
      <c r="AT446" s="712"/>
      <c r="AU446" s="712"/>
      <c r="AV446" s="712"/>
      <c r="AW446" s="712"/>
      <c r="AX446" s="712"/>
      <c r="AY446" s="712"/>
    </row>
    <row r="447">
      <c r="T447" s="434"/>
      <c r="U447" s="438"/>
      <c r="V447" s="438"/>
      <c r="W447" s="438"/>
      <c r="X447" s="438"/>
      <c r="Y447" s="438"/>
      <c r="Z447" s="438"/>
      <c r="AA447" s="438"/>
      <c r="AB447" s="438"/>
      <c r="AC447" s="438"/>
      <c r="AD447" s="438"/>
      <c r="AE447" s="438"/>
      <c r="AF447" s="438"/>
      <c r="AG447" s="712"/>
      <c r="AH447" s="712"/>
      <c r="AI447" s="712"/>
      <c r="AJ447" s="712"/>
      <c r="AK447" s="712"/>
      <c r="AL447" s="712"/>
      <c r="AM447" s="712"/>
      <c r="AN447" s="712"/>
      <c r="AO447" s="712"/>
      <c r="AP447" s="712"/>
      <c r="AQ447" s="712"/>
      <c r="AR447" s="712"/>
      <c r="AS447" s="712"/>
      <c r="AT447" s="712"/>
      <c r="AU447" s="712"/>
      <c r="AV447" s="712"/>
      <c r="AW447" s="712"/>
      <c r="AX447" s="712"/>
      <c r="AY447" s="712"/>
    </row>
    <row r="448">
      <c r="T448" s="434"/>
      <c r="U448" s="438"/>
      <c r="V448" s="438"/>
      <c r="W448" s="438"/>
      <c r="X448" s="438"/>
      <c r="Y448" s="438"/>
      <c r="Z448" s="438"/>
      <c r="AA448" s="438"/>
      <c r="AB448" s="438"/>
      <c r="AC448" s="438"/>
      <c r="AD448" s="438"/>
      <c r="AE448" s="438"/>
      <c r="AF448" s="438"/>
      <c r="AG448" s="712"/>
      <c r="AH448" s="712"/>
      <c r="AI448" s="712"/>
      <c r="AJ448" s="712"/>
      <c r="AK448" s="712"/>
      <c r="AL448" s="712"/>
      <c r="AM448" s="712"/>
      <c r="AN448" s="712"/>
      <c r="AO448" s="712"/>
      <c r="AP448" s="712"/>
      <c r="AQ448" s="712"/>
      <c r="AR448" s="712"/>
      <c r="AS448" s="712"/>
      <c r="AT448" s="712"/>
      <c r="AU448" s="712"/>
      <c r="AV448" s="712"/>
      <c r="AW448" s="712"/>
      <c r="AX448" s="712"/>
      <c r="AY448" s="712"/>
    </row>
    <row r="449">
      <c r="T449" s="434"/>
      <c r="U449" s="438"/>
      <c r="V449" s="438"/>
      <c r="W449" s="438"/>
      <c r="X449" s="438"/>
      <c r="Y449" s="438"/>
      <c r="Z449" s="438"/>
      <c r="AA449" s="438"/>
      <c r="AB449" s="438"/>
      <c r="AC449" s="438"/>
      <c r="AD449" s="438"/>
      <c r="AE449" s="438"/>
      <c r="AF449" s="438"/>
      <c r="AG449" s="712"/>
      <c r="AH449" s="712"/>
      <c r="AI449" s="712"/>
      <c r="AJ449" s="712"/>
      <c r="AK449" s="712"/>
      <c r="AL449" s="712"/>
      <c r="AM449" s="712"/>
      <c r="AN449" s="712"/>
      <c r="AO449" s="712"/>
      <c r="AP449" s="712"/>
      <c r="AQ449" s="712"/>
      <c r="AR449" s="712"/>
      <c r="AS449" s="712"/>
      <c r="AT449" s="712"/>
      <c r="AU449" s="712"/>
      <c r="AV449" s="712"/>
      <c r="AW449" s="712"/>
      <c r="AX449" s="712"/>
      <c r="AY449" s="712"/>
    </row>
    <row r="450">
      <c r="T450" s="434"/>
      <c r="U450" s="438"/>
      <c r="V450" s="438"/>
      <c r="W450" s="438"/>
      <c r="X450" s="438"/>
      <c r="Y450" s="438"/>
      <c r="Z450" s="438"/>
      <c r="AA450" s="438"/>
      <c r="AB450" s="438"/>
      <c r="AC450" s="438"/>
      <c r="AD450" s="438"/>
      <c r="AE450" s="438"/>
      <c r="AF450" s="438"/>
      <c r="AG450" s="712"/>
      <c r="AH450" s="712"/>
      <c r="AI450" s="712"/>
      <c r="AJ450" s="712"/>
      <c r="AK450" s="712"/>
      <c r="AL450" s="712"/>
      <c r="AM450" s="712"/>
      <c r="AN450" s="712"/>
      <c r="AO450" s="712"/>
      <c r="AP450" s="712"/>
      <c r="AQ450" s="712"/>
      <c r="AR450" s="712"/>
      <c r="AS450" s="712"/>
      <c r="AT450" s="712"/>
      <c r="AU450" s="712"/>
      <c r="AV450" s="712"/>
      <c r="AW450" s="712"/>
      <c r="AX450" s="712"/>
      <c r="AY450" s="712"/>
    </row>
    <row r="451">
      <c r="T451" s="434"/>
      <c r="U451" s="438"/>
      <c r="V451" s="438"/>
      <c r="W451" s="438"/>
      <c r="X451" s="438"/>
      <c r="Y451" s="438"/>
      <c r="Z451" s="438"/>
      <c r="AA451" s="438"/>
      <c r="AB451" s="438"/>
      <c r="AC451" s="438"/>
      <c r="AD451" s="438"/>
      <c r="AE451" s="438"/>
      <c r="AF451" s="438"/>
      <c r="AG451" s="712"/>
      <c r="AH451" s="712"/>
      <c r="AI451" s="712"/>
      <c r="AJ451" s="712"/>
      <c r="AK451" s="712"/>
      <c r="AL451" s="712"/>
      <c r="AM451" s="712"/>
      <c r="AN451" s="712"/>
      <c r="AO451" s="712"/>
      <c r="AP451" s="712"/>
      <c r="AQ451" s="712"/>
      <c r="AR451" s="712"/>
      <c r="AS451" s="712"/>
      <c r="AT451" s="712"/>
      <c r="AU451" s="712"/>
      <c r="AV451" s="712"/>
      <c r="AW451" s="712"/>
      <c r="AX451" s="712"/>
      <c r="AY451" s="712"/>
    </row>
    <row r="452">
      <c r="T452" s="434"/>
      <c r="U452" s="438"/>
      <c r="V452" s="438"/>
      <c r="W452" s="438"/>
      <c r="X452" s="438"/>
      <c r="Y452" s="438"/>
      <c r="Z452" s="438"/>
      <c r="AA452" s="438"/>
      <c r="AB452" s="438"/>
      <c r="AC452" s="438"/>
      <c r="AD452" s="438"/>
      <c r="AE452" s="438"/>
      <c r="AF452" s="438"/>
      <c r="AG452" s="712"/>
      <c r="AH452" s="712"/>
      <c r="AI452" s="712"/>
      <c r="AJ452" s="712"/>
      <c r="AK452" s="712"/>
      <c r="AL452" s="712"/>
      <c r="AM452" s="712"/>
      <c r="AN452" s="712"/>
      <c r="AO452" s="712"/>
      <c r="AP452" s="712"/>
      <c r="AQ452" s="712"/>
      <c r="AR452" s="712"/>
      <c r="AS452" s="712"/>
      <c r="AT452" s="712"/>
      <c r="AU452" s="712"/>
      <c r="AV452" s="712"/>
      <c r="AW452" s="712"/>
      <c r="AX452" s="712"/>
      <c r="AY452" s="712"/>
    </row>
    <row r="453">
      <c r="T453" s="434"/>
      <c r="U453" s="438"/>
      <c r="V453" s="438"/>
      <c r="W453" s="438"/>
      <c r="X453" s="438"/>
      <c r="Y453" s="438"/>
      <c r="Z453" s="438"/>
      <c r="AA453" s="438"/>
      <c r="AB453" s="438"/>
      <c r="AC453" s="438"/>
      <c r="AD453" s="438"/>
      <c r="AE453" s="438"/>
      <c r="AF453" s="438"/>
      <c r="AG453" s="712"/>
      <c r="AH453" s="712"/>
      <c r="AI453" s="712"/>
      <c r="AJ453" s="712"/>
      <c r="AK453" s="712"/>
      <c r="AL453" s="712"/>
      <c r="AM453" s="712"/>
      <c r="AN453" s="712"/>
      <c r="AO453" s="712"/>
      <c r="AP453" s="712"/>
      <c r="AQ453" s="712"/>
      <c r="AR453" s="712"/>
      <c r="AS453" s="712"/>
      <c r="AT453" s="712"/>
      <c r="AU453" s="712"/>
      <c r="AV453" s="712"/>
      <c r="AW453" s="712"/>
      <c r="AX453" s="712"/>
      <c r="AY453" s="712"/>
    </row>
    <row r="454">
      <c r="T454" s="434"/>
      <c r="U454" s="438"/>
      <c r="V454" s="438"/>
      <c r="W454" s="438"/>
      <c r="X454" s="438"/>
      <c r="Y454" s="438"/>
      <c r="Z454" s="438"/>
      <c r="AA454" s="438"/>
      <c r="AB454" s="438"/>
      <c r="AC454" s="438"/>
      <c r="AD454" s="438"/>
      <c r="AE454" s="438"/>
      <c r="AF454" s="438"/>
      <c r="AG454" s="712"/>
      <c r="AH454" s="712"/>
      <c r="AI454" s="712"/>
      <c r="AJ454" s="712"/>
      <c r="AK454" s="712"/>
      <c r="AL454" s="712"/>
      <c r="AM454" s="712"/>
      <c r="AN454" s="712"/>
      <c r="AO454" s="712"/>
      <c r="AP454" s="712"/>
      <c r="AQ454" s="712"/>
      <c r="AR454" s="712"/>
      <c r="AS454" s="712"/>
      <c r="AT454" s="712"/>
      <c r="AU454" s="712"/>
      <c r="AV454" s="712"/>
      <c r="AW454" s="712"/>
      <c r="AX454" s="712"/>
      <c r="AY454" s="712"/>
    </row>
    <row r="455">
      <c r="T455" s="434"/>
      <c r="U455" s="438"/>
      <c r="V455" s="438"/>
      <c r="W455" s="438"/>
      <c r="X455" s="438"/>
      <c r="Y455" s="438"/>
      <c r="Z455" s="438"/>
      <c r="AA455" s="438"/>
      <c r="AB455" s="438"/>
      <c r="AC455" s="438"/>
      <c r="AD455" s="438"/>
      <c r="AE455" s="438"/>
      <c r="AF455" s="438"/>
      <c r="AG455" s="712"/>
      <c r="AH455" s="712"/>
      <c r="AI455" s="712"/>
      <c r="AJ455" s="712"/>
      <c r="AK455" s="712"/>
      <c r="AL455" s="712"/>
      <c r="AM455" s="712"/>
      <c r="AN455" s="712"/>
      <c r="AO455" s="712"/>
      <c r="AP455" s="712"/>
      <c r="AQ455" s="712"/>
      <c r="AR455" s="712"/>
      <c r="AS455" s="712"/>
      <c r="AT455" s="712"/>
      <c r="AU455" s="712"/>
      <c r="AV455" s="712"/>
      <c r="AW455" s="712"/>
      <c r="AX455" s="712"/>
      <c r="AY455" s="712"/>
    </row>
    <row r="456">
      <c r="T456" s="434"/>
      <c r="U456" s="438"/>
      <c r="V456" s="438"/>
      <c r="W456" s="438"/>
      <c r="X456" s="438"/>
      <c r="Y456" s="438"/>
      <c r="Z456" s="438"/>
      <c r="AA456" s="438"/>
      <c r="AB456" s="438"/>
      <c r="AC456" s="438"/>
      <c r="AD456" s="438"/>
      <c r="AE456" s="438"/>
      <c r="AF456" s="438"/>
      <c r="AG456" s="712"/>
      <c r="AH456" s="712"/>
      <c r="AI456" s="712"/>
      <c r="AJ456" s="712"/>
      <c r="AK456" s="712"/>
      <c r="AL456" s="712"/>
      <c r="AM456" s="712"/>
      <c r="AN456" s="712"/>
      <c r="AO456" s="712"/>
      <c r="AP456" s="712"/>
      <c r="AQ456" s="712"/>
      <c r="AR456" s="712"/>
      <c r="AS456" s="712"/>
      <c r="AT456" s="712"/>
      <c r="AU456" s="712"/>
      <c r="AV456" s="712"/>
      <c r="AW456" s="712"/>
      <c r="AX456" s="712"/>
      <c r="AY456" s="712"/>
    </row>
    <row r="457">
      <c r="T457" s="434"/>
      <c r="U457" s="438"/>
      <c r="V457" s="438"/>
      <c r="W457" s="438"/>
      <c r="X457" s="438"/>
      <c r="Y457" s="438"/>
      <c r="Z457" s="438"/>
      <c r="AA457" s="438"/>
      <c r="AB457" s="438"/>
      <c r="AC457" s="438"/>
      <c r="AD457" s="438"/>
      <c r="AE457" s="438"/>
      <c r="AF457" s="438"/>
      <c r="AG457" s="712"/>
      <c r="AH457" s="712"/>
      <c r="AI457" s="712"/>
      <c r="AJ457" s="712"/>
      <c r="AK457" s="712"/>
      <c r="AL457" s="712"/>
      <c r="AM457" s="712"/>
      <c r="AN457" s="712"/>
      <c r="AO457" s="712"/>
      <c r="AP457" s="712"/>
      <c r="AQ457" s="712"/>
      <c r="AR457" s="712"/>
      <c r="AS457" s="712"/>
      <c r="AT457" s="712"/>
      <c r="AU457" s="712"/>
      <c r="AV457" s="712"/>
      <c r="AW457" s="712"/>
      <c r="AX457" s="712"/>
      <c r="AY457" s="712"/>
    </row>
    <row r="458">
      <c r="T458" s="434"/>
      <c r="U458" s="438"/>
      <c r="V458" s="438"/>
      <c r="W458" s="438"/>
      <c r="X458" s="438"/>
      <c r="Y458" s="438"/>
      <c r="Z458" s="438"/>
      <c r="AA458" s="438"/>
      <c r="AB458" s="438"/>
      <c r="AC458" s="438"/>
      <c r="AD458" s="438"/>
      <c r="AE458" s="438"/>
      <c r="AF458" s="438"/>
      <c r="AG458" s="712"/>
      <c r="AH458" s="712"/>
      <c r="AI458" s="712"/>
      <c r="AJ458" s="712"/>
      <c r="AK458" s="712"/>
      <c r="AL458" s="712"/>
      <c r="AM458" s="712"/>
      <c r="AN458" s="712"/>
      <c r="AO458" s="712"/>
      <c r="AP458" s="712"/>
      <c r="AQ458" s="712"/>
      <c r="AR458" s="712"/>
      <c r="AS458" s="712"/>
      <c r="AT458" s="712"/>
      <c r="AU458" s="712"/>
      <c r="AV458" s="712"/>
      <c r="AW458" s="712"/>
      <c r="AX458" s="712"/>
      <c r="AY458" s="712"/>
    </row>
    <row r="459">
      <c r="T459" s="434"/>
      <c r="U459" s="438"/>
      <c r="V459" s="438"/>
      <c r="W459" s="438"/>
      <c r="X459" s="438"/>
      <c r="Y459" s="438"/>
      <c r="Z459" s="438"/>
      <c r="AA459" s="438"/>
      <c r="AB459" s="438"/>
      <c r="AC459" s="438"/>
      <c r="AD459" s="438"/>
      <c r="AE459" s="438"/>
      <c r="AF459" s="438"/>
      <c r="AG459" s="712"/>
      <c r="AH459" s="712"/>
      <c r="AI459" s="712"/>
      <c r="AJ459" s="712"/>
      <c r="AK459" s="712"/>
      <c r="AL459" s="712"/>
      <c r="AM459" s="712"/>
      <c r="AN459" s="712"/>
      <c r="AO459" s="712"/>
      <c r="AP459" s="712"/>
      <c r="AQ459" s="712"/>
      <c r="AR459" s="712"/>
      <c r="AS459" s="712"/>
      <c r="AT459" s="712"/>
      <c r="AU459" s="712"/>
      <c r="AV459" s="712"/>
      <c r="AW459" s="712"/>
      <c r="AX459" s="712"/>
      <c r="AY459" s="712"/>
    </row>
    <row r="460">
      <c r="T460" s="434"/>
      <c r="U460" s="438"/>
      <c r="V460" s="438"/>
      <c r="W460" s="438"/>
      <c r="X460" s="438"/>
      <c r="Y460" s="438"/>
      <c r="Z460" s="438"/>
      <c r="AA460" s="438"/>
      <c r="AB460" s="438"/>
      <c r="AC460" s="438"/>
      <c r="AD460" s="438"/>
      <c r="AE460" s="438"/>
      <c r="AF460" s="438"/>
      <c r="AG460" s="712"/>
      <c r="AH460" s="712"/>
      <c r="AI460" s="712"/>
      <c r="AJ460" s="712"/>
      <c r="AK460" s="712"/>
      <c r="AL460" s="712"/>
      <c r="AM460" s="712"/>
      <c r="AN460" s="712"/>
      <c r="AO460" s="712"/>
      <c r="AP460" s="712"/>
      <c r="AQ460" s="712"/>
      <c r="AR460" s="712"/>
      <c r="AS460" s="712"/>
      <c r="AT460" s="712"/>
      <c r="AU460" s="712"/>
      <c r="AV460" s="712"/>
      <c r="AW460" s="712"/>
      <c r="AX460" s="712"/>
      <c r="AY460" s="712"/>
    </row>
    <row r="461">
      <c r="T461" s="434"/>
      <c r="U461" s="438"/>
      <c r="V461" s="438"/>
      <c r="W461" s="438"/>
      <c r="X461" s="438"/>
      <c r="Y461" s="438"/>
      <c r="Z461" s="438"/>
      <c r="AA461" s="438"/>
      <c r="AB461" s="438"/>
      <c r="AC461" s="438"/>
      <c r="AD461" s="438"/>
      <c r="AE461" s="438"/>
      <c r="AF461" s="438"/>
      <c r="AG461" s="712"/>
      <c r="AH461" s="712"/>
      <c r="AI461" s="712"/>
      <c r="AJ461" s="712"/>
      <c r="AK461" s="712"/>
      <c r="AL461" s="712"/>
      <c r="AM461" s="712"/>
      <c r="AN461" s="712"/>
      <c r="AO461" s="712"/>
      <c r="AP461" s="712"/>
      <c r="AQ461" s="712"/>
      <c r="AR461" s="712"/>
      <c r="AS461" s="712"/>
      <c r="AT461" s="712"/>
      <c r="AU461" s="712"/>
      <c r="AV461" s="712"/>
      <c r="AW461" s="712"/>
      <c r="AX461" s="712"/>
      <c r="AY461" s="712"/>
    </row>
    <row r="462">
      <c r="T462" s="434"/>
      <c r="U462" s="438"/>
      <c r="V462" s="438"/>
      <c r="W462" s="438"/>
      <c r="X462" s="438"/>
      <c r="Y462" s="438"/>
      <c r="Z462" s="438"/>
      <c r="AA462" s="438"/>
      <c r="AB462" s="438"/>
      <c r="AC462" s="438"/>
      <c r="AD462" s="438"/>
      <c r="AE462" s="438"/>
      <c r="AF462" s="438"/>
      <c r="AG462" s="712"/>
      <c r="AH462" s="712"/>
      <c r="AI462" s="712"/>
      <c r="AJ462" s="712"/>
      <c r="AK462" s="712"/>
      <c r="AL462" s="712"/>
      <c r="AM462" s="712"/>
      <c r="AN462" s="712"/>
      <c r="AO462" s="712"/>
      <c r="AP462" s="712"/>
      <c r="AQ462" s="712"/>
      <c r="AR462" s="712"/>
      <c r="AS462" s="712"/>
      <c r="AT462" s="712"/>
      <c r="AU462" s="712"/>
      <c r="AV462" s="712"/>
      <c r="AW462" s="712"/>
      <c r="AX462" s="712"/>
      <c r="AY462" s="712"/>
    </row>
    <row r="463">
      <c r="T463" s="434"/>
      <c r="U463" s="438"/>
      <c r="V463" s="438"/>
      <c r="W463" s="438"/>
      <c r="X463" s="438"/>
      <c r="Y463" s="438"/>
      <c r="Z463" s="438"/>
      <c r="AA463" s="438"/>
      <c r="AB463" s="438"/>
      <c r="AC463" s="438"/>
      <c r="AD463" s="438"/>
      <c r="AE463" s="438"/>
      <c r="AF463" s="438"/>
      <c r="AG463" s="712"/>
      <c r="AH463" s="712"/>
      <c r="AI463" s="712"/>
      <c r="AJ463" s="712"/>
      <c r="AK463" s="712"/>
      <c r="AL463" s="712"/>
      <c r="AM463" s="712"/>
      <c r="AN463" s="712"/>
      <c r="AO463" s="712"/>
      <c r="AP463" s="712"/>
      <c r="AQ463" s="712"/>
      <c r="AR463" s="712"/>
      <c r="AS463" s="712"/>
      <c r="AT463" s="712"/>
      <c r="AU463" s="712"/>
      <c r="AV463" s="712"/>
      <c r="AW463" s="712"/>
      <c r="AX463" s="712"/>
      <c r="AY463" s="712"/>
    </row>
    <row r="464">
      <c r="T464" s="434"/>
      <c r="U464" s="438"/>
      <c r="V464" s="438"/>
      <c r="W464" s="438"/>
      <c r="X464" s="438"/>
      <c r="Y464" s="438"/>
      <c r="Z464" s="438"/>
      <c r="AA464" s="438"/>
      <c r="AB464" s="438"/>
      <c r="AC464" s="438"/>
      <c r="AD464" s="438"/>
      <c r="AE464" s="438"/>
      <c r="AF464" s="438"/>
      <c r="AG464" s="712"/>
      <c r="AH464" s="712"/>
      <c r="AI464" s="712"/>
      <c r="AJ464" s="712"/>
      <c r="AK464" s="712"/>
      <c r="AL464" s="712"/>
      <c r="AM464" s="712"/>
      <c r="AN464" s="712"/>
      <c r="AO464" s="712"/>
      <c r="AP464" s="712"/>
      <c r="AQ464" s="712"/>
      <c r="AR464" s="712"/>
      <c r="AS464" s="712"/>
      <c r="AT464" s="712"/>
      <c r="AU464" s="712"/>
      <c r="AV464" s="712"/>
      <c r="AW464" s="712"/>
      <c r="AX464" s="712"/>
      <c r="AY464" s="712"/>
    </row>
    <row r="465">
      <c r="T465" s="434"/>
      <c r="U465" s="438"/>
      <c r="V465" s="438"/>
      <c r="W465" s="438"/>
      <c r="X465" s="438"/>
      <c r="Y465" s="438"/>
      <c r="Z465" s="438"/>
      <c r="AA465" s="438"/>
      <c r="AB465" s="438"/>
      <c r="AC465" s="438"/>
      <c r="AD465" s="438"/>
      <c r="AE465" s="438"/>
      <c r="AF465" s="438"/>
      <c r="AG465" s="712"/>
      <c r="AH465" s="712"/>
      <c r="AI465" s="712"/>
      <c r="AJ465" s="712"/>
      <c r="AK465" s="712"/>
      <c r="AL465" s="712"/>
      <c r="AM465" s="712"/>
      <c r="AN465" s="712"/>
      <c r="AO465" s="712"/>
      <c r="AP465" s="712"/>
      <c r="AQ465" s="712"/>
      <c r="AR465" s="712"/>
      <c r="AS465" s="712"/>
      <c r="AT465" s="712"/>
      <c r="AU465" s="712"/>
      <c r="AV465" s="712"/>
      <c r="AW465" s="712"/>
      <c r="AX465" s="712"/>
      <c r="AY465" s="712"/>
    </row>
    <row r="466">
      <c r="T466" s="434"/>
      <c r="U466" s="438"/>
      <c r="V466" s="438"/>
      <c r="W466" s="438"/>
      <c r="X466" s="438"/>
      <c r="Y466" s="438"/>
      <c r="Z466" s="438"/>
      <c r="AA466" s="438"/>
      <c r="AB466" s="438"/>
      <c r="AC466" s="438"/>
      <c r="AD466" s="438"/>
      <c r="AE466" s="438"/>
      <c r="AF466" s="438"/>
      <c r="AG466" s="712"/>
      <c r="AH466" s="712"/>
      <c r="AI466" s="712"/>
      <c r="AJ466" s="712"/>
      <c r="AK466" s="712"/>
      <c r="AL466" s="712"/>
      <c r="AM466" s="712"/>
      <c r="AN466" s="712"/>
      <c r="AO466" s="712"/>
      <c r="AP466" s="712"/>
      <c r="AQ466" s="712"/>
      <c r="AR466" s="712"/>
      <c r="AS466" s="712"/>
      <c r="AT466" s="712"/>
      <c r="AU466" s="712"/>
      <c r="AV466" s="712"/>
      <c r="AW466" s="712"/>
      <c r="AX466" s="712"/>
      <c r="AY466" s="712"/>
    </row>
    <row r="467">
      <c r="T467" s="434"/>
      <c r="U467" s="438"/>
      <c r="V467" s="438"/>
      <c r="W467" s="438"/>
      <c r="X467" s="438"/>
      <c r="Y467" s="438"/>
      <c r="Z467" s="438"/>
      <c r="AA467" s="438"/>
      <c r="AB467" s="438"/>
      <c r="AC467" s="438"/>
      <c r="AD467" s="438"/>
      <c r="AE467" s="438"/>
      <c r="AF467" s="438"/>
      <c r="AG467" s="712"/>
      <c r="AH467" s="712"/>
      <c r="AI467" s="712"/>
      <c r="AJ467" s="712"/>
      <c r="AK467" s="712"/>
      <c r="AL467" s="712"/>
      <c r="AM467" s="712"/>
      <c r="AN467" s="712"/>
      <c r="AO467" s="712"/>
      <c r="AP467" s="712"/>
      <c r="AQ467" s="712"/>
      <c r="AR467" s="712"/>
      <c r="AS467" s="712"/>
      <c r="AT467" s="712"/>
      <c r="AU467" s="712"/>
      <c r="AV467" s="712"/>
      <c r="AW467" s="712"/>
      <c r="AX467" s="712"/>
      <c r="AY467" s="712"/>
    </row>
    <row r="468">
      <c r="T468" s="434"/>
      <c r="U468" s="438"/>
      <c r="V468" s="438"/>
      <c r="W468" s="438"/>
      <c r="X468" s="438"/>
      <c r="Y468" s="438"/>
      <c r="Z468" s="438"/>
      <c r="AA468" s="438"/>
      <c r="AB468" s="438"/>
      <c r="AC468" s="438"/>
      <c r="AD468" s="438"/>
      <c r="AE468" s="438"/>
      <c r="AF468" s="438"/>
      <c r="AG468" s="712"/>
      <c r="AH468" s="712"/>
      <c r="AI468" s="712"/>
      <c r="AJ468" s="712"/>
      <c r="AK468" s="712"/>
      <c r="AL468" s="712"/>
      <c r="AM468" s="712"/>
      <c r="AN468" s="712"/>
      <c r="AO468" s="712"/>
      <c r="AP468" s="712"/>
      <c r="AQ468" s="712"/>
      <c r="AR468" s="712"/>
      <c r="AS468" s="712"/>
      <c r="AT468" s="712"/>
      <c r="AU468" s="712"/>
      <c r="AV468" s="712"/>
      <c r="AW468" s="712"/>
      <c r="AX468" s="712"/>
      <c r="AY468" s="712"/>
    </row>
    <row r="469">
      <c r="T469" s="434"/>
      <c r="U469" s="438"/>
      <c r="V469" s="438"/>
      <c r="W469" s="438"/>
      <c r="X469" s="438"/>
      <c r="Y469" s="438"/>
      <c r="Z469" s="438"/>
      <c r="AA469" s="438"/>
      <c r="AB469" s="438"/>
      <c r="AC469" s="438"/>
      <c r="AD469" s="438"/>
      <c r="AE469" s="438"/>
      <c r="AF469" s="438"/>
      <c r="AG469" s="712"/>
      <c r="AH469" s="712"/>
      <c r="AI469" s="712"/>
      <c r="AJ469" s="712"/>
      <c r="AK469" s="712"/>
      <c r="AL469" s="712"/>
      <c r="AM469" s="712"/>
      <c r="AN469" s="712"/>
      <c r="AO469" s="712"/>
      <c r="AP469" s="712"/>
      <c r="AQ469" s="712"/>
      <c r="AR469" s="712"/>
      <c r="AS469" s="712"/>
      <c r="AT469" s="712"/>
      <c r="AU469" s="712"/>
      <c r="AV469" s="712"/>
      <c r="AW469" s="712"/>
      <c r="AX469" s="712"/>
      <c r="AY469" s="712"/>
    </row>
    <row r="470">
      <c r="T470" s="434"/>
      <c r="U470" s="438"/>
      <c r="V470" s="438"/>
      <c r="W470" s="438"/>
      <c r="X470" s="438"/>
      <c r="Y470" s="438"/>
      <c r="Z470" s="438"/>
      <c r="AA470" s="438"/>
      <c r="AB470" s="438"/>
      <c r="AC470" s="438"/>
      <c r="AD470" s="438"/>
      <c r="AE470" s="438"/>
      <c r="AF470" s="438"/>
      <c r="AG470" s="712"/>
      <c r="AH470" s="712"/>
      <c r="AI470" s="712"/>
      <c r="AJ470" s="712"/>
      <c r="AK470" s="712"/>
      <c r="AL470" s="712"/>
      <c r="AM470" s="712"/>
      <c r="AN470" s="712"/>
      <c r="AO470" s="712"/>
      <c r="AP470" s="712"/>
      <c r="AQ470" s="712"/>
      <c r="AR470" s="712"/>
      <c r="AS470" s="712"/>
      <c r="AT470" s="712"/>
      <c r="AU470" s="712"/>
      <c r="AV470" s="712"/>
      <c r="AW470" s="712"/>
      <c r="AX470" s="712"/>
      <c r="AY470" s="712"/>
    </row>
    <row r="471">
      <c r="T471" s="434"/>
      <c r="U471" s="438"/>
      <c r="V471" s="438"/>
      <c r="W471" s="438"/>
      <c r="X471" s="438"/>
      <c r="Y471" s="438"/>
      <c r="Z471" s="438"/>
      <c r="AA471" s="438"/>
      <c r="AB471" s="438"/>
      <c r="AC471" s="438"/>
      <c r="AD471" s="438"/>
      <c r="AE471" s="438"/>
      <c r="AF471" s="438"/>
      <c r="AG471" s="712"/>
      <c r="AH471" s="712"/>
      <c r="AI471" s="712"/>
      <c r="AJ471" s="712"/>
      <c r="AK471" s="712"/>
      <c r="AL471" s="712"/>
      <c r="AM471" s="712"/>
      <c r="AN471" s="712"/>
      <c r="AO471" s="712"/>
      <c r="AP471" s="712"/>
      <c r="AQ471" s="712"/>
      <c r="AR471" s="712"/>
      <c r="AS471" s="712"/>
      <c r="AT471" s="712"/>
      <c r="AU471" s="712"/>
      <c r="AV471" s="712"/>
      <c r="AW471" s="712"/>
      <c r="AX471" s="712"/>
      <c r="AY471" s="712"/>
    </row>
    <row r="472">
      <c r="T472" s="434"/>
      <c r="U472" s="438"/>
      <c r="V472" s="438"/>
      <c r="W472" s="438"/>
      <c r="X472" s="438"/>
      <c r="Y472" s="438"/>
      <c r="Z472" s="438"/>
      <c r="AA472" s="438"/>
      <c r="AB472" s="438"/>
      <c r="AC472" s="438"/>
      <c r="AD472" s="438"/>
      <c r="AE472" s="438"/>
      <c r="AF472" s="438"/>
      <c r="AG472" s="712"/>
      <c r="AH472" s="712"/>
      <c r="AI472" s="712"/>
      <c r="AJ472" s="712"/>
      <c r="AK472" s="712"/>
      <c r="AL472" s="712"/>
      <c r="AM472" s="712"/>
      <c r="AN472" s="712"/>
      <c r="AO472" s="712"/>
      <c r="AP472" s="712"/>
      <c r="AQ472" s="712"/>
      <c r="AR472" s="712"/>
      <c r="AS472" s="712"/>
      <c r="AT472" s="712"/>
      <c r="AU472" s="712"/>
      <c r="AV472" s="712"/>
      <c r="AW472" s="712"/>
      <c r="AX472" s="712"/>
      <c r="AY472" s="712"/>
    </row>
    <row r="473">
      <c r="T473" s="434"/>
      <c r="U473" s="438"/>
      <c r="V473" s="438"/>
      <c r="W473" s="438"/>
      <c r="X473" s="438"/>
      <c r="Y473" s="438"/>
      <c r="Z473" s="438"/>
      <c r="AA473" s="438"/>
      <c r="AB473" s="438"/>
      <c r="AC473" s="438"/>
      <c r="AD473" s="438"/>
      <c r="AE473" s="438"/>
      <c r="AF473" s="438"/>
      <c r="AG473" s="712"/>
      <c r="AH473" s="712"/>
      <c r="AI473" s="712"/>
      <c r="AJ473" s="712"/>
      <c r="AK473" s="712"/>
      <c r="AL473" s="712"/>
      <c r="AM473" s="712"/>
      <c r="AN473" s="712"/>
      <c r="AO473" s="712"/>
      <c r="AP473" s="712"/>
      <c r="AQ473" s="712"/>
      <c r="AR473" s="712"/>
      <c r="AS473" s="712"/>
      <c r="AT473" s="712"/>
      <c r="AU473" s="712"/>
      <c r="AV473" s="712"/>
      <c r="AW473" s="712"/>
      <c r="AX473" s="712"/>
      <c r="AY473" s="712"/>
    </row>
    <row r="474">
      <c r="T474" s="434"/>
      <c r="U474" s="438"/>
      <c r="V474" s="438"/>
      <c r="W474" s="438"/>
      <c r="X474" s="438"/>
      <c r="Y474" s="438"/>
      <c r="Z474" s="438"/>
      <c r="AA474" s="438"/>
      <c r="AB474" s="438"/>
      <c r="AC474" s="438"/>
      <c r="AD474" s="438"/>
      <c r="AE474" s="438"/>
      <c r="AF474" s="438"/>
      <c r="AG474" s="712"/>
      <c r="AH474" s="712"/>
      <c r="AI474" s="712"/>
      <c r="AJ474" s="712"/>
      <c r="AK474" s="712"/>
      <c r="AL474" s="712"/>
      <c r="AM474" s="712"/>
      <c r="AN474" s="712"/>
      <c r="AO474" s="712"/>
      <c r="AP474" s="712"/>
      <c r="AQ474" s="712"/>
      <c r="AR474" s="712"/>
      <c r="AS474" s="712"/>
      <c r="AT474" s="712"/>
      <c r="AU474" s="712"/>
      <c r="AV474" s="712"/>
      <c r="AW474" s="712"/>
      <c r="AX474" s="712"/>
      <c r="AY474" s="712"/>
    </row>
    <row r="475">
      <c r="T475" s="434"/>
      <c r="U475" s="438"/>
      <c r="V475" s="438"/>
      <c r="W475" s="438"/>
      <c r="X475" s="438"/>
      <c r="Y475" s="438"/>
      <c r="Z475" s="438"/>
      <c r="AA475" s="438"/>
      <c r="AB475" s="438"/>
      <c r="AC475" s="438"/>
      <c r="AD475" s="438"/>
      <c r="AE475" s="438"/>
      <c r="AF475" s="438"/>
      <c r="AG475" s="712"/>
      <c r="AH475" s="712"/>
      <c r="AI475" s="712"/>
      <c r="AJ475" s="712"/>
      <c r="AK475" s="712"/>
      <c r="AL475" s="712"/>
      <c r="AM475" s="712"/>
      <c r="AN475" s="712"/>
      <c r="AO475" s="712"/>
      <c r="AP475" s="712"/>
      <c r="AQ475" s="712"/>
      <c r="AR475" s="712"/>
      <c r="AS475" s="712"/>
      <c r="AT475" s="712"/>
      <c r="AU475" s="712"/>
      <c r="AV475" s="712"/>
      <c r="AW475" s="712"/>
      <c r="AX475" s="712"/>
      <c r="AY475" s="712"/>
    </row>
    <row r="476">
      <c r="T476" s="434"/>
      <c r="U476" s="438"/>
      <c r="V476" s="438"/>
      <c r="W476" s="438"/>
      <c r="X476" s="438"/>
      <c r="Y476" s="438"/>
      <c r="Z476" s="438"/>
      <c r="AA476" s="438"/>
      <c r="AB476" s="438"/>
      <c r="AC476" s="438"/>
      <c r="AD476" s="438"/>
      <c r="AE476" s="438"/>
      <c r="AF476" s="438"/>
      <c r="AG476" s="712"/>
      <c r="AH476" s="712"/>
      <c r="AI476" s="712"/>
      <c r="AJ476" s="712"/>
      <c r="AK476" s="712"/>
      <c r="AL476" s="712"/>
      <c r="AM476" s="712"/>
      <c r="AN476" s="712"/>
      <c r="AO476" s="712"/>
      <c r="AP476" s="712"/>
      <c r="AQ476" s="712"/>
      <c r="AR476" s="712"/>
      <c r="AS476" s="712"/>
      <c r="AT476" s="712"/>
      <c r="AU476" s="712"/>
      <c r="AV476" s="712"/>
      <c r="AW476" s="712"/>
      <c r="AX476" s="712"/>
      <c r="AY476" s="712"/>
    </row>
    <row r="477">
      <c r="T477" s="434"/>
      <c r="U477" s="438"/>
      <c r="V477" s="438"/>
      <c r="W477" s="438"/>
      <c r="X477" s="438"/>
      <c r="Y477" s="438"/>
      <c r="Z477" s="438"/>
      <c r="AA477" s="438"/>
      <c r="AB477" s="438"/>
      <c r="AC477" s="438"/>
      <c r="AD477" s="438"/>
      <c r="AE477" s="438"/>
      <c r="AF477" s="438"/>
      <c r="AG477" s="712"/>
      <c r="AH477" s="712"/>
      <c r="AI477" s="712"/>
      <c r="AJ477" s="712"/>
      <c r="AK477" s="712"/>
      <c r="AL477" s="712"/>
      <c r="AM477" s="712"/>
      <c r="AN477" s="712"/>
      <c r="AO477" s="712"/>
      <c r="AP477" s="712"/>
      <c r="AQ477" s="712"/>
      <c r="AR477" s="712"/>
      <c r="AS477" s="712"/>
      <c r="AT477" s="712"/>
      <c r="AU477" s="712"/>
      <c r="AV477" s="712"/>
      <c r="AW477" s="712"/>
      <c r="AX477" s="712"/>
      <c r="AY477" s="712"/>
    </row>
    <row r="478">
      <c r="T478" s="434"/>
      <c r="U478" s="438"/>
      <c r="V478" s="438"/>
      <c r="W478" s="438"/>
      <c r="X478" s="438"/>
      <c r="Y478" s="438"/>
      <c r="Z478" s="438"/>
      <c r="AA478" s="438"/>
      <c r="AB478" s="438"/>
      <c r="AC478" s="438"/>
      <c r="AD478" s="438"/>
      <c r="AE478" s="438"/>
      <c r="AF478" s="438"/>
      <c r="AG478" s="712"/>
      <c r="AH478" s="712"/>
      <c r="AI478" s="712"/>
      <c r="AJ478" s="712"/>
      <c r="AK478" s="712"/>
      <c r="AL478" s="712"/>
      <c r="AM478" s="712"/>
      <c r="AN478" s="712"/>
      <c r="AO478" s="712"/>
      <c r="AP478" s="712"/>
      <c r="AQ478" s="712"/>
      <c r="AR478" s="712"/>
      <c r="AS478" s="712"/>
      <c r="AT478" s="712"/>
      <c r="AU478" s="712"/>
      <c r="AV478" s="712"/>
      <c r="AW478" s="712"/>
      <c r="AX478" s="712"/>
      <c r="AY478" s="712"/>
    </row>
    <row r="479">
      <c r="T479" s="434"/>
      <c r="U479" s="438"/>
      <c r="V479" s="438"/>
      <c r="W479" s="438"/>
      <c r="X479" s="438"/>
      <c r="Y479" s="438"/>
      <c r="Z479" s="438"/>
      <c r="AA479" s="438"/>
      <c r="AB479" s="438"/>
      <c r="AC479" s="438"/>
      <c r="AD479" s="438"/>
      <c r="AE479" s="438"/>
      <c r="AF479" s="438"/>
      <c r="AG479" s="712"/>
      <c r="AH479" s="712"/>
      <c r="AI479" s="712"/>
      <c r="AJ479" s="712"/>
      <c r="AK479" s="712"/>
      <c r="AL479" s="712"/>
      <c r="AM479" s="712"/>
      <c r="AN479" s="712"/>
      <c r="AO479" s="712"/>
      <c r="AP479" s="712"/>
      <c r="AQ479" s="712"/>
      <c r="AR479" s="712"/>
      <c r="AS479" s="712"/>
      <c r="AT479" s="712"/>
      <c r="AU479" s="712"/>
      <c r="AV479" s="712"/>
      <c r="AW479" s="712"/>
      <c r="AX479" s="712"/>
      <c r="AY479" s="712"/>
    </row>
    <row r="480">
      <c r="T480" s="434"/>
      <c r="U480" s="438"/>
      <c r="V480" s="438"/>
      <c r="W480" s="438"/>
      <c r="X480" s="438"/>
      <c r="Y480" s="438"/>
      <c r="Z480" s="438"/>
      <c r="AA480" s="438"/>
      <c r="AB480" s="438"/>
      <c r="AC480" s="438"/>
      <c r="AD480" s="438"/>
      <c r="AE480" s="438"/>
      <c r="AF480" s="438"/>
      <c r="AG480" s="712"/>
      <c r="AH480" s="712"/>
      <c r="AI480" s="712"/>
      <c r="AJ480" s="712"/>
      <c r="AK480" s="712"/>
      <c r="AL480" s="712"/>
      <c r="AM480" s="712"/>
      <c r="AN480" s="712"/>
      <c r="AO480" s="712"/>
      <c r="AP480" s="712"/>
      <c r="AQ480" s="712"/>
      <c r="AR480" s="712"/>
      <c r="AS480" s="712"/>
      <c r="AT480" s="712"/>
      <c r="AU480" s="712"/>
      <c r="AV480" s="712"/>
      <c r="AW480" s="712"/>
      <c r="AX480" s="712"/>
      <c r="AY480" s="712"/>
    </row>
    <row r="481">
      <c r="T481" s="434"/>
      <c r="U481" s="438"/>
      <c r="V481" s="438"/>
      <c r="W481" s="438"/>
      <c r="X481" s="438"/>
      <c r="Y481" s="438"/>
      <c r="Z481" s="438"/>
      <c r="AA481" s="438"/>
      <c r="AB481" s="438"/>
      <c r="AC481" s="438"/>
      <c r="AD481" s="438"/>
      <c r="AE481" s="438"/>
      <c r="AF481" s="438"/>
      <c r="AG481" s="712"/>
      <c r="AH481" s="712"/>
      <c r="AI481" s="712"/>
      <c r="AJ481" s="712"/>
      <c r="AK481" s="712"/>
      <c r="AL481" s="712"/>
      <c r="AM481" s="712"/>
      <c r="AN481" s="712"/>
      <c r="AO481" s="712"/>
      <c r="AP481" s="712"/>
      <c r="AQ481" s="712"/>
      <c r="AR481" s="712"/>
      <c r="AS481" s="712"/>
      <c r="AT481" s="712"/>
      <c r="AU481" s="712"/>
      <c r="AV481" s="712"/>
      <c r="AW481" s="712"/>
      <c r="AX481" s="712"/>
      <c r="AY481" s="712"/>
    </row>
    <row r="482">
      <c r="T482" s="434"/>
      <c r="U482" s="438"/>
      <c r="V482" s="438"/>
      <c r="W482" s="438"/>
      <c r="X482" s="438"/>
      <c r="Y482" s="438"/>
      <c r="Z482" s="438"/>
      <c r="AA482" s="438"/>
      <c r="AB482" s="438"/>
      <c r="AC482" s="438"/>
      <c r="AD482" s="438"/>
      <c r="AE482" s="438"/>
      <c r="AF482" s="438"/>
      <c r="AG482" s="712"/>
      <c r="AH482" s="712"/>
      <c r="AI482" s="712"/>
      <c r="AJ482" s="712"/>
      <c r="AK482" s="712"/>
      <c r="AL482" s="712"/>
      <c r="AM482" s="712"/>
      <c r="AN482" s="712"/>
      <c r="AO482" s="712"/>
      <c r="AP482" s="712"/>
      <c r="AQ482" s="712"/>
      <c r="AR482" s="712"/>
      <c r="AS482" s="712"/>
      <c r="AT482" s="712"/>
      <c r="AU482" s="712"/>
      <c r="AV482" s="712"/>
      <c r="AW482" s="712"/>
      <c r="AX482" s="712"/>
      <c r="AY482" s="712"/>
    </row>
    <row r="483">
      <c r="T483" s="434"/>
      <c r="U483" s="438"/>
      <c r="V483" s="438"/>
      <c r="W483" s="438"/>
      <c r="X483" s="438"/>
      <c r="Y483" s="438"/>
      <c r="Z483" s="438"/>
      <c r="AA483" s="438"/>
      <c r="AB483" s="438"/>
      <c r="AC483" s="438"/>
      <c r="AD483" s="438"/>
      <c r="AE483" s="438"/>
      <c r="AF483" s="438"/>
      <c r="AG483" s="712"/>
      <c r="AH483" s="712"/>
      <c r="AI483" s="712"/>
      <c r="AJ483" s="712"/>
      <c r="AK483" s="712"/>
      <c r="AL483" s="712"/>
      <c r="AM483" s="712"/>
      <c r="AN483" s="712"/>
      <c r="AO483" s="712"/>
      <c r="AP483" s="712"/>
      <c r="AQ483" s="712"/>
      <c r="AR483" s="712"/>
      <c r="AS483" s="712"/>
      <c r="AT483" s="712"/>
      <c r="AU483" s="712"/>
      <c r="AV483" s="712"/>
      <c r="AW483" s="712"/>
      <c r="AX483" s="712"/>
      <c r="AY483" s="712"/>
    </row>
    <row r="484">
      <c r="T484" s="434"/>
      <c r="U484" s="438"/>
      <c r="V484" s="438"/>
      <c r="W484" s="438"/>
      <c r="X484" s="438"/>
      <c r="Y484" s="438"/>
      <c r="Z484" s="438"/>
      <c r="AA484" s="438"/>
      <c r="AB484" s="438"/>
      <c r="AC484" s="438"/>
      <c r="AD484" s="438"/>
      <c r="AE484" s="438"/>
      <c r="AF484" s="438"/>
      <c r="AG484" s="712"/>
      <c r="AH484" s="712"/>
      <c r="AI484" s="712"/>
      <c r="AJ484" s="712"/>
      <c r="AK484" s="712"/>
      <c r="AL484" s="712"/>
      <c r="AM484" s="712"/>
      <c r="AN484" s="712"/>
      <c r="AO484" s="712"/>
      <c r="AP484" s="712"/>
      <c r="AQ484" s="712"/>
      <c r="AR484" s="712"/>
      <c r="AS484" s="712"/>
      <c r="AT484" s="712"/>
      <c r="AU484" s="712"/>
      <c r="AV484" s="712"/>
      <c r="AW484" s="712"/>
      <c r="AX484" s="712"/>
      <c r="AY484" s="712"/>
    </row>
    <row r="485">
      <c r="T485" s="434"/>
      <c r="U485" s="438"/>
      <c r="V485" s="438"/>
      <c r="W485" s="438"/>
      <c r="X485" s="438"/>
      <c r="Y485" s="438"/>
      <c r="Z485" s="438"/>
      <c r="AA485" s="438"/>
      <c r="AB485" s="438"/>
      <c r="AC485" s="438"/>
      <c r="AD485" s="438"/>
      <c r="AE485" s="438"/>
      <c r="AF485" s="438"/>
      <c r="AG485" s="712"/>
      <c r="AH485" s="712"/>
      <c r="AI485" s="712"/>
      <c r="AJ485" s="712"/>
      <c r="AK485" s="712"/>
      <c r="AL485" s="712"/>
      <c r="AM485" s="712"/>
      <c r="AN485" s="712"/>
      <c r="AO485" s="712"/>
      <c r="AP485" s="712"/>
      <c r="AQ485" s="712"/>
      <c r="AR485" s="712"/>
      <c r="AS485" s="712"/>
      <c r="AT485" s="712"/>
      <c r="AU485" s="712"/>
      <c r="AV485" s="712"/>
      <c r="AW485" s="712"/>
      <c r="AX485" s="712"/>
      <c r="AY485" s="712"/>
    </row>
    <row r="486">
      <c r="T486" s="434"/>
      <c r="U486" s="438"/>
      <c r="V486" s="438"/>
      <c r="W486" s="438"/>
      <c r="X486" s="438"/>
      <c r="Y486" s="438"/>
      <c r="Z486" s="438"/>
      <c r="AA486" s="438"/>
      <c r="AB486" s="438"/>
      <c r="AC486" s="438"/>
      <c r="AD486" s="438"/>
      <c r="AE486" s="438"/>
      <c r="AF486" s="438"/>
      <c r="AG486" s="712"/>
      <c r="AH486" s="712"/>
      <c r="AI486" s="712"/>
      <c r="AJ486" s="712"/>
      <c r="AK486" s="712"/>
      <c r="AL486" s="712"/>
      <c r="AM486" s="712"/>
      <c r="AN486" s="712"/>
      <c r="AO486" s="712"/>
      <c r="AP486" s="712"/>
      <c r="AQ486" s="712"/>
      <c r="AR486" s="712"/>
      <c r="AS486" s="712"/>
      <c r="AT486" s="712"/>
      <c r="AU486" s="712"/>
      <c r="AV486" s="712"/>
      <c r="AW486" s="712"/>
      <c r="AX486" s="712"/>
      <c r="AY486" s="712"/>
    </row>
    <row r="487">
      <c r="T487" s="434"/>
      <c r="U487" s="438"/>
      <c r="V487" s="438"/>
      <c r="W487" s="438"/>
      <c r="X487" s="438"/>
      <c r="Y487" s="438"/>
      <c r="Z487" s="438"/>
      <c r="AA487" s="438"/>
      <c r="AB487" s="438"/>
      <c r="AC487" s="438"/>
      <c r="AD487" s="438"/>
      <c r="AE487" s="438"/>
      <c r="AF487" s="438"/>
      <c r="AG487" s="712"/>
      <c r="AH487" s="712"/>
      <c r="AI487" s="712"/>
      <c r="AJ487" s="712"/>
      <c r="AK487" s="712"/>
      <c r="AL487" s="712"/>
      <c r="AM487" s="712"/>
      <c r="AN487" s="712"/>
      <c r="AO487" s="712"/>
      <c r="AP487" s="712"/>
      <c r="AQ487" s="712"/>
      <c r="AR487" s="712"/>
      <c r="AS487" s="712"/>
      <c r="AT487" s="712"/>
      <c r="AU487" s="712"/>
      <c r="AV487" s="712"/>
      <c r="AW487" s="712"/>
      <c r="AX487" s="712"/>
      <c r="AY487" s="712"/>
    </row>
    <row r="488">
      <c r="T488" s="434"/>
      <c r="U488" s="438"/>
      <c r="V488" s="438"/>
      <c r="W488" s="438"/>
      <c r="X488" s="438"/>
      <c r="Y488" s="438"/>
      <c r="Z488" s="438"/>
      <c r="AA488" s="438"/>
      <c r="AB488" s="438"/>
      <c r="AC488" s="438"/>
      <c r="AD488" s="438"/>
      <c r="AE488" s="438"/>
      <c r="AF488" s="438"/>
      <c r="AG488" s="712"/>
      <c r="AH488" s="712"/>
      <c r="AI488" s="712"/>
      <c r="AJ488" s="712"/>
      <c r="AK488" s="712"/>
      <c r="AL488" s="712"/>
      <c r="AM488" s="712"/>
      <c r="AN488" s="712"/>
      <c r="AO488" s="712"/>
      <c r="AP488" s="712"/>
      <c r="AQ488" s="712"/>
      <c r="AR488" s="712"/>
      <c r="AS488" s="712"/>
      <c r="AT488" s="712"/>
      <c r="AU488" s="712"/>
      <c r="AV488" s="712"/>
      <c r="AW488" s="712"/>
      <c r="AX488" s="712"/>
      <c r="AY488" s="712"/>
    </row>
    <row r="489">
      <c r="T489" s="434"/>
      <c r="U489" s="438"/>
      <c r="V489" s="438"/>
      <c r="W489" s="438"/>
      <c r="X489" s="438"/>
      <c r="Y489" s="438"/>
      <c r="Z489" s="438"/>
      <c r="AA489" s="438"/>
      <c r="AB489" s="438"/>
      <c r="AC489" s="438"/>
      <c r="AD489" s="438"/>
      <c r="AE489" s="438"/>
      <c r="AF489" s="438"/>
      <c r="AG489" s="712"/>
      <c r="AH489" s="712"/>
      <c r="AI489" s="712"/>
      <c r="AJ489" s="712"/>
      <c r="AK489" s="712"/>
      <c r="AL489" s="712"/>
      <c r="AM489" s="712"/>
      <c r="AN489" s="712"/>
      <c r="AO489" s="712"/>
      <c r="AP489" s="712"/>
      <c r="AQ489" s="712"/>
      <c r="AR489" s="712"/>
      <c r="AS489" s="712"/>
      <c r="AT489" s="712"/>
      <c r="AU489" s="712"/>
      <c r="AV489" s="712"/>
      <c r="AW489" s="712"/>
      <c r="AX489" s="712"/>
      <c r="AY489" s="712"/>
    </row>
    <row r="490">
      <c r="T490" s="434"/>
      <c r="U490" s="438"/>
      <c r="V490" s="438"/>
      <c r="W490" s="438"/>
      <c r="X490" s="438"/>
      <c r="Y490" s="438"/>
      <c r="Z490" s="438"/>
      <c r="AA490" s="438"/>
      <c r="AB490" s="438"/>
      <c r="AC490" s="438"/>
      <c r="AD490" s="438"/>
      <c r="AE490" s="438"/>
      <c r="AF490" s="438"/>
      <c r="AG490" s="712"/>
      <c r="AH490" s="712"/>
      <c r="AI490" s="712"/>
      <c r="AJ490" s="712"/>
      <c r="AK490" s="712"/>
      <c r="AL490" s="712"/>
      <c r="AM490" s="712"/>
      <c r="AN490" s="712"/>
      <c r="AO490" s="712"/>
      <c r="AP490" s="712"/>
      <c r="AQ490" s="712"/>
      <c r="AR490" s="712"/>
      <c r="AS490" s="712"/>
      <c r="AT490" s="712"/>
      <c r="AU490" s="712"/>
      <c r="AV490" s="712"/>
      <c r="AW490" s="712"/>
      <c r="AX490" s="712"/>
      <c r="AY490" s="712"/>
    </row>
    <row r="491">
      <c r="T491" s="434"/>
      <c r="U491" s="438"/>
      <c r="V491" s="438"/>
      <c r="W491" s="438"/>
      <c r="X491" s="438"/>
      <c r="Y491" s="438"/>
      <c r="Z491" s="438"/>
      <c r="AA491" s="438"/>
      <c r="AB491" s="438"/>
      <c r="AC491" s="438"/>
      <c r="AD491" s="438"/>
      <c r="AE491" s="438"/>
      <c r="AF491" s="438"/>
      <c r="AG491" s="712"/>
      <c r="AH491" s="712"/>
      <c r="AI491" s="712"/>
      <c r="AJ491" s="712"/>
      <c r="AK491" s="712"/>
      <c r="AL491" s="712"/>
      <c r="AM491" s="712"/>
      <c r="AN491" s="712"/>
      <c r="AO491" s="712"/>
      <c r="AP491" s="712"/>
      <c r="AQ491" s="712"/>
      <c r="AR491" s="712"/>
      <c r="AS491" s="712"/>
      <c r="AT491" s="712"/>
      <c r="AU491" s="712"/>
      <c r="AV491" s="712"/>
      <c r="AW491" s="712"/>
      <c r="AX491" s="712"/>
      <c r="AY491" s="712"/>
    </row>
    <row r="492">
      <c r="T492" s="434"/>
      <c r="U492" s="438"/>
      <c r="V492" s="438"/>
      <c r="W492" s="438"/>
      <c r="X492" s="438"/>
      <c r="Y492" s="438"/>
      <c r="Z492" s="438"/>
      <c r="AA492" s="438"/>
      <c r="AB492" s="438"/>
      <c r="AC492" s="438"/>
      <c r="AD492" s="438"/>
      <c r="AE492" s="438"/>
      <c r="AF492" s="438"/>
      <c r="AG492" s="712"/>
      <c r="AH492" s="712"/>
      <c r="AI492" s="712"/>
      <c r="AJ492" s="712"/>
      <c r="AK492" s="712"/>
      <c r="AL492" s="712"/>
      <c r="AM492" s="712"/>
      <c r="AN492" s="712"/>
      <c r="AO492" s="712"/>
      <c r="AP492" s="712"/>
      <c r="AQ492" s="712"/>
      <c r="AR492" s="712"/>
      <c r="AS492" s="712"/>
      <c r="AT492" s="712"/>
      <c r="AU492" s="712"/>
      <c r="AV492" s="712"/>
      <c r="AW492" s="712"/>
      <c r="AX492" s="712"/>
      <c r="AY492" s="712"/>
    </row>
    <row r="493">
      <c r="T493" s="434"/>
      <c r="U493" s="438"/>
      <c r="V493" s="438"/>
      <c r="W493" s="438"/>
      <c r="X493" s="438"/>
      <c r="Y493" s="438"/>
      <c r="Z493" s="438"/>
      <c r="AA493" s="438"/>
      <c r="AB493" s="438"/>
      <c r="AC493" s="438"/>
      <c r="AD493" s="438"/>
      <c r="AE493" s="438"/>
      <c r="AF493" s="438"/>
      <c r="AG493" s="712"/>
      <c r="AH493" s="712"/>
      <c r="AI493" s="712"/>
      <c r="AJ493" s="712"/>
      <c r="AK493" s="712"/>
      <c r="AL493" s="712"/>
      <c r="AM493" s="712"/>
      <c r="AN493" s="712"/>
      <c r="AO493" s="712"/>
      <c r="AP493" s="712"/>
      <c r="AQ493" s="712"/>
      <c r="AR493" s="712"/>
      <c r="AS493" s="712"/>
      <c r="AT493" s="712"/>
      <c r="AU493" s="712"/>
      <c r="AV493" s="712"/>
      <c r="AW493" s="712"/>
      <c r="AX493" s="712"/>
      <c r="AY493" s="712"/>
    </row>
    <row r="494">
      <c r="T494" s="434"/>
      <c r="U494" s="438"/>
      <c r="V494" s="438"/>
      <c r="W494" s="438"/>
      <c r="X494" s="438"/>
      <c r="Y494" s="438"/>
      <c r="Z494" s="438"/>
      <c r="AA494" s="438"/>
      <c r="AB494" s="438"/>
      <c r="AC494" s="438"/>
      <c r="AD494" s="438"/>
      <c r="AE494" s="438"/>
      <c r="AF494" s="438"/>
      <c r="AG494" s="712"/>
      <c r="AH494" s="712"/>
      <c r="AI494" s="712"/>
      <c r="AJ494" s="712"/>
      <c r="AK494" s="712"/>
      <c r="AL494" s="712"/>
      <c r="AM494" s="712"/>
      <c r="AN494" s="712"/>
      <c r="AO494" s="712"/>
      <c r="AP494" s="712"/>
      <c r="AQ494" s="712"/>
      <c r="AR494" s="712"/>
      <c r="AS494" s="712"/>
      <c r="AT494" s="712"/>
      <c r="AU494" s="712"/>
      <c r="AV494" s="712"/>
      <c r="AW494" s="712"/>
      <c r="AX494" s="712"/>
      <c r="AY494" s="712"/>
    </row>
    <row r="495">
      <c r="T495" s="434"/>
      <c r="U495" s="438"/>
      <c r="V495" s="438"/>
      <c r="W495" s="438"/>
      <c r="X495" s="438"/>
      <c r="Y495" s="438"/>
      <c r="Z495" s="438"/>
      <c r="AA495" s="438"/>
      <c r="AB495" s="438"/>
      <c r="AC495" s="438"/>
      <c r="AD495" s="438"/>
      <c r="AE495" s="438"/>
      <c r="AF495" s="438"/>
      <c r="AG495" s="712"/>
      <c r="AH495" s="712"/>
      <c r="AI495" s="712"/>
      <c r="AJ495" s="712"/>
      <c r="AK495" s="712"/>
      <c r="AL495" s="712"/>
      <c r="AM495" s="712"/>
      <c r="AN495" s="712"/>
      <c r="AO495" s="712"/>
      <c r="AP495" s="712"/>
      <c r="AQ495" s="712"/>
      <c r="AR495" s="712"/>
      <c r="AS495" s="712"/>
      <c r="AT495" s="712"/>
      <c r="AU495" s="712"/>
      <c r="AV495" s="712"/>
      <c r="AW495" s="712"/>
      <c r="AX495" s="712"/>
      <c r="AY495" s="712"/>
    </row>
    <row r="496">
      <c r="T496" s="434"/>
      <c r="U496" s="438"/>
      <c r="V496" s="438"/>
      <c r="W496" s="438"/>
      <c r="X496" s="438"/>
      <c r="Y496" s="438"/>
      <c r="Z496" s="438"/>
      <c r="AA496" s="438"/>
      <c r="AB496" s="438"/>
      <c r="AC496" s="438"/>
      <c r="AD496" s="438"/>
      <c r="AE496" s="438"/>
      <c r="AF496" s="438"/>
      <c r="AG496" s="712"/>
      <c r="AH496" s="712"/>
      <c r="AI496" s="712"/>
      <c r="AJ496" s="712"/>
      <c r="AK496" s="712"/>
      <c r="AL496" s="712"/>
      <c r="AM496" s="712"/>
      <c r="AN496" s="712"/>
      <c r="AO496" s="712"/>
      <c r="AP496" s="712"/>
      <c r="AQ496" s="712"/>
      <c r="AR496" s="712"/>
      <c r="AS496" s="712"/>
      <c r="AT496" s="712"/>
      <c r="AU496" s="712"/>
      <c r="AV496" s="712"/>
      <c r="AW496" s="712"/>
      <c r="AX496" s="712"/>
      <c r="AY496" s="712"/>
    </row>
    <row r="497">
      <c r="T497" s="434"/>
      <c r="U497" s="438"/>
      <c r="V497" s="438"/>
      <c r="W497" s="438"/>
      <c r="X497" s="438"/>
      <c r="Y497" s="438"/>
      <c r="Z497" s="438"/>
      <c r="AA497" s="438"/>
      <c r="AB497" s="438"/>
      <c r="AC497" s="438"/>
      <c r="AD497" s="438"/>
      <c r="AE497" s="438"/>
      <c r="AF497" s="438"/>
      <c r="AG497" s="712"/>
      <c r="AH497" s="712"/>
      <c r="AI497" s="712"/>
      <c r="AJ497" s="712"/>
      <c r="AK497" s="712"/>
      <c r="AL497" s="712"/>
      <c r="AM497" s="712"/>
      <c r="AN497" s="712"/>
      <c r="AO497" s="712"/>
      <c r="AP497" s="712"/>
      <c r="AQ497" s="712"/>
      <c r="AR497" s="712"/>
      <c r="AS497" s="712"/>
      <c r="AT497" s="712"/>
      <c r="AU497" s="712"/>
      <c r="AV497" s="712"/>
      <c r="AW497" s="712"/>
      <c r="AX497" s="712"/>
      <c r="AY497" s="712"/>
    </row>
    <row r="498">
      <c r="T498" s="434"/>
      <c r="U498" s="438"/>
      <c r="V498" s="438"/>
      <c r="W498" s="438"/>
      <c r="X498" s="438"/>
      <c r="Y498" s="438"/>
      <c r="Z498" s="438"/>
      <c r="AA498" s="438"/>
      <c r="AB498" s="438"/>
      <c r="AC498" s="438"/>
      <c r="AD498" s="438"/>
      <c r="AE498" s="438"/>
      <c r="AF498" s="438"/>
      <c r="AG498" s="712"/>
      <c r="AH498" s="712"/>
      <c r="AI498" s="712"/>
      <c r="AJ498" s="712"/>
      <c r="AK498" s="712"/>
      <c r="AL498" s="712"/>
      <c r="AM498" s="712"/>
      <c r="AN498" s="712"/>
      <c r="AO498" s="712"/>
      <c r="AP498" s="712"/>
      <c r="AQ498" s="712"/>
      <c r="AR498" s="712"/>
      <c r="AS498" s="712"/>
      <c r="AT498" s="712"/>
      <c r="AU498" s="712"/>
      <c r="AV498" s="712"/>
      <c r="AW498" s="712"/>
      <c r="AX498" s="712"/>
      <c r="AY498" s="712"/>
    </row>
    <row r="499">
      <c r="T499" s="434"/>
      <c r="U499" s="438"/>
      <c r="V499" s="438"/>
      <c r="W499" s="438"/>
      <c r="X499" s="438"/>
      <c r="Y499" s="438"/>
      <c r="Z499" s="438"/>
      <c r="AA499" s="438"/>
      <c r="AB499" s="438"/>
      <c r="AC499" s="438"/>
      <c r="AD499" s="438"/>
      <c r="AE499" s="438"/>
      <c r="AF499" s="438"/>
      <c r="AG499" s="712"/>
      <c r="AH499" s="712"/>
      <c r="AI499" s="712"/>
      <c r="AJ499" s="712"/>
      <c r="AK499" s="712"/>
      <c r="AL499" s="712"/>
      <c r="AM499" s="712"/>
      <c r="AN499" s="712"/>
      <c r="AO499" s="712"/>
      <c r="AP499" s="712"/>
      <c r="AQ499" s="712"/>
      <c r="AR499" s="712"/>
      <c r="AS499" s="712"/>
      <c r="AT499" s="712"/>
      <c r="AU499" s="712"/>
      <c r="AV499" s="712"/>
      <c r="AW499" s="712"/>
      <c r="AX499" s="712"/>
      <c r="AY499" s="712"/>
    </row>
    <row r="500">
      <c r="T500" s="434"/>
      <c r="U500" s="438"/>
      <c r="V500" s="438"/>
      <c r="W500" s="438"/>
      <c r="X500" s="438"/>
      <c r="Y500" s="438"/>
      <c r="Z500" s="438"/>
      <c r="AA500" s="438"/>
      <c r="AB500" s="438"/>
      <c r="AC500" s="438"/>
      <c r="AD500" s="438"/>
      <c r="AE500" s="438"/>
      <c r="AF500" s="438"/>
      <c r="AG500" s="712"/>
      <c r="AH500" s="712"/>
      <c r="AI500" s="712"/>
      <c r="AJ500" s="712"/>
      <c r="AK500" s="712"/>
      <c r="AL500" s="712"/>
      <c r="AM500" s="712"/>
      <c r="AN500" s="712"/>
      <c r="AO500" s="712"/>
      <c r="AP500" s="712"/>
      <c r="AQ500" s="712"/>
      <c r="AR500" s="712"/>
      <c r="AS500" s="712"/>
      <c r="AT500" s="712"/>
      <c r="AU500" s="712"/>
      <c r="AV500" s="712"/>
      <c r="AW500" s="712"/>
      <c r="AX500" s="712"/>
      <c r="AY500" s="712"/>
    </row>
    <row r="501">
      <c r="T501" s="434"/>
      <c r="U501" s="438"/>
      <c r="V501" s="438"/>
      <c r="W501" s="438"/>
      <c r="X501" s="438"/>
      <c r="Y501" s="438"/>
      <c r="Z501" s="438"/>
      <c r="AA501" s="438"/>
      <c r="AB501" s="438"/>
      <c r="AC501" s="438"/>
      <c r="AD501" s="438"/>
      <c r="AE501" s="438"/>
      <c r="AF501" s="438"/>
      <c r="AG501" s="712"/>
      <c r="AH501" s="712"/>
      <c r="AI501" s="712"/>
      <c r="AJ501" s="712"/>
      <c r="AK501" s="712"/>
      <c r="AL501" s="712"/>
      <c r="AM501" s="712"/>
      <c r="AN501" s="712"/>
      <c r="AO501" s="712"/>
      <c r="AP501" s="712"/>
      <c r="AQ501" s="712"/>
      <c r="AR501" s="712"/>
      <c r="AS501" s="712"/>
      <c r="AT501" s="712"/>
      <c r="AU501" s="712"/>
      <c r="AV501" s="712"/>
      <c r="AW501" s="712"/>
      <c r="AX501" s="712"/>
      <c r="AY501" s="712"/>
    </row>
    <row r="502">
      <c r="T502" s="434"/>
      <c r="U502" s="438"/>
      <c r="V502" s="438"/>
      <c r="W502" s="438"/>
      <c r="X502" s="438"/>
      <c r="Y502" s="438"/>
      <c r="Z502" s="438"/>
      <c r="AA502" s="438"/>
      <c r="AB502" s="438"/>
      <c r="AC502" s="438"/>
      <c r="AD502" s="438"/>
      <c r="AE502" s="438"/>
      <c r="AF502" s="438"/>
      <c r="AG502" s="712"/>
      <c r="AH502" s="712"/>
      <c r="AI502" s="712"/>
      <c r="AJ502" s="712"/>
      <c r="AK502" s="712"/>
      <c r="AL502" s="712"/>
      <c r="AM502" s="712"/>
      <c r="AN502" s="712"/>
      <c r="AO502" s="712"/>
      <c r="AP502" s="712"/>
      <c r="AQ502" s="712"/>
      <c r="AR502" s="712"/>
      <c r="AS502" s="712"/>
      <c r="AT502" s="712"/>
      <c r="AU502" s="712"/>
      <c r="AV502" s="712"/>
      <c r="AW502" s="712"/>
      <c r="AX502" s="712"/>
      <c r="AY502" s="712"/>
    </row>
    <row r="503">
      <c r="T503" s="434"/>
      <c r="U503" s="438"/>
      <c r="V503" s="438"/>
      <c r="W503" s="438"/>
      <c r="X503" s="438"/>
      <c r="Y503" s="438"/>
      <c r="Z503" s="438"/>
      <c r="AA503" s="438"/>
      <c r="AB503" s="438"/>
      <c r="AC503" s="438"/>
      <c r="AD503" s="438"/>
      <c r="AE503" s="438"/>
      <c r="AF503" s="438"/>
      <c r="AG503" s="712"/>
      <c r="AH503" s="712"/>
      <c r="AI503" s="712"/>
      <c r="AJ503" s="712"/>
      <c r="AK503" s="712"/>
      <c r="AL503" s="712"/>
      <c r="AM503" s="712"/>
      <c r="AN503" s="712"/>
      <c r="AO503" s="712"/>
      <c r="AP503" s="712"/>
      <c r="AQ503" s="712"/>
      <c r="AR503" s="712"/>
      <c r="AS503" s="712"/>
      <c r="AT503" s="712"/>
      <c r="AU503" s="712"/>
      <c r="AV503" s="712"/>
      <c r="AW503" s="712"/>
      <c r="AX503" s="712"/>
      <c r="AY503" s="712"/>
    </row>
    <row r="504">
      <c r="T504" s="434"/>
      <c r="U504" s="438"/>
      <c r="V504" s="438"/>
      <c r="W504" s="438"/>
      <c r="X504" s="438"/>
      <c r="Y504" s="438"/>
      <c r="Z504" s="438"/>
      <c r="AA504" s="438"/>
      <c r="AB504" s="438"/>
      <c r="AC504" s="438"/>
      <c r="AD504" s="438"/>
      <c r="AE504" s="438"/>
      <c r="AF504" s="438"/>
      <c r="AG504" s="712"/>
      <c r="AH504" s="712"/>
      <c r="AI504" s="712"/>
      <c r="AJ504" s="712"/>
      <c r="AK504" s="712"/>
      <c r="AL504" s="712"/>
      <c r="AM504" s="712"/>
      <c r="AN504" s="712"/>
      <c r="AO504" s="712"/>
      <c r="AP504" s="712"/>
      <c r="AQ504" s="712"/>
      <c r="AR504" s="712"/>
      <c r="AS504" s="712"/>
      <c r="AT504" s="712"/>
      <c r="AU504" s="712"/>
      <c r="AV504" s="712"/>
      <c r="AW504" s="712"/>
      <c r="AX504" s="712"/>
      <c r="AY504" s="712"/>
    </row>
    <row r="505">
      <c r="T505" s="434"/>
      <c r="U505" s="438"/>
      <c r="V505" s="438"/>
      <c r="W505" s="438"/>
      <c r="X505" s="438"/>
      <c r="Y505" s="438"/>
      <c r="Z505" s="438"/>
      <c r="AA505" s="438"/>
      <c r="AB505" s="438"/>
      <c r="AC505" s="438"/>
      <c r="AD505" s="438"/>
      <c r="AE505" s="438"/>
      <c r="AF505" s="438"/>
      <c r="AG505" s="712"/>
      <c r="AH505" s="712"/>
      <c r="AI505" s="712"/>
      <c r="AJ505" s="712"/>
      <c r="AK505" s="712"/>
      <c r="AL505" s="712"/>
      <c r="AM505" s="712"/>
      <c r="AN505" s="712"/>
      <c r="AO505" s="712"/>
      <c r="AP505" s="712"/>
      <c r="AQ505" s="712"/>
      <c r="AR505" s="712"/>
      <c r="AS505" s="712"/>
      <c r="AT505" s="712"/>
      <c r="AU505" s="712"/>
      <c r="AV505" s="712"/>
      <c r="AW505" s="712"/>
      <c r="AX505" s="712"/>
      <c r="AY505" s="712"/>
    </row>
    <row r="506">
      <c r="T506" s="434"/>
      <c r="U506" s="438"/>
      <c r="V506" s="438"/>
      <c r="W506" s="438"/>
      <c r="X506" s="438"/>
      <c r="Y506" s="438"/>
      <c r="Z506" s="438"/>
      <c r="AA506" s="438"/>
      <c r="AB506" s="438"/>
      <c r="AC506" s="438"/>
      <c r="AD506" s="438"/>
      <c r="AE506" s="438"/>
      <c r="AF506" s="438"/>
      <c r="AG506" s="712"/>
      <c r="AH506" s="712"/>
      <c r="AI506" s="712"/>
      <c r="AJ506" s="712"/>
      <c r="AK506" s="712"/>
      <c r="AL506" s="712"/>
      <c r="AM506" s="712"/>
      <c r="AN506" s="712"/>
      <c r="AO506" s="712"/>
      <c r="AP506" s="712"/>
      <c r="AQ506" s="712"/>
      <c r="AR506" s="712"/>
      <c r="AS506" s="712"/>
      <c r="AT506" s="712"/>
      <c r="AU506" s="712"/>
      <c r="AV506" s="712"/>
      <c r="AW506" s="712"/>
      <c r="AX506" s="712"/>
      <c r="AY506" s="712"/>
    </row>
    <row r="507">
      <c r="T507" s="434"/>
      <c r="U507" s="438"/>
      <c r="V507" s="438"/>
      <c r="W507" s="438"/>
      <c r="X507" s="438"/>
      <c r="Y507" s="438"/>
      <c r="Z507" s="438"/>
      <c r="AA507" s="438"/>
      <c r="AB507" s="438"/>
      <c r="AC507" s="438"/>
      <c r="AD507" s="438"/>
      <c r="AE507" s="438"/>
      <c r="AF507" s="438"/>
      <c r="AG507" s="712"/>
      <c r="AH507" s="712"/>
      <c r="AI507" s="712"/>
      <c r="AJ507" s="712"/>
      <c r="AK507" s="712"/>
      <c r="AL507" s="712"/>
      <c r="AM507" s="712"/>
      <c r="AN507" s="712"/>
      <c r="AO507" s="712"/>
      <c r="AP507" s="712"/>
      <c r="AQ507" s="712"/>
      <c r="AR507" s="712"/>
      <c r="AS507" s="712"/>
      <c r="AT507" s="712"/>
      <c r="AU507" s="712"/>
      <c r="AV507" s="712"/>
      <c r="AW507" s="712"/>
      <c r="AX507" s="712"/>
      <c r="AY507" s="712"/>
    </row>
    <row r="508">
      <c r="T508" s="434"/>
      <c r="U508" s="438"/>
      <c r="V508" s="438"/>
      <c r="W508" s="438"/>
      <c r="X508" s="438"/>
      <c r="Y508" s="438"/>
      <c r="Z508" s="438"/>
      <c r="AA508" s="438"/>
      <c r="AB508" s="438"/>
      <c r="AC508" s="438"/>
      <c r="AD508" s="438"/>
      <c r="AE508" s="438"/>
      <c r="AF508" s="438"/>
      <c r="AG508" s="712"/>
      <c r="AH508" s="712"/>
      <c r="AI508" s="712"/>
      <c r="AJ508" s="712"/>
      <c r="AK508" s="712"/>
      <c r="AL508" s="712"/>
      <c r="AM508" s="712"/>
      <c r="AN508" s="712"/>
      <c r="AO508" s="712"/>
      <c r="AP508" s="712"/>
      <c r="AQ508" s="712"/>
      <c r="AR508" s="712"/>
      <c r="AS508" s="712"/>
      <c r="AT508" s="712"/>
      <c r="AU508" s="712"/>
      <c r="AV508" s="712"/>
      <c r="AW508" s="712"/>
      <c r="AX508" s="712"/>
      <c r="AY508" s="712"/>
    </row>
    <row r="509">
      <c r="T509" s="434"/>
      <c r="U509" s="438"/>
      <c r="V509" s="438"/>
      <c r="W509" s="438"/>
      <c r="X509" s="438"/>
      <c r="Y509" s="438"/>
      <c r="Z509" s="438"/>
      <c r="AA509" s="438"/>
      <c r="AB509" s="438"/>
      <c r="AC509" s="438"/>
      <c r="AD509" s="438"/>
      <c r="AE509" s="438"/>
      <c r="AF509" s="438"/>
      <c r="AG509" s="712"/>
      <c r="AH509" s="712"/>
      <c r="AI509" s="712"/>
      <c r="AJ509" s="712"/>
      <c r="AK509" s="712"/>
      <c r="AL509" s="712"/>
      <c r="AM509" s="712"/>
      <c r="AN509" s="712"/>
      <c r="AO509" s="712"/>
      <c r="AP509" s="712"/>
      <c r="AQ509" s="712"/>
      <c r="AR509" s="712"/>
      <c r="AS509" s="712"/>
      <c r="AT509" s="712"/>
      <c r="AU509" s="712"/>
      <c r="AV509" s="712"/>
      <c r="AW509" s="712"/>
      <c r="AX509" s="712"/>
      <c r="AY509" s="712"/>
    </row>
    <row r="510">
      <c r="T510" s="434"/>
      <c r="U510" s="438"/>
      <c r="V510" s="438"/>
      <c r="W510" s="438"/>
      <c r="X510" s="438"/>
      <c r="Y510" s="438"/>
      <c r="Z510" s="438"/>
      <c r="AA510" s="438"/>
      <c r="AB510" s="438"/>
      <c r="AC510" s="438"/>
      <c r="AD510" s="438"/>
      <c r="AE510" s="438"/>
      <c r="AF510" s="438"/>
      <c r="AG510" s="712"/>
      <c r="AH510" s="712"/>
      <c r="AI510" s="712"/>
      <c r="AJ510" s="712"/>
      <c r="AK510" s="712"/>
      <c r="AL510" s="712"/>
      <c r="AM510" s="712"/>
      <c r="AN510" s="712"/>
      <c r="AO510" s="712"/>
      <c r="AP510" s="712"/>
      <c r="AQ510" s="712"/>
      <c r="AR510" s="712"/>
      <c r="AS510" s="712"/>
      <c r="AT510" s="712"/>
      <c r="AU510" s="712"/>
      <c r="AV510" s="712"/>
      <c r="AW510" s="712"/>
      <c r="AX510" s="712"/>
      <c r="AY510" s="712"/>
    </row>
    <row r="511">
      <c r="T511" s="434"/>
      <c r="U511" s="438"/>
      <c r="V511" s="438"/>
      <c r="W511" s="438"/>
      <c r="X511" s="438"/>
      <c r="Y511" s="438"/>
      <c r="Z511" s="438"/>
      <c r="AA511" s="438"/>
      <c r="AB511" s="438"/>
      <c r="AC511" s="438"/>
      <c r="AD511" s="438"/>
      <c r="AE511" s="438"/>
      <c r="AF511" s="438"/>
      <c r="AG511" s="712"/>
      <c r="AH511" s="712"/>
      <c r="AI511" s="712"/>
      <c r="AJ511" s="712"/>
      <c r="AK511" s="712"/>
      <c r="AL511" s="712"/>
      <c r="AM511" s="712"/>
      <c r="AN511" s="712"/>
      <c r="AO511" s="712"/>
      <c r="AP511" s="712"/>
      <c r="AQ511" s="712"/>
      <c r="AR511" s="712"/>
      <c r="AS511" s="712"/>
      <c r="AT511" s="712"/>
      <c r="AU511" s="712"/>
      <c r="AV511" s="712"/>
      <c r="AW511" s="712"/>
      <c r="AX511" s="712"/>
      <c r="AY511" s="712"/>
    </row>
    <row r="512">
      <c r="T512" s="434"/>
      <c r="U512" s="438"/>
      <c r="V512" s="438"/>
      <c r="W512" s="438"/>
      <c r="X512" s="438"/>
      <c r="Y512" s="438"/>
      <c r="Z512" s="438"/>
      <c r="AA512" s="438"/>
      <c r="AB512" s="438"/>
      <c r="AC512" s="438"/>
      <c r="AD512" s="438"/>
      <c r="AE512" s="438"/>
      <c r="AF512" s="438"/>
      <c r="AG512" s="712"/>
      <c r="AH512" s="712"/>
      <c r="AI512" s="712"/>
      <c r="AJ512" s="712"/>
      <c r="AK512" s="712"/>
      <c r="AL512" s="712"/>
      <c r="AM512" s="712"/>
      <c r="AN512" s="712"/>
      <c r="AO512" s="712"/>
      <c r="AP512" s="712"/>
      <c r="AQ512" s="712"/>
      <c r="AR512" s="712"/>
      <c r="AS512" s="712"/>
      <c r="AT512" s="712"/>
      <c r="AU512" s="712"/>
      <c r="AV512" s="712"/>
      <c r="AW512" s="712"/>
      <c r="AX512" s="712"/>
      <c r="AY512" s="712"/>
    </row>
    <row r="513">
      <c r="T513" s="434"/>
      <c r="U513" s="438"/>
      <c r="V513" s="438"/>
      <c r="W513" s="438"/>
      <c r="X513" s="438"/>
      <c r="Y513" s="438"/>
      <c r="Z513" s="438"/>
      <c r="AA513" s="438"/>
      <c r="AB513" s="438"/>
      <c r="AC513" s="438"/>
      <c r="AD513" s="438"/>
      <c r="AE513" s="438"/>
      <c r="AF513" s="438"/>
      <c r="AG513" s="712"/>
      <c r="AH513" s="712"/>
      <c r="AI513" s="712"/>
      <c r="AJ513" s="712"/>
      <c r="AK513" s="712"/>
      <c r="AL513" s="712"/>
      <c r="AM513" s="712"/>
      <c r="AN513" s="712"/>
      <c r="AO513" s="712"/>
      <c r="AP513" s="712"/>
      <c r="AQ513" s="712"/>
      <c r="AR513" s="712"/>
      <c r="AS513" s="712"/>
      <c r="AT513" s="712"/>
      <c r="AU513" s="712"/>
      <c r="AV513" s="712"/>
      <c r="AW513" s="712"/>
      <c r="AX513" s="712"/>
      <c r="AY513" s="712"/>
    </row>
    <row r="514">
      <c r="T514" s="434"/>
      <c r="U514" s="438"/>
      <c r="V514" s="438"/>
      <c r="W514" s="438"/>
      <c r="X514" s="438"/>
      <c r="Y514" s="438"/>
      <c r="Z514" s="438"/>
      <c r="AA514" s="438"/>
      <c r="AB514" s="438"/>
      <c r="AC514" s="438"/>
      <c r="AD514" s="438"/>
      <c r="AE514" s="438"/>
      <c r="AF514" s="438"/>
      <c r="AG514" s="712"/>
      <c r="AH514" s="712"/>
      <c r="AI514" s="712"/>
      <c r="AJ514" s="712"/>
      <c r="AK514" s="712"/>
      <c r="AL514" s="712"/>
      <c r="AM514" s="712"/>
      <c r="AN514" s="712"/>
      <c r="AO514" s="712"/>
      <c r="AP514" s="712"/>
      <c r="AQ514" s="712"/>
      <c r="AR514" s="712"/>
      <c r="AS514" s="712"/>
      <c r="AT514" s="712"/>
      <c r="AU514" s="712"/>
      <c r="AV514" s="712"/>
      <c r="AW514" s="712"/>
      <c r="AX514" s="712"/>
      <c r="AY514" s="712"/>
    </row>
    <row r="515">
      <c r="T515" s="434"/>
      <c r="U515" s="438"/>
      <c r="V515" s="438"/>
      <c r="W515" s="438"/>
      <c r="X515" s="438"/>
      <c r="Y515" s="438"/>
      <c r="Z515" s="438"/>
      <c r="AA515" s="438"/>
      <c r="AB515" s="438"/>
      <c r="AC515" s="438"/>
      <c r="AD515" s="438"/>
      <c r="AE515" s="438"/>
      <c r="AF515" s="438"/>
      <c r="AG515" s="712"/>
      <c r="AH515" s="712"/>
      <c r="AI515" s="712"/>
      <c r="AJ515" s="712"/>
      <c r="AK515" s="712"/>
      <c r="AL515" s="712"/>
      <c r="AM515" s="712"/>
      <c r="AN515" s="712"/>
      <c r="AO515" s="712"/>
      <c r="AP515" s="712"/>
      <c r="AQ515" s="712"/>
      <c r="AR515" s="712"/>
      <c r="AS515" s="712"/>
      <c r="AT515" s="712"/>
      <c r="AU515" s="712"/>
      <c r="AV515" s="712"/>
      <c r="AW515" s="712"/>
      <c r="AX515" s="712"/>
      <c r="AY515" s="712"/>
    </row>
    <row r="516">
      <c r="T516" s="434"/>
      <c r="U516" s="438"/>
      <c r="V516" s="438"/>
      <c r="W516" s="438"/>
      <c r="X516" s="438"/>
      <c r="Y516" s="438"/>
      <c r="Z516" s="438"/>
      <c r="AA516" s="438"/>
      <c r="AB516" s="438"/>
      <c r="AC516" s="438"/>
      <c r="AD516" s="438"/>
      <c r="AE516" s="438"/>
      <c r="AF516" s="438"/>
      <c r="AG516" s="712"/>
      <c r="AH516" s="712"/>
      <c r="AI516" s="712"/>
      <c r="AJ516" s="712"/>
      <c r="AK516" s="712"/>
      <c r="AL516" s="712"/>
      <c r="AM516" s="712"/>
      <c r="AN516" s="712"/>
      <c r="AO516" s="712"/>
      <c r="AP516" s="712"/>
      <c r="AQ516" s="712"/>
      <c r="AR516" s="712"/>
      <c r="AS516" s="712"/>
      <c r="AT516" s="712"/>
      <c r="AU516" s="712"/>
      <c r="AV516" s="712"/>
      <c r="AW516" s="712"/>
      <c r="AX516" s="712"/>
      <c r="AY516" s="712"/>
    </row>
    <row r="517">
      <c r="T517" s="434"/>
      <c r="U517" s="438"/>
      <c r="V517" s="438"/>
      <c r="W517" s="438"/>
      <c r="X517" s="438"/>
      <c r="Y517" s="438"/>
      <c r="Z517" s="438"/>
      <c r="AA517" s="438"/>
      <c r="AB517" s="438"/>
      <c r="AC517" s="438"/>
      <c r="AD517" s="438"/>
      <c r="AE517" s="438"/>
      <c r="AF517" s="438"/>
      <c r="AG517" s="712"/>
      <c r="AH517" s="712"/>
      <c r="AI517" s="712"/>
      <c r="AJ517" s="712"/>
      <c r="AK517" s="712"/>
      <c r="AL517" s="712"/>
      <c r="AM517" s="712"/>
      <c r="AN517" s="712"/>
      <c r="AO517" s="712"/>
      <c r="AP517" s="712"/>
      <c r="AQ517" s="712"/>
      <c r="AR517" s="712"/>
      <c r="AS517" s="712"/>
      <c r="AT517" s="712"/>
      <c r="AU517" s="712"/>
      <c r="AV517" s="712"/>
      <c r="AW517" s="712"/>
      <c r="AX517" s="712"/>
      <c r="AY517" s="712"/>
    </row>
    <row r="518">
      <c r="T518" s="434"/>
      <c r="U518" s="438"/>
      <c r="V518" s="438"/>
      <c r="W518" s="438"/>
      <c r="X518" s="438"/>
      <c r="Y518" s="438"/>
      <c r="Z518" s="438"/>
      <c r="AA518" s="438"/>
      <c r="AB518" s="438"/>
      <c r="AC518" s="438"/>
      <c r="AD518" s="438"/>
      <c r="AE518" s="438"/>
      <c r="AF518" s="438"/>
      <c r="AG518" s="712"/>
      <c r="AH518" s="712"/>
      <c r="AI518" s="712"/>
      <c r="AJ518" s="712"/>
      <c r="AK518" s="712"/>
      <c r="AL518" s="712"/>
      <c r="AM518" s="712"/>
      <c r="AN518" s="712"/>
      <c r="AO518" s="712"/>
      <c r="AP518" s="712"/>
      <c r="AQ518" s="712"/>
      <c r="AR518" s="712"/>
      <c r="AS518" s="712"/>
      <c r="AT518" s="712"/>
      <c r="AU518" s="712"/>
      <c r="AV518" s="712"/>
      <c r="AW518" s="712"/>
      <c r="AX518" s="712"/>
      <c r="AY518" s="712"/>
    </row>
    <row r="519">
      <c r="T519" s="434"/>
      <c r="U519" s="438"/>
      <c r="V519" s="438"/>
      <c r="W519" s="438"/>
      <c r="X519" s="438"/>
      <c r="Y519" s="438"/>
      <c r="Z519" s="438"/>
      <c r="AA519" s="438"/>
      <c r="AB519" s="438"/>
      <c r="AC519" s="438"/>
      <c r="AD519" s="438"/>
      <c r="AE519" s="438"/>
      <c r="AF519" s="438"/>
      <c r="AG519" s="712"/>
      <c r="AH519" s="712"/>
      <c r="AI519" s="712"/>
      <c r="AJ519" s="712"/>
      <c r="AK519" s="712"/>
      <c r="AL519" s="712"/>
      <c r="AM519" s="712"/>
      <c r="AN519" s="712"/>
      <c r="AO519" s="712"/>
      <c r="AP519" s="712"/>
      <c r="AQ519" s="712"/>
      <c r="AR519" s="712"/>
      <c r="AS519" s="712"/>
      <c r="AT519" s="712"/>
      <c r="AU519" s="712"/>
      <c r="AV519" s="712"/>
      <c r="AW519" s="712"/>
      <c r="AX519" s="712"/>
      <c r="AY519" s="712"/>
    </row>
    <row r="520">
      <c r="T520" s="434"/>
      <c r="U520" s="438"/>
      <c r="V520" s="438"/>
      <c r="W520" s="438"/>
      <c r="X520" s="438"/>
      <c r="Y520" s="438"/>
      <c r="Z520" s="438"/>
      <c r="AA520" s="438"/>
      <c r="AB520" s="438"/>
      <c r="AC520" s="438"/>
      <c r="AD520" s="438"/>
      <c r="AE520" s="438"/>
      <c r="AF520" s="438"/>
      <c r="AG520" s="712"/>
      <c r="AH520" s="712"/>
      <c r="AI520" s="712"/>
      <c r="AJ520" s="712"/>
      <c r="AK520" s="712"/>
      <c r="AL520" s="712"/>
      <c r="AM520" s="712"/>
      <c r="AN520" s="712"/>
      <c r="AO520" s="712"/>
      <c r="AP520" s="712"/>
      <c r="AQ520" s="712"/>
      <c r="AR520" s="712"/>
      <c r="AS520" s="712"/>
      <c r="AT520" s="712"/>
      <c r="AU520" s="712"/>
      <c r="AV520" s="712"/>
      <c r="AW520" s="712"/>
      <c r="AX520" s="712"/>
      <c r="AY520" s="712"/>
    </row>
    <row r="521">
      <c r="T521" s="434"/>
      <c r="U521" s="438"/>
      <c r="V521" s="438"/>
      <c r="W521" s="438"/>
      <c r="X521" s="438"/>
      <c r="Y521" s="438"/>
      <c r="Z521" s="438"/>
      <c r="AA521" s="438"/>
      <c r="AB521" s="438"/>
      <c r="AC521" s="438"/>
      <c r="AD521" s="438"/>
      <c r="AE521" s="438"/>
      <c r="AF521" s="438"/>
      <c r="AG521" s="712"/>
      <c r="AH521" s="712"/>
      <c r="AI521" s="712"/>
      <c r="AJ521" s="712"/>
      <c r="AK521" s="712"/>
      <c r="AL521" s="712"/>
      <c r="AM521" s="712"/>
      <c r="AN521" s="712"/>
      <c r="AO521" s="712"/>
      <c r="AP521" s="712"/>
      <c r="AQ521" s="712"/>
      <c r="AR521" s="712"/>
      <c r="AS521" s="712"/>
      <c r="AT521" s="712"/>
      <c r="AU521" s="712"/>
      <c r="AV521" s="712"/>
      <c r="AW521" s="712"/>
      <c r="AX521" s="712"/>
      <c r="AY521" s="712"/>
    </row>
    <row r="522">
      <c r="T522" s="434"/>
      <c r="U522" s="438"/>
      <c r="V522" s="438"/>
      <c r="W522" s="438"/>
      <c r="X522" s="438"/>
      <c r="Y522" s="438"/>
      <c r="Z522" s="438"/>
      <c r="AA522" s="438"/>
      <c r="AB522" s="438"/>
      <c r="AC522" s="438"/>
      <c r="AD522" s="438"/>
      <c r="AE522" s="438"/>
      <c r="AF522" s="438"/>
      <c r="AG522" s="712"/>
      <c r="AH522" s="712"/>
      <c r="AI522" s="712"/>
      <c r="AJ522" s="712"/>
      <c r="AK522" s="712"/>
      <c r="AL522" s="712"/>
      <c r="AM522" s="712"/>
      <c r="AN522" s="712"/>
      <c r="AO522" s="712"/>
      <c r="AP522" s="712"/>
      <c r="AQ522" s="712"/>
      <c r="AR522" s="712"/>
      <c r="AS522" s="712"/>
      <c r="AT522" s="712"/>
      <c r="AU522" s="712"/>
      <c r="AV522" s="712"/>
      <c r="AW522" s="712"/>
      <c r="AX522" s="712"/>
      <c r="AY522" s="712"/>
    </row>
    <row r="523">
      <c r="T523" s="434"/>
      <c r="U523" s="438"/>
      <c r="V523" s="438"/>
      <c r="W523" s="438"/>
      <c r="X523" s="438"/>
      <c r="Y523" s="438"/>
      <c r="Z523" s="438"/>
      <c r="AA523" s="438"/>
      <c r="AB523" s="438"/>
      <c r="AC523" s="438"/>
      <c r="AD523" s="438"/>
      <c r="AE523" s="438"/>
      <c r="AF523" s="438"/>
      <c r="AG523" s="712"/>
      <c r="AH523" s="712"/>
      <c r="AI523" s="712"/>
      <c r="AJ523" s="712"/>
      <c r="AK523" s="712"/>
      <c r="AL523" s="712"/>
      <c r="AM523" s="712"/>
      <c r="AN523" s="712"/>
      <c r="AO523" s="712"/>
      <c r="AP523" s="712"/>
      <c r="AQ523" s="712"/>
      <c r="AR523" s="712"/>
      <c r="AS523" s="712"/>
      <c r="AT523" s="712"/>
      <c r="AU523" s="712"/>
      <c r="AV523" s="712"/>
      <c r="AW523" s="712"/>
      <c r="AX523" s="712"/>
      <c r="AY523" s="712"/>
    </row>
    <row r="524">
      <c r="T524" s="434"/>
      <c r="U524" s="438"/>
      <c r="V524" s="438"/>
      <c r="W524" s="438"/>
      <c r="X524" s="438"/>
      <c r="Y524" s="438"/>
      <c r="Z524" s="438"/>
      <c r="AA524" s="438"/>
      <c r="AB524" s="438"/>
      <c r="AC524" s="438"/>
      <c r="AD524" s="438"/>
      <c r="AE524" s="438"/>
      <c r="AF524" s="438"/>
      <c r="AG524" s="712"/>
      <c r="AH524" s="712"/>
      <c r="AI524" s="712"/>
      <c r="AJ524" s="712"/>
      <c r="AK524" s="712"/>
      <c r="AL524" s="712"/>
      <c r="AM524" s="712"/>
      <c r="AN524" s="712"/>
      <c r="AO524" s="712"/>
      <c r="AP524" s="712"/>
      <c r="AQ524" s="712"/>
      <c r="AR524" s="712"/>
      <c r="AS524" s="712"/>
      <c r="AT524" s="712"/>
      <c r="AU524" s="712"/>
      <c r="AV524" s="712"/>
      <c r="AW524" s="712"/>
      <c r="AX524" s="712"/>
      <c r="AY524" s="712"/>
    </row>
    <row r="525">
      <c r="T525" s="434"/>
      <c r="U525" s="438"/>
      <c r="V525" s="438"/>
      <c r="W525" s="438"/>
      <c r="X525" s="438"/>
      <c r="Y525" s="438"/>
      <c r="Z525" s="438"/>
      <c r="AA525" s="438"/>
      <c r="AB525" s="438"/>
      <c r="AC525" s="438"/>
      <c r="AD525" s="438"/>
      <c r="AE525" s="438"/>
      <c r="AF525" s="438"/>
      <c r="AG525" s="712"/>
      <c r="AH525" s="712"/>
      <c r="AI525" s="712"/>
      <c r="AJ525" s="712"/>
      <c r="AK525" s="712"/>
      <c r="AL525" s="712"/>
      <c r="AM525" s="712"/>
      <c r="AN525" s="712"/>
      <c r="AO525" s="712"/>
      <c r="AP525" s="712"/>
      <c r="AQ525" s="712"/>
      <c r="AR525" s="712"/>
      <c r="AS525" s="712"/>
      <c r="AT525" s="712"/>
      <c r="AU525" s="712"/>
      <c r="AV525" s="712"/>
      <c r="AW525" s="712"/>
      <c r="AX525" s="712"/>
      <c r="AY525" s="712"/>
    </row>
    <row r="526">
      <c r="T526" s="434"/>
      <c r="U526" s="438"/>
      <c r="V526" s="438"/>
      <c r="W526" s="438"/>
      <c r="X526" s="438"/>
      <c r="Y526" s="438"/>
      <c r="Z526" s="438"/>
      <c r="AA526" s="438"/>
      <c r="AB526" s="438"/>
      <c r="AC526" s="438"/>
      <c r="AD526" s="438"/>
      <c r="AE526" s="438"/>
      <c r="AF526" s="438"/>
      <c r="AG526" s="712"/>
      <c r="AH526" s="712"/>
      <c r="AI526" s="712"/>
      <c r="AJ526" s="712"/>
      <c r="AK526" s="712"/>
      <c r="AL526" s="712"/>
      <c r="AM526" s="712"/>
      <c r="AN526" s="712"/>
      <c r="AO526" s="712"/>
      <c r="AP526" s="712"/>
      <c r="AQ526" s="712"/>
      <c r="AR526" s="712"/>
      <c r="AS526" s="712"/>
      <c r="AT526" s="712"/>
      <c r="AU526" s="712"/>
      <c r="AV526" s="712"/>
      <c r="AW526" s="712"/>
      <c r="AX526" s="712"/>
      <c r="AY526" s="712"/>
    </row>
    <row r="527">
      <c r="T527" s="434"/>
      <c r="U527" s="438"/>
      <c r="V527" s="438"/>
      <c r="W527" s="438"/>
      <c r="X527" s="438"/>
      <c r="Y527" s="438"/>
      <c r="Z527" s="438"/>
      <c r="AA527" s="438"/>
      <c r="AB527" s="438"/>
      <c r="AC527" s="438"/>
      <c r="AD527" s="438"/>
      <c r="AE527" s="438"/>
      <c r="AF527" s="438"/>
      <c r="AG527" s="712"/>
      <c r="AH527" s="712"/>
      <c r="AI527" s="712"/>
      <c r="AJ527" s="712"/>
      <c r="AK527" s="712"/>
      <c r="AL527" s="712"/>
      <c r="AM527" s="712"/>
      <c r="AN527" s="712"/>
      <c r="AO527" s="712"/>
      <c r="AP527" s="712"/>
      <c r="AQ527" s="712"/>
      <c r="AR527" s="712"/>
      <c r="AS527" s="712"/>
      <c r="AT527" s="712"/>
      <c r="AU527" s="712"/>
      <c r="AV527" s="712"/>
      <c r="AW527" s="712"/>
      <c r="AX527" s="712"/>
      <c r="AY527" s="712"/>
    </row>
    <row r="528">
      <c r="T528" s="434"/>
      <c r="U528" s="438"/>
      <c r="V528" s="438"/>
      <c r="W528" s="438"/>
      <c r="X528" s="438"/>
      <c r="Y528" s="438"/>
      <c r="Z528" s="438"/>
      <c r="AA528" s="438"/>
      <c r="AB528" s="438"/>
      <c r="AC528" s="438"/>
      <c r="AD528" s="438"/>
      <c r="AE528" s="438"/>
      <c r="AF528" s="438"/>
      <c r="AG528" s="712"/>
      <c r="AH528" s="712"/>
      <c r="AI528" s="712"/>
      <c r="AJ528" s="712"/>
      <c r="AK528" s="712"/>
      <c r="AL528" s="712"/>
      <c r="AM528" s="712"/>
      <c r="AN528" s="712"/>
      <c r="AO528" s="712"/>
      <c r="AP528" s="712"/>
      <c r="AQ528" s="712"/>
      <c r="AR528" s="712"/>
      <c r="AS528" s="712"/>
      <c r="AT528" s="712"/>
      <c r="AU528" s="712"/>
      <c r="AV528" s="712"/>
      <c r="AW528" s="712"/>
      <c r="AX528" s="712"/>
      <c r="AY528" s="712"/>
    </row>
    <row r="529">
      <c r="T529" s="434"/>
      <c r="U529" s="438"/>
      <c r="V529" s="438"/>
      <c r="W529" s="438"/>
      <c r="X529" s="438"/>
      <c r="Y529" s="438"/>
      <c r="Z529" s="438"/>
      <c r="AA529" s="438"/>
      <c r="AB529" s="438"/>
      <c r="AC529" s="438"/>
      <c r="AD529" s="438"/>
      <c r="AE529" s="438"/>
      <c r="AF529" s="438"/>
      <c r="AG529" s="712"/>
      <c r="AH529" s="712"/>
      <c r="AI529" s="712"/>
      <c r="AJ529" s="712"/>
      <c r="AK529" s="712"/>
      <c r="AL529" s="712"/>
      <c r="AM529" s="712"/>
      <c r="AN529" s="712"/>
      <c r="AO529" s="712"/>
      <c r="AP529" s="712"/>
      <c r="AQ529" s="712"/>
      <c r="AR529" s="712"/>
      <c r="AS529" s="712"/>
      <c r="AT529" s="712"/>
      <c r="AU529" s="712"/>
      <c r="AV529" s="712"/>
      <c r="AW529" s="712"/>
      <c r="AX529" s="712"/>
      <c r="AY529" s="712"/>
    </row>
    <row r="530">
      <c r="T530" s="434"/>
      <c r="U530" s="438"/>
      <c r="V530" s="438"/>
      <c r="W530" s="438"/>
      <c r="X530" s="438"/>
      <c r="Y530" s="438"/>
      <c r="Z530" s="438"/>
      <c r="AA530" s="438"/>
      <c r="AB530" s="438"/>
      <c r="AC530" s="438"/>
      <c r="AD530" s="438"/>
      <c r="AE530" s="438"/>
      <c r="AF530" s="438"/>
      <c r="AG530" s="712"/>
      <c r="AH530" s="712"/>
      <c r="AI530" s="712"/>
      <c r="AJ530" s="712"/>
      <c r="AK530" s="712"/>
      <c r="AL530" s="712"/>
      <c r="AM530" s="712"/>
      <c r="AN530" s="712"/>
      <c r="AO530" s="712"/>
      <c r="AP530" s="712"/>
      <c r="AQ530" s="712"/>
      <c r="AR530" s="712"/>
      <c r="AS530" s="712"/>
      <c r="AT530" s="712"/>
      <c r="AU530" s="712"/>
      <c r="AV530" s="712"/>
      <c r="AW530" s="712"/>
      <c r="AX530" s="712"/>
      <c r="AY530" s="712"/>
    </row>
    <row r="531">
      <c r="T531" s="434"/>
      <c r="U531" s="438"/>
      <c r="V531" s="438"/>
      <c r="W531" s="438"/>
      <c r="X531" s="438"/>
      <c r="Y531" s="438"/>
      <c r="Z531" s="438"/>
      <c r="AA531" s="438"/>
      <c r="AB531" s="438"/>
      <c r="AC531" s="438"/>
      <c r="AD531" s="438"/>
      <c r="AE531" s="438"/>
      <c r="AF531" s="438"/>
      <c r="AG531" s="712"/>
      <c r="AH531" s="712"/>
      <c r="AI531" s="712"/>
      <c r="AJ531" s="712"/>
      <c r="AK531" s="712"/>
      <c r="AL531" s="712"/>
      <c r="AM531" s="712"/>
      <c r="AN531" s="712"/>
      <c r="AO531" s="712"/>
      <c r="AP531" s="712"/>
      <c r="AQ531" s="712"/>
      <c r="AR531" s="712"/>
      <c r="AS531" s="712"/>
      <c r="AT531" s="712"/>
      <c r="AU531" s="712"/>
      <c r="AV531" s="712"/>
      <c r="AW531" s="712"/>
      <c r="AX531" s="712"/>
      <c r="AY531" s="712"/>
    </row>
    <row r="532">
      <c r="T532" s="434"/>
      <c r="U532" s="438"/>
      <c r="V532" s="438"/>
      <c r="W532" s="438"/>
      <c r="X532" s="438"/>
      <c r="Y532" s="438"/>
      <c r="Z532" s="438"/>
      <c r="AA532" s="438"/>
      <c r="AB532" s="438"/>
      <c r="AC532" s="438"/>
      <c r="AD532" s="438"/>
      <c r="AE532" s="438"/>
      <c r="AF532" s="438"/>
      <c r="AG532" s="712"/>
      <c r="AH532" s="712"/>
      <c r="AI532" s="712"/>
      <c r="AJ532" s="712"/>
      <c r="AK532" s="712"/>
      <c r="AL532" s="712"/>
      <c r="AM532" s="712"/>
      <c r="AN532" s="712"/>
      <c r="AO532" s="712"/>
      <c r="AP532" s="712"/>
      <c r="AQ532" s="712"/>
      <c r="AR532" s="712"/>
      <c r="AS532" s="712"/>
      <c r="AT532" s="712"/>
      <c r="AU532" s="712"/>
      <c r="AV532" s="712"/>
      <c r="AW532" s="712"/>
      <c r="AX532" s="712"/>
      <c r="AY532" s="712"/>
    </row>
    <row r="533">
      <c r="T533" s="434"/>
      <c r="U533" s="438"/>
      <c r="V533" s="438"/>
      <c r="W533" s="438"/>
      <c r="X533" s="438"/>
      <c r="Y533" s="438"/>
      <c r="Z533" s="438"/>
      <c r="AA533" s="438"/>
      <c r="AB533" s="438"/>
      <c r="AC533" s="438"/>
      <c r="AD533" s="438"/>
      <c r="AE533" s="438"/>
      <c r="AF533" s="438"/>
      <c r="AG533" s="712"/>
      <c r="AH533" s="712"/>
      <c r="AI533" s="712"/>
      <c r="AJ533" s="712"/>
      <c r="AK533" s="712"/>
      <c r="AL533" s="712"/>
      <c r="AM533" s="712"/>
      <c r="AN533" s="712"/>
      <c r="AO533" s="712"/>
      <c r="AP533" s="712"/>
      <c r="AQ533" s="712"/>
      <c r="AR533" s="712"/>
      <c r="AS533" s="712"/>
      <c r="AT533" s="712"/>
      <c r="AU533" s="712"/>
      <c r="AV533" s="712"/>
      <c r="AW533" s="712"/>
      <c r="AX533" s="712"/>
      <c r="AY533" s="712"/>
    </row>
    <row r="534">
      <c r="T534" s="434"/>
      <c r="U534" s="438"/>
      <c r="V534" s="438"/>
      <c r="W534" s="438"/>
      <c r="X534" s="438"/>
      <c r="Y534" s="438"/>
      <c r="Z534" s="438"/>
      <c r="AA534" s="438"/>
      <c r="AB534" s="438"/>
      <c r="AC534" s="438"/>
      <c r="AD534" s="438"/>
      <c r="AE534" s="438"/>
      <c r="AF534" s="438"/>
      <c r="AG534" s="712"/>
      <c r="AH534" s="712"/>
      <c r="AI534" s="712"/>
      <c r="AJ534" s="712"/>
      <c r="AK534" s="712"/>
      <c r="AL534" s="712"/>
      <c r="AM534" s="712"/>
      <c r="AN534" s="712"/>
      <c r="AO534" s="712"/>
      <c r="AP534" s="712"/>
      <c r="AQ534" s="712"/>
      <c r="AR534" s="712"/>
      <c r="AS534" s="712"/>
      <c r="AT534" s="712"/>
      <c r="AU534" s="712"/>
      <c r="AV534" s="712"/>
      <c r="AW534" s="712"/>
      <c r="AX534" s="712"/>
      <c r="AY534" s="712"/>
    </row>
    <row r="535">
      <c r="T535" s="434"/>
      <c r="U535" s="438"/>
      <c r="V535" s="438"/>
      <c r="W535" s="438"/>
      <c r="X535" s="438"/>
      <c r="Y535" s="438"/>
      <c r="Z535" s="438"/>
      <c r="AA535" s="438"/>
      <c r="AB535" s="438"/>
      <c r="AC535" s="438"/>
      <c r="AD535" s="438"/>
      <c r="AE535" s="438"/>
      <c r="AF535" s="438"/>
      <c r="AG535" s="712"/>
      <c r="AH535" s="712"/>
      <c r="AI535" s="712"/>
      <c r="AJ535" s="712"/>
      <c r="AK535" s="712"/>
      <c r="AL535" s="712"/>
      <c r="AM535" s="712"/>
      <c r="AN535" s="712"/>
      <c r="AO535" s="712"/>
      <c r="AP535" s="712"/>
      <c r="AQ535" s="712"/>
      <c r="AR535" s="712"/>
      <c r="AS535" s="712"/>
      <c r="AT535" s="712"/>
      <c r="AU535" s="712"/>
      <c r="AV535" s="712"/>
      <c r="AW535" s="712"/>
      <c r="AX535" s="712"/>
      <c r="AY535" s="712"/>
    </row>
    <row r="536">
      <c r="T536" s="434"/>
      <c r="U536" s="438"/>
      <c r="V536" s="438"/>
      <c r="W536" s="438"/>
      <c r="X536" s="438"/>
      <c r="Y536" s="438"/>
      <c r="Z536" s="438"/>
      <c r="AA536" s="438"/>
      <c r="AB536" s="438"/>
      <c r="AC536" s="438"/>
      <c r="AD536" s="438"/>
      <c r="AE536" s="438"/>
      <c r="AF536" s="438"/>
      <c r="AG536" s="712"/>
      <c r="AH536" s="712"/>
      <c r="AI536" s="712"/>
      <c r="AJ536" s="712"/>
      <c r="AK536" s="712"/>
      <c r="AL536" s="712"/>
      <c r="AM536" s="712"/>
      <c r="AN536" s="712"/>
      <c r="AO536" s="712"/>
      <c r="AP536" s="712"/>
      <c r="AQ536" s="712"/>
      <c r="AR536" s="712"/>
      <c r="AS536" s="712"/>
      <c r="AT536" s="712"/>
      <c r="AU536" s="712"/>
      <c r="AV536" s="712"/>
      <c r="AW536" s="712"/>
      <c r="AX536" s="712"/>
      <c r="AY536" s="712"/>
    </row>
    <row r="537">
      <c r="T537" s="434"/>
      <c r="U537" s="438"/>
      <c r="V537" s="438"/>
      <c r="W537" s="438"/>
      <c r="X537" s="438"/>
      <c r="Y537" s="438"/>
      <c r="Z537" s="438"/>
      <c r="AA537" s="438"/>
      <c r="AB537" s="438"/>
      <c r="AC537" s="438"/>
      <c r="AD537" s="438"/>
      <c r="AE537" s="438"/>
      <c r="AF537" s="438"/>
      <c r="AG537" s="712"/>
      <c r="AH537" s="712"/>
      <c r="AI537" s="712"/>
      <c r="AJ537" s="712"/>
      <c r="AK537" s="712"/>
      <c r="AL537" s="712"/>
      <c r="AM537" s="712"/>
      <c r="AN537" s="712"/>
      <c r="AO537" s="712"/>
      <c r="AP537" s="712"/>
      <c r="AQ537" s="712"/>
      <c r="AR537" s="712"/>
      <c r="AS537" s="712"/>
      <c r="AT537" s="712"/>
      <c r="AU537" s="712"/>
      <c r="AV537" s="712"/>
      <c r="AW537" s="712"/>
      <c r="AX537" s="712"/>
      <c r="AY537" s="712"/>
    </row>
    <row r="538">
      <c r="T538" s="434"/>
      <c r="U538" s="438"/>
      <c r="V538" s="438"/>
      <c r="W538" s="438"/>
      <c r="X538" s="438"/>
      <c r="Y538" s="438"/>
      <c r="Z538" s="438"/>
      <c r="AA538" s="438"/>
      <c r="AB538" s="438"/>
      <c r="AC538" s="438"/>
      <c r="AD538" s="438"/>
      <c r="AE538" s="438"/>
      <c r="AF538" s="438"/>
      <c r="AG538" s="712"/>
      <c r="AH538" s="712"/>
      <c r="AI538" s="712"/>
      <c r="AJ538" s="712"/>
      <c r="AK538" s="712"/>
      <c r="AL538" s="712"/>
      <c r="AM538" s="712"/>
      <c r="AN538" s="712"/>
      <c r="AO538" s="712"/>
      <c r="AP538" s="712"/>
      <c r="AQ538" s="712"/>
      <c r="AR538" s="712"/>
      <c r="AS538" s="712"/>
      <c r="AT538" s="712"/>
      <c r="AU538" s="712"/>
      <c r="AV538" s="712"/>
      <c r="AW538" s="712"/>
      <c r="AX538" s="712"/>
      <c r="AY538" s="712"/>
    </row>
    <row r="539">
      <c r="T539" s="434"/>
      <c r="U539" s="438"/>
      <c r="V539" s="438"/>
      <c r="W539" s="438"/>
      <c r="X539" s="438"/>
      <c r="Y539" s="438"/>
      <c r="Z539" s="438"/>
      <c r="AA539" s="438"/>
      <c r="AB539" s="438"/>
      <c r="AC539" s="438"/>
      <c r="AD539" s="438"/>
      <c r="AE539" s="438"/>
      <c r="AF539" s="438"/>
      <c r="AG539" s="712"/>
      <c r="AH539" s="712"/>
      <c r="AI539" s="712"/>
      <c r="AJ539" s="712"/>
      <c r="AK539" s="712"/>
      <c r="AL539" s="712"/>
      <c r="AM539" s="712"/>
      <c r="AN539" s="712"/>
      <c r="AO539" s="712"/>
      <c r="AP539" s="712"/>
      <c r="AQ539" s="712"/>
      <c r="AR539" s="712"/>
      <c r="AS539" s="712"/>
      <c r="AT539" s="712"/>
      <c r="AU539" s="712"/>
      <c r="AV539" s="712"/>
      <c r="AW539" s="712"/>
      <c r="AX539" s="712"/>
      <c r="AY539" s="712"/>
    </row>
    <row r="540">
      <c r="T540" s="434"/>
      <c r="U540" s="438"/>
      <c r="V540" s="438"/>
      <c r="W540" s="438"/>
      <c r="X540" s="438"/>
      <c r="Y540" s="438"/>
      <c r="Z540" s="438"/>
      <c r="AA540" s="438"/>
      <c r="AB540" s="438"/>
      <c r="AC540" s="438"/>
      <c r="AD540" s="438"/>
      <c r="AE540" s="438"/>
      <c r="AF540" s="438"/>
      <c r="AG540" s="712"/>
      <c r="AH540" s="712"/>
      <c r="AI540" s="712"/>
      <c r="AJ540" s="712"/>
      <c r="AK540" s="712"/>
      <c r="AL540" s="712"/>
      <c r="AM540" s="712"/>
      <c r="AN540" s="712"/>
      <c r="AO540" s="712"/>
      <c r="AP540" s="712"/>
      <c r="AQ540" s="712"/>
      <c r="AR540" s="712"/>
      <c r="AS540" s="712"/>
      <c r="AT540" s="712"/>
      <c r="AU540" s="712"/>
      <c r="AV540" s="712"/>
      <c r="AW540" s="712"/>
      <c r="AX540" s="712"/>
      <c r="AY540" s="712"/>
    </row>
    <row r="541">
      <c r="T541" s="434"/>
      <c r="U541" s="438"/>
      <c r="V541" s="438"/>
      <c r="W541" s="438"/>
      <c r="X541" s="438"/>
      <c r="Y541" s="438"/>
      <c r="Z541" s="438"/>
      <c r="AA541" s="438"/>
      <c r="AB541" s="438"/>
      <c r="AC541" s="438"/>
      <c r="AD541" s="438"/>
      <c r="AE541" s="438"/>
      <c r="AF541" s="438"/>
      <c r="AG541" s="712"/>
      <c r="AH541" s="712"/>
      <c r="AI541" s="712"/>
      <c r="AJ541" s="712"/>
      <c r="AK541" s="712"/>
      <c r="AL541" s="712"/>
      <c r="AM541" s="712"/>
      <c r="AN541" s="712"/>
      <c r="AO541" s="712"/>
      <c r="AP541" s="712"/>
      <c r="AQ541" s="712"/>
      <c r="AR541" s="712"/>
      <c r="AS541" s="712"/>
      <c r="AT541" s="712"/>
      <c r="AU541" s="712"/>
      <c r="AV541" s="712"/>
      <c r="AW541" s="712"/>
      <c r="AX541" s="712"/>
      <c r="AY541" s="712"/>
    </row>
    <row r="542">
      <c r="T542" s="434"/>
      <c r="U542" s="438"/>
      <c r="V542" s="438"/>
      <c r="W542" s="438"/>
      <c r="X542" s="438"/>
      <c r="Y542" s="438"/>
      <c r="Z542" s="438"/>
      <c r="AA542" s="438"/>
      <c r="AB542" s="438"/>
      <c r="AC542" s="438"/>
      <c r="AD542" s="438"/>
      <c r="AE542" s="438"/>
      <c r="AF542" s="438"/>
      <c r="AG542" s="712"/>
      <c r="AH542" s="712"/>
      <c r="AI542" s="712"/>
      <c r="AJ542" s="712"/>
      <c r="AK542" s="712"/>
      <c r="AL542" s="712"/>
      <c r="AM542" s="712"/>
      <c r="AN542" s="712"/>
      <c r="AO542" s="712"/>
      <c r="AP542" s="712"/>
      <c r="AQ542" s="712"/>
      <c r="AR542" s="712"/>
      <c r="AS542" s="712"/>
      <c r="AT542" s="712"/>
      <c r="AU542" s="712"/>
      <c r="AV542" s="712"/>
      <c r="AW542" s="712"/>
      <c r="AX542" s="712"/>
      <c r="AY542" s="712"/>
    </row>
    <row r="543">
      <c r="T543" s="434"/>
      <c r="U543" s="438"/>
      <c r="V543" s="438"/>
      <c r="W543" s="438"/>
      <c r="X543" s="438"/>
      <c r="Y543" s="438"/>
      <c r="Z543" s="438"/>
      <c r="AA543" s="438"/>
      <c r="AB543" s="438"/>
      <c r="AC543" s="438"/>
      <c r="AD543" s="438"/>
      <c r="AE543" s="438"/>
      <c r="AF543" s="438"/>
      <c r="AG543" s="712"/>
      <c r="AH543" s="712"/>
      <c r="AI543" s="712"/>
      <c r="AJ543" s="712"/>
      <c r="AK543" s="712"/>
      <c r="AL543" s="712"/>
      <c r="AM543" s="712"/>
      <c r="AN543" s="712"/>
      <c r="AO543" s="712"/>
      <c r="AP543" s="712"/>
      <c r="AQ543" s="712"/>
      <c r="AR543" s="712"/>
      <c r="AS543" s="712"/>
      <c r="AT543" s="712"/>
      <c r="AU543" s="712"/>
      <c r="AV543" s="712"/>
      <c r="AW543" s="712"/>
      <c r="AX543" s="712"/>
      <c r="AY543" s="712"/>
    </row>
    <row r="544">
      <c r="T544" s="434"/>
      <c r="U544" s="438"/>
      <c r="V544" s="438"/>
      <c r="W544" s="438"/>
      <c r="X544" s="438"/>
      <c r="Y544" s="438"/>
      <c r="Z544" s="438"/>
      <c r="AA544" s="438"/>
      <c r="AB544" s="438"/>
      <c r="AC544" s="438"/>
      <c r="AD544" s="438"/>
      <c r="AE544" s="438"/>
      <c r="AF544" s="438"/>
      <c r="AG544" s="712"/>
      <c r="AH544" s="712"/>
      <c r="AI544" s="712"/>
      <c r="AJ544" s="712"/>
      <c r="AK544" s="712"/>
      <c r="AL544" s="712"/>
      <c r="AM544" s="712"/>
      <c r="AN544" s="712"/>
      <c r="AO544" s="712"/>
      <c r="AP544" s="712"/>
      <c r="AQ544" s="712"/>
      <c r="AR544" s="712"/>
      <c r="AS544" s="712"/>
      <c r="AT544" s="712"/>
      <c r="AU544" s="712"/>
      <c r="AV544" s="712"/>
      <c r="AW544" s="712"/>
      <c r="AX544" s="712"/>
      <c r="AY544" s="712"/>
    </row>
    <row r="545">
      <c r="T545" s="434"/>
      <c r="U545" s="438"/>
      <c r="V545" s="438"/>
      <c r="W545" s="438"/>
      <c r="X545" s="438"/>
      <c r="Y545" s="438"/>
      <c r="Z545" s="438"/>
      <c r="AA545" s="438"/>
      <c r="AB545" s="438"/>
      <c r="AC545" s="438"/>
      <c r="AD545" s="438"/>
      <c r="AE545" s="438"/>
      <c r="AF545" s="438"/>
      <c r="AG545" s="712"/>
      <c r="AH545" s="712"/>
      <c r="AI545" s="712"/>
      <c r="AJ545" s="712"/>
      <c r="AK545" s="712"/>
      <c r="AL545" s="712"/>
      <c r="AM545" s="712"/>
      <c r="AN545" s="712"/>
      <c r="AO545" s="712"/>
      <c r="AP545" s="712"/>
      <c r="AQ545" s="712"/>
      <c r="AR545" s="712"/>
      <c r="AS545" s="712"/>
      <c r="AT545" s="712"/>
      <c r="AU545" s="712"/>
      <c r="AV545" s="712"/>
      <c r="AW545" s="712"/>
      <c r="AX545" s="712"/>
      <c r="AY545" s="712"/>
    </row>
    <row r="546">
      <c r="T546" s="434"/>
      <c r="U546" s="438"/>
      <c r="V546" s="438"/>
      <c r="W546" s="438"/>
      <c r="X546" s="438"/>
      <c r="Y546" s="438"/>
      <c r="Z546" s="438"/>
      <c r="AA546" s="438"/>
      <c r="AB546" s="438"/>
      <c r="AC546" s="438"/>
      <c r="AD546" s="438"/>
      <c r="AE546" s="438"/>
      <c r="AF546" s="438"/>
      <c r="AG546" s="712"/>
      <c r="AH546" s="712"/>
      <c r="AI546" s="712"/>
      <c r="AJ546" s="712"/>
      <c r="AK546" s="712"/>
      <c r="AL546" s="712"/>
      <c r="AM546" s="712"/>
      <c r="AN546" s="712"/>
      <c r="AO546" s="712"/>
      <c r="AP546" s="712"/>
      <c r="AQ546" s="712"/>
      <c r="AR546" s="712"/>
      <c r="AS546" s="712"/>
      <c r="AT546" s="712"/>
      <c r="AU546" s="712"/>
      <c r="AV546" s="712"/>
      <c r="AW546" s="712"/>
      <c r="AX546" s="712"/>
      <c r="AY546" s="712"/>
    </row>
    <row r="547">
      <c r="T547" s="434"/>
      <c r="U547" s="438"/>
      <c r="V547" s="438"/>
      <c r="W547" s="438"/>
      <c r="X547" s="438"/>
      <c r="Y547" s="438"/>
      <c r="Z547" s="438"/>
      <c r="AA547" s="438"/>
      <c r="AB547" s="438"/>
      <c r="AC547" s="438"/>
      <c r="AD547" s="438"/>
      <c r="AE547" s="438"/>
      <c r="AF547" s="438"/>
      <c r="AG547" s="712"/>
      <c r="AH547" s="712"/>
      <c r="AI547" s="712"/>
      <c r="AJ547" s="712"/>
      <c r="AK547" s="712"/>
      <c r="AL547" s="712"/>
      <c r="AM547" s="712"/>
      <c r="AN547" s="712"/>
      <c r="AO547" s="712"/>
      <c r="AP547" s="712"/>
      <c r="AQ547" s="712"/>
      <c r="AR547" s="712"/>
      <c r="AS547" s="712"/>
      <c r="AT547" s="712"/>
      <c r="AU547" s="712"/>
      <c r="AV547" s="712"/>
      <c r="AW547" s="712"/>
      <c r="AX547" s="712"/>
      <c r="AY547" s="712"/>
    </row>
    <row r="548">
      <c r="T548" s="434"/>
      <c r="U548" s="438"/>
      <c r="V548" s="438"/>
      <c r="W548" s="438"/>
      <c r="X548" s="438"/>
      <c r="Y548" s="438"/>
      <c r="Z548" s="438"/>
      <c r="AA548" s="438"/>
      <c r="AB548" s="438"/>
      <c r="AC548" s="438"/>
      <c r="AD548" s="438"/>
      <c r="AE548" s="438"/>
      <c r="AF548" s="438"/>
      <c r="AG548" s="712"/>
      <c r="AH548" s="712"/>
      <c r="AI548" s="712"/>
      <c r="AJ548" s="712"/>
      <c r="AK548" s="712"/>
      <c r="AL548" s="712"/>
      <c r="AM548" s="712"/>
      <c r="AN548" s="712"/>
      <c r="AO548" s="712"/>
      <c r="AP548" s="712"/>
      <c r="AQ548" s="712"/>
      <c r="AR548" s="712"/>
      <c r="AS548" s="712"/>
      <c r="AT548" s="712"/>
      <c r="AU548" s="712"/>
      <c r="AV548" s="712"/>
      <c r="AW548" s="712"/>
      <c r="AX548" s="712"/>
      <c r="AY548" s="712"/>
    </row>
    <row r="549">
      <c r="T549" s="434"/>
      <c r="U549" s="438"/>
      <c r="V549" s="438"/>
      <c r="W549" s="438"/>
      <c r="X549" s="438"/>
      <c r="Y549" s="438"/>
      <c r="Z549" s="438"/>
      <c r="AA549" s="438"/>
      <c r="AB549" s="438"/>
      <c r="AC549" s="438"/>
      <c r="AD549" s="438"/>
      <c r="AE549" s="438"/>
      <c r="AF549" s="438"/>
      <c r="AG549" s="712"/>
      <c r="AH549" s="712"/>
      <c r="AI549" s="712"/>
      <c r="AJ549" s="712"/>
      <c r="AK549" s="712"/>
      <c r="AL549" s="712"/>
      <c r="AM549" s="712"/>
      <c r="AN549" s="712"/>
      <c r="AO549" s="712"/>
      <c r="AP549" s="712"/>
      <c r="AQ549" s="712"/>
      <c r="AR549" s="712"/>
      <c r="AS549" s="712"/>
      <c r="AT549" s="712"/>
      <c r="AU549" s="712"/>
      <c r="AV549" s="712"/>
      <c r="AW549" s="712"/>
      <c r="AX549" s="712"/>
      <c r="AY549" s="712"/>
    </row>
    <row r="550">
      <c r="T550" s="434"/>
      <c r="U550" s="438"/>
      <c r="V550" s="438"/>
      <c r="W550" s="438"/>
      <c r="X550" s="438"/>
      <c r="Y550" s="438"/>
      <c r="Z550" s="438"/>
      <c r="AA550" s="438"/>
      <c r="AB550" s="438"/>
      <c r="AC550" s="438"/>
      <c r="AD550" s="438"/>
      <c r="AE550" s="438"/>
      <c r="AF550" s="438"/>
      <c r="AG550" s="712"/>
      <c r="AH550" s="712"/>
      <c r="AI550" s="712"/>
      <c r="AJ550" s="712"/>
      <c r="AK550" s="712"/>
      <c r="AL550" s="712"/>
      <c r="AM550" s="712"/>
      <c r="AN550" s="712"/>
      <c r="AO550" s="712"/>
      <c r="AP550" s="712"/>
      <c r="AQ550" s="712"/>
      <c r="AR550" s="712"/>
      <c r="AS550" s="712"/>
      <c r="AT550" s="712"/>
      <c r="AU550" s="712"/>
      <c r="AV550" s="712"/>
      <c r="AW550" s="712"/>
      <c r="AX550" s="712"/>
      <c r="AY550" s="712"/>
    </row>
    <row r="551">
      <c r="T551" s="434"/>
      <c r="U551" s="438"/>
      <c r="V551" s="438"/>
      <c r="W551" s="438"/>
      <c r="X551" s="438"/>
      <c r="Y551" s="438"/>
      <c r="Z551" s="438"/>
      <c r="AA551" s="438"/>
      <c r="AB551" s="438"/>
      <c r="AC551" s="438"/>
      <c r="AD551" s="438"/>
      <c r="AE551" s="438"/>
      <c r="AF551" s="438"/>
      <c r="AG551" s="712"/>
      <c r="AH551" s="712"/>
      <c r="AI551" s="712"/>
      <c r="AJ551" s="712"/>
      <c r="AK551" s="712"/>
      <c r="AL551" s="712"/>
      <c r="AM551" s="712"/>
      <c r="AN551" s="712"/>
      <c r="AO551" s="712"/>
      <c r="AP551" s="712"/>
      <c r="AQ551" s="712"/>
      <c r="AR551" s="712"/>
      <c r="AS551" s="712"/>
      <c r="AT551" s="712"/>
      <c r="AU551" s="712"/>
      <c r="AV551" s="712"/>
      <c r="AW551" s="712"/>
      <c r="AX551" s="712"/>
      <c r="AY551" s="712"/>
    </row>
    <row r="552">
      <c r="T552" s="434"/>
      <c r="U552" s="438"/>
      <c r="V552" s="438"/>
      <c r="W552" s="438"/>
      <c r="X552" s="438"/>
      <c r="Y552" s="438"/>
      <c r="Z552" s="438"/>
      <c r="AA552" s="438"/>
      <c r="AB552" s="438"/>
      <c r="AC552" s="438"/>
      <c r="AD552" s="438"/>
      <c r="AE552" s="438"/>
      <c r="AF552" s="438"/>
      <c r="AG552" s="712"/>
      <c r="AH552" s="712"/>
      <c r="AI552" s="712"/>
      <c r="AJ552" s="712"/>
      <c r="AK552" s="712"/>
      <c r="AL552" s="712"/>
      <c r="AM552" s="712"/>
      <c r="AN552" s="712"/>
      <c r="AO552" s="712"/>
      <c r="AP552" s="712"/>
      <c r="AQ552" s="712"/>
      <c r="AR552" s="712"/>
      <c r="AS552" s="712"/>
      <c r="AT552" s="712"/>
      <c r="AU552" s="712"/>
      <c r="AV552" s="712"/>
      <c r="AW552" s="712"/>
      <c r="AX552" s="712"/>
      <c r="AY552" s="712"/>
    </row>
    <row r="553">
      <c r="T553" s="434"/>
      <c r="U553" s="438"/>
      <c r="V553" s="438"/>
      <c r="W553" s="438"/>
      <c r="X553" s="438"/>
      <c r="Y553" s="438"/>
      <c r="Z553" s="438"/>
      <c r="AA553" s="438"/>
      <c r="AB553" s="438"/>
      <c r="AC553" s="438"/>
      <c r="AD553" s="438"/>
      <c r="AE553" s="438"/>
      <c r="AF553" s="438"/>
      <c r="AG553" s="712"/>
      <c r="AH553" s="712"/>
      <c r="AI553" s="712"/>
      <c r="AJ553" s="712"/>
      <c r="AK553" s="712"/>
      <c r="AL553" s="712"/>
      <c r="AM553" s="712"/>
      <c r="AN553" s="712"/>
      <c r="AO553" s="712"/>
      <c r="AP553" s="712"/>
      <c r="AQ553" s="712"/>
      <c r="AR553" s="712"/>
      <c r="AS553" s="712"/>
      <c r="AT553" s="712"/>
      <c r="AU553" s="712"/>
      <c r="AV553" s="712"/>
      <c r="AW553" s="712"/>
      <c r="AX553" s="712"/>
      <c r="AY553" s="712"/>
    </row>
    <row r="554">
      <c r="T554" s="434"/>
      <c r="U554" s="438"/>
      <c r="V554" s="438"/>
      <c r="W554" s="438"/>
      <c r="X554" s="438"/>
      <c r="Y554" s="438"/>
      <c r="Z554" s="438"/>
      <c r="AA554" s="438"/>
      <c r="AB554" s="438"/>
      <c r="AC554" s="438"/>
      <c r="AD554" s="438"/>
      <c r="AE554" s="438"/>
      <c r="AF554" s="438"/>
      <c r="AG554" s="712"/>
      <c r="AH554" s="712"/>
      <c r="AI554" s="712"/>
      <c r="AJ554" s="712"/>
      <c r="AK554" s="712"/>
      <c r="AL554" s="712"/>
      <c r="AM554" s="712"/>
      <c r="AN554" s="712"/>
      <c r="AO554" s="712"/>
      <c r="AP554" s="712"/>
      <c r="AQ554" s="712"/>
      <c r="AR554" s="712"/>
      <c r="AS554" s="712"/>
      <c r="AT554" s="712"/>
      <c r="AU554" s="712"/>
      <c r="AV554" s="712"/>
      <c r="AW554" s="712"/>
      <c r="AX554" s="712"/>
      <c r="AY554" s="712"/>
    </row>
    <row r="555">
      <c r="T555" s="434"/>
      <c r="U555" s="438"/>
      <c r="V555" s="438"/>
      <c r="W555" s="438"/>
      <c r="X555" s="438"/>
      <c r="Y555" s="438"/>
      <c r="Z555" s="438"/>
      <c r="AA555" s="438"/>
      <c r="AB555" s="438"/>
      <c r="AC555" s="438"/>
      <c r="AD555" s="438"/>
      <c r="AE555" s="438"/>
      <c r="AF555" s="438"/>
      <c r="AG555" s="712"/>
      <c r="AH555" s="712"/>
      <c r="AI555" s="712"/>
      <c r="AJ555" s="712"/>
      <c r="AK555" s="712"/>
      <c r="AL555" s="712"/>
      <c r="AM555" s="712"/>
      <c r="AN555" s="712"/>
      <c r="AO555" s="712"/>
      <c r="AP555" s="712"/>
      <c r="AQ555" s="712"/>
      <c r="AR555" s="712"/>
      <c r="AS555" s="712"/>
      <c r="AT555" s="712"/>
      <c r="AU555" s="712"/>
      <c r="AV555" s="712"/>
      <c r="AW555" s="712"/>
      <c r="AX555" s="712"/>
      <c r="AY555" s="712"/>
    </row>
    <row r="556">
      <c r="T556" s="434"/>
      <c r="U556" s="438"/>
      <c r="V556" s="438"/>
      <c r="W556" s="438"/>
      <c r="X556" s="438"/>
      <c r="Y556" s="438"/>
      <c r="Z556" s="438"/>
      <c r="AA556" s="438"/>
      <c r="AB556" s="438"/>
      <c r="AC556" s="438"/>
      <c r="AD556" s="438"/>
      <c r="AE556" s="438"/>
      <c r="AF556" s="438"/>
      <c r="AG556" s="712"/>
      <c r="AH556" s="712"/>
      <c r="AI556" s="712"/>
      <c r="AJ556" s="712"/>
      <c r="AK556" s="712"/>
      <c r="AL556" s="712"/>
      <c r="AM556" s="712"/>
      <c r="AN556" s="712"/>
      <c r="AO556" s="712"/>
      <c r="AP556" s="712"/>
      <c r="AQ556" s="712"/>
      <c r="AR556" s="712"/>
      <c r="AS556" s="712"/>
      <c r="AT556" s="712"/>
      <c r="AU556" s="712"/>
      <c r="AV556" s="712"/>
      <c r="AW556" s="712"/>
      <c r="AX556" s="712"/>
      <c r="AY556" s="712"/>
    </row>
    <row r="557">
      <c r="T557" s="434"/>
      <c r="U557" s="438"/>
      <c r="V557" s="438"/>
      <c r="W557" s="438"/>
      <c r="X557" s="438"/>
      <c r="Y557" s="438"/>
      <c r="Z557" s="438"/>
      <c r="AA557" s="438"/>
      <c r="AB557" s="438"/>
      <c r="AC557" s="438"/>
      <c r="AD557" s="438"/>
      <c r="AE557" s="438"/>
      <c r="AF557" s="438"/>
      <c r="AG557" s="712"/>
      <c r="AH557" s="712"/>
      <c r="AI557" s="712"/>
      <c r="AJ557" s="712"/>
      <c r="AK557" s="712"/>
      <c r="AL557" s="712"/>
      <c r="AM557" s="712"/>
      <c r="AN557" s="712"/>
      <c r="AO557" s="712"/>
      <c r="AP557" s="712"/>
      <c r="AQ557" s="712"/>
      <c r="AR557" s="712"/>
      <c r="AS557" s="712"/>
      <c r="AT557" s="712"/>
      <c r="AU557" s="712"/>
      <c r="AV557" s="712"/>
      <c r="AW557" s="712"/>
      <c r="AX557" s="712"/>
      <c r="AY557" s="712"/>
    </row>
    <row r="558">
      <c r="T558" s="434"/>
      <c r="U558" s="438"/>
      <c r="V558" s="438"/>
      <c r="W558" s="438"/>
      <c r="X558" s="438"/>
      <c r="Y558" s="438"/>
      <c r="Z558" s="438"/>
      <c r="AA558" s="438"/>
      <c r="AB558" s="438"/>
      <c r="AC558" s="438"/>
      <c r="AD558" s="438"/>
      <c r="AE558" s="438"/>
      <c r="AF558" s="438"/>
      <c r="AG558" s="712"/>
      <c r="AH558" s="712"/>
      <c r="AI558" s="712"/>
      <c r="AJ558" s="712"/>
      <c r="AK558" s="712"/>
      <c r="AL558" s="712"/>
      <c r="AM558" s="712"/>
      <c r="AN558" s="712"/>
      <c r="AO558" s="712"/>
      <c r="AP558" s="712"/>
      <c r="AQ558" s="712"/>
      <c r="AR558" s="712"/>
      <c r="AS558" s="712"/>
      <c r="AT558" s="712"/>
      <c r="AU558" s="712"/>
      <c r="AV558" s="712"/>
      <c r="AW558" s="712"/>
      <c r="AX558" s="712"/>
      <c r="AY558" s="712"/>
    </row>
    <row r="559">
      <c r="T559" s="434"/>
      <c r="U559" s="438"/>
      <c r="V559" s="438"/>
      <c r="W559" s="438"/>
      <c r="X559" s="438"/>
      <c r="Y559" s="438"/>
      <c r="Z559" s="438"/>
      <c r="AA559" s="438"/>
      <c r="AB559" s="438"/>
      <c r="AC559" s="438"/>
      <c r="AD559" s="438"/>
      <c r="AE559" s="438"/>
      <c r="AF559" s="438"/>
      <c r="AG559" s="712"/>
      <c r="AH559" s="712"/>
      <c r="AI559" s="712"/>
      <c r="AJ559" s="712"/>
      <c r="AK559" s="712"/>
      <c r="AL559" s="712"/>
      <c r="AM559" s="712"/>
      <c r="AN559" s="712"/>
      <c r="AO559" s="712"/>
      <c r="AP559" s="712"/>
      <c r="AQ559" s="712"/>
      <c r="AR559" s="712"/>
      <c r="AS559" s="712"/>
      <c r="AT559" s="712"/>
      <c r="AU559" s="712"/>
      <c r="AV559" s="712"/>
      <c r="AW559" s="712"/>
      <c r="AX559" s="712"/>
      <c r="AY559" s="712"/>
    </row>
    <row r="560">
      <c r="T560" s="434"/>
      <c r="U560" s="438"/>
      <c r="V560" s="438"/>
      <c r="W560" s="438"/>
      <c r="X560" s="438"/>
      <c r="Y560" s="438"/>
      <c r="Z560" s="438"/>
      <c r="AA560" s="438"/>
      <c r="AB560" s="438"/>
      <c r="AC560" s="438"/>
      <c r="AD560" s="438"/>
      <c r="AE560" s="438"/>
      <c r="AF560" s="438"/>
      <c r="AG560" s="712"/>
      <c r="AH560" s="712"/>
      <c r="AI560" s="712"/>
      <c r="AJ560" s="712"/>
      <c r="AK560" s="712"/>
      <c r="AL560" s="712"/>
      <c r="AM560" s="712"/>
      <c r="AN560" s="712"/>
      <c r="AO560" s="712"/>
      <c r="AP560" s="712"/>
      <c r="AQ560" s="712"/>
      <c r="AR560" s="712"/>
      <c r="AS560" s="712"/>
      <c r="AT560" s="712"/>
      <c r="AU560" s="712"/>
      <c r="AV560" s="712"/>
      <c r="AW560" s="712"/>
      <c r="AX560" s="712"/>
      <c r="AY560" s="712"/>
    </row>
    <row r="561">
      <c r="T561" s="434"/>
      <c r="U561" s="438"/>
      <c r="V561" s="438"/>
      <c r="W561" s="438"/>
      <c r="X561" s="438"/>
      <c r="Y561" s="438"/>
      <c r="Z561" s="438"/>
      <c r="AA561" s="438"/>
      <c r="AB561" s="438"/>
      <c r="AC561" s="438"/>
      <c r="AD561" s="438"/>
      <c r="AE561" s="438"/>
      <c r="AF561" s="438"/>
      <c r="AG561" s="712"/>
      <c r="AH561" s="712"/>
      <c r="AI561" s="712"/>
      <c r="AJ561" s="712"/>
      <c r="AK561" s="712"/>
      <c r="AL561" s="712"/>
      <c r="AM561" s="712"/>
      <c r="AN561" s="712"/>
      <c r="AO561" s="712"/>
      <c r="AP561" s="712"/>
      <c r="AQ561" s="712"/>
      <c r="AR561" s="712"/>
      <c r="AS561" s="712"/>
      <c r="AT561" s="712"/>
      <c r="AU561" s="712"/>
      <c r="AV561" s="712"/>
      <c r="AW561" s="712"/>
      <c r="AX561" s="712"/>
      <c r="AY561" s="712"/>
    </row>
    <row r="562">
      <c r="T562" s="434"/>
      <c r="U562" s="438"/>
      <c r="V562" s="438"/>
      <c r="W562" s="438"/>
      <c r="X562" s="438"/>
      <c r="Y562" s="438"/>
      <c r="Z562" s="438"/>
      <c r="AA562" s="438"/>
      <c r="AB562" s="438"/>
      <c r="AC562" s="438"/>
      <c r="AD562" s="438"/>
      <c r="AE562" s="438"/>
      <c r="AF562" s="438"/>
      <c r="AG562" s="712"/>
      <c r="AH562" s="712"/>
      <c r="AI562" s="712"/>
      <c r="AJ562" s="712"/>
      <c r="AK562" s="712"/>
      <c r="AL562" s="712"/>
      <c r="AM562" s="712"/>
      <c r="AN562" s="712"/>
      <c r="AO562" s="712"/>
      <c r="AP562" s="712"/>
      <c r="AQ562" s="712"/>
      <c r="AR562" s="712"/>
      <c r="AS562" s="712"/>
      <c r="AT562" s="712"/>
      <c r="AU562" s="712"/>
      <c r="AV562" s="712"/>
      <c r="AW562" s="712"/>
      <c r="AX562" s="712"/>
      <c r="AY562" s="712"/>
    </row>
    <row r="563">
      <c r="T563" s="434"/>
      <c r="U563" s="438"/>
      <c r="V563" s="438"/>
      <c r="W563" s="438"/>
      <c r="X563" s="438"/>
      <c r="Y563" s="438"/>
      <c r="Z563" s="438"/>
      <c r="AA563" s="438"/>
      <c r="AB563" s="438"/>
      <c r="AC563" s="438"/>
      <c r="AD563" s="438"/>
      <c r="AE563" s="438"/>
      <c r="AF563" s="438"/>
      <c r="AG563" s="712"/>
      <c r="AH563" s="712"/>
      <c r="AI563" s="712"/>
      <c r="AJ563" s="712"/>
      <c r="AK563" s="712"/>
      <c r="AL563" s="712"/>
      <c r="AM563" s="712"/>
      <c r="AN563" s="712"/>
      <c r="AO563" s="712"/>
      <c r="AP563" s="712"/>
      <c r="AQ563" s="712"/>
      <c r="AR563" s="712"/>
      <c r="AS563" s="712"/>
      <c r="AT563" s="712"/>
      <c r="AU563" s="712"/>
      <c r="AV563" s="712"/>
      <c r="AW563" s="712"/>
      <c r="AX563" s="712"/>
      <c r="AY563" s="712"/>
    </row>
    <row r="564">
      <c r="T564" s="434"/>
      <c r="U564" s="438"/>
      <c r="V564" s="438"/>
      <c r="W564" s="438"/>
      <c r="X564" s="438"/>
      <c r="Y564" s="438"/>
      <c r="Z564" s="438"/>
      <c r="AA564" s="438"/>
      <c r="AB564" s="438"/>
      <c r="AC564" s="438"/>
      <c r="AD564" s="438"/>
      <c r="AE564" s="438"/>
      <c r="AF564" s="438"/>
      <c r="AG564" s="712"/>
      <c r="AH564" s="712"/>
      <c r="AI564" s="712"/>
      <c r="AJ564" s="712"/>
      <c r="AK564" s="712"/>
      <c r="AL564" s="712"/>
      <c r="AM564" s="712"/>
      <c r="AN564" s="712"/>
      <c r="AO564" s="712"/>
      <c r="AP564" s="712"/>
      <c r="AQ564" s="712"/>
      <c r="AR564" s="712"/>
      <c r="AS564" s="712"/>
      <c r="AT564" s="712"/>
      <c r="AU564" s="712"/>
      <c r="AV564" s="712"/>
      <c r="AW564" s="712"/>
      <c r="AX564" s="712"/>
      <c r="AY564" s="712"/>
    </row>
    <row r="565">
      <c r="T565" s="434"/>
      <c r="U565" s="438"/>
      <c r="V565" s="438"/>
      <c r="W565" s="438"/>
      <c r="X565" s="438"/>
      <c r="Y565" s="438"/>
      <c r="Z565" s="438"/>
      <c r="AA565" s="438"/>
      <c r="AB565" s="438"/>
      <c r="AC565" s="438"/>
      <c r="AD565" s="438"/>
      <c r="AE565" s="438"/>
      <c r="AF565" s="438"/>
      <c r="AG565" s="712"/>
      <c r="AH565" s="712"/>
      <c r="AI565" s="712"/>
      <c r="AJ565" s="712"/>
      <c r="AK565" s="712"/>
      <c r="AL565" s="712"/>
      <c r="AM565" s="712"/>
      <c r="AN565" s="712"/>
      <c r="AO565" s="712"/>
      <c r="AP565" s="712"/>
      <c r="AQ565" s="712"/>
      <c r="AR565" s="712"/>
      <c r="AS565" s="712"/>
      <c r="AT565" s="712"/>
      <c r="AU565" s="712"/>
      <c r="AV565" s="712"/>
      <c r="AW565" s="712"/>
      <c r="AX565" s="712"/>
      <c r="AY565" s="712"/>
    </row>
    <row r="566">
      <c r="T566" s="434"/>
      <c r="U566" s="438"/>
      <c r="V566" s="438"/>
      <c r="W566" s="438"/>
      <c r="X566" s="438"/>
      <c r="Y566" s="438"/>
      <c r="Z566" s="438"/>
      <c r="AA566" s="438"/>
      <c r="AB566" s="438"/>
      <c r="AC566" s="438"/>
      <c r="AD566" s="438"/>
      <c r="AE566" s="438"/>
      <c r="AF566" s="438"/>
      <c r="AG566" s="712"/>
      <c r="AH566" s="712"/>
      <c r="AI566" s="712"/>
      <c r="AJ566" s="712"/>
      <c r="AK566" s="712"/>
      <c r="AL566" s="712"/>
      <c r="AM566" s="712"/>
      <c r="AN566" s="712"/>
      <c r="AO566" s="712"/>
      <c r="AP566" s="712"/>
      <c r="AQ566" s="712"/>
      <c r="AR566" s="712"/>
      <c r="AS566" s="712"/>
      <c r="AT566" s="712"/>
      <c r="AU566" s="712"/>
      <c r="AV566" s="712"/>
      <c r="AW566" s="712"/>
      <c r="AX566" s="712"/>
      <c r="AY566" s="712"/>
    </row>
    <row r="567">
      <c r="T567" s="434"/>
      <c r="U567" s="438"/>
      <c r="V567" s="438"/>
      <c r="W567" s="438"/>
      <c r="X567" s="438"/>
      <c r="Y567" s="438"/>
      <c r="Z567" s="438"/>
      <c r="AA567" s="438"/>
      <c r="AB567" s="438"/>
      <c r="AC567" s="438"/>
      <c r="AD567" s="438"/>
      <c r="AE567" s="438"/>
      <c r="AF567" s="438"/>
      <c r="AG567" s="712"/>
      <c r="AH567" s="712"/>
      <c r="AI567" s="712"/>
      <c r="AJ567" s="712"/>
      <c r="AK567" s="712"/>
      <c r="AL567" s="712"/>
      <c r="AM567" s="712"/>
      <c r="AN567" s="712"/>
      <c r="AO567" s="712"/>
      <c r="AP567" s="712"/>
      <c r="AQ567" s="712"/>
      <c r="AR567" s="712"/>
      <c r="AS567" s="712"/>
      <c r="AT567" s="712"/>
      <c r="AU567" s="712"/>
      <c r="AV567" s="712"/>
      <c r="AW567" s="712"/>
      <c r="AX567" s="712"/>
      <c r="AY567" s="712"/>
    </row>
    <row r="568">
      <c r="T568" s="434"/>
      <c r="U568" s="438"/>
      <c r="V568" s="438"/>
      <c r="W568" s="438"/>
      <c r="X568" s="438"/>
      <c r="Y568" s="438"/>
      <c r="Z568" s="438"/>
      <c r="AA568" s="438"/>
      <c r="AB568" s="438"/>
      <c r="AC568" s="438"/>
      <c r="AD568" s="438"/>
      <c r="AE568" s="438"/>
      <c r="AF568" s="438"/>
      <c r="AG568" s="712"/>
      <c r="AH568" s="712"/>
      <c r="AI568" s="712"/>
      <c r="AJ568" s="712"/>
      <c r="AK568" s="712"/>
      <c r="AL568" s="712"/>
      <c r="AM568" s="712"/>
      <c r="AN568" s="712"/>
      <c r="AO568" s="712"/>
      <c r="AP568" s="712"/>
      <c r="AQ568" s="712"/>
      <c r="AR568" s="712"/>
      <c r="AS568" s="712"/>
      <c r="AT568" s="712"/>
      <c r="AU568" s="712"/>
      <c r="AV568" s="712"/>
      <c r="AW568" s="712"/>
      <c r="AX568" s="712"/>
      <c r="AY568" s="712"/>
    </row>
    <row r="569">
      <c r="T569" s="434"/>
      <c r="U569" s="438"/>
      <c r="V569" s="438"/>
      <c r="W569" s="438"/>
      <c r="X569" s="438"/>
      <c r="Y569" s="438"/>
      <c r="Z569" s="438"/>
      <c r="AA569" s="438"/>
      <c r="AB569" s="438"/>
      <c r="AC569" s="438"/>
      <c r="AD569" s="438"/>
      <c r="AE569" s="438"/>
      <c r="AF569" s="438"/>
      <c r="AG569" s="712"/>
      <c r="AH569" s="712"/>
      <c r="AI569" s="712"/>
      <c r="AJ569" s="712"/>
      <c r="AK569" s="712"/>
      <c r="AL569" s="712"/>
      <c r="AM569" s="712"/>
      <c r="AN569" s="712"/>
      <c r="AO569" s="712"/>
      <c r="AP569" s="712"/>
      <c r="AQ569" s="712"/>
      <c r="AR569" s="712"/>
      <c r="AS569" s="712"/>
      <c r="AT569" s="712"/>
      <c r="AU569" s="712"/>
      <c r="AV569" s="712"/>
      <c r="AW569" s="712"/>
      <c r="AX569" s="712"/>
      <c r="AY569" s="712"/>
    </row>
    <row r="570">
      <c r="T570" s="434"/>
      <c r="U570" s="438"/>
      <c r="V570" s="438"/>
      <c r="W570" s="438"/>
      <c r="X570" s="438"/>
      <c r="Y570" s="438"/>
      <c r="Z570" s="438"/>
      <c r="AA570" s="438"/>
      <c r="AB570" s="438"/>
      <c r="AC570" s="438"/>
      <c r="AD570" s="438"/>
      <c r="AE570" s="438"/>
      <c r="AF570" s="438"/>
      <c r="AG570" s="712"/>
      <c r="AH570" s="712"/>
      <c r="AI570" s="712"/>
      <c r="AJ570" s="712"/>
      <c r="AK570" s="712"/>
      <c r="AL570" s="712"/>
      <c r="AM570" s="712"/>
      <c r="AN570" s="712"/>
      <c r="AO570" s="712"/>
      <c r="AP570" s="712"/>
      <c r="AQ570" s="712"/>
      <c r="AR570" s="712"/>
      <c r="AS570" s="712"/>
      <c r="AT570" s="712"/>
      <c r="AU570" s="712"/>
      <c r="AV570" s="712"/>
      <c r="AW570" s="712"/>
      <c r="AX570" s="712"/>
      <c r="AY570" s="712"/>
    </row>
    <row r="571">
      <c r="T571" s="434"/>
      <c r="U571" s="438"/>
      <c r="V571" s="438"/>
      <c r="W571" s="438"/>
      <c r="X571" s="438"/>
      <c r="Y571" s="438"/>
      <c r="Z571" s="438"/>
      <c r="AA571" s="438"/>
      <c r="AB571" s="438"/>
      <c r="AC571" s="438"/>
      <c r="AD571" s="438"/>
      <c r="AE571" s="438"/>
      <c r="AF571" s="438"/>
      <c r="AG571" s="712"/>
      <c r="AH571" s="712"/>
      <c r="AI571" s="712"/>
      <c r="AJ571" s="712"/>
      <c r="AK571" s="712"/>
      <c r="AL571" s="712"/>
      <c r="AM571" s="712"/>
      <c r="AN571" s="712"/>
      <c r="AO571" s="712"/>
      <c r="AP571" s="712"/>
      <c r="AQ571" s="712"/>
      <c r="AR571" s="712"/>
      <c r="AS571" s="712"/>
      <c r="AT571" s="712"/>
      <c r="AU571" s="712"/>
      <c r="AV571" s="712"/>
      <c r="AW571" s="712"/>
      <c r="AX571" s="712"/>
      <c r="AY571" s="712"/>
    </row>
    <row r="572">
      <c r="T572" s="434"/>
      <c r="U572" s="438"/>
      <c r="V572" s="438"/>
      <c r="W572" s="438"/>
      <c r="X572" s="438"/>
      <c r="Y572" s="438"/>
      <c r="Z572" s="438"/>
      <c r="AA572" s="438"/>
      <c r="AB572" s="438"/>
      <c r="AC572" s="438"/>
      <c r="AD572" s="438"/>
      <c r="AE572" s="438"/>
      <c r="AF572" s="438"/>
      <c r="AG572" s="712"/>
      <c r="AH572" s="712"/>
      <c r="AI572" s="712"/>
      <c r="AJ572" s="712"/>
      <c r="AK572" s="712"/>
      <c r="AL572" s="712"/>
      <c r="AM572" s="712"/>
      <c r="AN572" s="712"/>
      <c r="AO572" s="712"/>
      <c r="AP572" s="712"/>
      <c r="AQ572" s="712"/>
      <c r="AR572" s="712"/>
      <c r="AS572" s="712"/>
      <c r="AT572" s="712"/>
      <c r="AU572" s="712"/>
      <c r="AV572" s="712"/>
      <c r="AW572" s="712"/>
      <c r="AX572" s="712"/>
      <c r="AY572" s="712"/>
    </row>
    <row r="573">
      <c r="T573" s="434"/>
      <c r="U573" s="438"/>
      <c r="V573" s="438"/>
      <c r="W573" s="438"/>
      <c r="X573" s="438"/>
      <c r="Y573" s="438"/>
      <c r="Z573" s="438"/>
      <c r="AA573" s="438"/>
      <c r="AB573" s="438"/>
      <c r="AC573" s="438"/>
      <c r="AD573" s="438"/>
      <c r="AE573" s="438"/>
      <c r="AF573" s="438"/>
      <c r="AG573" s="712"/>
      <c r="AH573" s="712"/>
      <c r="AI573" s="712"/>
      <c r="AJ573" s="712"/>
      <c r="AK573" s="712"/>
      <c r="AL573" s="712"/>
      <c r="AM573" s="712"/>
      <c r="AN573" s="712"/>
      <c r="AO573" s="712"/>
      <c r="AP573" s="712"/>
      <c r="AQ573" s="712"/>
      <c r="AR573" s="712"/>
      <c r="AS573" s="712"/>
      <c r="AT573" s="712"/>
      <c r="AU573" s="712"/>
      <c r="AV573" s="712"/>
      <c r="AW573" s="712"/>
      <c r="AX573" s="712"/>
      <c r="AY573" s="712"/>
    </row>
    <row r="574">
      <c r="T574" s="434"/>
      <c r="U574" s="438"/>
      <c r="V574" s="438"/>
      <c r="W574" s="438"/>
      <c r="X574" s="438"/>
      <c r="Y574" s="438"/>
      <c r="Z574" s="438"/>
      <c r="AA574" s="438"/>
      <c r="AB574" s="438"/>
      <c r="AC574" s="438"/>
      <c r="AD574" s="438"/>
      <c r="AE574" s="438"/>
      <c r="AF574" s="438"/>
      <c r="AG574" s="712"/>
      <c r="AH574" s="712"/>
      <c r="AI574" s="712"/>
      <c r="AJ574" s="712"/>
      <c r="AK574" s="712"/>
      <c r="AL574" s="712"/>
      <c r="AM574" s="712"/>
      <c r="AN574" s="712"/>
      <c r="AO574" s="712"/>
      <c r="AP574" s="712"/>
      <c r="AQ574" s="712"/>
      <c r="AR574" s="712"/>
      <c r="AS574" s="712"/>
      <c r="AT574" s="712"/>
      <c r="AU574" s="712"/>
      <c r="AV574" s="712"/>
      <c r="AW574" s="712"/>
      <c r="AX574" s="712"/>
      <c r="AY574" s="712"/>
    </row>
    <row r="575">
      <c r="T575" s="434"/>
      <c r="U575" s="438"/>
      <c r="V575" s="438"/>
      <c r="W575" s="438"/>
      <c r="X575" s="438"/>
      <c r="Y575" s="438"/>
      <c r="Z575" s="438"/>
      <c r="AA575" s="438"/>
      <c r="AB575" s="438"/>
      <c r="AC575" s="438"/>
      <c r="AD575" s="438"/>
      <c r="AE575" s="438"/>
      <c r="AF575" s="438"/>
      <c r="AG575" s="712"/>
      <c r="AH575" s="712"/>
      <c r="AI575" s="712"/>
      <c r="AJ575" s="712"/>
      <c r="AK575" s="712"/>
      <c r="AL575" s="712"/>
      <c r="AM575" s="712"/>
      <c r="AN575" s="712"/>
      <c r="AO575" s="712"/>
      <c r="AP575" s="712"/>
      <c r="AQ575" s="712"/>
      <c r="AR575" s="712"/>
      <c r="AS575" s="712"/>
      <c r="AT575" s="712"/>
      <c r="AU575" s="712"/>
      <c r="AV575" s="712"/>
      <c r="AW575" s="712"/>
      <c r="AX575" s="712"/>
      <c r="AY575" s="712"/>
    </row>
    <row r="576">
      <c r="T576" s="434"/>
      <c r="U576" s="438"/>
      <c r="V576" s="438"/>
      <c r="W576" s="438"/>
      <c r="X576" s="438"/>
      <c r="Y576" s="438"/>
      <c r="Z576" s="438"/>
      <c r="AA576" s="438"/>
      <c r="AB576" s="438"/>
      <c r="AC576" s="438"/>
      <c r="AD576" s="438"/>
      <c r="AE576" s="438"/>
      <c r="AF576" s="438"/>
      <c r="AG576" s="712"/>
      <c r="AH576" s="712"/>
      <c r="AI576" s="712"/>
      <c r="AJ576" s="712"/>
      <c r="AK576" s="712"/>
      <c r="AL576" s="712"/>
      <c r="AM576" s="712"/>
      <c r="AN576" s="712"/>
      <c r="AO576" s="712"/>
      <c r="AP576" s="712"/>
      <c r="AQ576" s="712"/>
      <c r="AR576" s="712"/>
      <c r="AS576" s="712"/>
      <c r="AT576" s="712"/>
      <c r="AU576" s="712"/>
      <c r="AV576" s="712"/>
      <c r="AW576" s="712"/>
      <c r="AX576" s="712"/>
      <c r="AY576" s="712"/>
    </row>
    <row r="577">
      <c r="T577" s="434"/>
      <c r="U577" s="438"/>
      <c r="V577" s="438"/>
      <c r="W577" s="438"/>
      <c r="X577" s="438"/>
      <c r="Y577" s="438"/>
      <c r="Z577" s="438"/>
      <c r="AA577" s="438"/>
      <c r="AB577" s="438"/>
      <c r="AC577" s="438"/>
      <c r="AD577" s="438"/>
      <c r="AE577" s="438"/>
      <c r="AF577" s="438"/>
      <c r="AG577" s="712"/>
      <c r="AH577" s="712"/>
      <c r="AI577" s="712"/>
      <c r="AJ577" s="712"/>
      <c r="AK577" s="712"/>
      <c r="AL577" s="712"/>
      <c r="AM577" s="712"/>
      <c r="AN577" s="712"/>
      <c r="AO577" s="712"/>
      <c r="AP577" s="712"/>
      <c r="AQ577" s="712"/>
      <c r="AR577" s="712"/>
      <c r="AS577" s="712"/>
      <c r="AT577" s="712"/>
      <c r="AU577" s="712"/>
      <c r="AV577" s="712"/>
      <c r="AW577" s="712"/>
      <c r="AX577" s="712"/>
      <c r="AY577" s="712"/>
    </row>
    <row r="578">
      <c r="T578" s="434"/>
      <c r="U578" s="438"/>
      <c r="V578" s="438"/>
      <c r="W578" s="438"/>
      <c r="X578" s="438"/>
      <c r="Y578" s="438"/>
      <c r="Z578" s="438"/>
      <c r="AA578" s="438"/>
      <c r="AB578" s="438"/>
      <c r="AC578" s="438"/>
      <c r="AD578" s="438"/>
      <c r="AE578" s="438"/>
      <c r="AF578" s="438"/>
      <c r="AG578" s="712"/>
      <c r="AH578" s="712"/>
      <c r="AI578" s="712"/>
      <c r="AJ578" s="712"/>
      <c r="AK578" s="712"/>
      <c r="AL578" s="712"/>
      <c r="AM578" s="712"/>
      <c r="AN578" s="712"/>
      <c r="AO578" s="712"/>
      <c r="AP578" s="712"/>
      <c r="AQ578" s="712"/>
      <c r="AR578" s="712"/>
      <c r="AS578" s="712"/>
      <c r="AT578" s="712"/>
      <c r="AU578" s="712"/>
      <c r="AV578" s="712"/>
      <c r="AW578" s="712"/>
      <c r="AX578" s="712"/>
      <c r="AY578" s="712"/>
    </row>
    <row r="579">
      <c r="T579" s="434"/>
      <c r="U579" s="438"/>
      <c r="V579" s="438"/>
      <c r="W579" s="438"/>
      <c r="X579" s="438"/>
      <c r="Y579" s="438"/>
      <c r="Z579" s="438"/>
      <c r="AA579" s="438"/>
      <c r="AB579" s="438"/>
      <c r="AC579" s="438"/>
      <c r="AD579" s="438"/>
      <c r="AE579" s="438"/>
      <c r="AF579" s="438"/>
      <c r="AG579" s="712"/>
      <c r="AH579" s="712"/>
      <c r="AI579" s="712"/>
      <c r="AJ579" s="712"/>
      <c r="AK579" s="712"/>
      <c r="AL579" s="712"/>
      <c r="AM579" s="712"/>
      <c r="AN579" s="712"/>
      <c r="AO579" s="712"/>
      <c r="AP579" s="712"/>
      <c r="AQ579" s="712"/>
      <c r="AR579" s="712"/>
      <c r="AS579" s="712"/>
      <c r="AT579" s="712"/>
      <c r="AU579" s="712"/>
      <c r="AV579" s="712"/>
      <c r="AW579" s="712"/>
      <c r="AX579" s="712"/>
      <c r="AY579" s="712"/>
    </row>
    <row r="580">
      <c r="T580" s="434"/>
      <c r="U580" s="438"/>
      <c r="V580" s="438"/>
      <c r="W580" s="438"/>
      <c r="X580" s="438"/>
      <c r="Y580" s="438"/>
      <c r="Z580" s="438"/>
      <c r="AA580" s="438"/>
      <c r="AB580" s="438"/>
      <c r="AC580" s="438"/>
      <c r="AD580" s="438"/>
      <c r="AE580" s="438"/>
      <c r="AF580" s="438"/>
      <c r="AG580" s="712"/>
      <c r="AH580" s="712"/>
      <c r="AI580" s="712"/>
      <c r="AJ580" s="712"/>
      <c r="AK580" s="712"/>
      <c r="AL580" s="712"/>
      <c r="AM580" s="712"/>
      <c r="AN580" s="712"/>
      <c r="AO580" s="712"/>
      <c r="AP580" s="712"/>
      <c r="AQ580" s="712"/>
      <c r="AR580" s="712"/>
      <c r="AS580" s="712"/>
      <c r="AT580" s="712"/>
      <c r="AU580" s="712"/>
      <c r="AV580" s="712"/>
      <c r="AW580" s="712"/>
      <c r="AX580" s="712"/>
      <c r="AY580" s="712"/>
    </row>
    <row r="581">
      <c r="T581" s="434"/>
      <c r="U581" s="438"/>
      <c r="V581" s="438"/>
      <c r="W581" s="438"/>
      <c r="X581" s="438"/>
      <c r="Y581" s="438"/>
      <c r="Z581" s="438"/>
      <c r="AA581" s="438"/>
      <c r="AB581" s="438"/>
      <c r="AC581" s="438"/>
      <c r="AD581" s="438"/>
      <c r="AE581" s="438"/>
      <c r="AF581" s="438"/>
      <c r="AG581" s="712"/>
      <c r="AH581" s="712"/>
      <c r="AI581" s="712"/>
      <c r="AJ581" s="712"/>
      <c r="AK581" s="712"/>
      <c r="AL581" s="712"/>
      <c r="AM581" s="712"/>
      <c r="AN581" s="712"/>
      <c r="AO581" s="712"/>
      <c r="AP581" s="712"/>
      <c r="AQ581" s="712"/>
      <c r="AR581" s="712"/>
      <c r="AS581" s="712"/>
      <c r="AT581" s="712"/>
      <c r="AU581" s="712"/>
      <c r="AV581" s="712"/>
      <c r="AW581" s="712"/>
      <c r="AX581" s="712"/>
      <c r="AY581" s="712"/>
    </row>
    <row r="582">
      <c r="T582" s="434"/>
      <c r="U582" s="438"/>
      <c r="V582" s="438"/>
      <c r="W582" s="438"/>
      <c r="X582" s="438"/>
      <c r="Y582" s="438"/>
      <c r="Z582" s="438"/>
      <c r="AA582" s="438"/>
      <c r="AB582" s="438"/>
      <c r="AC582" s="438"/>
      <c r="AD582" s="438"/>
      <c r="AE582" s="438"/>
      <c r="AF582" s="438"/>
      <c r="AG582" s="712"/>
      <c r="AH582" s="712"/>
      <c r="AI582" s="712"/>
      <c r="AJ582" s="712"/>
      <c r="AK582" s="712"/>
      <c r="AL582" s="712"/>
      <c r="AM582" s="712"/>
      <c r="AN582" s="712"/>
      <c r="AO582" s="712"/>
      <c r="AP582" s="712"/>
      <c r="AQ582" s="712"/>
      <c r="AR582" s="712"/>
      <c r="AS582" s="712"/>
      <c r="AT582" s="712"/>
      <c r="AU582" s="712"/>
      <c r="AV582" s="712"/>
      <c r="AW582" s="712"/>
      <c r="AX582" s="712"/>
      <c r="AY582" s="712"/>
    </row>
    <row r="583">
      <c r="T583" s="434"/>
      <c r="U583" s="438"/>
      <c r="V583" s="438"/>
      <c r="W583" s="438"/>
      <c r="X583" s="438"/>
      <c r="Y583" s="438"/>
      <c r="Z583" s="438"/>
      <c r="AA583" s="438"/>
      <c r="AB583" s="438"/>
      <c r="AC583" s="438"/>
      <c r="AD583" s="438"/>
      <c r="AE583" s="438"/>
      <c r="AF583" s="438"/>
      <c r="AG583" s="712"/>
      <c r="AH583" s="712"/>
      <c r="AI583" s="712"/>
      <c r="AJ583" s="712"/>
      <c r="AK583" s="712"/>
      <c r="AL583" s="712"/>
      <c r="AM583" s="712"/>
      <c r="AN583" s="712"/>
      <c r="AO583" s="712"/>
      <c r="AP583" s="712"/>
      <c r="AQ583" s="712"/>
      <c r="AR583" s="712"/>
      <c r="AS583" s="712"/>
      <c r="AT583" s="712"/>
      <c r="AU583" s="712"/>
      <c r="AV583" s="712"/>
      <c r="AW583" s="712"/>
      <c r="AX583" s="712"/>
      <c r="AY583" s="712"/>
    </row>
    <row r="584">
      <c r="T584" s="434"/>
      <c r="U584" s="438"/>
      <c r="V584" s="438"/>
      <c r="W584" s="438"/>
      <c r="X584" s="438"/>
      <c r="Y584" s="438"/>
      <c r="Z584" s="438"/>
      <c r="AA584" s="438"/>
      <c r="AB584" s="438"/>
      <c r="AC584" s="438"/>
      <c r="AD584" s="438"/>
      <c r="AE584" s="438"/>
      <c r="AF584" s="438"/>
      <c r="AG584" s="712"/>
      <c r="AH584" s="712"/>
      <c r="AI584" s="712"/>
      <c r="AJ584" s="712"/>
      <c r="AK584" s="712"/>
      <c r="AL584" s="712"/>
      <c r="AM584" s="712"/>
      <c r="AN584" s="712"/>
      <c r="AO584" s="712"/>
      <c r="AP584" s="712"/>
      <c r="AQ584" s="712"/>
      <c r="AR584" s="712"/>
      <c r="AS584" s="712"/>
      <c r="AT584" s="712"/>
      <c r="AU584" s="712"/>
      <c r="AV584" s="712"/>
      <c r="AW584" s="712"/>
      <c r="AX584" s="712"/>
      <c r="AY584" s="712"/>
    </row>
    <row r="585">
      <c r="T585" s="434"/>
      <c r="U585" s="438"/>
      <c r="V585" s="438"/>
      <c r="W585" s="438"/>
      <c r="X585" s="438"/>
      <c r="Y585" s="438"/>
      <c r="Z585" s="438"/>
      <c r="AA585" s="438"/>
      <c r="AB585" s="438"/>
      <c r="AC585" s="438"/>
      <c r="AD585" s="438"/>
      <c r="AE585" s="438"/>
      <c r="AF585" s="438"/>
      <c r="AG585" s="712"/>
      <c r="AH585" s="712"/>
      <c r="AI585" s="712"/>
      <c r="AJ585" s="712"/>
      <c r="AK585" s="712"/>
      <c r="AL585" s="712"/>
      <c r="AM585" s="712"/>
      <c r="AN585" s="712"/>
      <c r="AO585" s="712"/>
      <c r="AP585" s="712"/>
      <c r="AQ585" s="712"/>
      <c r="AR585" s="712"/>
      <c r="AS585" s="712"/>
      <c r="AT585" s="712"/>
      <c r="AU585" s="712"/>
      <c r="AV585" s="712"/>
      <c r="AW585" s="712"/>
      <c r="AX585" s="712"/>
      <c r="AY585" s="712"/>
    </row>
    <row r="586">
      <c r="T586" s="434"/>
      <c r="U586" s="438"/>
      <c r="V586" s="438"/>
      <c r="W586" s="438"/>
      <c r="X586" s="438"/>
      <c r="Y586" s="438"/>
      <c r="Z586" s="438"/>
      <c r="AA586" s="438"/>
      <c r="AB586" s="438"/>
      <c r="AC586" s="438"/>
      <c r="AD586" s="438"/>
      <c r="AE586" s="438"/>
      <c r="AF586" s="438"/>
      <c r="AG586" s="712"/>
      <c r="AH586" s="712"/>
      <c r="AI586" s="712"/>
      <c r="AJ586" s="712"/>
      <c r="AK586" s="712"/>
      <c r="AL586" s="712"/>
      <c r="AM586" s="712"/>
      <c r="AN586" s="712"/>
      <c r="AO586" s="712"/>
      <c r="AP586" s="712"/>
      <c r="AQ586" s="712"/>
      <c r="AR586" s="712"/>
      <c r="AS586" s="712"/>
      <c r="AT586" s="712"/>
      <c r="AU586" s="712"/>
      <c r="AV586" s="712"/>
      <c r="AW586" s="712"/>
      <c r="AX586" s="712"/>
      <c r="AY586" s="712"/>
    </row>
    <row r="587">
      <c r="T587" s="434"/>
      <c r="U587" s="438"/>
      <c r="V587" s="438"/>
      <c r="W587" s="438"/>
      <c r="X587" s="438"/>
      <c r="Y587" s="438"/>
      <c r="Z587" s="438"/>
      <c r="AA587" s="438"/>
      <c r="AB587" s="438"/>
      <c r="AC587" s="438"/>
      <c r="AD587" s="438"/>
      <c r="AE587" s="438"/>
      <c r="AF587" s="438"/>
      <c r="AG587" s="712"/>
      <c r="AH587" s="712"/>
      <c r="AI587" s="712"/>
      <c r="AJ587" s="712"/>
      <c r="AK587" s="712"/>
      <c r="AL587" s="712"/>
      <c r="AM587" s="712"/>
      <c r="AN587" s="712"/>
      <c r="AO587" s="712"/>
      <c r="AP587" s="712"/>
      <c r="AQ587" s="712"/>
      <c r="AR587" s="712"/>
      <c r="AS587" s="712"/>
      <c r="AT587" s="712"/>
      <c r="AU587" s="712"/>
      <c r="AV587" s="712"/>
      <c r="AW587" s="712"/>
      <c r="AX587" s="712"/>
      <c r="AY587" s="712"/>
    </row>
    <row r="588">
      <c r="T588" s="434"/>
      <c r="U588" s="438"/>
      <c r="V588" s="438"/>
      <c r="W588" s="438"/>
      <c r="X588" s="438"/>
      <c r="Y588" s="438"/>
      <c r="Z588" s="438"/>
      <c r="AA588" s="438"/>
      <c r="AB588" s="438"/>
      <c r="AC588" s="438"/>
      <c r="AD588" s="438"/>
      <c r="AE588" s="438"/>
      <c r="AF588" s="438"/>
      <c r="AG588" s="712"/>
      <c r="AH588" s="712"/>
      <c r="AI588" s="712"/>
      <c r="AJ588" s="712"/>
      <c r="AK588" s="712"/>
      <c r="AL588" s="712"/>
      <c r="AM588" s="712"/>
      <c r="AN588" s="712"/>
      <c r="AO588" s="712"/>
      <c r="AP588" s="712"/>
      <c r="AQ588" s="712"/>
      <c r="AR588" s="712"/>
      <c r="AS588" s="712"/>
      <c r="AT588" s="712"/>
      <c r="AU588" s="712"/>
      <c r="AV588" s="712"/>
      <c r="AW588" s="712"/>
      <c r="AX588" s="712"/>
      <c r="AY588" s="712"/>
    </row>
    <row r="589">
      <c r="T589" s="434"/>
      <c r="U589" s="438"/>
      <c r="V589" s="438"/>
      <c r="W589" s="438"/>
      <c r="X589" s="438"/>
      <c r="Y589" s="438"/>
      <c r="Z589" s="438"/>
      <c r="AA589" s="438"/>
      <c r="AB589" s="438"/>
      <c r="AC589" s="438"/>
      <c r="AD589" s="438"/>
      <c r="AE589" s="438"/>
      <c r="AF589" s="438"/>
      <c r="AG589" s="712"/>
      <c r="AH589" s="712"/>
      <c r="AI589" s="712"/>
      <c r="AJ589" s="712"/>
      <c r="AK589" s="712"/>
      <c r="AL589" s="712"/>
      <c r="AM589" s="712"/>
      <c r="AN589" s="712"/>
      <c r="AO589" s="712"/>
      <c r="AP589" s="712"/>
      <c r="AQ589" s="712"/>
      <c r="AR589" s="712"/>
      <c r="AS589" s="712"/>
      <c r="AT589" s="712"/>
      <c r="AU589" s="712"/>
      <c r="AV589" s="712"/>
      <c r="AW589" s="712"/>
      <c r="AX589" s="712"/>
      <c r="AY589" s="712"/>
    </row>
    <row r="590">
      <c r="T590" s="434"/>
      <c r="U590" s="438"/>
      <c r="V590" s="438"/>
      <c r="W590" s="438"/>
      <c r="X590" s="438"/>
      <c r="Y590" s="438"/>
      <c r="Z590" s="438"/>
      <c r="AA590" s="438"/>
      <c r="AB590" s="438"/>
      <c r="AC590" s="438"/>
      <c r="AD590" s="438"/>
      <c r="AE590" s="438"/>
      <c r="AF590" s="438"/>
      <c r="AG590" s="712"/>
      <c r="AH590" s="712"/>
      <c r="AI590" s="712"/>
      <c r="AJ590" s="712"/>
      <c r="AK590" s="712"/>
      <c r="AL590" s="712"/>
      <c r="AM590" s="712"/>
      <c r="AN590" s="712"/>
      <c r="AO590" s="712"/>
      <c r="AP590" s="712"/>
      <c r="AQ590" s="712"/>
      <c r="AR590" s="712"/>
      <c r="AS590" s="712"/>
      <c r="AT590" s="712"/>
      <c r="AU590" s="712"/>
      <c r="AV590" s="712"/>
      <c r="AW590" s="712"/>
      <c r="AX590" s="712"/>
      <c r="AY590" s="712"/>
    </row>
    <row r="591">
      <c r="T591" s="434"/>
      <c r="U591" s="438"/>
      <c r="V591" s="438"/>
      <c r="W591" s="438"/>
      <c r="X591" s="438"/>
      <c r="Y591" s="438"/>
      <c r="Z591" s="438"/>
      <c r="AA591" s="438"/>
      <c r="AB591" s="438"/>
      <c r="AC591" s="438"/>
      <c r="AD591" s="438"/>
      <c r="AE591" s="438"/>
      <c r="AF591" s="438"/>
      <c r="AG591" s="712"/>
      <c r="AH591" s="712"/>
      <c r="AI591" s="712"/>
      <c r="AJ591" s="712"/>
      <c r="AK591" s="712"/>
      <c r="AL591" s="712"/>
      <c r="AM591" s="712"/>
      <c r="AN591" s="712"/>
      <c r="AO591" s="712"/>
      <c r="AP591" s="712"/>
      <c r="AQ591" s="712"/>
      <c r="AR591" s="712"/>
      <c r="AS591" s="712"/>
      <c r="AT591" s="712"/>
      <c r="AU591" s="712"/>
      <c r="AV591" s="712"/>
      <c r="AW591" s="712"/>
      <c r="AX591" s="712"/>
      <c r="AY591" s="712"/>
    </row>
    <row r="592">
      <c r="T592" s="434"/>
      <c r="U592" s="438"/>
      <c r="V592" s="438"/>
      <c r="W592" s="438"/>
      <c r="X592" s="438"/>
      <c r="Y592" s="438"/>
      <c r="Z592" s="438"/>
      <c r="AA592" s="438"/>
      <c r="AB592" s="438"/>
      <c r="AC592" s="438"/>
      <c r="AD592" s="438"/>
      <c r="AE592" s="438"/>
      <c r="AF592" s="438"/>
      <c r="AG592" s="712"/>
      <c r="AH592" s="712"/>
      <c r="AI592" s="712"/>
      <c r="AJ592" s="712"/>
      <c r="AK592" s="712"/>
      <c r="AL592" s="712"/>
      <c r="AM592" s="712"/>
      <c r="AN592" s="712"/>
      <c r="AO592" s="712"/>
      <c r="AP592" s="712"/>
      <c r="AQ592" s="712"/>
      <c r="AR592" s="712"/>
      <c r="AS592" s="712"/>
      <c r="AT592" s="712"/>
      <c r="AU592" s="712"/>
      <c r="AV592" s="712"/>
      <c r="AW592" s="712"/>
      <c r="AX592" s="712"/>
      <c r="AY592" s="712"/>
    </row>
    <row r="593">
      <c r="T593" s="434"/>
      <c r="U593" s="438"/>
      <c r="V593" s="438"/>
      <c r="W593" s="438"/>
      <c r="X593" s="438"/>
      <c r="Y593" s="438"/>
      <c r="Z593" s="438"/>
      <c r="AA593" s="438"/>
      <c r="AB593" s="438"/>
      <c r="AC593" s="438"/>
      <c r="AD593" s="438"/>
      <c r="AE593" s="438"/>
      <c r="AF593" s="438"/>
      <c r="AG593" s="712"/>
      <c r="AH593" s="712"/>
      <c r="AI593" s="712"/>
      <c r="AJ593" s="712"/>
      <c r="AK593" s="712"/>
      <c r="AL593" s="712"/>
      <c r="AM593" s="712"/>
      <c r="AN593" s="712"/>
      <c r="AO593" s="712"/>
      <c r="AP593" s="712"/>
      <c r="AQ593" s="712"/>
      <c r="AR593" s="712"/>
      <c r="AS593" s="712"/>
      <c r="AT593" s="712"/>
      <c r="AU593" s="712"/>
      <c r="AV593" s="712"/>
      <c r="AW593" s="712"/>
      <c r="AX593" s="712"/>
      <c r="AY593" s="712"/>
    </row>
    <row r="594">
      <c r="T594" s="434"/>
      <c r="U594" s="438"/>
      <c r="V594" s="438"/>
      <c r="W594" s="438"/>
      <c r="X594" s="438"/>
      <c r="Y594" s="438"/>
      <c r="Z594" s="438"/>
      <c r="AA594" s="438"/>
      <c r="AB594" s="438"/>
      <c r="AC594" s="438"/>
      <c r="AD594" s="438"/>
      <c r="AE594" s="438"/>
      <c r="AF594" s="438"/>
      <c r="AG594" s="712"/>
      <c r="AH594" s="712"/>
      <c r="AI594" s="712"/>
      <c r="AJ594" s="712"/>
      <c r="AK594" s="712"/>
      <c r="AL594" s="712"/>
      <c r="AM594" s="712"/>
      <c r="AN594" s="712"/>
      <c r="AO594" s="712"/>
      <c r="AP594" s="712"/>
      <c r="AQ594" s="712"/>
      <c r="AR594" s="712"/>
      <c r="AS594" s="712"/>
      <c r="AT594" s="712"/>
      <c r="AU594" s="712"/>
      <c r="AV594" s="712"/>
      <c r="AW594" s="712"/>
      <c r="AX594" s="712"/>
      <c r="AY594" s="712"/>
    </row>
    <row r="595">
      <c r="T595" s="434"/>
      <c r="U595" s="438"/>
      <c r="V595" s="438"/>
      <c r="W595" s="438"/>
      <c r="X595" s="438"/>
      <c r="Y595" s="438"/>
      <c r="Z595" s="438"/>
      <c r="AA595" s="438"/>
      <c r="AB595" s="438"/>
      <c r="AC595" s="438"/>
      <c r="AD595" s="438"/>
      <c r="AE595" s="438"/>
      <c r="AF595" s="438"/>
      <c r="AG595" s="712"/>
      <c r="AH595" s="712"/>
      <c r="AI595" s="712"/>
      <c r="AJ595" s="712"/>
      <c r="AK595" s="712"/>
      <c r="AL595" s="712"/>
      <c r="AM595" s="712"/>
      <c r="AN595" s="712"/>
      <c r="AO595" s="712"/>
      <c r="AP595" s="712"/>
      <c r="AQ595" s="712"/>
      <c r="AR595" s="712"/>
      <c r="AS595" s="712"/>
      <c r="AT595" s="712"/>
      <c r="AU595" s="712"/>
      <c r="AV595" s="712"/>
      <c r="AW595" s="712"/>
      <c r="AX595" s="712"/>
      <c r="AY595" s="712"/>
    </row>
    <row r="596">
      <c r="T596" s="434"/>
      <c r="U596" s="438"/>
      <c r="V596" s="438"/>
      <c r="W596" s="438"/>
      <c r="X596" s="438"/>
      <c r="Y596" s="438"/>
      <c r="Z596" s="438"/>
      <c r="AA596" s="438"/>
      <c r="AB596" s="438"/>
      <c r="AC596" s="438"/>
      <c r="AD596" s="438"/>
      <c r="AE596" s="438"/>
      <c r="AF596" s="438"/>
      <c r="AG596" s="712"/>
      <c r="AH596" s="712"/>
      <c r="AI596" s="712"/>
      <c r="AJ596" s="712"/>
      <c r="AK596" s="712"/>
      <c r="AL596" s="712"/>
      <c r="AM596" s="712"/>
      <c r="AN596" s="712"/>
      <c r="AO596" s="712"/>
      <c r="AP596" s="712"/>
      <c r="AQ596" s="712"/>
      <c r="AR596" s="712"/>
      <c r="AS596" s="712"/>
      <c r="AT596" s="712"/>
      <c r="AU596" s="712"/>
      <c r="AV596" s="712"/>
      <c r="AW596" s="712"/>
      <c r="AX596" s="712"/>
      <c r="AY596" s="712"/>
    </row>
    <row r="597">
      <c r="T597" s="434"/>
      <c r="U597" s="438"/>
      <c r="V597" s="438"/>
      <c r="W597" s="438"/>
      <c r="X597" s="438"/>
      <c r="Y597" s="438"/>
      <c r="Z597" s="438"/>
      <c r="AA597" s="438"/>
      <c r="AB597" s="438"/>
      <c r="AC597" s="438"/>
      <c r="AD597" s="438"/>
      <c r="AE597" s="438"/>
      <c r="AF597" s="438"/>
      <c r="AG597" s="712"/>
      <c r="AH597" s="712"/>
      <c r="AI597" s="712"/>
      <c r="AJ597" s="712"/>
      <c r="AK597" s="712"/>
      <c r="AL597" s="712"/>
      <c r="AM597" s="712"/>
      <c r="AN597" s="712"/>
      <c r="AO597" s="712"/>
      <c r="AP597" s="712"/>
      <c r="AQ597" s="712"/>
      <c r="AR597" s="712"/>
      <c r="AS597" s="712"/>
      <c r="AT597" s="712"/>
      <c r="AU597" s="712"/>
      <c r="AV597" s="712"/>
      <c r="AW597" s="712"/>
      <c r="AX597" s="712"/>
      <c r="AY597" s="712"/>
    </row>
    <row r="598">
      <c r="T598" s="434"/>
      <c r="U598" s="438"/>
      <c r="V598" s="438"/>
      <c r="W598" s="438"/>
      <c r="X598" s="438"/>
      <c r="Y598" s="438"/>
      <c r="Z598" s="438"/>
      <c r="AA598" s="438"/>
      <c r="AB598" s="438"/>
      <c r="AC598" s="438"/>
      <c r="AD598" s="438"/>
      <c r="AE598" s="438"/>
      <c r="AF598" s="438"/>
      <c r="AG598" s="712"/>
      <c r="AH598" s="712"/>
      <c r="AI598" s="712"/>
      <c r="AJ598" s="712"/>
      <c r="AK598" s="712"/>
      <c r="AL598" s="712"/>
      <c r="AM598" s="712"/>
      <c r="AN598" s="712"/>
      <c r="AO598" s="712"/>
      <c r="AP598" s="712"/>
      <c r="AQ598" s="712"/>
      <c r="AR598" s="712"/>
      <c r="AS598" s="712"/>
      <c r="AT598" s="712"/>
      <c r="AU598" s="712"/>
      <c r="AV598" s="712"/>
      <c r="AW598" s="712"/>
      <c r="AX598" s="712"/>
      <c r="AY598" s="712"/>
    </row>
    <row r="599">
      <c r="T599" s="434"/>
      <c r="U599" s="438"/>
      <c r="V599" s="438"/>
      <c r="W599" s="438"/>
      <c r="X599" s="438"/>
      <c r="Y599" s="438"/>
      <c r="Z599" s="438"/>
      <c r="AA599" s="438"/>
      <c r="AB599" s="438"/>
      <c r="AC599" s="438"/>
      <c r="AD599" s="438"/>
      <c r="AE599" s="438"/>
      <c r="AF599" s="438"/>
      <c r="AG599" s="712"/>
      <c r="AH599" s="712"/>
      <c r="AI599" s="712"/>
      <c r="AJ599" s="712"/>
      <c r="AK599" s="712"/>
      <c r="AL599" s="712"/>
      <c r="AM599" s="712"/>
      <c r="AN599" s="712"/>
      <c r="AO599" s="712"/>
      <c r="AP599" s="712"/>
      <c r="AQ599" s="712"/>
      <c r="AR599" s="712"/>
      <c r="AS599" s="712"/>
      <c r="AT599" s="712"/>
      <c r="AU599" s="712"/>
      <c r="AV599" s="712"/>
      <c r="AW599" s="712"/>
      <c r="AX599" s="712"/>
      <c r="AY599" s="712"/>
    </row>
    <row r="600">
      <c r="T600" s="434"/>
      <c r="U600" s="438"/>
      <c r="V600" s="438"/>
      <c r="W600" s="438"/>
      <c r="X600" s="438"/>
      <c r="Y600" s="438"/>
      <c r="Z600" s="438"/>
      <c r="AA600" s="438"/>
      <c r="AB600" s="438"/>
      <c r="AC600" s="438"/>
      <c r="AD600" s="438"/>
      <c r="AE600" s="438"/>
      <c r="AF600" s="438"/>
      <c r="AG600" s="712"/>
      <c r="AH600" s="712"/>
      <c r="AI600" s="712"/>
      <c r="AJ600" s="712"/>
      <c r="AK600" s="712"/>
      <c r="AL600" s="712"/>
      <c r="AM600" s="712"/>
      <c r="AN600" s="712"/>
      <c r="AO600" s="712"/>
      <c r="AP600" s="712"/>
      <c r="AQ600" s="712"/>
      <c r="AR600" s="712"/>
      <c r="AS600" s="712"/>
      <c r="AT600" s="712"/>
      <c r="AU600" s="712"/>
      <c r="AV600" s="712"/>
      <c r="AW600" s="712"/>
      <c r="AX600" s="712"/>
      <c r="AY600" s="712"/>
    </row>
    <row r="601">
      <c r="T601" s="434"/>
      <c r="U601" s="438"/>
      <c r="V601" s="438"/>
      <c r="W601" s="438"/>
      <c r="X601" s="438"/>
      <c r="Y601" s="438"/>
      <c r="Z601" s="438"/>
      <c r="AA601" s="438"/>
      <c r="AB601" s="438"/>
      <c r="AC601" s="438"/>
      <c r="AD601" s="438"/>
      <c r="AE601" s="438"/>
      <c r="AF601" s="438"/>
      <c r="AG601" s="712"/>
      <c r="AH601" s="712"/>
      <c r="AI601" s="712"/>
      <c r="AJ601" s="712"/>
      <c r="AK601" s="712"/>
      <c r="AL601" s="712"/>
      <c r="AM601" s="712"/>
      <c r="AN601" s="712"/>
      <c r="AO601" s="712"/>
      <c r="AP601" s="712"/>
      <c r="AQ601" s="712"/>
      <c r="AR601" s="712"/>
      <c r="AS601" s="712"/>
      <c r="AT601" s="712"/>
      <c r="AU601" s="712"/>
      <c r="AV601" s="712"/>
      <c r="AW601" s="712"/>
      <c r="AX601" s="712"/>
      <c r="AY601" s="712"/>
    </row>
    <row r="602">
      <c r="T602" s="434"/>
      <c r="U602" s="438"/>
      <c r="V602" s="438"/>
      <c r="W602" s="438"/>
      <c r="X602" s="438"/>
      <c r="Y602" s="438"/>
      <c r="Z602" s="438"/>
      <c r="AA602" s="438"/>
      <c r="AB602" s="438"/>
      <c r="AC602" s="438"/>
      <c r="AD602" s="438"/>
      <c r="AE602" s="438"/>
      <c r="AF602" s="438"/>
      <c r="AG602" s="712"/>
      <c r="AH602" s="712"/>
      <c r="AI602" s="712"/>
      <c r="AJ602" s="712"/>
      <c r="AK602" s="712"/>
      <c r="AL602" s="712"/>
      <c r="AM602" s="712"/>
      <c r="AN602" s="712"/>
      <c r="AO602" s="712"/>
      <c r="AP602" s="712"/>
      <c r="AQ602" s="712"/>
      <c r="AR602" s="712"/>
      <c r="AS602" s="712"/>
      <c r="AT602" s="712"/>
      <c r="AU602" s="712"/>
      <c r="AV602" s="712"/>
      <c r="AW602" s="712"/>
      <c r="AX602" s="712"/>
      <c r="AY602" s="712"/>
    </row>
    <row r="603">
      <c r="T603" s="434"/>
      <c r="U603" s="438"/>
      <c r="V603" s="438"/>
      <c r="W603" s="438"/>
      <c r="X603" s="438"/>
      <c r="Y603" s="438"/>
      <c r="Z603" s="438"/>
      <c r="AA603" s="438"/>
      <c r="AB603" s="438"/>
      <c r="AC603" s="438"/>
      <c r="AD603" s="438"/>
      <c r="AE603" s="438"/>
      <c r="AF603" s="438"/>
      <c r="AG603" s="712"/>
      <c r="AH603" s="712"/>
      <c r="AI603" s="712"/>
      <c r="AJ603" s="712"/>
      <c r="AK603" s="712"/>
      <c r="AL603" s="712"/>
      <c r="AM603" s="712"/>
      <c r="AN603" s="712"/>
      <c r="AO603" s="712"/>
      <c r="AP603" s="712"/>
      <c r="AQ603" s="712"/>
      <c r="AR603" s="712"/>
      <c r="AS603" s="712"/>
      <c r="AT603" s="712"/>
      <c r="AU603" s="712"/>
      <c r="AV603" s="712"/>
      <c r="AW603" s="712"/>
      <c r="AX603" s="712"/>
      <c r="AY603" s="712"/>
    </row>
    <row r="604">
      <c r="T604" s="434"/>
      <c r="U604" s="438"/>
      <c r="V604" s="438"/>
      <c r="W604" s="438"/>
      <c r="X604" s="438"/>
      <c r="Y604" s="438"/>
      <c r="Z604" s="438"/>
      <c r="AA604" s="438"/>
      <c r="AB604" s="438"/>
      <c r="AC604" s="438"/>
      <c r="AD604" s="438"/>
      <c r="AE604" s="438"/>
      <c r="AF604" s="438"/>
      <c r="AG604" s="712"/>
      <c r="AH604" s="712"/>
      <c r="AI604" s="712"/>
      <c r="AJ604" s="712"/>
      <c r="AK604" s="712"/>
      <c r="AL604" s="712"/>
      <c r="AM604" s="712"/>
      <c r="AN604" s="712"/>
      <c r="AO604" s="712"/>
      <c r="AP604" s="712"/>
      <c r="AQ604" s="712"/>
      <c r="AR604" s="712"/>
      <c r="AS604" s="712"/>
      <c r="AT604" s="712"/>
      <c r="AU604" s="712"/>
      <c r="AV604" s="712"/>
      <c r="AW604" s="712"/>
      <c r="AX604" s="712"/>
      <c r="AY604" s="712"/>
    </row>
    <row r="605">
      <c r="T605" s="434"/>
      <c r="U605" s="438"/>
      <c r="V605" s="438"/>
      <c r="W605" s="438"/>
      <c r="X605" s="438"/>
      <c r="Y605" s="438"/>
      <c r="Z605" s="438"/>
      <c r="AA605" s="438"/>
      <c r="AB605" s="438"/>
      <c r="AC605" s="438"/>
      <c r="AD605" s="438"/>
      <c r="AE605" s="438"/>
      <c r="AF605" s="438"/>
      <c r="AG605" s="712"/>
      <c r="AH605" s="712"/>
      <c r="AI605" s="712"/>
      <c r="AJ605" s="712"/>
      <c r="AK605" s="712"/>
      <c r="AL605" s="712"/>
      <c r="AM605" s="712"/>
      <c r="AN605" s="712"/>
      <c r="AO605" s="712"/>
      <c r="AP605" s="712"/>
      <c r="AQ605" s="712"/>
      <c r="AR605" s="712"/>
      <c r="AS605" s="712"/>
      <c r="AT605" s="712"/>
      <c r="AU605" s="712"/>
      <c r="AV605" s="712"/>
      <c r="AW605" s="712"/>
      <c r="AX605" s="712"/>
      <c r="AY605" s="712"/>
    </row>
    <row r="606">
      <c r="T606" s="434"/>
      <c r="U606" s="438"/>
      <c r="V606" s="438"/>
      <c r="W606" s="438"/>
      <c r="X606" s="438"/>
      <c r="Y606" s="438"/>
      <c r="Z606" s="438"/>
      <c r="AA606" s="438"/>
      <c r="AB606" s="438"/>
      <c r="AC606" s="438"/>
      <c r="AD606" s="438"/>
      <c r="AE606" s="438"/>
      <c r="AF606" s="438"/>
      <c r="AG606" s="712"/>
      <c r="AH606" s="712"/>
      <c r="AI606" s="712"/>
      <c r="AJ606" s="712"/>
      <c r="AK606" s="712"/>
      <c r="AL606" s="712"/>
      <c r="AM606" s="712"/>
      <c r="AN606" s="712"/>
      <c r="AO606" s="712"/>
      <c r="AP606" s="712"/>
      <c r="AQ606" s="712"/>
      <c r="AR606" s="712"/>
      <c r="AS606" s="712"/>
      <c r="AT606" s="712"/>
      <c r="AU606" s="712"/>
      <c r="AV606" s="712"/>
      <c r="AW606" s="712"/>
      <c r="AX606" s="712"/>
      <c r="AY606" s="712"/>
    </row>
    <row r="607">
      <c r="T607" s="434"/>
      <c r="U607" s="438"/>
      <c r="V607" s="438"/>
      <c r="W607" s="438"/>
      <c r="X607" s="438"/>
      <c r="Y607" s="438"/>
      <c r="Z607" s="438"/>
      <c r="AA607" s="438"/>
      <c r="AB607" s="438"/>
      <c r="AC607" s="438"/>
      <c r="AD607" s="438"/>
      <c r="AE607" s="438"/>
      <c r="AF607" s="438"/>
      <c r="AG607" s="712"/>
      <c r="AH607" s="712"/>
      <c r="AI607" s="712"/>
      <c r="AJ607" s="712"/>
      <c r="AK607" s="712"/>
      <c r="AL607" s="712"/>
      <c r="AM607" s="712"/>
      <c r="AN607" s="712"/>
      <c r="AO607" s="712"/>
      <c r="AP607" s="712"/>
      <c r="AQ607" s="712"/>
      <c r="AR607" s="712"/>
      <c r="AS607" s="712"/>
      <c r="AT607" s="712"/>
      <c r="AU607" s="712"/>
      <c r="AV607" s="712"/>
      <c r="AW607" s="712"/>
      <c r="AX607" s="712"/>
      <c r="AY607" s="712"/>
    </row>
    <row r="608">
      <c r="T608" s="434"/>
      <c r="U608" s="438"/>
      <c r="V608" s="438"/>
      <c r="W608" s="438"/>
      <c r="X608" s="438"/>
      <c r="Y608" s="438"/>
      <c r="Z608" s="438"/>
      <c r="AA608" s="438"/>
      <c r="AB608" s="438"/>
      <c r="AC608" s="438"/>
      <c r="AD608" s="438"/>
      <c r="AE608" s="438"/>
      <c r="AF608" s="438"/>
      <c r="AG608" s="712"/>
      <c r="AH608" s="712"/>
      <c r="AI608" s="712"/>
      <c r="AJ608" s="712"/>
      <c r="AK608" s="712"/>
      <c r="AL608" s="712"/>
      <c r="AM608" s="712"/>
      <c r="AN608" s="712"/>
      <c r="AO608" s="712"/>
      <c r="AP608" s="712"/>
      <c r="AQ608" s="712"/>
      <c r="AR608" s="712"/>
      <c r="AS608" s="712"/>
      <c r="AT608" s="712"/>
      <c r="AU608" s="712"/>
      <c r="AV608" s="712"/>
      <c r="AW608" s="712"/>
      <c r="AX608" s="712"/>
      <c r="AY608" s="712"/>
    </row>
    <row r="609">
      <c r="T609" s="434"/>
      <c r="U609" s="438"/>
      <c r="V609" s="438"/>
      <c r="W609" s="438"/>
      <c r="X609" s="438"/>
      <c r="Y609" s="438"/>
      <c r="Z609" s="438"/>
      <c r="AA609" s="438"/>
      <c r="AB609" s="438"/>
      <c r="AC609" s="438"/>
      <c r="AD609" s="438"/>
      <c r="AE609" s="438"/>
      <c r="AF609" s="438"/>
      <c r="AG609" s="712"/>
      <c r="AH609" s="712"/>
      <c r="AI609" s="712"/>
      <c r="AJ609" s="712"/>
      <c r="AK609" s="712"/>
      <c r="AL609" s="712"/>
      <c r="AM609" s="712"/>
      <c r="AN609" s="712"/>
      <c r="AO609" s="712"/>
      <c r="AP609" s="712"/>
      <c r="AQ609" s="712"/>
      <c r="AR609" s="712"/>
      <c r="AS609" s="712"/>
      <c r="AT609" s="712"/>
      <c r="AU609" s="712"/>
      <c r="AV609" s="712"/>
      <c r="AW609" s="712"/>
      <c r="AX609" s="712"/>
      <c r="AY609" s="712"/>
    </row>
    <row r="610">
      <c r="T610" s="434"/>
      <c r="U610" s="438"/>
      <c r="V610" s="438"/>
      <c r="W610" s="438"/>
      <c r="X610" s="438"/>
      <c r="Y610" s="438"/>
      <c r="Z610" s="438"/>
      <c r="AA610" s="438"/>
      <c r="AB610" s="438"/>
      <c r="AC610" s="438"/>
      <c r="AD610" s="438"/>
      <c r="AE610" s="438"/>
      <c r="AF610" s="438"/>
      <c r="AG610" s="712"/>
      <c r="AH610" s="712"/>
      <c r="AI610" s="712"/>
      <c r="AJ610" s="712"/>
      <c r="AK610" s="712"/>
      <c r="AL610" s="712"/>
      <c r="AM610" s="712"/>
      <c r="AN610" s="712"/>
      <c r="AO610" s="712"/>
      <c r="AP610" s="712"/>
      <c r="AQ610" s="712"/>
      <c r="AR610" s="712"/>
      <c r="AS610" s="712"/>
      <c r="AT610" s="712"/>
      <c r="AU610" s="712"/>
      <c r="AV610" s="712"/>
      <c r="AW610" s="712"/>
      <c r="AX610" s="712"/>
      <c r="AY610" s="712"/>
    </row>
    <row r="611">
      <c r="T611" s="434"/>
      <c r="U611" s="438"/>
      <c r="V611" s="438"/>
      <c r="W611" s="438"/>
      <c r="X611" s="438"/>
      <c r="Y611" s="438"/>
      <c r="Z611" s="438"/>
      <c r="AA611" s="438"/>
      <c r="AB611" s="438"/>
      <c r="AC611" s="438"/>
      <c r="AD611" s="438"/>
      <c r="AE611" s="438"/>
      <c r="AF611" s="438"/>
      <c r="AG611" s="712"/>
      <c r="AH611" s="712"/>
      <c r="AI611" s="712"/>
      <c r="AJ611" s="712"/>
      <c r="AK611" s="712"/>
      <c r="AL611" s="712"/>
      <c r="AM611" s="712"/>
      <c r="AN611" s="712"/>
      <c r="AO611" s="712"/>
      <c r="AP611" s="712"/>
      <c r="AQ611" s="712"/>
      <c r="AR611" s="712"/>
      <c r="AS611" s="712"/>
      <c r="AT611" s="712"/>
      <c r="AU611" s="712"/>
      <c r="AV611" s="712"/>
      <c r="AW611" s="712"/>
      <c r="AX611" s="712"/>
      <c r="AY611" s="712"/>
    </row>
    <row r="612">
      <c r="T612" s="434"/>
      <c r="U612" s="438"/>
      <c r="V612" s="438"/>
      <c r="W612" s="438"/>
      <c r="X612" s="438"/>
      <c r="Y612" s="438"/>
      <c r="Z612" s="438"/>
      <c r="AA612" s="438"/>
      <c r="AB612" s="438"/>
      <c r="AC612" s="438"/>
      <c r="AD612" s="438"/>
      <c r="AE612" s="438"/>
      <c r="AF612" s="438"/>
      <c r="AG612" s="712"/>
      <c r="AH612" s="712"/>
      <c r="AI612" s="712"/>
      <c r="AJ612" s="712"/>
      <c r="AK612" s="712"/>
      <c r="AL612" s="712"/>
      <c r="AM612" s="712"/>
      <c r="AN612" s="712"/>
      <c r="AO612" s="712"/>
      <c r="AP612" s="712"/>
      <c r="AQ612" s="712"/>
      <c r="AR612" s="712"/>
      <c r="AS612" s="712"/>
      <c r="AT612" s="712"/>
      <c r="AU612" s="712"/>
      <c r="AV612" s="712"/>
      <c r="AW612" s="712"/>
      <c r="AX612" s="712"/>
      <c r="AY612" s="712"/>
    </row>
    <row r="613">
      <c r="T613" s="434"/>
      <c r="U613" s="438"/>
      <c r="V613" s="438"/>
      <c r="W613" s="438"/>
      <c r="X613" s="438"/>
      <c r="Y613" s="438"/>
      <c r="Z613" s="438"/>
      <c r="AA613" s="438"/>
      <c r="AB613" s="438"/>
      <c r="AC613" s="438"/>
      <c r="AD613" s="438"/>
      <c r="AE613" s="438"/>
      <c r="AF613" s="438"/>
      <c r="AG613" s="712"/>
      <c r="AH613" s="712"/>
      <c r="AI613" s="712"/>
      <c r="AJ613" s="712"/>
      <c r="AK613" s="712"/>
      <c r="AL613" s="712"/>
      <c r="AM613" s="712"/>
      <c r="AN613" s="712"/>
      <c r="AO613" s="712"/>
      <c r="AP613" s="712"/>
      <c r="AQ613" s="712"/>
      <c r="AR613" s="712"/>
      <c r="AS613" s="712"/>
      <c r="AT613" s="712"/>
      <c r="AU613" s="712"/>
      <c r="AV613" s="712"/>
      <c r="AW613" s="712"/>
      <c r="AX613" s="712"/>
      <c r="AY613" s="712"/>
    </row>
    <row r="614">
      <c r="T614" s="434"/>
      <c r="U614" s="438"/>
      <c r="V614" s="438"/>
      <c r="W614" s="438"/>
      <c r="X614" s="438"/>
      <c r="Y614" s="438"/>
      <c r="Z614" s="438"/>
      <c r="AA614" s="438"/>
      <c r="AB614" s="438"/>
      <c r="AC614" s="438"/>
      <c r="AD614" s="438"/>
      <c r="AE614" s="438"/>
      <c r="AF614" s="438"/>
      <c r="AG614" s="712"/>
      <c r="AH614" s="712"/>
      <c r="AI614" s="712"/>
      <c r="AJ614" s="712"/>
      <c r="AK614" s="712"/>
      <c r="AL614" s="712"/>
      <c r="AM614" s="712"/>
      <c r="AN614" s="712"/>
      <c r="AO614" s="712"/>
      <c r="AP614" s="712"/>
      <c r="AQ614" s="712"/>
      <c r="AR614" s="712"/>
      <c r="AS614" s="712"/>
      <c r="AT614" s="712"/>
      <c r="AU614" s="712"/>
      <c r="AV614" s="712"/>
      <c r="AW614" s="712"/>
      <c r="AX614" s="712"/>
      <c r="AY614" s="712"/>
    </row>
    <row r="615">
      <c r="T615" s="434"/>
      <c r="U615" s="438"/>
      <c r="V615" s="438"/>
      <c r="W615" s="438"/>
      <c r="X615" s="438"/>
      <c r="Y615" s="438"/>
      <c r="Z615" s="438"/>
      <c r="AA615" s="438"/>
      <c r="AB615" s="438"/>
      <c r="AC615" s="438"/>
      <c r="AD615" s="438"/>
      <c r="AE615" s="438"/>
      <c r="AF615" s="438"/>
      <c r="AG615" s="712"/>
      <c r="AH615" s="712"/>
      <c r="AI615" s="712"/>
      <c r="AJ615" s="712"/>
      <c r="AK615" s="712"/>
      <c r="AL615" s="712"/>
      <c r="AM615" s="712"/>
      <c r="AN615" s="712"/>
      <c r="AO615" s="712"/>
      <c r="AP615" s="712"/>
      <c r="AQ615" s="712"/>
      <c r="AR615" s="712"/>
      <c r="AS615" s="712"/>
      <c r="AT615" s="712"/>
      <c r="AU615" s="712"/>
      <c r="AV615" s="712"/>
      <c r="AW615" s="712"/>
      <c r="AX615" s="712"/>
      <c r="AY615" s="712"/>
    </row>
    <row r="616">
      <c r="T616" s="434"/>
      <c r="U616" s="438"/>
      <c r="V616" s="438"/>
      <c r="W616" s="438"/>
      <c r="X616" s="438"/>
      <c r="Y616" s="438"/>
      <c r="Z616" s="438"/>
      <c r="AA616" s="438"/>
      <c r="AB616" s="438"/>
      <c r="AC616" s="438"/>
      <c r="AD616" s="438"/>
      <c r="AE616" s="438"/>
      <c r="AF616" s="438"/>
      <c r="AG616" s="712"/>
      <c r="AH616" s="712"/>
      <c r="AI616" s="712"/>
      <c r="AJ616" s="712"/>
      <c r="AK616" s="712"/>
      <c r="AL616" s="712"/>
      <c r="AM616" s="712"/>
      <c r="AN616" s="712"/>
      <c r="AO616" s="712"/>
      <c r="AP616" s="712"/>
      <c r="AQ616" s="712"/>
      <c r="AR616" s="712"/>
      <c r="AS616" s="712"/>
      <c r="AT616" s="712"/>
      <c r="AU616" s="712"/>
      <c r="AV616" s="712"/>
      <c r="AW616" s="712"/>
      <c r="AX616" s="712"/>
      <c r="AY616" s="712"/>
    </row>
    <row r="617">
      <c r="T617" s="434"/>
      <c r="U617" s="438"/>
      <c r="V617" s="438"/>
      <c r="W617" s="438"/>
      <c r="X617" s="438"/>
      <c r="Y617" s="438"/>
      <c r="Z617" s="438"/>
      <c r="AA617" s="438"/>
      <c r="AB617" s="438"/>
      <c r="AC617" s="438"/>
      <c r="AD617" s="438"/>
      <c r="AE617" s="438"/>
      <c r="AF617" s="438"/>
      <c r="AG617" s="712"/>
      <c r="AH617" s="712"/>
      <c r="AI617" s="712"/>
      <c r="AJ617" s="712"/>
      <c r="AK617" s="712"/>
      <c r="AL617" s="712"/>
      <c r="AM617" s="712"/>
      <c r="AN617" s="712"/>
      <c r="AO617" s="712"/>
      <c r="AP617" s="712"/>
      <c r="AQ617" s="712"/>
      <c r="AR617" s="712"/>
      <c r="AS617" s="712"/>
      <c r="AT617" s="712"/>
      <c r="AU617" s="712"/>
      <c r="AV617" s="712"/>
      <c r="AW617" s="712"/>
      <c r="AX617" s="712"/>
      <c r="AY617" s="712"/>
    </row>
    <row r="618">
      <c r="T618" s="434"/>
      <c r="U618" s="438"/>
      <c r="V618" s="438"/>
      <c r="W618" s="438"/>
      <c r="X618" s="438"/>
      <c r="Y618" s="438"/>
      <c r="Z618" s="438"/>
      <c r="AA618" s="438"/>
      <c r="AB618" s="438"/>
      <c r="AC618" s="438"/>
      <c r="AD618" s="438"/>
      <c r="AE618" s="438"/>
      <c r="AF618" s="438"/>
      <c r="AG618" s="712"/>
      <c r="AH618" s="712"/>
      <c r="AI618" s="712"/>
      <c r="AJ618" s="712"/>
      <c r="AK618" s="712"/>
      <c r="AL618" s="712"/>
      <c r="AM618" s="712"/>
      <c r="AN618" s="712"/>
      <c r="AO618" s="712"/>
      <c r="AP618" s="712"/>
      <c r="AQ618" s="712"/>
      <c r="AR618" s="712"/>
      <c r="AS618" s="712"/>
      <c r="AT618" s="712"/>
      <c r="AU618" s="712"/>
      <c r="AV618" s="712"/>
      <c r="AW618" s="712"/>
      <c r="AX618" s="712"/>
      <c r="AY618" s="712"/>
    </row>
    <row r="619">
      <c r="T619" s="434"/>
      <c r="U619" s="438"/>
      <c r="V619" s="438"/>
      <c r="W619" s="438"/>
      <c r="X619" s="438"/>
      <c r="Y619" s="438"/>
      <c r="Z619" s="438"/>
      <c r="AA619" s="438"/>
      <c r="AB619" s="438"/>
      <c r="AC619" s="438"/>
      <c r="AD619" s="438"/>
      <c r="AE619" s="438"/>
      <c r="AF619" s="438"/>
      <c r="AG619" s="712"/>
      <c r="AH619" s="712"/>
      <c r="AI619" s="712"/>
      <c r="AJ619" s="712"/>
      <c r="AK619" s="712"/>
      <c r="AL619" s="712"/>
      <c r="AM619" s="712"/>
      <c r="AN619" s="712"/>
      <c r="AO619" s="712"/>
      <c r="AP619" s="712"/>
      <c r="AQ619" s="712"/>
      <c r="AR619" s="712"/>
      <c r="AS619" s="712"/>
      <c r="AT619" s="712"/>
      <c r="AU619" s="712"/>
      <c r="AV619" s="712"/>
      <c r="AW619" s="712"/>
      <c r="AX619" s="712"/>
      <c r="AY619" s="712"/>
    </row>
    <row r="620">
      <c r="T620" s="434"/>
      <c r="U620" s="438"/>
      <c r="V620" s="438"/>
      <c r="W620" s="438"/>
      <c r="X620" s="438"/>
      <c r="Y620" s="438"/>
      <c r="Z620" s="438"/>
      <c r="AA620" s="438"/>
      <c r="AB620" s="438"/>
      <c r="AC620" s="438"/>
      <c r="AD620" s="438"/>
      <c r="AE620" s="438"/>
      <c r="AF620" s="438"/>
      <c r="AG620" s="712"/>
      <c r="AH620" s="712"/>
      <c r="AI620" s="712"/>
      <c r="AJ620" s="712"/>
      <c r="AK620" s="712"/>
      <c r="AL620" s="712"/>
      <c r="AM620" s="712"/>
      <c r="AN620" s="712"/>
      <c r="AO620" s="712"/>
      <c r="AP620" s="712"/>
      <c r="AQ620" s="712"/>
      <c r="AR620" s="712"/>
      <c r="AS620" s="712"/>
      <c r="AT620" s="712"/>
      <c r="AU620" s="712"/>
      <c r="AV620" s="712"/>
      <c r="AW620" s="712"/>
      <c r="AX620" s="712"/>
      <c r="AY620" s="712"/>
    </row>
    <row r="621">
      <c r="T621" s="434"/>
      <c r="U621" s="438"/>
      <c r="V621" s="438"/>
      <c r="W621" s="438"/>
      <c r="X621" s="438"/>
      <c r="Y621" s="438"/>
      <c r="Z621" s="438"/>
      <c r="AA621" s="438"/>
      <c r="AB621" s="438"/>
      <c r="AC621" s="438"/>
      <c r="AD621" s="438"/>
      <c r="AE621" s="438"/>
      <c r="AF621" s="438"/>
      <c r="AG621" s="712"/>
      <c r="AH621" s="712"/>
      <c r="AI621" s="712"/>
      <c r="AJ621" s="712"/>
      <c r="AK621" s="712"/>
      <c r="AL621" s="712"/>
      <c r="AM621" s="712"/>
      <c r="AN621" s="712"/>
      <c r="AO621" s="712"/>
      <c r="AP621" s="712"/>
      <c r="AQ621" s="712"/>
      <c r="AR621" s="712"/>
      <c r="AS621" s="712"/>
      <c r="AT621" s="712"/>
      <c r="AU621" s="712"/>
      <c r="AV621" s="712"/>
      <c r="AW621" s="712"/>
      <c r="AX621" s="712"/>
      <c r="AY621" s="712"/>
    </row>
    <row r="622">
      <c r="T622" s="434"/>
      <c r="U622" s="438"/>
      <c r="V622" s="438"/>
      <c r="W622" s="438"/>
      <c r="X622" s="438"/>
      <c r="Y622" s="438"/>
      <c r="Z622" s="438"/>
      <c r="AA622" s="438"/>
      <c r="AB622" s="438"/>
      <c r="AC622" s="438"/>
      <c r="AD622" s="438"/>
      <c r="AE622" s="438"/>
      <c r="AF622" s="438"/>
      <c r="AG622" s="712"/>
      <c r="AH622" s="712"/>
      <c r="AI622" s="712"/>
      <c r="AJ622" s="712"/>
      <c r="AK622" s="712"/>
      <c r="AL622" s="712"/>
      <c r="AM622" s="712"/>
      <c r="AN622" s="712"/>
      <c r="AO622" s="712"/>
      <c r="AP622" s="712"/>
      <c r="AQ622" s="712"/>
      <c r="AR622" s="712"/>
      <c r="AS622" s="712"/>
      <c r="AT622" s="712"/>
      <c r="AU622" s="712"/>
      <c r="AV622" s="712"/>
      <c r="AW622" s="712"/>
      <c r="AX622" s="712"/>
      <c r="AY622" s="712"/>
    </row>
    <row r="623">
      <c r="T623" s="434"/>
      <c r="U623" s="438"/>
      <c r="V623" s="438"/>
      <c r="W623" s="438"/>
      <c r="X623" s="438"/>
      <c r="Y623" s="438"/>
      <c r="Z623" s="438"/>
      <c r="AA623" s="438"/>
      <c r="AB623" s="438"/>
      <c r="AC623" s="438"/>
      <c r="AD623" s="438"/>
      <c r="AE623" s="438"/>
      <c r="AF623" s="438"/>
      <c r="AG623" s="712"/>
      <c r="AH623" s="712"/>
      <c r="AI623" s="712"/>
      <c r="AJ623" s="712"/>
      <c r="AK623" s="712"/>
      <c r="AL623" s="712"/>
      <c r="AM623" s="712"/>
      <c r="AN623" s="712"/>
      <c r="AO623" s="712"/>
      <c r="AP623" s="712"/>
      <c r="AQ623" s="712"/>
      <c r="AR623" s="712"/>
      <c r="AS623" s="712"/>
      <c r="AT623" s="712"/>
      <c r="AU623" s="712"/>
      <c r="AV623" s="712"/>
      <c r="AW623" s="712"/>
      <c r="AX623" s="712"/>
      <c r="AY623" s="712"/>
    </row>
    <row r="624">
      <c r="T624" s="434"/>
      <c r="U624" s="438"/>
      <c r="V624" s="438"/>
      <c r="W624" s="438"/>
      <c r="X624" s="438"/>
      <c r="Y624" s="438"/>
      <c r="Z624" s="438"/>
      <c r="AA624" s="438"/>
      <c r="AB624" s="438"/>
      <c r="AC624" s="438"/>
      <c r="AD624" s="438"/>
      <c r="AE624" s="438"/>
      <c r="AF624" s="438"/>
      <c r="AG624" s="712"/>
      <c r="AH624" s="712"/>
      <c r="AI624" s="712"/>
      <c r="AJ624" s="712"/>
      <c r="AK624" s="712"/>
      <c r="AL624" s="712"/>
      <c r="AM624" s="712"/>
      <c r="AN624" s="712"/>
      <c r="AO624" s="712"/>
      <c r="AP624" s="712"/>
      <c r="AQ624" s="712"/>
      <c r="AR624" s="712"/>
      <c r="AS624" s="712"/>
      <c r="AT624" s="712"/>
      <c r="AU624" s="712"/>
      <c r="AV624" s="712"/>
      <c r="AW624" s="712"/>
      <c r="AX624" s="712"/>
      <c r="AY624" s="712"/>
    </row>
    <row r="625">
      <c r="T625" s="434"/>
      <c r="U625" s="438"/>
      <c r="V625" s="438"/>
      <c r="W625" s="438"/>
      <c r="X625" s="438"/>
      <c r="Y625" s="438"/>
      <c r="Z625" s="438"/>
      <c r="AA625" s="438"/>
      <c r="AB625" s="438"/>
      <c r="AC625" s="438"/>
      <c r="AD625" s="438"/>
      <c r="AE625" s="438"/>
      <c r="AF625" s="438"/>
      <c r="AG625" s="712"/>
      <c r="AH625" s="712"/>
      <c r="AI625" s="712"/>
      <c r="AJ625" s="712"/>
      <c r="AK625" s="712"/>
      <c r="AL625" s="712"/>
      <c r="AM625" s="712"/>
      <c r="AN625" s="712"/>
      <c r="AO625" s="712"/>
      <c r="AP625" s="712"/>
      <c r="AQ625" s="712"/>
      <c r="AR625" s="712"/>
      <c r="AS625" s="712"/>
      <c r="AT625" s="712"/>
      <c r="AU625" s="712"/>
      <c r="AV625" s="712"/>
      <c r="AW625" s="712"/>
      <c r="AX625" s="712"/>
      <c r="AY625" s="712"/>
    </row>
    <row r="626">
      <c r="T626" s="434"/>
      <c r="U626" s="438"/>
      <c r="V626" s="438"/>
      <c r="W626" s="438"/>
      <c r="X626" s="438"/>
      <c r="Y626" s="438"/>
      <c r="Z626" s="438"/>
      <c r="AA626" s="438"/>
      <c r="AB626" s="438"/>
      <c r="AC626" s="438"/>
      <c r="AD626" s="438"/>
      <c r="AE626" s="438"/>
      <c r="AF626" s="438"/>
      <c r="AG626" s="712"/>
      <c r="AH626" s="712"/>
      <c r="AI626" s="712"/>
      <c r="AJ626" s="712"/>
      <c r="AK626" s="712"/>
      <c r="AL626" s="712"/>
      <c r="AM626" s="712"/>
      <c r="AN626" s="712"/>
      <c r="AO626" s="712"/>
      <c r="AP626" s="712"/>
      <c r="AQ626" s="712"/>
      <c r="AR626" s="712"/>
      <c r="AS626" s="712"/>
      <c r="AT626" s="712"/>
      <c r="AU626" s="712"/>
      <c r="AV626" s="712"/>
      <c r="AW626" s="712"/>
      <c r="AX626" s="712"/>
      <c r="AY626" s="712"/>
    </row>
    <row r="627">
      <c r="T627" s="434"/>
      <c r="U627" s="438"/>
      <c r="V627" s="438"/>
      <c r="W627" s="438"/>
      <c r="X627" s="438"/>
      <c r="Y627" s="438"/>
      <c r="Z627" s="438"/>
      <c r="AA627" s="438"/>
      <c r="AB627" s="438"/>
      <c r="AC627" s="438"/>
      <c r="AD627" s="438"/>
      <c r="AE627" s="438"/>
      <c r="AF627" s="438"/>
      <c r="AG627" s="712"/>
      <c r="AH627" s="712"/>
      <c r="AI627" s="712"/>
      <c r="AJ627" s="712"/>
      <c r="AK627" s="712"/>
      <c r="AL627" s="712"/>
      <c r="AM627" s="712"/>
      <c r="AN627" s="712"/>
      <c r="AO627" s="712"/>
      <c r="AP627" s="712"/>
      <c r="AQ627" s="712"/>
      <c r="AR627" s="712"/>
      <c r="AS627" s="712"/>
      <c r="AT627" s="712"/>
      <c r="AU627" s="712"/>
      <c r="AV627" s="712"/>
      <c r="AW627" s="712"/>
      <c r="AX627" s="712"/>
      <c r="AY627" s="712"/>
    </row>
    <row r="628">
      <c r="T628" s="434"/>
      <c r="U628" s="438"/>
      <c r="V628" s="438"/>
      <c r="W628" s="438"/>
      <c r="X628" s="438"/>
      <c r="Y628" s="438"/>
      <c r="Z628" s="438"/>
      <c r="AA628" s="438"/>
      <c r="AB628" s="438"/>
      <c r="AC628" s="438"/>
      <c r="AD628" s="438"/>
      <c r="AE628" s="438"/>
      <c r="AF628" s="438"/>
      <c r="AG628" s="712"/>
      <c r="AH628" s="712"/>
      <c r="AI628" s="712"/>
      <c r="AJ628" s="712"/>
      <c r="AK628" s="712"/>
      <c r="AL628" s="712"/>
      <c r="AM628" s="712"/>
      <c r="AN628" s="712"/>
      <c r="AO628" s="712"/>
      <c r="AP628" s="712"/>
      <c r="AQ628" s="712"/>
      <c r="AR628" s="712"/>
      <c r="AS628" s="712"/>
      <c r="AT628" s="712"/>
      <c r="AU628" s="712"/>
      <c r="AV628" s="712"/>
      <c r="AW628" s="712"/>
      <c r="AX628" s="712"/>
      <c r="AY628" s="712"/>
    </row>
    <row r="629">
      <c r="T629" s="434"/>
      <c r="U629" s="438"/>
      <c r="V629" s="438"/>
      <c r="W629" s="438"/>
      <c r="X629" s="438"/>
      <c r="Y629" s="438"/>
      <c r="Z629" s="438"/>
      <c r="AA629" s="438"/>
      <c r="AB629" s="438"/>
      <c r="AC629" s="438"/>
      <c r="AD629" s="438"/>
      <c r="AE629" s="438"/>
      <c r="AF629" s="438"/>
      <c r="AG629" s="712"/>
      <c r="AH629" s="712"/>
      <c r="AI629" s="712"/>
      <c r="AJ629" s="712"/>
      <c r="AK629" s="712"/>
      <c r="AL629" s="712"/>
      <c r="AM629" s="712"/>
      <c r="AN629" s="712"/>
      <c r="AO629" s="712"/>
      <c r="AP629" s="712"/>
      <c r="AQ629" s="712"/>
      <c r="AR629" s="712"/>
      <c r="AS629" s="712"/>
      <c r="AT629" s="712"/>
      <c r="AU629" s="712"/>
      <c r="AV629" s="712"/>
      <c r="AW629" s="712"/>
      <c r="AX629" s="712"/>
      <c r="AY629" s="712"/>
    </row>
    <row r="630">
      <c r="T630" s="434"/>
      <c r="U630" s="438"/>
      <c r="V630" s="438"/>
      <c r="W630" s="438"/>
      <c r="X630" s="438"/>
      <c r="Y630" s="438"/>
      <c r="Z630" s="438"/>
      <c r="AA630" s="438"/>
      <c r="AB630" s="438"/>
      <c r="AC630" s="438"/>
      <c r="AD630" s="438"/>
      <c r="AE630" s="438"/>
      <c r="AF630" s="438"/>
      <c r="AG630" s="712"/>
      <c r="AH630" s="712"/>
      <c r="AI630" s="712"/>
      <c r="AJ630" s="712"/>
      <c r="AK630" s="712"/>
      <c r="AL630" s="712"/>
      <c r="AM630" s="712"/>
      <c r="AN630" s="712"/>
      <c r="AO630" s="712"/>
      <c r="AP630" s="712"/>
      <c r="AQ630" s="712"/>
      <c r="AR630" s="712"/>
      <c r="AS630" s="712"/>
      <c r="AT630" s="712"/>
      <c r="AU630" s="712"/>
      <c r="AV630" s="712"/>
      <c r="AW630" s="712"/>
      <c r="AX630" s="712"/>
      <c r="AY630" s="712"/>
    </row>
    <row r="631">
      <c r="T631" s="434"/>
      <c r="U631" s="438"/>
      <c r="V631" s="438"/>
      <c r="W631" s="438"/>
      <c r="X631" s="438"/>
      <c r="Y631" s="438"/>
      <c r="Z631" s="438"/>
      <c r="AA631" s="438"/>
      <c r="AB631" s="438"/>
      <c r="AC631" s="438"/>
      <c r="AD631" s="438"/>
      <c r="AE631" s="438"/>
      <c r="AF631" s="438"/>
      <c r="AG631" s="712"/>
      <c r="AH631" s="712"/>
      <c r="AI631" s="712"/>
      <c r="AJ631" s="712"/>
      <c r="AK631" s="712"/>
      <c r="AL631" s="712"/>
      <c r="AM631" s="712"/>
      <c r="AN631" s="712"/>
      <c r="AO631" s="712"/>
      <c r="AP631" s="712"/>
      <c r="AQ631" s="712"/>
      <c r="AR631" s="712"/>
      <c r="AS631" s="712"/>
      <c r="AT631" s="712"/>
      <c r="AU631" s="712"/>
      <c r="AV631" s="712"/>
      <c r="AW631" s="712"/>
      <c r="AX631" s="712"/>
      <c r="AY631" s="712"/>
    </row>
    <row r="632">
      <c r="T632" s="434"/>
      <c r="U632" s="438"/>
      <c r="V632" s="438"/>
      <c r="W632" s="438"/>
      <c r="X632" s="438"/>
      <c r="Y632" s="438"/>
      <c r="Z632" s="438"/>
      <c r="AA632" s="438"/>
      <c r="AB632" s="438"/>
      <c r="AC632" s="438"/>
      <c r="AD632" s="438"/>
      <c r="AE632" s="438"/>
      <c r="AF632" s="438"/>
      <c r="AG632" s="712"/>
      <c r="AH632" s="712"/>
      <c r="AI632" s="712"/>
      <c r="AJ632" s="712"/>
      <c r="AK632" s="712"/>
      <c r="AL632" s="712"/>
      <c r="AM632" s="712"/>
      <c r="AN632" s="712"/>
      <c r="AO632" s="712"/>
      <c r="AP632" s="712"/>
      <c r="AQ632" s="712"/>
      <c r="AR632" s="712"/>
      <c r="AS632" s="712"/>
      <c r="AT632" s="712"/>
      <c r="AU632" s="712"/>
      <c r="AV632" s="712"/>
      <c r="AW632" s="712"/>
      <c r="AX632" s="712"/>
      <c r="AY632" s="712"/>
    </row>
    <row r="633">
      <c r="T633" s="434"/>
      <c r="U633" s="438"/>
      <c r="V633" s="438"/>
      <c r="W633" s="438"/>
      <c r="X633" s="438"/>
      <c r="Y633" s="438"/>
      <c r="Z633" s="438"/>
      <c r="AA633" s="438"/>
      <c r="AB633" s="438"/>
      <c r="AC633" s="438"/>
      <c r="AD633" s="438"/>
      <c r="AE633" s="438"/>
      <c r="AF633" s="438"/>
      <c r="AG633" s="712"/>
      <c r="AH633" s="712"/>
      <c r="AI633" s="712"/>
      <c r="AJ633" s="712"/>
      <c r="AK633" s="712"/>
      <c r="AL633" s="712"/>
      <c r="AM633" s="712"/>
      <c r="AN633" s="712"/>
      <c r="AO633" s="712"/>
      <c r="AP633" s="712"/>
      <c r="AQ633" s="712"/>
      <c r="AR633" s="712"/>
      <c r="AS633" s="712"/>
      <c r="AT633" s="712"/>
      <c r="AU633" s="712"/>
      <c r="AV633" s="712"/>
      <c r="AW633" s="712"/>
      <c r="AX633" s="712"/>
      <c r="AY633" s="712"/>
    </row>
    <row r="634">
      <c r="T634" s="434"/>
      <c r="U634" s="438"/>
      <c r="V634" s="438"/>
      <c r="W634" s="438"/>
      <c r="X634" s="438"/>
      <c r="Y634" s="438"/>
      <c r="Z634" s="438"/>
      <c r="AA634" s="438"/>
      <c r="AB634" s="438"/>
      <c r="AC634" s="438"/>
      <c r="AD634" s="438"/>
      <c r="AE634" s="438"/>
      <c r="AF634" s="438"/>
      <c r="AG634" s="712"/>
      <c r="AH634" s="712"/>
      <c r="AI634" s="712"/>
      <c r="AJ634" s="712"/>
      <c r="AK634" s="712"/>
      <c r="AL634" s="712"/>
      <c r="AM634" s="712"/>
      <c r="AN634" s="712"/>
      <c r="AO634" s="712"/>
      <c r="AP634" s="712"/>
      <c r="AQ634" s="712"/>
      <c r="AR634" s="712"/>
      <c r="AS634" s="712"/>
      <c r="AT634" s="712"/>
      <c r="AU634" s="712"/>
      <c r="AV634" s="712"/>
      <c r="AW634" s="712"/>
      <c r="AX634" s="712"/>
      <c r="AY634" s="712"/>
    </row>
    <row r="635">
      <c r="T635" s="434"/>
      <c r="U635" s="438"/>
      <c r="V635" s="438"/>
      <c r="W635" s="438"/>
      <c r="X635" s="438"/>
      <c r="Y635" s="438"/>
      <c r="Z635" s="438"/>
      <c r="AA635" s="438"/>
      <c r="AB635" s="438"/>
      <c r="AC635" s="438"/>
      <c r="AD635" s="438"/>
      <c r="AE635" s="438"/>
      <c r="AF635" s="438"/>
      <c r="AG635" s="712"/>
      <c r="AH635" s="712"/>
      <c r="AI635" s="712"/>
      <c r="AJ635" s="712"/>
      <c r="AK635" s="712"/>
      <c r="AL635" s="712"/>
      <c r="AM635" s="712"/>
      <c r="AN635" s="712"/>
      <c r="AO635" s="712"/>
      <c r="AP635" s="712"/>
      <c r="AQ635" s="712"/>
      <c r="AR635" s="712"/>
      <c r="AS635" s="712"/>
      <c r="AT635" s="712"/>
      <c r="AU635" s="712"/>
      <c r="AV635" s="712"/>
      <c r="AW635" s="712"/>
      <c r="AX635" s="712"/>
      <c r="AY635" s="712"/>
    </row>
    <row r="636">
      <c r="T636" s="434"/>
      <c r="U636" s="438"/>
      <c r="V636" s="438"/>
      <c r="W636" s="438"/>
      <c r="X636" s="438"/>
      <c r="Y636" s="438"/>
      <c r="Z636" s="438"/>
      <c r="AA636" s="438"/>
      <c r="AB636" s="438"/>
      <c r="AC636" s="438"/>
      <c r="AD636" s="438"/>
      <c r="AE636" s="438"/>
      <c r="AF636" s="438"/>
      <c r="AG636" s="712"/>
      <c r="AH636" s="712"/>
      <c r="AI636" s="712"/>
      <c r="AJ636" s="712"/>
      <c r="AK636" s="712"/>
      <c r="AL636" s="712"/>
      <c r="AM636" s="712"/>
      <c r="AN636" s="712"/>
      <c r="AO636" s="712"/>
      <c r="AP636" s="712"/>
      <c r="AQ636" s="712"/>
      <c r="AR636" s="712"/>
      <c r="AS636" s="712"/>
      <c r="AT636" s="712"/>
      <c r="AU636" s="712"/>
      <c r="AV636" s="712"/>
      <c r="AW636" s="712"/>
      <c r="AX636" s="712"/>
      <c r="AY636" s="712"/>
    </row>
    <row r="637">
      <c r="T637" s="434"/>
      <c r="U637" s="438"/>
      <c r="V637" s="438"/>
      <c r="W637" s="438"/>
      <c r="X637" s="438"/>
      <c r="Y637" s="438"/>
      <c r="Z637" s="438"/>
      <c r="AA637" s="438"/>
      <c r="AB637" s="438"/>
      <c r="AC637" s="438"/>
      <c r="AD637" s="438"/>
      <c r="AE637" s="438"/>
      <c r="AF637" s="438"/>
      <c r="AG637" s="712"/>
      <c r="AH637" s="712"/>
      <c r="AI637" s="712"/>
      <c r="AJ637" s="712"/>
      <c r="AK637" s="712"/>
      <c r="AL637" s="712"/>
      <c r="AM637" s="712"/>
      <c r="AN637" s="712"/>
      <c r="AO637" s="712"/>
      <c r="AP637" s="712"/>
      <c r="AQ637" s="712"/>
      <c r="AR637" s="712"/>
      <c r="AS637" s="712"/>
      <c r="AT637" s="712"/>
      <c r="AU637" s="712"/>
      <c r="AV637" s="712"/>
      <c r="AW637" s="712"/>
      <c r="AX637" s="712"/>
      <c r="AY637" s="712"/>
    </row>
    <row r="638">
      <c r="T638" s="434"/>
      <c r="U638" s="438"/>
      <c r="V638" s="438"/>
      <c r="W638" s="438"/>
      <c r="X638" s="438"/>
      <c r="Y638" s="438"/>
      <c r="Z638" s="438"/>
      <c r="AA638" s="438"/>
      <c r="AB638" s="438"/>
      <c r="AC638" s="438"/>
      <c r="AD638" s="438"/>
      <c r="AE638" s="438"/>
      <c r="AF638" s="438"/>
      <c r="AG638" s="712"/>
      <c r="AH638" s="712"/>
      <c r="AI638" s="712"/>
      <c r="AJ638" s="712"/>
      <c r="AK638" s="712"/>
      <c r="AL638" s="712"/>
      <c r="AM638" s="712"/>
      <c r="AN638" s="712"/>
      <c r="AO638" s="712"/>
      <c r="AP638" s="712"/>
      <c r="AQ638" s="712"/>
      <c r="AR638" s="712"/>
      <c r="AS638" s="712"/>
      <c r="AT638" s="712"/>
      <c r="AU638" s="712"/>
      <c r="AV638" s="712"/>
      <c r="AW638" s="712"/>
      <c r="AX638" s="712"/>
      <c r="AY638" s="712"/>
    </row>
    <row r="639">
      <c r="T639" s="434"/>
      <c r="U639" s="438"/>
      <c r="V639" s="438"/>
      <c r="W639" s="438"/>
      <c r="X639" s="438"/>
      <c r="Y639" s="438"/>
      <c r="Z639" s="438"/>
      <c r="AA639" s="438"/>
      <c r="AB639" s="438"/>
      <c r="AC639" s="438"/>
      <c r="AD639" s="438"/>
      <c r="AE639" s="438"/>
      <c r="AF639" s="438"/>
      <c r="AG639" s="712"/>
      <c r="AH639" s="712"/>
      <c r="AI639" s="712"/>
      <c r="AJ639" s="712"/>
      <c r="AK639" s="712"/>
      <c r="AL639" s="712"/>
      <c r="AM639" s="712"/>
      <c r="AN639" s="712"/>
      <c r="AO639" s="712"/>
      <c r="AP639" s="712"/>
      <c r="AQ639" s="712"/>
      <c r="AR639" s="712"/>
      <c r="AS639" s="712"/>
      <c r="AT639" s="712"/>
      <c r="AU639" s="712"/>
      <c r="AV639" s="712"/>
      <c r="AW639" s="712"/>
      <c r="AX639" s="712"/>
      <c r="AY639" s="712"/>
    </row>
    <row r="640">
      <c r="T640" s="434"/>
      <c r="U640" s="438"/>
      <c r="V640" s="438"/>
      <c r="W640" s="438"/>
      <c r="X640" s="438"/>
      <c r="Y640" s="438"/>
      <c r="Z640" s="438"/>
      <c r="AA640" s="438"/>
      <c r="AB640" s="438"/>
      <c r="AC640" s="438"/>
      <c r="AD640" s="438"/>
      <c r="AE640" s="438"/>
      <c r="AF640" s="438"/>
      <c r="AG640" s="712"/>
      <c r="AH640" s="712"/>
      <c r="AI640" s="712"/>
      <c r="AJ640" s="712"/>
      <c r="AK640" s="712"/>
      <c r="AL640" s="712"/>
      <c r="AM640" s="712"/>
      <c r="AN640" s="712"/>
      <c r="AO640" s="712"/>
      <c r="AP640" s="712"/>
      <c r="AQ640" s="712"/>
      <c r="AR640" s="712"/>
      <c r="AS640" s="712"/>
      <c r="AT640" s="712"/>
      <c r="AU640" s="712"/>
      <c r="AV640" s="712"/>
      <c r="AW640" s="712"/>
      <c r="AX640" s="712"/>
      <c r="AY640" s="712"/>
    </row>
    <row r="641">
      <c r="T641" s="434"/>
      <c r="U641" s="438"/>
      <c r="V641" s="438"/>
      <c r="W641" s="438"/>
      <c r="X641" s="438"/>
      <c r="Y641" s="438"/>
      <c r="Z641" s="438"/>
      <c r="AA641" s="438"/>
      <c r="AB641" s="438"/>
      <c r="AC641" s="438"/>
      <c r="AD641" s="438"/>
      <c r="AE641" s="438"/>
      <c r="AF641" s="438"/>
      <c r="AG641" s="712"/>
      <c r="AH641" s="712"/>
      <c r="AI641" s="712"/>
      <c r="AJ641" s="712"/>
      <c r="AK641" s="712"/>
      <c r="AL641" s="712"/>
      <c r="AM641" s="712"/>
      <c r="AN641" s="712"/>
      <c r="AO641" s="712"/>
      <c r="AP641" s="712"/>
      <c r="AQ641" s="712"/>
      <c r="AR641" s="712"/>
      <c r="AS641" s="712"/>
      <c r="AT641" s="712"/>
      <c r="AU641" s="712"/>
      <c r="AV641" s="712"/>
      <c r="AW641" s="712"/>
      <c r="AX641" s="712"/>
      <c r="AY641" s="712"/>
    </row>
    <row r="642">
      <c r="T642" s="434"/>
      <c r="U642" s="438"/>
      <c r="V642" s="438"/>
      <c r="W642" s="438"/>
      <c r="X642" s="438"/>
      <c r="Y642" s="438"/>
      <c r="Z642" s="438"/>
      <c r="AA642" s="438"/>
      <c r="AB642" s="438"/>
      <c r="AC642" s="438"/>
      <c r="AD642" s="438"/>
      <c r="AE642" s="438"/>
      <c r="AF642" s="438"/>
      <c r="AG642" s="712"/>
      <c r="AH642" s="712"/>
      <c r="AI642" s="712"/>
      <c r="AJ642" s="712"/>
      <c r="AK642" s="712"/>
      <c r="AL642" s="712"/>
      <c r="AM642" s="712"/>
      <c r="AN642" s="712"/>
      <c r="AO642" s="712"/>
      <c r="AP642" s="712"/>
      <c r="AQ642" s="712"/>
      <c r="AR642" s="712"/>
      <c r="AS642" s="712"/>
      <c r="AT642" s="712"/>
      <c r="AU642" s="712"/>
      <c r="AV642" s="712"/>
      <c r="AW642" s="712"/>
      <c r="AX642" s="712"/>
      <c r="AY642" s="712"/>
    </row>
    <row r="643">
      <c r="T643" s="434"/>
      <c r="U643" s="438"/>
      <c r="V643" s="438"/>
      <c r="W643" s="438"/>
      <c r="X643" s="438"/>
      <c r="Y643" s="438"/>
      <c r="Z643" s="438"/>
      <c r="AA643" s="438"/>
      <c r="AB643" s="438"/>
      <c r="AC643" s="438"/>
      <c r="AD643" s="438"/>
      <c r="AE643" s="438"/>
      <c r="AF643" s="438"/>
      <c r="AG643" s="712"/>
      <c r="AH643" s="712"/>
      <c r="AI643" s="712"/>
      <c r="AJ643" s="712"/>
      <c r="AK643" s="712"/>
      <c r="AL643" s="712"/>
      <c r="AM643" s="712"/>
      <c r="AN643" s="712"/>
      <c r="AO643" s="712"/>
      <c r="AP643" s="712"/>
      <c r="AQ643" s="712"/>
      <c r="AR643" s="712"/>
      <c r="AS643" s="712"/>
      <c r="AT643" s="712"/>
      <c r="AU643" s="712"/>
      <c r="AV643" s="712"/>
      <c r="AW643" s="712"/>
      <c r="AX643" s="712"/>
      <c r="AY643" s="712"/>
    </row>
    <row r="644">
      <c r="T644" s="434"/>
      <c r="U644" s="438"/>
      <c r="V644" s="438"/>
      <c r="W644" s="438"/>
      <c r="X644" s="438"/>
      <c r="Y644" s="438"/>
      <c r="Z644" s="438"/>
      <c r="AA644" s="438"/>
      <c r="AB644" s="438"/>
      <c r="AC644" s="438"/>
      <c r="AD644" s="438"/>
      <c r="AE644" s="438"/>
      <c r="AF644" s="438"/>
      <c r="AG644" s="712"/>
      <c r="AH644" s="712"/>
      <c r="AI644" s="712"/>
      <c r="AJ644" s="712"/>
      <c r="AK644" s="712"/>
      <c r="AL644" s="712"/>
      <c r="AM644" s="712"/>
      <c r="AN644" s="712"/>
      <c r="AO644" s="712"/>
      <c r="AP644" s="712"/>
      <c r="AQ644" s="712"/>
      <c r="AR644" s="712"/>
      <c r="AS644" s="712"/>
      <c r="AT644" s="712"/>
      <c r="AU644" s="712"/>
      <c r="AV644" s="712"/>
      <c r="AW644" s="712"/>
      <c r="AX644" s="712"/>
      <c r="AY644" s="712"/>
    </row>
    <row r="645">
      <c r="T645" s="434"/>
      <c r="U645" s="438"/>
      <c r="V645" s="438"/>
      <c r="W645" s="438"/>
      <c r="X645" s="438"/>
      <c r="Y645" s="438"/>
      <c r="Z645" s="438"/>
      <c r="AA645" s="438"/>
      <c r="AB645" s="438"/>
      <c r="AC645" s="438"/>
      <c r="AD645" s="438"/>
      <c r="AE645" s="438"/>
      <c r="AF645" s="438"/>
      <c r="AG645" s="712"/>
      <c r="AH645" s="712"/>
      <c r="AI645" s="712"/>
      <c r="AJ645" s="712"/>
      <c r="AK645" s="712"/>
      <c r="AL645" s="712"/>
      <c r="AM645" s="712"/>
      <c r="AN645" s="712"/>
      <c r="AO645" s="712"/>
      <c r="AP645" s="712"/>
      <c r="AQ645" s="712"/>
      <c r="AR645" s="712"/>
      <c r="AS645" s="712"/>
      <c r="AT645" s="712"/>
      <c r="AU645" s="712"/>
      <c r="AV645" s="712"/>
      <c r="AW645" s="712"/>
      <c r="AX645" s="712"/>
      <c r="AY645" s="712"/>
    </row>
    <row r="646">
      <c r="T646" s="434"/>
      <c r="U646" s="438"/>
      <c r="V646" s="438"/>
      <c r="W646" s="438"/>
      <c r="X646" s="438"/>
      <c r="Y646" s="438"/>
      <c r="Z646" s="438"/>
      <c r="AA646" s="438"/>
      <c r="AB646" s="438"/>
      <c r="AC646" s="438"/>
      <c r="AD646" s="438"/>
      <c r="AE646" s="438"/>
      <c r="AF646" s="438"/>
      <c r="AG646" s="712"/>
      <c r="AH646" s="712"/>
      <c r="AI646" s="712"/>
      <c r="AJ646" s="712"/>
      <c r="AK646" s="712"/>
      <c r="AL646" s="712"/>
      <c r="AM646" s="712"/>
      <c r="AN646" s="712"/>
      <c r="AO646" s="712"/>
      <c r="AP646" s="712"/>
      <c r="AQ646" s="712"/>
      <c r="AR646" s="712"/>
      <c r="AS646" s="712"/>
      <c r="AT646" s="712"/>
      <c r="AU646" s="712"/>
      <c r="AV646" s="712"/>
      <c r="AW646" s="712"/>
      <c r="AX646" s="712"/>
      <c r="AY646" s="712"/>
    </row>
    <row r="647">
      <c r="T647" s="434"/>
      <c r="U647" s="438"/>
      <c r="V647" s="438"/>
      <c r="W647" s="438"/>
      <c r="X647" s="438"/>
      <c r="Y647" s="438"/>
      <c r="Z647" s="438"/>
      <c r="AA647" s="438"/>
      <c r="AB647" s="438"/>
      <c r="AC647" s="438"/>
      <c r="AD647" s="438"/>
      <c r="AE647" s="438"/>
      <c r="AF647" s="438"/>
      <c r="AG647" s="712"/>
      <c r="AH647" s="712"/>
      <c r="AI647" s="712"/>
      <c r="AJ647" s="712"/>
      <c r="AK647" s="712"/>
      <c r="AL647" s="712"/>
      <c r="AM647" s="712"/>
      <c r="AN647" s="712"/>
      <c r="AO647" s="712"/>
      <c r="AP647" s="712"/>
      <c r="AQ647" s="712"/>
      <c r="AR647" s="712"/>
      <c r="AS647" s="712"/>
      <c r="AT647" s="712"/>
      <c r="AU647" s="712"/>
      <c r="AV647" s="712"/>
      <c r="AW647" s="712"/>
      <c r="AX647" s="712"/>
      <c r="AY647" s="712"/>
    </row>
    <row r="648">
      <c r="T648" s="434"/>
      <c r="U648" s="438"/>
      <c r="V648" s="438"/>
      <c r="W648" s="438"/>
      <c r="X648" s="438"/>
      <c r="Y648" s="438"/>
      <c r="Z648" s="438"/>
      <c r="AA648" s="438"/>
      <c r="AB648" s="438"/>
      <c r="AC648" s="438"/>
      <c r="AD648" s="438"/>
      <c r="AE648" s="438"/>
      <c r="AF648" s="438"/>
      <c r="AG648" s="712"/>
      <c r="AH648" s="712"/>
      <c r="AI648" s="712"/>
      <c r="AJ648" s="712"/>
      <c r="AK648" s="712"/>
      <c r="AL648" s="712"/>
      <c r="AM648" s="712"/>
      <c r="AN648" s="712"/>
      <c r="AO648" s="712"/>
      <c r="AP648" s="712"/>
      <c r="AQ648" s="712"/>
      <c r="AR648" s="712"/>
      <c r="AS648" s="712"/>
      <c r="AT648" s="712"/>
      <c r="AU648" s="712"/>
      <c r="AV648" s="712"/>
      <c r="AW648" s="712"/>
      <c r="AX648" s="712"/>
      <c r="AY648" s="712"/>
    </row>
    <row r="649">
      <c r="T649" s="434"/>
      <c r="U649" s="438"/>
      <c r="V649" s="438"/>
      <c r="W649" s="438"/>
      <c r="X649" s="438"/>
      <c r="Y649" s="438"/>
      <c r="Z649" s="438"/>
      <c r="AA649" s="438"/>
      <c r="AB649" s="438"/>
      <c r="AC649" s="438"/>
      <c r="AD649" s="438"/>
      <c r="AE649" s="438"/>
      <c r="AF649" s="438"/>
      <c r="AG649" s="712"/>
      <c r="AH649" s="712"/>
      <c r="AI649" s="712"/>
      <c r="AJ649" s="712"/>
      <c r="AK649" s="712"/>
      <c r="AL649" s="712"/>
      <c r="AM649" s="712"/>
      <c r="AN649" s="712"/>
      <c r="AO649" s="712"/>
      <c r="AP649" s="712"/>
      <c r="AQ649" s="712"/>
      <c r="AR649" s="712"/>
      <c r="AS649" s="712"/>
      <c r="AT649" s="712"/>
      <c r="AU649" s="712"/>
      <c r="AV649" s="712"/>
      <c r="AW649" s="712"/>
      <c r="AX649" s="712"/>
      <c r="AY649" s="712"/>
    </row>
    <row r="650">
      <c r="T650" s="434"/>
      <c r="U650" s="438"/>
      <c r="V650" s="438"/>
      <c r="W650" s="438"/>
      <c r="X650" s="438"/>
      <c r="Y650" s="438"/>
      <c r="Z650" s="438"/>
      <c r="AA650" s="438"/>
      <c r="AB650" s="438"/>
      <c r="AC650" s="438"/>
      <c r="AD650" s="438"/>
      <c r="AE650" s="438"/>
      <c r="AF650" s="438"/>
      <c r="AG650" s="712"/>
      <c r="AH650" s="712"/>
      <c r="AI650" s="712"/>
      <c r="AJ650" s="712"/>
      <c r="AK650" s="712"/>
      <c r="AL650" s="712"/>
      <c r="AM650" s="712"/>
      <c r="AN650" s="712"/>
      <c r="AO650" s="712"/>
      <c r="AP650" s="712"/>
      <c r="AQ650" s="712"/>
      <c r="AR650" s="712"/>
      <c r="AS650" s="712"/>
      <c r="AT650" s="712"/>
      <c r="AU650" s="712"/>
      <c r="AV650" s="712"/>
      <c r="AW650" s="712"/>
      <c r="AX650" s="712"/>
      <c r="AY650" s="712"/>
    </row>
    <row r="651">
      <c r="T651" s="434"/>
      <c r="U651" s="438"/>
      <c r="V651" s="438"/>
      <c r="W651" s="438"/>
      <c r="X651" s="438"/>
      <c r="Y651" s="438"/>
      <c r="Z651" s="438"/>
      <c r="AA651" s="438"/>
      <c r="AB651" s="438"/>
      <c r="AC651" s="438"/>
      <c r="AD651" s="438"/>
      <c r="AE651" s="438"/>
      <c r="AF651" s="438"/>
      <c r="AG651" s="712"/>
      <c r="AH651" s="712"/>
      <c r="AI651" s="712"/>
      <c r="AJ651" s="712"/>
      <c r="AK651" s="712"/>
      <c r="AL651" s="712"/>
      <c r="AM651" s="712"/>
      <c r="AN651" s="712"/>
      <c r="AO651" s="712"/>
      <c r="AP651" s="712"/>
      <c r="AQ651" s="712"/>
      <c r="AR651" s="712"/>
      <c r="AS651" s="712"/>
      <c r="AT651" s="712"/>
      <c r="AU651" s="712"/>
      <c r="AV651" s="712"/>
      <c r="AW651" s="712"/>
      <c r="AX651" s="712"/>
      <c r="AY651" s="712"/>
    </row>
    <row r="652">
      <c r="T652" s="434"/>
      <c r="U652" s="438"/>
      <c r="V652" s="438"/>
      <c r="W652" s="438"/>
      <c r="X652" s="438"/>
      <c r="Y652" s="438"/>
      <c r="Z652" s="438"/>
      <c r="AA652" s="438"/>
      <c r="AB652" s="438"/>
      <c r="AC652" s="438"/>
      <c r="AD652" s="438"/>
      <c r="AE652" s="438"/>
      <c r="AF652" s="438"/>
      <c r="AG652" s="712"/>
      <c r="AH652" s="712"/>
      <c r="AI652" s="712"/>
      <c r="AJ652" s="712"/>
      <c r="AK652" s="712"/>
      <c r="AL652" s="712"/>
      <c r="AM652" s="712"/>
      <c r="AN652" s="712"/>
      <c r="AO652" s="712"/>
      <c r="AP652" s="712"/>
      <c r="AQ652" s="712"/>
      <c r="AR652" s="712"/>
      <c r="AS652" s="712"/>
      <c r="AT652" s="712"/>
      <c r="AU652" s="712"/>
      <c r="AV652" s="712"/>
      <c r="AW652" s="712"/>
      <c r="AX652" s="712"/>
      <c r="AY652" s="712"/>
    </row>
    <row r="653">
      <c r="T653" s="434"/>
      <c r="U653" s="438"/>
      <c r="V653" s="438"/>
      <c r="W653" s="438"/>
      <c r="X653" s="438"/>
      <c r="Y653" s="438"/>
      <c r="Z653" s="438"/>
      <c r="AA653" s="438"/>
      <c r="AB653" s="438"/>
      <c r="AC653" s="438"/>
      <c r="AD653" s="438"/>
      <c r="AE653" s="438"/>
      <c r="AF653" s="438"/>
      <c r="AG653" s="712"/>
      <c r="AH653" s="712"/>
      <c r="AI653" s="712"/>
      <c r="AJ653" s="712"/>
      <c r="AK653" s="712"/>
      <c r="AL653" s="712"/>
      <c r="AM653" s="712"/>
      <c r="AN653" s="712"/>
      <c r="AO653" s="712"/>
      <c r="AP653" s="712"/>
      <c r="AQ653" s="712"/>
      <c r="AR653" s="712"/>
      <c r="AS653" s="712"/>
      <c r="AT653" s="712"/>
      <c r="AU653" s="712"/>
      <c r="AV653" s="712"/>
      <c r="AW653" s="712"/>
      <c r="AX653" s="712"/>
      <c r="AY653" s="712"/>
    </row>
    <row r="654">
      <c r="T654" s="434"/>
      <c r="U654" s="438"/>
      <c r="V654" s="438"/>
      <c r="W654" s="438"/>
      <c r="X654" s="438"/>
      <c r="Y654" s="438"/>
      <c r="Z654" s="438"/>
      <c r="AA654" s="438"/>
      <c r="AB654" s="438"/>
      <c r="AC654" s="438"/>
      <c r="AD654" s="438"/>
      <c r="AE654" s="438"/>
      <c r="AF654" s="438"/>
      <c r="AG654" s="712"/>
      <c r="AH654" s="712"/>
      <c r="AI654" s="712"/>
      <c r="AJ654" s="712"/>
      <c r="AK654" s="712"/>
      <c r="AL654" s="712"/>
      <c r="AM654" s="712"/>
      <c r="AN654" s="712"/>
      <c r="AO654" s="712"/>
      <c r="AP654" s="712"/>
      <c r="AQ654" s="712"/>
      <c r="AR654" s="712"/>
      <c r="AS654" s="712"/>
      <c r="AT654" s="712"/>
      <c r="AU654" s="712"/>
      <c r="AV654" s="712"/>
      <c r="AW654" s="712"/>
      <c r="AX654" s="712"/>
      <c r="AY654" s="712"/>
    </row>
    <row r="655">
      <c r="T655" s="434"/>
      <c r="U655" s="438"/>
      <c r="V655" s="438"/>
      <c r="W655" s="438"/>
      <c r="X655" s="438"/>
      <c r="Y655" s="438"/>
      <c r="Z655" s="438"/>
      <c r="AA655" s="438"/>
      <c r="AB655" s="438"/>
      <c r="AC655" s="438"/>
      <c r="AD655" s="438"/>
      <c r="AE655" s="438"/>
      <c r="AF655" s="438"/>
      <c r="AG655" s="712"/>
      <c r="AH655" s="712"/>
      <c r="AI655" s="712"/>
      <c r="AJ655" s="712"/>
      <c r="AK655" s="712"/>
      <c r="AL655" s="712"/>
      <c r="AM655" s="712"/>
      <c r="AN655" s="712"/>
      <c r="AO655" s="712"/>
      <c r="AP655" s="712"/>
      <c r="AQ655" s="712"/>
      <c r="AR655" s="712"/>
      <c r="AS655" s="712"/>
      <c r="AT655" s="712"/>
      <c r="AU655" s="712"/>
      <c r="AV655" s="712"/>
      <c r="AW655" s="712"/>
      <c r="AX655" s="712"/>
      <c r="AY655" s="712"/>
    </row>
    <row r="656">
      <c r="T656" s="434"/>
      <c r="U656" s="438"/>
      <c r="V656" s="438"/>
      <c r="W656" s="438"/>
      <c r="X656" s="438"/>
      <c r="Y656" s="438"/>
      <c r="Z656" s="438"/>
      <c r="AA656" s="438"/>
      <c r="AB656" s="438"/>
      <c r="AC656" s="438"/>
      <c r="AD656" s="438"/>
      <c r="AE656" s="438"/>
      <c r="AF656" s="438"/>
      <c r="AG656" s="712"/>
      <c r="AH656" s="712"/>
      <c r="AI656" s="712"/>
      <c r="AJ656" s="712"/>
      <c r="AK656" s="712"/>
      <c r="AL656" s="712"/>
      <c r="AM656" s="712"/>
      <c r="AN656" s="712"/>
      <c r="AO656" s="712"/>
      <c r="AP656" s="712"/>
      <c r="AQ656" s="712"/>
      <c r="AR656" s="712"/>
      <c r="AS656" s="712"/>
      <c r="AT656" s="712"/>
      <c r="AU656" s="712"/>
      <c r="AV656" s="712"/>
      <c r="AW656" s="712"/>
      <c r="AX656" s="712"/>
      <c r="AY656" s="712"/>
    </row>
    <row r="657">
      <c r="T657" s="434"/>
      <c r="U657" s="438"/>
      <c r="V657" s="438"/>
      <c r="W657" s="438"/>
      <c r="X657" s="438"/>
      <c r="Y657" s="438"/>
      <c r="Z657" s="438"/>
      <c r="AA657" s="438"/>
      <c r="AB657" s="438"/>
      <c r="AC657" s="438"/>
      <c r="AD657" s="438"/>
      <c r="AE657" s="438"/>
      <c r="AF657" s="438"/>
      <c r="AG657" s="712"/>
      <c r="AH657" s="712"/>
      <c r="AI657" s="712"/>
      <c r="AJ657" s="712"/>
      <c r="AK657" s="712"/>
      <c r="AL657" s="712"/>
      <c r="AM657" s="712"/>
      <c r="AN657" s="712"/>
      <c r="AO657" s="712"/>
      <c r="AP657" s="712"/>
      <c r="AQ657" s="712"/>
      <c r="AR657" s="712"/>
      <c r="AS657" s="712"/>
      <c r="AT657" s="712"/>
      <c r="AU657" s="712"/>
      <c r="AV657" s="712"/>
      <c r="AW657" s="712"/>
      <c r="AX657" s="712"/>
      <c r="AY657" s="712"/>
    </row>
    <row r="658">
      <c r="T658" s="434"/>
      <c r="U658" s="438"/>
      <c r="V658" s="438"/>
      <c r="W658" s="438"/>
      <c r="X658" s="438"/>
      <c r="Y658" s="438"/>
      <c r="Z658" s="438"/>
      <c r="AA658" s="438"/>
      <c r="AB658" s="438"/>
      <c r="AC658" s="438"/>
      <c r="AD658" s="438"/>
      <c r="AE658" s="438"/>
      <c r="AF658" s="438"/>
      <c r="AG658" s="712"/>
      <c r="AH658" s="712"/>
      <c r="AI658" s="712"/>
      <c r="AJ658" s="712"/>
      <c r="AK658" s="712"/>
      <c r="AL658" s="712"/>
      <c r="AM658" s="712"/>
      <c r="AN658" s="712"/>
      <c r="AO658" s="712"/>
      <c r="AP658" s="712"/>
      <c r="AQ658" s="712"/>
      <c r="AR658" s="712"/>
      <c r="AS658" s="712"/>
      <c r="AT658" s="712"/>
      <c r="AU658" s="712"/>
      <c r="AV658" s="712"/>
      <c r="AW658" s="712"/>
      <c r="AX658" s="712"/>
      <c r="AY658" s="712"/>
    </row>
    <row r="659">
      <c r="T659" s="434"/>
      <c r="U659" s="438"/>
      <c r="V659" s="438"/>
      <c r="W659" s="438"/>
      <c r="X659" s="438"/>
      <c r="Y659" s="438"/>
      <c r="Z659" s="438"/>
      <c r="AA659" s="438"/>
      <c r="AB659" s="438"/>
      <c r="AC659" s="438"/>
      <c r="AD659" s="438"/>
      <c r="AE659" s="438"/>
      <c r="AF659" s="438"/>
      <c r="AG659" s="712"/>
      <c r="AH659" s="712"/>
      <c r="AI659" s="712"/>
      <c r="AJ659" s="712"/>
      <c r="AK659" s="712"/>
      <c r="AL659" s="712"/>
      <c r="AM659" s="712"/>
      <c r="AN659" s="712"/>
      <c r="AO659" s="712"/>
      <c r="AP659" s="712"/>
      <c r="AQ659" s="712"/>
      <c r="AR659" s="712"/>
      <c r="AS659" s="712"/>
      <c r="AT659" s="712"/>
      <c r="AU659" s="712"/>
      <c r="AV659" s="712"/>
      <c r="AW659" s="712"/>
      <c r="AX659" s="712"/>
      <c r="AY659" s="712"/>
    </row>
    <row r="660">
      <c r="T660" s="434"/>
      <c r="U660" s="438"/>
      <c r="V660" s="438"/>
      <c r="W660" s="438"/>
      <c r="X660" s="438"/>
      <c r="Y660" s="438"/>
      <c r="Z660" s="438"/>
      <c r="AA660" s="438"/>
      <c r="AB660" s="438"/>
      <c r="AC660" s="438"/>
      <c r="AD660" s="438"/>
      <c r="AE660" s="438"/>
      <c r="AF660" s="438"/>
      <c r="AG660" s="712"/>
      <c r="AH660" s="712"/>
      <c r="AI660" s="712"/>
      <c r="AJ660" s="712"/>
      <c r="AK660" s="712"/>
      <c r="AL660" s="712"/>
      <c r="AM660" s="712"/>
      <c r="AN660" s="712"/>
      <c r="AO660" s="712"/>
      <c r="AP660" s="712"/>
      <c r="AQ660" s="712"/>
      <c r="AR660" s="712"/>
      <c r="AS660" s="712"/>
      <c r="AT660" s="712"/>
      <c r="AU660" s="712"/>
      <c r="AV660" s="712"/>
      <c r="AW660" s="712"/>
      <c r="AX660" s="712"/>
      <c r="AY660" s="712"/>
    </row>
    <row r="661">
      <c r="T661" s="434"/>
      <c r="U661" s="438"/>
      <c r="V661" s="438"/>
      <c r="W661" s="438"/>
      <c r="X661" s="438"/>
      <c r="Y661" s="438"/>
      <c r="Z661" s="438"/>
      <c r="AA661" s="438"/>
      <c r="AB661" s="438"/>
      <c r="AC661" s="438"/>
      <c r="AD661" s="438"/>
      <c r="AE661" s="438"/>
      <c r="AF661" s="438"/>
      <c r="AG661" s="712"/>
      <c r="AH661" s="712"/>
      <c r="AI661" s="712"/>
      <c r="AJ661" s="712"/>
      <c r="AK661" s="712"/>
      <c r="AL661" s="712"/>
      <c r="AM661" s="712"/>
      <c r="AN661" s="712"/>
      <c r="AO661" s="712"/>
      <c r="AP661" s="712"/>
      <c r="AQ661" s="712"/>
      <c r="AR661" s="712"/>
      <c r="AS661" s="712"/>
      <c r="AT661" s="712"/>
      <c r="AU661" s="712"/>
      <c r="AV661" s="712"/>
      <c r="AW661" s="712"/>
      <c r="AX661" s="712"/>
      <c r="AY661" s="712"/>
    </row>
    <row r="662">
      <c r="T662" s="434"/>
      <c r="U662" s="438"/>
      <c r="V662" s="438"/>
      <c r="W662" s="438"/>
      <c r="X662" s="438"/>
      <c r="Y662" s="438"/>
      <c r="Z662" s="438"/>
      <c r="AA662" s="438"/>
      <c r="AB662" s="438"/>
      <c r="AC662" s="438"/>
      <c r="AD662" s="438"/>
      <c r="AE662" s="438"/>
      <c r="AF662" s="438"/>
      <c r="AG662" s="712"/>
      <c r="AH662" s="712"/>
      <c r="AI662" s="712"/>
      <c r="AJ662" s="712"/>
      <c r="AK662" s="712"/>
      <c r="AL662" s="712"/>
      <c r="AM662" s="712"/>
      <c r="AN662" s="712"/>
      <c r="AO662" s="712"/>
      <c r="AP662" s="712"/>
      <c r="AQ662" s="712"/>
      <c r="AR662" s="712"/>
      <c r="AS662" s="712"/>
      <c r="AT662" s="712"/>
      <c r="AU662" s="712"/>
      <c r="AV662" s="712"/>
      <c r="AW662" s="712"/>
      <c r="AX662" s="712"/>
      <c r="AY662" s="712"/>
    </row>
    <row r="663">
      <c r="T663" s="434"/>
      <c r="U663" s="438"/>
      <c r="V663" s="438"/>
      <c r="W663" s="438"/>
      <c r="X663" s="438"/>
      <c r="Y663" s="438"/>
      <c r="Z663" s="438"/>
      <c r="AA663" s="438"/>
      <c r="AB663" s="438"/>
      <c r="AC663" s="438"/>
      <c r="AD663" s="438"/>
      <c r="AE663" s="438"/>
      <c r="AF663" s="438"/>
      <c r="AG663" s="712"/>
      <c r="AH663" s="712"/>
      <c r="AI663" s="712"/>
      <c r="AJ663" s="712"/>
      <c r="AK663" s="712"/>
      <c r="AL663" s="712"/>
      <c r="AM663" s="712"/>
      <c r="AN663" s="712"/>
      <c r="AO663" s="712"/>
      <c r="AP663" s="712"/>
      <c r="AQ663" s="712"/>
      <c r="AR663" s="712"/>
      <c r="AS663" s="712"/>
      <c r="AT663" s="712"/>
      <c r="AU663" s="712"/>
      <c r="AV663" s="712"/>
      <c r="AW663" s="712"/>
      <c r="AX663" s="712"/>
      <c r="AY663" s="712"/>
    </row>
    <row r="664">
      <c r="T664" s="434"/>
      <c r="U664" s="438"/>
      <c r="V664" s="438"/>
      <c r="W664" s="438"/>
      <c r="X664" s="438"/>
      <c r="Y664" s="438"/>
      <c r="Z664" s="438"/>
      <c r="AA664" s="438"/>
      <c r="AB664" s="438"/>
      <c r="AC664" s="438"/>
      <c r="AD664" s="438"/>
      <c r="AE664" s="438"/>
      <c r="AF664" s="438"/>
      <c r="AG664" s="712"/>
      <c r="AH664" s="712"/>
      <c r="AI664" s="712"/>
      <c r="AJ664" s="712"/>
      <c r="AK664" s="712"/>
      <c r="AL664" s="712"/>
      <c r="AM664" s="712"/>
      <c r="AN664" s="712"/>
      <c r="AO664" s="712"/>
      <c r="AP664" s="712"/>
      <c r="AQ664" s="712"/>
      <c r="AR664" s="712"/>
      <c r="AS664" s="712"/>
      <c r="AT664" s="712"/>
      <c r="AU664" s="712"/>
      <c r="AV664" s="712"/>
      <c r="AW664" s="712"/>
      <c r="AX664" s="712"/>
      <c r="AY664" s="712"/>
    </row>
    <row r="665">
      <c r="T665" s="434"/>
      <c r="U665" s="438"/>
      <c r="V665" s="438"/>
      <c r="W665" s="438"/>
      <c r="X665" s="438"/>
      <c r="Y665" s="438"/>
      <c r="Z665" s="438"/>
      <c r="AA665" s="438"/>
      <c r="AB665" s="438"/>
      <c r="AC665" s="438"/>
      <c r="AD665" s="438"/>
      <c r="AE665" s="438"/>
      <c r="AF665" s="438"/>
      <c r="AG665" s="712"/>
      <c r="AH665" s="712"/>
      <c r="AI665" s="712"/>
      <c r="AJ665" s="712"/>
      <c r="AK665" s="712"/>
      <c r="AL665" s="712"/>
      <c r="AM665" s="712"/>
      <c r="AN665" s="712"/>
      <c r="AO665" s="712"/>
      <c r="AP665" s="712"/>
      <c r="AQ665" s="712"/>
      <c r="AR665" s="712"/>
      <c r="AS665" s="712"/>
      <c r="AT665" s="712"/>
      <c r="AU665" s="712"/>
      <c r="AV665" s="712"/>
      <c r="AW665" s="712"/>
      <c r="AX665" s="712"/>
      <c r="AY665" s="712"/>
    </row>
    <row r="666">
      <c r="T666" s="434"/>
      <c r="U666" s="438"/>
      <c r="V666" s="438"/>
      <c r="W666" s="438"/>
      <c r="X666" s="438"/>
      <c r="Y666" s="438"/>
      <c r="Z666" s="438"/>
      <c r="AA666" s="438"/>
      <c r="AB666" s="438"/>
      <c r="AC666" s="438"/>
      <c r="AD666" s="438"/>
      <c r="AE666" s="438"/>
      <c r="AF666" s="438"/>
      <c r="AG666" s="712"/>
      <c r="AH666" s="712"/>
      <c r="AI666" s="712"/>
      <c r="AJ666" s="712"/>
      <c r="AK666" s="712"/>
      <c r="AL666" s="712"/>
      <c r="AM666" s="712"/>
      <c r="AN666" s="712"/>
      <c r="AO666" s="712"/>
      <c r="AP666" s="712"/>
      <c r="AQ666" s="712"/>
      <c r="AR666" s="712"/>
      <c r="AS666" s="712"/>
      <c r="AT666" s="712"/>
      <c r="AU666" s="712"/>
      <c r="AV666" s="712"/>
      <c r="AW666" s="712"/>
      <c r="AX666" s="712"/>
      <c r="AY666" s="712"/>
    </row>
    <row r="667">
      <c r="T667" s="434"/>
      <c r="U667" s="438"/>
      <c r="V667" s="438"/>
      <c r="W667" s="438"/>
      <c r="X667" s="438"/>
      <c r="Y667" s="438"/>
      <c r="Z667" s="438"/>
      <c r="AA667" s="438"/>
      <c r="AB667" s="438"/>
      <c r="AC667" s="438"/>
      <c r="AD667" s="438"/>
      <c r="AE667" s="438"/>
      <c r="AF667" s="438"/>
      <c r="AG667" s="712"/>
      <c r="AH667" s="712"/>
      <c r="AI667" s="712"/>
      <c r="AJ667" s="712"/>
      <c r="AK667" s="712"/>
      <c r="AL667" s="712"/>
      <c r="AM667" s="712"/>
      <c r="AN667" s="712"/>
      <c r="AO667" s="712"/>
      <c r="AP667" s="712"/>
      <c r="AQ667" s="712"/>
      <c r="AR667" s="712"/>
      <c r="AS667" s="712"/>
      <c r="AT667" s="712"/>
      <c r="AU667" s="712"/>
      <c r="AV667" s="712"/>
      <c r="AW667" s="712"/>
      <c r="AX667" s="712"/>
      <c r="AY667" s="712"/>
    </row>
    <row r="668">
      <c r="T668" s="434"/>
      <c r="U668" s="438"/>
      <c r="V668" s="438"/>
      <c r="W668" s="438"/>
      <c r="X668" s="438"/>
      <c r="Y668" s="438"/>
      <c r="Z668" s="438"/>
      <c r="AA668" s="438"/>
      <c r="AB668" s="438"/>
      <c r="AC668" s="438"/>
      <c r="AD668" s="438"/>
      <c r="AE668" s="438"/>
      <c r="AF668" s="438"/>
      <c r="AG668" s="712"/>
      <c r="AH668" s="712"/>
      <c r="AI668" s="712"/>
      <c r="AJ668" s="712"/>
      <c r="AK668" s="712"/>
      <c r="AL668" s="712"/>
      <c r="AM668" s="712"/>
      <c r="AN668" s="712"/>
      <c r="AO668" s="712"/>
      <c r="AP668" s="712"/>
      <c r="AQ668" s="712"/>
      <c r="AR668" s="712"/>
      <c r="AS668" s="712"/>
      <c r="AT668" s="712"/>
      <c r="AU668" s="712"/>
      <c r="AV668" s="712"/>
      <c r="AW668" s="712"/>
      <c r="AX668" s="712"/>
      <c r="AY668" s="712"/>
    </row>
    <row r="669">
      <c r="T669" s="434"/>
      <c r="U669" s="438"/>
      <c r="V669" s="438"/>
      <c r="W669" s="438"/>
      <c r="X669" s="438"/>
      <c r="Y669" s="438"/>
      <c r="Z669" s="438"/>
      <c r="AA669" s="438"/>
      <c r="AB669" s="438"/>
      <c r="AC669" s="438"/>
      <c r="AD669" s="438"/>
      <c r="AE669" s="438"/>
      <c r="AF669" s="438"/>
      <c r="AG669" s="712"/>
      <c r="AH669" s="712"/>
      <c r="AI669" s="712"/>
      <c r="AJ669" s="712"/>
      <c r="AK669" s="712"/>
      <c r="AL669" s="712"/>
      <c r="AM669" s="712"/>
      <c r="AN669" s="712"/>
      <c r="AO669" s="712"/>
      <c r="AP669" s="712"/>
      <c r="AQ669" s="712"/>
      <c r="AR669" s="712"/>
      <c r="AS669" s="712"/>
      <c r="AT669" s="712"/>
      <c r="AU669" s="712"/>
      <c r="AV669" s="712"/>
      <c r="AW669" s="712"/>
      <c r="AX669" s="712"/>
      <c r="AY669" s="712"/>
    </row>
    <row r="670">
      <c r="T670" s="434"/>
      <c r="U670" s="438"/>
      <c r="V670" s="438"/>
      <c r="W670" s="438"/>
      <c r="X670" s="438"/>
      <c r="Y670" s="438"/>
      <c r="Z670" s="438"/>
      <c r="AA670" s="438"/>
      <c r="AB670" s="438"/>
      <c r="AC670" s="438"/>
      <c r="AD670" s="438"/>
      <c r="AE670" s="438"/>
      <c r="AF670" s="438"/>
      <c r="AG670" s="712"/>
      <c r="AH670" s="712"/>
      <c r="AI670" s="712"/>
      <c r="AJ670" s="712"/>
      <c r="AK670" s="712"/>
      <c r="AL670" s="712"/>
      <c r="AM670" s="712"/>
      <c r="AN670" s="712"/>
      <c r="AO670" s="712"/>
      <c r="AP670" s="712"/>
      <c r="AQ670" s="712"/>
      <c r="AR670" s="712"/>
      <c r="AS670" s="712"/>
      <c r="AT670" s="712"/>
      <c r="AU670" s="712"/>
      <c r="AV670" s="712"/>
      <c r="AW670" s="712"/>
      <c r="AX670" s="712"/>
      <c r="AY670" s="712"/>
    </row>
    <row r="671">
      <c r="T671" s="434"/>
      <c r="U671" s="438"/>
      <c r="V671" s="438"/>
      <c r="W671" s="438"/>
      <c r="X671" s="438"/>
      <c r="Y671" s="438"/>
      <c r="Z671" s="438"/>
      <c r="AA671" s="438"/>
      <c r="AB671" s="438"/>
      <c r="AC671" s="438"/>
      <c r="AD671" s="438"/>
      <c r="AE671" s="438"/>
      <c r="AF671" s="438"/>
      <c r="AG671" s="712"/>
      <c r="AH671" s="712"/>
      <c r="AI671" s="712"/>
      <c r="AJ671" s="712"/>
      <c r="AK671" s="712"/>
      <c r="AL671" s="712"/>
      <c r="AM671" s="712"/>
      <c r="AN671" s="712"/>
      <c r="AO671" s="712"/>
      <c r="AP671" s="712"/>
      <c r="AQ671" s="712"/>
      <c r="AR671" s="712"/>
      <c r="AS671" s="712"/>
      <c r="AT671" s="712"/>
      <c r="AU671" s="712"/>
      <c r="AV671" s="712"/>
      <c r="AW671" s="712"/>
      <c r="AX671" s="712"/>
      <c r="AY671" s="712"/>
    </row>
    <row r="672">
      <c r="T672" s="434"/>
      <c r="U672" s="438"/>
      <c r="V672" s="438"/>
      <c r="W672" s="438"/>
      <c r="X672" s="438"/>
      <c r="Y672" s="438"/>
      <c r="Z672" s="438"/>
      <c r="AA672" s="438"/>
      <c r="AB672" s="438"/>
      <c r="AC672" s="438"/>
      <c r="AD672" s="438"/>
      <c r="AE672" s="438"/>
      <c r="AF672" s="438"/>
      <c r="AG672" s="712"/>
      <c r="AH672" s="712"/>
      <c r="AI672" s="712"/>
      <c r="AJ672" s="712"/>
      <c r="AK672" s="712"/>
      <c r="AL672" s="712"/>
      <c r="AM672" s="712"/>
      <c r="AN672" s="712"/>
      <c r="AO672" s="712"/>
      <c r="AP672" s="712"/>
      <c r="AQ672" s="712"/>
      <c r="AR672" s="712"/>
      <c r="AS672" s="712"/>
      <c r="AT672" s="712"/>
      <c r="AU672" s="712"/>
      <c r="AV672" s="712"/>
      <c r="AW672" s="712"/>
      <c r="AX672" s="712"/>
      <c r="AY672" s="712"/>
    </row>
    <row r="673">
      <c r="T673" s="434"/>
      <c r="U673" s="438"/>
      <c r="V673" s="438"/>
      <c r="W673" s="438"/>
      <c r="X673" s="438"/>
      <c r="Y673" s="438"/>
      <c r="Z673" s="438"/>
      <c r="AA673" s="438"/>
      <c r="AB673" s="438"/>
      <c r="AC673" s="438"/>
      <c r="AD673" s="438"/>
      <c r="AE673" s="438"/>
      <c r="AF673" s="438"/>
      <c r="AG673" s="712"/>
      <c r="AH673" s="712"/>
      <c r="AI673" s="712"/>
      <c r="AJ673" s="712"/>
      <c r="AK673" s="712"/>
      <c r="AL673" s="712"/>
      <c r="AM673" s="712"/>
      <c r="AN673" s="712"/>
      <c r="AO673" s="712"/>
      <c r="AP673" s="712"/>
      <c r="AQ673" s="712"/>
      <c r="AR673" s="712"/>
      <c r="AS673" s="712"/>
      <c r="AT673" s="712"/>
      <c r="AU673" s="712"/>
      <c r="AV673" s="712"/>
      <c r="AW673" s="712"/>
      <c r="AX673" s="712"/>
      <c r="AY673" s="712"/>
    </row>
    <row r="674">
      <c r="T674" s="434"/>
      <c r="U674" s="438"/>
      <c r="V674" s="438"/>
      <c r="W674" s="438"/>
      <c r="X674" s="438"/>
      <c r="Y674" s="438"/>
      <c r="Z674" s="438"/>
      <c r="AA674" s="438"/>
      <c r="AB674" s="438"/>
      <c r="AC674" s="438"/>
      <c r="AD674" s="438"/>
      <c r="AE674" s="438"/>
      <c r="AF674" s="438"/>
      <c r="AG674" s="712"/>
      <c r="AH674" s="712"/>
      <c r="AI674" s="712"/>
      <c r="AJ674" s="712"/>
      <c r="AK674" s="712"/>
      <c r="AL674" s="712"/>
      <c r="AM674" s="712"/>
      <c r="AN674" s="712"/>
      <c r="AO674" s="712"/>
      <c r="AP674" s="712"/>
      <c r="AQ674" s="712"/>
      <c r="AR674" s="712"/>
      <c r="AS674" s="712"/>
      <c r="AT674" s="712"/>
      <c r="AU674" s="712"/>
      <c r="AV674" s="712"/>
      <c r="AW674" s="712"/>
      <c r="AX674" s="712"/>
      <c r="AY674" s="712"/>
    </row>
    <row r="675">
      <c r="T675" s="434"/>
      <c r="U675" s="438"/>
      <c r="V675" s="438"/>
      <c r="W675" s="438"/>
      <c r="X675" s="438"/>
      <c r="Y675" s="438"/>
      <c r="Z675" s="438"/>
      <c r="AA675" s="438"/>
      <c r="AB675" s="438"/>
      <c r="AC675" s="438"/>
      <c r="AD675" s="438"/>
      <c r="AE675" s="438"/>
      <c r="AF675" s="438"/>
      <c r="AG675" s="712"/>
      <c r="AH675" s="712"/>
      <c r="AI675" s="712"/>
      <c r="AJ675" s="712"/>
      <c r="AK675" s="712"/>
      <c r="AL675" s="712"/>
      <c r="AM675" s="712"/>
      <c r="AN675" s="712"/>
      <c r="AO675" s="712"/>
      <c r="AP675" s="712"/>
      <c r="AQ675" s="712"/>
      <c r="AR675" s="712"/>
      <c r="AS675" s="712"/>
      <c r="AT675" s="712"/>
      <c r="AU675" s="712"/>
      <c r="AV675" s="712"/>
      <c r="AW675" s="712"/>
      <c r="AX675" s="712"/>
      <c r="AY675" s="712"/>
    </row>
    <row r="676">
      <c r="T676" s="434"/>
      <c r="U676" s="438"/>
      <c r="V676" s="438"/>
      <c r="W676" s="438"/>
      <c r="X676" s="438"/>
      <c r="Y676" s="438"/>
      <c r="Z676" s="438"/>
      <c r="AA676" s="438"/>
      <c r="AB676" s="438"/>
      <c r="AC676" s="438"/>
      <c r="AD676" s="438"/>
      <c r="AE676" s="438"/>
      <c r="AF676" s="438"/>
      <c r="AG676" s="712"/>
      <c r="AH676" s="712"/>
      <c r="AI676" s="712"/>
      <c r="AJ676" s="712"/>
      <c r="AK676" s="712"/>
      <c r="AL676" s="712"/>
      <c r="AM676" s="712"/>
      <c r="AN676" s="712"/>
      <c r="AO676" s="712"/>
      <c r="AP676" s="712"/>
      <c r="AQ676" s="712"/>
      <c r="AR676" s="712"/>
      <c r="AS676" s="712"/>
      <c r="AT676" s="712"/>
      <c r="AU676" s="712"/>
      <c r="AV676" s="712"/>
      <c r="AW676" s="712"/>
      <c r="AX676" s="712"/>
      <c r="AY676" s="712"/>
    </row>
    <row r="677">
      <c r="T677" s="434"/>
      <c r="U677" s="438"/>
      <c r="V677" s="438"/>
      <c r="W677" s="438"/>
      <c r="X677" s="438"/>
      <c r="Y677" s="438"/>
      <c r="Z677" s="438"/>
      <c r="AA677" s="438"/>
      <c r="AB677" s="438"/>
      <c r="AC677" s="438"/>
      <c r="AD677" s="438"/>
      <c r="AE677" s="438"/>
      <c r="AF677" s="438"/>
      <c r="AG677" s="712"/>
      <c r="AH677" s="712"/>
      <c r="AI677" s="712"/>
      <c r="AJ677" s="712"/>
      <c r="AK677" s="712"/>
      <c r="AL677" s="712"/>
      <c r="AM677" s="712"/>
      <c r="AN677" s="712"/>
      <c r="AO677" s="712"/>
      <c r="AP677" s="712"/>
      <c r="AQ677" s="712"/>
      <c r="AR677" s="712"/>
      <c r="AS677" s="712"/>
      <c r="AT677" s="712"/>
      <c r="AU677" s="712"/>
      <c r="AV677" s="712"/>
      <c r="AW677" s="712"/>
      <c r="AX677" s="712"/>
      <c r="AY677" s="712"/>
    </row>
    <row r="678">
      <c r="T678" s="434"/>
      <c r="U678" s="438"/>
      <c r="V678" s="438"/>
      <c r="W678" s="438"/>
      <c r="X678" s="438"/>
      <c r="Y678" s="438"/>
      <c r="Z678" s="438"/>
      <c r="AA678" s="438"/>
      <c r="AB678" s="438"/>
      <c r="AC678" s="438"/>
      <c r="AD678" s="438"/>
      <c r="AE678" s="438"/>
      <c r="AF678" s="438"/>
      <c r="AG678" s="712"/>
      <c r="AH678" s="712"/>
      <c r="AI678" s="712"/>
      <c r="AJ678" s="712"/>
      <c r="AK678" s="712"/>
      <c r="AL678" s="712"/>
      <c r="AM678" s="712"/>
      <c r="AN678" s="712"/>
      <c r="AO678" s="712"/>
      <c r="AP678" s="712"/>
      <c r="AQ678" s="712"/>
      <c r="AR678" s="712"/>
      <c r="AS678" s="712"/>
      <c r="AT678" s="712"/>
      <c r="AU678" s="712"/>
      <c r="AV678" s="712"/>
      <c r="AW678" s="712"/>
      <c r="AX678" s="712"/>
      <c r="AY678" s="712"/>
    </row>
    <row r="679">
      <c r="T679" s="434"/>
      <c r="U679" s="438"/>
      <c r="V679" s="438"/>
      <c r="W679" s="438"/>
      <c r="X679" s="438"/>
      <c r="Y679" s="438"/>
      <c r="Z679" s="438"/>
      <c r="AA679" s="438"/>
      <c r="AB679" s="438"/>
      <c r="AC679" s="438"/>
      <c r="AD679" s="438"/>
      <c r="AE679" s="438"/>
      <c r="AF679" s="438"/>
      <c r="AG679" s="712"/>
      <c r="AH679" s="712"/>
      <c r="AI679" s="712"/>
      <c r="AJ679" s="712"/>
      <c r="AK679" s="712"/>
      <c r="AL679" s="712"/>
      <c r="AM679" s="712"/>
      <c r="AN679" s="712"/>
      <c r="AO679" s="712"/>
      <c r="AP679" s="712"/>
      <c r="AQ679" s="712"/>
      <c r="AR679" s="712"/>
      <c r="AS679" s="712"/>
      <c r="AT679" s="712"/>
      <c r="AU679" s="712"/>
      <c r="AV679" s="712"/>
      <c r="AW679" s="712"/>
      <c r="AX679" s="712"/>
      <c r="AY679" s="712"/>
    </row>
    <row r="680">
      <c r="T680" s="434"/>
      <c r="U680" s="438"/>
      <c r="V680" s="438"/>
      <c r="W680" s="438"/>
      <c r="X680" s="438"/>
      <c r="Y680" s="438"/>
      <c r="Z680" s="438"/>
      <c r="AA680" s="438"/>
      <c r="AB680" s="438"/>
      <c r="AC680" s="438"/>
      <c r="AD680" s="438"/>
      <c r="AE680" s="438"/>
      <c r="AF680" s="438"/>
      <c r="AG680" s="712"/>
      <c r="AH680" s="712"/>
      <c r="AI680" s="712"/>
      <c r="AJ680" s="712"/>
      <c r="AK680" s="712"/>
      <c r="AL680" s="712"/>
      <c r="AM680" s="712"/>
      <c r="AN680" s="712"/>
      <c r="AO680" s="712"/>
      <c r="AP680" s="712"/>
      <c r="AQ680" s="712"/>
      <c r="AR680" s="712"/>
      <c r="AS680" s="712"/>
      <c r="AT680" s="712"/>
      <c r="AU680" s="712"/>
      <c r="AV680" s="712"/>
      <c r="AW680" s="712"/>
      <c r="AX680" s="712"/>
      <c r="AY680" s="712"/>
    </row>
    <row r="681">
      <c r="T681" s="434"/>
      <c r="U681" s="438"/>
      <c r="V681" s="438"/>
      <c r="W681" s="438"/>
      <c r="X681" s="438"/>
      <c r="Y681" s="438"/>
      <c r="Z681" s="438"/>
      <c r="AA681" s="438"/>
      <c r="AB681" s="438"/>
      <c r="AC681" s="438"/>
      <c r="AD681" s="438"/>
      <c r="AE681" s="438"/>
      <c r="AF681" s="438"/>
      <c r="AG681" s="712"/>
      <c r="AH681" s="712"/>
      <c r="AI681" s="712"/>
      <c r="AJ681" s="712"/>
      <c r="AK681" s="712"/>
      <c r="AL681" s="712"/>
      <c r="AM681" s="712"/>
      <c r="AN681" s="712"/>
      <c r="AO681" s="712"/>
      <c r="AP681" s="712"/>
      <c r="AQ681" s="712"/>
      <c r="AR681" s="712"/>
      <c r="AS681" s="712"/>
      <c r="AT681" s="712"/>
      <c r="AU681" s="712"/>
      <c r="AV681" s="712"/>
      <c r="AW681" s="712"/>
      <c r="AX681" s="712"/>
      <c r="AY681" s="712"/>
    </row>
    <row r="682">
      <c r="T682" s="434"/>
      <c r="U682" s="438"/>
      <c r="V682" s="438"/>
      <c r="W682" s="438"/>
      <c r="X682" s="438"/>
      <c r="Y682" s="438"/>
      <c r="Z682" s="438"/>
      <c r="AA682" s="438"/>
      <c r="AB682" s="438"/>
      <c r="AC682" s="438"/>
      <c r="AD682" s="438"/>
      <c r="AE682" s="438"/>
      <c r="AF682" s="438"/>
      <c r="AG682" s="712"/>
      <c r="AH682" s="712"/>
      <c r="AI682" s="712"/>
      <c r="AJ682" s="712"/>
      <c r="AK682" s="712"/>
      <c r="AL682" s="712"/>
      <c r="AM682" s="712"/>
      <c r="AN682" s="712"/>
      <c r="AO682" s="712"/>
      <c r="AP682" s="712"/>
      <c r="AQ682" s="712"/>
      <c r="AR682" s="712"/>
      <c r="AS682" s="712"/>
      <c r="AT682" s="712"/>
      <c r="AU682" s="712"/>
      <c r="AV682" s="712"/>
      <c r="AW682" s="712"/>
      <c r="AX682" s="712"/>
      <c r="AY682" s="712"/>
    </row>
    <row r="683">
      <c r="T683" s="434"/>
      <c r="U683" s="438"/>
      <c r="V683" s="438"/>
      <c r="W683" s="438"/>
      <c r="X683" s="438"/>
      <c r="Y683" s="438"/>
      <c r="Z683" s="438"/>
      <c r="AA683" s="438"/>
      <c r="AB683" s="438"/>
      <c r="AC683" s="438"/>
      <c r="AD683" s="438"/>
      <c r="AE683" s="438"/>
      <c r="AF683" s="438"/>
      <c r="AG683" s="712"/>
      <c r="AH683" s="712"/>
      <c r="AI683" s="712"/>
      <c r="AJ683" s="712"/>
      <c r="AK683" s="712"/>
      <c r="AL683" s="712"/>
      <c r="AM683" s="712"/>
      <c r="AN683" s="712"/>
      <c r="AO683" s="712"/>
      <c r="AP683" s="712"/>
      <c r="AQ683" s="712"/>
      <c r="AR683" s="712"/>
      <c r="AS683" s="712"/>
      <c r="AT683" s="712"/>
      <c r="AU683" s="712"/>
      <c r="AV683" s="712"/>
      <c r="AW683" s="712"/>
      <c r="AX683" s="712"/>
      <c r="AY683" s="712"/>
    </row>
    <row r="684">
      <c r="T684" s="434"/>
      <c r="U684" s="438"/>
      <c r="V684" s="438"/>
      <c r="W684" s="438"/>
      <c r="X684" s="438"/>
      <c r="Y684" s="438"/>
      <c r="Z684" s="438"/>
      <c r="AA684" s="438"/>
      <c r="AB684" s="438"/>
      <c r="AC684" s="438"/>
      <c r="AD684" s="438"/>
      <c r="AE684" s="438"/>
      <c r="AF684" s="438"/>
      <c r="AG684" s="712"/>
      <c r="AH684" s="712"/>
      <c r="AI684" s="712"/>
      <c r="AJ684" s="712"/>
      <c r="AK684" s="712"/>
      <c r="AL684" s="712"/>
      <c r="AM684" s="712"/>
      <c r="AN684" s="712"/>
      <c r="AO684" s="712"/>
      <c r="AP684" s="712"/>
      <c r="AQ684" s="712"/>
      <c r="AR684" s="712"/>
      <c r="AS684" s="712"/>
      <c r="AT684" s="712"/>
      <c r="AU684" s="712"/>
      <c r="AV684" s="712"/>
      <c r="AW684" s="712"/>
      <c r="AX684" s="712"/>
      <c r="AY684" s="712"/>
    </row>
    <row r="685">
      <c r="T685" s="434"/>
      <c r="U685" s="438"/>
      <c r="V685" s="438"/>
      <c r="W685" s="438"/>
      <c r="X685" s="438"/>
      <c r="Y685" s="438"/>
      <c r="Z685" s="438"/>
      <c r="AA685" s="438"/>
      <c r="AB685" s="438"/>
      <c r="AC685" s="438"/>
      <c r="AD685" s="438"/>
      <c r="AE685" s="438"/>
      <c r="AF685" s="438"/>
      <c r="AG685" s="712"/>
      <c r="AH685" s="712"/>
      <c r="AI685" s="712"/>
      <c r="AJ685" s="712"/>
      <c r="AK685" s="712"/>
      <c r="AL685" s="712"/>
      <c r="AM685" s="712"/>
      <c r="AN685" s="712"/>
      <c r="AO685" s="712"/>
      <c r="AP685" s="712"/>
      <c r="AQ685" s="712"/>
      <c r="AR685" s="712"/>
      <c r="AS685" s="712"/>
      <c r="AT685" s="712"/>
      <c r="AU685" s="712"/>
      <c r="AV685" s="712"/>
      <c r="AW685" s="712"/>
      <c r="AX685" s="712"/>
      <c r="AY685" s="712"/>
    </row>
    <row r="686">
      <c r="T686" s="434"/>
      <c r="U686" s="438"/>
      <c r="V686" s="438"/>
      <c r="W686" s="438"/>
      <c r="X686" s="438"/>
      <c r="Y686" s="438"/>
      <c r="Z686" s="438"/>
      <c r="AA686" s="438"/>
      <c r="AB686" s="438"/>
      <c r="AC686" s="438"/>
      <c r="AD686" s="438"/>
      <c r="AE686" s="438"/>
      <c r="AF686" s="438"/>
      <c r="AG686" s="712"/>
      <c r="AH686" s="712"/>
      <c r="AI686" s="712"/>
      <c r="AJ686" s="712"/>
      <c r="AK686" s="712"/>
      <c r="AL686" s="712"/>
      <c r="AM686" s="712"/>
      <c r="AN686" s="712"/>
      <c r="AO686" s="712"/>
      <c r="AP686" s="712"/>
      <c r="AQ686" s="712"/>
      <c r="AR686" s="712"/>
      <c r="AS686" s="712"/>
      <c r="AT686" s="712"/>
      <c r="AU686" s="712"/>
      <c r="AV686" s="712"/>
      <c r="AW686" s="712"/>
      <c r="AX686" s="712"/>
      <c r="AY686" s="712"/>
    </row>
    <row r="687">
      <c r="T687" s="434"/>
      <c r="U687" s="438"/>
      <c r="V687" s="438"/>
      <c r="W687" s="438"/>
      <c r="X687" s="438"/>
      <c r="Y687" s="438"/>
      <c r="Z687" s="438"/>
      <c r="AA687" s="438"/>
      <c r="AB687" s="438"/>
      <c r="AC687" s="438"/>
      <c r="AD687" s="438"/>
      <c r="AE687" s="438"/>
      <c r="AF687" s="438"/>
      <c r="AG687" s="712"/>
      <c r="AH687" s="712"/>
      <c r="AI687" s="712"/>
      <c r="AJ687" s="712"/>
      <c r="AK687" s="712"/>
      <c r="AL687" s="712"/>
      <c r="AM687" s="712"/>
      <c r="AN687" s="712"/>
      <c r="AO687" s="712"/>
      <c r="AP687" s="712"/>
      <c r="AQ687" s="712"/>
      <c r="AR687" s="712"/>
      <c r="AS687" s="712"/>
      <c r="AT687" s="712"/>
      <c r="AU687" s="712"/>
      <c r="AV687" s="712"/>
      <c r="AW687" s="712"/>
      <c r="AX687" s="712"/>
      <c r="AY687" s="712"/>
    </row>
    <row r="688">
      <c r="T688" s="434"/>
      <c r="U688" s="438"/>
      <c r="V688" s="438"/>
      <c r="W688" s="438"/>
      <c r="X688" s="438"/>
      <c r="Y688" s="438"/>
      <c r="Z688" s="438"/>
      <c r="AA688" s="438"/>
      <c r="AB688" s="438"/>
      <c r="AC688" s="438"/>
      <c r="AD688" s="438"/>
      <c r="AE688" s="438"/>
      <c r="AF688" s="438"/>
      <c r="AG688" s="712"/>
      <c r="AH688" s="712"/>
      <c r="AI688" s="712"/>
      <c r="AJ688" s="712"/>
      <c r="AK688" s="712"/>
      <c r="AL688" s="712"/>
      <c r="AM688" s="712"/>
      <c r="AN688" s="712"/>
      <c r="AO688" s="712"/>
      <c r="AP688" s="712"/>
      <c r="AQ688" s="712"/>
      <c r="AR688" s="712"/>
      <c r="AS688" s="712"/>
      <c r="AT688" s="712"/>
      <c r="AU688" s="712"/>
      <c r="AV688" s="712"/>
      <c r="AW688" s="712"/>
      <c r="AX688" s="712"/>
      <c r="AY688" s="712"/>
    </row>
    <row r="689">
      <c r="T689" s="434"/>
      <c r="U689" s="438"/>
      <c r="V689" s="438"/>
      <c r="W689" s="438"/>
      <c r="X689" s="438"/>
      <c r="Y689" s="438"/>
      <c r="Z689" s="438"/>
      <c r="AA689" s="438"/>
      <c r="AB689" s="438"/>
      <c r="AC689" s="438"/>
      <c r="AD689" s="438"/>
      <c r="AE689" s="438"/>
      <c r="AF689" s="438"/>
      <c r="AG689" s="712"/>
      <c r="AH689" s="712"/>
      <c r="AI689" s="712"/>
      <c r="AJ689" s="712"/>
      <c r="AK689" s="712"/>
      <c r="AL689" s="712"/>
      <c r="AM689" s="712"/>
      <c r="AN689" s="712"/>
      <c r="AO689" s="712"/>
      <c r="AP689" s="712"/>
      <c r="AQ689" s="712"/>
      <c r="AR689" s="712"/>
      <c r="AS689" s="712"/>
      <c r="AT689" s="712"/>
      <c r="AU689" s="712"/>
      <c r="AV689" s="712"/>
      <c r="AW689" s="712"/>
      <c r="AX689" s="712"/>
      <c r="AY689" s="712"/>
    </row>
    <row r="690">
      <c r="T690" s="434"/>
      <c r="U690" s="438"/>
      <c r="V690" s="438"/>
      <c r="W690" s="438"/>
      <c r="X690" s="438"/>
      <c r="Y690" s="438"/>
      <c r="Z690" s="438"/>
      <c r="AA690" s="438"/>
      <c r="AB690" s="438"/>
      <c r="AC690" s="438"/>
      <c r="AD690" s="438"/>
      <c r="AE690" s="438"/>
      <c r="AF690" s="438"/>
      <c r="AG690" s="712"/>
      <c r="AH690" s="712"/>
      <c r="AI690" s="712"/>
      <c r="AJ690" s="712"/>
      <c r="AK690" s="712"/>
      <c r="AL690" s="712"/>
      <c r="AM690" s="712"/>
      <c r="AN690" s="712"/>
      <c r="AO690" s="712"/>
      <c r="AP690" s="712"/>
      <c r="AQ690" s="712"/>
      <c r="AR690" s="712"/>
      <c r="AS690" s="712"/>
      <c r="AT690" s="712"/>
      <c r="AU690" s="712"/>
      <c r="AV690" s="712"/>
      <c r="AW690" s="712"/>
      <c r="AX690" s="712"/>
      <c r="AY690" s="712"/>
    </row>
    <row r="691">
      <c r="T691" s="434"/>
      <c r="U691" s="438"/>
      <c r="V691" s="438"/>
      <c r="W691" s="438"/>
      <c r="X691" s="438"/>
      <c r="Y691" s="438"/>
      <c r="Z691" s="438"/>
      <c r="AA691" s="438"/>
      <c r="AB691" s="438"/>
      <c r="AC691" s="438"/>
      <c r="AD691" s="438"/>
      <c r="AE691" s="438"/>
      <c r="AF691" s="438"/>
      <c r="AG691" s="712"/>
      <c r="AH691" s="712"/>
      <c r="AI691" s="712"/>
      <c r="AJ691" s="712"/>
      <c r="AK691" s="712"/>
      <c r="AL691" s="712"/>
      <c r="AM691" s="712"/>
      <c r="AN691" s="712"/>
      <c r="AO691" s="712"/>
      <c r="AP691" s="712"/>
      <c r="AQ691" s="712"/>
      <c r="AR691" s="712"/>
      <c r="AS691" s="712"/>
      <c r="AT691" s="712"/>
      <c r="AU691" s="712"/>
      <c r="AV691" s="712"/>
      <c r="AW691" s="712"/>
      <c r="AX691" s="712"/>
      <c r="AY691" s="712"/>
    </row>
    <row r="692">
      <c r="T692" s="434"/>
      <c r="U692" s="438"/>
      <c r="V692" s="438"/>
      <c r="W692" s="438"/>
      <c r="X692" s="438"/>
      <c r="Y692" s="438"/>
      <c r="Z692" s="438"/>
      <c r="AA692" s="438"/>
      <c r="AB692" s="438"/>
      <c r="AC692" s="438"/>
      <c r="AD692" s="438"/>
      <c r="AE692" s="438"/>
      <c r="AF692" s="438"/>
      <c r="AG692" s="712"/>
      <c r="AH692" s="712"/>
      <c r="AI692" s="712"/>
      <c r="AJ692" s="712"/>
      <c r="AK692" s="712"/>
      <c r="AL692" s="712"/>
      <c r="AM692" s="712"/>
      <c r="AN692" s="712"/>
      <c r="AO692" s="712"/>
      <c r="AP692" s="712"/>
      <c r="AQ692" s="712"/>
      <c r="AR692" s="712"/>
      <c r="AS692" s="712"/>
      <c r="AT692" s="712"/>
      <c r="AU692" s="712"/>
      <c r="AV692" s="712"/>
      <c r="AW692" s="712"/>
      <c r="AX692" s="712"/>
      <c r="AY692" s="712"/>
    </row>
    <row r="693">
      <c r="T693" s="434"/>
      <c r="U693" s="438"/>
      <c r="V693" s="438"/>
      <c r="W693" s="438"/>
      <c r="X693" s="438"/>
      <c r="Y693" s="438"/>
      <c r="Z693" s="438"/>
      <c r="AA693" s="438"/>
      <c r="AB693" s="438"/>
      <c r="AC693" s="438"/>
      <c r="AD693" s="438"/>
      <c r="AE693" s="438"/>
      <c r="AF693" s="438"/>
      <c r="AG693" s="712"/>
      <c r="AH693" s="712"/>
      <c r="AI693" s="712"/>
      <c r="AJ693" s="712"/>
      <c r="AK693" s="712"/>
      <c r="AL693" s="712"/>
      <c r="AM693" s="712"/>
      <c r="AN693" s="712"/>
      <c r="AO693" s="712"/>
      <c r="AP693" s="712"/>
      <c r="AQ693" s="712"/>
      <c r="AR693" s="712"/>
      <c r="AS693" s="712"/>
      <c r="AT693" s="712"/>
      <c r="AU693" s="712"/>
      <c r="AV693" s="712"/>
      <c r="AW693" s="712"/>
      <c r="AX693" s="712"/>
      <c r="AY693" s="712"/>
    </row>
    <row r="694">
      <c r="T694" s="434"/>
      <c r="U694" s="438"/>
      <c r="V694" s="438"/>
      <c r="W694" s="438"/>
      <c r="X694" s="438"/>
      <c r="Y694" s="438"/>
      <c r="Z694" s="438"/>
      <c r="AA694" s="438"/>
      <c r="AB694" s="438"/>
      <c r="AC694" s="438"/>
      <c r="AD694" s="438"/>
      <c r="AE694" s="438"/>
      <c r="AF694" s="438"/>
      <c r="AG694" s="712"/>
      <c r="AH694" s="712"/>
      <c r="AI694" s="712"/>
      <c r="AJ694" s="712"/>
      <c r="AK694" s="712"/>
      <c r="AL694" s="712"/>
      <c r="AM694" s="712"/>
      <c r="AN694" s="712"/>
      <c r="AO694" s="712"/>
      <c r="AP694" s="712"/>
      <c r="AQ694" s="712"/>
      <c r="AR694" s="712"/>
      <c r="AS694" s="712"/>
      <c r="AT694" s="712"/>
      <c r="AU694" s="712"/>
      <c r="AV694" s="712"/>
      <c r="AW694" s="712"/>
      <c r="AX694" s="712"/>
      <c r="AY694" s="712"/>
    </row>
    <row r="695">
      <c r="T695" s="434"/>
      <c r="U695" s="438"/>
      <c r="V695" s="438"/>
      <c r="W695" s="438"/>
      <c r="X695" s="438"/>
      <c r="Y695" s="438"/>
      <c r="Z695" s="438"/>
      <c r="AA695" s="438"/>
      <c r="AB695" s="438"/>
      <c r="AC695" s="438"/>
      <c r="AD695" s="438"/>
      <c r="AE695" s="438"/>
      <c r="AF695" s="438"/>
      <c r="AG695" s="712"/>
      <c r="AH695" s="712"/>
      <c r="AI695" s="712"/>
      <c r="AJ695" s="712"/>
      <c r="AK695" s="712"/>
      <c r="AL695" s="712"/>
      <c r="AM695" s="712"/>
      <c r="AN695" s="712"/>
      <c r="AO695" s="712"/>
      <c r="AP695" s="712"/>
      <c r="AQ695" s="712"/>
      <c r="AR695" s="712"/>
      <c r="AS695" s="712"/>
      <c r="AT695" s="712"/>
      <c r="AU695" s="712"/>
      <c r="AV695" s="712"/>
      <c r="AW695" s="712"/>
      <c r="AX695" s="712"/>
      <c r="AY695" s="712"/>
    </row>
    <row r="696">
      <c r="T696" s="434"/>
      <c r="U696" s="438"/>
      <c r="V696" s="438"/>
      <c r="W696" s="438"/>
      <c r="X696" s="438"/>
      <c r="Y696" s="438"/>
      <c r="Z696" s="438"/>
      <c r="AA696" s="438"/>
      <c r="AB696" s="438"/>
      <c r="AC696" s="438"/>
      <c r="AD696" s="438"/>
      <c r="AE696" s="438"/>
      <c r="AF696" s="438"/>
      <c r="AG696" s="712"/>
      <c r="AH696" s="712"/>
      <c r="AI696" s="712"/>
      <c r="AJ696" s="712"/>
      <c r="AK696" s="712"/>
      <c r="AL696" s="712"/>
      <c r="AM696" s="712"/>
      <c r="AN696" s="712"/>
      <c r="AO696" s="712"/>
      <c r="AP696" s="712"/>
      <c r="AQ696" s="712"/>
      <c r="AR696" s="712"/>
      <c r="AS696" s="712"/>
      <c r="AT696" s="712"/>
      <c r="AU696" s="712"/>
      <c r="AV696" s="712"/>
      <c r="AW696" s="712"/>
      <c r="AX696" s="712"/>
      <c r="AY696" s="712"/>
    </row>
    <row r="697">
      <c r="T697" s="434"/>
      <c r="U697" s="438"/>
      <c r="V697" s="438"/>
      <c r="W697" s="438"/>
      <c r="X697" s="438"/>
      <c r="Y697" s="438"/>
      <c r="Z697" s="438"/>
      <c r="AA697" s="438"/>
      <c r="AB697" s="438"/>
      <c r="AC697" s="438"/>
      <c r="AD697" s="438"/>
      <c r="AE697" s="438"/>
      <c r="AF697" s="438"/>
      <c r="AG697" s="712"/>
      <c r="AH697" s="712"/>
      <c r="AI697" s="712"/>
      <c r="AJ697" s="712"/>
      <c r="AK697" s="712"/>
      <c r="AL697" s="712"/>
      <c r="AM697" s="712"/>
      <c r="AN697" s="712"/>
      <c r="AO697" s="712"/>
      <c r="AP697" s="712"/>
      <c r="AQ697" s="712"/>
      <c r="AR697" s="712"/>
      <c r="AS697" s="712"/>
      <c r="AT697" s="712"/>
      <c r="AU697" s="712"/>
      <c r="AV697" s="712"/>
      <c r="AW697" s="712"/>
      <c r="AX697" s="712"/>
      <c r="AY697" s="712"/>
    </row>
    <row r="698">
      <c r="T698" s="434"/>
      <c r="U698" s="438"/>
      <c r="V698" s="438"/>
      <c r="W698" s="438"/>
      <c r="X698" s="438"/>
      <c r="Y698" s="438"/>
      <c r="Z698" s="438"/>
      <c r="AA698" s="438"/>
      <c r="AB698" s="438"/>
      <c r="AC698" s="438"/>
      <c r="AD698" s="438"/>
      <c r="AE698" s="438"/>
      <c r="AF698" s="438"/>
      <c r="AG698" s="712"/>
      <c r="AH698" s="712"/>
      <c r="AI698" s="712"/>
      <c r="AJ698" s="712"/>
      <c r="AK698" s="712"/>
      <c r="AL698" s="712"/>
      <c r="AM698" s="712"/>
      <c r="AN698" s="712"/>
      <c r="AO698" s="712"/>
      <c r="AP698" s="712"/>
      <c r="AQ698" s="712"/>
      <c r="AR698" s="712"/>
      <c r="AS698" s="712"/>
      <c r="AT698" s="712"/>
      <c r="AU698" s="712"/>
      <c r="AV698" s="712"/>
      <c r="AW698" s="712"/>
      <c r="AX698" s="712"/>
      <c r="AY698" s="712"/>
    </row>
    <row r="699">
      <c r="T699" s="434"/>
      <c r="U699" s="438"/>
      <c r="V699" s="438"/>
      <c r="W699" s="438"/>
      <c r="X699" s="438"/>
      <c r="Y699" s="438"/>
      <c r="Z699" s="438"/>
      <c r="AA699" s="438"/>
      <c r="AB699" s="438"/>
      <c r="AC699" s="438"/>
      <c r="AD699" s="438"/>
      <c r="AE699" s="438"/>
      <c r="AF699" s="438"/>
      <c r="AG699" s="712"/>
      <c r="AH699" s="712"/>
      <c r="AI699" s="712"/>
      <c r="AJ699" s="712"/>
      <c r="AK699" s="712"/>
      <c r="AL699" s="712"/>
      <c r="AM699" s="712"/>
      <c r="AN699" s="712"/>
      <c r="AO699" s="712"/>
      <c r="AP699" s="712"/>
      <c r="AQ699" s="712"/>
      <c r="AR699" s="712"/>
      <c r="AS699" s="712"/>
      <c r="AT699" s="712"/>
      <c r="AU699" s="712"/>
      <c r="AV699" s="712"/>
      <c r="AW699" s="712"/>
      <c r="AX699" s="712"/>
      <c r="AY699" s="712"/>
    </row>
    <row r="700">
      <c r="T700" s="434"/>
      <c r="U700" s="438"/>
      <c r="V700" s="438"/>
      <c r="W700" s="438"/>
      <c r="X700" s="438"/>
      <c r="Y700" s="438"/>
      <c r="Z700" s="438"/>
      <c r="AA700" s="438"/>
      <c r="AB700" s="438"/>
      <c r="AC700" s="438"/>
      <c r="AD700" s="438"/>
      <c r="AE700" s="438"/>
      <c r="AF700" s="438"/>
      <c r="AG700" s="712"/>
      <c r="AH700" s="712"/>
      <c r="AI700" s="712"/>
      <c r="AJ700" s="712"/>
      <c r="AK700" s="712"/>
      <c r="AL700" s="712"/>
      <c r="AM700" s="712"/>
      <c r="AN700" s="712"/>
      <c r="AO700" s="712"/>
      <c r="AP700" s="712"/>
      <c r="AQ700" s="712"/>
      <c r="AR700" s="712"/>
      <c r="AS700" s="712"/>
      <c r="AT700" s="712"/>
      <c r="AU700" s="712"/>
      <c r="AV700" s="712"/>
      <c r="AW700" s="712"/>
      <c r="AX700" s="712"/>
      <c r="AY700" s="712"/>
    </row>
    <row r="701">
      <c r="T701" s="434"/>
      <c r="U701" s="438"/>
      <c r="V701" s="438"/>
      <c r="W701" s="438"/>
      <c r="X701" s="438"/>
      <c r="Y701" s="438"/>
      <c r="Z701" s="438"/>
      <c r="AA701" s="438"/>
      <c r="AB701" s="438"/>
      <c r="AC701" s="438"/>
      <c r="AD701" s="438"/>
      <c r="AE701" s="438"/>
      <c r="AF701" s="438"/>
      <c r="AG701" s="712"/>
      <c r="AH701" s="712"/>
      <c r="AI701" s="712"/>
      <c r="AJ701" s="712"/>
      <c r="AK701" s="712"/>
      <c r="AL701" s="712"/>
      <c r="AM701" s="712"/>
      <c r="AN701" s="712"/>
      <c r="AO701" s="712"/>
      <c r="AP701" s="712"/>
      <c r="AQ701" s="712"/>
      <c r="AR701" s="712"/>
      <c r="AS701" s="712"/>
      <c r="AT701" s="712"/>
      <c r="AU701" s="712"/>
      <c r="AV701" s="712"/>
      <c r="AW701" s="712"/>
      <c r="AX701" s="712"/>
      <c r="AY701" s="712"/>
    </row>
    <row r="702">
      <c r="T702" s="434"/>
      <c r="U702" s="438"/>
      <c r="V702" s="438"/>
      <c r="W702" s="438"/>
      <c r="X702" s="438"/>
      <c r="Y702" s="438"/>
      <c r="Z702" s="438"/>
      <c r="AA702" s="438"/>
      <c r="AB702" s="438"/>
      <c r="AC702" s="438"/>
      <c r="AD702" s="438"/>
      <c r="AE702" s="438"/>
      <c r="AF702" s="438"/>
      <c r="AG702" s="712"/>
      <c r="AH702" s="712"/>
      <c r="AI702" s="712"/>
      <c r="AJ702" s="712"/>
      <c r="AK702" s="712"/>
      <c r="AL702" s="712"/>
      <c r="AM702" s="712"/>
      <c r="AN702" s="712"/>
      <c r="AO702" s="712"/>
      <c r="AP702" s="712"/>
      <c r="AQ702" s="712"/>
      <c r="AR702" s="712"/>
      <c r="AS702" s="712"/>
      <c r="AT702" s="712"/>
      <c r="AU702" s="712"/>
      <c r="AV702" s="712"/>
      <c r="AW702" s="712"/>
      <c r="AX702" s="712"/>
      <c r="AY702" s="712"/>
    </row>
    <row r="703">
      <c r="T703" s="434"/>
      <c r="U703" s="438"/>
      <c r="V703" s="438"/>
      <c r="W703" s="438"/>
      <c r="X703" s="438"/>
      <c r="Y703" s="438"/>
      <c r="Z703" s="438"/>
      <c r="AA703" s="438"/>
      <c r="AB703" s="438"/>
      <c r="AC703" s="438"/>
      <c r="AD703" s="438"/>
      <c r="AE703" s="438"/>
      <c r="AF703" s="438"/>
      <c r="AG703" s="712"/>
      <c r="AH703" s="712"/>
      <c r="AI703" s="712"/>
      <c r="AJ703" s="712"/>
      <c r="AK703" s="712"/>
      <c r="AL703" s="712"/>
      <c r="AM703" s="712"/>
      <c r="AN703" s="712"/>
      <c r="AO703" s="712"/>
      <c r="AP703" s="712"/>
      <c r="AQ703" s="712"/>
      <c r="AR703" s="712"/>
      <c r="AS703" s="712"/>
      <c r="AT703" s="712"/>
      <c r="AU703" s="712"/>
      <c r="AV703" s="712"/>
      <c r="AW703" s="712"/>
      <c r="AX703" s="712"/>
      <c r="AY703" s="712"/>
    </row>
    <row r="704">
      <c r="T704" s="434"/>
      <c r="U704" s="438"/>
      <c r="V704" s="438"/>
      <c r="W704" s="438"/>
      <c r="X704" s="438"/>
      <c r="Y704" s="438"/>
      <c r="Z704" s="438"/>
      <c r="AA704" s="438"/>
      <c r="AB704" s="438"/>
      <c r="AC704" s="438"/>
      <c r="AD704" s="438"/>
      <c r="AE704" s="438"/>
      <c r="AF704" s="438"/>
      <c r="AG704" s="712"/>
      <c r="AH704" s="712"/>
      <c r="AI704" s="712"/>
      <c r="AJ704" s="712"/>
      <c r="AK704" s="712"/>
      <c r="AL704" s="712"/>
      <c r="AM704" s="712"/>
      <c r="AN704" s="712"/>
      <c r="AO704" s="712"/>
      <c r="AP704" s="712"/>
      <c r="AQ704" s="712"/>
      <c r="AR704" s="712"/>
      <c r="AS704" s="712"/>
      <c r="AT704" s="712"/>
      <c r="AU704" s="712"/>
      <c r="AV704" s="712"/>
      <c r="AW704" s="712"/>
      <c r="AX704" s="712"/>
      <c r="AY704" s="712"/>
    </row>
    <row r="705">
      <c r="T705" s="434"/>
      <c r="U705" s="438"/>
      <c r="V705" s="438"/>
      <c r="W705" s="438"/>
      <c r="X705" s="438"/>
      <c r="Y705" s="438"/>
      <c r="Z705" s="438"/>
      <c r="AA705" s="438"/>
      <c r="AB705" s="438"/>
      <c r="AC705" s="438"/>
      <c r="AD705" s="438"/>
      <c r="AE705" s="438"/>
      <c r="AF705" s="438"/>
      <c r="AG705" s="712"/>
      <c r="AH705" s="712"/>
      <c r="AI705" s="712"/>
      <c r="AJ705" s="712"/>
      <c r="AK705" s="712"/>
      <c r="AL705" s="712"/>
      <c r="AM705" s="712"/>
      <c r="AN705" s="712"/>
      <c r="AO705" s="712"/>
      <c r="AP705" s="712"/>
      <c r="AQ705" s="712"/>
      <c r="AR705" s="712"/>
      <c r="AS705" s="712"/>
      <c r="AT705" s="712"/>
      <c r="AU705" s="712"/>
      <c r="AV705" s="712"/>
      <c r="AW705" s="712"/>
      <c r="AX705" s="712"/>
      <c r="AY705" s="712"/>
    </row>
    <row r="706">
      <c r="T706" s="434"/>
      <c r="U706" s="438"/>
      <c r="V706" s="438"/>
      <c r="W706" s="438"/>
      <c r="X706" s="438"/>
      <c r="Y706" s="438"/>
      <c r="Z706" s="438"/>
      <c r="AA706" s="438"/>
      <c r="AB706" s="438"/>
      <c r="AC706" s="438"/>
      <c r="AD706" s="438"/>
      <c r="AE706" s="438"/>
      <c r="AF706" s="438"/>
      <c r="AG706" s="712"/>
      <c r="AH706" s="712"/>
      <c r="AI706" s="712"/>
      <c r="AJ706" s="712"/>
      <c r="AK706" s="712"/>
      <c r="AL706" s="712"/>
      <c r="AM706" s="712"/>
      <c r="AN706" s="712"/>
      <c r="AO706" s="712"/>
      <c r="AP706" s="712"/>
      <c r="AQ706" s="712"/>
      <c r="AR706" s="712"/>
      <c r="AS706" s="712"/>
      <c r="AT706" s="712"/>
      <c r="AU706" s="712"/>
      <c r="AV706" s="712"/>
      <c r="AW706" s="712"/>
      <c r="AX706" s="712"/>
      <c r="AY706" s="712"/>
    </row>
    <row r="707">
      <c r="T707" s="434"/>
      <c r="U707" s="438"/>
      <c r="V707" s="438"/>
      <c r="W707" s="438"/>
      <c r="X707" s="438"/>
      <c r="Y707" s="438"/>
      <c r="Z707" s="438"/>
      <c r="AA707" s="438"/>
      <c r="AB707" s="438"/>
      <c r="AC707" s="438"/>
      <c r="AD707" s="438"/>
      <c r="AE707" s="438"/>
      <c r="AF707" s="438"/>
      <c r="AG707" s="712"/>
      <c r="AH707" s="712"/>
      <c r="AI707" s="712"/>
      <c r="AJ707" s="712"/>
      <c r="AK707" s="712"/>
      <c r="AL707" s="712"/>
      <c r="AM707" s="712"/>
      <c r="AN707" s="712"/>
      <c r="AO707" s="712"/>
      <c r="AP707" s="712"/>
      <c r="AQ707" s="712"/>
      <c r="AR707" s="712"/>
      <c r="AS707" s="712"/>
      <c r="AT707" s="712"/>
      <c r="AU707" s="712"/>
      <c r="AV707" s="712"/>
      <c r="AW707" s="712"/>
      <c r="AX707" s="712"/>
      <c r="AY707" s="712"/>
    </row>
    <row r="708">
      <c r="T708" s="434"/>
      <c r="U708" s="438"/>
      <c r="V708" s="438"/>
      <c r="W708" s="438"/>
      <c r="X708" s="438"/>
      <c r="Y708" s="438"/>
      <c r="Z708" s="438"/>
      <c r="AA708" s="438"/>
      <c r="AB708" s="438"/>
      <c r="AC708" s="438"/>
      <c r="AD708" s="438"/>
      <c r="AE708" s="438"/>
      <c r="AF708" s="438"/>
      <c r="AG708" s="712"/>
      <c r="AH708" s="712"/>
      <c r="AI708" s="712"/>
      <c r="AJ708" s="712"/>
      <c r="AK708" s="712"/>
      <c r="AL708" s="712"/>
      <c r="AM708" s="712"/>
      <c r="AN708" s="712"/>
      <c r="AO708" s="712"/>
      <c r="AP708" s="712"/>
      <c r="AQ708" s="712"/>
      <c r="AR708" s="712"/>
      <c r="AS708" s="712"/>
      <c r="AT708" s="712"/>
      <c r="AU708" s="712"/>
      <c r="AV708" s="712"/>
      <c r="AW708" s="712"/>
      <c r="AX708" s="712"/>
      <c r="AY708" s="712"/>
    </row>
    <row r="709">
      <c r="T709" s="434"/>
      <c r="U709" s="438"/>
      <c r="V709" s="438"/>
      <c r="W709" s="438"/>
      <c r="X709" s="438"/>
      <c r="Y709" s="438"/>
      <c r="Z709" s="438"/>
      <c r="AA709" s="438"/>
      <c r="AB709" s="438"/>
      <c r="AC709" s="438"/>
      <c r="AD709" s="438"/>
      <c r="AE709" s="438"/>
      <c r="AF709" s="438"/>
      <c r="AG709" s="712"/>
      <c r="AH709" s="712"/>
      <c r="AI709" s="712"/>
      <c r="AJ709" s="712"/>
      <c r="AK709" s="712"/>
      <c r="AL709" s="712"/>
      <c r="AM709" s="712"/>
      <c r="AN709" s="712"/>
      <c r="AO709" s="712"/>
      <c r="AP709" s="712"/>
      <c r="AQ709" s="712"/>
      <c r="AR709" s="712"/>
      <c r="AS709" s="712"/>
      <c r="AT709" s="712"/>
      <c r="AU709" s="712"/>
      <c r="AV709" s="712"/>
      <c r="AW709" s="712"/>
      <c r="AX709" s="712"/>
      <c r="AY709" s="712"/>
    </row>
    <row r="710">
      <c r="T710" s="434"/>
      <c r="U710" s="438"/>
      <c r="V710" s="438"/>
      <c r="W710" s="438"/>
      <c r="X710" s="438"/>
      <c r="Y710" s="438"/>
      <c r="Z710" s="438"/>
      <c r="AA710" s="438"/>
      <c r="AB710" s="438"/>
      <c r="AC710" s="438"/>
      <c r="AD710" s="438"/>
      <c r="AE710" s="438"/>
      <c r="AF710" s="438"/>
      <c r="AG710" s="712"/>
      <c r="AH710" s="712"/>
      <c r="AI710" s="712"/>
      <c r="AJ710" s="712"/>
      <c r="AK710" s="712"/>
      <c r="AL710" s="712"/>
      <c r="AM710" s="712"/>
      <c r="AN710" s="712"/>
      <c r="AO710" s="712"/>
      <c r="AP710" s="712"/>
      <c r="AQ710" s="712"/>
      <c r="AR710" s="712"/>
      <c r="AS710" s="712"/>
      <c r="AT710" s="712"/>
      <c r="AU710" s="712"/>
      <c r="AV710" s="712"/>
      <c r="AW710" s="712"/>
      <c r="AX710" s="712"/>
      <c r="AY710" s="712"/>
    </row>
    <row r="711">
      <c r="T711" s="434"/>
      <c r="U711" s="438"/>
      <c r="V711" s="438"/>
      <c r="W711" s="438"/>
      <c r="X711" s="438"/>
      <c r="Y711" s="438"/>
      <c r="Z711" s="438"/>
      <c r="AA711" s="438"/>
      <c r="AB711" s="438"/>
      <c r="AC711" s="438"/>
      <c r="AD711" s="438"/>
      <c r="AE711" s="438"/>
      <c r="AF711" s="438"/>
      <c r="AG711" s="712"/>
      <c r="AH711" s="712"/>
      <c r="AI711" s="712"/>
      <c r="AJ711" s="712"/>
      <c r="AK711" s="712"/>
      <c r="AL711" s="712"/>
      <c r="AM711" s="712"/>
      <c r="AN711" s="712"/>
      <c r="AO711" s="712"/>
      <c r="AP711" s="712"/>
      <c r="AQ711" s="712"/>
      <c r="AR711" s="712"/>
      <c r="AS711" s="712"/>
      <c r="AT711" s="712"/>
      <c r="AU711" s="712"/>
      <c r="AV711" s="712"/>
      <c r="AW711" s="712"/>
      <c r="AX711" s="712"/>
      <c r="AY711" s="712"/>
    </row>
    <row r="712">
      <c r="T712" s="434"/>
      <c r="U712" s="438"/>
      <c r="V712" s="438"/>
      <c r="W712" s="438"/>
      <c r="X712" s="438"/>
      <c r="Y712" s="438"/>
      <c r="Z712" s="438"/>
      <c r="AA712" s="438"/>
      <c r="AB712" s="438"/>
      <c r="AC712" s="438"/>
      <c r="AD712" s="438"/>
      <c r="AE712" s="438"/>
      <c r="AF712" s="438"/>
      <c r="AG712" s="712"/>
      <c r="AH712" s="712"/>
      <c r="AI712" s="712"/>
      <c r="AJ712" s="712"/>
      <c r="AK712" s="712"/>
      <c r="AL712" s="712"/>
      <c r="AM712" s="712"/>
      <c r="AN712" s="712"/>
      <c r="AO712" s="712"/>
      <c r="AP712" s="712"/>
      <c r="AQ712" s="712"/>
      <c r="AR712" s="712"/>
      <c r="AS712" s="712"/>
      <c r="AT712" s="712"/>
      <c r="AU712" s="712"/>
      <c r="AV712" s="712"/>
      <c r="AW712" s="712"/>
      <c r="AX712" s="712"/>
      <c r="AY712" s="712"/>
    </row>
    <row r="713">
      <c r="T713" s="434"/>
      <c r="U713" s="438"/>
      <c r="V713" s="438"/>
      <c r="W713" s="438"/>
      <c r="X713" s="438"/>
      <c r="Y713" s="438"/>
      <c r="Z713" s="438"/>
      <c r="AA713" s="438"/>
      <c r="AB713" s="438"/>
      <c r="AC713" s="438"/>
      <c r="AD713" s="438"/>
      <c r="AE713" s="438"/>
      <c r="AF713" s="438"/>
      <c r="AG713" s="712"/>
      <c r="AH713" s="712"/>
      <c r="AI713" s="712"/>
      <c r="AJ713" s="712"/>
      <c r="AK713" s="712"/>
      <c r="AL713" s="712"/>
      <c r="AM713" s="712"/>
      <c r="AN713" s="712"/>
      <c r="AO713" s="712"/>
      <c r="AP713" s="712"/>
      <c r="AQ713" s="712"/>
      <c r="AR713" s="712"/>
      <c r="AS713" s="712"/>
      <c r="AT713" s="712"/>
      <c r="AU713" s="712"/>
      <c r="AV713" s="712"/>
      <c r="AW713" s="712"/>
      <c r="AX713" s="712"/>
      <c r="AY713" s="712"/>
    </row>
    <row r="714">
      <c r="T714" s="434"/>
      <c r="U714" s="438"/>
      <c r="V714" s="438"/>
      <c r="W714" s="438"/>
      <c r="X714" s="438"/>
      <c r="Y714" s="438"/>
      <c r="Z714" s="438"/>
      <c r="AA714" s="438"/>
      <c r="AB714" s="438"/>
      <c r="AC714" s="438"/>
      <c r="AD714" s="438"/>
      <c r="AE714" s="438"/>
      <c r="AF714" s="438"/>
      <c r="AG714" s="712"/>
      <c r="AH714" s="712"/>
      <c r="AI714" s="712"/>
      <c r="AJ714" s="712"/>
      <c r="AK714" s="712"/>
      <c r="AL714" s="712"/>
      <c r="AM714" s="712"/>
      <c r="AN714" s="712"/>
      <c r="AO714" s="712"/>
      <c r="AP714" s="712"/>
      <c r="AQ714" s="712"/>
      <c r="AR714" s="712"/>
      <c r="AS714" s="712"/>
      <c r="AT714" s="712"/>
      <c r="AU714" s="712"/>
      <c r="AV714" s="712"/>
      <c r="AW714" s="712"/>
      <c r="AX714" s="712"/>
      <c r="AY714" s="712"/>
    </row>
    <row r="715">
      <c r="T715" s="434"/>
      <c r="U715" s="438"/>
      <c r="V715" s="438"/>
      <c r="W715" s="438"/>
      <c r="X715" s="438"/>
      <c r="Y715" s="438"/>
      <c r="Z715" s="438"/>
      <c r="AA715" s="438"/>
      <c r="AB715" s="438"/>
      <c r="AC715" s="438"/>
      <c r="AD715" s="438"/>
      <c r="AE715" s="438"/>
      <c r="AF715" s="438"/>
      <c r="AG715" s="712"/>
      <c r="AH715" s="712"/>
      <c r="AI715" s="712"/>
      <c r="AJ715" s="712"/>
      <c r="AK715" s="712"/>
      <c r="AL715" s="712"/>
      <c r="AM715" s="712"/>
      <c r="AN715" s="712"/>
      <c r="AO715" s="712"/>
      <c r="AP715" s="712"/>
      <c r="AQ715" s="712"/>
      <c r="AR715" s="712"/>
      <c r="AS715" s="712"/>
      <c r="AT715" s="712"/>
      <c r="AU715" s="712"/>
      <c r="AV715" s="712"/>
      <c r="AW715" s="712"/>
      <c r="AX715" s="712"/>
      <c r="AY715" s="712"/>
    </row>
    <row r="716">
      <c r="T716" s="434"/>
      <c r="U716" s="438"/>
      <c r="V716" s="438"/>
      <c r="W716" s="438"/>
      <c r="X716" s="438"/>
      <c r="Y716" s="438"/>
      <c r="Z716" s="438"/>
      <c r="AA716" s="438"/>
      <c r="AB716" s="438"/>
      <c r="AC716" s="438"/>
      <c r="AD716" s="438"/>
      <c r="AE716" s="438"/>
      <c r="AF716" s="438"/>
      <c r="AG716" s="712"/>
      <c r="AH716" s="712"/>
      <c r="AI716" s="712"/>
      <c r="AJ716" s="712"/>
      <c r="AK716" s="712"/>
      <c r="AL716" s="712"/>
      <c r="AM716" s="712"/>
      <c r="AN716" s="712"/>
      <c r="AO716" s="712"/>
      <c r="AP716" s="712"/>
      <c r="AQ716" s="712"/>
      <c r="AR716" s="712"/>
      <c r="AS716" s="712"/>
      <c r="AT716" s="712"/>
      <c r="AU716" s="712"/>
      <c r="AV716" s="712"/>
      <c r="AW716" s="712"/>
      <c r="AX716" s="712"/>
      <c r="AY716" s="712"/>
    </row>
    <row r="717">
      <c r="T717" s="434"/>
      <c r="U717" s="438"/>
      <c r="V717" s="438"/>
      <c r="W717" s="438"/>
      <c r="X717" s="438"/>
      <c r="Y717" s="438"/>
      <c r="Z717" s="438"/>
      <c r="AA717" s="438"/>
      <c r="AB717" s="438"/>
      <c r="AC717" s="438"/>
      <c r="AD717" s="438"/>
      <c r="AE717" s="438"/>
      <c r="AF717" s="438"/>
      <c r="AG717" s="712"/>
      <c r="AH717" s="712"/>
      <c r="AI717" s="712"/>
      <c r="AJ717" s="712"/>
      <c r="AK717" s="712"/>
      <c r="AL717" s="712"/>
      <c r="AM717" s="712"/>
      <c r="AN717" s="712"/>
      <c r="AO717" s="712"/>
      <c r="AP717" s="712"/>
      <c r="AQ717" s="712"/>
      <c r="AR717" s="712"/>
      <c r="AS717" s="712"/>
      <c r="AT717" s="712"/>
      <c r="AU717" s="712"/>
      <c r="AV717" s="712"/>
      <c r="AW717" s="712"/>
      <c r="AX717" s="712"/>
      <c r="AY717" s="712"/>
    </row>
    <row r="718">
      <c r="T718" s="434"/>
      <c r="U718" s="438"/>
      <c r="V718" s="438"/>
      <c r="W718" s="438"/>
      <c r="X718" s="438"/>
      <c r="Y718" s="438"/>
      <c r="Z718" s="438"/>
      <c r="AA718" s="438"/>
      <c r="AB718" s="438"/>
      <c r="AC718" s="438"/>
      <c r="AD718" s="438"/>
      <c r="AE718" s="438"/>
      <c r="AF718" s="438"/>
      <c r="AG718" s="712"/>
      <c r="AH718" s="712"/>
      <c r="AI718" s="712"/>
      <c r="AJ718" s="712"/>
      <c r="AK718" s="712"/>
      <c r="AL718" s="712"/>
      <c r="AM718" s="712"/>
      <c r="AN718" s="712"/>
      <c r="AO718" s="712"/>
      <c r="AP718" s="712"/>
      <c r="AQ718" s="712"/>
      <c r="AR718" s="712"/>
      <c r="AS718" s="712"/>
      <c r="AT718" s="712"/>
      <c r="AU718" s="712"/>
      <c r="AV718" s="712"/>
      <c r="AW718" s="712"/>
      <c r="AX718" s="712"/>
      <c r="AY718" s="712"/>
    </row>
    <row r="719">
      <c r="T719" s="434"/>
      <c r="U719" s="438"/>
      <c r="V719" s="438"/>
      <c r="W719" s="438"/>
      <c r="X719" s="438"/>
      <c r="Y719" s="438"/>
      <c r="Z719" s="438"/>
      <c r="AA719" s="438"/>
      <c r="AB719" s="438"/>
      <c r="AC719" s="438"/>
      <c r="AD719" s="438"/>
      <c r="AE719" s="438"/>
      <c r="AF719" s="438"/>
      <c r="AG719" s="712"/>
      <c r="AH719" s="712"/>
      <c r="AI719" s="712"/>
      <c r="AJ719" s="712"/>
      <c r="AK719" s="712"/>
      <c r="AL719" s="712"/>
      <c r="AM719" s="712"/>
      <c r="AN719" s="712"/>
      <c r="AO719" s="712"/>
      <c r="AP719" s="712"/>
      <c r="AQ719" s="712"/>
      <c r="AR719" s="712"/>
      <c r="AS719" s="712"/>
      <c r="AT719" s="712"/>
      <c r="AU719" s="712"/>
      <c r="AV719" s="712"/>
      <c r="AW719" s="712"/>
      <c r="AX719" s="712"/>
      <c r="AY719" s="712"/>
    </row>
    <row r="720">
      <c r="T720" s="434"/>
      <c r="U720" s="438"/>
      <c r="V720" s="438"/>
      <c r="W720" s="438"/>
      <c r="X720" s="438"/>
      <c r="Y720" s="438"/>
      <c r="Z720" s="438"/>
      <c r="AA720" s="438"/>
      <c r="AB720" s="438"/>
      <c r="AC720" s="438"/>
      <c r="AD720" s="438"/>
      <c r="AE720" s="438"/>
      <c r="AF720" s="438"/>
      <c r="AG720" s="712"/>
      <c r="AH720" s="712"/>
      <c r="AI720" s="712"/>
      <c r="AJ720" s="712"/>
      <c r="AK720" s="712"/>
      <c r="AL720" s="712"/>
      <c r="AM720" s="712"/>
      <c r="AN720" s="712"/>
      <c r="AO720" s="712"/>
      <c r="AP720" s="712"/>
      <c r="AQ720" s="712"/>
      <c r="AR720" s="712"/>
      <c r="AS720" s="712"/>
      <c r="AT720" s="712"/>
      <c r="AU720" s="712"/>
      <c r="AV720" s="712"/>
      <c r="AW720" s="712"/>
      <c r="AX720" s="712"/>
      <c r="AY720" s="712"/>
    </row>
    <row r="721">
      <c r="T721" s="434"/>
      <c r="U721" s="438"/>
      <c r="V721" s="438"/>
      <c r="W721" s="438"/>
      <c r="X721" s="438"/>
      <c r="Y721" s="438"/>
      <c r="Z721" s="438"/>
      <c r="AA721" s="438"/>
      <c r="AB721" s="438"/>
      <c r="AC721" s="438"/>
      <c r="AD721" s="438"/>
      <c r="AE721" s="438"/>
      <c r="AF721" s="438"/>
      <c r="AG721" s="712"/>
      <c r="AH721" s="712"/>
      <c r="AI721" s="712"/>
      <c r="AJ721" s="712"/>
      <c r="AK721" s="712"/>
      <c r="AL721" s="712"/>
      <c r="AM721" s="712"/>
      <c r="AN721" s="712"/>
      <c r="AO721" s="712"/>
      <c r="AP721" s="712"/>
      <c r="AQ721" s="712"/>
      <c r="AR721" s="712"/>
      <c r="AS721" s="712"/>
      <c r="AT721" s="712"/>
      <c r="AU721" s="712"/>
      <c r="AV721" s="712"/>
      <c r="AW721" s="712"/>
      <c r="AX721" s="712"/>
      <c r="AY721" s="712"/>
    </row>
    <row r="722">
      <c r="T722" s="434"/>
      <c r="U722" s="438"/>
      <c r="V722" s="438"/>
      <c r="W722" s="438"/>
      <c r="X722" s="438"/>
      <c r="Y722" s="438"/>
      <c r="Z722" s="438"/>
      <c r="AA722" s="438"/>
      <c r="AB722" s="438"/>
      <c r="AC722" s="438"/>
      <c r="AD722" s="438"/>
      <c r="AE722" s="438"/>
      <c r="AF722" s="438"/>
      <c r="AG722" s="712"/>
      <c r="AH722" s="712"/>
      <c r="AI722" s="712"/>
      <c r="AJ722" s="712"/>
      <c r="AK722" s="712"/>
      <c r="AL722" s="712"/>
      <c r="AM722" s="712"/>
      <c r="AN722" s="712"/>
      <c r="AO722" s="712"/>
      <c r="AP722" s="712"/>
      <c r="AQ722" s="712"/>
      <c r="AR722" s="712"/>
      <c r="AS722" s="712"/>
      <c r="AT722" s="712"/>
      <c r="AU722" s="712"/>
      <c r="AV722" s="712"/>
      <c r="AW722" s="712"/>
      <c r="AX722" s="712"/>
      <c r="AY722" s="712"/>
    </row>
    <row r="723">
      <c r="T723" s="434"/>
      <c r="U723" s="438"/>
      <c r="V723" s="438"/>
      <c r="W723" s="438"/>
      <c r="X723" s="438"/>
      <c r="Y723" s="438"/>
      <c r="Z723" s="438"/>
      <c r="AA723" s="438"/>
      <c r="AB723" s="438"/>
      <c r="AC723" s="438"/>
      <c r="AD723" s="438"/>
      <c r="AE723" s="438"/>
      <c r="AF723" s="438"/>
      <c r="AG723" s="712"/>
      <c r="AH723" s="712"/>
      <c r="AI723" s="712"/>
      <c r="AJ723" s="712"/>
      <c r="AK723" s="712"/>
      <c r="AL723" s="712"/>
      <c r="AM723" s="712"/>
      <c r="AN723" s="712"/>
      <c r="AO723" s="712"/>
      <c r="AP723" s="712"/>
      <c r="AQ723" s="712"/>
      <c r="AR723" s="712"/>
      <c r="AS723" s="712"/>
      <c r="AT723" s="712"/>
      <c r="AU723" s="712"/>
      <c r="AV723" s="712"/>
      <c r="AW723" s="712"/>
      <c r="AX723" s="712"/>
      <c r="AY723" s="712"/>
    </row>
    <row r="724">
      <c r="T724" s="434"/>
      <c r="U724" s="438"/>
      <c r="V724" s="438"/>
      <c r="W724" s="438"/>
      <c r="X724" s="438"/>
      <c r="Y724" s="438"/>
      <c r="Z724" s="438"/>
      <c r="AA724" s="438"/>
      <c r="AB724" s="438"/>
      <c r="AC724" s="438"/>
      <c r="AD724" s="438"/>
      <c r="AE724" s="438"/>
      <c r="AF724" s="438"/>
      <c r="AG724" s="712"/>
      <c r="AH724" s="712"/>
      <c r="AI724" s="712"/>
      <c r="AJ724" s="712"/>
      <c r="AK724" s="712"/>
      <c r="AL724" s="712"/>
      <c r="AM724" s="712"/>
      <c r="AN724" s="712"/>
      <c r="AO724" s="712"/>
      <c r="AP724" s="712"/>
      <c r="AQ724" s="712"/>
      <c r="AR724" s="712"/>
      <c r="AS724" s="712"/>
      <c r="AT724" s="712"/>
      <c r="AU724" s="712"/>
      <c r="AV724" s="712"/>
      <c r="AW724" s="712"/>
      <c r="AX724" s="712"/>
      <c r="AY724" s="712"/>
    </row>
    <row r="725">
      <c r="T725" s="434"/>
      <c r="U725" s="438"/>
      <c r="V725" s="438"/>
      <c r="W725" s="438"/>
      <c r="X725" s="438"/>
      <c r="Y725" s="438"/>
      <c r="Z725" s="438"/>
      <c r="AA725" s="438"/>
      <c r="AB725" s="438"/>
      <c r="AC725" s="438"/>
      <c r="AD725" s="438"/>
      <c r="AE725" s="438"/>
      <c r="AF725" s="438"/>
      <c r="AG725" s="712"/>
      <c r="AH725" s="712"/>
      <c r="AI725" s="712"/>
      <c r="AJ725" s="712"/>
      <c r="AK725" s="712"/>
      <c r="AL725" s="712"/>
      <c r="AM725" s="712"/>
      <c r="AN725" s="712"/>
      <c r="AO725" s="712"/>
      <c r="AP725" s="712"/>
      <c r="AQ725" s="712"/>
      <c r="AR725" s="712"/>
      <c r="AS725" s="712"/>
      <c r="AT725" s="712"/>
      <c r="AU725" s="712"/>
      <c r="AV725" s="712"/>
      <c r="AW725" s="712"/>
      <c r="AX725" s="712"/>
      <c r="AY725" s="712"/>
    </row>
    <row r="726">
      <c r="T726" s="434"/>
      <c r="U726" s="438"/>
      <c r="V726" s="438"/>
      <c r="W726" s="438"/>
      <c r="X726" s="438"/>
      <c r="Y726" s="438"/>
      <c r="Z726" s="438"/>
      <c r="AA726" s="438"/>
      <c r="AB726" s="438"/>
      <c r="AC726" s="438"/>
      <c r="AD726" s="438"/>
      <c r="AE726" s="438"/>
      <c r="AF726" s="438"/>
      <c r="AG726" s="712"/>
      <c r="AH726" s="712"/>
      <c r="AI726" s="712"/>
      <c r="AJ726" s="712"/>
      <c r="AK726" s="712"/>
      <c r="AL726" s="712"/>
      <c r="AM726" s="712"/>
      <c r="AN726" s="712"/>
      <c r="AO726" s="712"/>
      <c r="AP726" s="712"/>
      <c r="AQ726" s="712"/>
      <c r="AR726" s="712"/>
      <c r="AS726" s="712"/>
      <c r="AT726" s="712"/>
      <c r="AU726" s="712"/>
      <c r="AV726" s="712"/>
      <c r="AW726" s="712"/>
      <c r="AX726" s="712"/>
      <c r="AY726" s="712"/>
    </row>
    <row r="727">
      <c r="T727" s="434"/>
      <c r="U727" s="438"/>
      <c r="V727" s="438"/>
      <c r="W727" s="438"/>
      <c r="X727" s="438"/>
      <c r="Y727" s="438"/>
      <c r="Z727" s="438"/>
      <c r="AA727" s="438"/>
      <c r="AB727" s="438"/>
      <c r="AC727" s="438"/>
      <c r="AD727" s="438"/>
      <c r="AE727" s="438"/>
      <c r="AF727" s="438"/>
      <c r="AG727" s="712"/>
      <c r="AH727" s="712"/>
      <c r="AI727" s="712"/>
      <c r="AJ727" s="712"/>
      <c r="AK727" s="712"/>
      <c r="AL727" s="712"/>
      <c r="AM727" s="712"/>
      <c r="AN727" s="712"/>
      <c r="AO727" s="712"/>
      <c r="AP727" s="712"/>
      <c r="AQ727" s="712"/>
      <c r="AR727" s="712"/>
      <c r="AS727" s="712"/>
      <c r="AT727" s="712"/>
      <c r="AU727" s="712"/>
      <c r="AV727" s="712"/>
      <c r="AW727" s="712"/>
      <c r="AX727" s="712"/>
      <c r="AY727" s="712"/>
    </row>
    <row r="728">
      <c r="T728" s="434"/>
      <c r="U728" s="438"/>
      <c r="V728" s="438"/>
      <c r="W728" s="438"/>
      <c r="X728" s="438"/>
      <c r="Y728" s="438"/>
      <c r="Z728" s="438"/>
      <c r="AA728" s="438"/>
      <c r="AB728" s="438"/>
      <c r="AC728" s="438"/>
      <c r="AD728" s="438"/>
      <c r="AE728" s="438"/>
      <c r="AF728" s="438"/>
      <c r="AG728" s="712"/>
      <c r="AH728" s="712"/>
      <c r="AI728" s="712"/>
      <c r="AJ728" s="712"/>
      <c r="AK728" s="712"/>
      <c r="AL728" s="712"/>
      <c r="AM728" s="712"/>
      <c r="AN728" s="712"/>
      <c r="AO728" s="712"/>
      <c r="AP728" s="712"/>
      <c r="AQ728" s="712"/>
      <c r="AR728" s="712"/>
      <c r="AS728" s="712"/>
      <c r="AT728" s="712"/>
      <c r="AU728" s="712"/>
      <c r="AV728" s="712"/>
      <c r="AW728" s="712"/>
      <c r="AX728" s="712"/>
      <c r="AY728" s="712"/>
    </row>
    <row r="729">
      <c r="T729" s="434"/>
      <c r="U729" s="438"/>
      <c r="V729" s="438"/>
      <c r="W729" s="438"/>
      <c r="X729" s="438"/>
      <c r="Y729" s="438"/>
      <c r="Z729" s="438"/>
      <c r="AA729" s="438"/>
      <c r="AB729" s="438"/>
      <c r="AC729" s="438"/>
      <c r="AD729" s="438"/>
      <c r="AE729" s="438"/>
      <c r="AF729" s="438"/>
      <c r="AG729" s="712"/>
      <c r="AH729" s="712"/>
      <c r="AI729" s="712"/>
      <c r="AJ729" s="712"/>
      <c r="AK729" s="712"/>
      <c r="AL729" s="712"/>
      <c r="AM729" s="712"/>
      <c r="AN729" s="712"/>
      <c r="AO729" s="712"/>
      <c r="AP729" s="712"/>
      <c r="AQ729" s="712"/>
      <c r="AR729" s="712"/>
      <c r="AS729" s="712"/>
      <c r="AT729" s="712"/>
      <c r="AU729" s="712"/>
      <c r="AV729" s="712"/>
      <c r="AW729" s="712"/>
      <c r="AX729" s="712"/>
      <c r="AY729" s="712"/>
    </row>
    <row r="730">
      <c r="T730" s="434"/>
      <c r="U730" s="438"/>
      <c r="V730" s="438"/>
      <c r="W730" s="438"/>
      <c r="X730" s="438"/>
      <c r="Y730" s="438"/>
      <c r="Z730" s="438"/>
      <c r="AA730" s="438"/>
      <c r="AB730" s="438"/>
      <c r="AC730" s="438"/>
      <c r="AD730" s="438"/>
      <c r="AE730" s="438"/>
      <c r="AF730" s="438"/>
      <c r="AG730" s="712"/>
      <c r="AH730" s="712"/>
      <c r="AI730" s="712"/>
      <c r="AJ730" s="712"/>
      <c r="AK730" s="712"/>
      <c r="AL730" s="712"/>
      <c r="AM730" s="712"/>
      <c r="AN730" s="712"/>
      <c r="AO730" s="712"/>
      <c r="AP730" s="712"/>
      <c r="AQ730" s="712"/>
      <c r="AR730" s="712"/>
      <c r="AS730" s="712"/>
      <c r="AT730" s="712"/>
      <c r="AU730" s="712"/>
      <c r="AV730" s="712"/>
      <c r="AW730" s="712"/>
      <c r="AX730" s="712"/>
      <c r="AY730" s="712"/>
    </row>
    <row r="731">
      <c r="T731" s="434"/>
      <c r="U731" s="438"/>
      <c r="V731" s="438"/>
      <c r="W731" s="438"/>
      <c r="X731" s="438"/>
      <c r="Y731" s="438"/>
      <c r="Z731" s="438"/>
      <c r="AA731" s="438"/>
      <c r="AB731" s="438"/>
      <c r="AC731" s="438"/>
      <c r="AD731" s="438"/>
      <c r="AE731" s="438"/>
      <c r="AF731" s="438"/>
      <c r="AG731" s="712"/>
      <c r="AH731" s="712"/>
      <c r="AI731" s="712"/>
      <c r="AJ731" s="712"/>
      <c r="AK731" s="712"/>
      <c r="AL731" s="712"/>
      <c r="AM731" s="712"/>
      <c r="AN731" s="712"/>
      <c r="AO731" s="712"/>
      <c r="AP731" s="712"/>
      <c r="AQ731" s="712"/>
      <c r="AR731" s="712"/>
      <c r="AS731" s="712"/>
      <c r="AT731" s="712"/>
      <c r="AU731" s="712"/>
      <c r="AV731" s="712"/>
      <c r="AW731" s="712"/>
      <c r="AX731" s="712"/>
      <c r="AY731" s="712"/>
    </row>
    <row r="732">
      <c r="T732" s="434"/>
      <c r="U732" s="438"/>
      <c r="V732" s="438"/>
      <c r="W732" s="438"/>
      <c r="X732" s="438"/>
      <c r="Y732" s="438"/>
      <c r="Z732" s="438"/>
      <c r="AA732" s="438"/>
      <c r="AB732" s="438"/>
      <c r="AC732" s="438"/>
      <c r="AD732" s="438"/>
      <c r="AE732" s="438"/>
      <c r="AF732" s="438"/>
      <c r="AG732" s="712"/>
      <c r="AH732" s="712"/>
      <c r="AI732" s="712"/>
      <c r="AJ732" s="712"/>
      <c r="AK732" s="712"/>
      <c r="AL732" s="712"/>
      <c r="AM732" s="712"/>
      <c r="AN732" s="712"/>
      <c r="AO732" s="712"/>
      <c r="AP732" s="712"/>
      <c r="AQ732" s="712"/>
      <c r="AR732" s="712"/>
      <c r="AS732" s="712"/>
      <c r="AT732" s="712"/>
      <c r="AU732" s="712"/>
      <c r="AV732" s="712"/>
      <c r="AW732" s="712"/>
      <c r="AX732" s="712"/>
      <c r="AY732" s="712"/>
    </row>
    <row r="733">
      <c r="T733" s="434"/>
      <c r="U733" s="438"/>
      <c r="V733" s="438"/>
      <c r="W733" s="438"/>
      <c r="X733" s="438"/>
      <c r="Y733" s="438"/>
      <c r="Z733" s="438"/>
      <c r="AA733" s="438"/>
      <c r="AB733" s="438"/>
      <c r="AC733" s="438"/>
      <c r="AD733" s="438"/>
      <c r="AE733" s="438"/>
      <c r="AF733" s="438"/>
      <c r="AG733" s="712"/>
      <c r="AH733" s="712"/>
      <c r="AI733" s="712"/>
      <c r="AJ733" s="712"/>
      <c r="AK733" s="712"/>
      <c r="AL733" s="712"/>
      <c r="AM733" s="712"/>
      <c r="AN733" s="712"/>
      <c r="AO733" s="712"/>
      <c r="AP733" s="712"/>
      <c r="AQ733" s="712"/>
      <c r="AR733" s="712"/>
      <c r="AS733" s="712"/>
      <c r="AT733" s="712"/>
      <c r="AU733" s="712"/>
      <c r="AV733" s="712"/>
      <c r="AW733" s="712"/>
      <c r="AX733" s="712"/>
      <c r="AY733" s="712"/>
    </row>
    <row r="734">
      <c r="T734" s="434"/>
      <c r="U734" s="438"/>
      <c r="V734" s="438"/>
      <c r="W734" s="438"/>
      <c r="X734" s="438"/>
      <c r="Y734" s="438"/>
      <c r="Z734" s="438"/>
      <c r="AA734" s="438"/>
      <c r="AB734" s="438"/>
      <c r="AC734" s="438"/>
      <c r="AD734" s="438"/>
      <c r="AE734" s="438"/>
      <c r="AF734" s="438"/>
      <c r="AG734" s="712"/>
      <c r="AH734" s="712"/>
      <c r="AI734" s="712"/>
      <c r="AJ734" s="712"/>
      <c r="AK734" s="712"/>
      <c r="AL734" s="712"/>
      <c r="AM734" s="712"/>
      <c r="AN734" s="712"/>
      <c r="AO734" s="712"/>
      <c r="AP734" s="712"/>
      <c r="AQ734" s="712"/>
      <c r="AR734" s="712"/>
      <c r="AS734" s="712"/>
      <c r="AT734" s="712"/>
      <c r="AU734" s="712"/>
      <c r="AV734" s="712"/>
      <c r="AW734" s="712"/>
      <c r="AX734" s="712"/>
      <c r="AY734" s="712"/>
    </row>
    <row r="735">
      <c r="T735" s="434"/>
      <c r="U735" s="438"/>
      <c r="V735" s="438"/>
      <c r="W735" s="438"/>
      <c r="X735" s="438"/>
      <c r="Y735" s="438"/>
      <c r="Z735" s="438"/>
      <c r="AA735" s="438"/>
      <c r="AB735" s="438"/>
      <c r="AC735" s="438"/>
      <c r="AD735" s="438"/>
      <c r="AE735" s="438"/>
      <c r="AF735" s="438"/>
      <c r="AG735" s="712"/>
      <c r="AH735" s="712"/>
      <c r="AI735" s="712"/>
      <c r="AJ735" s="712"/>
      <c r="AK735" s="712"/>
      <c r="AL735" s="712"/>
      <c r="AM735" s="712"/>
      <c r="AN735" s="712"/>
      <c r="AO735" s="712"/>
      <c r="AP735" s="712"/>
      <c r="AQ735" s="712"/>
      <c r="AR735" s="712"/>
      <c r="AS735" s="712"/>
      <c r="AT735" s="712"/>
      <c r="AU735" s="712"/>
      <c r="AV735" s="712"/>
      <c r="AW735" s="712"/>
      <c r="AX735" s="712"/>
      <c r="AY735" s="712"/>
    </row>
    <row r="736">
      <c r="T736" s="434"/>
      <c r="U736" s="438"/>
      <c r="V736" s="438"/>
      <c r="W736" s="438"/>
      <c r="X736" s="438"/>
      <c r="Y736" s="438"/>
      <c r="Z736" s="438"/>
      <c r="AA736" s="438"/>
      <c r="AB736" s="438"/>
      <c r="AC736" s="438"/>
      <c r="AD736" s="438"/>
      <c r="AE736" s="438"/>
      <c r="AF736" s="438"/>
      <c r="AG736" s="712"/>
      <c r="AH736" s="712"/>
      <c r="AI736" s="712"/>
      <c r="AJ736" s="712"/>
      <c r="AK736" s="712"/>
      <c r="AL736" s="712"/>
      <c r="AM736" s="712"/>
      <c r="AN736" s="712"/>
      <c r="AO736" s="712"/>
      <c r="AP736" s="712"/>
      <c r="AQ736" s="712"/>
      <c r="AR736" s="712"/>
      <c r="AS736" s="712"/>
      <c r="AT736" s="712"/>
      <c r="AU736" s="712"/>
      <c r="AV736" s="712"/>
      <c r="AW736" s="712"/>
      <c r="AX736" s="712"/>
      <c r="AY736" s="712"/>
    </row>
    <row r="737">
      <c r="T737" s="434"/>
      <c r="U737" s="438"/>
      <c r="V737" s="438"/>
      <c r="W737" s="438"/>
      <c r="X737" s="438"/>
      <c r="Y737" s="438"/>
      <c r="Z737" s="438"/>
      <c r="AA737" s="438"/>
      <c r="AB737" s="438"/>
      <c r="AC737" s="438"/>
      <c r="AD737" s="438"/>
      <c r="AE737" s="438"/>
      <c r="AF737" s="438"/>
      <c r="AG737" s="712"/>
      <c r="AH737" s="712"/>
      <c r="AI737" s="712"/>
      <c r="AJ737" s="712"/>
      <c r="AK737" s="712"/>
      <c r="AL737" s="712"/>
      <c r="AM737" s="712"/>
      <c r="AN737" s="712"/>
      <c r="AO737" s="712"/>
      <c r="AP737" s="712"/>
      <c r="AQ737" s="712"/>
      <c r="AR737" s="712"/>
      <c r="AS737" s="712"/>
      <c r="AT737" s="712"/>
      <c r="AU737" s="712"/>
      <c r="AV737" s="712"/>
      <c r="AW737" s="712"/>
      <c r="AX737" s="712"/>
      <c r="AY737" s="712"/>
    </row>
    <row r="738">
      <c r="T738" s="434"/>
      <c r="U738" s="438"/>
      <c r="V738" s="438"/>
      <c r="W738" s="438"/>
      <c r="X738" s="438"/>
      <c r="Y738" s="438"/>
      <c r="Z738" s="438"/>
      <c r="AA738" s="438"/>
      <c r="AB738" s="438"/>
      <c r="AC738" s="438"/>
      <c r="AD738" s="438"/>
      <c r="AE738" s="438"/>
      <c r="AF738" s="438"/>
      <c r="AG738" s="712"/>
      <c r="AH738" s="712"/>
      <c r="AI738" s="712"/>
      <c r="AJ738" s="712"/>
      <c r="AK738" s="712"/>
      <c r="AL738" s="712"/>
      <c r="AM738" s="712"/>
      <c r="AN738" s="712"/>
      <c r="AO738" s="712"/>
      <c r="AP738" s="712"/>
      <c r="AQ738" s="712"/>
      <c r="AR738" s="712"/>
      <c r="AS738" s="712"/>
      <c r="AT738" s="712"/>
      <c r="AU738" s="712"/>
      <c r="AV738" s="712"/>
      <c r="AW738" s="712"/>
      <c r="AX738" s="712"/>
      <c r="AY738" s="712"/>
    </row>
    <row r="739">
      <c r="T739" s="434"/>
      <c r="U739" s="438"/>
      <c r="V739" s="438"/>
      <c r="W739" s="438"/>
      <c r="X739" s="438"/>
      <c r="Y739" s="438"/>
      <c r="Z739" s="438"/>
      <c r="AA739" s="438"/>
      <c r="AB739" s="438"/>
      <c r="AC739" s="438"/>
      <c r="AD739" s="438"/>
      <c r="AE739" s="438"/>
      <c r="AF739" s="438"/>
      <c r="AG739" s="712"/>
      <c r="AH739" s="712"/>
      <c r="AI739" s="712"/>
      <c r="AJ739" s="712"/>
      <c r="AK739" s="712"/>
      <c r="AL739" s="712"/>
      <c r="AM739" s="712"/>
      <c r="AN739" s="712"/>
      <c r="AO739" s="712"/>
      <c r="AP739" s="712"/>
      <c r="AQ739" s="712"/>
      <c r="AR739" s="712"/>
      <c r="AS739" s="712"/>
      <c r="AT739" s="712"/>
      <c r="AU739" s="712"/>
      <c r="AV739" s="712"/>
      <c r="AW739" s="712"/>
      <c r="AX739" s="712"/>
      <c r="AY739" s="712"/>
    </row>
    <row r="740">
      <c r="T740" s="434"/>
      <c r="U740" s="438"/>
      <c r="V740" s="438"/>
      <c r="W740" s="438"/>
      <c r="X740" s="438"/>
      <c r="Y740" s="438"/>
      <c r="Z740" s="438"/>
      <c r="AA740" s="438"/>
      <c r="AB740" s="438"/>
      <c r="AC740" s="438"/>
      <c r="AD740" s="438"/>
      <c r="AE740" s="438"/>
      <c r="AF740" s="438"/>
      <c r="AG740" s="712"/>
      <c r="AH740" s="712"/>
      <c r="AI740" s="712"/>
      <c r="AJ740" s="712"/>
      <c r="AK740" s="712"/>
      <c r="AL740" s="712"/>
      <c r="AM740" s="712"/>
      <c r="AN740" s="712"/>
      <c r="AO740" s="712"/>
      <c r="AP740" s="712"/>
      <c r="AQ740" s="712"/>
      <c r="AR740" s="712"/>
      <c r="AS740" s="712"/>
      <c r="AT740" s="712"/>
      <c r="AU740" s="712"/>
      <c r="AV740" s="712"/>
      <c r="AW740" s="712"/>
      <c r="AX740" s="712"/>
      <c r="AY740" s="712"/>
    </row>
    <row r="741">
      <c r="T741" s="434"/>
      <c r="U741" s="438"/>
      <c r="V741" s="438"/>
      <c r="W741" s="438"/>
      <c r="X741" s="438"/>
      <c r="Y741" s="438"/>
      <c r="Z741" s="438"/>
      <c r="AA741" s="438"/>
      <c r="AB741" s="438"/>
      <c r="AC741" s="438"/>
      <c r="AD741" s="438"/>
      <c r="AE741" s="438"/>
      <c r="AF741" s="438"/>
      <c r="AG741" s="712"/>
      <c r="AH741" s="712"/>
      <c r="AI741" s="712"/>
      <c r="AJ741" s="712"/>
      <c r="AK741" s="712"/>
      <c r="AL741" s="712"/>
      <c r="AM741" s="712"/>
      <c r="AN741" s="712"/>
      <c r="AO741" s="712"/>
      <c r="AP741" s="712"/>
      <c r="AQ741" s="712"/>
      <c r="AR741" s="712"/>
      <c r="AS741" s="712"/>
      <c r="AT741" s="712"/>
      <c r="AU741" s="712"/>
      <c r="AV741" s="712"/>
      <c r="AW741" s="712"/>
      <c r="AX741" s="712"/>
      <c r="AY741" s="712"/>
    </row>
    <row r="742">
      <c r="T742" s="434"/>
      <c r="U742" s="438"/>
      <c r="V742" s="438"/>
      <c r="W742" s="438"/>
      <c r="X742" s="438"/>
      <c r="Y742" s="438"/>
      <c r="Z742" s="438"/>
      <c r="AA742" s="438"/>
      <c r="AB742" s="438"/>
      <c r="AC742" s="438"/>
      <c r="AD742" s="438"/>
      <c r="AE742" s="438"/>
      <c r="AF742" s="438"/>
      <c r="AG742" s="712"/>
      <c r="AH742" s="712"/>
      <c r="AI742" s="712"/>
      <c r="AJ742" s="712"/>
      <c r="AK742" s="712"/>
      <c r="AL742" s="712"/>
      <c r="AM742" s="712"/>
      <c r="AN742" s="712"/>
      <c r="AO742" s="712"/>
      <c r="AP742" s="712"/>
      <c r="AQ742" s="712"/>
      <c r="AR742" s="712"/>
      <c r="AS742" s="712"/>
      <c r="AT742" s="712"/>
      <c r="AU742" s="712"/>
      <c r="AV742" s="712"/>
      <c r="AW742" s="712"/>
      <c r="AX742" s="712"/>
      <c r="AY742" s="712"/>
    </row>
    <row r="743">
      <c r="T743" s="434"/>
      <c r="U743" s="438"/>
      <c r="V743" s="438"/>
      <c r="W743" s="438"/>
      <c r="X743" s="438"/>
      <c r="Y743" s="438"/>
      <c r="Z743" s="438"/>
      <c r="AA743" s="438"/>
      <c r="AB743" s="438"/>
      <c r="AC743" s="438"/>
      <c r="AD743" s="438"/>
      <c r="AE743" s="438"/>
      <c r="AF743" s="438"/>
      <c r="AG743" s="712"/>
      <c r="AH743" s="712"/>
      <c r="AI743" s="712"/>
      <c r="AJ743" s="712"/>
      <c r="AK743" s="712"/>
      <c r="AL743" s="712"/>
      <c r="AM743" s="712"/>
      <c r="AN743" s="712"/>
      <c r="AO743" s="712"/>
      <c r="AP743" s="712"/>
      <c r="AQ743" s="712"/>
      <c r="AR743" s="712"/>
      <c r="AS743" s="712"/>
      <c r="AT743" s="712"/>
      <c r="AU743" s="712"/>
      <c r="AV743" s="712"/>
      <c r="AW743" s="712"/>
      <c r="AX743" s="712"/>
      <c r="AY743" s="712"/>
    </row>
    <row r="744">
      <c r="T744" s="434"/>
      <c r="U744" s="438"/>
      <c r="V744" s="438"/>
      <c r="W744" s="438"/>
      <c r="X744" s="438"/>
      <c r="Y744" s="438"/>
      <c r="Z744" s="438"/>
      <c r="AA744" s="438"/>
      <c r="AB744" s="438"/>
      <c r="AC744" s="438"/>
      <c r="AD744" s="438"/>
      <c r="AE744" s="438"/>
      <c r="AF744" s="438"/>
      <c r="AG744" s="712"/>
      <c r="AH744" s="712"/>
      <c r="AI744" s="712"/>
      <c r="AJ744" s="712"/>
      <c r="AK744" s="712"/>
      <c r="AL744" s="712"/>
      <c r="AM744" s="712"/>
      <c r="AN744" s="712"/>
      <c r="AO744" s="712"/>
      <c r="AP744" s="712"/>
      <c r="AQ744" s="712"/>
      <c r="AR744" s="712"/>
      <c r="AS744" s="712"/>
      <c r="AT744" s="712"/>
      <c r="AU744" s="712"/>
      <c r="AV744" s="712"/>
      <c r="AW744" s="712"/>
      <c r="AX744" s="712"/>
      <c r="AY744" s="712"/>
    </row>
    <row r="745">
      <c r="T745" s="434"/>
      <c r="U745" s="438"/>
      <c r="V745" s="438"/>
      <c r="W745" s="438"/>
      <c r="X745" s="438"/>
      <c r="Y745" s="438"/>
      <c r="Z745" s="438"/>
      <c r="AA745" s="438"/>
      <c r="AB745" s="438"/>
      <c r="AC745" s="438"/>
      <c r="AD745" s="438"/>
      <c r="AE745" s="438"/>
      <c r="AF745" s="438"/>
      <c r="AG745" s="712"/>
      <c r="AH745" s="712"/>
      <c r="AI745" s="712"/>
      <c r="AJ745" s="712"/>
      <c r="AK745" s="712"/>
      <c r="AL745" s="712"/>
      <c r="AM745" s="712"/>
      <c r="AN745" s="712"/>
      <c r="AO745" s="712"/>
      <c r="AP745" s="712"/>
      <c r="AQ745" s="712"/>
      <c r="AR745" s="712"/>
      <c r="AS745" s="712"/>
      <c r="AT745" s="712"/>
      <c r="AU745" s="712"/>
      <c r="AV745" s="712"/>
      <c r="AW745" s="712"/>
      <c r="AX745" s="712"/>
      <c r="AY745" s="712"/>
    </row>
    <row r="746">
      <c r="T746" s="434"/>
      <c r="U746" s="438"/>
      <c r="V746" s="438"/>
      <c r="W746" s="438"/>
      <c r="X746" s="438"/>
      <c r="Y746" s="438"/>
      <c r="Z746" s="438"/>
      <c r="AA746" s="438"/>
      <c r="AB746" s="438"/>
      <c r="AC746" s="438"/>
      <c r="AD746" s="438"/>
      <c r="AE746" s="438"/>
      <c r="AF746" s="438"/>
      <c r="AG746" s="712"/>
      <c r="AH746" s="712"/>
      <c r="AI746" s="712"/>
      <c r="AJ746" s="712"/>
      <c r="AK746" s="712"/>
      <c r="AL746" s="712"/>
      <c r="AM746" s="712"/>
      <c r="AN746" s="712"/>
      <c r="AO746" s="712"/>
      <c r="AP746" s="712"/>
      <c r="AQ746" s="712"/>
      <c r="AR746" s="712"/>
      <c r="AS746" s="712"/>
      <c r="AT746" s="712"/>
      <c r="AU746" s="712"/>
      <c r="AV746" s="712"/>
      <c r="AW746" s="712"/>
      <c r="AX746" s="712"/>
      <c r="AY746" s="712"/>
    </row>
    <row r="747">
      <c r="T747" s="434"/>
      <c r="U747" s="438"/>
      <c r="V747" s="438"/>
      <c r="W747" s="438"/>
      <c r="X747" s="438"/>
      <c r="Y747" s="438"/>
      <c r="Z747" s="438"/>
      <c r="AA747" s="438"/>
      <c r="AB747" s="438"/>
      <c r="AC747" s="438"/>
      <c r="AD747" s="438"/>
      <c r="AE747" s="438"/>
      <c r="AF747" s="438"/>
      <c r="AG747" s="712"/>
      <c r="AH747" s="712"/>
      <c r="AI747" s="712"/>
      <c r="AJ747" s="712"/>
      <c r="AK747" s="712"/>
      <c r="AL747" s="712"/>
      <c r="AM747" s="712"/>
      <c r="AN747" s="712"/>
      <c r="AO747" s="712"/>
      <c r="AP747" s="712"/>
      <c r="AQ747" s="712"/>
      <c r="AR747" s="712"/>
      <c r="AS747" s="712"/>
      <c r="AT747" s="712"/>
      <c r="AU747" s="712"/>
      <c r="AV747" s="712"/>
      <c r="AW747" s="712"/>
      <c r="AX747" s="712"/>
      <c r="AY747" s="712"/>
    </row>
    <row r="748">
      <c r="T748" s="434"/>
      <c r="U748" s="438"/>
      <c r="V748" s="438"/>
      <c r="W748" s="438"/>
      <c r="X748" s="438"/>
      <c r="Y748" s="438"/>
      <c r="Z748" s="438"/>
      <c r="AA748" s="438"/>
      <c r="AB748" s="438"/>
      <c r="AC748" s="438"/>
      <c r="AD748" s="438"/>
      <c r="AE748" s="438"/>
      <c r="AF748" s="438"/>
      <c r="AG748" s="712"/>
      <c r="AH748" s="712"/>
      <c r="AI748" s="712"/>
      <c r="AJ748" s="712"/>
      <c r="AK748" s="712"/>
      <c r="AL748" s="712"/>
      <c r="AM748" s="712"/>
      <c r="AN748" s="712"/>
      <c r="AO748" s="712"/>
      <c r="AP748" s="712"/>
      <c r="AQ748" s="712"/>
      <c r="AR748" s="712"/>
      <c r="AS748" s="712"/>
      <c r="AT748" s="712"/>
      <c r="AU748" s="712"/>
      <c r="AV748" s="712"/>
      <c r="AW748" s="712"/>
      <c r="AX748" s="712"/>
      <c r="AY748" s="712"/>
    </row>
    <row r="749">
      <c r="T749" s="434"/>
      <c r="U749" s="438"/>
      <c r="V749" s="438"/>
      <c r="W749" s="438"/>
      <c r="X749" s="438"/>
      <c r="Y749" s="438"/>
      <c r="Z749" s="438"/>
      <c r="AA749" s="438"/>
      <c r="AB749" s="438"/>
      <c r="AC749" s="438"/>
      <c r="AD749" s="438"/>
      <c r="AE749" s="438"/>
      <c r="AF749" s="438"/>
      <c r="AG749" s="712"/>
      <c r="AH749" s="712"/>
      <c r="AI749" s="712"/>
      <c r="AJ749" s="712"/>
      <c r="AK749" s="712"/>
      <c r="AL749" s="712"/>
      <c r="AM749" s="712"/>
      <c r="AN749" s="712"/>
      <c r="AO749" s="712"/>
      <c r="AP749" s="712"/>
      <c r="AQ749" s="712"/>
      <c r="AR749" s="712"/>
      <c r="AS749" s="712"/>
      <c r="AT749" s="712"/>
      <c r="AU749" s="712"/>
      <c r="AV749" s="712"/>
      <c r="AW749" s="712"/>
      <c r="AX749" s="712"/>
      <c r="AY749" s="712"/>
    </row>
    <row r="750">
      <c r="T750" s="434"/>
      <c r="U750" s="438"/>
      <c r="V750" s="438"/>
      <c r="W750" s="438"/>
      <c r="X750" s="438"/>
      <c r="Y750" s="438"/>
      <c r="Z750" s="438"/>
      <c r="AA750" s="438"/>
      <c r="AB750" s="438"/>
      <c r="AC750" s="438"/>
      <c r="AD750" s="438"/>
      <c r="AE750" s="438"/>
      <c r="AF750" s="438"/>
      <c r="AG750" s="712"/>
      <c r="AH750" s="712"/>
      <c r="AI750" s="712"/>
      <c r="AJ750" s="712"/>
      <c r="AK750" s="712"/>
      <c r="AL750" s="712"/>
      <c r="AM750" s="712"/>
      <c r="AN750" s="712"/>
      <c r="AO750" s="712"/>
      <c r="AP750" s="712"/>
      <c r="AQ750" s="712"/>
      <c r="AR750" s="712"/>
      <c r="AS750" s="712"/>
      <c r="AT750" s="712"/>
      <c r="AU750" s="712"/>
      <c r="AV750" s="712"/>
      <c r="AW750" s="712"/>
      <c r="AX750" s="712"/>
      <c r="AY750" s="712"/>
    </row>
    <row r="751">
      <c r="T751" s="434"/>
      <c r="U751" s="438"/>
      <c r="V751" s="438"/>
      <c r="W751" s="438"/>
      <c r="X751" s="438"/>
      <c r="Y751" s="438"/>
      <c r="Z751" s="438"/>
      <c r="AA751" s="438"/>
      <c r="AB751" s="438"/>
      <c r="AC751" s="438"/>
      <c r="AD751" s="438"/>
      <c r="AE751" s="438"/>
      <c r="AF751" s="438"/>
      <c r="AG751" s="712"/>
      <c r="AH751" s="712"/>
      <c r="AI751" s="712"/>
      <c r="AJ751" s="712"/>
      <c r="AK751" s="712"/>
      <c r="AL751" s="712"/>
      <c r="AM751" s="712"/>
      <c r="AN751" s="712"/>
      <c r="AO751" s="712"/>
      <c r="AP751" s="712"/>
      <c r="AQ751" s="712"/>
      <c r="AR751" s="712"/>
      <c r="AS751" s="712"/>
      <c r="AT751" s="712"/>
      <c r="AU751" s="712"/>
      <c r="AV751" s="712"/>
      <c r="AW751" s="712"/>
      <c r="AX751" s="712"/>
      <c r="AY751" s="712"/>
    </row>
    <row r="752">
      <c r="T752" s="434"/>
      <c r="U752" s="438"/>
      <c r="V752" s="438"/>
      <c r="W752" s="438"/>
      <c r="X752" s="438"/>
      <c r="Y752" s="438"/>
      <c r="Z752" s="438"/>
      <c r="AA752" s="438"/>
      <c r="AB752" s="438"/>
      <c r="AC752" s="438"/>
      <c r="AD752" s="438"/>
      <c r="AE752" s="438"/>
      <c r="AF752" s="438"/>
      <c r="AG752" s="712"/>
      <c r="AH752" s="712"/>
      <c r="AI752" s="712"/>
      <c r="AJ752" s="712"/>
      <c r="AK752" s="712"/>
      <c r="AL752" s="712"/>
      <c r="AM752" s="712"/>
      <c r="AN752" s="712"/>
      <c r="AO752" s="712"/>
      <c r="AP752" s="712"/>
      <c r="AQ752" s="712"/>
      <c r="AR752" s="712"/>
      <c r="AS752" s="712"/>
      <c r="AT752" s="712"/>
      <c r="AU752" s="712"/>
      <c r="AV752" s="712"/>
      <c r="AW752" s="712"/>
      <c r="AX752" s="712"/>
      <c r="AY752" s="712"/>
    </row>
    <row r="753">
      <c r="T753" s="434"/>
      <c r="U753" s="438"/>
      <c r="V753" s="438"/>
      <c r="W753" s="438"/>
      <c r="X753" s="438"/>
      <c r="Y753" s="438"/>
      <c r="Z753" s="438"/>
      <c r="AA753" s="438"/>
      <c r="AB753" s="438"/>
      <c r="AC753" s="438"/>
      <c r="AD753" s="438"/>
      <c r="AE753" s="438"/>
      <c r="AF753" s="438"/>
      <c r="AG753" s="712"/>
      <c r="AH753" s="712"/>
      <c r="AI753" s="712"/>
      <c r="AJ753" s="712"/>
      <c r="AK753" s="712"/>
      <c r="AL753" s="712"/>
      <c r="AM753" s="712"/>
      <c r="AN753" s="712"/>
      <c r="AO753" s="712"/>
      <c r="AP753" s="712"/>
      <c r="AQ753" s="712"/>
      <c r="AR753" s="712"/>
      <c r="AS753" s="712"/>
      <c r="AT753" s="712"/>
      <c r="AU753" s="712"/>
      <c r="AV753" s="712"/>
      <c r="AW753" s="712"/>
      <c r="AX753" s="712"/>
      <c r="AY753" s="712"/>
    </row>
    <row r="754">
      <c r="T754" s="434"/>
      <c r="U754" s="438"/>
      <c r="V754" s="438"/>
      <c r="W754" s="438"/>
      <c r="X754" s="438"/>
      <c r="Y754" s="438"/>
      <c r="Z754" s="438"/>
      <c r="AA754" s="438"/>
      <c r="AB754" s="438"/>
      <c r="AC754" s="438"/>
      <c r="AD754" s="438"/>
      <c r="AE754" s="438"/>
      <c r="AF754" s="438"/>
      <c r="AG754" s="712"/>
      <c r="AH754" s="712"/>
      <c r="AI754" s="712"/>
      <c r="AJ754" s="712"/>
      <c r="AK754" s="712"/>
      <c r="AL754" s="712"/>
      <c r="AM754" s="712"/>
      <c r="AN754" s="712"/>
      <c r="AO754" s="712"/>
      <c r="AP754" s="712"/>
      <c r="AQ754" s="712"/>
      <c r="AR754" s="712"/>
      <c r="AS754" s="712"/>
      <c r="AT754" s="712"/>
      <c r="AU754" s="712"/>
      <c r="AV754" s="712"/>
      <c r="AW754" s="712"/>
      <c r="AX754" s="712"/>
      <c r="AY754" s="712"/>
    </row>
    <row r="755">
      <c r="T755" s="434"/>
      <c r="U755" s="438"/>
      <c r="V755" s="438"/>
      <c r="W755" s="438"/>
      <c r="X755" s="438"/>
      <c r="Y755" s="438"/>
      <c r="Z755" s="438"/>
      <c r="AA755" s="438"/>
      <c r="AB755" s="438"/>
      <c r="AC755" s="438"/>
      <c r="AD755" s="438"/>
      <c r="AE755" s="438"/>
      <c r="AF755" s="438"/>
      <c r="AG755" s="712"/>
      <c r="AH755" s="712"/>
      <c r="AI755" s="712"/>
      <c r="AJ755" s="712"/>
      <c r="AK755" s="712"/>
      <c r="AL755" s="712"/>
      <c r="AM755" s="712"/>
      <c r="AN755" s="712"/>
      <c r="AO755" s="712"/>
      <c r="AP755" s="712"/>
      <c r="AQ755" s="712"/>
      <c r="AR755" s="712"/>
      <c r="AS755" s="712"/>
      <c r="AT755" s="712"/>
      <c r="AU755" s="712"/>
      <c r="AV755" s="712"/>
      <c r="AW755" s="712"/>
      <c r="AX755" s="712"/>
      <c r="AY755" s="712"/>
    </row>
    <row r="756">
      <c r="T756" s="434"/>
      <c r="U756" s="438"/>
      <c r="V756" s="438"/>
      <c r="W756" s="438"/>
      <c r="X756" s="438"/>
      <c r="Y756" s="438"/>
      <c r="Z756" s="438"/>
      <c r="AA756" s="438"/>
      <c r="AB756" s="438"/>
      <c r="AC756" s="438"/>
      <c r="AD756" s="438"/>
      <c r="AE756" s="438"/>
      <c r="AF756" s="438"/>
      <c r="AG756" s="712"/>
      <c r="AH756" s="712"/>
      <c r="AI756" s="712"/>
      <c r="AJ756" s="712"/>
      <c r="AK756" s="712"/>
      <c r="AL756" s="712"/>
      <c r="AM756" s="712"/>
      <c r="AN756" s="712"/>
      <c r="AO756" s="712"/>
      <c r="AP756" s="712"/>
      <c r="AQ756" s="712"/>
      <c r="AR756" s="712"/>
      <c r="AS756" s="712"/>
      <c r="AT756" s="712"/>
      <c r="AU756" s="712"/>
      <c r="AV756" s="712"/>
      <c r="AW756" s="712"/>
      <c r="AX756" s="712"/>
      <c r="AY756" s="712"/>
    </row>
    <row r="757">
      <c r="T757" s="434"/>
      <c r="U757" s="438"/>
      <c r="V757" s="438"/>
      <c r="W757" s="438"/>
      <c r="X757" s="438"/>
      <c r="Y757" s="438"/>
      <c r="Z757" s="438"/>
      <c r="AA757" s="438"/>
      <c r="AB757" s="438"/>
      <c r="AC757" s="438"/>
      <c r="AD757" s="438"/>
      <c r="AE757" s="438"/>
      <c r="AF757" s="438"/>
      <c r="AG757" s="712"/>
      <c r="AH757" s="712"/>
      <c r="AI757" s="712"/>
      <c r="AJ757" s="712"/>
      <c r="AK757" s="712"/>
      <c r="AL757" s="712"/>
      <c r="AM757" s="712"/>
      <c r="AN757" s="712"/>
      <c r="AO757" s="712"/>
      <c r="AP757" s="712"/>
      <c r="AQ757" s="712"/>
      <c r="AR757" s="712"/>
      <c r="AS757" s="712"/>
      <c r="AT757" s="712"/>
      <c r="AU757" s="712"/>
      <c r="AV757" s="712"/>
      <c r="AW757" s="712"/>
      <c r="AX757" s="712"/>
      <c r="AY757" s="712"/>
    </row>
    <row r="758">
      <c r="T758" s="434"/>
      <c r="U758" s="438"/>
      <c r="V758" s="438"/>
      <c r="W758" s="438"/>
      <c r="X758" s="438"/>
      <c r="Y758" s="438"/>
      <c r="Z758" s="438"/>
      <c r="AA758" s="438"/>
      <c r="AB758" s="438"/>
      <c r="AC758" s="438"/>
      <c r="AD758" s="438"/>
      <c r="AE758" s="438"/>
      <c r="AF758" s="438"/>
      <c r="AG758" s="712"/>
      <c r="AH758" s="712"/>
      <c r="AI758" s="712"/>
      <c r="AJ758" s="712"/>
      <c r="AK758" s="712"/>
      <c r="AL758" s="712"/>
      <c r="AM758" s="712"/>
      <c r="AN758" s="712"/>
      <c r="AO758" s="712"/>
      <c r="AP758" s="712"/>
      <c r="AQ758" s="712"/>
      <c r="AR758" s="712"/>
      <c r="AS758" s="712"/>
      <c r="AT758" s="712"/>
      <c r="AU758" s="712"/>
      <c r="AV758" s="712"/>
      <c r="AW758" s="712"/>
      <c r="AX758" s="712"/>
      <c r="AY758" s="712"/>
    </row>
    <row r="759">
      <c r="T759" s="434"/>
      <c r="U759" s="438"/>
      <c r="V759" s="438"/>
      <c r="W759" s="438"/>
      <c r="X759" s="438"/>
      <c r="Y759" s="438"/>
      <c r="Z759" s="438"/>
      <c r="AA759" s="438"/>
      <c r="AB759" s="438"/>
      <c r="AC759" s="438"/>
      <c r="AD759" s="438"/>
      <c r="AE759" s="438"/>
      <c r="AF759" s="438"/>
      <c r="AG759" s="712"/>
      <c r="AH759" s="712"/>
      <c r="AI759" s="712"/>
      <c r="AJ759" s="712"/>
      <c r="AK759" s="712"/>
      <c r="AL759" s="712"/>
      <c r="AM759" s="712"/>
      <c r="AN759" s="712"/>
      <c r="AO759" s="712"/>
      <c r="AP759" s="712"/>
      <c r="AQ759" s="712"/>
      <c r="AR759" s="712"/>
      <c r="AS759" s="712"/>
      <c r="AT759" s="712"/>
      <c r="AU759" s="712"/>
      <c r="AV759" s="712"/>
      <c r="AW759" s="712"/>
      <c r="AX759" s="712"/>
      <c r="AY759" s="712"/>
    </row>
    <row r="760">
      <c r="T760" s="434"/>
      <c r="U760" s="438"/>
      <c r="V760" s="438"/>
      <c r="W760" s="438"/>
      <c r="X760" s="438"/>
      <c r="Y760" s="438"/>
      <c r="Z760" s="438"/>
      <c r="AA760" s="438"/>
      <c r="AB760" s="438"/>
      <c r="AC760" s="438"/>
      <c r="AD760" s="438"/>
      <c r="AE760" s="438"/>
      <c r="AF760" s="438"/>
      <c r="AG760" s="712"/>
      <c r="AH760" s="712"/>
      <c r="AI760" s="712"/>
      <c r="AJ760" s="712"/>
      <c r="AK760" s="712"/>
      <c r="AL760" s="712"/>
      <c r="AM760" s="712"/>
      <c r="AN760" s="712"/>
      <c r="AO760" s="712"/>
      <c r="AP760" s="712"/>
      <c r="AQ760" s="712"/>
      <c r="AR760" s="712"/>
      <c r="AS760" s="712"/>
      <c r="AT760" s="712"/>
      <c r="AU760" s="712"/>
      <c r="AV760" s="712"/>
      <c r="AW760" s="712"/>
      <c r="AX760" s="712"/>
      <c r="AY760" s="712"/>
    </row>
    <row r="761">
      <c r="T761" s="434"/>
      <c r="U761" s="438"/>
      <c r="V761" s="438"/>
      <c r="W761" s="438"/>
      <c r="X761" s="438"/>
      <c r="Y761" s="438"/>
      <c r="Z761" s="438"/>
      <c r="AA761" s="438"/>
      <c r="AB761" s="438"/>
      <c r="AC761" s="438"/>
      <c r="AD761" s="438"/>
      <c r="AE761" s="438"/>
      <c r="AF761" s="438"/>
      <c r="AG761" s="712"/>
      <c r="AH761" s="712"/>
      <c r="AI761" s="712"/>
      <c r="AJ761" s="712"/>
      <c r="AK761" s="712"/>
      <c r="AL761" s="712"/>
      <c r="AM761" s="712"/>
      <c r="AN761" s="712"/>
      <c r="AO761" s="712"/>
      <c r="AP761" s="712"/>
      <c r="AQ761" s="712"/>
      <c r="AR761" s="712"/>
      <c r="AS761" s="712"/>
      <c r="AT761" s="712"/>
      <c r="AU761" s="712"/>
      <c r="AV761" s="712"/>
      <c r="AW761" s="712"/>
      <c r="AX761" s="712"/>
      <c r="AY761" s="712"/>
    </row>
    <row r="762">
      <c r="T762" s="434"/>
      <c r="U762" s="438"/>
      <c r="V762" s="438"/>
      <c r="W762" s="438"/>
      <c r="X762" s="438"/>
      <c r="Y762" s="438"/>
      <c r="Z762" s="438"/>
      <c r="AA762" s="438"/>
      <c r="AB762" s="438"/>
      <c r="AC762" s="438"/>
      <c r="AD762" s="438"/>
      <c r="AE762" s="438"/>
      <c r="AF762" s="438"/>
      <c r="AG762" s="712"/>
      <c r="AH762" s="712"/>
      <c r="AI762" s="712"/>
      <c r="AJ762" s="712"/>
      <c r="AK762" s="712"/>
      <c r="AL762" s="712"/>
      <c r="AM762" s="712"/>
      <c r="AN762" s="712"/>
      <c r="AO762" s="712"/>
      <c r="AP762" s="712"/>
      <c r="AQ762" s="712"/>
      <c r="AR762" s="712"/>
      <c r="AS762" s="712"/>
      <c r="AT762" s="712"/>
      <c r="AU762" s="712"/>
      <c r="AV762" s="712"/>
      <c r="AW762" s="712"/>
      <c r="AX762" s="712"/>
      <c r="AY762" s="712"/>
    </row>
    <row r="763">
      <c r="T763" s="434"/>
      <c r="U763" s="438"/>
      <c r="V763" s="438"/>
      <c r="W763" s="438"/>
      <c r="X763" s="438"/>
      <c r="Y763" s="438"/>
      <c r="Z763" s="438"/>
      <c r="AA763" s="438"/>
      <c r="AB763" s="438"/>
      <c r="AC763" s="438"/>
      <c r="AD763" s="438"/>
      <c r="AE763" s="438"/>
      <c r="AF763" s="438"/>
      <c r="AG763" s="712"/>
      <c r="AH763" s="712"/>
      <c r="AI763" s="712"/>
      <c r="AJ763" s="712"/>
      <c r="AK763" s="712"/>
      <c r="AL763" s="712"/>
      <c r="AM763" s="712"/>
      <c r="AN763" s="712"/>
      <c r="AO763" s="712"/>
      <c r="AP763" s="712"/>
      <c r="AQ763" s="712"/>
      <c r="AR763" s="712"/>
      <c r="AS763" s="712"/>
      <c r="AT763" s="712"/>
      <c r="AU763" s="712"/>
      <c r="AV763" s="712"/>
      <c r="AW763" s="712"/>
      <c r="AX763" s="712"/>
      <c r="AY763" s="712"/>
    </row>
    <row r="764">
      <c r="T764" s="434"/>
      <c r="U764" s="438"/>
      <c r="V764" s="438"/>
      <c r="W764" s="438"/>
      <c r="X764" s="438"/>
      <c r="Y764" s="438"/>
      <c r="Z764" s="438"/>
      <c r="AA764" s="438"/>
      <c r="AB764" s="438"/>
      <c r="AC764" s="438"/>
      <c r="AD764" s="438"/>
      <c r="AE764" s="438"/>
      <c r="AF764" s="438"/>
      <c r="AG764" s="712"/>
      <c r="AH764" s="712"/>
      <c r="AI764" s="712"/>
      <c r="AJ764" s="712"/>
      <c r="AK764" s="712"/>
      <c r="AL764" s="712"/>
      <c r="AM764" s="712"/>
      <c r="AN764" s="712"/>
      <c r="AO764" s="712"/>
      <c r="AP764" s="712"/>
      <c r="AQ764" s="712"/>
      <c r="AR764" s="712"/>
      <c r="AS764" s="712"/>
      <c r="AT764" s="712"/>
      <c r="AU764" s="712"/>
      <c r="AV764" s="712"/>
      <c r="AW764" s="712"/>
      <c r="AX764" s="712"/>
      <c r="AY764" s="712"/>
    </row>
    <row r="765">
      <c r="T765" s="434"/>
      <c r="U765" s="438"/>
      <c r="V765" s="438"/>
      <c r="W765" s="438"/>
      <c r="X765" s="438"/>
      <c r="Y765" s="438"/>
      <c r="Z765" s="438"/>
      <c r="AA765" s="438"/>
      <c r="AB765" s="438"/>
      <c r="AC765" s="438"/>
      <c r="AD765" s="438"/>
      <c r="AE765" s="438"/>
      <c r="AF765" s="438"/>
      <c r="AG765" s="712"/>
      <c r="AH765" s="712"/>
      <c r="AI765" s="712"/>
      <c r="AJ765" s="712"/>
      <c r="AK765" s="712"/>
      <c r="AL765" s="712"/>
      <c r="AM765" s="712"/>
      <c r="AN765" s="712"/>
      <c r="AO765" s="712"/>
      <c r="AP765" s="712"/>
      <c r="AQ765" s="712"/>
      <c r="AR765" s="712"/>
      <c r="AS765" s="712"/>
      <c r="AT765" s="712"/>
      <c r="AU765" s="712"/>
      <c r="AV765" s="712"/>
      <c r="AW765" s="712"/>
      <c r="AX765" s="712"/>
      <c r="AY765" s="712"/>
    </row>
    <row r="766">
      <c r="T766" s="434"/>
      <c r="U766" s="438"/>
      <c r="V766" s="438"/>
      <c r="W766" s="438"/>
      <c r="X766" s="438"/>
      <c r="Y766" s="438"/>
      <c r="Z766" s="438"/>
      <c r="AA766" s="438"/>
      <c r="AB766" s="438"/>
      <c r="AC766" s="438"/>
      <c r="AD766" s="438"/>
      <c r="AE766" s="438"/>
      <c r="AF766" s="438"/>
      <c r="AG766" s="712"/>
      <c r="AH766" s="712"/>
      <c r="AI766" s="712"/>
      <c r="AJ766" s="712"/>
      <c r="AK766" s="712"/>
      <c r="AL766" s="712"/>
      <c r="AM766" s="712"/>
      <c r="AN766" s="712"/>
      <c r="AO766" s="712"/>
      <c r="AP766" s="712"/>
      <c r="AQ766" s="712"/>
      <c r="AR766" s="712"/>
      <c r="AS766" s="712"/>
      <c r="AT766" s="712"/>
      <c r="AU766" s="712"/>
      <c r="AV766" s="712"/>
      <c r="AW766" s="712"/>
      <c r="AX766" s="712"/>
      <c r="AY766" s="712"/>
    </row>
    <row r="767">
      <c r="T767" s="434"/>
      <c r="U767" s="438"/>
      <c r="V767" s="438"/>
      <c r="W767" s="438"/>
      <c r="X767" s="438"/>
      <c r="Y767" s="438"/>
      <c r="Z767" s="438"/>
      <c r="AA767" s="438"/>
      <c r="AB767" s="438"/>
      <c r="AC767" s="438"/>
      <c r="AD767" s="438"/>
      <c r="AE767" s="438"/>
      <c r="AF767" s="438"/>
      <c r="AG767" s="712"/>
      <c r="AH767" s="712"/>
      <c r="AI767" s="712"/>
      <c r="AJ767" s="712"/>
      <c r="AK767" s="712"/>
      <c r="AL767" s="712"/>
      <c r="AM767" s="712"/>
      <c r="AN767" s="712"/>
      <c r="AO767" s="712"/>
      <c r="AP767" s="712"/>
      <c r="AQ767" s="712"/>
      <c r="AR767" s="712"/>
      <c r="AS767" s="712"/>
      <c r="AT767" s="712"/>
      <c r="AU767" s="712"/>
      <c r="AV767" s="712"/>
      <c r="AW767" s="712"/>
      <c r="AX767" s="712"/>
      <c r="AY767" s="712"/>
    </row>
    <row r="768">
      <c r="T768" s="434"/>
      <c r="U768" s="438"/>
      <c r="V768" s="438"/>
      <c r="W768" s="438"/>
      <c r="X768" s="438"/>
      <c r="Y768" s="438"/>
      <c r="Z768" s="438"/>
      <c r="AA768" s="438"/>
      <c r="AB768" s="438"/>
      <c r="AC768" s="438"/>
      <c r="AD768" s="438"/>
      <c r="AE768" s="438"/>
      <c r="AF768" s="438"/>
      <c r="AG768" s="712"/>
      <c r="AH768" s="712"/>
      <c r="AI768" s="712"/>
      <c r="AJ768" s="712"/>
      <c r="AK768" s="712"/>
      <c r="AL768" s="712"/>
      <c r="AM768" s="712"/>
      <c r="AN768" s="712"/>
      <c r="AO768" s="712"/>
      <c r="AP768" s="712"/>
      <c r="AQ768" s="712"/>
      <c r="AR768" s="712"/>
      <c r="AS768" s="712"/>
      <c r="AT768" s="712"/>
      <c r="AU768" s="712"/>
      <c r="AV768" s="712"/>
      <c r="AW768" s="712"/>
      <c r="AX768" s="712"/>
      <c r="AY768" s="712"/>
    </row>
    <row r="769">
      <c r="T769" s="434"/>
      <c r="U769" s="438"/>
      <c r="V769" s="438"/>
      <c r="W769" s="438"/>
      <c r="X769" s="438"/>
      <c r="Y769" s="438"/>
      <c r="Z769" s="438"/>
      <c r="AA769" s="438"/>
      <c r="AB769" s="438"/>
      <c r="AC769" s="438"/>
      <c r="AD769" s="438"/>
      <c r="AE769" s="438"/>
      <c r="AF769" s="438"/>
      <c r="AG769" s="712"/>
      <c r="AH769" s="712"/>
      <c r="AI769" s="712"/>
      <c r="AJ769" s="712"/>
      <c r="AK769" s="712"/>
      <c r="AL769" s="712"/>
      <c r="AM769" s="712"/>
      <c r="AN769" s="712"/>
      <c r="AO769" s="712"/>
      <c r="AP769" s="712"/>
      <c r="AQ769" s="712"/>
      <c r="AR769" s="712"/>
      <c r="AS769" s="712"/>
      <c r="AT769" s="712"/>
      <c r="AU769" s="712"/>
      <c r="AV769" s="712"/>
      <c r="AW769" s="712"/>
      <c r="AX769" s="712"/>
      <c r="AY769" s="712"/>
    </row>
    <row r="770">
      <c r="T770" s="434"/>
      <c r="U770" s="438"/>
      <c r="V770" s="438"/>
      <c r="W770" s="438"/>
      <c r="X770" s="438"/>
      <c r="Y770" s="438"/>
      <c r="Z770" s="438"/>
      <c r="AA770" s="438"/>
      <c r="AB770" s="438"/>
      <c r="AC770" s="438"/>
      <c r="AD770" s="438"/>
      <c r="AE770" s="438"/>
      <c r="AF770" s="438"/>
      <c r="AG770" s="712"/>
      <c r="AH770" s="712"/>
      <c r="AI770" s="712"/>
      <c r="AJ770" s="712"/>
      <c r="AK770" s="712"/>
      <c r="AL770" s="712"/>
      <c r="AM770" s="712"/>
      <c r="AN770" s="712"/>
      <c r="AO770" s="712"/>
      <c r="AP770" s="712"/>
      <c r="AQ770" s="712"/>
      <c r="AR770" s="712"/>
      <c r="AS770" s="712"/>
      <c r="AT770" s="712"/>
      <c r="AU770" s="712"/>
      <c r="AV770" s="712"/>
      <c r="AW770" s="712"/>
      <c r="AX770" s="712"/>
      <c r="AY770" s="712"/>
    </row>
    <row r="771">
      <c r="T771" s="434"/>
      <c r="U771" s="438"/>
      <c r="V771" s="438"/>
      <c r="W771" s="438"/>
      <c r="X771" s="438"/>
      <c r="Y771" s="438"/>
      <c r="Z771" s="438"/>
      <c r="AA771" s="438"/>
      <c r="AB771" s="438"/>
      <c r="AC771" s="438"/>
      <c r="AD771" s="438"/>
      <c r="AE771" s="438"/>
      <c r="AF771" s="438"/>
      <c r="AG771" s="712"/>
      <c r="AH771" s="712"/>
      <c r="AI771" s="712"/>
      <c r="AJ771" s="712"/>
      <c r="AK771" s="712"/>
      <c r="AL771" s="712"/>
      <c r="AM771" s="712"/>
      <c r="AN771" s="712"/>
      <c r="AO771" s="712"/>
      <c r="AP771" s="712"/>
      <c r="AQ771" s="712"/>
      <c r="AR771" s="712"/>
      <c r="AS771" s="712"/>
      <c r="AT771" s="712"/>
      <c r="AU771" s="712"/>
      <c r="AV771" s="712"/>
      <c r="AW771" s="712"/>
      <c r="AX771" s="712"/>
      <c r="AY771" s="712"/>
    </row>
    <row r="772">
      <c r="T772" s="434"/>
      <c r="U772" s="438"/>
      <c r="V772" s="438"/>
      <c r="W772" s="438"/>
      <c r="X772" s="438"/>
      <c r="Y772" s="438"/>
      <c r="Z772" s="438"/>
      <c r="AA772" s="438"/>
      <c r="AB772" s="438"/>
      <c r="AC772" s="438"/>
      <c r="AD772" s="438"/>
      <c r="AE772" s="438"/>
      <c r="AF772" s="438"/>
      <c r="AG772" s="712"/>
      <c r="AH772" s="712"/>
      <c r="AI772" s="712"/>
      <c r="AJ772" s="712"/>
      <c r="AK772" s="712"/>
      <c r="AL772" s="712"/>
      <c r="AM772" s="712"/>
      <c r="AN772" s="712"/>
      <c r="AO772" s="712"/>
      <c r="AP772" s="712"/>
      <c r="AQ772" s="712"/>
      <c r="AR772" s="712"/>
      <c r="AS772" s="712"/>
      <c r="AT772" s="712"/>
      <c r="AU772" s="712"/>
      <c r="AV772" s="712"/>
      <c r="AW772" s="712"/>
      <c r="AX772" s="712"/>
      <c r="AY772" s="712"/>
    </row>
    <row r="773">
      <c r="T773" s="434"/>
      <c r="U773" s="438"/>
      <c r="V773" s="438"/>
      <c r="W773" s="438"/>
      <c r="X773" s="438"/>
      <c r="Y773" s="438"/>
      <c r="Z773" s="438"/>
      <c r="AA773" s="438"/>
      <c r="AB773" s="438"/>
      <c r="AC773" s="438"/>
      <c r="AD773" s="438"/>
      <c r="AE773" s="438"/>
      <c r="AF773" s="438"/>
      <c r="AG773" s="712"/>
      <c r="AH773" s="712"/>
      <c r="AI773" s="712"/>
      <c r="AJ773" s="712"/>
      <c r="AK773" s="712"/>
      <c r="AL773" s="712"/>
      <c r="AM773" s="712"/>
      <c r="AN773" s="712"/>
      <c r="AO773" s="712"/>
      <c r="AP773" s="712"/>
      <c r="AQ773" s="712"/>
      <c r="AR773" s="712"/>
      <c r="AS773" s="712"/>
      <c r="AT773" s="712"/>
      <c r="AU773" s="712"/>
      <c r="AV773" s="712"/>
      <c r="AW773" s="712"/>
      <c r="AX773" s="712"/>
      <c r="AY773" s="712"/>
    </row>
    <row r="774">
      <c r="T774" s="434"/>
      <c r="U774" s="438"/>
      <c r="V774" s="438"/>
      <c r="W774" s="438"/>
      <c r="X774" s="438"/>
      <c r="Y774" s="438"/>
      <c r="Z774" s="438"/>
      <c r="AA774" s="438"/>
      <c r="AB774" s="438"/>
      <c r="AC774" s="438"/>
      <c r="AD774" s="438"/>
      <c r="AE774" s="438"/>
      <c r="AF774" s="438"/>
      <c r="AG774" s="712"/>
      <c r="AH774" s="712"/>
      <c r="AI774" s="712"/>
      <c r="AJ774" s="712"/>
      <c r="AK774" s="712"/>
      <c r="AL774" s="712"/>
      <c r="AM774" s="712"/>
      <c r="AN774" s="712"/>
      <c r="AO774" s="712"/>
      <c r="AP774" s="712"/>
      <c r="AQ774" s="712"/>
      <c r="AR774" s="712"/>
      <c r="AS774" s="712"/>
      <c r="AT774" s="712"/>
      <c r="AU774" s="712"/>
      <c r="AV774" s="712"/>
      <c r="AW774" s="712"/>
      <c r="AX774" s="712"/>
      <c r="AY774" s="712"/>
    </row>
    <row r="775">
      <c r="T775" s="434"/>
      <c r="U775" s="438"/>
      <c r="V775" s="438"/>
      <c r="W775" s="438"/>
      <c r="X775" s="438"/>
      <c r="Y775" s="438"/>
      <c r="Z775" s="438"/>
      <c r="AA775" s="438"/>
      <c r="AB775" s="438"/>
      <c r="AC775" s="438"/>
      <c r="AD775" s="438"/>
      <c r="AE775" s="438"/>
      <c r="AF775" s="438"/>
      <c r="AG775" s="712"/>
      <c r="AH775" s="712"/>
      <c r="AI775" s="712"/>
      <c r="AJ775" s="712"/>
      <c r="AK775" s="712"/>
      <c r="AL775" s="712"/>
      <c r="AM775" s="712"/>
      <c r="AN775" s="712"/>
      <c r="AO775" s="712"/>
      <c r="AP775" s="712"/>
      <c r="AQ775" s="712"/>
      <c r="AR775" s="712"/>
      <c r="AS775" s="712"/>
      <c r="AT775" s="712"/>
      <c r="AU775" s="712"/>
      <c r="AV775" s="712"/>
      <c r="AW775" s="712"/>
      <c r="AX775" s="712"/>
      <c r="AY775" s="712"/>
    </row>
    <row r="776">
      <c r="T776" s="434"/>
      <c r="U776" s="438"/>
      <c r="V776" s="438"/>
      <c r="W776" s="438"/>
      <c r="X776" s="438"/>
      <c r="Y776" s="438"/>
      <c r="Z776" s="438"/>
      <c r="AA776" s="438"/>
      <c r="AB776" s="438"/>
      <c r="AC776" s="438"/>
      <c r="AD776" s="438"/>
      <c r="AE776" s="438"/>
      <c r="AF776" s="438"/>
      <c r="AG776" s="712"/>
      <c r="AH776" s="712"/>
      <c r="AI776" s="712"/>
      <c r="AJ776" s="712"/>
      <c r="AK776" s="712"/>
      <c r="AL776" s="712"/>
      <c r="AM776" s="712"/>
      <c r="AN776" s="712"/>
      <c r="AO776" s="712"/>
      <c r="AP776" s="712"/>
      <c r="AQ776" s="712"/>
      <c r="AR776" s="712"/>
      <c r="AS776" s="712"/>
      <c r="AT776" s="712"/>
      <c r="AU776" s="712"/>
      <c r="AV776" s="712"/>
      <c r="AW776" s="712"/>
      <c r="AX776" s="712"/>
      <c r="AY776" s="712"/>
    </row>
    <row r="777">
      <c r="T777" s="434"/>
      <c r="U777" s="438"/>
      <c r="V777" s="438"/>
      <c r="W777" s="438"/>
      <c r="X777" s="438"/>
      <c r="Y777" s="438"/>
      <c r="Z777" s="438"/>
      <c r="AA777" s="438"/>
      <c r="AB777" s="438"/>
      <c r="AC777" s="438"/>
      <c r="AD777" s="438"/>
      <c r="AE777" s="438"/>
      <c r="AF777" s="438"/>
      <c r="AG777" s="712"/>
      <c r="AH777" s="712"/>
      <c r="AI777" s="712"/>
      <c r="AJ777" s="712"/>
      <c r="AK777" s="712"/>
      <c r="AL777" s="712"/>
      <c r="AM777" s="712"/>
      <c r="AN777" s="712"/>
      <c r="AO777" s="712"/>
      <c r="AP777" s="712"/>
      <c r="AQ777" s="712"/>
      <c r="AR777" s="712"/>
      <c r="AS777" s="712"/>
      <c r="AT777" s="712"/>
      <c r="AU777" s="712"/>
      <c r="AV777" s="712"/>
      <c r="AW777" s="712"/>
      <c r="AX777" s="712"/>
      <c r="AY777" s="712"/>
    </row>
    <row r="778">
      <c r="T778" s="434"/>
      <c r="U778" s="438"/>
      <c r="V778" s="438"/>
      <c r="W778" s="438"/>
      <c r="X778" s="438"/>
      <c r="Y778" s="438"/>
      <c r="Z778" s="438"/>
      <c r="AA778" s="438"/>
      <c r="AB778" s="438"/>
      <c r="AC778" s="438"/>
      <c r="AD778" s="438"/>
      <c r="AE778" s="438"/>
      <c r="AF778" s="438"/>
      <c r="AG778" s="712"/>
      <c r="AH778" s="712"/>
      <c r="AI778" s="712"/>
      <c r="AJ778" s="712"/>
      <c r="AK778" s="712"/>
      <c r="AL778" s="712"/>
      <c r="AM778" s="712"/>
      <c r="AN778" s="712"/>
      <c r="AO778" s="712"/>
      <c r="AP778" s="712"/>
      <c r="AQ778" s="712"/>
      <c r="AR778" s="712"/>
      <c r="AS778" s="712"/>
      <c r="AT778" s="712"/>
      <c r="AU778" s="712"/>
      <c r="AV778" s="712"/>
      <c r="AW778" s="712"/>
      <c r="AX778" s="712"/>
      <c r="AY778" s="712"/>
    </row>
    <row r="779">
      <c r="T779" s="434"/>
      <c r="U779" s="438"/>
      <c r="V779" s="438"/>
      <c r="W779" s="438"/>
      <c r="X779" s="438"/>
      <c r="Y779" s="438"/>
      <c r="Z779" s="438"/>
      <c r="AA779" s="438"/>
      <c r="AB779" s="438"/>
      <c r="AC779" s="438"/>
      <c r="AD779" s="438"/>
      <c r="AE779" s="438"/>
      <c r="AF779" s="438"/>
      <c r="AG779" s="712"/>
      <c r="AH779" s="712"/>
      <c r="AI779" s="712"/>
      <c r="AJ779" s="712"/>
      <c r="AK779" s="712"/>
      <c r="AL779" s="712"/>
      <c r="AM779" s="712"/>
      <c r="AN779" s="712"/>
      <c r="AO779" s="712"/>
      <c r="AP779" s="712"/>
      <c r="AQ779" s="712"/>
      <c r="AR779" s="712"/>
      <c r="AS779" s="712"/>
      <c r="AT779" s="712"/>
      <c r="AU779" s="712"/>
      <c r="AV779" s="712"/>
      <c r="AW779" s="712"/>
      <c r="AX779" s="712"/>
      <c r="AY779" s="712"/>
    </row>
    <row r="780">
      <c r="T780" s="434"/>
      <c r="U780" s="438"/>
      <c r="V780" s="438"/>
      <c r="W780" s="438"/>
      <c r="X780" s="438"/>
      <c r="Y780" s="438"/>
      <c r="Z780" s="438"/>
      <c r="AA780" s="438"/>
      <c r="AB780" s="438"/>
      <c r="AC780" s="438"/>
      <c r="AD780" s="438"/>
      <c r="AE780" s="438"/>
      <c r="AF780" s="438"/>
      <c r="AG780" s="712"/>
      <c r="AH780" s="712"/>
      <c r="AI780" s="712"/>
      <c r="AJ780" s="712"/>
      <c r="AK780" s="712"/>
      <c r="AL780" s="712"/>
      <c r="AM780" s="712"/>
      <c r="AN780" s="712"/>
      <c r="AO780" s="712"/>
      <c r="AP780" s="712"/>
      <c r="AQ780" s="712"/>
      <c r="AR780" s="712"/>
      <c r="AS780" s="712"/>
      <c r="AT780" s="712"/>
      <c r="AU780" s="712"/>
      <c r="AV780" s="712"/>
      <c r="AW780" s="712"/>
      <c r="AX780" s="712"/>
      <c r="AY780" s="712"/>
    </row>
    <row r="781">
      <c r="T781" s="434"/>
      <c r="U781" s="438"/>
      <c r="V781" s="438"/>
      <c r="W781" s="438"/>
      <c r="X781" s="438"/>
      <c r="Y781" s="438"/>
      <c r="Z781" s="438"/>
      <c r="AA781" s="438"/>
      <c r="AB781" s="438"/>
      <c r="AC781" s="438"/>
      <c r="AD781" s="438"/>
      <c r="AE781" s="438"/>
      <c r="AF781" s="438"/>
      <c r="AG781" s="712"/>
      <c r="AH781" s="712"/>
      <c r="AI781" s="712"/>
      <c r="AJ781" s="712"/>
      <c r="AK781" s="712"/>
      <c r="AL781" s="712"/>
      <c r="AM781" s="712"/>
      <c r="AN781" s="712"/>
      <c r="AO781" s="712"/>
      <c r="AP781" s="712"/>
      <c r="AQ781" s="712"/>
      <c r="AR781" s="712"/>
      <c r="AS781" s="712"/>
      <c r="AT781" s="712"/>
      <c r="AU781" s="712"/>
      <c r="AV781" s="712"/>
      <c r="AW781" s="712"/>
      <c r="AX781" s="712"/>
      <c r="AY781" s="712"/>
    </row>
    <row r="782">
      <c r="T782" s="434"/>
      <c r="U782" s="438"/>
      <c r="V782" s="438"/>
      <c r="W782" s="438"/>
      <c r="X782" s="438"/>
      <c r="Y782" s="438"/>
      <c r="Z782" s="438"/>
      <c r="AA782" s="438"/>
      <c r="AB782" s="438"/>
      <c r="AC782" s="438"/>
      <c r="AD782" s="438"/>
      <c r="AE782" s="438"/>
      <c r="AF782" s="438"/>
      <c r="AG782" s="712"/>
      <c r="AH782" s="712"/>
      <c r="AI782" s="712"/>
      <c r="AJ782" s="712"/>
      <c r="AK782" s="712"/>
      <c r="AL782" s="712"/>
      <c r="AM782" s="712"/>
      <c r="AN782" s="712"/>
      <c r="AO782" s="712"/>
      <c r="AP782" s="712"/>
      <c r="AQ782" s="712"/>
      <c r="AR782" s="712"/>
      <c r="AS782" s="712"/>
      <c r="AT782" s="712"/>
      <c r="AU782" s="712"/>
      <c r="AV782" s="712"/>
      <c r="AW782" s="712"/>
      <c r="AX782" s="712"/>
      <c r="AY782" s="712"/>
    </row>
    <row r="783">
      <c r="T783" s="434"/>
      <c r="U783" s="438"/>
      <c r="V783" s="438"/>
      <c r="W783" s="438"/>
      <c r="X783" s="438"/>
      <c r="Y783" s="438"/>
      <c r="Z783" s="438"/>
      <c r="AA783" s="438"/>
      <c r="AB783" s="438"/>
      <c r="AC783" s="438"/>
      <c r="AD783" s="438"/>
      <c r="AE783" s="438"/>
      <c r="AF783" s="438"/>
      <c r="AG783" s="712"/>
      <c r="AH783" s="712"/>
      <c r="AI783" s="712"/>
      <c r="AJ783" s="712"/>
      <c r="AK783" s="712"/>
      <c r="AL783" s="712"/>
      <c r="AM783" s="712"/>
      <c r="AN783" s="712"/>
      <c r="AO783" s="712"/>
      <c r="AP783" s="712"/>
      <c r="AQ783" s="712"/>
      <c r="AR783" s="712"/>
      <c r="AS783" s="712"/>
      <c r="AT783" s="712"/>
      <c r="AU783" s="712"/>
      <c r="AV783" s="712"/>
      <c r="AW783" s="712"/>
      <c r="AX783" s="712"/>
      <c r="AY783" s="712"/>
    </row>
    <row r="784">
      <c r="T784" s="434"/>
      <c r="U784" s="438"/>
      <c r="V784" s="438"/>
      <c r="W784" s="438"/>
      <c r="X784" s="438"/>
      <c r="Y784" s="438"/>
      <c r="Z784" s="438"/>
      <c r="AA784" s="438"/>
      <c r="AB784" s="438"/>
      <c r="AC784" s="438"/>
      <c r="AD784" s="438"/>
      <c r="AE784" s="438"/>
      <c r="AF784" s="438"/>
      <c r="AG784" s="712"/>
      <c r="AH784" s="712"/>
      <c r="AI784" s="712"/>
      <c r="AJ784" s="712"/>
      <c r="AK784" s="712"/>
      <c r="AL784" s="712"/>
      <c r="AM784" s="712"/>
      <c r="AN784" s="712"/>
      <c r="AO784" s="712"/>
      <c r="AP784" s="712"/>
      <c r="AQ784" s="712"/>
      <c r="AR784" s="712"/>
      <c r="AS784" s="712"/>
      <c r="AT784" s="712"/>
      <c r="AU784" s="712"/>
      <c r="AV784" s="712"/>
      <c r="AW784" s="712"/>
      <c r="AX784" s="712"/>
      <c r="AY784" s="712"/>
    </row>
    <row r="785">
      <c r="T785" s="434"/>
      <c r="U785" s="438"/>
      <c r="V785" s="438"/>
      <c r="W785" s="438"/>
      <c r="X785" s="438"/>
      <c r="Y785" s="438"/>
      <c r="Z785" s="438"/>
      <c r="AA785" s="438"/>
      <c r="AB785" s="438"/>
      <c r="AC785" s="438"/>
      <c r="AD785" s="438"/>
      <c r="AE785" s="438"/>
      <c r="AF785" s="438"/>
      <c r="AG785" s="712"/>
      <c r="AH785" s="712"/>
      <c r="AI785" s="712"/>
      <c r="AJ785" s="712"/>
      <c r="AK785" s="712"/>
      <c r="AL785" s="712"/>
      <c r="AM785" s="712"/>
      <c r="AN785" s="712"/>
      <c r="AO785" s="712"/>
      <c r="AP785" s="712"/>
      <c r="AQ785" s="712"/>
      <c r="AR785" s="712"/>
      <c r="AS785" s="712"/>
      <c r="AT785" s="712"/>
      <c r="AU785" s="712"/>
      <c r="AV785" s="712"/>
      <c r="AW785" s="712"/>
      <c r="AX785" s="712"/>
      <c r="AY785" s="712"/>
    </row>
    <row r="786">
      <c r="T786" s="434"/>
      <c r="U786" s="438"/>
      <c r="V786" s="438"/>
      <c r="W786" s="438"/>
      <c r="X786" s="438"/>
      <c r="Y786" s="438"/>
      <c r="Z786" s="438"/>
      <c r="AA786" s="438"/>
      <c r="AB786" s="438"/>
      <c r="AC786" s="438"/>
      <c r="AD786" s="438"/>
      <c r="AE786" s="438"/>
      <c r="AF786" s="438"/>
      <c r="AG786" s="712"/>
      <c r="AH786" s="712"/>
      <c r="AI786" s="712"/>
      <c r="AJ786" s="712"/>
      <c r="AK786" s="712"/>
      <c r="AL786" s="712"/>
      <c r="AM786" s="712"/>
      <c r="AN786" s="712"/>
      <c r="AO786" s="712"/>
      <c r="AP786" s="712"/>
      <c r="AQ786" s="712"/>
      <c r="AR786" s="712"/>
      <c r="AS786" s="712"/>
      <c r="AT786" s="712"/>
      <c r="AU786" s="712"/>
      <c r="AV786" s="712"/>
      <c r="AW786" s="712"/>
      <c r="AX786" s="712"/>
      <c r="AY786" s="712"/>
    </row>
    <row r="787">
      <c r="T787" s="434"/>
      <c r="U787" s="438"/>
      <c r="V787" s="438"/>
      <c r="W787" s="438"/>
      <c r="X787" s="438"/>
      <c r="Y787" s="438"/>
      <c r="Z787" s="438"/>
      <c r="AA787" s="438"/>
      <c r="AB787" s="438"/>
      <c r="AC787" s="438"/>
      <c r="AD787" s="438"/>
      <c r="AE787" s="438"/>
      <c r="AF787" s="438"/>
      <c r="AG787" s="712"/>
      <c r="AH787" s="712"/>
      <c r="AI787" s="712"/>
      <c r="AJ787" s="712"/>
      <c r="AK787" s="712"/>
      <c r="AL787" s="712"/>
      <c r="AM787" s="712"/>
      <c r="AN787" s="712"/>
      <c r="AO787" s="712"/>
      <c r="AP787" s="712"/>
      <c r="AQ787" s="712"/>
      <c r="AR787" s="712"/>
      <c r="AS787" s="712"/>
      <c r="AT787" s="712"/>
      <c r="AU787" s="712"/>
      <c r="AV787" s="712"/>
      <c r="AW787" s="712"/>
      <c r="AX787" s="712"/>
      <c r="AY787" s="712"/>
    </row>
    <row r="788">
      <c r="T788" s="434"/>
      <c r="U788" s="438"/>
      <c r="V788" s="438"/>
      <c r="W788" s="438"/>
      <c r="X788" s="438"/>
      <c r="Y788" s="438"/>
      <c r="Z788" s="438"/>
      <c r="AA788" s="438"/>
      <c r="AB788" s="438"/>
      <c r="AC788" s="438"/>
      <c r="AD788" s="438"/>
      <c r="AE788" s="438"/>
      <c r="AF788" s="438"/>
      <c r="AG788" s="712"/>
      <c r="AH788" s="712"/>
      <c r="AI788" s="712"/>
      <c r="AJ788" s="712"/>
      <c r="AK788" s="712"/>
      <c r="AL788" s="712"/>
      <c r="AM788" s="712"/>
      <c r="AN788" s="712"/>
      <c r="AO788" s="712"/>
      <c r="AP788" s="712"/>
      <c r="AQ788" s="712"/>
      <c r="AR788" s="712"/>
      <c r="AS788" s="712"/>
      <c r="AT788" s="712"/>
      <c r="AU788" s="712"/>
      <c r="AV788" s="712"/>
      <c r="AW788" s="712"/>
      <c r="AX788" s="712"/>
      <c r="AY788" s="712"/>
    </row>
    <row r="789">
      <c r="T789" s="434"/>
      <c r="U789" s="438"/>
      <c r="V789" s="438"/>
      <c r="W789" s="438"/>
      <c r="X789" s="438"/>
      <c r="Y789" s="438"/>
      <c r="Z789" s="438"/>
      <c r="AA789" s="438"/>
      <c r="AB789" s="438"/>
      <c r="AC789" s="438"/>
      <c r="AD789" s="438"/>
      <c r="AE789" s="438"/>
      <c r="AF789" s="438"/>
      <c r="AG789" s="712"/>
      <c r="AH789" s="712"/>
      <c r="AI789" s="712"/>
      <c r="AJ789" s="712"/>
      <c r="AK789" s="712"/>
      <c r="AL789" s="712"/>
      <c r="AM789" s="712"/>
      <c r="AN789" s="712"/>
      <c r="AO789" s="712"/>
      <c r="AP789" s="712"/>
      <c r="AQ789" s="712"/>
      <c r="AR789" s="712"/>
      <c r="AS789" s="712"/>
      <c r="AT789" s="712"/>
      <c r="AU789" s="712"/>
      <c r="AV789" s="712"/>
      <c r="AW789" s="712"/>
      <c r="AX789" s="712"/>
      <c r="AY789" s="712"/>
    </row>
    <row r="790">
      <c r="T790" s="434"/>
      <c r="U790" s="438"/>
      <c r="V790" s="438"/>
      <c r="W790" s="438"/>
      <c r="X790" s="438"/>
      <c r="Y790" s="438"/>
      <c r="Z790" s="438"/>
      <c r="AA790" s="438"/>
      <c r="AB790" s="438"/>
      <c r="AC790" s="438"/>
      <c r="AD790" s="438"/>
      <c r="AE790" s="438"/>
      <c r="AF790" s="438"/>
      <c r="AG790" s="712"/>
      <c r="AH790" s="712"/>
      <c r="AI790" s="712"/>
      <c r="AJ790" s="712"/>
      <c r="AK790" s="712"/>
      <c r="AL790" s="712"/>
      <c r="AM790" s="712"/>
      <c r="AN790" s="712"/>
      <c r="AO790" s="712"/>
      <c r="AP790" s="712"/>
      <c r="AQ790" s="712"/>
      <c r="AR790" s="712"/>
      <c r="AS790" s="712"/>
      <c r="AT790" s="712"/>
      <c r="AU790" s="712"/>
      <c r="AV790" s="712"/>
      <c r="AW790" s="712"/>
      <c r="AX790" s="712"/>
      <c r="AY790" s="712"/>
    </row>
    <row r="791">
      <c r="T791" s="434"/>
      <c r="U791" s="438"/>
      <c r="V791" s="438"/>
      <c r="W791" s="438"/>
      <c r="X791" s="438"/>
      <c r="Y791" s="438"/>
      <c r="Z791" s="438"/>
      <c r="AA791" s="438"/>
      <c r="AB791" s="438"/>
      <c r="AC791" s="438"/>
      <c r="AD791" s="438"/>
      <c r="AE791" s="438"/>
      <c r="AF791" s="438"/>
      <c r="AG791" s="712"/>
      <c r="AH791" s="712"/>
      <c r="AI791" s="712"/>
      <c r="AJ791" s="712"/>
      <c r="AK791" s="712"/>
      <c r="AL791" s="712"/>
      <c r="AM791" s="712"/>
      <c r="AN791" s="712"/>
      <c r="AO791" s="712"/>
      <c r="AP791" s="712"/>
      <c r="AQ791" s="712"/>
      <c r="AR791" s="712"/>
      <c r="AS791" s="712"/>
      <c r="AT791" s="712"/>
      <c r="AU791" s="712"/>
      <c r="AV791" s="712"/>
      <c r="AW791" s="712"/>
      <c r="AX791" s="712"/>
      <c r="AY791" s="712"/>
    </row>
    <row r="792">
      <c r="T792" s="434"/>
      <c r="U792" s="438"/>
      <c r="V792" s="438"/>
      <c r="W792" s="438"/>
      <c r="X792" s="438"/>
      <c r="Y792" s="438"/>
      <c r="Z792" s="438"/>
      <c r="AA792" s="438"/>
      <c r="AB792" s="438"/>
      <c r="AC792" s="438"/>
      <c r="AD792" s="438"/>
      <c r="AE792" s="438"/>
      <c r="AF792" s="438"/>
      <c r="AG792" s="712"/>
      <c r="AH792" s="712"/>
      <c r="AI792" s="712"/>
      <c r="AJ792" s="712"/>
      <c r="AK792" s="712"/>
      <c r="AL792" s="712"/>
      <c r="AM792" s="712"/>
      <c r="AN792" s="712"/>
      <c r="AO792" s="712"/>
      <c r="AP792" s="712"/>
      <c r="AQ792" s="712"/>
      <c r="AR792" s="712"/>
      <c r="AS792" s="712"/>
      <c r="AT792" s="712"/>
      <c r="AU792" s="712"/>
      <c r="AV792" s="712"/>
      <c r="AW792" s="712"/>
      <c r="AX792" s="712"/>
      <c r="AY792" s="712"/>
    </row>
    <row r="793">
      <c r="T793" s="434"/>
      <c r="U793" s="438"/>
      <c r="V793" s="438"/>
      <c r="W793" s="438"/>
      <c r="X793" s="438"/>
      <c r="Y793" s="438"/>
      <c r="Z793" s="438"/>
      <c r="AA793" s="438"/>
      <c r="AB793" s="438"/>
      <c r="AC793" s="438"/>
      <c r="AD793" s="438"/>
      <c r="AE793" s="438"/>
      <c r="AF793" s="438"/>
      <c r="AG793" s="712"/>
      <c r="AH793" s="712"/>
      <c r="AI793" s="712"/>
      <c r="AJ793" s="712"/>
      <c r="AK793" s="712"/>
      <c r="AL793" s="712"/>
      <c r="AM793" s="712"/>
      <c r="AN793" s="712"/>
      <c r="AO793" s="712"/>
      <c r="AP793" s="712"/>
      <c r="AQ793" s="712"/>
      <c r="AR793" s="712"/>
      <c r="AS793" s="712"/>
      <c r="AT793" s="712"/>
      <c r="AU793" s="712"/>
      <c r="AV793" s="712"/>
      <c r="AW793" s="712"/>
      <c r="AX793" s="712"/>
      <c r="AY793" s="712"/>
    </row>
    <row r="794">
      <c r="T794" s="434"/>
      <c r="U794" s="438"/>
      <c r="V794" s="438"/>
      <c r="W794" s="438"/>
      <c r="X794" s="438"/>
      <c r="Y794" s="438"/>
      <c r="Z794" s="438"/>
      <c r="AA794" s="438"/>
      <c r="AB794" s="438"/>
      <c r="AC794" s="438"/>
      <c r="AD794" s="438"/>
      <c r="AE794" s="438"/>
      <c r="AF794" s="438"/>
      <c r="AG794" s="712"/>
      <c r="AH794" s="712"/>
      <c r="AI794" s="712"/>
      <c r="AJ794" s="712"/>
      <c r="AK794" s="712"/>
      <c r="AL794" s="712"/>
      <c r="AM794" s="712"/>
      <c r="AN794" s="712"/>
      <c r="AO794" s="712"/>
      <c r="AP794" s="712"/>
      <c r="AQ794" s="712"/>
      <c r="AR794" s="712"/>
      <c r="AS794" s="712"/>
      <c r="AT794" s="712"/>
      <c r="AU794" s="712"/>
      <c r="AV794" s="712"/>
      <c r="AW794" s="712"/>
      <c r="AX794" s="712"/>
      <c r="AY794" s="712"/>
    </row>
    <row r="795">
      <c r="T795" s="434"/>
      <c r="U795" s="438"/>
      <c r="V795" s="438"/>
      <c r="W795" s="438"/>
      <c r="X795" s="438"/>
      <c r="Y795" s="438"/>
      <c r="Z795" s="438"/>
      <c r="AA795" s="438"/>
      <c r="AB795" s="438"/>
      <c r="AC795" s="438"/>
      <c r="AD795" s="438"/>
      <c r="AE795" s="438"/>
      <c r="AF795" s="438"/>
      <c r="AG795" s="712"/>
      <c r="AH795" s="712"/>
      <c r="AI795" s="712"/>
      <c r="AJ795" s="712"/>
      <c r="AK795" s="712"/>
      <c r="AL795" s="712"/>
      <c r="AM795" s="712"/>
      <c r="AN795" s="712"/>
      <c r="AO795" s="712"/>
      <c r="AP795" s="712"/>
      <c r="AQ795" s="712"/>
      <c r="AR795" s="712"/>
      <c r="AS795" s="712"/>
      <c r="AT795" s="712"/>
      <c r="AU795" s="712"/>
      <c r="AV795" s="712"/>
      <c r="AW795" s="712"/>
      <c r="AX795" s="712"/>
      <c r="AY795" s="712"/>
    </row>
    <row r="796">
      <c r="T796" s="434"/>
      <c r="U796" s="438"/>
      <c r="V796" s="438"/>
      <c r="W796" s="438"/>
      <c r="X796" s="438"/>
      <c r="Y796" s="438"/>
      <c r="Z796" s="438"/>
      <c r="AA796" s="438"/>
      <c r="AB796" s="438"/>
      <c r="AC796" s="438"/>
      <c r="AD796" s="438"/>
      <c r="AE796" s="438"/>
      <c r="AF796" s="438"/>
      <c r="AG796" s="712"/>
      <c r="AH796" s="712"/>
      <c r="AI796" s="712"/>
      <c r="AJ796" s="712"/>
      <c r="AK796" s="712"/>
      <c r="AL796" s="712"/>
      <c r="AM796" s="712"/>
      <c r="AN796" s="712"/>
      <c r="AO796" s="712"/>
      <c r="AP796" s="712"/>
      <c r="AQ796" s="712"/>
      <c r="AR796" s="712"/>
      <c r="AS796" s="712"/>
      <c r="AT796" s="712"/>
      <c r="AU796" s="712"/>
      <c r="AV796" s="712"/>
      <c r="AW796" s="712"/>
      <c r="AX796" s="712"/>
      <c r="AY796" s="712"/>
    </row>
    <row r="797">
      <c r="T797" s="434"/>
      <c r="U797" s="438"/>
      <c r="V797" s="438"/>
      <c r="W797" s="438"/>
      <c r="X797" s="438"/>
      <c r="Y797" s="438"/>
      <c r="Z797" s="438"/>
      <c r="AA797" s="438"/>
      <c r="AB797" s="438"/>
      <c r="AC797" s="438"/>
      <c r="AD797" s="438"/>
      <c r="AE797" s="438"/>
      <c r="AF797" s="438"/>
      <c r="AG797" s="712"/>
      <c r="AH797" s="712"/>
      <c r="AI797" s="712"/>
      <c r="AJ797" s="712"/>
      <c r="AK797" s="712"/>
      <c r="AL797" s="712"/>
      <c r="AM797" s="712"/>
      <c r="AN797" s="712"/>
      <c r="AO797" s="712"/>
      <c r="AP797" s="712"/>
      <c r="AQ797" s="712"/>
      <c r="AR797" s="712"/>
      <c r="AS797" s="712"/>
      <c r="AT797" s="712"/>
      <c r="AU797" s="712"/>
      <c r="AV797" s="712"/>
      <c r="AW797" s="712"/>
      <c r="AX797" s="712"/>
      <c r="AY797" s="712"/>
    </row>
    <row r="798">
      <c r="T798" s="434"/>
      <c r="U798" s="438"/>
      <c r="V798" s="438"/>
      <c r="W798" s="438"/>
      <c r="X798" s="438"/>
      <c r="Y798" s="438"/>
      <c r="Z798" s="438"/>
      <c r="AA798" s="438"/>
      <c r="AB798" s="438"/>
      <c r="AC798" s="438"/>
      <c r="AD798" s="438"/>
      <c r="AE798" s="438"/>
      <c r="AF798" s="438"/>
      <c r="AG798" s="712"/>
      <c r="AH798" s="712"/>
      <c r="AI798" s="712"/>
      <c r="AJ798" s="712"/>
      <c r="AK798" s="712"/>
      <c r="AL798" s="712"/>
      <c r="AM798" s="712"/>
      <c r="AN798" s="712"/>
      <c r="AO798" s="712"/>
      <c r="AP798" s="712"/>
      <c r="AQ798" s="712"/>
      <c r="AR798" s="712"/>
      <c r="AS798" s="712"/>
      <c r="AT798" s="712"/>
      <c r="AU798" s="712"/>
      <c r="AV798" s="712"/>
      <c r="AW798" s="712"/>
      <c r="AX798" s="712"/>
      <c r="AY798" s="712"/>
    </row>
    <row r="799">
      <c r="T799" s="434"/>
      <c r="U799" s="438"/>
      <c r="V799" s="438"/>
      <c r="W799" s="438"/>
      <c r="X799" s="438"/>
      <c r="Y799" s="438"/>
      <c r="Z799" s="438"/>
      <c r="AA799" s="438"/>
      <c r="AB799" s="438"/>
      <c r="AC799" s="438"/>
      <c r="AD799" s="438"/>
      <c r="AE799" s="438"/>
      <c r="AF799" s="438"/>
      <c r="AG799" s="712"/>
      <c r="AH799" s="712"/>
      <c r="AI799" s="712"/>
      <c r="AJ799" s="712"/>
      <c r="AK799" s="712"/>
      <c r="AL799" s="712"/>
      <c r="AM799" s="712"/>
      <c r="AN799" s="712"/>
      <c r="AO799" s="712"/>
      <c r="AP799" s="712"/>
      <c r="AQ799" s="712"/>
      <c r="AR799" s="712"/>
      <c r="AS799" s="712"/>
      <c r="AT799" s="712"/>
      <c r="AU799" s="712"/>
      <c r="AV799" s="712"/>
      <c r="AW799" s="712"/>
      <c r="AX799" s="712"/>
      <c r="AY799" s="712"/>
    </row>
    <row r="800">
      <c r="T800" s="434"/>
      <c r="U800" s="438"/>
      <c r="V800" s="438"/>
      <c r="W800" s="438"/>
      <c r="X800" s="438"/>
      <c r="Y800" s="438"/>
      <c r="Z800" s="438"/>
      <c r="AA800" s="438"/>
      <c r="AB800" s="438"/>
      <c r="AC800" s="438"/>
      <c r="AD800" s="438"/>
      <c r="AE800" s="438"/>
      <c r="AF800" s="438"/>
      <c r="AG800" s="712"/>
      <c r="AH800" s="712"/>
      <c r="AI800" s="712"/>
      <c r="AJ800" s="712"/>
      <c r="AK800" s="712"/>
      <c r="AL800" s="712"/>
      <c r="AM800" s="712"/>
      <c r="AN800" s="712"/>
      <c r="AO800" s="712"/>
      <c r="AP800" s="712"/>
      <c r="AQ800" s="712"/>
      <c r="AR800" s="712"/>
      <c r="AS800" s="712"/>
      <c r="AT800" s="712"/>
      <c r="AU800" s="712"/>
      <c r="AV800" s="712"/>
      <c r="AW800" s="712"/>
      <c r="AX800" s="712"/>
      <c r="AY800" s="712"/>
    </row>
    <row r="801">
      <c r="T801" s="434"/>
      <c r="U801" s="438"/>
      <c r="V801" s="438"/>
      <c r="W801" s="438"/>
      <c r="X801" s="438"/>
      <c r="Y801" s="438"/>
      <c r="Z801" s="438"/>
      <c r="AA801" s="438"/>
      <c r="AB801" s="438"/>
      <c r="AC801" s="438"/>
      <c r="AD801" s="438"/>
      <c r="AE801" s="438"/>
      <c r="AF801" s="438"/>
      <c r="AG801" s="712"/>
      <c r="AH801" s="712"/>
      <c r="AI801" s="712"/>
      <c r="AJ801" s="712"/>
      <c r="AK801" s="712"/>
      <c r="AL801" s="712"/>
      <c r="AM801" s="712"/>
      <c r="AN801" s="712"/>
      <c r="AO801" s="712"/>
      <c r="AP801" s="712"/>
      <c r="AQ801" s="712"/>
      <c r="AR801" s="712"/>
      <c r="AS801" s="712"/>
      <c r="AT801" s="712"/>
      <c r="AU801" s="712"/>
      <c r="AV801" s="712"/>
      <c r="AW801" s="712"/>
      <c r="AX801" s="712"/>
      <c r="AY801" s="712"/>
    </row>
    <row r="802">
      <c r="T802" s="434"/>
      <c r="U802" s="438"/>
      <c r="V802" s="438"/>
      <c r="W802" s="438"/>
      <c r="X802" s="438"/>
      <c r="Y802" s="438"/>
      <c r="Z802" s="438"/>
      <c r="AA802" s="438"/>
      <c r="AB802" s="438"/>
      <c r="AC802" s="438"/>
      <c r="AD802" s="438"/>
      <c r="AE802" s="438"/>
      <c r="AF802" s="438"/>
      <c r="AG802" s="712"/>
      <c r="AH802" s="712"/>
      <c r="AI802" s="712"/>
      <c r="AJ802" s="712"/>
      <c r="AK802" s="712"/>
      <c r="AL802" s="712"/>
      <c r="AM802" s="712"/>
      <c r="AN802" s="712"/>
      <c r="AO802" s="712"/>
      <c r="AP802" s="712"/>
      <c r="AQ802" s="712"/>
      <c r="AR802" s="712"/>
      <c r="AS802" s="712"/>
      <c r="AT802" s="712"/>
      <c r="AU802" s="712"/>
      <c r="AV802" s="712"/>
      <c r="AW802" s="712"/>
      <c r="AX802" s="712"/>
      <c r="AY802" s="712"/>
    </row>
    <row r="803">
      <c r="T803" s="434"/>
      <c r="U803" s="438"/>
      <c r="V803" s="438"/>
      <c r="W803" s="438"/>
      <c r="X803" s="438"/>
      <c r="Y803" s="438"/>
      <c r="Z803" s="438"/>
      <c r="AA803" s="438"/>
      <c r="AB803" s="438"/>
      <c r="AC803" s="438"/>
      <c r="AD803" s="438"/>
      <c r="AE803" s="438"/>
      <c r="AF803" s="438"/>
      <c r="AG803" s="712"/>
      <c r="AH803" s="712"/>
      <c r="AI803" s="712"/>
      <c r="AJ803" s="712"/>
      <c r="AK803" s="712"/>
      <c r="AL803" s="712"/>
      <c r="AM803" s="712"/>
      <c r="AN803" s="712"/>
      <c r="AO803" s="712"/>
      <c r="AP803" s="712"/>
      <c r="AQ803" s="712"/>
      <c r="AR803" s="712"/>
      <c r="AS803" s="712"/>
      <c r="AT803" s="712"/>
      <c r="AU803" s="712"/>
      <c r="AV803" s="712"/>
      <c r="AW803" s="712"/>
      <c r="AX803" s="712"/>
      <c r="AY803" s="712"/>
    </row>
    <row r="804">
      <c r="T804" s="434"/>
      <c r="U804" s="438"/>
      <c r="V804" s="438"/>
      <c r="W804" s="438"/>
      <c r="X804" s="438"/>
      <c r="Y804" s="438"/>
      <c r="Z804" s="438"/>
      <c r="AA804" s="438"/>
      <c r="AB804" s="438"/>
      <c r="AC804" s="438"/>
      <c r="AD804" s="438"/>
      <c r="AE804" s="438"/>
      <c r="AF804" s="438"/>
      <c r="AG804" s="712"/>
      <c r="AH804" s="712"/>
      <c r="AI804" s="712"/>
      <c r="AJ804" s="712"/>
      <c r="AK804" s="712"/>
      <c r="AL804" s="712"/>
      <c r="AM804" s="712"/>
      <c r="AN804" s="712"/>
      <c r="AO804" s="712"/>
      <c r="AP804" s="712"/>
      <c r="AQ804" s="712"/>
      <c r="AR804" s="712"/>
      <c r="AS804" s="712"/>
      <c r="AT804" s="712"/>
      <c r="AU804" s="712"/>
      <c r="AV804" s="712"/>
      <c r="AW804" s="712"/>
      <c r="AX804" s="712"/>
      <c r="AY804" s="712"/>
    </row>
    <row r="805">
      <c r="T805" s="434"/>
      <c r="U805" s="438"/>
      <c r="V805" s="438"/>
      <c r="W805" s="438"/>
      <c r="X805" s="438"/>
      <c r="Y805" s="438"/>
      <c r="Z805" s="438"/>
      <c r="AA805" s="438"/>
      <c r="AB805" s="438"/>
      <c r="AC805" s="438"/>
      <c r="AD805" s="438"/>
      <c r="AE805" s="438"/>
      <c r="AF805" s="438"/>
      <c r="AG805" s="712"/>
      <c r="AH805" s="712"/>
      <c r="AI805" s="712"/>
      <c r="AJ805" s="712"/>
      <c r="AK805" s="712"/>
      <c r="AL805" s="712"/>
      <c r="AM805" s="712"/>
      <c r="AN805" s="712"/>
      <c r="AO805" s="712"/>
      <c r="AP805" s="712"/>
      <c r="AQ805" s="712"/>
      <c r="AR805" s="712"/>
      <c r="AS805" s="712"/>
      <c r="AT805" s="712"/>
      <c r="AU805" s="712"/>
      <c r="AV805" s="712"/>
      <c r="AW805" s="712"/>
      <c r="AX805" s="712"/>
      <c r="AY805" s="712"/>
    </row>
    <row r="806">
      <c r="T806" s="434"/>
      <c r="U806" s="438"/>
      <c r="V806" s="438"/>
      <c r="W806" s="438"/>
      <c r="X806" s="438"/>
      <c r="Y806" s="438"/>
      <c r="Z806" s="438"/>
      <c r="AA806" s="438"/>
      <c r="AB806" s="438"/>
      <c r="AC806" s="438"/>
      <c r="AD806" s="438"/>
      <c r="AE806" s="438"/>
      <c r="AF806" s="438"/>
      <c r="AG806" s="712"/>
      <c r="AH806" s="712"/>
      <c r="AI806" s="712"/>
      <c r="AJ806" s="712"/>
      <c r="AK806" s="712"/>
      <c r="AL806" s="712"/>
      <c r="AM806" s="712"/>
      <c r="AN806" s="712"/>
      <c r="AO806" s="712"/>
      <c r="AP806" s="712"/>
      <c r="AQ806" s="712"/>
      <c r="AR806" s="712"/>
      <c r="AS806" s="712"/>
      <c r="AT806" s="712"/>
      <c r="AU806" s="712"/>
      <c r="AV806" s="712"/>
      <c r="AW806" s="712"/>
      <c r="AX806" s="712"/>
      <c r="AY806" s="712"/>
    </row>
    <row r="807">
      <c r="T807" s="434"/>
      <c r="U807" s="438"/>
      <c r="V807" s="438"/>
      <c r="W807" s="438"/>
      <c r="X807" s="438"/>
      <c r="Y807" s="438"/>
      <c r="Z807" s="438"/>
      <c r="AA807" s="438"/>
      <c r="AB807" s="438"/>
      <c r="AC807" s="438"/>
      <c r="AD807" s="438"/>
      <c r="AE807" s="438"/>
      <c r="AF807" s="438"/>
      <c r="AG807" s="712"/>
      <c r="AH807" s="712"/>
      <c r="AI807" s="712"/>
      <c r="AJ807" s="712"/>
      <c r="AK807" s="712"/>
      <c r="AL807" s="712"/>
      <c r="AM807" s="712"/>
      <c r="AN807" s="712"/>
      <c r="AO807" s="712"/>
      <c r="AP807" s="712"/>
      <c r="AQ807" s="712"/>
      <c r="AR807" s="712"/>
      <c r="AS807" s="712"/>
      <c r="AT807" s="712"/>
      <c r="AU807" s="712"/>
      <c r="AV807" s="712"/>
      <c r="AW807" s="712"/>
      <c r="AX807" s="712"/>
      <c r="AY807" s="712"/>
    </row>
    <row r="808">
      <c r="T808" s="434"/>
      <c r="U808" s="438"/>
      <c r="V808" s="438"/>
      <c r="W808" s="438"/>
      <c r="X808" s="438"/>
      <c r="Y808" s="438"/>
      <c r="Z808" s="438"/>
      <c r="AA808" s="438"/>
      <c r="AB808" s="438"/>
      <c r="AC808" s="438"/>
      <c r="AD808" s="438"/>
      <c r="AE808" s="438"/>
      <c r="AF808" s="438"/>
      <c r="AG808" s="712"/>
      <c r="AH808" s="712"/>
      <c r="AI808" s="712"/>
      <c r="AJ808" s="712"/>
      <c r="AK808" s="712"/>
      <c r="AL808" s="712"/>
      <c r="AM808" s="712"/>
      <c r="AN808" s="712"/>
      <c r="AO808" s="712"/>
      <c r="AP808" s="712"/>
      <c r="AQ808" s="712"/>
      <c r="AR808" s="712"/>
      <c r="AS808" s="712"/>
      <c r="AT808" s="712"/>
      <c r="AU808" s="712"/>
      <c r="AV808" s="712"/>
      <c r="AW808" s="712"/>
      <c r="AX808" s="712"/>
      <c r="AY808" s="712"/>
    </row>
    <row r="809">
      <c r="T809" s="434"/>
      <c r="U809" s="438"/>
      <c r="V809" s="438"/>
      <c r="W809" s="438"/>
      <c r="X809" s="438"/>
      <c r="Y809" s="438"/>
      <c r="Z809" s="438"/>
      <c r="AA809" s="438"/>
      <c r="AB809" s="438"/>
      <c r="AC809" s="438"/>
      <c r="AD809" s="438"/>
      <c r="AE809" s="438"/>
      <c r="AF809" s="438"/>
      <c r="AG809" s="712"/>
      <c r="AH809" s="712"/>
      <c r="AI809" s="712"/>
      <c r="AJ809" s="712"/>
      <c r="AK809" s="712"/>
      <c r="AL809" s="712"/>
      <c r="AM809" s="712"/>
      <c r="AN809" s="712"/>
      <c r="AO809" s="712"/>
      <c r="AP809" s="712"/>
      <c r="AQ809" s="712"/>
      <c r="AR809" s="712"/>
      <c r="AS809" s="712"/>
      <c r="AT809" s="712"/>
      <c r="AU809" s="712"/>
      <c r="AV809" s="712"/>
      <c r="AW809" s="712"/>
      <c r="AX809" s="712"/>
      <c r="AY809" s="712"/>
    </row>
    <row r="810">
      <c r="T810" s="434"/>
      <c r="U810" s="438"/>
      <c r="V810" s="438"/>
      <c r="W810" s="438"/>
      <c r="X810" s="438"/>
      <c r="Y810" s="438"/>
      <c r="Z810" s="438"/>
      <c r="AA810" s="438"/>
      <c r="AB810" s="438"/>
      <c r="AC810" s="438"/>
      <c r="AD810" s="438"/>
      <c r="AE810" s="438"/>
      <c r="AF810" s="438"/>
      <c r="AG810" s="712"/>
      <c r="AH810" s="712"/>
      <c r="AI810" s="712"/>
      <c r="AJ810" s="712"/>
      <c r="AK810" s="712"/>
      <c r="AL810" s="712"/>
      <c r="AM810" s="712"/>
      <c r="AN810" s="712"/>
      <c r="AO810" s="712"/>
      <c r="AP810" s="712"/>
      <c r="AQ810" s="712"/>
      <c r="AR810" s="712"/>
      <c r="AS810" s="712"/>
      <c r="AT810" s="712"/>
      <c r="AU810" s="712"/>
      <c r="AV810" s="712"/>
      <c r="AW810" s="712"/>
      <c r="AX810" s="712"/>
      <c r="AY810" s="712"/>
    </row>
    <row r="811">
      <c r="T811" s="434"/>
      <c r="U811" s="438"/>
      <c r="V811" s="438"/>
      <c r="W811" s="438"/>
      <c r="X811" s="438"/>
      <c r="Y811" s="438"/>
      <c r="Z811" s="438"/>
      <c r="AA811" s="438"/>
      <c r="AB811" s="438"/>
      <c r="AC811" s="438"/>
      <c r="AD811" s="438"/>
      <c r="AE811" s="438"/>
      <c r="AF811" s="438"/>
      <c r="AG811" s="712"/>
      <c r="AH811" s="712"/>
      <c r="AI811" s="712"/>
      <c r="AJ811" s="712"/>
      <c r="AK811" s="712"/>
      <c r="AL811" s="712"/>
      <c r="AM811" s="712"/>
      <c r="AN811" s="712"/>
      <c r="AO811" s="712"/>
      <c r="AP811" s="712"/>
      <c r="AQ811" s="712"/>
      <c r="AR811" s="712"/>
      <c r="AS811" s="712"/>
      <c r="AT811" s="712"/>
      <c r="AU811" s="712"/>
      <c r="AV811" s="712"/>
      <c r="AW811" s="712"/>
      <c r="AX811" s="712"/>
      <c r="AY811" s="712"/>
    </row>
    <row r="812">
      <c r="T812" s="434"/>
      <c r="U812" s="438"/>
      <c r="V812" s="438"/>
      <c r="W812" s="438"/>
      <c r="X812" s="438"/>
      <c r="Y812" s="438"/>
      <c r="Z812" s="438"/>
      <c r="AA812" s="438"/>
      <c r="AB812" s="438"/>
      <c r="AC812" s="438"/>
      <c r="AD812" s="438"/>
      <c r="AE812" s="438"/>
      <c r="AF812" s="438"/>
      <c r="AG812" s="712"/>
      <c r="AH812" s="712"/>
      <c r="AI812" s="712"/>
      <c r="AJ812" s="712"/>
      <c r="AK812" s="712"/>
      <c r="AL812" s="712"/>
      <c r="AM812" s="712"/>
      <c r="AN812" s="712"/>
      <c r="AO812" s="712"/>
      <c r="AP812" s="712"/>
      <c r="AQ812" s="712"/>
      <c r="AR812" s="712"/>
      <c r="AS812" s="712"/>
      <c r="AT812" s="712"/>
      <c r="AU812" s="712"/>
      <c r="AV812" s="712"/>
      <c r="AW812" s="712"/>
      <c r="AX812" s="712"/>
      <c r="AY812" s="712"/>
    </row>
    <row r="813">
      <c r="T813" s="434"/>
      <c r="U813" s="438"/>
      <c r="V813" s="438"/>
      <c r="W813" s="438"/>
      <c r="X813" s="438"/>
      <c r="Y813" s="438"/>
      <c r="Z813" s="438"/>
      <c r="AA813" s="438"/>
      <c r="AB813" s="438"/>
      <c r="AC813" s="438"/>
      <c r="AD813" s="438"/>
      <c r="AE813" s="438"/>
      <c r="AF813" s="438"/>
      <c r="AG813" s="712"/>
      <c r="AH813" s="712"/>
      <c r="AI813" s="712"/>
      <c r="AJ813" s="712"/>
      <c r="AK813" s="712"/>
      <c r="AL813" s="712"/>
      <c r="AM813" s="712"/>
      <c r="AN813" s="712"/>
      <c r="AO813" s="712"/>
      <c r="AP813" s="712"/>
      <c r="AQ813" s="712"/>
      <c r="AR813" s="712"/>
      <c r="AS813" s="712"/>
      <c r="AT813" s="712"/>
      <c r="AU813" s="712"/>
      <c r="AV813" s="712"/>
      <c r="AW813" s="712"/>
      <c r="AX813" s="712"/>
      <c r="AY813" s="712"/>
    </row>
    <row r="814">
      <c r="T814" s="434"/>
      <c r="U814" s="438"/>
      <c r="V814" s="438"/>
      <c r="W814" s="438"/>
      <c r="X814" s="438"/>
      <c r="Y814" s="438"/>
      <c r="Z814" s="438"/>
      <c r="AA814" s="438"/>
      <c r="AB814" s="438"/>
      <c r="AC814" s="438"/>
      <c r="AD814" s="438"/>
      <c r="AE814" s="438"/>
      <c r="AF814" s="438"/>
      <c r="AG814" s="712"/>
      <c r="AH814" s="712"/>
      <c r="AI814" s="712"/>
      <c r="AJ814" s="712"/>
      <c r="AK814" s="712"/>
      <c r="AL814" s="712"/>
      <c r="AM814" s="712"/>
      <c r="AN814" s="712"/>
      <c r="AO814" s="712"/>
      <c r="AP814" s="712"/>
      <c r="AQ814" s="712"/>
      <c r="AR814" s="712"/>
      <c r="AS814" s="712"/>
      <c r="AT814" s="712"/>
      <c r="AU814" s="712"/>
      <c r="AV814" s="712"/>
      <c r="AW814" s="712"/>
      <c r="AX814" s="712"/>
      <c r="AY814" s="712"/>
    </row>
    <row r="815">
      <c r="T815" s="434"/>
      <c r="U815" s="438"/>
      <c r="V815" s="438"/>
      <c r="W815" s="438"/>
      <c r="X815" s="438"/>
      <c r="Y815" s="438"/>
      <c r="Z815" s="438"/>
      <c r="AA815" s="438"/>
      <c r="AB815" s="438"/>
      <c r="AC815" s="438"/>
      <c r="AD815" s="438"/>
      <c r="AE815" s="438"/>
      <c r="AF815" s="438"/>
      <c r="AG815" s="712"/>
      <c r="AH815" s="712"/>
      <c r="AI815" s="712"/>
      <c r="AJ815" s="712"/>
      <c r="AK815" s="712"/>
      <c r="AL815" s="712"/>
      <c r="AM815" s="712"/>
      <c r="AN815" s="712"/>
      <c r="AO815" s="712"/>
      <c r="AP815" s="712"/>
      <c r="AQ815" s="712"/>
      <c r="AR815" s="712"/>
      <c r="AS815" s="712"/>
      <c r="AT815" s="712"/>
      <c r="AU815" s="712"/>
      <c r="AV815" s="712"/>
      <c r="AW815" s="712"/>
      <c r="AX815" s="712"/>
      <c r="AY815" s="712"/>
    </row>
    <row r="816">
      <c r="T816" s="434"/>
      <c r="U816" s="438"/>
      <c r="V816" s="438"/>
      <c r="W816" s="438"/>
      <c r="X816" s="438"/>
      <c r="Y816" s="438"/>
      <c r="Z816" s="438"/>
      <c r="AA816" s="438"/>
      <c r="AB816" s="438"/>
      <c r="AC816" s="438"/>
      <c r="AD816" s="438"/>
      <c r="AE816" s="438"/>
      <c r="AF816" s="438"/>
      <c r="AG816" s="712"/>
      <c r="AH816" s="712"/>
      <c r="AI816" s="712"/>
      <c r="AJ816" s="712"/>
      <c r="AK816" s="712"/>
      <c r="AL816" s="712"/>
      <c r="AM816" s="712"/>
      <c r="AN816" s="712"/>
      <c r="AO816" s="712"/>
      <c r="AP816" s="712"/>
      <c r="AQ816" s="712"/>
      <c r="AR816" s="712"/>
      <c r="AS816" s="712"/>
      <c r="AT816" s="712"/>
      <c r="AU816" s="712"/>
      <c r="AV816" s="712"/>
      <c r="AW816" s="712"/>
      <c r="AX816" s="712"/>
      <c r="AY816" s="712"/>
    </row>
    <row r="817">
      <c r="T817" s="434"/>
      <c r="U817" s="438"/>
      <c r="V817" s="438"/>
      <c r="W817" s="438"/>
      <c r="X817" s="438"/>
      <c r="Y817" s="438"/>
      <c r="Z817" s="438"/>
      <c r="AA817" s="438"/>
      <c r="AB817" s="438"/>
      <c r="AC817" s="438"/>
      <c r="AD817" s="438"/>
      <c r="AE817" s="438"/>
      <c r="AF817" s="438"/>
      <c r="AG817" s="712"/>
      <c r="AH817" s="712"/>
      <c r="AI817" s="712"/>
      <c r="AJ817" s="712"/>
      <c r="AK817" s="712"/>
      <c r="AL817" s="712"/>
      <c r="AM817" s="712"/>
      <c r="AN817" s="712"/>
      <c r="AO817" s="712"/>
      <c r="AP817" s="712"/>
      <c r="AQ817" s="712"/>
      <c r="AR817" s="712"/>
      <c r="AS817" s="712"/>
      <c r="AT817" s="712"/>
      <c r="AU817" s="712"/>
      <c r="AV817" s="712"/>
      <c r="AW817" s="712"/>
      <c r="AX817" s="712"/>
      <c r="AY817" s="712"/>
    </row>
    <row r="818">
      <c r="T818" s="434"/>
      <c r="U818" s="438"/>
      <c r="V818" s="438"/>
      <c r="W818" s="438"/>
      <c r="X818" s="438"/>
      <c r="Y818" s="438"/>
      <c r="Z818" s="438"/>
      <c r="AA818" s="438"/>
      <c r="AB818" s="438"/>
      <c r="AC818" s="438"/>
      <c r="AD818" s="438"/>
      <c r="AE818" s="438"/>
      <c r="AF818" s="438"/>
      <c r="AG818" s="712"/>
      <c r="AH818" s="712"/>
      <c r="AI818" s="712"/>
      <c r="AJ818" s="712"/>
      <c r="AK818" s="712"/>
      <c r="AL818" s="712"/>
      <c r="AM818" s="712"/>
      <c r="AN818" s="712"/>
      <c r="AO818" s="712"/>
      <c r="AP818" s="712"/>
      <c r="AQ818" s="712"/>
      <c r="AR818" s="712"/>
      <c r="AS818" s="712"/>
      <c r="AT818" s="712"/>
      <c r="AU818" s="712"/>
      <c r="AV818" s="712"/>
      <c r="AW818" s="712"/>
      <c r="AX818" s="712"/>
      <c r="AY818" s="712"/>
    </row>
    <row r="819">
      <c r="T819" s="434"/>
      <c r="U819" s="438"/>
      <c r="V819" s="438"/>
      <c r="W819" s="438"/>
      <c r="X819" s="438"/>
      <c r="Y819" s="438"/>
      <c r="Z819" s="438"/>
      <c r="AA819" s="438"/>
      <c r="AB819" s="438"/>
      <c r="AC819" s="438"/>
      <c r="AD819" s="438"/>
      <c r="AE819" s="438"/>
      <c r="AF819" s="438"/>
      <c r="AG819" s="712"/>
      <c r="AH819" s="712"/>
      <c r="AI819" s="712"/>
      <c r="AJ819" s="712"/>
      <c r="AK819" s="712"/>
      <c r="AL819" s="712"/>
      <c r="AM819" s="712"/>
      <c r="AN819" s="712"/>
      <c r="AO819" s="712"/>
      <c r="AP819" s="712"/>
      <c r="AQ819" s="712"/>
      <c r="AR819" s="712"/>
      <c r="AS819" s="712"/>
      <c r="AT819" s="712"/>
      <c r="AU819" s="712"/>
      <c r="AV819" s="712"/>
      <c r="AW819" s="712"/>
      <c r="AX819" s="712"/>
      <c r="AY819" s="712"/>
    </row>
    <row r="820">
      <c r="T820" s="434"/>
      <c r="U820" s="438"/>
      <c r="V820" s="438"/>
      <c r="W820" s="438"/>
      <c r="X820" s="438"/>
      <c r="Y820" s="438"/>
      <c r="Z820" s="438"/>
      <c r="AA820" s="438"/>
      <c r="AB820" s="438"/>
      <c r="AC820" s="438"/>
      <c r="AD820" s="438"/>
      <c r="AE820" s="438"/>
      <c r="AF820" s="438"/>
      <c r="AG820" s="712"/>
      <c r="AH820" s="712"/>
      <c r="AI820" s="712"/>
      <c r="AJ820" s="712"/>
      <c r="AK820" s="712"/>
      <c r="AL820" s="712"/>
      <c r="AM820" s="712"/>
      <c r="AN820" s="712"/>
      <c r="AO820" s="712"/>
      <c r="AP820" s="712"/>
      <c r="AQ820" s="712"/>
      <c r="AR820" s="712"/>
      <c r="AS820" s="712"/>
      <c r="AT820" s="712"/>
      <c r="AU820" s="712"/>
      <c r="AV820" s="712"/>
      <c r="AW820" s="712"/>
      <c r="AX820" s="712"/>
      <c r="AY820" s="712"/>
    </row>
    <row r="821">
      <c r="T821" s="434"/>
      <c r="U821" s="438"/>
      <c r="V821" s="438"/>
      <c r="W821" s="438"/>
      <c r="X821" s="438"/>
      <c r="Y821" s="438"/>
      <c r="Z821" s="438"/>
      <c r="AA821" s="438"/>
      <c r="AB821" s="438"/>
      <c r="AC821" s="438"/>
      <c r="AD821" s="438"/>
      <c r="AE821" s="438"/>
      <c r="AF821" s="438"/>
      <c r="AG821" s="712"/>
      <c r="AH821" s="712"/>
      <c r="AI821" s="712"/>
      <c r="AJ821" s="712"/>
      <c r="AK821" s="712"/>
      <c r="AL821" s="712"/>
      <c r="AM821" s="712"/>
      <c r="AN821" s="712"/>
      <c r="AO821" s="712"/>
      <c r="AP821" s="712"/>
      <c r="AQ821" s="712"/>
      <c r="AR821" s="712"/>
      <c r="AS821" s="712"/>
      <c r="AT821" s="712"/>
      <c r="AU821" s="712"/>
      <c r="AV821" s="712"/>
      <c r="AW821" s="712"/>
      <c r="AX821" s="712"/>
      <c r="AY821" s="712"/>
    </row>
    <row r="822">
      <c r="T822" s="434"/>
      <c r="U822" s="438"/>
      <c r="V822" s="438"/>
      <c r="W822" s="438"/>
      <c r="X822" s="438"/>
      <c r="Y822" s="438"/>
      <c r="Z822" s="438"/>
      <c r="AA822" s="438"/>
      <c r="AB822" s="438"/>
      <c r="AC822" s="438"/>
      <c r="AD822" s="438"/>
      <c r="AE822" s="438"/>
      <c r="AF822" s="438"/>
      <c r="AG822" s="712"/>
      <c r="AH822" s="712"/>
      <c r="AI822" s="712"/>
      <c r="AJ822" s="712"/>
      <c r="AK822" s="712"/>
      <c r="AL822" s="712"/>
      <c r="AM822" s="712"/>
      <c r="AN822" s="712"/>
      <c r="AO822" s="712"/>
      <c r="AP822" s="712"/>
      <c r="AQ822" s="712"/>
      <c r="AR822" s="712"/>
      <c r="AS822" s="712"/>
      <c r="AT822" s="712"/>
      <c r="AU822" s="712"/>
      <c r="AV822" s="712"/>
      <c r="AW822" s="712"/>
      <c r="AX822" s="712"/>
      <c r="AY822" s="712"/>
    </row>
    <row r="823">
      <c r="T823" s="434"/>
      <c r="U823" s="438"/>
      <c r="V823" s="438"/>
      <c r="W823" s="438"/>
      <c r="X823" s="438"/>
      <c r="Y823" s="438"/>
      <c r="Z823" s="438"/>
      <c r="AA823" s="438"/>
      <c r="AB823" s="438"/>
      <c r="AC823" s="438"/>
      <c r="AD823" s="438"/>
      <c r="AE823" s="438"/>
      <c r="AF823" s="438"/>
      <c r="AG823" s="712"/>
      <c r="AH823" s="712"/>
      <c r="AI823" s="712"/>
      <c r="AJ823" s="712"/>
      <c r="AK823" s="712"/>
      <c r="AL823" s="712"/>
      <c r="AM823" s="712"/>
      <c r="AN823" s="712"/>
      <c r="AO823" s="712"/>
      <c r="AP823" s="712"/>
      <c r="AQ823" s="712"/>
      <c r="AR823" s="712"/>
      <c r="AS823" s="712"/>
      <c r="AT823" s="712"/>
      <c r="AU823" s="712"/>
      <c r="AV823" s="712"/>
      <c r="AW823" s="712"/>
      <c r="AX823" s="712"/>
      <c r="AY823" s="712"/>
    </row>
    <row r="824">
      <c r="T824" s="434"/>
      <c r="U824" s="438"/>
      <c r="V824" s="438"/>
      <c r="W824" s="438"/>
      <c r="X824" s="438"/>
      <c r="Y824" s="438"/>
      <c r="Z824" s="438"/>
      <c r="AA824" s="438"/>
      <c r="AB824" s="438"/>
      <c r="AC824" s="438"/>
      <c r="AD824" s="438"/>
      <c r="AE824" s="438"/>
      <c r="AF824" s="438"/>
      <c r="AG824" s="712"/>
      <c r="AH824" s="712"/>
      <c r="AI824" s="712"/>
      <c r="AJ824" s="712"/>
      <c r="AK824" s="712"/>
      <c r="AL824" s="712"/>
      <c r="AM824" s="712"/>
      <c r="AN824" s="712"/>
      <c r="AO824" s="712"/>
      <c r="AP824" s="712"/>
      <c r="AQ824" s="712"/>
      <c r="AR824" s="712"/>
      <c r="AS824" s="712"/>
      <c r="AT824" s="712"/>
      <c r="AU824" s="712"/>
      <c r="AV824" s="712"/>
      <c r="AW824" s="712"/>
      <c r="AX824" s="712"/>
      <c r="AY824" s="712"/>
    </row>
    <row r="825">
      <c r="T825" s="434"/>
      <c r="U825" s="438"/>
      <c r="V825" s="438"/>
      <c r="W825" s="438"/>
      <c r="X825" s="438"/>
      <c r="Y825" s="438"/>
      <c r="Z825" s="438"/>
      <c r="AA825" s="438"/>
      <c r="AB825" s="438"/>
      <c r="AC825" s="438"/>
      <c r="AD825" s="438"/>
      <c r="AE825" s="438"/>
      <c r="AF825" s="438"/>
      <c r="AG825" s="712"/>
      <c r="AH825" s="712"/>
      <c r="AI825" s="712"/>
      <c r="AJ825" s="712"/>
      <c r="AK825" s="712"/>
      <c r="AL825" s="712"/>
      <c r="AM825" s="712"/>
      <c r="AN825" s="712"/>
      <c r="AO825" s="712"/>
      <c r="AP825" s="712"/>
      <c r="AQ825" s="712"/>
      <c r="AR825" s="712"/>
      <c r="AS825" s="712"/>
      <c r="AT825" s="712"/>
      <c r="AU825" s="712"/>
      <c r="AV825" s="712"/>
      <c r="AW825" s="712"/>
      <c r="AX825" s="712"/>
      <c r="AY825" s="712"/>
    </row>
    <row r="826">
      <c r="T826" s="434"/>
      <c r="U826" s="438"/>
      <c r="V826" s="438"/>
      <c r="W826" s="438"/>
      <c r="X826" s="438"/>
      <c r="Y826" s="438"/>
      <c r="Z826" s="438"/>
      <c r="AA826" s="438"/>
      <c r="AB826" s="438"/>
      <c r="AC826" s="438"/>
      <c r="AD826" s="438"/>
      <c r="AE826" s="438"/>
      <c r="AF826" s="438"/>
      <c r="AG826" s="712"/>
      <c r="AH826" s="712"/>
      <c r="AI826" s="712"/>
      <c r="AJ826" s="712"/>
      <c r="AK826" s="712"/>
      <c r="AL826" s="712"/>
      <c r="AM826" s="712"/>
      <c r="AN826" s="712"/>
      <c r="AO826" s="712"/>
      <c r="AP826" s="712"/>
      <c r="AQ826" s="712"/>
      <c r="AR826" s="712"/>
      <c r="AS826" s="712"/>
      <c r="AT826" s="712"/>
      <c r="AU826" s="712"/>
      <c r="AV826" s="712"/>
      <c r="AW826" s="712"/>
      <c r="AX826" s="712"/>
      <c r="AY826" s="712"/>
    </row>
    <row r="827">
      <c r="T827" s="434"/>
      <c r="U827" s="438"/>
      <c r="V827" s="438"/>
      <c r="W827" s="438"/>
      <c r="X827" s="438"/>
      <c r="Y827" s="438"/>
      <c r="Z827" s="438"/>
      <c r="AA827" s="438"/>
      <c r="AB827" s="438"/>
      <c r="AC827" s="438"/>
      <c r="AD827" s="438"/>
      <c r="AE827" s="438"/>
      <c r="AF827" s="438"/>
      <c r="AG827" s="712"/>
      <c r="AH827" s="712"/>
      <c r="AI827" s="712"/>
      <c r="AJ827" s="712"/>
      <c r="AK827" s="712"/>
      <c r="AL827" s="712"/>
      <c r="AM827" s="712"/>
      <c r="AN827" s="712"/>
      <c r="AO827" s="712"/>
      <c r="AP827" s="712"/>
      <c r="AQ827" s="712"/>
      <c r="AR827" s="712"/>
      <c r="AS827" s="712"/>
      <c r="AT827" s="712"/>
      <c r="AU827" s="712"/>
      <c r="AV827" s="712"/>
      <c r="AW827" s="712"/>
      <c r="AX827" s="712"/>
      <c r="AY827" s="712"/>
    </row>
    <row r="828">
      <c r="T828" s="434"/>
      <c r="U828" s="438"/>
      <c r="V828" s="438"/>
      <c r="W828" s="438"/>
      <c r="X828" s="438"/>
      <c r="Y828" s="438"/>
      <c r="Z828" s="438"/>
      <c r="AA828" s="438"/>
      <c r="AB828" s="438"/>
      <c r="AC828" s="438"/>
      <c r="AD828" s="438"/>
      <c r="AE828" s="438"/>
      <c r="AF828" s="438"/>
      <c r="AG828" s="712"/>
      <c r="AH828" s="712"/>
      <c r="AI828" s="712"/>
      <c r="AJ828" s="712"/>
      <c r="AK828" s="712"/>
      <c r="AL828" s="712"/>
      <c r="AM828" s="712"/>
      <c r="AN828" s="712"/>
      <c r="AO828" s="712"/>
      <c r="AP828" s="712"/>
      <c r="AQ828" s="712"/>
      <c r="AR828" s="712"/>
      <c r="AS828" s="712"/>
      <c r="AT828" s="712"/>
      <c r="AU828" s="712"/>
      <c r="AV828" s="712"/>
      <c r="AW828" s="712"/>
      <c r="AX828" s="712"/>
      <c r="AY828" s="712"/>
    </row>
    <row r="829">
      <c r="T829" s="434"/>
      <c r="U829" s="438"/>
      <c r="V829" s="438"/>
      <c r="W829" s="438"/>
      <c r="X829" s="438"/>
      <c r="Y829" s="438"/>
      <c r="Z829" s="438"/>
      <c r="AA829" s="438"/>
      <c r="AB829" s="438"/>
      <c r="AC829" s="438"/>
      <c r="AD829" s="438"/>
      <c r="AE829" s="438"/>
      <c r="AF829" s="438"/>
      <c r="AG829" s="712"/>
      <c r="AH829" s="712"/>
      <c r="AI829" s="712"/>
      <c r="AJ829" s="712"/>
      <c r="AK829" s="712"/>
      <c r="AL829" s="712"/>
      <c r="AM829" s="712"/>
      <c r="AN829" s="712"/>
      <c r="AO829" s="712"/>
      <c r="AP829" s="712"/>
      <c r="AQ829" s="712"/>
      <c r="AR829" s="712"/>
      <c r="AS829" s="712"/>
      <c r="AT829" s="712"/>
      <c r="AU829" s="712"/>
      <c r="AV829" s="712"/>
      <c r="AW829" s="712"/>
      <c r="AX829" s="712"/>
      <c r="AY829" s="712"/>
    </row>
    <row r="830">
      <c r="T830" s="434"/>
      <c r="U830" s="438"/>
      <c r="V830" s="438"/>
      <c r="W830" s="438"/>
      <c r="X830" s="438"/>
      <c r="Y830" s="438"/>
      <c r="Z830" s="438"/>
      <c r="AA830" s="438"/>
      <c r="AB830" s="438"/>
      <c r="AC830" s="438"/>
      <c r="AD830" s="438"/>
      <c r="AE830" s="438"/>
      <c r="AF830" s="438"/>
      <c r="AG830" s="712"/>
      <c r="AH830" s="712"/>
      <c r="AI830" s="712"/>
      <c r="AJ830" s="712"/>
      <c r="AK830" s="712"/>
      <c r="AL830" s="712"/>
      <c r="AM830" s="712"/>
      <c r="AN830" s="712"/>
      <c r="AO830" s="712"/>
      <c r="AP830" s="712"/>
      <c r="AQ830" s="712"/>
      <c r="AR830" s="712"/>
      <c r="AS830" s="712"/>
      <c r="AT830" s="712"/>
      <c r="AU830" s="712"/>
      <c r="AV830" s="712"/>
      <c r="AW830" s="712"/>
      <c r="AX830" s="712"/>
      <c r="AY830" s="712"/>
    </row>
    <row r="831">
      <c r="T831" s="434"/>
      <c r="U831" s="438"/>
      <c r="V831" s="438"/>
      <c r="W831" s="438"/>
      <c r="X831" s="438"/>
      <c r="Y831" s="438"/>
      <c r="Z831" s="438"/>
      <c r="AA831" s="438"/>
      <c r="AB831" s="438"/>
      <c r="AC831" s="438"/>
      <c r="AD831" s="438"/>
      <c r="AE831" s="438"/>
      <c r="AF831" s="438"/>
      <c r="AG831" s="712"/>
      <c r="AH831" s="712"/>
      <c r="AI831" s="712"/>
      <c r="AJ831" s="712"/>
      <c r="AK831" s="712"/>
      <c r="AL831" s="712"/>
      <c r="AM831" s="712"/>
      <c r="AN831" s="712"/>
      <c r="AO831" s="712"/>
      <c r="AP831" s="712"/>
      <c r="AQ831" s="712"/>
      <c r="AR831" s="712"/>
      <c r="AS831" s="712"/>
      <c r="AT831" s="712"/>
      <c r="AU831" s="712"/>
      <c r="AV831" s="712"/>
      <c r="AW831" s="712"/>
      <c r="AX831" s="712"/>
      <c r="AY831" s="712"/>
    </row>
    <row r="832">
      <c r="T832" s="434"/>
      <c r="U832" s="438"/>
      <c r="V832" s="438"/>
      <c r="W832" s="438"/>
      <c r="X832" s="438"/>
      <c r="Y832" s="438"/>
      <c r="Z832" s="438"/>
      <c r="AA832" s="438"/>
      <c r="AB832" s="438"/>
      <c r="AC832" s="438"/>
      <c r="AD832" s="438"/>
      <c r="AE832" s="438"/>
      <c r="AF832" s="438"/>
      <c r="AG832" s="712"/>
      <c r="AH832" s="712"/>
      <c r="AI832" s="712"/>
      <c r="AJ832" s="712"/>
      <c r="AK832" s="712"/>
      <c r="AL832" s="712"/>
      <c r="AM832" s="712"/>
      <c r="AN832" s="712"/>
      <c r="AO832" s="712"/>
      <c r="AP832" s="712"/>
      <c r="AQ832" s="712"/>
      <c r="AR832" s="712"/>
      <c r="AS832" s="712"/>
      <c r="AT832" s="712"/>
      <c r="AU832" s="712"/>
      <c r="AV832" s="712"/>
      <c r="AW832" s="712"/>
      <c r="AX832" s="712"/>
      <c r="AY832" s="712"/>
    </row>
    <row r="833">
      <c r="T833" s="434"/>
      <c r="U833" s="438"/>
      <c r="V833" s="438"/>
      <c r="W833" s="438"/>
      <c r="X833" s="438"/>
      <c r="Y833" s="438"/>
      <c r="Z833" s="438"/>
      <c r="AA833" s="438"/>
      <c r="AB833" s="438"/>
      <c r="AC833" s="438"/>
      <c r="AD833" s="438"/>
      <c r="AE833" s="438"/>
      <c r="AF833" s="438"/>
      <c r="AG833" s="712"/>
      <c r="AH833" s="712"/>
      <c r="AI833" s="712"/>
      <c r="AJ833" s="712"/>
      <c r="AK833" s="712"/>
      <c r="AL833" s="712"/>
      <c r="AM833" s="712"/>
      <c r="AN833" s="712"/>
      <c r="AO833" s="712"/>
      <c r="AP833" s="712"/>
      <c r="AQ833" s="712"/>
      <c r="AR833" s="712"/>
      <c r="AS833" s="712"/>
      <c r="AT833" s="712"/>
      <c r="AU833" s="712"/>
      <c r="AV833" s="712"/>
      <c r="AW833" s="712"/>
      <c r="AX833" s="712"/>
      <c r="AY833" s="712"/>
    </row>
    <row r="834">
      <c r="T834" s="434"/>
      <c r="U834" s="438"/>
      <c r="V834" s="438"/>
      <c r="W834" s="438"/>
      <c r="X834" s="438"/>
      <c r="Y834" s="438"/>
      <c r="Z834" s="438"/>
      <c r="AA834" s="438"/>
      <c r="AB834" s="438"/>
      <c r="AC834" s="438"/>
      <c r="AD834" s="438"/>
      <c r="AE834" s="438"/>
      <c r="AF834" s="438"/>
      <c r="AG834" s="712"/>
      <c r="AH834" s="712"/>
      <c r="AI834" s="712"/>
      <c r="AJ834" s="712"/>
      <c r="AK834" s="712"/>
      <c r="AL834" s="712"/>
      <c r="AM834" s="712"/>
      <c r="AN834" s="712"/>
      <c r="AO834" s="712"/>
      <c r="AP834" s="712"/>
      <c r="AQ834" s="712"/>
      <c r="AR834" s="712"/>
      <c r="AS834" s="712"/>
      <c r="AT834" s="712"/>
      <c r="AU834" s="712"/>
      <c r="AV834" s="712"/>
      <c r="AW834" s="712"/>
      <c r="AX834" s="712"/>
      <c r="AY834" s="712"/>
    </row>
    <row r="835">
      <c r="T835" s="434"/>
      <c r="U835" s="438"/>
      <c r="V835" s="438"/>
      <c r="W835" s="438"/>
      <c r="X835" s="438"/>
      <c r="Y835" s="438"/>
      <c r="Z835" s="438"/>
      <c r="AA835" s="438"/>
      <c r="AB835" s="438"/>
      <c r="AC835" s="438"/>
      <c r="AD835" s="438"/>
      <c r="AE835" s="438"/>
      <c r="AF835" s="438"/>
      <c r="AG835" s="712"/>
      <c r="AH835" s="712"/>
      <c r="AI835" s="712"/>
      <c r="AJ835" s="712"/>
      <c r="AK835" s="712"/>
      <c r="AL835" s="712"/>
      <c r="AM835" s="712"/>
      <c r="AN835" s="712"/>
      <c r="AO835" s="712"/>
      <c r="AP835" s="712"/>
      <c r="AQ835" s="712"/>
      <c r="AR835" s="712"/>
      <c r="AS835" s="712"/>
      <c r="AT835" s="712"/>
      <c r="AU835" s="712"/>
      <c r="AV835" s="712"/>
      <c r="AW835" s="712"/>
      <c r="AX835" s="712"/>
      <c r="AY835" s="712"/>
    </row>
    <row r="836">
      <c r="T836" s="434"/>
      <c r="U836" s="438"/>
      <c r="V836" s="438"/>
      <c r="W836" s="438"/>
      <c r="X836" s="438"/>
      <c r="Y836" s="438"/>
      <c r="Z836" s="438"/>
      <c r="AA836" s="438"/>
      <c r="AB836" s="438"/>
      <c r="AC836" s="438"/>
      <c r="AD836" s="438"/>
      <c r="AE836" s="438"/>
      <c r="AF836" s="438"/>
      <c r="AG836" s="712"/>
      <c r="AH836" s="712"/>
      <c r="AI836" s="712"/>
      <c r="AJ836" s="712"/>
      <c r="AK836" s="712"/>
      <c r="AL836" s="712"/>
      <c r="AM836" s="712"/>
      <c r="AN836" s="712"/>
      <c r="AO836" s="712"/>
      <c r="AP836" s="712"/>
      <c r="AQ836" s="712"/>
      <c r="AR836" s="712"/>
      <c r="AS836" s="712"/>
      <c r="AT836" s="712"/>
      <c r="AU836" s="712"/>
      <c r="AV836" s="712"/>
      <c r="AW836" s="712"/>
      <c r="AX836" s="712"/>
      <c r="AY836" s="712"/>
    </row>
    <row r="837">
      <c r="T837" s="434"/>
      <c r="U837" s="438"/>
      <c r="V837" s="438"/>
      <c r="W837" s="438"/>
      <c r="X837" s="438"/>
      <c r="Y837" s="438"/>
      <c r="Z837" s="438"/>
      <c r="AA837" s="438"/>
      <c r="AB837" s="438"/>
      <c r="AC837" s="438"/>
      <c r="AD837" s="438"/>
      <c r="AE837" s="438"/>
      <c r="AF837" s="438"/>
      <c r="AG837" s="712"/>
      <c r="AH837" s="712"/>
      <c r="AI837" s="712"/>
      <c r="AJ837" s="712"/>
      <c r="AK837" s="712"/>
      <c r="AL837" s="712"/>
      <c r="AM837" s="712"/>
      <c r="AN837" s="712"/>
      <c r="AO837" s="712"/>
      <c r="AP837" s="712"/>
      <c r="AQ837" s="712"/>
      <c r="AR837" s="712"/>
      <c r="AS837" s="712"/>
      <c r="AT837" s="712"/>
      <c r="AU837" s="712"/>
      <c r="AV837" s="712"/>
      <c r="AW837" s="712"/>
      <c r="AX837" s="712"/>
      <c r="AY837" s="712"/>
    </row>
    <row r="838">
      <c r="T838" s="434"/>
      <c r="U838" s="438"/>
      <c r="V838" s="438"/>
      <c r="W838" s="438"/>
      <c r="X838" s="438"/>
      <c r="Y838" s="438"/>
      <c r="Z838" s="438"/>
      <c r="AA838" s="438"/>
      <c r="AB838" s="438"/>
      <c r="AC838" s="438"/>
      <c r="AD838" s="438"/>
      <c r="AE838" s="438"/>
      <c r="AF838" s="438"/>
      <c r="AG838" s="712"/>
      <c r="AH838" s="712"/>
      <c r="AI838" s="712"/>
      <c r="AJ838" s="712"/>
      <c r="AK838" s="712"/>
      <c r="AL838" s="712"/>
      <c r="AM838" s="712"/>
      <c r="AN838" s="712"/>
      <c r="AO838" s="712"/>
      <c r="AP838" s="712"/>
      <c r="AQ838" s="712"/>
      <c r="AR838" s="712"/>
      <c r="AS838" s="712"/>
      <c r="AT838" s="712"/>
      <c r="AU838" s="712"/>
      <c r="AV838" s="712"/>
      <c r="AW838" s="712"/>
      <c r="AX838" s="712"/>
      <c r="AY838" s="712"/>
    </row>
    <row r="839">
      <c r="T839" s="434"/>
      <c r="U839" s="438"/>
      <c r="V839" s="438"/>
      <c r="W839" s="438"/>
      <c r="X839" s="438"/>
      <c r="Y839" s="438"/>
      <c r="Z839" s="438"/>
      <c r="AA839" s="438"/>
      <c r="AB839" s="438"/>
      <c r="AC839" s="438"/>
      <c r="AD839" s="438"/>
      <c r="AE839" s="438"/>
      <c r="AF839" s="438"/>
      <c r="AG839" s="712"/>
      <c r="AH839" s="712"/>
      <c r="AI839" s="712"/>
      <c r="AJ839" s="712"/>
      <c r="AK839" s="712"/>
      <c r="AL839" s="712"/>
      <c r="AM839" s="712"/>
      <c r="AN839" s="712"/>
      <c r="AO839" s="712"/>
      <c r="AP839" s="712"/>
      <c r="AQ839" s="712"/>
      <c r="AR839" s="712"/>
      <c r="AS839" s="712"/>
      <c r="AT839" s="712"/>
      <c r="AU839" s="712"/>
      <c r="AV839" s="712"/>
      <c r="AW839" s="712"/>
      <c r="AX839" s="712"/>
      <c r="AY839" s="712"/>
    </row>
    <row r="840">
      <c r="T840" s="434"/>
      <c r="U840" s="438"/>
      <c r="V840" s="438"/>
      <c r="W840" s="438"/>
      <c r="X840" s="438"/>
      <c r="Y840" s="438"/>
      <c r="Z840" s="438"/>
      <c r="AA840" s="438"/>
      <c r="AB840" s="438"/>
      <c r="AC840" s="438"/>
      <c r="AD840" s="438"/>
      <c r="AE840" s="438"/>
      <c r="AF840" s="438"/>
      <c r="AG840" s="712"/>
      <c r="AH840" s="712"/>
      <c r="AI840" s="712"/>
      <c r="AJ840" s="712"/>
      <c r="AK840" s="712"/>
      <c r="AL840" s="712"/>
      <c r="AM840" s="712"/>
      <c r="AN840" s="712"/>
      <c r="AO840" s="712"/>
      <c r="AP840" s="712"/>
      <c r="AQ840" s="712"/>
      <c r="AR840" s="712"/>
      <c r="AS840" s="712"/>
      <c r="AT840" s="712"/>
      <c r="AU840" s="712"/>
      <c r="AV840" s="712"/>
      <c r="AW840" s="712"/>
      <c r="AX840" s="712"/>
      <c r="AY840" s="712"/>
    </row>
    <row r="841">
      <c r="T841" s="434"/>
      <c r="U841" s="438"/>
      <c r="V841" s="438"/>
      <c r="W841" s="438"/>
      <c r="X841" s="438"/>
      <c r="Y841" s="438"/>
      <c r="Z841" s="438"/>
      <c r="AA841" s="438"/>
      <c r="AB841" s="438"/>
      <c r="AC841" s="438"/>
      <c r="AD841" s="438"/>
      <c r="AE841" s="438"/>
      <c r="AF841" s="438"/>
      <c r="AG841" s="712"/>
      <c r="AH841" s="712"/>
      <c r="AI841" s="712"/>
      <c r="AJ841" s="712"/>
      <c r="AK841" s="712"/>
      <c r="AL841" s="712"/>
      <c r="AM841" s="712"/>
      <c r="AN841" s="712"/>
      <c r="AO841" s="712"/>
      <c r="AP841" s="712"/>
      <c r="AQ841" s="712"/>
      <c r="AR841" s="712"/>
      <c r="AS841" s="712"/>
      <c r="AT841" s="712"/>
      <c r="AU841" s="712"/>
      <c r="AV841" s="712"/>
      <c r="AW841" s="712"/>
      <c r="AX841" s="712"/>
      <c r="AY841" s="712"/>
    </row>
    <row r="842">
      <c r="T842" s="434"/>
      <c r="U842" s="438"/>
      <c r="V842" s="438"/>
      <c r="W842" s="438"/>
      <c r="X842" s="438"/>
      <c r="Y842" s="438"/>
      <c r="Z842" s="438"/>
      <c r="AA842" s="438"/>
      <c r="AB842" s="438"/>
      <c r="AC842" s="438"/>
      <c r="AD842" s="438"/>
      <c r="AE842" s="438"/>
      <c r="AF842" s="438"/>
      <c r="AG842" s="712"/>
      <c r="AH842" s="712"/>
      <c r="AI842" s="712"/>
      <c r="AJ842" s="712"/>
      <c r="AK842" s="712"/>
      <c r="AL842" s="712"/>
      <c r="AM842" s="712"/>
      <c r="AN842" s="712"/>
      <c r="AO842" s="712"/>
      <c r="AP842" s="712"/>
      <c r="AQ842" s="712"/>
      <c r="AR842" s="712"/>
      <c r="AS842" s="712"/>
      <c r="AT842" s="712"/>
      <c r="AU842" s="712"/>
      <c r="AV842" s="712"/>
      <c r="AW842" s="712"/>
      <c r="AX842" s="712"/>
      <c r="AY842" s="712"/>
    </row>
    <row r="843">
      <c r="T843" s="434"/>
      <c r="U843" s="438"/>
      <c r="V843" s="438"/>
      <c r="W843" s="438"/>
      <c r="X843" s="438"/>
      <c r="Y843" s="438"/>
      <c r="Z843" s="438"/>
      <c r="AA843" s="438"/>
      <c r="AB843" s="438"/>
      <c r="AC843" s="438"/>
      <c r="AD843" s="438"/>
      <c r="AE843" s="438"/>
      <c r="AF843" s="438"/>
      <c r="AG843" s="712"/>
      <c r="AH843" s="712"/>
      <c r="AI843" s="712"/>
      <c r="AJ843" s="712"/>
      <c r="AK843" s="712"/>
      <c r="AL843" s="712"/>
      <c r="AM843" s="712"/>
      <c r="AN843" s="712"/>
      <c r="AO843" s="712"/>
      <c r="AP843" s="712"/>
      <c r="AQ843" s="712"/>
      <c r="AR843" s="712"/>
      <c r="AS843" s="712"/>
      <c r="AT843" s="712"/>
      <c r="AU843" s="712"/>
      <c r="AV843" s="712"/>
      <c r="AW843" s="712"/>
      <c r="AX843" s="712"/>
      <c r="AY843" s="712"/>
    </row>
    <row r="844">
      <c r="T844" s="434"/>
      <c r="U844" s="438"/>
      <c r="V844" s="438"/>
      <c r="W844" s="438"/>
      <c r="X844" s="438"/>
      <c r="Y844" s="438"/>
      <c r="Z844" s="438"/>
      <c r="AA844" s="438"/>
      <c r="AB844" s="438"/>
      <c r="AC844" s="438"/>
      <c r="AD844" s="438"/>
      <c r="AE844" s="438"/>
      <c r="AF844" s="438"/>
      <c r="AG844" s="712"/>
      <c r="AH844" s="712"/>
      <c r="AI844" s="712"/>
      <c r="AJ844" s="712"/>
      <c r="AK844" s="712"/>
      <c r="AL844" s="712"/>
      <c r="AM844" s="712"/>
      <c r="AN844" s="712"/>
      <c r="AO844" s="712"/>
      <c r="AP844" s="712"/>
      <c r="AQ844" s="712"/>
      <c r="AR844" s="712"/>
      <c r="AS844" s="712"/>
      <c r="AT844" s="712"/>
      <c r="AU844" s="712"/>
      <c r="AV844" s="712"/>
      <c r="AW844" s="712"/>
      <c r="AX844" s="712"/>
      <c r="AY844" s="712"/>
    </row>
    <row r="845">
      <c r="T845" s="434"/>
      <c r="U845" s="438"/>
      <c r="V845" s="438"/>
      <c r="W845" s="438"/>
      <c r="X845" s="438"/>
      <c r="Y845" s="438"/>
      <c r="Z845" s="438"/>
      <c r="AA845" s="438"/>
      <c r="AB845" s="438"/>
      <c r="AC845" s="438"/>
      <c r="AD845" s="438"/>
      <c r="AE845" s="438"/>
      <c r="AF845" s="438"/>
      <c r="AG845" s="712"/>
      <c r="AH845" s="712"/>
      <c r="AI845" s="712"/>
      <c r="AJ845" s="712"/>
      <c r="AK845" s="712"/>
      <c r="AL845" s="712"/>
      <c r="AM845" s="712"/>
      <c r="AN845" s="712"/>
      <c r="AO845" s="712"/>
      <c r="AP845" s="712"/>
      <c r="AQ845" s="712"/>
      <c r="AR845" s="712"/>
      <c r="AS845" s="712"/>
      <c r="AT845" s="712"/>
      <c r="AU845" s="712"/>
      <c r="AV845" s="712"/>
      <c r="AW845" s="712"/>
      <c r="AX845" s="712"/>
      <c r="AY845" s="712"/>
    </row>
    <row r="846">
      <c r="T846" s="434"/>
      <c r="U846" s="438"/>
      <c r="V846" s="438"/>
      <c r="W846" s="438"/>
      <c r="X846" s="438"/>
      <c r="Y846" s="438"/>
      <c r="Z846" s="438"/>
      <c r="AA846" s="438"/>
      <c r="AB846" s="438"/>
      <c r="AC846" s="438"/>
      <c r="AD846" s="438"/>
      <c r="AE846" s="438"/>
      <c r="AF846" s="438"/>
      <c r="AG846" s="712"/>
      <c r="AH846" s="712"/>
      <c r="AI846" s="712"/>
      <c r="AJ846" s="712"/>
      <c r="AK846" s="712"/>
      <c r="AL846" s="712"/>
      <c r="AM846" s="712"/>
      <c r="AN846" s="712"/>
      <c r="AO846" s="712"/>
      <c r="AP846" s="712"/>
      <c r="AQ846" s="712"/>
      <c r="AR846" s="712"/>
      <c r="AS846" s="712"/>
      <c r="AT846" s="712"/>
      <c r="AU846" s="712"/>
      <c r="AV846" s="712"/>
      <c r="AW846" s="712"/>
      <c r="AX846" s="712"/>
      <c r="AY846" s="712"/>
    </row>
    <row r="847">
      <c r="T847" s="434"/>
      <c r="U847" s="438"/>
      <c r="V847" s="438"/>
      <c r="W847" s="438"/>
      <c r="X847" s="438"/>
      <c r="Y847" s="438"/>
      <c r="Z847" s="438"/>
      <c r="AA847" s="438"/>
      <c r="AB847" s="438"/>
      <c r="AC847" s="438"/>
      <c r="AD847" s="438"/>
      <c r="AE847" s="438"/>
      <c r="AF847" s="438"/>
      <c r="AG847" s="712"/>
      <c r="AH847" s="712"/>
      <c r="AI847" s="712"/>
      <c r="AJ847" s="712"/>
      <c r="AK847" s="712"/>
      <c r="AL847" s="712"/>
      <c r="AM847" s="712"/>
      <c r="AN847" s="712"/>
      <c r="AO847" s="712"/>
      <c r="AP847" s="712"/>
      <c r="AQ847" s="712"/>
      <c r="AR847" s="712"/>
      <c r="AS847" s="712"/>
      <c r="AT847" s="712"/>
      <c r="AU847" s="712"/>
      <c r="AV847" s="712"/>
      <c r="AW847" s="712"/>
      <c r="AX847" s="712"/>
      <c r="AY847" s="712"/>
    </row>
    <row r="848">
      <c r="T848" s="434"/>
      <c r="U848" s="438"/>
      <c r="V848" s="438"/>
      <c r="W848" s="438"/>
      <c r="X848" s="438"/>
      <c r="Y848" s="438"/>
      <c r="Z848" s="438"/>
      <c r="AA848" s="438"/>
      <c r="AB848" s="438"/>
      <c r="AC848" s="438"/>
      <c r="AD848" s="438"/>
      <c r="AE848" s="438"/>
      <c r="AF848" s="438"/>
      <c r="AG848" s="712"/>
      <c r="AH848" s="712"/>
      <c r="AI848" s="712"/>
      <c r="AJ848" s="712"/>
      <c r="AK848" s="712"/>
      <c r="AL848" s="712"/>
      <c r="AM848" s="712"/>
      <c r="AN848" s="712"/>
      <c r="AO848" s="712"/>
      <c r="AP848" s="712"/>
      <c r="AQ848" s="712"/>
      <c r="AR848" s="712"/>
      <c r="AS848" s="712"/>
      <c r="AT848" s="712"/>
      <c r="AU848" s="712"/>
      <c r="AV848" s="712"/>
      <c r="AW848" s="712"/>
      <c r="AX848" s="712"/>
      <c r="AY848" s="712"/>
    </row>
    <row r="849">
      <c r="T849" s="434"/>
      <c r="U849" s="438"/>
      <c r="V849" s="438"/>
      <c r="W849" s="438"/>
      <c r="X849" s="438"/>
      <c r="Y849" s="438"/>
      <c r="Z849" s="438"/>
      <c r="AA849" s="438"/>
      <c r="AB849" s="438"/>
      <c r="AC849" s="438"/>
      <c r="AD849" s="438"/>
      <c r="AE849" s="438"/>
      <c r="AF849" s="438"/>
      <c r="AG849" s="712"/>
      <c r="AH849" s="712"/>
      <c r="AI849" s="712"/>
      <c r="AJ849" s="712"/>
      <c r="AK849" s="712"/>
      <c r="AL849" s="712"/>
      <c r="AM849" s="712"/>
      <c r="AN849" s="712"/>
      <c r="AO849" s="712"/>
      <c r="AP849" s="712"/>
      <c r="AQ849" s="712"/>
      <c r="AR849" s="712"/>
      <c r="AS849" s="712"/>
      <c r="AT849" s="712"/>
      <c r="AU849" s="712"/>
      <c r="AV849" s="712"/>
      <c r="AW849" s="712"/>
      <c r="AX849" s="712"/>
      <c r="AY849" s="712"/>
    </row>
    <row r="850">
      <c r="T850" s="434"/>
      <c r="U850" s="438"/>
      <c r="V850" s="438"/>
      <c r="W850" s="438"/>
      <c r="X850" s="438"/>
      <c r="Y850" s="438"/>
      <c r="Z850" s="438"/>
      <c r="AA850" s="438"/>
      <c r="AB850" s="438"/>
      <c r="AC850" s="438"/>
      <c r="AD850" s="438"/>
      <c r="AE850" s="438"/>
      <c r="AF850" s="438"/>
      <c r="AG850" s="712"/>
      <c r="AH850" s="712"/>
      <c r="AI850" s="712"/>
      <c r="AJ850" s="712"/>
      <c r="AK850" s="712"/>
      <c r="AL850" s="712"/>
      <c r="AM850" s="712"/>
      <c r="AN850" s="712"/>
      <c r="AO850" s="712"/>
      <c r="AP850" s="712"/>
      <c r="AQ850" s="712"/>
      <c r="AR850" s="712"/>
      <c r="AS850" s="712"/>
      <c r="AT850" s="712"/>
      <c r="AU850" s="712"/>
      <c r="AV850" s="712"/>
      <c r="AW850" s="712"/>
      <c r="AX850" s="712"/>
      <c r="AY850" s="712"/>
    </row>
    <row r="851">
      <c r="T851" s="434"/>
      <c r="U851" s="438"/>
      <c r="V851" s="438"/>
      <c r="W851" s="438"/>
      <c r="X851" s="438"/>
      <c r="Y851" s="438"/>
      <c r="Z851" s="438"/>
      <c r="AA851" s="438"/>
      <c r="AB851" s="438"/>
      <c r="AC851" s="438"/>
      <c r="AD851" s="438"/>
      <c r="AE851" s="438"/>
      <c r="AF851" s="438"/>
      <c r="AG851" s="712"/>
      <c r="AH851" s="712"/>
      <c r="AI851" s="712"/>
      <c r="AJ851" s="712"/>
      <c r="AK851" s="712"/>
      <c r="AL851" s="712"/>
      <c r="AM851" s="712"/>
      <c r="AN851" s="712"/>
      <c r="AO851" s="712"/>
      <c r="AP851" s="712"/>
      <c r="AQ851" s="712"/>
      <c r="AR851" s="712"/>
      <c r="AS851" s="712"/>
      <c r="AT851" s="712"/>
      <c r="AU851" s="712"/>
      <c r="AV851" s="712"/>
      <c r="AW851" s="712"/>
      <c r="AX851" s="712"/>
      <c r="AY851" s="712"/>
    </row>
    <row r="852">
      <c r="T852" s="434"/>
      <c r="U852" s="438"/>
      <c r="V852" s="438"/>
      <c r="W852" s="438"/>
      <c r="X852" s="438"/>
      <c r="Y852" s="438"/>
      <c r="Z852" s="438"/>
      <c r="AA852" s="438"/>
      <c r="AB852" s="438"/>
      <c r="AC852" s="438"/>
      <c r="AD852" s="438"/>
      <c r="AE852" s="438"/>
      <c r="AF852" s="438"/>
      <c r="AG852" s="712"/>
      <c r="AH852" s="712"/>
      <c r="AI852" s="712"/>
      <c r="AJ852" s="712"/>
      <c r="AK852" s="712"/>
      <c r="AL852" s="712"/>
      <c r="AM852" s="712"/>
      <c r="AN852" s="712"/>
      <c r="AO852" s="712"/>
      <c r="AP852" s="712"/>
      <c r="AQ852" s="712"/>
      <c r="AR852" s="712"/>
      <c r="AS852" s="712"/>
      <c r="AT852" s="712"/>
      <c r="AU852" s="712"/>
      <c r="AV852" s="712"/>
      <c r="AW852" s="712"/>
      <c r="AX852" s="712"/>
      <c r="AY852" s="712"/>
    </row>
    <row r="853">
      <c r="T853" s="434"/>
      <c r="U853" s="438"/>
      <c r="V853" s="438"/>
      <c r="W853" s="438"/>
      <c r="X853" s="438"/>
      <c r="Y853" s="438"/>
      <c r="Z853" s="438"/>
      <c r="AA853" s="438"/>
      <c r="AB853" s="438"/>
      <c r="AC853" s="438"/>
      <c r="AD853" s="438"/>
      <c r="AE853" s="438"/>
      <c r="AF853" s="438"/>
      <c r="AG853" s="712"/>
      <c r="AH853" s="712"/>
      <c r="AI853" s="712"/>
      <c r="AJ853" s="712"/>
      <c r="AK853" s="712"/>
      <c r="AL853" s="712"/>
      <c r="AM853" s="712"/>
      <c r="AN853" s="712"/>
      <c r="AO853" s="712"/>
      <c r="AP853" s="712"/>
      <c r="AQ853" s="712"/>
      <c r="AR853" s="712"/>
      <c r="AS853" s="712"/>
      <c r="AT853" s="712"/>
      <c r="AU853" s="712"/>
      <c r="AV853" s="712"/>
      <c r="AW853" s="712"/>
      <c r="AX853" s="712"/>
      <c r="AY853" s="712"/>
    </row>
    <row r="854">
      <c r="T854" s="434"/>
      <c r="U854" s="438"/>
      <c r="V854" s="438"/>
      <c r="W854" s="438"/>
      <c r="X854" s="438"/>
      <c r="Y854" s="438"/>
      <c r="Z854" s="438"/>
      <c r="AA854" s="438"/>
      <c r="AB854" s="438"/>
      <c r="AC854" s="438"/>
      <c r="AD854" s="438"/>
      <c r="AE854" s="438"/>
      <c r="AF854" s="438"/>
      <c r="AG854" s="712"/>
      <c r="AH854" s="712"/>
      <c r="AI854" s="712"/>
      <c r="AJ854" s="712"/>
      <c r="AK854" s="712"/>
      <c r="AL854" s="712"/>
      <c r="AM854" s="712"/>
      <c r="AN854" s="712"/>
      <c r="AO854" s="712"/>
      <c r="AP854" s="712"/>
      <c r="AQ854" s="712"/>
      <c r="AR854" s="712"/>
      <c r="AS854" s="712"/>
      <c r="AT854" s="712"/>
      <c r="AU854" s="712"/>
      <c r="AV854" s="712"/>
      <c r="AW854" s="712"/>
      <c r="AX854" s="712"/>
      <c r="AY854" s="712"/>
    </row>
    <row r="855">
      <c r="T855" s="434"/>
      <c r="U855" s="438"/>
      <c r="V855" s="438"/>
      <c r="W855" s="438"/>
      <c r="X855" s="438"/>
      <c r="Y855" s="438"/>
      <c r="Z855" s="438"/>
      <c r="AA855" s="438"/>
      <c r="AB855" s="438"/>
      <c r="AC855" s="438"/>
      <c r="AD855" s="438"/>
      <c r="AE855" s="438"/>
      <c r="AF855" s="438"/>
      <c r="AG855" s="712"/>
      <c r="AH855" s="712"/>
      <c r="AI855" s="712"/>
      <c r="AJ855" s="712"/>
      <c r="AK855" s="712"/>
      <c r="AL855" s="712"/>
      <c r="AM855" s="712"/>
      <c r="AN855" s="712"/>
      <c r="AO855" s="712"/>
      <c r="AP855" s="712"/>
      <c r="AQ855" s="712"/>
      <c r="AR855" s="712"/>
      <c r="AS855" s="712"/>
      <c r="AT855" s="712"/>
      <c r="AU855" s="712"/>
      <c r="AV855" s="712"/>
      <c r="AW855" s="712"/>
      <c r="AX855" s="712"/>
      <c r="AY855" s="712"/>
    </row>
    <row r="856">
      <c r="T856" s="434"/>
      <c r="U856" s="438"/>
      <c r="V856" s="438"/>
      <c r="W856" s="438"/>
      <c r="X856" s="438"/>
      <c r="Y856" s="438"/>
      <c r="Z856" s="438"/>
      <c r="AA856" s="438"/>
      <c r="AB856" s="438"/>
      <c r="AC856" s="438"/>
      <c r="AD856" s="438"/>
      <c r="AE856" s="438"/>
      <c r="AF856" s="438"/>
      <c r="AG856" s="712"/>
      <c r="AH856" s="712"/>
      <c r="AI856" s="712"/>
      <c r="AJ856" s="712"/>
      <c r="AK856" s="712"/>
      <c r="AL856" s="712"/>
      <c r="AM856" s="712"/>
      <c r="AN856" s="712"/>
      <c r="AO856" s="712"/>
      <c r="AP856" s="712"/>
      <c r="AQ856" s="712"/>
      <c r="AR856" s="712"/>
      <c r="AS856" s="712"/>
      <c r="AT856" s="712"/>
      <c r="AU856" s="712"/>
      <c r="AV856" s="712"/>
      <c r="AW856" s="712"/>
      <c r="AX856" s="712"/>
      <c r="AY856" s="712"/>
    </row>
    <row r="857">
      <c r="T857" s="434"/>
      <c r="U857" s="438"/>
      <c r="V857" s="438"/>
      <c r="W857" s="438"/>
      <c r="X857" s="438"/>
      <c r="Y857" s="438"/>
      <c r="Z857" s="438"/>
      <c r="AA857" s="438"/>
      <c r="AB857" s="438"/>
      <c r="AC857" s="438"/>
      <c r="AD857" s="438"/>
      <c r="AE857" s="438"/>
      <c r="AF857" s="438"/>
      <c r="AG857" s="712"/>
      <c r="AH857" s="712"/>
      <c r="AI857" s="712"/>
      <c r="AJ857" s="712"/>
      <c r="AK857" s="712"/>
      <c r="AL857" s="712"/>
      <c r="AM857" s="712"/>
      <c r="AN857" s="712"/>
      <c r="AO857" s="712"/>
      <c r="AP857" s="712"/>
      <c r="AQ857" s="712"/>
      <c r="AR857" s="712"/>
      <c r="AS857" s="712"/>
      <c r="AT857" s="712"/>
      <c r="AU857" s="712"/>
      <c r="AV857" s="712"/>
      <c r="AW857" s="712"/>
      <c r="AX857" s="712"/>
      <c r="AY857" s="712"/>
    </row>
    <row r="858">
      <c r="T858" s="434"/>
      <c r="U858" s="438"/>
      <c r="V858" s="438"/>
      <c r="W858" s="438"/>
      <c r="X858" s="438"/>
      <c r="Y858" s="438"/>
      <c r="Z858" s="438"/>
      <c r="AA858" s="438"/>
      <c r="AB858" s="438"/>
      <c r="AC858" s="438"/>
      <c r="AD858" s="438"/>
      <c r="AE858" s="438"/>
      <c r="AF858" s="438"/>
      <c r="AG858" s="712"/>
      <c r="AH858" s="712"/>
      <c r="AI858" s="712"/>
      <c r="AJ858" s="712"/>
      <c r="AK858" s="712"/>
      <c r="AL858" s="712"/>
      <c r="AM858" s="712"/>
      <c r="AN858" s="712"/>
      <c r="AO858" s="712"/>
      <c r="AP858" s="712"/>
      <c r="AQ858" s="712"/>
      <c r="AR858" s="712"/>
      <c r="AS858" s="712"/>
      <c r="AT858" s="712"/>
      <c r="AU858" s="712"/>
      <c r="AV858" s="712"/>
      <c r="AW858" s="712"/>
      <c r="AX858" s="712"/>
      <c r="AY858" s="712"/>
    </row>
    <row r="859">
      <c r="T859" s="434"/>
      <c r="U859" s="438"/>
      <c r="V859" s="438"/>
      <c r="W859" s="438"/>
      <c r="X859" s="438"/>
      <c r="Y859" s="438"/>
      <c r="Z859" s="438"/>
      <c r="AA859" s="438"/>
      <c r="AB859" s="438"/>
      <c r="AC859" s="438"/>
      <c r="AD859" s="438"/>
      <c r="AE859" s="438"/>
      <c r="AF859" s="438"/>
      <c r="AG859" s="712"/>
      <c r="AH859" s="712"/>
      <c r="AI859" s="712"/>
      <c r="AJ859" s="712"/>
      <c r="AK859" s="712"/>
      <c r="AL859" s="712"/>
      <c r="AM859" s="712"/>
      <c r="AN859" s="712"/>
      <c r="AO859" s="712"/>
      <c r="AP859" s="712"/>
      <c r="AQ859" s="712"/>
      <c r="AR859" s="712"/>
      <c r="AS859" s="712"/>
      <c r="AT859" s="712"/>
      <c r="AU859" s="712"/>
      <c r="AV859" s="712"/>
      <c r="AW859" s="712"/>
      <c r="AX859" s="712"/>
      <c r="AY859" s="712"/>
    </row>
    <row r="860">
      <c r="T860" s="434"/>
      <c r="U860" s="438"/>
      <c r="V860" s="438"/>
      <c r="W860" s="438"/>
      <c r="X860" s="438"/>
      <c r="Y860" s="438"/>
      <c r="Z860" s="438"/>
      <c r="AA860" s="438"/>
      <c r="AB860" s="438"/>
      <c r="AC860" s="438"/>
      <c r="AD860" s="438"/>
      <c r="AE860" s="438"/>
      <c r="AF860" s="438"/>
      <c r="AG860" s="712"/>
      <c r="AH860" s="712"/>
      <c r="AI860" s="712"/>
      <c r="AJ860" s="712"/>
      <c r="AK860" s="712"/>
      <c r="AL860" s="712"/>
      <c r="AM860" s="712"/>
      <c r="AN860" s="712"/>
      <c r="AO860" s="712"/>
      <c r="AP860" s="712"/>
      <c r="AQ860" s="712"/>
      <c r="AR860" s="712"/>
      <c r="AS860" s="712"/>
      <c r="AT860" s="712"/>
      <c r="AU860" s="712"/>
      <c r="AV860" s="712"/>
      <c r="AW860" s="712"/>
      <c r="AX860" s="712"/>
      <c r="AY860" s="712"/>
    </row>
    <row r="861">
      <c r="T861" s="434"/>
      <c r="U861" s="438"/>
      <c r="V861" s="438"/>
      <c r="W861" s="438"/>
      <c r="X861" s="438"/>
      <c r="Y861" s="438"/>
      <c r="Z861" s="438"/>
      <c r="AA861" s="438"/>
      <c r="AB861" s="438"/>
      <c r="AC861" s="438"/>
      <c r="AD861" s="438"/>
      <c r="AE861" s="438"/>
      <c r="AF861" s="438"/>
      <c r="AG861" s="712"/>
      <c r="AH861" s="712"/>
      <c r="AI861" s="712"/>
      <c r="AJ861" s="712"/>
      <c r="AK861" s="712"/>
      <c r="AL861" s="712"/>
      <c r="AM861" s="712"/>
      <c r="AN861" s="712"/>
      <c r="AO861" s="712"/>
      <c r="AP861" s="712"/>
      <c r="AQ861" s="712"/>
      <c r="AR861" s="712"/>
      <c r="AS861" s="712"/>
      <c r="AT861" s="712"/>
      <c r="AU861" s="712"/>
      <c r="AV861" s="712"/>
      <c r="AW861" s="712"/>
      <c r="AX861" s="712"/>
      <c r="AY861" s="712"/>
    </row>
    <row r="862">
      <c r="T862" s="434"/>
      <c r="U862" s="438"/>
      <c r="V862" s="438"/>
      <c r="W862" s="438"/>
      <c r="X862" s="438"/>
      <c r="Y862" s="438"/>
      <c r="Z862" s="438"/>
      <c r="AA862" s="438"/>
      <c r="AB862" s="438"/>
      <c r="AC862" s="438"/>
      <c r="AD862" s="438"/>
      <c r="AE862" s="438"/>
      <c r="AF862" s="438"/>
      <c r="AG862" s="712"/>
      <c r="AH862" s="712"/>
      <c r="AI862" s="712"/>
      <c r="AJ862" s="712"/>
      <c r="AK862" s="712"/>
      <c r="AL862" s="712"/>
      <c r="AM862" s="712"/>
      <c r="AN862" s="712"/>
      <c r="AO862" s="712"/>
      <c r="AP862" s="712"/>
      <c r="AQ862" s="712"/>
      <c r="AR862" s="712"/>
      <c r="AS862" s="712"/>
      <c r="AT862" s="712"/>
      <c r="AU862" s="712"/>
      <c r="AV862" s="712"/>
      <c r="AW862" s="712"/>
      <c r="AX862" s="712"/>
      <c r="AY862" s="712"/>
    </row>
    <row r="863">
      <c r="T863" s="434"/>
      <c r="U863" s="438"/>
      <c r="V863" s="438"/>
      <c r="W863" s="438"/>
      <c r="X863" s="438"/>
      <c r="Y863" s="438"/>
      <c r="Z863" s="438"/>
      <c r="AA863" s="438"/>
      <c r="AB863" s="438"/>
      <c r="AC863" s="438"/>
      <c r="AD863" s="438"/>
      <c r="AE863" s="438"/>
      <c r="AF863" s="438"/>
      <c r="AG863" s="712"/>
      <c r="AH863" s="712"/>
      <c r="AI863" s="712"/>
      <c r="AJ863" s="712"/>
      <c r="AK863" s="712"/>
      <c r="AL863" s="712"/>
      <c r="AM863" s="712"/>
      <c r="AN863" s="712"/>
      <c r="AO863" s="712"/>
      <c r="AP863" s="712"/>
      <c r="AQ863" s="712"/>
      <c r="AR863" s="712"/>
      <c r="AS863" s="712"/>
      <c r="AT863" s="712"/>
      <c r="AU863" s="712"/>
      <c r="AV863" s="712"/>
      <c r="AW863" s="712"/>
      <c r="AX863" s="712"/>
      <c r="AY863" s="712"/>
    </row>
    <row r="864">
      <c r="T864" s="434"/>
      <c r="U864" s="438"/>
      <c r="V864" s="438"/>
      <c r="W864" s="438"/>
      <c r="X864" s="438"/>
      <c r="Y864" s="438"/>
      <c r="Z864" s="438"/>
      <c r="AA864" s="438"/>
      <c r="AB864" s="438"/>
      <c r="AC864" s="438"/>
      <c r="AD864" s="438"/>
      <c r="AE864" s="438"/>
      <c r="AF864" s="438"/>
      <c r="AG864" s="712"/>
      <c r="AH864" s="712"/>
      <c r="AI864" s="712"/>
      <c r="AJ864" s="712"/>
      <c r="AK864" s="712"/>
      <c r="AL864" s="712"/>
      <c r="AM864" s="712"/>
      <c r="AN864" s="712"/>
      <c r="AO864" s="712"/>
      <c r="AP864" s="712"/>
      <c r="AQ864" s="712"/>
      <c r="AR864" s="712"/>
      <c r="AS864" s="712"/>
      <c r="AT864" s="712"/>
      <c r="AU864" s="712"/>
      <c r="AV864" s="712"/>
      <c r="AW864" s="712"/>
      <c r="AX864" s="712"/>
      <c r="AY864" s="712"/>
    </row>
    <row r="865">
      <c r="T865" s="434"/>
      <c r="U865" s="438"/>
      <c r="V865" s="438"/>
      <c r="W865" s="438"/>
      <c r="X865" s="438"/>
      <c r="Y865" s="438"/>
      <c r="Z865" s="438"/>
      <c r="AA865" s="438"/>
      <c r="AB865" s="438"/>
      <c r="AC865" s="438"/>
      <c r="AD865" s="438"/>
      <c r="AE865" s="438"/>
      <c r="AF865" s="438"/>
      <c r="AG865" s="712"/>
      <c r="AH865" s="712"/>
      <c r="AI865" s="712"/>
      <c r="AJ865" s="712"/>
      <c r="AK865" s="712"/>
      <c r="AL865" s="712"/>
      <c r="AM865" s="712"/>
      <c r="AN865" s="712"/>
      <c r="AO865" s="712"/>
      <c r="AP865" s="712"/>
      <c r="AQ865" s="712"/>
      <c r="AR865" s="712"/>
      <c r="AS865" s="712"/>
      <c r="AT865" s="712"/>
      <c r="AU865" s="712"/>
      <c r="AV865" s="712"/>
      <c r="AW865" s="712"/>
      <c r="AX865" s="712"/>
      <c r="AY865" s="712"/>
    </row>
    <row r="866">
      <c r="T866" s="434"/>
      <c r="U866" s="438"/>
      <c r="V866" s="438"/>
      <c r="W866" s="438"/>
      <c r="X866" s="438"/>
      <c r="Y866" s="438"/>
      <c r="Z866" s="438"/>
      <c r="AA866" s="438"/>
      <c r="AB866" s="438"/>
      <c r="AC866" s="438"/>
      <c r="AD866" s="438"/>
      <c r="AE866" s="438"/>
      <c r="AF866" s="438"/>
      <c r="AG866" s="712"/>
      <c r="AH866" s="712"/>
      <c r="AI866" s="712"/>
      <c r="AJ866" s="712"/>
      <c r="AK866" s="712"/>
      <c r="AL866" s="712"/>
      <c r="AM866" s="712"/>
      <c r="AN866" s="712"/>
      <c r="AO866" s="712"/>
      <c r="AP866" s="712"/>
      <c r="AQ866" s="712"/>
      <c r="AR866" s="712"/>
      <c r="AS866" s="712"/>
      <c r="AT866" s="712"/>
      <c r="AU866" s="712"/>
      <c r="AV866" s="712"/>
      <c r="AW866" s="712"/>
      <c r="AX866" s="712"/>
      <c r="AY866" s="712"/>
    </row>
    <row r="867">
      <c r="T867" s="434"/>
      <c r="U867" s="438"/>
      <c r="V867" s="438"/>
      <c r="W867" s="438"/>
      <c r="X867" s="438"/>
      <c r="Y867" s="438"/>
      <c r="Z867" s="438"/>
      <c r="AA867" s="438"/>
      <c r="AB867" s="438"/>
      <c r="AC867" s="438"/>
      <c r="AD867" s="438"/>
      <c r="AE867" s="438"/>
      <c r="AF867" s="438"/>
      <c r="AG867" s="712"/>
      <c r="AH867" s="712"/>
      <c r="AI867" s="712"/>
      <c r="AJ867" s="712"/>
      <c r="AK867" s="712"/>
      <c r="AL867" s="712"/>
      <c r="AM867" s="712"/>
      <c r="AN867" s="712"/>
      <c r="AO867" s="712"/>
      <c r="AP867" s="712"/>
      <c r="AQ867" s="712"/>
      <c r="AR867" s="712"/>
      <c r="AS867" s="712"/>
      <c r="AT867" s="712"/>
      <c r="AU867" s="712"/>
      <c r="AV867" s="712"/>
      <c r="AW867" s="712"/>
      <c r="AX867" s="712"/>
      <c r="AY867" s="712"/>
    </row>
    <row r="868">
      <c r="T868" s="434"/>
      <c r="U868" s="438"/>
      <c r="V868" s="438"/>
      <c r="W868" s="438"/>
      <c r="X868" s="438"/>
      <c r="Y868" s="438"/>
      <c r="Z868" s="438"/>
      <c r="AA868" s="438"/>
      <c r="AB868" s="438"/>
      <c r="AC868" s="438"/>
      <c r="AD868" s="438"/>
      <c r="AE868" s="438"/>
      <c r="AF868" s="438"/>
      <c r="AG868" s="712"/>
      <c r="AH868" s="712"/>
      <c r="AI868" s="712"/>
      <c r="AJ868" s="712"/>
      <c r="AK868" s="712"/>
      <c r="AL868" s="712"/>
      <c r="AM868" s="712"/>
      <c r="AN868" s="712"/>
      <c r="AO868" s="712"/>
      <c r="AP868" s="712"/>
      <c r="AQ868" s="712"/>
      <c r="AR868" s="712"/>
      <c r="AS868" s="712"/>
      <c r="AT868" s="712"/>
      <c r="AU868" s="712"/>
      <c r="AV868" s="712"/>
      <c r="AW868" s="712"/>
      <c r="AX868" s="712"/>
      <c r="AY868" s="712"/>
    </row>
    <row r="869">
      <c r="T869" s="434"/>
      <c r="U869" s="438"/>
      <c r="V869" s="438"/>
      <c r="W869" s="438"/>
      <c r="X869" s="438"/>
      <c r="Y869" s="438"/>
      <c r="Z869" s="438"/>
      <c r="AA869" s="438"/>
      <c r="AB869" s="438"/>
      <c r="AC869" s="438"/>
      <c r="AD869" s="438"/>
      <c r="AE869" s="438"/>
      <c r="AF869" s="438"/>
      <c r="AG869" s="712"/>
      <c r="AH869" s="712"/>
      <c r="AI869" s="712"/>
      <c r="AJ869" s="712"/>
      <c r="AK869" s="712"/>
      <c r="AL869" s="712"/>
      <c r="AM869" s="712"/>
      <c r="AN869" s="712"/>
      <c r="AO869" s="712"/>
      <c r="AP869" s="712"/>
      <c r="AQ869" s="712"/>
      <c r="AR869" s="712"/>
      <c r="AS869" s="712"/>
      <c r="AT869" s="712"/>
      <c r="AU869" s="712"/>
      <c r="AV869" s="712"/>
      <c r="AW869" s="712"/>
      <c r="AX869" s="712"/>
      <c r="AY869" s="712"/>
    </row>
    <row r="870">
      <c r="T870" s="434"/>
      <c r="U870" s="438"/>
      <c r="V870" s="438"/>
      <c r="W870" s="438"/>
      <c r="X870" s="438"/>
      <c r="Y870" s="438"/>
      <c r="Z870" s="438"/>
      <c r="AA870" s="438"/>
      <c r="AB870" s="438"/>
      <c r="AC870" s="438"/>
      <c r="AD870" s="438"/>
      <c r="AE870" s="438"/>
      <c r="AF870" s="438"/>
      <c r="AG870" s="712"/>
      <c r="AH870" s="712"/>
      <c r="AI870" s="712"/>
      <c r="AJ870" s="712"/>
      <c r="AK870" s="712"/>
      <c r="AL870" s="712"/>
      <c r="AM870" s="712"/>
      <c r="AN870" s="712"/>
      <c r="AO870" s="712"/>
      <c r="AP870" s="712"/>
      <c r="AQ870" s="712"/>
      <c r="AR870" s="712"/>
      <c r="AS870" s="712"/>
      <c r="AT870" s="712"/>
      <c r="AU870" s="712"/>
      <c r="AV870" s="712"/>
      <c r="AW870" s="712"/>
      <c r="AX870" s="712"/>
      <c r="AY870" s="712"/>
    </row>
    <row r="871">
      <c r="T871" s="434"/>
      <c r="U871" s="438"/>
      <c r="V871" s="438"/>
      <c r="W871" s="438"/>
      <c r="X871" s="438"/>
      <c r="Y871" s="438"/>
      <c r="Z871" s="438"/>
      <c r="AA871" s="438"/>
      <c r="AB871" s="438"/>
      <c r="AC871" s="438"/>
      <c r="AD871" s="438"/>
      <c r="AE871" s="438"/>
      <c r="AF871" s="438"/>
      <c r="AG871" s="712"/>
      <c r="AH871" s="712"/>
      <c r="AI871" s="712"/>
      <c r="AJ871" s="712"/>
      <c r="AK871" s="712"/>
      <c r="AL871" s="712"/>
      <c r="AM871" s="712"/>
      <c r="AN871" s="712"/>
      <c r="AO871" s="712"/>
      <c r="AP871" s="712"/>
      <c r="AQ871" s="712"/>
      <c r="AR871" s="712"/>
      <c r="AS871" s="712"/>
      <c r="AT871" s="712"/>
      <c r="AU871" s="712"/>
      <c r="AV871" s="712"/>
      <c r="AW871" s="712"/>
      <c r="AX871" s="712"/>
      <c r="AY871" s="712"/>
    </row>
    <row r="872">
      <c r="T872" s="434"/>
      <c r="U872" s="438"/>
      <c r="V872" s="438"/>
      <c r="W872" s="438"/>
      <c r="X872" s="438"/>
      <c r="Y872" s="438"/>
      <c r="Z872" s="438"/>
      <c r="AA872" s="438"/>
      <c r="AB872" s="438"/>
      <c r="AC872" s="438"/>
      <c r="AD872" s="438"/>
      <c r="AE872" s="438"/>
      <c r="AF872" s="438"/>
      <c r="AG872" s="712"/>
      <c r="AH872" s="712"/>
      <c r="AI872" s="712"/>
      <c r="AJ872" s="712"/>
      <c r="AK872" s="712"/>
      <c r="AL872" s="712"/>
      <c r="AM872" s="712"/>
      <c r="AN872" s="712"/>
      <c r="AO872" s="712"/>
      <c r="AP872" s="712"/>
      <c r="AQ872" s="712"/>
      <c r="AR872" s="712"/>
      <c r="AS872" s="712"/>
      <c r="AT872" s="712"/>
      <c r="AU872" s="712"/>
      <c r="AV872" s="712"/>
      <c r="AW872" s="712"/>
      <c r="AX872" s="712"/>
      <c r="AY872" s="712"/>
    </row>
    <row r="873">
      <c r="T873" s="434"/>
      <c r="U873" s="438"/>
      <c r="V873" s="438"/>
      <c r="W873" s="438"/>
      <c r="X873" s="438"/>
      <c r="Y873" s="438"/>
      <c r="Z873" s="438"/>
      <c r="AA873" s="438"/>
      <c r="AB873" s="438"/>
      <c r="AC873" s="438"/>
      <c r="AD873" s="438"/>
      <c r="AE873" s="438"/>
      <c r="AF873" s="438"/>
      <c r="AG873" s="712"/>
      <c r="AH873" s="712"/>
      <c r="AI873" s="712"/>
      <c r="AJ873" s="712"/>
      <c r="AK873" s="712"/>
      <c r="AL873" s="712"/>
      <c r="AM873" s="712"/>
      <c r="AN873" s="712"/>
      <c r="AO873" s="712"/>
      <c r="AP873" s="712"/>
      <c r="AQ873" s="712"/>
      <c r="AR873" s="712"/>
      <c r="AS873" s="712"/>
      <c r="AT873" s="712"/>
      <c r="AU873" s="712"/>
      <c r="AV873" s="712"/>
      <c r="AW873" s="712"/>
      <c r="AX873" s="712"/>
      <c r="AY873" s="712"/>
    </row>
    <row r="874">
      <c r="T874" s="434"/>
      <c r="U874" s="438"/>
      <c r="V874" s="438"/>
      <c r="W874" s="438"/>
      <c r="X874" s="438"/>
      <c r="Y874" s="438"/>
      <c r="Z874" s="438"/>
      <c r="AA874" s="438"/>
      <c r="AB874" s="438"/>
      <c r="AC874" s="438"/>
      <c r="AD874" s="438"/>
      <c r="AE874" s="438"/>
      <c r="AF874" s="438"/>
      <c r="AG874" s="712"/>
      <c r="AH874" s="712"/>
      <c r="AI874" s="712"/>
      <c r="AJ874" s="712"/>
      <c r="AK874" s="712"/>
      <c r="AL874" s="712"/>
      <c r="AM874" s="712"/>
      <c r="AN874" s="712"/>
      <c r="AO874" s="712"/>
      <c r="AP874" s="712"/>
      <c r="AQ874" s="712"/>
      <c r="AR874" s="712"/>
      <c r="AS874" s="712"/>
      <c r="AT874" s="712"/>
      <c r="AU874" s="712"/>
      <c r="AV874" s="712"/>
      <c r="AW874" s="712"/>
      <c r="AX874" s="712"/>
      <c r="AY874" s="712"/>
    </row>
    <row r="875">
      <c r="T875" s="434"/>
      <c r="U875" s="438"/>
      <c r="V875" s="438"/>
      <c r="W875" s="438"/>
      <c r="X875" s="438"/>
      <c r="Y875" s="438"/>
      <c r="Z875" s="438"/>
      <c r="AA875" s="438"/>
      <c r="AB875" s="438"/>
      <c r="AC875" s="438"/>
      <c r="AD875" s="438"/>
      <c r="AE875" s="438"/>
      <c r="AF875" s="438"/>
      <c r="AG875" s="712"/>
      <c r="AH875" s="712"/>
      <c r="AI875" s="712"/>
      <c r="AJ875" s="712"/>
      <c r="AK875" s="712"/>
      <c r="AL875" s="712"/>
      <c r="AM875" s="712"/>
      <c r="AN875" s="712"/>
      <c r="AO875" s="712"/>
      <c r="AP875" s="712"/>
      <c r="AQ875" s="712"/>
      <c r="AR875" s="712"/>
      <c r="AS875" s="712"/>
      <c r="AT875" s="712"/>
      <c r="AU875" s="712"/>
      <c r="AV875" s="712"/>
      <c r="AW875" s="712"/>
      <c r="AX875" s="712"/>
      <c r="AY875" s="712"/>
    </row>
    <row r="876">
      <c r="T876" s="434"/>
      <c r="U876" s="438"/>
      <c r="V876" s="438"/>
      <c r="W876" s="438"/>
      <c r="X876" s="438"/>
      <c r="Y876" s="438"/>
      <c r="Z876" s="438"/>
      <c r="AA876" s="438"/>
      <c r="AB876" s="438"/>
      <c r="AC876" s="438"/>
      <c r="AD876" s="438"/>
      <c r="AE876" s="438"/>
      <c r="AF876" s="438"/>
      <c r="AG876" s="712"/>
      <c r="AH876" s="712"/>
      <c r="AI876" s="712"/>
      <c r="AJ876" s="712"/>
      <c r="AK876" s="712"/>
      <c r="AL876" s="712"/>
      <c r="AM876" s="712"/>
      <c r="AN876" s="712"/>
      <c r="AO876" s="712"/>
      <c r="AP876" s="712"/>
      <c r="AQ876" s="712"/>
      <c r="AR876" s="712"/>
      <c r="AS876" s="712"/>
      <c r="AT876" s="712"/>
      <c r="AU876" s="712"/>
      <c r="AV876" s="712"/>
      <c r="AW876" s="712"/>
      <c r="AX876" s="712"/>
      <c r="AY876" s="712"/>
    </row>
    <row r="877">
      <c r="T877" s="434"/>
      <c r="U877" s="438"/>
      <c r="V877" s="438"/>
      <c r="W877" s="438"/>
      <c r="X877" s="438"/>
      <c r="Y877" s="438"/>
      <c r="Z877" s="438"/>
      <c r="AA877" s="438"/>
      <c r="AB877" s="438"/>
      <c r="AC877" s="438"/>
      <c r="AD877" s="438"/>
      <c r="AE877" s="438"/>
      <c r="AF877" s="438"/>
      <c r="AG877" s="712"/>
      <c r="AH877" s="712"/>
      <c r="AI877" s="712"/>
      <c r="AJ877" s="712"/>
      <c r="AK877" s="712"/>
      <c r="AL877" s="712"/>
      <c r="AM877" s="712"/>
      <c r="AN877" s="712"/>
      <c r="AO877" s="712"/>
      <c r="AP877" s="712"/>
      <c r="AQ877" s="712"/>
      <c r="AR877" s="712"/>
      <c r="AS877" s="712"/>
      <c r="AT877" s="712"/>
      <c r="AU877" s="712"/>
      <c r="AV877" s="712"/>
      <c r="AW877" s="712"/>
      <c r="AX877" s="712"/>
      <c r="AY877" s="712"/>
    </row>
    <row r="878">
      <c r="T878" s="434"/>
      <c r="U878" s="438"/>
      <c r="V878" s="438"/>
      <c r="W878" s="438"/>
      <c r="X878" s="438"/>
      <c r="Y878" s="438"/>
      <c r="Z878" s="438"/>
      <c r="AA878" s="438"/>
      <c r="AB878" s="438"/>
      <c r="AC878" s="438"/>
      <c r="AD878" s="438"/>
      <c r="AE878" s="438"/>
      <c r="AF878" s="438"/>
      <c r="AG878" s="712"/>
      <c r="AH878" s="712"/>
      <c r="AI878" s="712"/>
      <c r="AJ878" s="712"/>
      <c r="AK878" s="712"/>
      <c r="AL878" s="712"/>
      <c r="AM878" s="712"/>
      <c r="AN878" s="712"/>
      <c r="AO878" s="712"/>
      <c r="AP878" s="712"/>
      <c r="AQ878" s="712"/>
      <c r="AR878" s="712"/>
      <c r="AS878" s="712"/>
      <c r="AT878" s="712"/>
      <c r="AU878" s="712"/>
      <c r="AV878" s="712"/>
      <c r="AW878" s="712"/>
      <c r="AX878" s="712"/>
      <c r="AY878" s="712"/>
    </row>
    <row r="879">
      <c r="T879" s="434"/>
      <c r="U879" s="438"/>
      <c r="V879" s="438"/>
      <c r="W879" s="438"/>
      <c r="X879" s="438"/>
      <c r="Y879" s="438"/>
      <c r="Z879" s="438"/>
      <c r="AA879" s="438"/>
      <c r="AB879" s="438"/>
      <c r="AC879" s="438"/>
      <c r="AD879" s="438"/>
      <c r="AE879" s="438"/>
      <c r="AF879" s="438"/>
      <c r="AG879" s="712"/>
      <c r="AH879" s="712"/>
      <c r="AI879" s="712"/>
      <c r="AJ879" s="712"/>
      <c r="AK879" s="712"/>
      <c r="AL879" s="712"/>
      <c r="AM879" s="712"/>
      <c r="AN879" s="712"/>
      <c r="AO879" s="712"/>
      <c r="AP879" s="712"/>
      <c r="AQ879" s="712"/>
      <c r="AR879" s="712"/>
      <c r="AS879" s="712"/>
      <c r="AT879" s="712"/>
      <c r="AU879" s="712"/>
      <c r="AV879" s="712"/>
      <c r="AW879" s="712"/>
      <c r="AX879" s="712"/>
      <c r="AY879" s="712"/>
    </row>
    <row r="880">
      <c r="T880" s="434"/>
      <c r="U880" s="438"/>
      <c r="V880" s="438"/>
      <c r="W880" s="438"/>
      <c r="X880" s="438"/>
      <c r="Y880" s="438"/>
      <c r="Z880" s="438"/>
      <c r="AA880" s="438"/>
      <c r="AB880" s="438"/>
      <c r="AC880" s="438"/>
      <c r="AD880" s="438"/>
      <c r="AE880" s="438"/>
      <c r="AF880" s="438"/>
      <c r="AG880" s="712"/>
      <c r="AH880" s="712"/>
      <c r="AI880" s="712"/>
      <c r="AJ880" s="712"/>
      <c r="AK880" s="712"/>
      <c r="AL880" s="712"/>
      <c r="AM880" s="712"/>
      <c r="AN880" s="712"/>
      <c r="AO880" s="712"/>
      <c r="AP880" s="712"/>
      <c r="AQ880" s="712"/>
      <c r="AR880" s="712"/>
      <c r="AS880" s="712"/>
      <c r="AT880" s="712"/>
      <c r="AU880" s="712"/>
      <c r="AV880" s="712"/>
      <c r="AW880" s="712"/>
      <c r="AX880" s="712"/>
      <c r="AY880" s="712"/>
    </row>
    <row r="881">
      <c r="T881" s="434"/>
      <c r="U881" s="438"/>
      <c r="V881" s="438"/>
      <c r="W881" s="438"/>
      <c r="X881" s="438"/>
      <c r="Y881" s="438"/>
      <c r="Z881" s="438"/>
      <c r="AA881" s="438"/>
      <c r="AB881" s="438"/>
      <c r="AC881" s="438"/>
      <c r="AD881" s="438"/>
      <c r="AE881" s="438"/>
      <c r="AF881" s="438"/>
      <c r="AG881" s="712"/>
      <c r="AH881" s="712"/>
      <c r="AI881" s="712"/>
      <c r="AJ881" s="712"/>
      <c r="AK881" s="712"/>
      <c r="AL881" s="712"/>
      <c r="AM881" s="712"/>
      <c r="AN881" s="712"/>
      <c r="AO881" s="712"/>
      <c r="AP881" s="712"/>
      <c r="AQ881" s="712"/>
      <c r="AR881" s="712"/>
      <c r="AS881" s="712"/>
      <c r="AT881" s="712"/>
      <c r="AU881" s="712"/>
      <c r="AV881" s="712"/>
      <c r="AW881" s="712"/>
      <c r="AX881" s="712"/>
      <c r="AY881" s="712"/>
    </row>
    <row r="882">
      <c r="T882" s="434"/>
      <c r="U882" s="438"/>
      <c r="V882" s="438"/>
      <c r="W882" s="438"/>
      <c r="X882" s="438"/>
      <c r="Y882" s="438"/>
      <c r="Z882" s="438"/>
      <c r="AA882" s="438"/>
      <c r="AB882" s="438"/>
      <c r="AC882" s="438"/>
      <c r="AD882" s="438"/>
      <c r="AE882" s="438"/>
      <c r="AF882" s="438"/>
      <c r="AG882" s="712"/>
      <c r="AH882" s="712"/>
      <c r="AI882" s="712"/>
      <c r="AJ882" s="712"/>
      <c r="AK882" s="712"/>
      <c r="AL882" s="712"/>
      <c r="AM882" s="712"/>
      <c r="AN882" s="712"/>
      <c r="AO882" s="712"/>
      <c r="AP882" s="712"/>
      <c r="AQ882" s="712"/>
      <c r="AR882" s="712"/>
      <c r="AS882" s="712"/>
      <c r="AT882" s="712"/>
      <c r="AU882" s="712"/>
      <c r="AV882" s="712"/>
      <c r="AW882" s="712"/>
      <c r="AX882" s="712"/>
      <c r="AY882" s="712"/>
    </row>
    <row r="883">
      <c r="T883" s="434"/>
      <c r="U883" s="438"/>
      <c r="V883" s="438"/>
      <c r="W883" s="438"/>
      <c r="X883" s="438"/>
      <c r="Y883" s="438"/>
      <c r="Z883" s="438"/>
      <c r="AA883" s="438"/>
      <c r="AB883" s="438"/>
      <c r="AC883" s="438"/>
      <c r="AD883" s="438"/>
      <c r="AE883" s="438"/>
      <c r="AF883" s="438"/>
      <c r="AG883" s="712"/>
      <c r="AH883" s="712"/>
      <c r="AI883" s="712"/>
      <c r="AJ883" s="712"/>
      <c r="AK883" s="712"/>
      <c r="AL883" s="712"/>
      <c r="AM883" s="712"/>
      <c r="AN883" s="712"/>
      <c r="AO883" s="712"/>
      <c r="AP883" s="712"/>
      <c r="AQ883" s="712"/>
      <c r="AR883" s="712"/>
      <c r="AS883" s="712"/>
      <c r="AT883" s="712"/>
      <c r="AU883" s="712"/>
      <c r="AV883" s="712"/>
      <c r="AW883" s="712"/>
      <c r="AX883" s="712"/>
      <c r="AY883" s="712"/>
    </row>
    <row r="884">
      <c r="T884" s="434"/>
      <c r="U884" s="438"/>
      <c r="V884" s="438"/>
      <c r="W884" s="438"/>
      <c r="X884" s="438"/>
      <c r="Y884" s="438"/>
      <c r="Z884" s="438"/>
      <c r="AA884" s="438"/>
      <c r="AB884" s="438"/>
      <c r="AC884" s="438"/>
      <c r="AD884" s="438"/>
      <c r="AE884" s="438"/>
      <c r="AF884" s="438"/>
      <c r="AG884" s="712"/>
      <c r="AH884" s="712"/>
      <c r="AI884" s="712"/>
      <c r="AJ884" s="712"/>
      <c r="AK884" s="712"/>
      <c r="AL884" s="712"/>
      <c r="AM884" s="712"/>
      <c r="AN884" s="712"/>
      <c r="AO884" s="712"/>
      <c r="AP884" s="712"/>
      <c r="AQ884" s="712"/>
      <c r="AR884" s="712"/>
      <c r="AS884" s="712"/>
      <c r="AT884" s="712"/>
      <c r="AU884" s="712"/>
      <c r="AV884" s="712"/>
      <c r="AW884" s="712"/>
      <c r="AX884" s="712"/>
      <c r="AY884" s="712"/>
    </row>
    <row r="885">
      <c r="T885" s="434"/>
      <c r="U885" s="438"/>
      <c r="V885" s="438"/>
      <c r="W885" s="438"/>
      <c r="X885" s="438"/>
      <c r="Y885" s="438"/>
      <c r="Z885" s="438"/>
      <c r="AA885" s="438"/>
      <c r="AB885" s="438"/>
      <c r="AC885" s="438"/>
      <c r="AD885" s="438"/>
      <c r="AE885" s="438"/>
      <c r="AF885" s="438"/>
      <c r="AG885" s="712"/>
      <c r="AH885" s="712"/>
      <c r="AI885" s="712"/>
      <c r="AJ885" s="712"/>
      <c r="AK885" s="712"/>
      <c r="AL885" s="712"/>
      <c r="AM885" s="712"/>
      <c r="AN885" s="712"/>
      <c r="AO885" s="712"/>
      <c r="AP885" s="712"/>
      <c r="AQ885" s="712"/>
      <c r="AR885" s="712"/>
      <c r="AS885" s="712"/>
      <c r="AT885" s="712"/>
      <c r="AU885" s="712"/>
      <c r="AV885" s="712"/>
      <c r="AW885" s="712"/>
      <c r="AX885" s="712"/>
      <c r="AY885" s="712"/>
    </row>
    <row r="886">
      <c r="T886" s="434"/>
      <c r="U886" s="438"/>
      <c r="V886" s="438"/>
      <c r="W886" s="438"/>
      <c r="X886" s="438"/>
      <c r="Y886" s="438"/>
      <c r="Z886" s="438"/>
      <c r="AA886" s="438"/>
      <c r="AB886" s="438"/>
      <c r="AC886" s="438"/>
      <c r="AD886" s="438"/>
      <c r="AE886" s="438"/>
      <c r="AF886" s="438"/>
      <c r="AG886" s="712"/>
      <c r="AH886" s="712"/>
      <c r="AI886" s="712"/>
      <c r="AJ886" s="712"/>
      <c r="AK886" s="712"/>
      <c r="AL886" s="712"/>
      <c r="AM886" s="712"/>
      <c r="AN886" s="712"/>
      <c r="AO886" s="712"/>
      <c r="AP886" s="712"/>
      <c r="AQ886" s="712"/>
      <c r="AR886" s="712"/>
      <c r="AS886" s="712"/>
      <c r="AT886" s="712"/>
      <c r="AU886" s="712"/>
      <c r="AV886" s="712"/>
      <c r="AW886" s="712"/>
      <c r="AX886" s="712"/>
      <c r="AY886" s="712"/>
    </row>
    <row r="887">
      <c r="T887" s="434"/>
      <c r="U887" s="438"/>
      <c r="V887" s="438"/>
      <c r="W887" s="438"/>
      <c r="X887" s="438"/>
      <c r="Y887" s="438"/>
      <c r="Z887" s="438"/>
      <c r="AA887" s="438"/>
      <c r="AB887" s="438"/>
      <c r="AC887" s="438"/>
      <c r="AD887" s="438"/>
      <c r="AE887" s="438"/>
      <c r="AF887" s="438"/>
      <c r="AG887" s="712"/>
      <c r="AH887" s="712"/>
      <c r="AI887" s="712"/>
      <c r="AJ887" s="712"/>
      <c r="AK887" s="712"/>
      <c r="AL887" s="712"/>
      <c r="AM887" s="712"/>
      <c r="AN887" s="712"/>
      <c r="AO887" s="712"/>
      <c r="AP887" s="712"/>
      <c r="AQ887" s="712"/>
      <c r="AR887" s="712"/>
      <c r="AS887" s="712"/>
      <c r="AT887" s="712"/>
      <c r="AU887" s="712"/>
      <c r="AV887" s="712"/>
      <c r="AW887" s="712"/>
      <c r="AX887" s="712"/>
      <c r="AY887" s="712"/>
    </row>
    <row r="888">
      <c r="T888" s="434"/>
      <c r="U888" s="438"/>
      <c r="V888" s="438"/>
      <c r="W888" s="438"/>
      <c r="X888" s="438"/>
      <c r="Y888" s="438"/>
      <c r="Z888" s="438"/>
      <c r="AA888" s="438"/>
      <c r="AB888" s="438"/>
      <c r="AC888" s="438"/>
      <c r="AD888" s="438"/>
      <c r="AE888" s="438"/>
      <c r="AF888" s="438"/>
      <c r="AG888" s="712"/>
      <c r="AH888" s="712"/>
      <c r="AI888" s="712"/>
      <c r="AJ888" s="712"/>
      <c r="AK888" s="712"/>
      <c r="AL888" s="712"/>
      <c r="AM888" s="712"/>
      <c r="AN888" s="712"/>
      <c r="AO888" s="712"/>
      <c r="AP888" s="712"/>
      <c r="AQ888" s="712"/>
      <c r="AR888" s="712"/>
      <c r="AS888" s="712"/>
      <c r="AT888" s="712"/>
      <c r="AU888" s="712"/>
      <c r="AV888" s="712"/>
      <c r="AW888" s="712"/>
      <c r="AX888" s="712"/>
      <c r="AY888" s="712"/>
    </row>
    <row r="889">
      <c r="T889" s="434"/>
      <c r="U889" s="438"/>
      <c r="V889" s="438"/>
      <c r="W889" s="438"/>
      <c r="X889" s="438"/>
      <c r="Y889" s="438"/>
      <c r="Z889" s="438"/>
      <c r="AA889" s="438"/>
      <c r="AB889" s="438"/>
      <c r="AC889" s="438"/>
      <c r="AD889" s="438"/>
      <c r="AE889" s="438"/>
      <c r="AF889" s="438"/>
      <c r="AG889" s="712"/>
      <c r="AH889" s="712"/>
      <c r="AI889" s="712"/>
      <c r="AJ889" s="712"/>
      <c r="AK889" s="712"/>
      <c r="AL889" s="712"/>
      <c r="AM889" s="712"/>
      <c r="AN889" s="712"/>
      <c r="AO889" s="712"/>
      <c r="AP889" s="712"/>
      <c r="AQ889" s="712"/>
      <c r="AR889" s="712"/>
      <c r="AS889" s="712"/>
      <c r="AT889" s="712"/>
      <c r="AU889" s="712"/>
      <c r="AV889" s="712"/>
      <c r="AW889" s="712"/>
      <c r="AX889" s="712"/>
      <c r="AY889" s="712"/>
    </row>
    <row r="890">
      <c r="T890" s="434"/>
      <c r="U890" s="438"/>
      <c r="V890" s="438"/>
      <c r="W890" s="438"/>
      <c r="X890" s="438"/>
      <c r="Y890" s="438"/>
      <c r="Z890" s="438"/>
      <c r="AA890" s="438"/>
      <c r="AB890" s="438"/>
      <c r="AC890" s="438"/>
      <c r="AD890" s="438"/>
      <c r="AE890" s="438"/>
      <c r="AF890" s="438"/>
      <c r="AG890" s="712"/>
      <c r="AH890" s="712"/>
      <c r="AI890" s="712"/>
      <c r="AJ890" s="712"/>
      <c r="AK890" s="712"/>
      <c r="AL890" s="712"/>
      <c r="AM890" s="712"/>
      <c r="AN890" s="712"/>
      <c r="AO890" s="712"/>
      <c r="AP890" s="712"/>
      <c r="AQ890" s="712"/>
      <c r="AR890" s="712"/>
      <c r="AS890" s="712"/>
      <c r="AT890" s="712"/>
      <c r="AU890" s="712"/>
      <c r="AV890" s="712"/>
      <c r="AW890" s="712"/>
      <c r="AX890" s="712"/>
      <c r="AY890" s="712"/>
    </row>
    <row r="891">
      <c r="T891" s="434"/>
      <c r="U891" s="438"/>
      <c r="V891" s="438"/>
      <c r="W891" s="438"/>
      <c r="X891" s="438"/>
      <c r="Y891" s="438"/>
      <c r="Z891" s="438"/>
      <c r="AA891" s="438"/>
      <c r="AB891" s="438"/>
      <c r="AC891" s="438"/>
      <c r="AD891" s="438"/>
      <c r="AE891" s="438"/>
      <c r="AF891" s="438"/>
      <c r="AG891" s="712"/>
      <c r="AH891" s="712"/>
      <c r="AI891" s="712"/>
      <c r="AJ891" s="712"/>
      <c r="AK891" s="712"/>
      <c r="AL891" s="712"/>
      <c r="AM891" s="712"/>
      <c r="AN891" s="712"/>
      <c r="AO891" s="712"/>
      <c r="AP891" s="712"/>
      <c r="AQ891" s="712"/>
      <c r="AR891" s="712"/>
      <c r="AS891" s="712"/>
      <c r="AT891" s="712"/>
      <c r="AU891" s="712"/>
      <c r="AV891" s="712"/>
      <c r="AW891" s="712"/>
      <c r="AX891" s="712"/>
      <c r="AY891" s="712"/>
    </row>
    <row r="892">
      <c r="T892" s="434"/>
      <c r="U892" s="438"/>
      <c r="V892" s="438"/>
      <c r="W892" s="438"/>
      <c r="X892" s="438"/>
      <c r="Y892" s="438"/>
      <c r="Z892" s="438"/>
      <c r="AA892" s="438"/>
      <c r="AB892" s="438"/>
      <c r="AC892" s="438"/>
      <c r="AD892" s="438"/>
      <c r="AE892" s="438"/>
      <c r="AF892" s="438"/>
      <c r="AG892" s="712"/>
      <c r="AH892" s="712"/>
      <c r="AI892" s="712"/>
      <c r="AJ892" s="712"/>
      <c r="AK892" s="712"/>
      <c r="AL892" s="712"/>
      <c r="AM892" s="712"/>
      <c r="AN892" s="712"/>
      <c r="AO892" s="712"/>
      <c r="AP892" s="712"/>
      <c r="AQ892" s="712"/>
      <c r="AR892" s="712"/>
      <c r="AS892" s="712"/>
      <c r="AT892" s="712"/>
      <c r="AU892" s="712"/>
      <c r="AV892" s="712"/>
      <c r="AW892" s="712"/>
      <c r="AX892" s="712"/>
      <c r="AY892" s="712"/>
    </row>
    <row r="893">
      <c r="T893" s="434"/>
      <c r="U893" s="438"/>
      <c r="V893" s="438"/>
      <c r="W893" s="438"/>
      <c r="X893" s="438"/>
      <c r="Y893" s="438"/>
      <c r="Z893" s="438"/>
      <c r="AA893" s="438"/>
      <c r="AB893" s="438"/>
      <c r="AC893" s="438"/>
      <c r="AD893" s="438"/>
      <c r="AE893" s="438"/>
      <c r="AF893" s="438"/>
      <c r="AG893" s="712"/>
      <c r="AH893" s="712"/>
      <c r="AI893" s="712"/>
      <c r="AJ893" s="712"/>
      <c r="AK893" s="712"/>
      <c r="AL893" s="712"/>
      <c r="AM893" s="712"/>
      <c r="AN893" s="712"/>
      <c r="AO893" s="712"/>
      <c r="AP893" s="712"/>
      <c r="AQ893" s="712"/>
      <c r="AR893" s="712"/>
      <c r="AS893" s="712"/>
      <c r="AT893" s="712"/>
      <c r="AU893" s="712"/>
      <c r="AV893" s="712"/>
      <c r="AW893" s="712"/>
      <c r="AX893" s="712"/>
      <c r="AY893" s="712"/>
    </row>
    <row r="894">
      <c r="T894" s="434"/>
      <c r="U894" s="438"/>
      <c r="V894" s="438"/>
      <c r="W894" s="438"/>
      <c r="X894" s="438"/>
      <c r="Y894" s="438"/>
      <c r="Z894" s="438"/>
      <c r="AA894" s="438"/>
      <c r="AB894" s="438"/>
      <c r="AC894" s="438"/>
      <c r="AD894" s="438"/>
      <c r="AE894" s="438"/>
      <c r="AF894" s="438"/>
      <c r="AG894" s="712"/>
      <c r="AH894" s="712"/>
      <c r="AI894" s="712"/>
      <c r="AJ894" s="712"/>
      <c r="AK894" s="712"/>
      <c r="AL894" s="712"/>
      <c r="AM894" s="712"/>
      <c r="AN894" s="712"/>
      <c r="AO894" s="712"/>
      <c r="AP894" s="712"/>
      <c r="AQ894" s="712"/>
      <c r="AR894" s="712"/>
      <c r="AS894" s="712"/>
      <c r="AT894" s="712"/>
      <c r="AU894" s="712"/>
      <c r="AV894" s="712"/>
      <c r="AW894" s="712"/>
      <c r="AX894" s="712"/>
      <c r="AY894" s="712"/>
    </row>
    <row r="895">
      <c r="T895" s="434"/>
      <c r="U895" s="438"/>
      <c r="V895" s="438"/>
      <c r="W895" s="438"/>
      <c r="X895" s="438"/>
      <c r="Y895" s="438"/>
      <c r="Z895" s="438"/>
      <c r="AA895" s="438"/>
      <c r="AB895" s="438"/>
      <c r="AC895" s="438"/>
      <c r="AD895" s="438"/>
      <c r="AE895" s="438"/>
      <c r="AF895" s="438"/>
      <c r="AG895" s="712"/>
      <c r="AH895" s="712"/>
      <c r="AI895" s="712"/>
      <c r="AJ895" s="712"/>
      <c r="AK895" s="712"/>
      <c r="AL895" s="712"/>
      <c r="AM895" s="712"/>
      <c r="AN895" s="712"/>
      <c r="AO895" s="712"/>
      <c r="AP895" s="712"/>
      <c r="AQ895" s="712"/>
      <c r="AR895" s="712"/>
      <c r="AS895" s="712"/>
      <c r="AT895" s="712"/>
      <c r="AU895" s="712"/>
      <c r="AV895" s="712"/>
      <c r="AW895" s="712"/>
      <c r="AX895" s="712"/>
      <c r="AY895" s="712"/>
    </row>
    <row r="896">
      <c r="T896" s="434"/>
      <c r="U896" s="438"/>
      <c r="V896" s="438"/>
      <c r="W896" s="438"/>
      <c r="X896" s="438"/>
      <c r="Y896" s="438"/>
      <c r="Z896" s="438"/>
      <c r="AA896" s="438"/>
      <c r="AB896" s="438"/>
      <c r="AC896" s="438"/>
      <c r="AD896" s="438"/>
      <c r="AE896" s="438"/>
      <c r="AF896" s="438"/>
      <c r="AG896" s="712"/>
      <c r="AH896" s="712"/>
      <c r="AI896" s="712"/>
      <c r="AJ896" s="712"/>
      <c r="AK896" s="712"/>
      <c r="AL896" s="712"/>
      <c r="AM896" s="712"/>
      <c r="AN896" s="712"/>
      <c r="AO896" s="712"/>
      <c r="AP896" s="712"/>
      <c r="AQ896" s="712"/>
      <c r="AR896" s="712"/>
      <c r="AS896" s="712"/>
      <c r="AT896" s="712"/>
      <c r="AU896" s="712"/>
      <c r="AV896" s="712"/>
      <c r="AW896" s="712"/>
      <c r="AX896" s="712"/>
      <c r="AY896" s="712"/>
    </row>
    <row r="897">
      <c r="T897" s="434"/>
      <c r="U897" s="438"/>
      <c r="V897" s="438"/>
      <c r="W897" s="438"/>
      <c r="X897" s="438"/>
      <c r="Y897" s="438"/>
      <c r="Z897" s="438"/>
      <c r="AA897" s="438"/>
      <c r="AB897" s="438"/>
      <c r="AC897" s="438"/>
      <c r="AD897" s="438"/>
      <c r="AE897" s="438"/>
      <c r="AF897" s="438"/>
      <c r="AG897" s="712"/>
      <c r="AH897" s="712"/>
      <c r="AI897" s="712"/>
      <c r="AJ897" s="712"/>
      <c r="AK897" s="712"/>
      <c r="AL897" s="712"/>
      <c r="AM897" s="712"/>
      <c r="AN897" s="712"/>
      <c r="AO897" s="712"/>
      <c r="AP897" s="712"/>
      <c r="AQ897" s="712"/>
      <c r="AR897" s="712"/>
      <c r="AS897" s="712"/>
      <c r="AT897" s="712"/>
      <c r="AU897" s="712"/>
      <c r="AV897" s="712"/>
      <c r="AW897" s="712"/>
      <c r="AX897" s="712"/>
      <c r="AY897" s="712"/>
    </row>
    <row r="898">
      <c r="T898" s="434"/>
      <c r="U898" s="438"/>
      <c r="V898" s="438"/>
      <c r="W898" s="438"/>
      <c r="X898" s="438"/>
      <c r="Y898" s="438"/>
      <c r="Z898" s="438"/>
      <c r="AA898" s="438"/>
      <c r="AB898" s="438"/>
      <c r="AC898" s="438"/>
      <c r="AD898" s="438"/>
      <c r="AE898" s="438"/>
      <c r="AF898" s="438"/>
      <c r="AG898" s="712"/>
      <c r="AH898" s="712"/>
      <c r="AI898" s="712"/>
      <c r="AJ898" s="712"/>
      <c r="AK898" s="712"/>
      <c r="AL898" s="712"/>
      <c r="AM898" s="712"/>
      <c r="AN898" s="712"/>
      <c r="AO898" s="712"/>
      <c r="AP898" s="712"/>
      <c r="AQ898" s="712"/>
      <c r="AR898" s="712"/>
      <c r="AS898" s="712"/>
      <c r="AT898" s="712"/>
      <c r="AU898" s="712"/>
      <c r="AV898" s="712"/>
      <c r="AW898" s="712"/>
      <c r="AX898" s="712"/>
      <c r="AY898" s="712"/>
    </row>
    <row r="899">
      <c r="T899" s="434"/>
      <c r="U899" s="438"/>
      <c r="V899" s="438"/>
      <c r="W899" s="438"/>
      <c r="X899" s="438"/>
      <c r="Y899" s="438"/>
      <c r="Z899" s="438"/>
      <c r="AA899" s="438"/>
      <c r="AB899" s="438"/>
      <c r="AC899" s="438"/>
      <c r="AD899" s="438"/>
      <c r="AE899" s="438"/>
      <c r="AF899" s="438"/>
      <c r="AG899" s="712"/>
      <c r="AH899" s="712"/>
      <c r="AI899" s="712"/>
      <c r="AJ899" s="712"/>
      <c r="AK899" s="712"/>
      <c r="AL899" s="712"/>
      <c r="AM899" s="712"/>
      <c r="AN899" s="712"/>
      <c r="AO899" s="712"/>
      <c r="AP899" s="712"/>
      <c r="AQ899" s="712"/>
      <c r="AR899" s="712"/>
      <c r="AS899" s="712"/>
      <c r="AT899" s="712"/>
      <c r="AU899" s="712"/>
      <c r="AV899" s="712"/>
      <c r="AW899" s="712"/>
      <c r="AX899" s="712"/>
      <c r="AY899" s="712"/>
    </row>
    <row r="900">
      <c r="T900" s="434"/>
      <c r="U900" s="438"/>
      <c r="V900" s="438"/>
      <c r="W900" s="438"/>
      <c r="X900" s="438"/>
      <c r="Y900" s="438"/>
      <c r="Z900" s="438"/>
      <c r="AA900" s="438"/>
      <c r="AB900" s="438"/>
      <c r="AC900" s="438"/>
      <c r="AD900" s="438"/>
      <c r="AE900" s="438"/>
      <c r="AF900" s="438"/>
      <c r="AG900" s="712"/>
      <c r="AH900" s="712"/>
      <c r="AI900" s="712"/>
      <c r="AJ900" s="712"/>
      <c r="AK900" s="712"/>
      <c r="AL900" s="712"/>
      <c r="AM900" s="712"/>
      <c r="AN900" s="712"/>
      <c r="AO900" s="712"/>
      <c r="AP900" s="712"/>
      <c r="AQ900" s="712"/>
      <c r="AR900" s="712"/>
      <c r="AS900" s="712"/>
      <c r="AT900" s="712"/>
      <c r="AU900" s="712"/>
      <c r="AV900" s="712"/>
      <c r="AW900" s="712"/>
      <c r="AX900" s="712"/>
      <c r="AY900" s="712"/>
    </row>
    <row r="901">
      <c r="T901" s="434"/>
      <c r="U901" s="438"/>
      <c r="V901" s="438"/>
      <c r="W901" s="438"/>
      <c r="X901" s="438"/>
      <c r="Y901" s="438"/>
      <c r="Z901" s="438"/>
      <c r="AA901" s="438"/>
      <c r="AB901" s="438"/>
      <c r="AC901" s="438"/>
      <c r="AD901" s="438"/>
      <c r="AE901" s="438"/>
      <c r="AF901" s="438"/>
      <c r="AG901" s="712"/>
      <c r="AH901" s="712"/>
      <c r="AI901" s="712"/>
      <c r="AJ901" s="712"/>
      <c r="AK901" s="712"/>
      <c r="AL901" s="712"/>
      <c r="AM901" s="712"/>
      <c r="AN901" s="712"/>
      <c r="AO901" s="712"/>
      <c r="AP901" s="712"/>
      <c r="AQ901" s="712"/>
      <c r="AR901" s="712"/>
      <c r="AS901" s="712"/>
      <c r="AT901" s="712"/>
      <c r="AU901" s="712"/>
      <c r="AV901" s="712"/>
      <c r="AW901" s="712"/>
      <c r="AX901" s="712"/>
      <c r="AY901" s="712"/>
    </row>
    <row r="902">
      <c r="T902" s="434"/>
      <c r="U902" s="438"/>
      <c r="V902" s="438"/>
      <c r="W902" s="438"/>
      <c r="X902" s="438"/>
      <c r="Y902" s="438"/>
      <c r="Z902" s="438"/>
      <c r="AA902" s="438"/>
      <c r="AB902" s="438"/>
      <c r="AC902" s="438"/>
      <c r="AD902" s="438"/>
      <c r="AE902" s="438"/>
      <c r="AF902" s="438"/>
      <c r="AG902" s="712"/>
      <c r="AH902" s="712"/>
      <c r="AI902" s="712"/>
      <c r="AJ902" s="712"/>
      <c r="AK902" s="712"/>
      <c r="AL902" s="712"/>
      <c r="AM902" s="712"/>
      <c r="AN902" s="712"/>
      <c r="AO902" s="712"/>
      <c r="AP902" s="712"/>
      <c r="AQ902" s="712"/>
      <c r="AR902" s="712"/>
      <c r="AS902" s="712"/>
      <c r="AT902" s="712"/>
      <c r="AU902" s="712"/>
      <c r="AV902" s="712"/>
      <c r="AW902" s="712"/>
      <c r="AX902" s="712"/>
      <c r="AY902" s="712"/>
    </row>
    <row r="903">
      <c r="T903" s="434"/>
      <c r="U903" s="438"/>
      <c r="V903" s="438"/>
      <c r="W903" s="438"/>
      <c r="X903" s="438"/>
      <c r="Y903" s="438"/>
      <c r="Z903" s="438"/>
      <c r="AA903" s="438"/>
      <c r="AB903" s="438"/>
      <c r="AC903" s="438"/>
      <c r="AD903" s="438"/>
      <c r="AE903" s="438"/>
      <c r="AF903" s="438"/>
      <c r="AG903" s="712"/>
      <c r="AH903" s="712"/>
      <c r="AI903" s="712"/>
      <c r="AJ903" s="712"/>
      <c r="AK903" s="712"/>
      <c r="AL903" s="712"/>
      <c r="AM903" s="712"/>
      <c r="AN903" s="712"/>
      <c r="AO903" s="712"/>
      <c r="AP903" s="712"/>
      <c r="AQ903" s="712"/>
      <c r="AR903" s="712"/>
      <c r="AS903" s="712"/>
      <c r="AT903" s="712"/>
      <c r="AU903" s="712"/>
      <c r="AV903" s="712"/>
      <c r="AW903" s="712"/>
      <c r="AX903" s="712"/>
      <c r="AY903" s="712"/>
    </row>
    <row r="904">
      <c r="T904" s="434"/>
      <c r="U904" s="438"/>
      <c r="V904" s="438"/>
      <c r="W904" s="438"/>
      <c r="X904" s="438"/>
      <c r="Y904" s="438"/>
      <c r="Z904" s="438"/>
      <c r="AA904" s="438"/>
      <c r="AB904" s="438"/>
      <c r="AC904" s="438"/>
      <c r="AD904" s="438"/>
      <c r="AE904" s="438"/>
      <c r="AF904" s="438"/>
      <c r="AG904" s="712"/>
      <c r="AH904" s="712"/>
      <c r="AI904" s="712"/>
      <c r="AJ904" s="712"/>
      <c r="AK904" s="712"/>
      <c r="AL904" s="712"/>
      <c r="AM904" s="712"/>
      <c r="AN904" s="712"/>
      <c r="AO904" s="712"/>
      <c r="AP904" s="712"/>
      <c r="AQ904" s="712"/>
      <c r="AR904" s="712"/>
      <c r="AS904" s="712"/>
      <c r="AT904" s="712"/>
      <c r="AU904" s="712"/>
      <c r="AV904" s="712"/>
      <c r="AW904" s="712"/>
      <c r="AX904" s="712"/>
      <c r="AY904" s="712"/>
    </row>
    <row r="905">
      <c r="T905" s="434"/>
      <c r="U905" s="438"/>
      <c r="V905" s="438"/>
      <c r="W905" s="438"/>
      <c r="X905" s="438"/>
      <c r="Y905" s="438"/>
      <c r="Z905" s="438"/>
      <c r="AA905" s="438"/>
      <c r="AB905" s="438"/>
      <c r="AC905" s="438"/>
      <c r="AD905" s="438"/>
      <c r="AE905" s="438"/>
      <c r="AF905" s="438"/>
      <c r="AG905" s="712"/>
      <c r="AH905" s="712"/>
      <c r="AI905" s="712"/>
      <c r="AJ905" s="712"/>
      <c r="AK905" s="712"/>
      <c r="AL905" s="712"/>
      <c r="AM905" s="712"/>
      <c r="AN905" s="712"/>
      <c r="AO905" s="712"/>
      <c r="AP905" s="712"/>
      <c r="AQ905" s="712"/>
      <c r="AR905" s="712"/>
      <c r="AS905" s="712"/>
      <c r="AT905" s="712"/>
      <c r="AU905" s="712"/>
      <c r="AV905" s="712"/>
      <c r="AW905" s="712"/>
      <c r="AX905" s="712"/>
      <c r="AY905" s="712"/>
    </row>
    <row r="906">
      <c r="T906" s="434"/>
      <c r="U906" s="438"/>
      <c r="V906" s="438"/>
      <c r="W906" s="438"/>
      <c r="X906" s="438"/>
      <c r="Y906" s="438"/>
      <c r="Z906" s="438"/>
      <c r="AA906" s="438"/>
      <c r="AB906" s="438"/>
      <c r="AC906" s="438"/>
      <c r="AD906" s="438"/>
      <c r="AE906" s="438"/>
      <c r="AF906" s="438"/>
      <c r="AG906" s="712"/>
      <c r="AH906" s="712"/>
      <c r="AI906" s="712"/>
      <c r="AJ906" s="712"/>
      <c r="AK906" s="712"/>
      <c r="AL906" s="712"/>
      <c r="AM906" s="712"/>
      <c r="AN906" s="712"/>
      <c r="AO906" s="712"/>
      <c r="AP906" s="712"/>
      <c r="AQ906" s="712"/>
      <c r="AR906" s="712"/>
      <c r="AS906" s="712"/>
      <c r="AT906" s="712"/>
      <c r="AU906" s="712"/>
      <c r="AV906" s="712"/>
      <c r="AW906" s="712"/>
      <c r="AX906" s="712"/>
      <c r="AY906" s="712"/>
    </row>
    <row r="907">
      <c r="T907" s="434"/>
      <c r="U907" s="438"/>
      <c r="V907" s="438"/>
      <c r="W907" s="438"/>
      <c r="X907" s="438"/>
      <c r="Y907" s="438"/>
      <c r="Z907" s="438"/>
      <c r="AA907" s="438"/>
      <c r="AB907" s="438"/>
      <c r="AC907" s="438"/>
      <c r="AD907" s="438"/>
      <c r="AE907" s="438"/>
      <c r="AF907" s="438"/>
      <c r="AG907" s="712"/>
      <c r="AH907" s="712"/>
      <c r="AI907" s="712"/>
      <c r="AJ907" s="712"/>
      <c r="AK907" s="712"/>
      <c r="AL907" s="712"/>
      <c r="AM907" s="712"/>
      <c r="AN907" s="712"/>
      <c r="AO907" s="712"/>
      <c r="AP907" s="712"/>
      <c r="AQ907" s="712"/>
      <c r="AR907" s="712"/>
      <c r="AS907" s="712"/>
      <c r="AT907" s="712"/>
      <c r="AU907" s="712"/>
      <c r="AV907" s="712"/>
      <c r="AW907" s="712"/>
      <c r="AX907" s="712"/>
      <c r="AY907" s="712"/>
    </row>
    <row r="908">
      <c r="T908" s="434"/>
      <c r="U908" s="438"/>
      <c r="V908" s="438"/>
      <c r="W908" s="438"/>
      <c r="X908" s="438"/>
      <c r="Y908" s="438"/>
      <c r="Z908" s="438"/>
      <c r="AA908" s="438"/>
      <c r="AB908" s="438"/>
      <c r="AC908" s="438"/>
      <c r="AD908" s="438"/>
      <c r="AE908" s="438"/>
      <c r="AF908" s="438"/>
      <c r="AG908" s="712"/>
      <c r="AH908" s="712"/>
      <c r="AI908" s="712"/>
      <c r="AJ908" s="712"/>
      <c r="AK908" s="712"/>
      <c r="AL908" s="712"/>
      <c r="AM908" s="712"/>
      <c r="AN908" s="712"/>
      <c r="AO908" s="712"/>
      <c r="AP908" s="712"/>
      <c r="AQ908" s="712"/>
      <c r="AR908" s="712"/>
      <c r="AS908" s="712"/>
      <c r="AT908" s="712"/>
      <c r="AU908" s="712"/>
      <c r="AV908" s="712"/>
      <c r="AW908" s="712"/>
      <c r="AX908" s="712"/>
      <c r="AY908" s="712"/>
    </row>
    <row r="909">
      <c r="T909" s="434"/>
      <c r="U909" s="438"/>
      <c r="V909" s="438"/>
      <c r="W909" s="438"/>
      <c r="X909" s="438"/>
      <c r="Y909" s="438"/>
      <c r="Z909" s="438"/>
      <c r="AA909" s="438"/>
      <c r="AB909" s="438"/>
      <c r="AC909" s="438"/>
      <c r="AD909" s="438"/>
      <c r="AE909" s="438"/>
      <c r="AF909" s="438"/>
      <c r="AG909" s="712"/>
      <c r="AH909" s="712"/>
      <c r="AI909" s="712"/>
      <c r="AJ909" s="712"/>
      <c r="AK909" s="712"/>
      <c r="AL909" s="712"/>
      <c r="AM909" s="712"/>
      <c r="AN909" s="712"/>
      <c r="AO909" s="712"/>
      <c r="AP909" s="712"/>
      <c r="AQ909" s="712"/>
      <c r="AR909" s="712"/>
      <c r="AS909" s="712"/>
      <c r="AT909" s="712"/>
      <c r="AU909" s="712"/>
      <c r="AV909" s="712"/>
      <c r="AW909" s="712"/>
      <c r="AX909" s="712"/>
      <c r="AY909" s="712"/>
    </row>
    <row r="910">
      <c r="T910" s="434"/>
      <c r="U910" s="438"/>
      <c r="V910" s="438"/>
      <c r="W910" s="438"/>
      <c r="X910" s="438"/>
      <c r="Y910" s="438"/>
      <c r="Z910" s="438"/>
      <c r="AA910" s="438"/>
      <c r="AB910" s="438"/>
      <c r="AC910" s="438"/>
      <c r="AD910" s="438"/>
      <c r="AE910" s="438"/>
      <c r="AF910" s="438"/>
      <c r="AG910" s="712"/>
      <c r="AH910" s="712"/>
      <c r="AI910" s="712"/>
      <c r="AJ910" s="712"/>
      <c r="AK910" s="712"/>
      <c r="AL910" s="712"/>
      <c r="AM910" s="712"/>
      <c r="AN910" s="712"/>
      <c r="AO910" s="712"/>
      <c r="AP910" s="712"/>
      <c r="AQ910" s="712"/>
      <c r="AR910" s="712"/>
      <c r="AS910" s="712"/>
      <c r="AT910" s="712"/>
      <c r="AU910" s="712"/>
      <c r="AV910" s="712"/>
      <c r="AW910" s="712"/>
      <c r="AX910" s="712"/>
      <c r="AY910" s="712"/>
    </row>
    <row r="911">
      <c r="T911" s="434"/>
      <c r="U911" s="438"/>
      <c r="V911" s="438"/>
      <c r="W911" s="438"/>
      <c r="X911" s="438"/>
      <c r="Y911" s="438"/>
      <c r="Z911" s="438"/>
      <c r="AA911" s="438"/>
      <c r="AB911" s="438"/>
      <c r="AC911" s="438"/>
      <c r="AD911" s="438"/>
      <c r="AE911" s="438"/>
      <c r="AF911" s="438"/>
      <c r="AG911" s="712"/>
      <c r="AH911" s="712"/>
      <c r="AI911" s="712"/>
      <c r="AJ911" s="712"/>
      <c r="AK911" s="712"/>
      <c r="AL911" s="712"/>
      <c r="AM911" s="712"/>
      <c r="AN911" s="712"/>
      <c r="AO911" s="712"/>
      <c r="AP911" s="712"/>
      <c r="AQ911" s="712"/>
      <c r="AR911" s="712"/>
      <c r="AS911" s="712"/>
      <c r="AT911" s="712"/>
      <c r="AU911" s="712"/>
      <c r="AV911" s="712"/>
      <c r="AW911" s="712"/>
      <c r="AX911" s="712"/>
      <c r="AY911" s="712"/>
    </row>
    <row r="912">
      <c r="T912" s="434"/>
      <c r="U912" s="438"/>
      <c r="V912" s="438"/>
      <c r="W912" s="438"/>
      <c r="X912" s="438"/>
      <c r="Y912" s="438"/>
      <c r="Z912" s="438"/>
      <c r="AA912" s="438"/>
      <c r="AB912" s="438"/>
      <c r="AC912" s="438"/>
      <c r="AD912" s="438"/>
      <c r="AE912" s="438"/>
      <c r="AF912" s="438"/>
      <c r="AG912" s="712"/>
      <c r="AH912" s="712"/>
      <c r="AI912" s="712"/>
      <c r="AJ912" s="712"/>
      <c r="AK912" s="712"/>
      <c r="AL912" s="712"/>
      <c r="AM912" s="712"/>
      <c r="AN912" s="712"/>
      <c r="AO912" s="712"/>
      <c r="AP912" s="712"/>
      <c r="AQ912" s="712"/>
      <c r="AR912" s="712"/>
      <c r="AS912" s="712"/>
      <c r="AT912" s="712"/>
      <c r="AU912" s="712"/>
      <c r="AV912" s="712"/>
      <c r="AW912" s="712"/>
      <c r="AX912" s="712"/>
      <c r="AY912" s="712"/>
    </row>
    <row r="913">
      <c r="T913" s="434"/>
      <c r="U913" s="438"/>
      <c r="V913" s="438"/>
      <c r="W913" s="438"/>
      <c r="X913" s="438"/>
      <c r="Y913" s="438"/>
      <c r="Z913" s="438"/>
      <c r="AA913" s="438"/>
      <c r="AB913" s="438"/>
      <c r="AC913" s="438"/>
      <c r="AD913" s="438"/>
      <c r="AE913" s="438"/>
      <c r="AF913" s="438"/>
      <c r="AG913" s="712"/>
      <c r="AH913" s="712"/>
      <c r="AI913" s="712"/>
      <c r="AJ913" s="712"/>
      <c r="AK913" s="712"/>
      <c r="AL913" s="712"/>
      <c r="AM913" s="712"/>
      <c r="AN913" s="712"/>
      <c r="AO913" s="712"/>
      <c r="AP913" s="712"/>
      <c r="AQ913" s="712"/>
      <c r="AR913" s="712"/>
      <c r="AS913" s="712"/>
      <c r="AT913" s="712"/>
      <c r="AU913" s="712"/>
      <c r="AV913" s="712"/>
      <c r="AW913" s="712"/>
      <c r="AX913" s="712"/>
      <c r="AY913" s="712"/>
    </row>
    <row r="914">
      <c r="T914" s="434"/>
      <c r="U914" s="438"/>
      <c r="V914" s="438"/>
      <c r="W914" s="438"/>
      <c r="X914" s="438"/>
      <c r="Y914" s="438"/>
      <c r="Z914" s="438"/>
      <c r="AA914" s="438"/>
      <c r="AB914" s="438"/>
      <c r="AC914" s="438"/>
      <c r="AD914" s="438"/>
      <c r="AE914" s="438"/>
      <c r="AF914" s="438"/>
      <c r="AG914" s="712"/>
      <c r="AH914" s="712"/>
      <c r="AI914" s="712"/>
      <c r="AJ914" s="712"/>
      <c r="AK914" s="712"/>
      <c r="AL914" s="712"/>
      <c r="AM914" s="712"/>
      <c r="AN914" s="712"/>
      <c r="AO914" s="712"/>
      <c r="AP914" s="712"/>
      <c r="AQ914" s="712"/>
      <c r="AR914" s="712"/>
      <c r="AS914" s="712"/>
      <c r="AT914" s="712"/>
      <c r="AU914" s="712"/>
      <c r="AV914" s="712"/>
      <c r="AW914" s="712"/>
      <c r="AX914" s="712"/>
      <c r="AY914" s="712"/>
    </row>
    <row r="915">
      <c r="T915" s="434"/>
      <c r="U915" s="438"/>
      <c r="V915" s="438"/>
      <c r="W915" s="438"/>
      <c r="X915" s="438"/>
      <c r="Y915" s="438"/>
      <c r="Z915" s="438"/>
      <c r="AA915" s="438"/>
      <c r="AB915" s="438"/>
      <c r="AC915" s="438"/>
      <c r="AD915" s="438"/>
      <c r="AE915" s="438"/>
      <c r="AF915" s="438"/>
      <c r="AG915" s="712"/>
      <c r="AH915" s="712"/>
      <c r="AI915" s="712"/>
      <c r="AJ915" s="712"/>
      <c r="AK915" s="712"/>
      <c r="AL915" s="712"/>
      <c r="AM915" s="712"/>
      <c r="AN915" s="712"/>
      <c r="AO915" s="712"/>
      <c r="AP915" s="712"/>
      <c r="AQ915" s="712"/>
      <c r="AR915" s="712"/>
      <c r="AS915" s="712"/>
      <c r="AT915" s="712"/>
      <c r="AU915" s="712"/>
      <c r="AV915" s="712"/>
      <c r="AW915" s="712"/>
      <c r="AX915" s="712"/>
      <c r="AY915" s="712"/>
    </row>
    <row r="916">
      <c r="T916" s="434"/>
      <c r="U916" s="438"/>
      <c r="V916" s="438"/>
      <c r="W916" s="438"/>
      <c r="X916" s="438"/>
      <c r="Y916" s="438"/>
      <c r="Z916" s="438"/>
      <c r="AA916" s="438"/>
      <c r="AB916" s="438"/>
      <c r="AC916" s="438"/>
      <c r="AD916" s="438"/>
      <c r="AE916" s="438"/>
      <c r="AF916" s="438"/>
      <c r="AG916" s="712"/>
      <c r="AH916" s="712"/>
      <c r="AI916" s="712"/>
      <c r="AJ916" s="712"/>
      <c r="AK916" s="712"/>
      <c r="AL916" s="712"/>
      <c r="AM916" s="712"/>
      <c r="AN916" s="712"/>
      <c r="AO916" s="712"/>
      <c r="AP916" s="712"/>
      <c r="AQ916" s="712"/>
      <c r="AR916" s="712"/>
      <c r="AS916" s="712"/>
      <c r="AT916" s="712"/>
      <c r="AU916" s="712"/>
      <c r="AV916" s="712"/>
      <c r="AW916" s="712"/>
      <c r="AX916" s="712"/>
      <c r="AY916" s="712"/>
    </row>
    <row r="917">
      <c r="T917" s="434"/>
      <c r="U917" s="438"/>
      <c r="V917" s="438"/>
      <c r="W917" s="438"/>
      <c r="X917" s="438"/>
      <c r="Y917" s="438"/>
      <c r="Z917" s="438"/>
      <c r="AA917" s="438"/>
      <c r="AB917" s="438"/>
      <c r="AC917" s="438"/>
      <c r="AD917" s="438"/>
      <c r="AE917" s="438"/>
      <c r="AF917" s="438"/>
      <c r="AG917" s="712"/>
      <c r="AH917" s="712"/>
      <c r="AI917" s="712"/>
      <c r="AJ917" s="712"/>
      <c r="AK917" s="712"/>
      <c r="AL917" s="712"/>
      <c r="AM917" s="712"/>
      <c r="AN917" s="712"/>
      <c r="AO917" s="712"/>
      <c r="AP917" s="712"/>
      <c r="AQ917" s="712"/>
      <c r="AR917" s="712"/>
      <c r="AS917" s="712"/>
      <c r="AT917" s="712"/>
      <c r="AU917" s="712"/>
      <c r="AV917" s="712"/>
      <c r="AW917" s="712"/>
      <c r="AX917" s="712"/>
      <c r="AY917" s="712"/>
    </row>
    <row r="918">
      <c r="T918" s="434"/>
      <c r="U918" s="438"/>
      <c r="V918" s="438"/>
      <c r="W918" s="438"/>
      <c r="X918" s="438"/>
      <c r="Y918" s="438"/>
      <c r="Z918" s="438"/>
      <c r="AA918" s="438"/>
      <c r="AB918" s="438"/>
      <c r="AC918" s="438"/>
      <c r="AD918" s="438"/>
      <c r="AE918" s="438"/>
      <c r="AF918" s="438"/>
      <c r="AG918" s="712"/>
      <c r="AH918" s="712"/>
      <c r="AI918" s="712"/>
      <c r="AJ918" s="712"/>
      <c r="AK918" s="712"/>
      <c r="AL918" s="712"/>
      <c r="AM918" s="712"/>
      <c r="AN918" s="712"/>
      <c r="AO918" s="712"/>
      <c r="AP918" s="712"/>
      <c r="AQ918" s="712"/>
      <c r="AR918" s="712"/>
      <c r="AS918" s="712"/>
      <c r="AT918" s="712"/>
      <c r="AU918" s="712"/>
      <c r="AV918" s="712"/>
      <c r="AW918" s="712"/>
      <c r="AX918" s="712"/>
      <c r="AY918" s="712"/>
    </row>
    <row r="919">
      <c r="T919" s="434"/>
      <c r="U919" s="438"/>
      <c r="V919" s="438"/>
      <c r="W919" s="438"/>
      <c r="X919" s="438"/>
      <c r="Y919" s="438"/>
      <c r="Z919" s="438"/>
      <c r="AA919" s="438"/>
      <c r="AB919" s="438"/>
      <c r="AC919" s="438"/>
      <c r="AD919" s="438"/>
      <c r="AE919" s="438"/>
      <c r="AF919" s="438"/>
      <c r="AG919" s="712"/>
      <c r="AH919" s="712"/>
      <c r="AI919" s="712"/>
      <c r="AJ919" s="712"/>
      <c r="AK919" s="712"/>
      <c r="AL919" s="712"/>
      <c r="AM919" s="712"/>
      <c r="AN919" s="712"/>
      <c r="AO919" s="712"/>
      <c r="AP919" s="712"/>
      <c r="AQ919" s="712"/>
      <c r="AR919" s="712"/>
      <c r="AS919" s="712"/>
      <c r="AT919" s="712"/>
      <c r="AU919" s="712"/>
      <c r="AV919" s="712"/>
      <c r="AW919" s="712"/>
      <c r="AX919" s="712"/>
      <c r="AY919" s="712"/>
    </row>
    <row r="920">
      <c r="T920" s="434"/>
      <c r="U920" s="438"/>
      <c r="V920" s="438"/>
      <c r="W920" s="438"/>
      <c r="X920" s="438"/>
      <c r="Y920" s="438"/>
      <c r="Z920" s="438"/>
      <c r="AA920" s="438"/>
      <c r="AB920" s="438"/>
      <c r="AC920" s="438"/>
      <c r="AD920" s="438"/>
      <c r="AE920" s="438"/>
      <c r="AF920" s="438"/>
      <c r="AG920" s="712"/>
      <c r="AH920" s="712"/>
      <c r="AI920" s="712"/>
      <c r="AJ920" s="712"/>
      <c r="AK920" s="712"/>
      <c r="AL920" s="712"/>
      <c r="AM920" s="712"/>
      <c r="AN920" s="712"/>
      <c r="AO920" s="712"/>
      <c r="AP920" s="712"/>
      <c r="AQ920" s="712"/>
      <c r="AR920" s="712"/>
      <c r="AS920" s="712"/>
      <c r="AT920" s="712"/>
      <c r="AU920" s="712"/>
      <c r="AV920" s="712"/>
      <c r="AW920" s="712"/>
      <c r="AX920" s="712"/>
      <c r="AY920" s="712"/>
    </row>
    <row r="921">
      <c r="T921" s="434"/>
      <c r="U921" s="438"/>
      <c r="V921" s="438"/>
      <c r="W921" s="438"/>
      <c r="X921" s="438"/>
      <c r="Y921" s="438"/>
      <c r="Z921" s="438"/>
      <c r="AA921" s="438"/>
      <c r="AB921" s="438"/>
      <c r="AC921" s="438"/>
      <c r="AD921" s="438"/>
      <c r="AE921" s="438"/>
      <c r="AF921" s="438"/>
      <c r="AG921" s="712"/>
      <c r="AH921" s="712"/>
      <c r="AI921" s="712"/>
      <c r="AJ921" s="712"/>
      <c r="AK921" s="712"/>
      <c r="AL921" s="712"/>
      <c r="AM921" s="712"/>
      <c r="AN921" s="712"/>
      <c r="AO921" s="712"/>
      <c r="AP921" s="712"/>
      <c r="AQ921" s="712"/>
      <c r="AR921" s="712"/>
      <c r="AS921" s="712"/>
      <c r="AT921" s="712"/>
      <c r="AU921" s="712"/>
      <c r="AV921" s="712"/>
      <c r="AW921" s="712"/>
      <c r="AX921" s="712"/>
      <c r="AY921" s="712"/>
    </row>
    <row r="922">
      <c r="T922" s="434"/>
      <c r="U922" s="438"/>
      <c r="V922" s="438"/>
      <c r="W922" s="438"/>
      <c r="X922" s="438"/>
      <c r="Y922" s="438"/>
      <c r="Z922" s="438"/>
      <c r="AA922" s="438"/>
      <c r="AB922" s="438"/>
      <c r="AC922" s="438"/>
      <c r="AD922" s="438"/>
      <c r="AE922" s="438"/>
      <c r="AF922" s="438"/>
      <c r="AG922" s="712"/>
      <c r="AH922" s="712"/>
      <c r="AI922" s="712"/>
      <c r="AJ922" s="712"/>
      <c r="AK922" s="712"/>
      <c r="AL922" s="712"/>
      <c r="AM922" s="712"/>
      <c r="AN922" s="712"/>
      <c r="AO922" s="712"/>
      <c r="AP922" s="712"/>
      <c r="AQ922" s="712"/>
      <c r="AR922" s="712"/>
      <c r="AS922" s="712"/>
      <c r="AT922" s="712"/>
      <c r="AU922" s="712"/>
      <c r="AV922" s="712"/>
      <c r="AW922" s="712"/>
      <c r="AX922" s="712"/>
      <c r="AY922" s="712"/>
    </row>
    <row r="923">
      <c r="T923" s="434"/>
      <c r="U923" s="438"/>
      <c r="V923" s="438"/>
      <c r="W923" s="438"/>
      <c r="X923" s="438"/>
      <c r="Y923" s="438"/>
      <c r="Z923" s="438"/>
      <c r="AA923" s="438"/>
      <c r="AB923" s="438"/>
      <c r="AC923" s="438"/>
      <c r="AD923" s="438"/>
      <c r="AE923" s="438"/>
      <c r="AF923" s="438"/>
      <c r="AG923" s="712"/>
      <c r="AH923" s="712"/>
      <c r="AI923" s="712"/>
      <c r="AJ923" s="712"/>
      <c r="AK923" s="712"/>
      <c r="AL923" s="712"/>
      <c r="AM923" s="712"/>
      <c r="AN923" s="712"/>
      <c r="AO923" s="712"/>
      <c r="AP923" s="712"/>
      <c r="AQ923" s="712"/>
      <c r="AR923" s="712"/>
      <c r="AS923" s="712"/>
      <c r="AT923" s="712"/>
      <c r="AU923" s="712"/>
      <c r="AV923" s="712"/>
      <c r="AW923" s="712"/>
      <c r="AX923" s="712"/>
      <c r="AY923" s="712"/>
    </row>
    <row r="924">
      <c r="T924" s="434"/>
      <c r="U924" s="438"/>
      <c r="V924" s="438"/>
      <c r="W924" s="438"/>
      <c r="X924" s="438"/>
      <c r="Y924" s="438"/>
      <c r="Z924" s="438"/>
      <c r="AA924" s="438"/>
      <c r="AB924" s="438"/>
      <c r="AC924" s="438"/>
      <c r="AD924" s="438"/>
      <c r="AE924" s="438"/>
      <c r="AF924" s="438"/>
      <c r="AG924" s="712"/>
      <c r="AH924" s="712"/>
      <c r="AI924" s="712"/>
      <c r="AJ924" s="712"/>
      <c r="AK924" s="712"/>
      <c r="AL924" s="712"/>
      <c r="AM924" s="712"/>
      <c r="AN924" s="712"/>
      <c r="AO924" s="712"/>
      <c r="AP924" s="712"/>
      <c r="AQ924" s="712"/>
      <c r="AR924" s="712"/>
      <c r="AS924" s="712"/>
      <c r="AT924" s="712"/>
      <c r="AU924" s="712"/>
      <c r="AV924" s="712"/>
      <c r="AW924" s="712"/>
      <c r="AX924" s="712"/>
      <c r="AY924" s="712"/>
    </row>
    <row r="925">
      <c r="T925" s="434"/>
      <c r="U925" s="438"/>
      <c r="V925" s="438"/>
      <c r="W925" s="438"/>
      <c r="X925" s="438"/>
      <c r="Y925" s="438"/>
      <c r="Z925" s="438"/>
      <c r="AA925" s="438"/>
      <c r="AB925" s="438"/>
      <c r="AC925" s="438"/>
      <c r="AD925" s="438"/>
      <c r="AE925" s="438"/>
      <c r="AF925" s="438"/>
      <c r="AG925" s="712"/>
      <c r="AH925" s="712"/>
      <c r="AI925" s="712"/>
      <c r="AJ925" s="712"/>
      <c r="AK925" s="712"/>
      <c r="AL925" s="712"/>
      <c r="AM925" s="712"/>
      <c r="AN925" s="712"/>
      <c r="AO925" s="712"/>
      <c r="AP925" s="712"/>
      <c r="AQ925" s="712"/>
      <c r="AR925" s="712"/>
      <c r="AS925" s="712"/>
      <c r="AT925" s="712"/>
      <c r="AU925" s="712"/>
      <c r="AV925" s="712"/>
      <c r="AW925" s="712"/>
      <c r="AX925" s="712"/>
      <c r="AY925" s="712"/>
    </row>
    <row r="926">
      <c r="T926" s="434"/>
      <c r="U926" s="438"/>
      <c r="V926" s="438"/>
      <c r="W926" s="438"/>
      <c r="X926" s="438"/>
      <c r="Y926" s="438"/>
      <c r="Z926" s="438"/>
      <c r="AA926" s="438"/>
      <c r="AB926" s="438"/>
      <c r="AC926" s="438"/>
      <c r="AD926" s="438"/>
      <c r="AE926" s="438"/>
      <c r="AF926" s="438"/>
      <c r="AG926" s="712"/>
      <c r="AH926" s="712"/>
      <c r="AI926" s="712"/>
      <c r="AJ926" s="712"/>
      <c r="AK926" s="712"/>
      <c r="AL926" s="712"/>
      <c r="AM926" s="712"/>
      <c r="AN926" s="712"/>
      <c r="AO926" s="712"/>
      <c r="AP926" s="712"/>
      <c r="AQ926" s="712"/>
      <c r="AR926" s="712"/>
      <c r="AS926" s="712"/>
      <c r="AT926" s="712"/>
      <c r="AU926" s="712"/>
      <c r="AV926" s="712"/>
      <c r="AW926" s="712"/>
      <c r="AX926" s="712"/>
      <c r="AY926" s="712"/>
    </row>
    <row r="927">
      <c r="T927" s="434"/>
      <c r="U927" s="438"/>
      <c r="V927" s="438"/>
      <c r="W927" s="438"/>
      <c r="X927" s="438"/>
      <c r="Y927" s="438"/>
      <c r="Z927" s="438"/>
      <c r="AA927" s="438"/>
      <c r="AB927" s="438"/>
      <c r="AC927" s="438"/>
      <c r="AD927" s="438"/>
      <c r="AE927" s="438"/>
      <c r="AF927" s="438"/>
      <c r="AG927" s="712"/>
      <c r="AH927" s="712"/>
      <c r="AI927" s="712"/>
      <c r="AJ927" s="712"/>
      <c r="AK927" s="712"/>
      <c r="AL927" s="712"/>
      <c r="AM927" s="712"/>
      <c r="AN927" s="712"/>
      <c r="AO927" s="712"/>
      <c r="AP927" s="712"/>
      <c r="AQ927" s="712"/>
      <c r="AR927" s="712"/>
      <c r="AS927" s="712"/>
      <c r="AT927" s="712"/>
      <c r="AU927" s="712"/>
      <c r="AV927" s="712"/>
      <c r="AW927" s="712"/>
      <c r="AX927" s="712"/>
      <c r="AY927" s="712"/>
    </row>
    <row r="928">
      <c r="T928" s="434"/>
      <c r="U928" s="438"/>
      <c r="V928" s="438"/>
      <c r="W928" s="438"/>
      <c r="X928" s="438"/>
      <c r="Y928" s="438"/>
      <c r="Z928" s="438"/>
      <c r="AA928" s="438"/>
      <c r="AB928" s="438"/>
      <c r="AC928" s="438"/>
      <c r="AD928" s="438"/>
      <c r="AE928" s="438"/>
      <c r="AF928" s="438"/>
      <c r="AG928" s="712"/>
      <c r="AH928" s="712"/>
      <c r="AI928" s="712"/>
      <c r="AJ928" s="712"/>
      <c r="AK928" s="712"/>
      <c r="AL928" s="712"/>
      <c r="AM928" s="712"/>
      <c r="AN928" s="712"/>
      <c r="AO928" s="712"/>
      <c r="AP928" s="712"/>
      <c r="AQ928" s="712"/>
      <c r="AR928" s="712"/>
      <c r="AS928" s="712"/>
      <c r="AT928" s="712"/>
      <c r="AU928" s="712"/>
      <c r="AV928" s="712"/>
      <c r="AW928" s="712"/>
      <c r="AX928" s="712"/>
      <c r="AY928" s="712"/>
    </row>
    <row r="929">
      <c r="T929" s="434"/>
      <c r="U929" s="438"/>
      <c r="V929" s="438"/>
      <c r="W929" s="438"/>
      <c r="X929" s="438"/>
      <c r="Y929" s="438"/>
      <c r="Z929" s="438"/>
      <c r="AA929" s="438"/>
      <c r="AB929" s="438"/>
      <c r="AC929" s="438"/>
      <c r="AD929" s="438"/>
      <c r="AE929" s="438"/>
      <c r="AF929" s="438"/>
      <c r="AG929" s="712"/>
      <c r="AH929" s="712"/>
      <c r="AI929" s="712"/>
      <c r="AJ929" s="712"/>
      <c r="AK929" s="712"/>
      <c r="AL929" s="712"/>
      <c r="AM929" s="712"/>
      <c r="AN929" s="712"/>
      <c r="AO929" s="712"/>
      <c r="AP929" s="712"/>
      <c r="AQ929" s="712"/>
      <c r="AR929" s="712"/>
      <c r="AS929" s="712"/>
      <c r="AT929" s="712"/>
      <c r="AU929" s="712"/>
      <c r="AV929" s="712"/>
      <c r="AW929" s="712"/>
      <c r="AX929" s="712"/>
      <c r="AY929" s="712"/>
    </row>
    <row r="930">
      <c r="T930" s="434"/>
      <c r="U930" s="438"/>
      <c r="V930" s="438"/>
      <c r="W930" s="438"/>
      <c r="X930" s="438"/>
      <c r="Y930" s="438"/>
      <c r="Z930" s="438"/>
      <c r="AA930" s="438"/>
      <c r="AB930" s="438"/>
      <c r="AC930" s="438"/>
      <c r="AD930" s="438"/>
      <c r="AE930" s="438"/>
      <c r="AF930" s="438"/>
      <c r="AG930" s="712"/>
      <c r="AH930" s="712"/>
      <c r="AI930" s="712"/>
      <c r="AJ930" s="712"/>
      <c r="AK930" s="712"/>
      <c r="AL930" s="712"/>
      <c r="AM930" s="712"/>
      <c r="AN930" s="712"/>
      <c r="AO930" s="712"/>
      <c r="AP930" s="712"/>
      <c r="AQ930" s="712"/>
      <c r="AR930" s="712"/>
      <c r="AS930" s="712"/>
      <c r="AT930" s="712"/>
      <c r="AU930" s="712"/>
      <c r="AV930" s="712"/>
      <c r="AW930" s="712"/>
      <c r="AX930" s="712"/>
      <c r="AY930" s="712"/>
    </row>
    <row r="931">
      <c r="T931" s="434"/>
      <c r="U931" s="438"/>
      <c r="V931" s="438"/>
      <c r="W931" s="438"/>
      <c r="X931" s="438"/>
      <c r="Y931" s="438"/>
      <c r="Z931" s="438"/>
      <c r="AA931" s="438"/>
      <c r="AB931" s="438"/>
      <c r="AC931" s="438"/>
      <c r="AD931" s="438"/>
      <c r="AE931" s="438"/>
      <c r="AF931" s="438"/>
      <c r="AG931" s="712"/>
      <c r="AH931" s="712"/>
      <c r="AI931" s="712"/>
      <c r="AJ931" s="712"/>
      <c r="AK931" s="712"/>
      <c r="AL931" s="712"/>
      <c r="AM931" s="712"/>
      <c r="AN931" s="712"/>
      <c r="AO931" s="712"/>
      <c r="AP931" s="712"/>
      <c r="AQ931" s="712"/>
      <c r="AR931" s="712"/>
      <c r="AS931" s="712"/>
      <c r="AT931" s="712"/>
      <c r="AU931" s="712"/>
      <c r="AV931" s="712"/>
      <c r="AW931" s="712"/>
      <c r="AX931" s="712"/>
      <c r="AY931" s="712"/>
    </row>
    <row r="932">
      <c r="T932" s="434"/>
      <c r="U932" s="438"/>
      <c r="V932" s="438"/>
      <c r="W932" s="438"/>
      <c r="X932" s="438"/>
      <c r="Y932" s="438"/>
      <c r="Z932" s="438"/>
      <c r="AA932" s="438"/>
      <c r="AB932" s="438"/>
      <c r="AC932" s="438"/>
      <c r="AD932" s="438"/>
      <c r="AE932" s="438"/>
      <c r="AF932" s="438"/>
      <c r="AG932" s="712"/>
      <c r="AH932" s="712"/>
      <c r="AI932" s="712"/>
      <c r="AJ932" s="712"/>
      <c r="AK932" s="712"/>
      <c r="AL932" s="712"/>
      <c r="AM932" s="712"/>
      <c r="AN932" s="712"/>
      <c r="AO932" s="712"/>
      <c r="AP932" s="712"/>
      <c r="AQ932" s="712"/>
      <c r="AR932" s="712"/>
      <c r="AS932" s="712"/>
      <c r="AT932" s="712"/>
      <c r="AU932" s="712"/>
      <c r="AV932" s="712"/>
      <c r="AW932" s="712"/>
      <c r="AX932" s="712"/>
      <c r="AY932" s="712"/>
    </row>
    <row r="933">
      <c r="T933" s="434"/>
      <c r="U933" s="438"/>
      <c r="V933" s="438"/>
      <c r="W933" s="438"/>
      <c r="X933" s="438"/>
      <c r="Y933" s="438"/>
      <c r="Z933" s="438"/>
      <c r="AA933" s="438"/>
      <c r="AB933" s="438"/>
      <c r="AC933" s="438"/>
      <c r="AD933" s="438"/>
      <c r="AE933" s="438"/>
      <c r="AF933" s="438"/>
      <c r="AG933" s="712"/>
      <c r="AH933" s="712"/>
      <c r="AI933" s="712"/>
      <c r="AJ933" s="712"/>
      <c r="AK933" s="712"/>
      <c r="AL933" s="712"/>
      <c r="AM933" s="712"/>
      <c r="AN933" s="712"/>
      <c r="AO933" s="712"/>
      <c r="AP933" s="712"/>
      <c r="AQ933" s="712"/>
      <c r="AR933" s="712"/>
      <c r="AS933" s="712"/>
      <c r="AT933" s="712"/>
      <c r="AU933" s="712"/>
      <c r="AV933" s="712"/>
      <c r="AW933" s="712"/>
      <c r="AX933" s="712"/>
      <c r="AY933" s="712"/>
    </row>
    <row r="934">
      <c r="T934" s="434"/>
      <c r="U934" s="438"/>
      <c r="V934" s="438"/>
      <c r="W934" s="438"/>
      <c r="X934" s="438"/>
      <c r="Y934" s="438"/>
      <c r="Z934" s="438"/>
      <c r="AA934" s="438"/>
      <c r="AB934" s="438"/>
      <c r="AC934" s="438"/>
      <c r="AD934" s="438"/>
      <c r="AE934" s="438"/>
      <c r="AF934" s="438"/>
      <c r="AG934" s="712"/>
      <c r="AH934" s="712"/>
      <c r="AI934" s="712"/>
      <c r="AJ934" s="712"/>
      <c r="AK934" s="712"/>
      <c r="AL934" s="712"/>
      <c r="AM934" s="712"/>
      <c r="AN934" s="712"/>
      <c r="AO934" s="712"/>
      <c r="AP934" s="712"/>
      <c r="AQ934" s="712"/>
      <c r="AR934" s="712"/>
      <c r="AS934" s="712"/>
      <c r="AT934" s="712"/>
      <c r="AU934" s="712"/>
      <c r="AV934" s="712"/>
      <c r="AW934" s="712"/>
      <c r="AX934" s="712"/>
      <c r="AY934" s="712"/>
    </row>
    <row r="935">
      <c r="T935" s="434"/>
      <c r="U935" s="438"/>
      <c r="V935" s="438"/>
      <c r="W935" s="438"/>
      <c r="X935" s="438"/>
      <c r="Y935" s="438"/>
      <c r="Z935" s="438"/>
      <c r="AA935" s="438"/>
      <c r="AB935" s="438"/>
      <c r="AC935" s="438"/>
      <c r="AD935" s="438"/>
      <c r="AE935" s="438"/>
      <c r="AF935" s="438"/>
      <c r="AG935" s="712"/>
      <c r="AH935" s="712"/>
      <c r="AI935" s="712"/>
      <c r="AJ935" s="712"/>
      <c r="AK935" s="712"/>
      <c r="AL935" s="712"/>
      <c r="AM935" s="712"/>
      <c r="AN935" s="712"/>
      <c r="AO935" s="712"/>
      <c r="AP935" s="712"/>
      <c r="AQ935" s="712"/>
      <c r="AR935" s="712"/>
      <c r="AS935" s="712"/>
      <c r="AT935" s="712"/>
      <c r="AU935" s="712"/>
      <c r="AV935" s="712"/>
      <c r="AW935" s="712"/>
      <c r="AX935" s="712"/>
      <c r="AY935" s="712"/>
    </row>
    <row r="936">
      <c r="T936" s="434"/>
      <c r="U936" s="438"/>
      <c r="V936" s="438"/>
      <c r="W936" s="438"/>
      <c r="X936" s="438"/>
      <c r="Y936" s="438"/>
      <c r="Z936" s="438"/>
      <c r="AA936" s="438"/>
      <c r="AB936" s="438"/>
      <c r="AC936" s="438"/>
      <c r="AD936" s="438"/>
      <c r="AE936" s="438"/>
      <c r="AF936" s="438"/>
      <c r="AG936" s="712"/>
      <c r="AH936" s="712"/>
      <c r="AI936" s="712"/>
      <c r="AJ936" s="712"/>
      <c r="AK936" s="712"/>
      <c r="AL936" s="712"/>
      <c r="AM936" s="712"/>
      <c r="AN936" s="712"/>
      <c r="AO936" s="712"/>
      <c r="AP936" s="712"/>
      <c r="AQ936" s="712"/>
      <c r="AR936" s="712"/>
      <c r="AS936" s="712"/>
      <c r="AT936" s="712"/>
      <c r="AU936" s="712"/>
      <c r="AV936" s="712"/>
      <c r="AW936" s="712"/>
      <c r="AX936" s="712"/>
      <c r="AY936" s="712"/>
    </row>
    <row r="937">
      <c r="T937" s="434"/>
      <c r="U937" s="438"/>
      <c r="V937" s="438"/>
      <c r="W937" s="438"/>
      <c r="X937" s="438"/>
      <c r="Y937" s="438"/>
      <c r="Z937" s="438"/>
      <c r="AA937" s="438"/>
      <c r="AB937" s="438"/>
      <c r="AC937" s="438"/>
      <c r="AD937" s="438"/>
      <c r="AE937" s="438"/>
      <c r="AF937" s="438"/>
      <c r="AG937" s="712"/>
      <c r="AH937" s="712"/>
      <c r="AI937" s="712"/>
      <c r="AJ937" s="712"/>
      <c r="AK937" s="712"/>
      <c r="AL937" s="712"/>
      <c r="AM937" s="712"/>
      <c r="AN937" s="712"/>
      <c r="AO937" s="712"/>
      <c r="AP937" s="712"/>
      <c r="AQ937" s="712"/>
      <c r="AR937" s="712"/>
      <c r="AS937" s="712"/>
      <c r="AT937" s="712"/>
      <c r="AU937" s="712"/>
      <c r="AV937" s="712"/>
      <c r="AW937" s="712"/>
      <c r="AX937" s="712"/>
      <c r="AY937" s="712"/>
    </row>
    <row r="938">
      <c r="T938" s="434"/>
      <c r="U938" s="438"/>
      <c r="V938" s="438"/>
      <c r="W938" s="438"/>
      <c r="X938" s="438"/>
      <c r="Y938" s="438"/>
      <c r="Z938" s="438"/>
      <c r="AA938" s="438"/>
      <c r="AB938" s="438"/>
      <c r="AC938" s="438"/>
      <c r="AD938" s="438"/>
      <c r="AE938" s="438"/>
      <c r="AF938" s="438"/>
      <c r="AG938" s="712"/>
      <c r="AH938" s="712"/>
      <c r="AI938" s="712"/>
      <c r="AJ938" s="712"/>
      <c r="AK938" s="712"/>
      <c r="AL938" s="712"/>
      <c r="AM938" s="712"/>
      <c r="AN938" s="712"/>
      <c r="AO938" s="712"/>
      <c r="AP938" s="712"/>
      <c r="AQ938" s="712"/>
      <c r="AR938" s="712"/>
      <c r="AS938" s="712"/>
      <c r="AT938" s="712"/>
      <c r="AU938" s="712"/>
      <c r="AV938" s="712"/>
      <c r="AW938" s="712"/>
      <c r="AX938" s="712"/>
      <c r="AY938" s="712"/>
    </row>
    <row r="939">
      <c r="T939" s="434"/>
      <c r="U939" s="438"/>
      <c r="V939" s="438"/>
      <c r="W939" s="438"/>
      <c r="X939" s="438"/>
      <c r="Y939" s="438"/>
      <c r="Z939" s="438"/>
      <c r="AA939" s="438"/>
      <c r="AB939" s="438"/>
      <c r="AC939" s="438"/>
      <c r="AD939" s="438"/>
      <c r="AE939" s="438"/>
      <c r="AF939" s="438"/>
      <c r="AG939" s="712"/>
      <c r="AH939" s="712"/>
      <c r="AI939" s="712"/>
      <c r="AJ939" s="712"/>
      <c r="AK939" s="712"/>
      <c r="AL939" s="712"/>
      <c r="AM939" s="712"/>
      <c r="AN939" s="712"/>
      <c r="AO939" s="712"/>
      <c r="AP939" s="712"/>
      <c r="AQ939" s="712"/>
      <c r="AR939" s="712"/>
      <c r="AS939" s="712"/>
      <c r="AT939" s="712"/>
      <c r="AU939" s="712"/>
      <c r="AV939" s="712"/>
      <c r="AW939" s="712"/>
      <c r="AX939" s="712"/>
      <c r="AY939" s="712"/>
    </row>
    <row r="940">
      <c r="T940" s="434"/>
      <c r="U940" s="438"/>
      <c r="V940" s="438"/>
      <c r="W940" s="438"/>
      <c r="X940" s="438"/>
      <c r="Y940" s="438"/>
      <c r="Z940" s="438"/>
      <c r="AA940" s="438"/>
      <c r="AB940" s="438"/>
      <c r="AC940" s="438"/>
      <c r="AD940" s="438"/>
      <c r="AE940" s="438"/>
      <c r="AF940" s="438"/>
      <c r="AG940" s="712"/>
      <c r="AH940" s="712"/>
      <c r="AI940" s="712"/>
      <c r="AJ940" s="712"/>
      <c r="AK940" s="712"/>
      <c r="AL940" s="712"/>
      <c r="AM940" s="712"/>
      <c r="AN940" s="712"/>
      <c r="AO940" s="712"/>
      <c r="AP940" s="712"/>
      <c r="AQ940" s="712"/>
      <c r="AR940" s="712"/>
      <c r="AS940" s="712"/>
      <c r="AT940" s="712"/>
      <c r="AU940" s="712"/>
      <c r="AV940" s="712"/>
      <c r="AW940" s="712"/>
      <c r="AX940" s="712"/>
      <c r="AY940" s="712"/>
    </row>
    <row r="941">
      <c r="T941" s="434"/>
      <c r="U941" s="438"/>
      <c r="V941" s="438"/>
      <c r="W941" s="438"/>
      <c r="X941" s="438"/>
      <c r="Y941" s="438"/>
      <c r="Z941" s="438"/>
      <c r="AA941" s="438"/>
      <c r="AB941" s="438"/>
      <c r="AC941" s="438"/>
      <c r="AD941" s="438"/>
      <c r="AE941" s="438"/>
      <c r="AF941" s="438"/>
      <c r="AG941" s="712"/>
      <c r="AH941" s="712"/>
      <c r="AI941" s="712"/>
      <c r="AJ941" s="712"/>
      <c r="AK941" s="712"/>
      <c r="AL941" s="712"/>
      <c r="AM941" s="712"/>
      <c r="AN941" s="712"/>
      <c r="AO941" s="712"/>
      <c r="AP941" s="712"/>
      <c r="AQ941" s="712"/>
      <c r="AR941" s="712"/>
      <c r="AS941" s="712"/>
      <c r="AT941" s="712"/>
      <c r="AU941" s="712"/>
      <c r="AV941" s="712"/>
      <c r="AW941" s="712"/>
      <c r="AX941" s="712"/>
      <c r="AY941" s="712"/>
    </row>
    <row r="942">
      <c r="T942" s="434"/>
      <c r="U942" s="438"/>
      <c r="V942" s="438"/>
      <c r="W942" s="438"/>
      <c r="X942" s="438"/>
      <c r="Y942" s="438"/>
      <c r="Z942" s="438"/>
      <c r="AA942" s="438"/>
      <c r="AB942" s="438"/>
      <c r="AC942" s="438"/>
      <c r="AD942" s="438"/>
      <c r="AE942" s="438"/>
      <c r="AF942" s="438"/>
      <c r="AG942" s="712"/>
      <c r="AH942" s="712"/>
      <c r="AI942" s="712"/>
      <c r="AJ942" s="712"/>
      <c r="AK942" s="712"/>
      <c r="AL942" s="712"/>
      <c r="AM942" s="712"/>
      <c r="AN942" s="712"/>
      <c r="AO942" s="712"/>
      <c r="AP942" s="712"/>
      <c r="AQ942" s="712"/>
      <c r="AR942" s="712"/>
      <c r="AS942" s="712"/>
      <c r="AT942" s="712"/>
      <c r="AU942" s="712"/>
      <c r="AV942" s="712"/>
      <c r="AW942" s="712"/>
      <c r="AX942" s="712"/>
      <c r="AY942" s="712"/>
    </row>
    <row r="943">
      <c r="T943" s="434"/>
      <c r="U943" s="438"/>
      <c r="V943" s="438"/>
      <c r="W943" s="438"/>
      <c r="X943" s="438"/>
      <c r="Y943" s="438"/>
      <c r="Z943" s="438"/>
      <c r="AA943" s="438"/>
      <c r="AB943" s="438"/>
      <c r="AC943" s="438"/>
      <c r="AD943" s="438"/>
      <c r="AE943" s="438"/>
      <c r="AF943" s="438"/>
      <c r="AG943" s="712"/>
      <c r="AH943" s="712"/>
      <c r="AI943" s="712"/>
      <c r="AJ943" s="712"/>
      <c r="AK943" s="712"/>
      <c r="AL943" s="712"/>
      <c r="AM943" s="712"/>
      <c r="AN943" s="712"/>
      <c r="AO943" s="712"/>
      <c r="AP943" s="712"/>
      <c r="AQ943" s="712"/>
      <c r="AR943" s="712"/>
      <c r="AS943" s="712"/>
      <c r="AT943" s="712"/>
      <c r="AU943" s="712"/>
      <c r="AV943" s="712"/>
      <c r="AW943" s="712"/>
      <c r="AX943" s="712"/>
      <c r="AY943" s="712"/>
    </row>
    <row r="944">
      <c r="T944" s="434"/>
      <c r="U944" s="438"/>
      <c r="V944" s="438"/>
      <c r="W944" s="438"/>
      <c r="X944" s="438"/>
      <c r="Y944" s="438"/>
      <c r="Z944" s="438"/>
      <c r="AA944" s="438"/>
      <c r="AB944" s="438"/>
      <c r="AC944" s="438"/>
      <c r="AD944" s="438"/>
      <c r="AE944" s="438"/>
      <c r="AF944" s="438"/>
      <c r="AG944" s="712"/>
      <c r="AH944" s="712"/>
      <c r="AI944" s="712"/>
      <c r="AJ944" s="712"/>
      <c r="AK944" s="712"/>
      <c r="AL944" s="712"/>
      <c r="AM944" s="712"/>
      <c r="AN944" s="712"/>
      <c r="AO944" s="712"/>
      <c r="AP944" s="712"/>
      <c r="AQ944" s="712"/>
      <c r="AR944" s="712"/>
      <c r="AS944" s="712"/>
      <c r="AT944" s="712"/>
      <c r="AU944" s="712"/>
      <c r="AV944" s="712"/>
      <c r="AW944" s="712"/>
      <c r="AX944" s="712"/>
      <c r="AY944" s="712"/>
    </row>
    <row r="945">
      <c r="T945" s="434"/>
      <c r="U945" s="438"/>
      <c r="V945" s="438"/>
      <c r="W945" s="438"/>
      <c r="X945" s="438"/>
      <c r="Y945" s="438"/>
      <c r="Z945" s="438"/>
      <c r="AA945" s="438"/>
      <c r="AB945" s="438"/>
      <c r="AC945" s="438"/>
      <c r="AD945" s="438"/>
      <c r="AE945" s="438"/>
      <c r="AF945" s="438"/>
      <c r="AG945" s="712"/>
      <c r="AH945" s="712"/>
      <c r="AI945" s="712"/>
      <c r="AJ945" s="712"/>
      <c r="AK945" s="712"/>
      <c r="AL945" s="712"/>
      <c r="AM945" s="712"/>
      <c r="AN945" s="712"/>
      <c r="AO945" s="712"/>
      <c r="AP945" s="712"/>
      <c r="AQ945" s="712"/>
      <c r="AR945" s="712"/>
      <c r="AS945" s="712"/>
      <c r="AT945" s="712"/>
      <c r="AU945" s="712"/>
      <c r="AV945" s="712"/>
      <c r="AW945" s="712"/>
      <c r="AX945" s="712"/>
      <c r="AY945" s="712"/>
    </row>
    <row r="946">
      <c r="T946" s="434"/>
      <c r="U946" s="438"/>
      <c r="V946" s="438"/>
      <c r="W946" s="438"/>
      <c r="X946" s="438"/>
      <c r="Y946" s="438"/>
      <c r="Z946" s="438"/>
      <c r="AA946" s="438"/>
      <c r="AB946" s="438"/>
      <c r="AC946" s="438"/>
      <c r="AD946" s="438"/>
      <c r="AE946" s="438"/>
      <c r="AF946" s="438"/>
      <c r="AG946" s="712"/>
      <c r="AH946" s="712"/>
      <c r="AI946" s="712"/>
      <c r="AJ946" s="712"/>
      <c r="AK946" s="712"/>
      <c r="AL946" s="712"/>
      <c r="AM946" s="712"/>
      <c r="AN946" s="712"/>
      <c r="AO946" s="712"/>
      <c r="AP946" s="712"/>
      <c r="AQ946" s="712"/>
      <c r="AR946" s="712"/>
      <c r="AS946" s="712"/>
      <c r="AT946" s="712"/>
      <c r="AU946" s="712"/>
      <c r="AV946" s="712"/>
      <c r="AW946" s="712"/>
      <c r="AX946" s="712"/>
      <c r="AY946" s="712"/>
    </row>
    <row r="947">
      <c r="T947" s="434"/>
      <c r="U947" s="438"/>
      <c r="V947" s="438"/>
      <c r="W947" s="438"/>
      <c r="X947" s="438"/>
      <c r="Y947" s="438"/>
      <c r="Z947" s="438"/>
      <c r="AA947" s="438"/>
      <c r="AB947" s="438"/>
      <c r="AC947" s="438"/>
      <c r="AD947" s="438"/>
      <c r="AE947" s="438"/>
      <c r="AF947" s="438"/>
      <c r="AG947" s="712"/>
      <c r="AH947" s="712"/>
      <c r="AI947" s="712"/>
      <c r="AJ947" s="712"/>
      <c r="AK947" s="712"/>
      <c r="AL947" s="712"/>
      <c r="AM947" s="712"/>
      <c r="AN947" s="712"/>
      <c r="AO947" s="712"/>
      <c r="AP947" s="712"/>
      <c r="AQ947" s="712"/>
      <c r="AR947" s="712"/>
      <c r="AS947" s="712"/>
      <c r="AT947" s="712"/>
      <c r="AU947" s="712"/>
      <c r="AV947" s="712"/>
      <c r="AW947" s="712"/>
      <c r="AX947" s="712"/>
      <c r="AY947" s="712"/>
    </row>
    <row r="948">
      <c r="T948" s="434"/>
      <c r="U948" s="438"/>
      <c r="V948" s="438"/>
      <c r="W948" s="438"/>
      <c r="X948" s="438"/>
      <c r="Y948" s="438"/>
      <c r="Z948" s="438"/>
      <c r="AA948" s="438"/>
      <c r="AB948" s="438"/>
      <c r="AC948" s="438"/>
      <c r="AD948" s="438"/>
      <c r="AE948" s="438"/>
      <c r="AF948" s="438"/>
      <c r="AG948" s="712"/>
      <c r="AH948" s="712"/>
      <c r="AI948" s="712"/>
      <c r="AJ948" s="712"/>
      <c r="AK948" s="712"/>
      <c r="AL948" s="712"/>
      <c r="AM948" s="712"/>
      <c r="AN948" s="712"/>
      <c r="AO948" s="712"/>
      <c r="AP948" s="712"/>
      <c r="AQ948" s="712"/>
      <c r="AR948" s="712"/>
      <c r="AS948" s="712"/>
      <c r="AT948" s="712"/>
      <c r="AU948" s="712"/>
      <c r="AV948" s="712"/>
      <c r="AW948" s="712"/>
      <c r="AX948" s="712"/>
      <c r="AY948" s="712"/>
    </row>
    <row r="949">
      <c r="T949" s="434"/>
      <c r="U949" s="438"/>
      <c r="V949" s="438"/>
      <c r="W949" s="438"/>
      <c r="X949" s="438"/>
      <c r="Y949" s="438"/>
      <c r="Z949" s="438"/>
      <c r="AA949" s="438"/>
      <c r="AB949" s="438"/>
      <c r="AC949" s="438"/>
      <c r="AD949" s="438"/>
      <c r="AE949" s="438"/>
      <c r="AF949" s="438"/>
      <c r="AG949" s="712"/>
      <c r="AH949" s="712"/>
      <c r="AI949" s="712"/>
      <c r="AJ949" s="712"/>
      <c r="AK949" s="712"/>
      <c r="AL949" s="712"/>
      <c r="AM949" s="712"/>
      <c r="AN949" s="712"/>
      <c r="AO949" s="712"/>
      <c r="AP949" s="712"/>
      <c r="AQ949" s="712"/>
      <c r="AR949" s="712"/>
      <c r="AS949" s="712"/>
      <c r="AT949" s="712"/>
      <c r="AU949" s="712"/>
      <c r="AV949" s="712"/>
      <c r="AW949" s="712"/>
      <c r="AX949" s="712"/>
      <c r="AY949" s="712"/>
    </row>
    <row r="950">
      <c r="T950" s="434"/>
      <c r="U950" s="438"/>
      <c r="V950" s="438"/>
      <c r="W950" s="438"/>
      <c r="X950" s="438"/>
      <c r="Y950" s="438"/>
      <c r="Z950" s="438"/>
      <c r="AA950" s="438"/>
      <c r="AB950" s="438"/>
      <c r="AC950" s="438"/>
      <c r="AD950" s="438"/>
      <c r="AE950" s="438"/>
      <c r="AF950" s="438"/>
      <c r="AG950" s="712"/>
      <c r="AH950" s="712"/>
      <c r="AI950" s="712"/>
      <c r="AJ950" s="712"/>
      <c r="AK950" s="712"/>
      <c r="AL950" s="712"/>
      <c r="AM950" s="712"/>
      <c r="AN950" s="712"/>
      <c r="AO950" s="712"/>
      <c r="AP950" s="712"/>
      <c r="AQ950" s="712"/>
      <c r="AR950" s="712"/>
      <c r="AS950" s="712"/>
      <c r="AT950" s="712"/>
      <c r="AU950" s="712"/>
      <c r="AV950" s="712"/>
      <c r="AW950" s="712"/>
      <c r="AX950" s="712"/>
      <c r="AY950" s="712"/>
    </row>
    <row r="951">
      <c r="T951" s="434"/>
      <c r="U951" s="438"/>
      <c r="V951" s="438"/>
      <c r="W951" s="438"/>
      <c r="X951" s="438"/>
      <c r="Y951" s="438"/>
      <c r="Z951" s="438"/>
      <c r="AA951" s="438"/>
      <c r="AB951" s="438"/>
      <c r="AC951" s="438"/>
      <c r="AD951" s="438"/>
      <c r="AE951" s="438"/>
      <c r="AF951" s="438"/>
      <c r="AG951" s="712"/>
      <c r="AH951" s="712"/>
      <c r="AI951" s="712"/>
      <c r="AJ951" s="712"/>
      <c r="AK951" s="712"/>
      <c r="AL951" s="712"/>
      <c r="AM951" s="712"/>
      <c r="AN951" s="712"/>
      <c r="AO951" s="712"/>
      <c r="AP951" s="712"/>
      <c r="AQ951" s="712"/>
      <c r="AR951" s="712"/>
      <c r="AS951" s="712"/>
      <c r="AT951" s="712"/>
      <c r="AU951" s="712"/>
      <c r="AV951" s="712"/>
      <c r="AW951" s="712"/>
      <c r="AX951" s="712"/>
      <c r="AY951" s="712"/>
    </row>
    <row r="952">
      <c r="T952" s="434"/>
      <c r="U952" s="438"/>
      <c r="V952" s="438"/>
      <c r="W952" s="438"/>
      <c r="X952" s="438"/>
      <c r="Y952" s="438"/>
      <c r="Z952" s="438"/>
      <c r="AA952" s="438"/>
      <c r="AB952" s="438"/>
      <c r="AC952" s="438"/>
      <c r="AD952" s="438"/>
      <c r="AE952" s="438"/>
      <c r="AF952" s="438"/>
      <c r="AG952" s="712"/>
      <c r="AH952" s="712"/>
      <c r="AI952" s="712"/>
      <c r="AJ952" s="712"/>
      <c r="AK952" s="712"/>
      <c r="AL952" s="712"/>
      <c r="AM952" s="712"/>
      <c r="AN952" s="712"/>
      <c r="AO952" s="712"/>
      <c r="AP952" s="712"/>
      <c r="AQ952" s="712"/>
      <c r="AR952" s="712"/>
      <c r="AS952" s="712"/>
      <c r="AT952" s="712"/>
      <c r="AU952" s="712"/>
      <c r="AV952" s="712"/>
      <c r="AW952" s="712"/>
      <c r="AX952" s="712"/>
      <c r="AY952" s="712"/>
    </row>
    <row r="953">
      <c r="T953" s="434"/>
      <c r="U953" s="438"/>
      <c r="V953" s="438"/>
      <c r="W953" s="438"/>
      <c r="X953" s="438"/>
      <c r="Y953" s="438"/>
      <c r="Z953" s="438"/>
      <c r="AA953" s="438"/>
      <c r="AB953" s="438"/>
      <c r="AC953" s="438"/>
      <c r="AD953" s="438"/>
      <c r="AE953" s="438"/>
      <c r="AF953" s="438"/>
      <c r="AG953" s="712"/>
      <c r="AH953" s="712"/>
      <c r="AI953" s="712"/>
      <c r="AJ953" s="712"/>
      <c r="AK953" s="712"/>
      <c r="AL953" s="712"/>
      <c r="AM953" s="712"/>
      <c r="AN953" s="712"/>
      <c r="AO953" s="712"/>
      <c r="AP953" s="712"/>
      <c r="AQ953" s="712"/>
      <c r="AR953" s="712"/>
      <c r="AS953" s="712"/>
      <c r="AT953" s="712"/>
      <c r="AU953" s="712"/>
      <c r="AV953" s="712"/>
      <c r="AW953" s="712"/>
      <c r="AX953" s="712"/>
      <c r="AY953" s="712"/>
    </row>
    <row r="954">
      <c r="T954" s="434"/>
      <c r="U954" s="438"/>
      <c r="V954" s="438"/>
      <c r="W954" s="438"/>
      <c r="X954" s="438"/>
      <c r="Y954" s="438"/>
      <c r="Z954" s="438"/>
      <c r="AA954" s="438"/>
      <c r="AB954" s="438"/>
      <c r="AC954" s="438"/>
      <c r="AD954" s="438"/>
      <c r="AE954" s="438"/>
      <c r="AF954" s="438"/>
      <c r="AG954" s="712"/>
      <c r="AH954" s="712"/>
      <c r="AI954" s="712"/>
      <c r="AJ954" s="712"/>
      <c r="AK954" s="712"/>
      <c r="AL954" s="712"/>
      <c r="AM954" s="712"/>
      <c r="AN954" s="712"/>
      <c r="AO954" s="712"/>
      <c r="AP954" s="712"/>
      <c r="AQ954" s="712"/>
      <c r="AR954" s="712"/>
      <c r="AS954" s="712"/>
      <c r="AT954" s="712"/>
      <c r="AU954" s="712"/>
      <c r="AV954" s="712"/>
      <c r="AW954" s="712"/>
      <c r="AX954" s="712"/>
      <c r="AY954" s="712"/>
    </row>
    <row r="955">
      <c r="T955" s="434"/>
      <c r="U955" s="438"/>
      <c r="V955" s="438"/>
      <c r="W955" s="438"/>
      <c r="X955" s="438"/>
      <c r="Y955" s="438"/>
      <c r="Z955" s="438"/>
      <c r="AA955" s="438"/>
      <c r="AB955" s="438"/>
      <c r="AC955" s="438"/>
      <c r="AD955" s="438"/>
      <c r="AE955" s="438"/>
      <c r="AF955" s="438"/>
      <c r="AG955" s="712"/>
      <c r="AH955" s="712"/>
      <c r="AI955" s="712"/>
      <c r="AJ955" s="712"/>
      <c r="AK955" s="712"/>
      <c r="AL955" s="712"/>
      <c r="AM955" s="712"/>
      <c r="AN955" s="712"/>
      <c r="AO955" s="712"/>
      <c r="AP955" s="712"/>
      <c r="AQ955" s="712"/>
      <c r="AR955" s="712"/>
      <c r="AS955" s="712"/>
      <c r="AT955" s="712"/>
      <c r="AU955" s="712"/>
      <c r="AV955" s="712"/>
      <c r="AW955" s="712"/>
      <c r="AX955" s="712"/>
      <c r="AY955" s="712"/>
    </row>
    <row r="956">
      <c r="T956" s="434"/>
      <c r="U956" s="438"/>
      <c r="V956" s="438"/>
      <c r="W956" s="438"/>
      <c r="X956" s="438"/>
      <c r="Y956" s="438"/>
      <c r="Z956" s="438"/>
      <c r="AA956" s="438"/>
      <c r="AB956" s="438"/>
      <c r="AC956" s="438"/>
      <c r="AD956" s="438"/>
      <c r="AE956" s="438"/>
      <c r="AF956" s="438"/>
      <c r="AG956" s="712"/>
      <c r="AH956" s="712"/>
      <c r="AI956" s="712"/>
      <c r="AJ956" s="712"/>
      <c r="AK956" s="712"/>
      <c r="AL956" s="712"/>
      <c r="AM956" s="712"/>
      <c r="AN956" s="712"/>
      <c r="AO956" s="712"/>
      <c r="AP956" s="712"/>
      <c r="AQ956" s="712"/>
      <c r="AR956" s="712"/>
      <c r="AS956" s="712"/>
      <c r="AT956" s="712"/>
      <c r="AU956" s="712"/>
      <c r="AV956" s="712"/>
      <c r="AW956" s="712"/>
      <c r="AX956" s="712"/>
      <c r="AY956" s="712"/>
    </row>
    <row r="957">
      <c r="T957" s="434"/>
      <c r="U957" s="438"/>
      <c r="V957" s="438"/>
      <c r="W957" s="438"/>
      <c r="X957" s="438"/>
      <c r="Y957" s="438"/>
      <c r="Z957" s="438"/>
      <c r="AA957" s="438"/>
      <c r="AB957" s="438"/>
      <c r="AC957" s="438"/>
      <c r="AD957" s="438"/>
      <c r="AE957" s="438"/>
      <c r="AF957" s="438"/>
      <c r="AG957" s="712"/>
      <c r="AH957" s="712"/>
      <c r="AI957" s="712"/>
      <c r="AJ957" s="712"/>
      <c r="AK957" s="712"/>
      <c r="AL957" s="712"/>
      <c r="AM957" s="712"/>
      <c r="AN957" s="712"/>
      <c r="AO957" s="712"/>
      <c r="AP957" s="712"/>
      <c r="AQ957" s="712"/>
      <c r="AR957" s="712"/>
      <c r="AS957" s="712"/>
      <c r="AT957" s="712"/>
      <c r="AU957" s="712"/>
      <c r="AV957" s="712"/>
      <c r="AW957" s="712"/>
      <c r="AX957" s="712"/>
      <c r="AY957" s="712"/>
    </row>
    <row r="958">
      <c r="T958" s="434"/>
      <c r="U958" s="438"/>
      <c r="V958" s="438"/>
      <c r="W958" s="438"/>
      <c r="X958" s="438"/>
      <c r="Y958" s="438"/>
      <c r="Z958" s="438"/>
      <c r="AA958" s="438"/>
      <c r="AB958" s="438"/>
      <c r="AC958" s="438"/>
      <c r="AD958" s="438"/>
      <c r="AE958" s="438"/>
      <c r="AF958" s="438"/>
      <c r="AG958" s="712"/>
      <c r="AH958" s="712"/>
      <c r="AI958" s="712"/>
      <c r="AJ958" s="712"/>
      <c r="AK958" s="712"/>
      <c r="AL958" s="712"/>
      <c r="AM958" s="712"/>
      <c r="AN958" s="712"/>
      <c r="AO958" s="712"/>
      <c r="AP958" s="712"/>
      <c r="AQ958" s="712"/>
      <c r="AR958" s="712"/>
      <c r="AS958" s="712"/>
      <c r="AT958" s="712"/>
      <c r="AU958" s="712"/>
      <c r="AV958" s="712"/>
      <c r="AW958" s="712"/>
      <c r="AX958" s="712"/>
      <c r="AY958" s="712"/>
    </row>
    <row r="959">
      <c r="T959" s="434"/>
      <c r="U959" s="438"/>
      <c r="V959" s="438"/>
      <c r="W959" s="438"/>
      <c r="X959" s="438"/>
      <c r="Y959" s="438"/>
      <c r="Z959" s="438"/>
      <c r="AA959" s="438"/>
      <c r="AB959" s="438"/>
      <c r="AC959" s="438"/>
      <c r="AD959" s="438"/>
      <c r="AE959" s="438"/>
      <c r="AF959" s="438"/>
      <c r="AG959" s="712"/>
      <c r="AH959" s="712"/>
      <c r="AI959" s="712"/>
      <c r="AJ959" s="712"/>
      <c r="AK959" s="712"/>
      <c r="AL959" s="712"/>
      <c r="AM959" s="712"/>
      <c r="AN959" s="712"/>
      <c r="AO959" s="712"/>
      <c r="AP959" s="712"/>
      <c r="AQ959" s="712"/>
      <c r="AR959" s="712"/>
      <c r="AS959" s="712"/>
      <c r="AT959" s="712"/>
      <c r="AU959" s="712"/>
      <c r="AV959" s="712"/>
      <c r="AW959" s="712"/>
      <c r="AX959" s="712"/>
      <c r="AY959" s="712"/>
    </row>
    <row r="960">
      <c r="T960" s="434"/>
      <c r="U960" s="438"/>
      <c r="V960" s="438"/>
      <c r="W960" s="438"/>
      <c r="X960" s="438"/>
      <c r="Y960" s="438"/>
      <c r="Z960" s="438"/>
      <c r="AA960" s="438"/>
      <c r="AB960" s="438"/>
      <c r="AC960" s="438"/>
      <c r="AD960" s="438"/>
      <c r="AE960" s="438"/>
      <c r="AF960" s="438"/>
      <c r="AG960" s="712"/>
      <c r="AH960" s="712"/>
      <c r="AI960" s="712"/>
      <c r="AJ960" s="712"/>
      <c r="AK960" s="712"/>
      <c r="AL960" s="712"/>
      <c r="AM960" s="712"/>
      <c r="AN960" s="712"/>
      <c r="AO960" s="712"/>
      <c r="AP960" s="712"/>
      <c r="AQ960" s="712"/>
      <c r="AR960" s="712"/>
      <c r="AS960" s="712"/>
      <c r="AT960" s="712"/>
      <c r="AU960" s="712"/>
      <c r="AV960" s="712"/>
      <c r="AW960" s="712"/>
      <c r="AX960" s="712"/>
      <c r="AY960" s="712"/>
    </row>
    <row r="961">
      <c r="T961" s="434"/>
      <c r="U961" s="438"/>
      <c r="V961" s="438"/>
      <c r="W961" s="438"/>
      <c r="X961" s="438"/>
      <c r="Y961" s="438"/>
      <c r="Z961" s="438"/>
      <c r="AA961" s="438"/>
      <c r="AB961" s="438"/>
      <c r="AC961" s="438"/>
      <c r="AD961" s="438"/>
      <c r="AE961" s="438"/>
      <c r="AF961" s="438"/>
      <c r="AG961" s="712"/>
      <c r="AH961" s="712"/>
      <c r="AI961" s="712"/>
      <c r="AJ961" s="712"/>
      <c r="AK961" s="712"/>
      <c r="AL961" s="712"/>
      <c r="AM961" s="712"/>
      <c r="AN961" s="712"/>
      <c r="AO961" s="712"/>
      <c r="AP961" s="712"/>
      <c r="AQ961" s="712"/>
      <c r="AR961" s="712"/>
      <c r="AS961" s="712"/>
      <c r="AT961" s="712"/>
      <c r="AU961" s="712"/>
      <c r="AV961" s="712"/>
      <c r="AW961" s="712"/>
      <c r="AX961" s="712"/>
      <c r="AY961" s="712"/>
    </row>
    <row r="962">
      <c r="T962" s="434"/>
      <c r="U962" s="438"/>
      <c r="V962" s="438"/>
      <c r="W962" s="438"/>
      <c r="X962" s="438"/>
      <c r="Y962" s="438"/>
      <c r="Z962" s="438"/>
      <c r="AA962" s="438"/>
      <c r="AB962" s="438"/>
      <c r="AC962" s="438"/>
      <c r="AD962" s="438"/>
      <c r="AE962" s="438"/>
      <c r="AF962" s="438"/>
      <c r="AG962" s="712"/>
      <c r="AH962" s="712"/>
      <c r="AI962" s="712"/>
      <c r="AJ962" s="712"/>
      <c r="AK962" s="712"/>
      <c r="AL962" s="712"/>
      <c r="AM962" s="712"/>
      <c r="AN962" s="712"/>
      <c r="AO962" s="712"/>
      <c r="AP962" s="712"/>
      <c r="AQ962" s="712"/>
      <c r="AR962" s="712"/>
      <c r="AS962" s="712"/>
      <c r="AT962" s="712"/>
      <c r="AU962" s="712"/>
      <c r="AV962" s="712"/>
      <c r="AW962" s="712"/>
      <c r="AX962" s="712"/>
      <c r="AY962" s="712"/>
    </row>
    <row r="963">
      <c r="T963" s="434"/>
      <c r="U963" s="438"/>
      <c r="V963" s="438"/>
      <c r="W963" s="438"/>
      <c r="X963" s="438"/>
      <c r="Y963" s="438"/>
      <c r="Z963" s="438"/>
      <c r="AA963" s="438"/>
      <c r="AB963" s="438"/>
      <c r="AC963" s="438"/>
      <c r="AD963" s="438"/>
      <c r="AE963" s="438"/>
      <c r="AF963" s="438"/>
      <c r="AG963" s="712"/>
      <c r="AH963" s="712"/>
      <c r="AI963" s="712"/>
      <c r="AJ963" s="712"/>
      <c r="AK963" s="712"/>
      <c r="AL963" s="712"/>
      <c r="AM963" s="712"/>
      <c r="AN963" s="712"/>
      <c r="AO963" s="712"/>
      <c r="AP963" s="712"/>
      <c r="AQ963" s="712"/>
      <c r="AR963" s="712"/>
      <c r="AS963" s="712"/>
      <c r="AT963" s="712"/>
      <c r="AU963" s="712"/>
      <c r="AV963" s="712"/>
      <c r="AW963" s="712"/>
      <c r="AX963" s="712"/>
      <c r="AY963" s="712"/>
    </row>
    <row r="964">
      <c r="T964" s="434"/>
      <c r="U964" s="438"/>
      <c r="V964" s="438"/>
      <c r="W964" s="438"/>
      <c r="X964" s="438"/>
      <c r="Y964" s="438"/>
      <c r="Z964" s="438"/>
      <c r="AA964" s="438"/>
      <c r="AB964" s="438"/>
      <c r="AC964" s="438"/>
      <c r="AD964" s="438"/>
      <c r="AE964" s="438"/>
      <c r="AF964" s="438"/>
      <c r="AG964" s="712"/>
      <c r="AH964" s="712"/>
      <c r="AI964" s="712"/>
      <c r="AJ964" s="712"/>
      <c r="AK964" s="712"/>
      <c r="AL964" s="712"/>
      <c r="AM964" s="712"/>
      <c r="AN964" s="712"/>
      <c r="AO964" s="712"/>
      <c r="AP964" s="712"/>
      <c r="AQ964" s="712"/>
      <c r="AR964" s="712"/>
      <c r="AS964" s="712"/>
      <c r="AT964" s="712"/>
      <c r="AU964" s="712"/>
      <c r="AV964" s="712"/>
      <c r="AW964" s="712"/>
      <c r="AX964" s="712"/>
      <c r="AY964" s="712"/>
    </row>
    <row r="965">
      <c r="T965" s="434"/>
      <c r="U965" s="438"/>
      <c r="V965" s="438"/>
      <c r="W965" s="438"/>
      <c r="X965" s="438"/>
      <c r="Y965" s="438"/>
      <c r="Z965" s="438"/>
      <c r="AA965" s="438"/>
      <c r="AB965" s="438"/>
      <c r="AC965" s="438"/>
      <c r="AD965" s="438"/>
      <c r="AE965" s="438"/>
      <c r="AF965" s="438"/>
      <c r="AG965" s="712"/>
      <c r="AH965" s="712"/>
      <c r="AI965" s="712"/>
      <c r="AJ965" s="712"/>
      <c r="AK965" s="712"/>
      <c r="AL965" s="712"/>
      <c r="AM965" s="712"/>
      <c r="AN965" s="712"/>
      <c r="AO965" s="712"/>
      <c r="AP965" s="712"/>
      <c r="AQ965" s="712"/>
      <c r="AR965" s="712"/>
      <c r="AS965" s="712"/>
      <c r="AT965" s="712"/>
      <c r="AU965" s="712"/>
      <c r="AV965" s="712"/>
      <c r="AW965" s="712"/>
      <c r="AX965" s="712"/>
      <c r="AY965" s="712"/>
    </row>
    <row r="966">
      <c r="T966" s="434"/>
      <c r="U966" s="438"/>
      <c r="V966" s="438"/>
      <c r="W966" s="438"/>
      <c r="X966" s="438"/>
      <c r="Y966" s="438"/>
      <c r="Z966" s="438"/>
      <c r="AA966" s="438"/>
      <c r="AB966" s="438"/>
      <c r="AC966" s="438"/>
      <c r="AD966" s="438"/>
      <c r="AE966" s="438"/>
      <c r="AF966" s="438"/>
      <c r="AG966" s="712"/>
      <c r="AH966" s="712"/>
      <c r="AI966" s="712"/>
      <c r="AJ966" s="712"/>
      <c r="AK966" s="712"/>
      <c r="AL966" s="712"/>
      <c r="AM966" s="712"/>
      <c r="AN966" s="712"/>
      <c r="AO966" s="712"/>
      <c r="AP966" s="712"/>
      <c r="AQ966" s="712"/>
      <c r="AR966" s="712"/>
      <c r="AS966" s="712"/>
      <c r="AT966" s="712"/>
      <c r="AU966" s="712"/>
      <c r="AV966" s="712"/>
      <c r="AW966" s="712"/>
      <c r="AX966" s="712"/>
      <c r="AY966" s="712"/>
    </row>
    <row r="967">
      <c r="T967" s="434"/>
      <c r="U967" s="438"/>
      <c r="V967" s="438"/>
      <c r="W967" s="438"/>
      <c r="X967" s="438"/>
      <c r="Y967" s="438"/>
      <c r="Z967" s="438"/>
      <c r="AA967" s="438"/>
      <c r="AB967" s="438"/>
      <c r="AC967" s="438"/>
      <c r="AD967" s="438"/>
      <c r="AE967" s="438"/>
      <c r="AF967" s="438"/>
      <c r="AG967" s="712"/>
      <c r="AH967" s="712"/>
      <c r="AI967" s="712"/>
      <c r="AJ967" s="712"/>
      <c r="AK967" s="712"/>
      <c r="AL967" s="712"/>
      <c r="AM967" s="712"/>
      <c r="AN967" s="712"/>
      <c r="AO967" s="712"/>
      <c r="AP967" s="712"/>
      <c r="AQ967" s="712"/>
      <c r="AR967" s="712"/>
      <c r="AS967" s="712"/>
      <c r="AT967" s="712"/>
      <c r="AU967" s="712"/>
      <c r="AV967" s="712"/>
      <c r="AW967" s="712"/>
      <c r="AX967" s="712"/>
      <c r="AY967" s="712"/>
    </row>
    <row r="968">
      <c r="T968" s="434"/>
      <c r="U968" s="438"/>
      <c r="V968" s="438"/>
      <c r="W968" s="438"/>
      <c r="X968" s="438"/>
      <c r="Y968" s="438"/>
      <c r="Z968" s="438"/>
      <c r="AA968" s="438"/>
      <c r="AB968" s="438"/>
      <c r="AC968" s="438"/>
      <c r="AD968" s="438"/>
      <c r="AE968" s="438"/>
      <c r="AF968" s="438"/>
      <c r="AG968" s="712"/>
      <c r="AH968" s="712"/>
      <c r="AI968" s="712"/>
      <c r="AJ968" s="712"/>
      <c r="AK968" s="712"/>
      <c r="AL968" s="712"/>
      <c r="AM968" s="712"/>
      <c r="AN968" s="712"/>
      <c r="AO968" s="712"/>
      <c r="AP968" s="712"/>
      <c r="AQ968" s="712"/>
      <c r="AR968" s="712"/>
      <c r="AS968" s="712"/>
      <c r="AT968" s="712"/>
      <c r="AU968" s="712"/>
      <c r="AV968" s="712"/>
      <c r="AW968" s="712"/>
      <c r="AX968" s="712"/>
      <c r="AY968" s="712"/>
    </row>
    <row r="969">
      <c r="T969" s="434"/>
      <c r="U969" s="438"/>
      <c r="V969" s="438"/>
      <c r="W969" s="438"/>
      <c r="X969" s="438"/>
      <c r="Y969" s="438"/>
      <c r="Z969" s="438"/>
      <c r="AA969" s="438"/>
      <c r="AB969" s="438"/>
      <c r="AC969" s="438"/>
      <c r="AD969" s="438"/>
      <c r="AE969" s="438"/>
      <c r="AF969" s="438"/>
      <c r="AG969" s="712"/>
      <c r="AH969" s="712"/>
      <c r="AI969" s="712"/>
      <c r="AJ969" s="712"/>
      <c r="AK969" s="712"/>
      <c r="AL969" s="712"/>
      <c r="AM969" s="712"/>
      <c r="AN969" s="712"/>
      <c r="AO969" s="712"/>
      <c r="AP969" s="712"/>
      <c r="AQ969" s="712"/>
      <c r="AR969" s="712"/>
      <c r="AS969" s="712"/>
      <c r="AT969" s="712"/>
      <c r="AU969" s="712"/>
      <c r="AV969" s="712"/>
      <c r="AW969" s="712"/>
      <c r="AX969" s="712"/>
      <c r="AY969" s="712"/>
    </row>
    <row r="970">
      <c r="T970" s="434"/>
      <c r="U970" s="438"/>
      <c r="V970" s="438"/>
      <c r="W970" s="438"/>
      <c r="X970" s="438"/>
      <c r="Y970" s="438"/>
      <c r="Z970" s="438"/>
      <c r="AA970" s="438"/>
      <c r="AB970" s="438"/>
      <c r="AC970" s="438"/>
      <c r="AD970" s="438"/>
      <c r="AE970" s="438"/>
      <c r="AF970" s="438"/>
      <c r="AG970" s="712"/>
      <c r="AH970" s="712"/>
      <c r="AI970" s="712"/>
      <c r="AJ970" s="712"/>
      <c r="AK970" s="712"/>
      <c r="AL970" s="712"/>
      <c r="AM970" s="712"/>
      <c r="AN970" s="712"/>
      <c r="AO970" s="712"/>
      <c r="AP970" s="712"/>
      <c r="AQ970" s="712"/>
      <c r="AR970" s="712"/>
      <c r="AS970" s="712"/>
      <c r="AT970" s="712"/>
      <c r="AU970" s="712"/>
      <c r="AV970" s="712"/>
      <c r="AW970" s="712"/>
      <c r="AX970" s="712"/>
      <c r="AY970" s="712"/>
    </row>
    <row r="971">
      <c r="T971" s="434"/>
      <c r="U971" s="438"/>
      <c r="V971" s="438"/>
      <c r="W971" s="438"/>
      <c r="X971" s="438"/>
      <c r="Y971" s="438"/>
      <c r="Z971" s="438"/>
      <c r="AA971" s="438"/>
      <c r="AB971" s="438"/>
      <c r="AC971" s="438"/>
      <c r="AD971" s="438"/>
      <c r="AE971" s="438"/>
      <c r="AF971" s="438"/>
      <c r="AG971" s="712"/>
      <c r="AH971" s="712"/>
      <c r="AI971" s="712"/>
      <c r="AJ971" s="712"/>
      <c r="AK971" s="712"/>
      <c r="AL971" s="712"/>
      <c r="AM971" s="712"/>
      <c r="AN971" s="712"/>
      <c r="AO971" s="712"/>
      <c r="AP971" s="712"/>
      <c r="AQ971" s="712"/>
      <c r="AR971" s="712"/>
      <c r="AS971" s="712"/>
      <c r="AT971" s="712"/>
      <c r="AU971" s="712"/>
      <c r="AV971" s="712"/>
      <c r="AW971" s="712"/>
      <c r="AX971" s="712"/>
      <c r="AY971" s="712"/>
    </row>
    <row r="972">
      <c r="T972" s="434"/>
      <c r="U972" s="438"/>
      <c r="V972" s="438"/>
      <c r="W972" s="438"/>
      <c r="X972" s="438"/>
      <c r="Y972" s="438"/>
      <c r="Z972" s="438"/>
      <c r="AA972" s="438"/>
      <c r="AB972" s="438"/>
      <c r="AC972" s="438"/>
      <c r="AD972" s="438"/>
      <c r="AE972" s="438"/>
      <c r="AF972" s="438"/>
      <c r="AG972" s="712"/>
      <c r="AH972" s="712"/>
      <c r="AI972" s="712"/>
      <c r="AJ972" s="712"/>
      <c r="AK972" s="712"/>
      <c r="AL972" s="712"/>
      <c r="AM972" s="712"/>
      <c r="AN972" s="712"/>
      <c r="AO972" s="712"/>
      <c r="AP972" s="712"/>
      <c r="AQ972" s="712"/>
      <c r="AR972" s="712"/>
      <c r="AS972" s="712"/>
      <c r="AT972" s="712"/>
      <c r="AU972" s="712"/>
      <c r="AV972" s="712"/>
      <c r="AW972" s="712"/>
      <c r="AX972" s="712"/>
      <c r="AY972" s="712"/>
    </row>
    <row r="973">
      <c r="T973" s="434"/>
      <c r="U973" s="438"/>
      <c r="V973" s="438"/>
      <c r="W973" s="438"/>
      <c r="X973" s="438"/>
      <c r="Y973" s="438"/>
      <c r="Z973" s="438"/>
      <c r="AA973" s="438"/>
      <c r="AB973" s="438"/>
      <c r="AC973" s="438"/>
      <c r="AD973" s="438"/>
      <c r="AE973" s="438"/>
      <c r="AF973" s="438"/>
      <c r="AG973" s="712"/>
      <c r="AH973" s="712"/>
      <c r="AI973" s="712"/>
      <c r="AJ973" s="712"/>
      <c r="AK973" s="712"/>
      <c r="AL973" s="712"/>
      <c r="AM973" s="712"/>
      <c r="AN973" s="712"/>
      <c r="AO973" s="712"/>
      <c r="AP973" s="712"/>
      <c r="AQ973" s="712"/>
      <c r="AR973" s="712"/>
      <c r="AS973" s="712"/>
      <c r="AT973" s="712"/>
      <c r="AU973" s="712"/>
      <c r="AV973" s="712"/>
      <c r="AW973" s="712"/>
      <c r="AX973" s="712"/>
      <c r="AY973" s="712"/>
    </row>
    <row r="974">
      <c r="T974" s="434"/>
      <c r="U974" s="438"/>
      <c r="V974" s="438"/>
      <c r="W974" s="438"/>
      <c r="X974" s="438"/>
      <c r="Y974" s="438"/>
      <c r="Z974" s="438"/>
      <c r="AA974" s="438"/>
      <c r="AB974" s="438"/>
      <c r="AC974" s="438"/>
      <c r="AD974" s="438"/>
      <c r="AE974" s="438"/>
      <c r="AF974" s="438"/>
      <c r="AG974" s="712"/>
      <c r="AH974" s="712"/>
      <c r="AI974" s="712"/>
      <c r="AJ974" s="712"/>
      <c r="AK974" s="712"/>
      <c r="AL974" s="712"/>
      <c r="AM974" s="712"/>
      <c r="AN974" s="712"/>
      <c r="AO974" s="712"/>
      <c r="AP974" s="712"/>
      <c r="AQ974" s="712"/>
      <c r="AR974" s="712"/>
      <c r="AS974" s="712"/>
      <c r="AT974" s="712"/>
      <c r="AU974" s="712"/>
      <c r="AV974" s="712"/>
      <c r="AW974" s="712"/>
      <c r="AX974" s="712"/>
      <c r="AY974" s="712"/>
    </row>
    <row r="975">
      <c r="T975" s="434"/>
      <c r="U975" s="438"/>
      <c r="V975" s="438"/>
      <c r="W975" s="438"/>
      <c r="X975" s="438"/>
      <c r="Y975" s="438"/>
      <c r="Z975" s="438"/>
      <c r="AA975" s="438"/>
      <c r="AB975" s="438"/>
      <c r="AC975" s="438"/>
      <c r="AD975" s="438"/>
      <c r="AE975" s="438"/>
      <c r="AF975" s="438"/>
      <c r="AG975" s="712"/>
      <c r="AH975" s="712"/>
      <c r="AI975" s="712"/>
      <c r="AJ975" s="712"/>
      <c r="AK975" s="712"/>
      <c r="AL975" s="712"/>
      <c r="AM975" s="712"/>
      <c r="AN975" s="712"/>
      <c r="AO975" s="712"/>
      <c r="AP975" s="712"/>
      <c r="AQ975" s="712"/>
      <c r="AR975" s="712"/>
      <c r="AS975" s="712"/>
      <c r="AT975" s="712"/>
      <c r="AU975" s="712"/>
      <c r="AV975" s="712"/>
      <c r="AW975" s="712"/>
      <c r="AX975" s="712"/>
      <c r="AY975" s="712"/>
    </row>
    <row r="976">
      <c r="T976" s="434"/>
      <c r="U976" s="438"/>
      <c r="V976" s="438"/>
      <c r="W976" s="438"/>
      <c r="X976" s="438"/>
      <c r="Y976" s="438"/>
      <c r="Z976" s="438"/>
      <c r="AA976" s="438"/>
      <c r="AB976" s="438"/>
      <c r="AC976" s="438"/>
      <c r="AD976" s="438"/>
      <c r="AE976" s="438"/>
      <c r="AF976" s="438"/>
      <c r="AG976" s="712"/>
      <c r="AH976" s="712"/>
      <c r="AI976" s="712"/>
      <c r="AJ976" s="712"/>
      <c r="AK976" s="712"/>
      <c r="AL976" s="712"/>
      <c r="AM976" s="712"/>
      <c r="AN976" s="712"/>
      <c r="AO976" s="712"/>
      <c r="AP976" s="712"/>
      <c r="AQ976" s="712"/>
      <c r="AR976" s="712"/>
      <c r="AS976" s="712"/>
      <c r="AT976" s="712"/>
      <c r="AU976" s="712"/>
      <c r="AV976" s="712"/>
      <c r="AW976" s="712"/>
      <c r="AX976" s="712"/>
      <c r="AY976" s="712"/>
    </row>
    <row r="977">
      <c r="T977" s="434"/>
      <c r="U977" s="438"/>
      <c r="V977" s="438"/>
      <c r="W977" s="438"/>
      <c r="X977" s="438"/>
      <c r="Y977" s="438"/>
      <c r="Z977" s="438"/>
      <c r="AA977" s="438"/>
      <c r="AB977" s="438"/>
      <c r="AC977" s="438"/>
      <c r="AD977" s="438"/>
      <c r="AE977" s="438"/>
      <c r="AF977" s="438"/>
      <c r="AG977" s="712"/>
      <c r="AH977" s="712"/>
      <c r="AI977" s="712"/>
      <c r="AJ977" s="712"/>
      <c r="AK977" s="712"/>
      <c r="AL977" s="712"/>
      <c r="AM977" s="712"/>
      <c r="AN977" s="712"/>
      <c r="AO977" s="712"/>
      <c r="AP977" s="712"/>
      <c r="AQ977" s="712"/>
      <c r="AR977" s="712"/>
      <c r="AS977" s="712"/>
      <c r="AT977" s="712"/>
      <c r="AU977" s="712"/>
      <c r="AV977" s="712"/>
      <c r="AW977" s="712"/>
      <c r="AX977" s="712"/>
      <c r="AY977" s="712"/>
    </row>
    <row r="978">
      <c r="T978" s="434"/>
      <c r="U978" s="438"/>
      <c r="V978" s="438"/>
      <c r="W978" s="438"/>
      <c r="X978" s="438"/>
      <c r="Y978" s="438"/>
      <c r="Z978" s="438"/>
      <c r="AA978" s="438"/>
      <c r="AB978" s="438"/>
      <c r="AC978" s="438"/>
      <c r="AD978" s="438"/>
      <c r="AE978" s="438"/>
      <c r="AF978" s="438"/>
      <c r="AG978" s="712"/>
      <c r="AH978" s="712"/>
      <c r="AI978" s="712"/>
      <c r="AJ978" s="712"/>
      <c r="AK978" s="712"/>
      <c r="AL978" s="712"/>
      <c r="AM978" s="712"/>
      <c r="AN978" s="712"/>
      <c r="AO978" s="712"/>
      <c r="AP978" s="712"/>
      <c r="AQ978" s="712"/>
      <c r="AR978" s="712"/>
      <c r="AS978" s="712"/>
      <c r="AT978" s="712"/>
      <c r="AU978" s="712"/>
      <c r="AV978" s="712"/>
      <c r="AW978" s="712"/>
      <c r="AX978" s="712"/>
      <c r="AY978" s="712"/>
    </row>
    <row r="979">
      <c r="T979" s="434"/>
      <c r="U979" s="438"/>
      <c r="V979" s="438"/>
      <c r="W979" s="438"/>
      <c r="X979" s="438"/>
      <c r="Y979" s="438"/>
      <c r="Z979" s="438"/>
      <c r="AA979" s="438"/>
      <c r="AB979" s="438"/>
      <c r="AC979" s="438"/>
      <c r="AD979" s="438"/>
      <c r="AE979" s="438"/>
      <c r="AF979" s="438"/>
      <c r="AG979" s="712"/>
      <c r="AH979" s="712"/>
      <c r="AI979" s="712"/>
      <c r="AJ979" s="712"/>
      <c r="AK979" s="712"/>
      <c r="AL979" s="712"/>
      <c r="AM979" s="712"/>
      <c r="AN979" s="712"/>
      <c r="AO979" s="712"/>
      <c r="AP979" s="712"/>
      <c r="AQ979" s="712"/>
      <c r="AR979" s="712"/>
      <c r="AS979" s="712"/>
      <c r="AT979" s="712"/>
      <c r="AU979" s="712"/>
      <c r="AV979" s="712"/>
      <c r="AW979" s="712"/>
      <c r="AX979" s="712"/>
      <c r="AY979" s="712"/>
    </row>
    <row r="980">
      <c r="T980" s="434"/>
      <c r="U980" s="438"/>
      <c r="V980" s="438"/>
      <c r="W980" s="438"/>
      <c r="X980" s="438"/>
      <c r="Y980" s="438"/>
      <c r="Z980" s="438"/>
      <c r="AA980" s="438"/>
      <c r="AB980" s="438"/>
      <c r="AC980" s="438"/>
      <c r="AD980" s="438"/>
      <c r="AE980" s="438"/>
      <c r="AF980" s="438"/>
      <c r="AG980" s="712"/>
      <c r="AH980" s="712"/>
      <c r="AI980" s="712"/>
      <c r="AJ980" s="712"/>
      <c r="AK980" s="712"/>
      <c r="AL980" s="712"/>
      <c r="AM980" s="712"/>
      <c r="AN980" s="712"/>
      <c r="AO980" s="712"/>
      <c r="AP980" s="712"/>
      <c r="AQ980" s="712"/>
      <c r="AR980" s="712"/>
      <c r="AS980" s="712"/>
      <c r="AT980" s="712"/>
      <c r="AU980" s="712"/>
      <c r="AV980" s="712"/>
      <c r="AW980" s="712"/>
      <c r="AX980" s="712"/>
      <c r="AY980" s="712"/>
    </row>
    <row r="981">
      <c r="T981" s="434"/>
      <c r="U981" s="438"/>
      <c r="V981" s="438"/>
      <c r="W981" s="438"/>
      <c r="X981" s="438"/>
      <c r="Y981" s="438"/>
      <c r="Z981" s="438"/>
      <c r="AA981" s="438"/>
      <c r="AB981" s="438"/>
      <c r="AC981" s="438"/>
      <c r="AD981" s="438"/>
      <c r="AE981" s="438"/>
      <c r="AF981" s="438"/>
      <c r="AG981" s="712"/>
      <c r="AH981" s="712"/>
      <c r="AI981" s="712"/>
      <c r="AJ981" s="712"/>
      <c r="AK981" s="712"/>
      <c r="AL981" s="712"/>
      <c r="AM981" s="712"/>
      <c r="AN981" s="712"/>
      <c r="AO981" s="712"/>
      <c r="AP981" s="712"/>
      <c r="AQ981" s="712"/>
      <c r="AR981" s="712"/>
      <c r="AS981" s="712"/>
      <c r="AT981" s="712"/>
      <c r="AU981" s="712"/>
      <c r="AV981" s="712"/>
      <c r="AW981" s="712"/>
      <c r="AX981" s="712"/>
      <c r="AY981" s="712"/>
    </row>
    <row r="982">
      <c r="T982" s="434"/>
      <c r="U982" s="438"/>
      <c r="V982" s="438"/>
      <c r="W982" s="438"/>
      <c r="X982" s="438"/>
      <c r="Y982" s="438"/>
      <c r="Z982" s="438"/>
      <c r="AA982" s="438"/>
      <c r="AB982" s="438"/>
      <c r="AC982" s="438"/>
      <c r="AD982" s="438"/>
      <c r="AE982" s="438"/>
      <c r="AF982" s="438"/>
      <c r="AG982" s="712"/>
      <c r="AH982" s="712"/>
      <c r="AI982" s="712"/>
      <c r="AJ982" s="712"/>
      <c r="AK982" s="712"/>
      <c r="AL982" s="712"/>
      <c r="AM982" s="712"/>
      <c r="AN982" s="712"/>
      <c r="AO982" s="712"/>
      <c r="AP982" s="712"/>
      <c r="AQ982" s="712"/>
      <c r="AR982" s="712"/>
      <c r="AS982" s="712"/>
      <c r="AT982" s="712"/>
      <c r="AU982" s="712"/>
      <c r="AV982" s="712"/>
      <c r="AW982" s="712"/>
      <c r="AX982" s="712"/>
      <c r="AY982" s="712"/>
    </row>
    <row r="983">
      <c r="T983" s="434"/>
      <c r="U983" s="438"/>
      <c r="V983" s="438"/>
      <c r="W983" s="438"/>
      <c r="X983" s="438"/>
      <c r="Y983" s="438"/>
      <c r="Z983" s="438"/>
      <c r="AA983" s="438"/>
      <c r="AB983" s="438"/>
      <c r="AC983" s="438"/>
      <c r="AD983" s="438"/>
      <c r="AE983" s="438"/>
      <c r="AF983" s="438"/>
      <c r="AG983" s="712"/>
      <c r="AH983" s="712"/>
      <c r="AI983" s="712"/>
      <c r="AJ983" s="712"/>
      <c r="AK983" s="712"/>
      <c r="AL983" s="712"/>
      <c r="AM983" s="712"/>
      <c r="AN983" s="712"/>
      <c r="AO983" s="712"/>
      <c r="AP983" s="712"/>
      <c r="AQ983" s="712"/>
      <c r="AR983" s="712"/>
      <c r="AS983" s="712"/>
      <c r="AT983" s="712"/>
      <c r="AU983" s="712"/>
      <c r="AV983" s="712"/>
      <c r="AW983" s="712"/>
      <c r="AX983" s="712"/>
      <c r="AY983" s="712"/>
    </row>
    <row r="984">
      <c r="T984" s="434"/>
      <c r="U984" s="438"/>
      <c r="V984" s="438"/>
      <c r="W984" s="438"/>
      <c r="X984" s="438"/>
      <c r="Y984" s="438"/>
      <c r="Z984" s="438"/>
      <c r="AA984" s="438"/>
      <c r="AB984" s="438"/>
      <c r="AC984" s="438"/>
      <c r="AD984" s="438"/>
      <c r="AE984" s="438"/>
      <c r="AF984" s="438"/>
      <c r="AG984" s="712"/>
      <c r="AH984" s="712"/>
      <c r="AI984" s="712"/>
      <c r="AJ984" s="712"/>
      <c r="AK984" s="712"/>
      <c r="AL984" s="712"/>
      <c r="AM984" s="712"/>
      <c r="AN984" s="712"/>
      <c r="AO984" s="712"/>
      <c r="AP984" s="712"/>
      <c r="AQ984" s="712"/>
      <c r="AR984" s="712"/>
      <c r="AS984" s="712"/>
      <c r="AT984" s="712"/>
      <c r="AU984" s="712"/>
      <c r="AV984" s="712"/>
      <c r="AW984" s="712"/>
      <c r="AX984" s="712"/>
      <c r="AY984" s="712"/>
    </row>
    <row r="985">
      <c r="T985" s="434"/>
      <c r="U985" s="438"/>
      <c r="V985" s="438"/>
      <c r="W985" s="438"/>
      <c r="X985" s="438"/>
      <c r="Y985" s="438"/>
      <c r="Z985" s="438"/>
      <c r="AA985" s="438"/>
      <c r="AB985" s="438"/>
      <c r="AC985" s="438"/>
      <c r="AD985" s="438"/>
      <c r="AE985" s="438"/>
      <c r="AF985" s="438"/>
      <c r="AG985" s="712"/>
      <c r="AH985" s="712"/>
      <c r="AI985" s="712"/>
      <c r="AJ985" s="712"/>
      <c r="AK985" s="712"/>
      <c r="AL985" s="712"/>
      <c r="AM985" s="712"/>
      <c r="AN985" s="712"/>
      <c r="AO985" s="712"/>
      <c r="AP985" s="712"/>
      <c r="AQ985" s="712"/>
      <c r="AR985" s="712"/>
      <c r="AS985" s="712"/>
      <c r="AT985" s="712"/>
      <c r="AU985" s="712"/>
      <c r="AV985" s="712"/>
      <c r="AW985" s="712"/>
      <c r="AX985" s="712"/>
      <c r="AY985" s="712"/>
    </row>
    <row r="986">
      <c r="T986" s="434"/>
      <c r="U986" s="438"/>
      <c r="V986" s="438"/>
      <c r="W986" s="438"/>
      <c r="X986" s="438"/>
      <c r="Y986" s="438"/>
      <c r="Z986" s="438"/>
      <c r="AA986" s="438"/>
      <c r="AB986" s="438"/>
      <c r="AC986" s="438"/>
      <c r="AD986" s="438"/>
      <c r="AE986" s="438"/>
      <c r="AF986" s="438"/>
      <c r="AG986" s="712"/>
      <c r="AH986" s="712"/>
      <c r="AI986" s="712"/>
      <c r="AJ986" s="712"/>
      <c r="AK986" s="712"/>
      <c r="AL986" s="712"/>
      <c r="AM986" s="712"/>
      <c r="AN986" s="712"/>
      <c r="AO986" s="712"/>
      <c r="AP986" s="712"/>
      <c r="AQ986" s="712"/>
      <c r="AR986" s="712"/>
      <c r="AS986" s="712"/>
      <c r="AT986" s="712"/>
      <c r="AU986" s="712"/>
      <c r="AV986" s="712"/>
      <c r="AW986" s="712"/>
      <c r="AX986" s="712"/>
      <c r="AY986" s="712"/>
    </row>
    <row r="987">
      <c r="T987" s="434"/>
      <c r="U987" s="438"/>
      <c r="V987" s="438"/>
      <c r="W987" s="438"/>
      <c r="X987" s="438"/>
      <c r="Y987" s="438"/>
      <c r="Z987" s="438"/>
      <c r="AA987" s="438"/>
      <c r="AB987" s="438"/>
      <c r="AC987" s="438"/>
      <c r="AD987" s="438"/>
      <c r="AE987" s="438"/>
      <c r="AF987" s="438"/>
      <c r="AG987" s="712"/>
      <c r="AH987" s="712"/>
      <c r="AI987" s="712"/>
      <c r="AJ987" s="712"/>
      <c r="AK987" s="712"/>
      <c r="AL987" s="712"/>
      <c r="AM987" s="712"/>
      <c r="AN987" s="712"/>
      <c r="AO987" s="712"/>
      <c r="AP987" s="712"/>
      <c r="AQ987" s="712"/>
      <c r="AR987" s="712"/>
      <c r="AS987" s="712"/>
      <c r="AT987" s="712"/>
      <c r="AU987" s="712"/>
      <c r="AV987" s="712"/>
      <c r="AW987" s="712"/>
      <c r="AX987" s="712"/>
      <c r="AY987" s="712"/>
    </row>
    <row r="988">
      <c r="T988" s="434"/>
      <c r="U988" s="438"/>
      <c r="V988" s="438"/>
      <c r="W988" s="438"/>
      <c r="X988" s="438"/>
      <c r="Y988" s="438"/>
      <c r="Z988" s="438"/>
      <c r="AA988" s="438"/>
      <c r="AB988" s="438"/>
      <c r="AC988" s="438"/>
      <c r="AD988" s="438"/>
      <c r="AE988" s="438"/>
      <c r="AF988" s="438"/>
      <c r="AG988" s="712"/>
      <c r="AH988" s="712"/>
      <c r="AI988" s="712"/>
      <c r="AJ988" s="712"/>
      <c r="AK988" s="712"/>
      <c r="AL988" s="712"/>
      <c r="AM988" s="712"/>
      <c r="AN988" s="712"/>
      <c r="AO988" s="712"/>
      <c r="AP988" s="712"/>
      <c r="AQ988" s="712"/>
      <c r="AR988" s="712"/>
      <c r="AS988" s="712"/>
      <c r="AT988" s="712"/>
      <c r="AU988" s="712"/>
      <c r="AV988" s="712"/>
      <c r="AW988" s="712"/>
      <c r="AX988" s="712"/>
      <c r="AY988" s="712"/>
    </row>
    <row r="989">
      <c r="T989" s="434"/>
      <c r="U989" s="438"/>
      <c r="V989" s="438"/>
      <c r="W989" s="438"/>
      <c r="X989" s="438"/>
      <c r="Y989" s="438"/>
      <c r="Z989" s="438"/>
      <c r="AA989" s="438"/>
      <c r="AB989" s="438"/>
      <c r="AC989" s="438"/>
      <c r="AD989" s="438"/>
      <c r="AE989" s="438"/>
      <c r="AF989" s="438"/>
      <c r="AG989" s="712"/>
      <c r="AH989" s="712"/>
      <c r="AI989" s="712"/>
      <c r="AJ989" s="712"/>
      <c r="AK989" s="712"/>
      <c r="AL989" s="712"/>
      <c r="AM989" s="712"/>
      <c r="AN989" s="712"/>
      <c r="AO989" s="712"/>
      <c r="AP989" s="712"/>
      <c r="AQ989" s="712"/>
      <c r="AR989" s="712"/>
      <c r="AS989" s="712"/>
      <c r="AT989" s="712"/>
      <c r="AU989" s="712"/>
      <c r="AV989" s="712"/>
      <c r="AW989" s="712"/>
      <c r="AX989" s="712"/>
      <c r="AY989" s="712"/>
    </row>
    <row r="990">
      <c r="T990" s="434"/>
      <c r="U990" s="438"/>
      <c r="V990" s="438"/>
      <c r="W990" s="438"/>
      <c r="X990" s="438"/>
      <c r="Y990" s="438"/>
      <c r="Z990" s="438"/>
      <c r="AA990" s="438"/>
      <c r="AB990" s="438"/>
      <c r="AC990" s="438"/>
      <c r="AD990" s="438"/>
      <c r="AE990" s="438"/>
      <c r="AF990" s="438"/>
      <c r="AG990" s="712"/>
      <c r="AH990" s="712"/>
      <c r="AI990" s="712"/>
      <c r="AJ990" s="712"/>
      <c r="AK990" s="712"/>
      <c r="AL990" s="712"/>
      <c r="AM990" s="712"/>
      <c r="AN990" s="712"/>
      <c r="AO990" s="712"/>
      <c r="AP990" s="712"/>
      <c r="AQ990" s="712"/>
      <c r="AR990" s="712"/>
      <c r="AS990" s="712"/>
      <c r="AT990" s="712"/>
      <c r="AU990" s="712"/>
      <c r="AV990" s="712"/>
      <c r="AW990" s="712"/>
      <c r="AX990" s="712"/>
      <c r="AY990" s="712"/>
    </row>
    <row r="991">
      <c r="T991" s="434"/>
      <c r="U991" s="438"/>
      <c r="V991" s="438"/>
      <c r="W991" s="438"/>
      <c r="X991" s="438"/>
      <c r="Y991" s="438"/>
      <c r="Z991" s="438"/>
      <c r="AA991" s="438"/>
      <c r="AB991" s="438"/>
      <c r="AC991" s="438"/>
      <c r="AD991" s="438"/>
      <c r="AE991" s="438"/>
      <c r="AF991" s="438"/>
      <c r="AG991" s="712"/>
      <c r="AH991" s="712"/>
      <c r="AI991" s="712"/>
      <c r="AJ991" s="712"/>
      <c r="AK991" s="712"/>
      <c r="AL991" s="712"/>
      <c r="AM991" s="712"/>
      <c r="AN991" s="712"/>
      <c r="AO991" s="712"/>
      <c r="AP991" s="712"/>
      <c r="AQ991" s="712"/>
      <c r="AR991" s="712"/>
      <c r="AS991" s="712"/>
      <c r="AT991" s="712"/>
      <c r="AU991" s="712"/>
      <c r="AV991" s="712"/>
      <c r="AW991" s="712"/>
      <c r="AX991" s="712"/>
      <c r="AY991" s="712"/>
    </row>
    <row r="992">
      <c r="T992" s="434"/>
      <c r="U992" s="438"/>
      <c r="V992" s="438"/>
      <c r="W992" s="438"/>
      <c r="X992" s="438"/>
      <c r="Y992" s="438"/>
      <c r="Z992" s="438"/>
      <c r="AA992" s="438"/>
      <c r="AB992" s="438"/>
      <c r="AC992" s="438"/>
      <c r="AD992" s="438"/>
      <c r="AE992" s="438"/>
      <c r="AF992" s="438"/>
      <c r="AG992" s="712"/>
      <c r="AH992" s="712"/>
      <c r="AI992" s="712"/>
      <c r="AJ992" s="712"/>
      <c r="AK992" s="712"/>
      <c r="AL992" s="712"/>
      <c r="AM992" s="712"/>
      <c r="AN992" s="712"/>
      <c r="AO992" s="712"/>
      <c r="AP992" s="712"/>
      <c r="AQ992" s="712"/>
      <c r="AR992" s="712"/>
      <c r="AS992" s="712"/>
      <c r="AT992" s="712"/>
      <c r="AU992" s="712"/>
      <c r="AV992" s="712"/>
      <c r="AW992" s="712"/>
      <c r="AX992" s="712"/>
      <c r="AY992" s="712"/>
    </row>
  </sheetData>
  <mergeCells count="8">
    <mergeCell ref="B1:R1"/>
    <mergeCell ref="B2:C2"/>
    <mergeCell ref="E2:F2"/>
    <mergeCell ref="H2:I2"/>
    <mergeCell ref="K2:L2"/>
    <mergeCell ref="N2:O2"/>
    <mergeCell ref="Q2:R2"/>
    <mergeCell ref="P11:P13"/>
  </mergeCells>
  <hyperlinks>
    <hyperlink r:id="rId2" location="gid=0" ref="A2"/>
    <hyperlink r:id="rId3" location="gid=1038709083" ref="A20"/>
    <hyperlink r:id="rId4" ref="A31"/>
  </hyperlinks>
  <drawing r:id="rId5"/>
  <legacy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6.75"/>
    <col customWidth="1" min="2" max="18" width="16.13"/>
    <col customWidth="1" min="19" max="20" width="16.63"/>
    <col customWidth="1" min="21" max="32" width="16.13"/>
    <col customWidth="1" min="33" max="33" width="16.25"/>
  </cols>
  <sheetData>
    <row r="1">
      <c r="A1" s="4" t="s">
        <v>34</v>
      </c>
      <c r="B1" s="5">
        <v>45108.0</v>
      </c>
      <c r="C1" s="5">
        <v>45109.0</v>
      </c>
      <c r="D1" s="5">
        <v>45110.0</v>
      </c>
      <c r="E1" s="5">
        <v>45111.0</v>
      </c>
      <c r="F1" s="5">
        <v>45112.0</v>
      </c>
      <c r="G1" s="5">
        <v>45113.0</v>
      </c>
      <c r="H1" s="5">
        <v>45114.0</v>
      </c>
      <c r="I1" s="5">
        <v>45115.0</v>
      </c>
      <c r="J1" s="5">
        <v>45116.0</v>
      </c>
      <c r="K1" s="5">
        <v>45117.0</v>
      </c>
      <c r="L1" s="5">
        <v>45118.0</v>
      </c>
      <c r="M1" s="5">
        <v>45119.0</v>
      </c>
      <c r="N1" s="5">
        <v>45120.0</v>
      </c>
      <c r="O1" s="5">
        <v>45121.0</v>
      </c>
      <c r="P1" s="5">
        <v>45122.0</v>
      </c>
      <c r="Q1" s="5">
        <v>45123.0</v>
      </c>
      <c r="R1" s="5">
        <v>45124.0</v>
      </c>
      <c r="S1" s="5">
        <v>45125.0</v>
      </c>
      <c r="T1" s="5">
        <v>45126.0</v>
      </c>
      <c r="U1" s="5">
        <v>45127.0</v>
      </c>
      <c r="V1" s="5">
        <v>45128.0</v>
      </c>
      <c r="W1" s="5">
        <v>45129.0</v>
      </c>
      <c r="X1" s="5">
        <v>45130.0</v>
      </c>
      <c r="Y1" s="5">
        <v>45131.0</v>
      </c>
      <c r="Z1" s="5">
        <v>45132.0</v>
      </c>
      <c r="AA1" s="5">
        <v>45133.0</v>
      </c>
      <c r="AB1" s="5">
        <v>45134.0</v>
      </c>
      <c r="AC1" s="5">
        <v>45135.0</v>
      </c>
      <c r="AD1" s="5">
        <v>45136.0</v>
      </c>
      <c r="AE1" s="5">
        <v>45137.0</v>
      </c>
      <c r="AF1" s="5">
        <v>45138.0</v>
      </c>
      <c r="AG1" s="330"/>
    </row>
    <row r="2">
      <c r="A2" s="23" t="s">
        <v>81</v>
      </c>
      <c r="B2" s="25" t="s">
        <v>43</v>
      </c>
      <c r="C2" s="25" t="s">
        <v>44</v>
      </c>
      <c r="D2" s="25" t="s">
        <v>45</v>
      </c>
      <c r="E2" s="25" t="s">
        <v>46</v>
      </c>
      <c r="F2" s="25" t="s">
        <v>47</v>
      </c>
      <c r="G2" s="25" t="s">
        <v>48</v>
      </c>
      <c r="H2" s="25" t="s">
        <v>49</v>
      </c>
      <c r="I2" s="25" t="s">
        <v>43</v>
      </c>
      <c r="J2" s="25" t="s">
        <v>44</v>
      </c>
      <c r="K2" s="25" t="s">
        <v>45</v>
      </c>
      <c r="L2" s="25" t="s">
        <v>46</v>
      </c>
      <c r="M2" s="25" t="s">
        <v>47</v>
      </c>
      <c r="N2" s="25" t="s">
        <v>48</v>
      </c>
      <c r="O2" s="25" t="s">
        <v>49</v>
      </c>
      <c r="P2" s="25" t="s">
        <v>43</v>
      </c>
      <c r="Q2" s="25" t="s">
        <v>44</v>
      </c>
      <c r="R2" s="25" t="s">
        <v>45</v>
      </c>
      <c r="S2" s="25" t="s">
        <v>46</v>
      </c>
      <c r="T2" s="25" t="s">
        <v>47</v>
      </c>
      <c r="U2" s="25" t="s">
        <v>48</v>
      </c>
      <c r="V2" s="25" t="s">
        <v>49</v>
      </c>
      <c r="W2" s="25" t="s">
        <v>43</v>
      </c>
      <c r="X2" s="25" t="s">
        <v>44</v>
      </c>
      <c r="Y2" s="25" t="s">
        <v>45</v>
      </c>
      <c r="Z2" s="25" t="s">
        <v>46</v>
      </c>
      <c r="AA2" s="25" t="s">
        <v>47</v>
      </c>
      <c r="AB2" s="25" t="s">
        <v>48</v>
      </c>
      <c r="AC2" s="25" t="s">
        <v>49</v>
      </c>
      <c r="AD2" s="25" t="s">
        <v>43</v>
      </c>
      <c r="AE2" s="25" t="s">
        <v>44</v>
      </c>
      <c r="AF2" s="25" t="s">
        <v>45</v>
      </c>
      <c r="AG2" s="330"/>
    </row>
    <row r="3">
      <c r="A3" s="331" t="s">
        <v>93</v>
      </c>
      <c r="B3" s="327"/>
      <c r="C3" s="327"/>
      <c r="D3" s="327"/>
      <c r="E3" s="327"/>
      <c r="F3" s="327"/>
      <c r="G3" s="327"/>
      <c r="H3" s="327"/>
      <c r="I3" s="327"/>
      <c r="J3" s="327"/>
      <c r="K3" s="327"/>
      <c r="L3" s="327"/>
      <c r="M3" s="327"/>
      <c r="N3" s="327"/>
      <c r="O3" s="327"/>
      <c r="P3" s="327"/>
      <c r="Q3" s="327"/>
      <c r="R3" s="327"/>
      <c r="S3" s="327"/>
      <c r="T3" s="327"/>
      <c r="U3" s="327"/>
      <c r="V3" s="327"/>
      <c r="W3" s="327"/>
      <c r="X3" s="327"/>
      <c r="Y3" s="327"/>
      <c r="Z3" s="327"/>
      <c r="AA3" s="327"/>
      <c r="AB3" s="302"/>
      <c r="AC3" s="327"/>
      <c r="AD3" s="327"/>
      <c r="AE3" s="327"/>
      <c r="AF3" s="327"/>
      <c r="AG3" s="330"/>
    </row>
    <row r="4">
      <c r="A4" s="332" t="s">
        <v>100</v>
      </c>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30"/>
    </row>
    <row r="5">
      <c r="A5" s="42" t="s">
        <v>404</v>
      </c>
      <c r="B5" s="333">
        <v>29.0</v>
      </c>
      <c r="C5" s="334">
        <v>56.0</v>
      </c>
      <c r="D5" s="334">
        <v>31.0</v>
      </c>
      <c r="E5" s="334">
        <v>59.0</v>
      </c>
      <c r="F5" s="334">
        <v>47.0</v>
      </c>
      <c r="G5" s="334">
        <v>60.0</v>
      </c>
      <c r="H5" s="334">
        <v>64.0</v>
      </c>
      <c r="I5" s="334">
        <v>89.0</v>
      </c>
      <c r="J5" s="334">
        <v>75.0</v>
      </c>
      <c r="K5" s="334">
        <v>62.0</v>
      </c>
      <c r="L5" s="334">
        <v>51.0</v>
      </c>
      <c r="M5" s="334">
        <v>42.0</v>
      </c>
      <c r="N5" s="334">
        <v>53.0</v>
      </c>
      <c r="O5" s="334">
        <v>73.0</v>
      </c>
      <c r="P5" s="334">
        <v>68.0</v>
      </c>
      <c r="Q5" s="334">
        <v>67.0</v>
      </c>
      <c r="R5" s="334">
        <v>28.0</v>
      </c>
      <c r="S5" s="43">
        <v>48.0</v>
      </c>
      <c r="T5" s="334">
        <v>53.0</v>
      </c>
      <c r="U5" s="43">
        <v>64.0</v>
      </c>
      <c r="V5" s="43">
        <v>60.0</v>
      </c>
      <c r="W5" s="43">
        <v>65.0</v>
      </c>
      <c r="X5" s="43">
        <v>65.0</v>
      </c>
      <c r="Y5" s="43">
        <v>30.0</v>
      </c>
      <c r="Z5" s="43">
        <v>31.0</v>
      </c>
      <c r="AA5" s="43">
        <v>12.0</v>
      </c>
      <c r="AB5" s="43">
        <v>27.0</v>
      </c>
      <c r="AC5" s="43">
        <v>21.0</v>
      </c>
      <c r="AD5" s="43">
        <v>21.0</v>
      </c>
      <c r="AE5" s="43"/>
      <c r="AF5" s="43"/>
      <c r="AG5" s="336">
        <f t="shared" ref="AG5:AG13" si="1">SUM(B5:AF5)</f>
        <v>1451</v>
      </c>
    </row>
    <row r="6">
      <c r="A6" s="337" t="s">
        <v>109</v>
      </c>
      <c r="B6" s="333">
        <v>55.0</v>
      </c>
      <c r="C6" s="334">
        <v>62.0</v>
      </c>
      <c r="D6" s="334">
        <v>52.0</v>
      </c>
      <c r="E6" s="334">
        <v>62.0</v>
      </c>
      <c r="F6" s="334">
        <v>59.0</v>
      </c>
      <c r="G6" s="334">
        <v>59.0</v>
      </c>
      <c r="H6" s="334">
        <v>62.0</v>
      </c>
      <c r="I6" s="334">
        <v>79.0</v>
      </c>
      <c r="J6" s="334">
        <v>67.0</v>
      </c>
      <c r="K6" s="334">
        <v>80.0</v>
      </c>
      <c r="L6" s="334">
        <v>78.0</v>
      </c>
      <c r="M6" s="334">
        <v>77.0</v>
      </c>
      <c r="N6" s="334">
        <v>84.0</v>
      </c>
      <c r="O6" s="334">
        <v>63.0</v>
      </c>
      <c r="P6" s="334">
        <v>69.0</v>
      </c>
      <c r="Q6" s="334">
        <v>65.0</v>
      </c>
      <c r="R6" s="334">
        <v>42.0</v>
      </c>
      <c r="S6" s="43">
        <v>63.0</v>
      </c>
      <c r="T6" s="334">
        <v>66.0</v>
      </c>
      <c r="U6" s="43">
        <v>66.0</v>
      </c>
      <c r="V6" s="43">
        <v>58.0</v>
      </c>
      <c r="W6" s="43">
        <v>57.0</v>
      </c>
      <c r="X6" s="43">
        <v>65.0</v>
      </c>
      <c r="Y6" s="43">
        <v>45.0</v>
      </c>
      <c r="Z6" s="43">
        <v>40.0</v>
      </c>
      <c r="AA6" s="43">
        <v>49.0</v>
      </c>
      <c r="AB6" s="43">
        <v>46.0</v>
      </c>
      <c r="AC6" s="43">
        <v>53.0</v>
      </c>
      <c r="AD6" s="43">
        <v>39.0</v>
      </c>
      <c r="AE6" s="43">
        <v>51.0</v>
      </c>
      <c r="AF6" s="43">
        <v>36.0</v>
      </c>
      <c r="AG6" s="336">
        <f t="shared" si="1"/>
        <v>1849</v>
      </c>
    </row>
    <row r="7">
      <c r="A7" s="42" t="s">
        <v>116</v>
      </c>
      <c r="B7" s="334">
        <v>0.0</v>
      </c>
      <c r="C7" s="334">
        <v>0.0</v>
      </c>
      <c r="D7" s="334">
        <v>0.0</v>
      </c>
      <c r="E7" s="334">
        <v>0.0</v>
      </c>
      <c r="F7" s="334">
        <v>0.0</v>
      </c>
      <c r="G7" s="334">
        <v>0.0</v>
      </c>
      <c r="H7" s="334">
        <v>0.0</v>
      </c>
      <c r="I7" s="334">
        <v>0.0</v>
      </c>
      <c r="J7" s="334">
        <v>0.0</v>
      </c>
      <c r="K7" s="334">
        <v>0.0</v>
      </c>
      <c r="L7" s="334">
        <v>0.0</v>
      </c>
      <c r="M7" s="334">
        <v>0.0</v>
      </c>
      <c r="N7" s="334">
        <v>0.0</v>
      </c>
      <c r="O7" s="334">
        <v>0.0</v>
      </c>
      <c r="P7" s="334">
        <v>0.0</v>
      </c>
      <c r="Q7" s="334">
        <v>0.0</v>
      </c>
      <c r="R7" s="334">
        <v>0.0</v>
      </c>
      <c r="S7" s="334">
        <v>0.0</v>
      </c>
      <c r="T7" s="334">
        <v>0.0</v>
      </c>
      <c r="U7" s="334">
        <v>0.0</v>
      </c>
      <c r="V7" s="334">
        <v>0.0</v>
      </c>
      <c r="W7" s="334">
        <v>0.0</v>
      </c>
      <c r="X7" s="334">
        <v>0.0</v>
      </c>
      <c r="Y7" s="334">
        <v>0.0</v>
      </c>
      <c r="Z7" s="334">
        <v>0.0</v>
      </c>
      <c r="AA7" s="334">
        <v>0.0</v>
      </c>
      <c r="AB7" s="334">
        <v>0.0</v>
      </c>
      <c r="AC7" s="334">
        <v>0.0</v>
      </c>
      <c r="AD7" s="334">
        <v>0.0</v>
      </c>
      <c r="AE7" s="334">
        <v>0.0</v>
      </c>
      <c r="AF7" s="334">
        <v>0.0</v>
      </c>
      <c r="AG7" s="336">
        <f t="shared" si="1"/>
        <v>0</v>
      </c>
    </row>
    <row r="8">
      <c r="A8" s="337" t="s">
        <v>120</v>
      </c>
      <c r="B8" s="333">
        <v>2.0</v>
      </c>
      <c r="C8" s="334">
        <v>2.0</v>
      </c>
      <c r="D8" s="334">
        <v>1.0</v>
      </c>
      <c r="E8" s="334">
        <v>4.0</v>
      </c>
      <c r="F8" s="334">
        <v>3.0</v>
      </c>
      <c r="G8" s="334">
        <v>2.0</v>
      </c>
      <c r="H8" s="334">
        <v>1.0</v>
      </c>
      <c r="I8" s="334">
        <v>2.0</v>
      </c>
      <c r="J8" s="334">
        <v>6.0</v>
      </c>
      <c r="K8" s="334">
        <v>5.0</v>
      </c>
      <c r="L8" s="334">
        <v>4.0</v>
      </c>
      <c r="M8" s="334">
        <v>3.0</v>
      </c>
      <c r="N8" s="334">
        <v>1.0</v>
      </c>
      <c r="O8" s="334">
        <v>3.0</v>
      </c>
      <c r="P8" s="334">
        <v>1.0</v>
      </c>
      <c r="Q8" s="334">
        <v>3.0</v>
      </c>
      <c r="R8" s="334">
        <v>1.0</v>
      </c>
      <c r="S8" s="43">
        <v>1.0</v>
      </c>
      <c r="T8" s="334">
        <v>0.0</v>
      </c>
      <c r="U8" s="43">
        <v>4.0</v>
      </c>
      <c r="V8" s="43">
        <v>6.0</v>
      </c>
      <c r="W8" s="43">
        <v>7.0</v>
      </c>
      <c r="X8" s="43">
        <v>4.0</v>
      </c>
      <c r="Y8" s="43">
        <v>1.0</v>
      </c>
      <c r="Z8" s="43">
        <v>1.0</v>
      </c>
      <c r="AA8" s="43">
        <v>1.0</v>
      </c>
      <c r="AB8" s="43">
        <v>1.0</v>
      </c>
      <c r="AC8" s="43">
        <v>1.0</v>
      </c>
      <c r="AD8" s="43">
        <v>0.0</v>
      </c>
      <c r="AE8" s="43">
        <v>1.0</v>
      </c>
      <c r="AF8" s="43">
        <v>1.0</v>
      </c>
      <c r="AG8" s="336">
        <f t="shared" si="1"/>
        <v>73</v>
      </c>
    </row>
    <row r="9">
      <c r="A9" s="337" t="s">
        <v>410</v>
      </c>
      <c r="B9" s="338"/>
      <c r="C9" s="338"/>
      <c r="D9" s="338"/>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6">
        <f t="shared" si="1"/>
        <v>0</v>
      </c>
    </row>
    <row r="10">
      <c r="A10" s="337" t="s">
        <v>134</v>
      </c>
      <c r="B10" s="334">
        <v>0.0</v>
      </c>
      <c r="C10" s="334">
        <v>0.0</v>
      </c>
      <c r="D10" s="334">
        <v>0.0</v>
      </c>
      <c r="E10" s="334">
        <v>0.0</v>
      </c>
      <c r="F10" s="334">
        <v>0.0</v>
      </c>
      <c r="G10" s="334">
        <v>0.0</v>
      </c>
      <c r="H10" s="334">
        <v>0.0</v>
      </c>
      <c r="I10" s="334">
        <v>0.0</v>
      </c>
      <c r="J10" s="334">
        <v>0.0</v>
      </c>
      <c r="K10" s="334">
        <v>0.0</v>
      </c>
      <c r="L10" s="334">
        <v>0.0</v>
      </c>
      <c r="M10" s="334">
        <v>0.0</v>
      </c>
      <c r="N10" s="334">
        <v>0.0</v>
      </c>
      <c r="O10" s="334">
        <v>0.0</v>
      </c>
      <c r="P10" s="334">
        <v>0.0</v>
      </c>
      <c r="Q10" s="334">
        <v>0.0</v>
      </c>
      <c r="R10" s="334">
        <v>0.0</v>
      </c>
      <c r="S10" s="339">
        <v>4.0</v>
      </c>
      <c r="T10" s="339">
        <v>3.0</v>
      </c>
      <c r="U10" s="339">
        <v>3.0</v>
      </c>
      <c r="V10" s="339">
        <v>4.0</v>
      </c>
      <c r="W10" s="339">
        <v>2.0</v>
      </c>
      <c r="X10" s="339">
        <v>3.0</v>
      </c>
      <c r="Y10" s="339">
        <v>5.0</v>
      </c>
      <c r="Z10" s="339">
        <v>3.0</v>
      </c>
      <c r="AA10" s="339">
        <v>2.0</v>
      </c>
      <c r="AB10" s="339">
        <v>3.0</v>
      </c>
      <c r="AC10" s="339">
        <v>1.0</v>
      </c>
      <c r="AD10" s="339">
        <v>0.0</v>
      </c>
      <c r="AE10" s="339">
        <v>4.0</v>
      </c>
      <c r="AF10" s="339">
        <v>0.0</v>
      </c>
      <c r="AG10" s="336">
        <f t="shared" si="1"/>
        <v>37</v>
      </c>
    </row>
    <row r="11">
      <c r="A11" s="42" t="s">
        <v>413</v>
      </c>
      <c r="B11" s="340"/>
      <c r="C11" s="340"/>
      <c r="D11" s="340"/>
      <c r="E11" s="341"/>
      <c r="F11" s="341"/>
      <c r="G11" s="341"/>
      <c r="H11" s="341"/>
      <c r="I11" s="341"/>
      <c r="J11" s="341"/>
      <c r="K11" s="341"/>
      <c r="L11" s="341"/>
      <c r="M11" s="341"/>
      <c r="N11" s="341"/>
      <c r="O11" s="341"/>
      <c r="P11" s="341"/>
      <c r="Q11" s="341"/>
      <c r="R11" s="341"/>
      <c r="S11" s="341"/>
      <c r="T11" s="341"/>
      <c r="U11" s="341"/>
      <c r="V11" s="341"/>
      <c r="W11" s="341"/>
      <c r="X11" s="341"/>
      <c r="Y11" s="341"/>
      <c r="Z11" s="341"/>
      <c r="AA11" s="341"/>
      <c r="AB11" s="341"/>
      <c r="AC11" s="341"/>
      <c r="AD11" s="341"/>
      <c r="AE11" s="341"/>
      <c r="AF11" s="341"/>
      <c r="AG11" s="342">
        <f t="shared" si="1"/>
        <v>0</v>
      </c>
    </row>
    <row r="12">
      <c r="A12" s="42" t="s">
        <v>415</v>
      </c>
      <c r="B12" s="340"/>
      <c r="C12" s="340"/>
      <c r="D12" s="340"/>
      <c r="E12" s="341"/>
      <c r="F12" s="341"/>
      <c r="G12" s="341"/>
      <c r="H12" s="341"/>
      <c r="I12" s="341"/>
      <c r="J12" s="341"/>
      <c r="K12" s="341"/>
      <c r="L12" s="341"/>
      <c r="M12" s="341"/>
      <c r="N12" s="341"/>
      <c r="O12" s="341"/>
      <c r="P12" s="341"/>
      <c r="Q12" s="341"/>
      <c r="R12" s="341"/>
      <c r="S12" s="341"/>
      <c r="T12" s="341"/>
      <c r="U12" s="341"/>
      <c r="V12" s="341"/>
      <c r="W12" s="341"/>
      <c r="X12" s="341"/>
      <c r="Y12" s="341"/>
      <c r="Z12" s="341"/>
      <c r="AA12" s="340"/>
      <c r="AB12" s="341"/>
      <c r="AC12" s="341"/>
      <c r="AD12" s="341"/>
      <c r="AE12" s="341"/>
      <c r="AF12" s="341"/>
      <c r="AG12" s="342">
        <f t="shared" si="1"/>
        <v>0</v>
      </c>
    </row>
    <row r="13">
      <c r="A13" s="853" t="s">
        <v>141</v>
      </c>
      <c r="B13" s="334">
        <v>4.0</v>
      </c>
      <c r="C13" s="334">
        <v>6.0</v>
      </c>
      <c r="D13" s="334">
        <v>3.0</v>
      </c>
      <c r="E13" s="334">
        <v>2.0</v>
      </c>
      <c r="F13" s="334">
        <v>1.0</v>
      </c>
      <c r="G13" s="334">
        <v>1.0</v>
      </c>
      <c r="H13" s="334">
        <v>0.0</v>
      </c>
      <c r="I13" s="334">
        <v>1.0</v>
      </c>
      <c r="J13" s="334">
        <v>2.0</v>
      </c>
      <c r="K13" s="334">
        <v>3.0</v>
      </c>
      <c r="L13" s="334">
        <v>1.0</v>
      </c>
      <c r="M13" s="334">
        <v>2.0</v>
      </c>
      <c r="N13" s="334">
        <v>94.0</v>
      </c>
      <c r="O13" s="334">
        <v>76.0</v>
      </c>
      <c r="P13" s="334">
        <v>25.0</v>
      </c>
      <c r="Q13" s="334">
        <v>17.0</v>
      </c>
      <c r="R13" s="334">
        <v>29.0</v>
      </c>
      <c r="S13" s="334">
        <v>38.0</v>
      </c>
      <c r="T13" s="334">
        <v>2.0</v>
      </c>
      <c r="U13" s="334">
        <v>4.0</v>
      </c>
      <c r="V13" s="334">
        <v>3.0</v>
      </c>
      <c r="W13" s="854">
        <v>2.0</v>
      </c>
      <c r="X13" s="334">
        <v>6.0</v>
      </c>
      <c r="Y13" s="334">
        <v>2.0</v>
      </c>
      <c r="Z13" s="334">
        <v>1.0</v>
      </c>
      <c r="AA13" s="334">
        <v>0.0</v>
      </c>
      <c r="AB13" s="334">
        <v>4.0</v>
      </c>
      <c r="AC13" s="334"/>
      <c r="AD13" s="334">
        <v>1.0</v>
      </c>
      <c r="AE13" s="334">
        <v>4.0</v>
      </c>
      <c r="AF13" s="855">
        <v>4.0</v>
      </c>
      <c r="AG13" s="856">
        <f t="shared" si="1"/>
        <v>338</v>
      </c>
    </row>
    <row r="14">
      <c r="A14" s="343" t="s">
        <v>743</v>
      </c>
      <c r="B14" s="857"/>
      <c r="C14" s="857"/>
      <c r="D14" s="857"/>
      <c r="E14" s="858"/>
      <c r="F14" s="858"/>
      <c r="G14" s="858"/>
      <c r="H14" s="858"/>
      <c r="I14" s="858"/>
      <c r="J14" s="858"/>
      <c r="K14" s="858"/>
      <c r="L14" s="858"/>
      <c r="M14" s="858"/>
      <c r="N14" s="858"/>
      <c r="O14" s="858"/>
      <c r="P14" s="858"/>
      <c r="Q14" s="858"/>
      <c r="R14" s="858"/>
      <c r="S14" s="858"/>
      <c r="T14" s="858"/>
      <c r="U14" s="858"/>
      <c r="V14" s="858"/>
      <c r="W14" s="858"/>
      <c r="X14" s="858"/>
      <c r="Y14" s="858"/>
      <c r="Z14" s="858"/>
      <c r="AA14" s="857"/>
      <c r="AB14" s="858"/>
      <c r="AC14" s="858"/>
      <c r="AD14" s="858"/>
      <c r="AE14" s="858"/>
      <c r="AF14" s="858"/>
      <c r="AG14" s="336"/>
    </row>
    <row r="15">
      <c r="A15" s="346" t="s">
        <v>151</v>
      </c>
      <c r="B15" s="87">
        <f t="shared" ref="B15:AF15" si="2">SUM(B5:B14)</f>
        <v>90</v>
      </c>
      <c r="C15" s="87">
        <f t="shared" si="2"/>
        <v>126</v>
      </c>
      <c r="D15" s="87">
        <f t="shared" si="2"/>
        <v>87</v>
      </c>
      <c r="E15" s="87">
        <f t="shared" si="2"/>
        <v>127</v>
      </c>
      <c r="F15" s="87">
        <f t="shared" si="2"/>
        <v>110</v>
      </c>
      <c r="G15" s="87">
        <f t="shared" si="2"/>
        <v>122</v>
      </c>
      <c r="H15" s="87">
        <f t="shared" si="2"/>
        <v>127</v>
      </c>
      <c r="I15" s="87">
        <f t="shared" si="2"/>
        <v>171</v>
      </c>
      <c r="J15" s="87">
        <f t="shared" si="2"/>
        <v>150</v>
      </c>
      <c r="K15" s="87">
        <f t="shared" si="2"/>
        <v>150</v>
      </c>
      <c r="L15" s="87">
        <f t="shared" si="2"/>
        <v>134</v>
      </c>
      <c r="M15" s="87">
        <f t="shared" si="2"/>
        <v>124</v>
      </c>
      <c r="N15" s="87">
        <f t="shared" si="2"/>
        <v>232</v>
      </c>
      <c r="O15" s="87">
        <f t="shared" si="2"/>
        <v>215</v>
      </c>
      <c r="P15" s="87">
        <f t="shared" si="2"/>
        <v>163</v>
      </c>
      <c r="Q15" s="87">
        <f t="shared" si="2"/>
        <v>152</v>
      </c>
      <c r="R15" s="87">
        <f t="shared" si="2"/>
        <v>100</v>
      </c>
      <c r="S15" s="87">
        <f t="shared" si="2"/>
        <v>154</v>
      </c>
      <c r="T15" s="87">
        <f t="shared" si="2"/>
        <v>124</v>
      </c>
      <c r="U15" s="87">
        <f t="shared" si="2"/>
        <v>141</v>
      </c>
      <c r="V15" s="87">
        <f t="shared" si="2"/>
        <v>131</v>
      </c>
      <c r="W15" s="87">
        <f t="shared" si="2"/>
        <v>133</v>
      </c>
      <c r="X15" s="87">
        <f t="shared" si="2"/>
        <v>143</v>
      </c>
      <c r="Y15" s="87">
        <f t="shared" si="2"/>
        <v>83</v>
      </c>
      <c r="Z15" s="87">
        <f t="shared" si="2"/>
        <v>76</v>
      </c>
      <c r="AA15" s="87">
        <f t="shared" si="2"/>
        <v>64</v>
      </c>
      <c r="AB15" s="87">
        <f t="shared" si="2"/>
        <v>81</v>
      </c>
      <c r="AC15" s="87">
        <f t="shared" si="2"/>
        <v>76</v>
      </c>
      <c r="AD15" s="87">
        <f t="shared" si="2"/>
        <v>61</v>
      </c>
      <c r="AE15" s="87">
        <f t="shared" si="2"/>
        <v>60</v>
      </c>
      <c r="AF15" s="87">
        <f t="shared" si="2"/>
        <v>41</v>
      </c>
      <c r="AG15" s="342">
        <f>SUM(B15:AF15)</f>
        <v>3748</v>
      </c>
    </row>
    <row r="16">
      <c r="A16" s="42"/>
      <c r="B16" s="327"/>
      <c r="C16" s="327"/>
      <c r="D16" s="327"/>
      <c r="E16" s="327"/>
      <c r="F16" s="327"/>
      <c r="G16" s="327"/>
      <c r="H16" s="327"/>
      <c r="I16" s="327"/>
      <c r="J16" s="327"/>
      <c r="K16" s="327"/>
      <c r="L16" s="327"/>
      <c r="M16" s="327"/>
      <c r="N16" s="327"/>
      <c r="O16" s="327"/>
      <c r="P16" s="327"/>
      <c r="Q16" s="327"/>
      <c r="R16" s="327"/>
      <c r="S16" s="327"/>
      <c r="T16" s="327"/>
      <c r="U16" s="327"/>
      <c r="V16" s="327"/>
      <c r="W16" s="327"/>
      <c r="X16" s="327"/>
      <c r="Y16" s="327"/>
      <c r="Z16" s="327"/>
      <c r="AA16" s="327"/>
      <c r="AB16" s="327"/>
      <c r="AC16" s="327"/>
      <c r="AD16" s="327"/>
      <c r="AE16" s="327"/>
      <c r="AF16" s="327"/>
      <c r="AG16" s="336"/>
    </row>
    <row r="17">
      <c r="A17" s="347" t="s">
        <v>167</v>
      </c>
      <c r="B17" s="327"/>
      <c r="C17" s="327"/>
      <c r="D17" s="327"/>
      <c r="E17" s="327"/>
      <c r="F17" s="327"/>
      <c r="G17" s="327"/>
      <c r="H17" s="327"/>
      <c r="I17" s="327"/>
      <c r="J17" s="327"/>
      <c r="K17" s="327"/>
      <c r="L17" s="327"/>
      <c r="M17" s="327"/>
      <c r="N17" s="327"/>
      <c r="O17" s="327"/>
      <c r="P17" s="327"/>
      <c r="Q17" s="327"/>
      <c r="R17" s="327"/>
      <c r="S17" s="327"/>
      <c r="T17" s="327"/>
      <c r="U17" s="327"/>
      <c r="V17" s="327"/>
      <c r="W17" s="327"/>
      <c r="X17" s="327"/>
      <c r="Y17" s="327"/>
      <c r="Z17" s="327"/>
      <c r="AA17" s="327"/>
      <c r="AB17" s="327"/>
      <c r="AC17" s="327"/>
      <c r="AD17" s="327"/>
      <c r="AE17" s="327"/>
      <c r="AF17" s="327"/>
      <c r="AG17" s="336"/>
    </row>
    <row r="18">
      <c r="A18" s="42" t="s">
        <v>404</v>
      </c>
      <c r="B18" s="348">
        <v>8613.9</v>
      </c>
      <c r="C18" s="349">
        <v>15724.4</v>
      </c>
      <c r="D18" s="349">
        <v>8025.24</v>
      </c>
      <c r="E18" s="349">
        <v>16088.3</v>
      </c>
      <c r="F18" s="349">
        <v>12903.82</v>
      </c>
      <c r="G18" s="349">
        <v>14883.81</v>
      </c>
      <c r="H18" s="349">
        <v>16270.4</v>
      </c>
      <c r="I18" s="349">
        <v>25945.45</v>
      </c>
      <c r="J18" s="349">
        <v>19825.93</v>
      </c>
      <c r="K18" s="349">
        <v>17028.9</v>
      </c>
      <c r="L18" s="349">
        <v>13397.83</v>
      </c>
      <c r="M18" s="349">
        <v>10977.79</v>
      </c>
      <c r="N18" s="349">
        <v>14178.65</v>
      </c>
      <c r="O18" s="349">
        <v>19579.31</v>
      </c>
      <c r="P18" s="349">
        <v>17923.96</v>
      </c>
      <c r="Q18" s="349">
        <v>17121.73</v>
      </c>
      <c r="R18" s="349">
        <v>7919.38</v>
      </c>
      <c r="S18" s="138">
        <v>14118.96</v>
      </c>
      <c r="T18" s="349">
        <v>12662.5</v>
      </c>
      <c r="U18" s="138">
        <v>18657.19</v>
      </c>
      <c r="V18" s="138">
        <v>15148.98</v>
      </c>
      <c r="W18" s="138">
        <v>18426.12</v>
      </c>
      <c r="X18" s="138">
        <v>16067.5</v>
      </c>
      <c r="Y18" s="138">
        <v>7934.14</v>
      </c>
      <c r="Z18" s="138">
        <v>9221.02</v>
      </c>
      <c r="AA18" s="138">
        <v>4261.21</v>
      </c>
      <c r="AB18" s="349">
        <v>7567.93</v>
      </c>
      <c r="AC18" s="349">
        <v>5416.74</v>
      </c>
      <c r="AD18" s="349">
        <v>5924.43</v>
      </c>
      <c r="AE18" s="349"/>
      <c r="AF18" s="349"/>
      <c r="AG18" s="350">
        <f t="shared" ref="AG18:AG26" si="3">SUM(B18:AF18)</f>
        <v>391815.52</v>
      </c>
    </row>
    <row r="19">
      <c r="A19" s="337" t="s">
        <v>109</v>
      </c>
      <c r="B19" s="348">
        <v>12359.29</v>
      </c>
      <c r="C19" s="349">
        <v>15714.44</v>
      </c>
      <c r="D19" s="349">
        <v>12992.16</v>
      </c>
      <c r="E19" s="349">
        <v>14130.15</v>
      </c>
      <c r="F19" s="349">
        <v>12779.82</v>
      </c>
      <c r="G19" s="349">
        <v>13797.36</v>
      </c>
      <c r="H19" s="349">
        <v>13621.06</v>
      </c>
      <c r="I19" s="349">
        <v>16193.95</v>
      </c>
      <c r="J19" s="349">
        <v>15558.05</v>
      </c>
      <c r="K19" s="349">
        <v>17274.51</v>
      </c>
      <c r="L19" s="349">
        <v>18071.04</v>
      </c>
      <c r="M19" s="349">
        <v>18496.68</v>
      </c>
      <c r="N19" s="349">
        <v>19977.39</v>
      </c>
      <c r="O19" s="349">
        <v>14636.37</v>
      </c>
      <c r="P19" s="349">
        <v>14578.95</v>
      </c>
      <c r="Q19" s="349">
        <v>14867.89</v>
      </c>
      <c r="R19" s="349">
        <v>9667.93</v>
      </c>
      <c r="S19" s="138">
        <v>14155.55</v>
      </c>
      <c r="T19" s="349">
        <v>17455.8</v>
      </c>
      <c r="U19" s="138">
        <v>14739.52</v>
      </c>
      <c r="V19" s="138">
        <v>13885.52</v>
      </c>
      <c r="W19" s="138">
        <v>12885.06</v>
      </c>
      <c r="X19" s="138">
        <v>15358.08</v>
      </c>
      <c r="Y19" s="138">
        <v>11022.06</v>
      </c>
      <c r="Z19" s="138">
        <v>11322.51</v>
      </c>
      <c r="AA19" s="138">
        <v>12117.25</v>
      </c>
      <c r="AB19" s="138">
        <v>12457.81</v>
      </c>
      <c r="AC19" s="138">
        <v>13306.27</v>
      </c>
      <c r="AD19" s="138">
        <v>8931.61</v>
      </c>
      <c r="AE19" s="138">
        <v>13855.82</v>
      </c>
      <c r="AF19" s="138">
        <v>9278.69</v>
      </c>
      <c r="AG19" s="350">
        <f t="shared" si="3"/>
        <v>435488.59</v>
      </c>
    </row>
    <row r="20">
      <c r="A20" s="42" t="s">
        <v>116</v>
      </c>
      <c r="B20" s="349"/>
      <c r="C20" s="349"/>
      <c r="D20" s="349"/>
      <c r="E20" s="349"/>
      <c r="F20" s="349"/>
      <c r="G20" s="349"/>
      <c r="H20" s="349"/>
      <c r="I20" s="349"/>
      <c r="J20" s="349"/>
      <c r="K20" s="349"/>
      <c r="L20" s="349"/>
      <c r="M20" s="349">
        <v>0.0</v>
      </c>
      <c r="N20" s="349">
        <v>0.0</v>
      </c>
      <c r="O20" s="349">
        <v>0.0</v>
      </c>
      <c r="P20" s="349">
        <v>0.0</v>
      </c>
      <c r="Q20" s="349">
        <v>0.0</v>
      </c>
      <c r="R20" s="349">
        <v>0.0</v>
      </c>
      <c r="S20" s="349">
        <v>0.0</v>
      </c>
      <c r="T20" s="349">
        <v>0.0</v>
      </c>
      <c r="U20" s="349">
        <v>0.0</v>
      </c>
      <c r="V20" s="349">
        <v>0.0</v>
      </c>
      <c r="W20" s="349">
        <v>0.0</v>
      </c>
      <c r="X20" s="349">
        <v>0.0</v>
      </c>
      <c r="Y20" s="349">
        <v>0.0</v>
      </c>
      <c r="Z20" s="349">
        <v>0.0</v>
      </c>
      <c r="AA20" s="349">
        <v>0.0</v>
      </c>
      <c r="AB20" s="349">
        <v>0.0</v>
      </c>
      <c r="AC20" s="349">
        <v>0.0</v>
      </c>
      <c r="AD20" s="349">
        <v>0.0</v>
      </c>
      <c r="AE20" s="349">
        <v>0.0</v>
      </c>
      <c r="AF20" s="349">
        <v>0.0</v>
      </c>
      <c r="AG20" s="350">
        <f t="shared" si="3"/>
        <v>0</v>
      </c>
    </row>
    <row r="21">
      <c r="A21" s="302" t="s">
        <v>120</v>
      </c>
      <c r="B21" s="348">
        <v>381.38</v>
      </c>
      <c r="C21" s="349">
        <v>380.76</v>
      </c>
      <c r="D21" s="349">
        <v>86.4</v>
      </c>
      <c r="E21" s="349">
        <v>774.99</v>
      </c>
      <c r="F21" s="349">
        <v>441.39</v>
      </c>
      <c r="G21" s="349">
        <v>632.04</v>
      </c>
      <c r="H21" s="349">
        <v>249.31</v>
      </c>
      <c r="I21" s="349">
        <v>304.66</v>
      </c>
      <c r="J21" s="349">
        <v>2048.44</v>
      </c>
      <c r="K21" s="349">
        <v>1113.52</v>
      </c>
      <c r="L21" s="349">
        <v>713.3</v>
      </c>
      <c r="M21" s="349">
        <v>771.48</v>
      </c>
      <c r="N21" s="349">
        <v>292.98</v>
      </c>
      <c r="O21" s="349">
        <v>551.04</v>
      </c>
      <c r="P21" s="349">
        <v>292.66</v>
      </c>
      <c r="Q21" s="349">
        <v>845.41</v>
      </c>
      <c r="R21" s="349">
        <v>25.44</v>
      </c>
      <c r="S21" s="140">
        <v>85.41</v>
      </c>
      <c r="T21" s="349">
        <v>0.0</v>
      </c>
      <c r="U21" s="349">
        <v>638.28</v>
      </c>
      <c r="V21" s="138">
        <v>1353.82</v>
      </c>
      <c r="W21" s="138">
        <v>1682.28</v>
      </c>
      <c r="X21" s="138">
        <v>430.18</v>
      </c>
      <c r="Y21" s="138">
        <v>299.38</v>
      </c>
      <c r="Z21" s="138">
        <v>342.0</v>
      </c>
      <c r="AA21" s="349">
        <v>68.21</v>
      </c>
      <c r="AB21" s="138">
        <v>297.14</v>
      </c>
      <c r="AC21" s="138">
        <v>602.4</v>
      </c>
      <c r="AD21" s="138">
        <v>0.0</v>
      </c>
      <c r="AE21" s="138">
        <v>295.14</v>
      </c>
      <c r="AF21" s="138">
        <v>297.48</v>
      </c>
      <c r="AG21" s="350">
        <f t="shared" si="3"/>
        <v>16296.92</v>
      </c>
    </row>
    <row r="22" ht="17.25" customHeight="1">
      <c r="A22" s="302" t="s">
        <v>410</v>
      </c>
      <c r="B22" s="351"/>
      <c r="C22" s="352"/>
      <c r="D22" s="353"/>
      <c r="E22" s="352"/>
      <c r="F22" s="352"/>
      <c r="G22" s="353"/>
      <c r="H22" s="353"/>
      <c r="I22" s="353"/>
      <c r="J22" s="353"/>
      <c r="K22" s="353"/>
      <c r="L22" s="353"/>
      <c r="M22" s="352"/>
      <c r="N22" s="352"/>
      <c r="O22" s="352"/>
      <c r="P22" s="352"/>
      <c r="Q22" s="352"/>
      <c r="R22" s="352"/>
      <c r="S22" s="352"/>
      <c r="T22" s="352"/>
      <c r="U22" s="352"/>
      <c r="V22" s="352"/>
      <c r="W22" s="352"/>
      <c r="X22" s="352"/>
      <c r="Y22" s="352"/>
      <c r="Z22" s="352"/>
      <c r="AA22" s="352"/>
      <c r="AB22" s="352"/>
      <c r="AC22" s="352"/>
      <c r="AD22" s="352"/>
      <c r="AE22" s="352"/>
      <c r="AF22" s="352"/>
      <c r="AG22" s="350">
        <f t="shared" si="3"/>
        <v>0</v>
      </c>
    </row>
    <row r="23">
      <c r="A23" s="337" t="s">
        <v>134</v>
      </c>
      <c r="B23" s="140">
        <v>0.0</v>
      </c>
      <c r="C23" s="140">
        <v>0.0</v>
      </c>
      <c r="D23" s="140">
        <v>0.0</v>
      </c>
      <c r="E23" s="140">
        <v>0.0</v>
      </c>
      <c r="F23" s="140">
        <v>0.0</v>
      </c>
      <c r="G23" s="140">
        <v>0.0</v>
      </c>
      <c r="H23" s="140">
        <v>0.0</v>
      </c>
      <c r="I23" s="140">
        <v>0.0</v>
      </c>
      <c r="J23" s="140">
        <v>0.0</v>
      </c>
      <c r="K23" s="140">
        <v>0.0</v>
      </c>
      <c r="L23" s="140">
        <v>0.0</v>
      </c>
      <c r="M23" s="140">
        <v>0.0</v>
      </c>
      <c r="N23" s="140">
        <v>0.0</v>
      </c>
      <c r="O23" s="140">
        <v>0.0</v>
      </c>
      <c r="P23" s="140">
        <v>0.0</v>
      </c>
      <c r="Q23" s="349">
        <v>0.0</v>
      </c>
      <c r="R23" s="140">
        <v>0.0</v>
      </c>
      <c r="S23" s="349">
        <v>780.81</v>
      </c>
      <c r="T23" s="140">
        <v>541.79</v>
      </c>
      <c r="U23" s="140">
        <v>925.45</v>
      </c>
      <c r="V23" s="140">
        <v>1184.57</v>
      </c>
      <c r="W23" s="140">
        <v>531.95</v>
      </c>
      <c r="X23" s="140">
        <v>938.33</v>
      </c>
      <c r="Y23" s="140">
        <v>1148.46</v>
      </c>
      <c r="Z23" s="140">
        <v>785.1</v>
      </c>
      <c r="AA23" s="140">
        <v>543.06</v>
      </c>
      <c r="AB23" s="140">
        <v>908.25</v>
      </c>
      <c r="AC23" s="140">
        <v>245.27</v>
      </c>
      <c r="AD23" s="140">
        <v>0.0</v>
      </c>
      <c r="AE23" s="140">
        <v>682.12</v>
      </c>
      <c r="AF23" s="140">
        <v>0.0</v>
      </c>
      <c r="AG23" s="350">
        <f t="shared" si="3"/>
        <v>9215.16</v>
      </c>
    </row>
    <row r="24">
      <c r="A24" s="42" t="s">
        <v>413</v>
      </c>
      <c r="B24" s="860"/>
      <c r="C24" s="860"/>
      <c r="D24" s="860"/>
      <c r="E24" s="861"/>
      <c r="F24" s="861"/>
      <c r="G24" s="861"/>
      <c r="H24" s="861"/>
      <c r="I24" s="861"/>
      <c r="J24" s="861"/>
      <c r="K24" s="861"/>
      <c r="L24" s="861"/>
      <c r="M24" s="861"/>
      <c r="N24" s="861"/>
      <c r="O24" s="861"/>
      <c r="P24" s="861"/>
      <c r="Q24" s="861"/>
      <c r="R24" s="861"/>
      <c r="S24" s="861"/>
      <c r="T24" s="861"/>
      <c r="U24" s="861"/>
      <c r="V24" s="861"/>
      <c r="W24" s="861"/>
      <c r="X24" s="861"/>
      <c r="Y24" s="861"/>
      <c r="Z24" s="861"/>
      <c r="AA24" s="861"/>
      <c r="AB24" s="861"/>
      <c r="AC24" s="861"/>
      <c r="AD24" s="861"/>
      <c r="AE24" s="861"/>
      <c r="AF24" s="861"/>
      <c r="AG24" s="350">
        <f t="shared" si="3"/>
        <v>0</v>
      </c>
    </row>
    <row r="25">
      <c r="A25" s="42" t="s">
        <v>415</v>
      </c>
      <c r="B25" s="862"/>
      <c r="C25" s="862"/>
      <c r="D25" s="862"/>
      <c r="E25" s="863"/>
      <c r="F25" s="863"/>
      <c r="G25" s="863"/>
      <c r="H25" s="863"/>
      <c r="I25" s="863"/>
      <c r="J25" s="862"/>
      <c r="K25" s="863"/>
      <c r="L25" s="863"/>
      <c r="M25" s="863"/>
      <c r="N25" s="863"/>
      <c r="O25" s="863"/>
      <c r="P25" s="863"/>
      <c r="Q25" s="863"/>
      <c r="R25" s="863"/>
      <c r="S25" s="863"/>
      <c r="T25" s="863"/>
      <c r="U25" s="863"/>
      <c r="V25" s="863"/>
      <c r="W25" s="863"/>
      <c r="X25" s="863"/>
      <c r="Y25" s="863"/>
      <c r="Z25" s="863"/>
      <c r="AA25" s="863"/>
      <c r="AB25" s="863"/>
      <c r="AC25" s="863"/>
      <c r="AD25" s="863"/>
      <c r="AE25" s="863"/>
      <c r="AF25" s="864"/>
      <c r="AG25" s="865">
        <f t="shared" si="3"/>
        <v>0</v>
      </c>
    </row>
    <row r="26">
      <c r="A26" s="337" t="s">
        <v>141</v>
      </c>
      <c r="B26" s="349">
        <v>815.46</v>
      </c>
      <c r="C26" s="349">
        <v>1741.69</v>
      </c>
      <c r="D26" s="349">
        <v>759.15</v>
      </c>
      <c r="E26" s="349">
        <v>509.74</v>
      </c>
      <c r="F26" s="349">
        <v>204.7</v>
      </c>
      <c r="G26" s="349">
        <v>266.63</v>
      </c>
      <c r="H26" s="349">
        <v>0.0</v>
      </c>
      <c r="I26" s="349">
        <v>30.74</v>
      </c>
      <c r="J26" s="349">
        <v>425.14</v>
      </c>
      <c r="K26" s="349">
        <v>543.68</v>
      </c>
      <c r="L26" s="349">
        <v>63.0</v>
      </c>
      <c r="M26" s="349">
        <v>348.11</v>
      </c>
      <c r="N26" s="349">
        <v>21081.09</v>
      </c>
      <c r="O26" s="140">
        <v>19052.55</v>
      </c>
      <c r="P26" s="358">
        <v>6531.28</v>
      </c>
      <c r="Q26" s="358">
        <v>3775.83</v>
      </c>
      <c r="R26" s="349">
        <v>6537.36</v>
      </c>
      <c r="S26" s="358">
        <v>7669.01</v>
      </c>
      <c r="T26" s="358">
        <v>238.68</v>
      </c>
      <c r="U26" s="358">
        <v>825.72</v>
      </c>
      <c r="V26" s="358">
        <v>465.42</v>
      </c>
      <c r="W26" s="866">
        <v>309.71</v>
      </c>
      <c r="X26" s="358">
        <v>1222.39</v>
      </c>
      <c r="Y26" s="358">
        <v>351.79</v>
      </c>
      <c r="Z26" s="358">
        <v>24.84</v>
      </c>
      <c r="AA26" s="358">
        <v>0.0</v>
      </c>
      <c r="AB26" s="358">
        <v>1047.31</v>
      </c>
      <c r="AC26" s="358">
        <v>576.18</v>
      </c>
      <c r="AD26" s="358">
        <v>124.94</v>
      </c>
      <c r="AE26" s="358">
        <v>646.42</v>
      </c>
      <c r="AF26" s="867">
        <v>1000.93</v>
      </c>
      <c r="AG26" s="868">
        <f t="shared" si="3"/>
        <v>77189.49</v>
      </c>
    </row>
    <row r="27">
      <c r="A27" s="337" t="s">
        <v>743</v>
      </c>
      <c r="B27" s="869"/>
      <c r="C27" s="870"/>
      <c r="D27" s="870"/>
      <c r="E27" s="870"/>
      <c r="F27" s="870"/>
      <c r="G27" s="870"/>
      <c r="H27" s="870"/>
      <c r="I27" s="870"/>
      <c r="J27" s="870"/>
      <c r="K27" s="870"/>
      <c r="L27" s="870"/>
      <c r="M27" s="870"/>
      <c r="N27" s="870"/>
      <c r="O27" s="870"/>
      <c r="P27" s="870"/>
      <c r="Q27" s="870"/>
      <c r="R27" s="870"/>
      <c r="S27" s="870"/>
      <c r="T27" s="870"/>
      <c r="U27" s="870"/>
      <c r="V27" s="870"/>
      <c r="W27" s="870"/>
      <c r="X27" s="870"/>
      <c r="Y27" s="870"/>
      <c r="Z27" s="870"/>
      <c r="AA27" s="870"/>
      <c r="AB27" s="870"/>
      <c r="AC27" s="870"/>
      <c r="AD27" s="870"/>
      <c r="AE27" s="870"/>
      <c r="AF27" s="870"/>
      <c r="AG27" s="336"/>
    </row>
    <row r="28">
      <c r="A28" s="346" t="s">
        <v>151</v>
      </c>
      <c r="B28" s="153">
        <f t="shared" ref="B28:AF28" si="4">SUM(B18:B27)</f>
        <v>22170.03</v>
      </c>
      <c r="C28" s="153">
        <f t="shared" si="4"/>
        <v>33561.29</v>
      </c>
      <c r="D28" s="153">
        <f t="shared" si="4"/>
        <v>21862.95</v>
      </c>
      <c r="E28" s="153">
        <f t="shared" si="4"/>
        <v>31503.18</v>
      </c>
      <c r="F28" s="153">
        <f t="shared" si="4"/>
        <v>26329.73</v>
      </c>
      <c r="G28" s="153">
        <f t="shared" si="4"/>
        <v>29579.84</v>
      </c>
      <c r="H28" s="153">
        <f t="shared" si="4"/>
        <v>30140.77</v>
      </c>
      <c r="I28" s="153">
        <f t="shared" si="4"/>
        <v>42474.8</v>
      </c>
      <c r="J28" s="153">
        <f t="shared" si="4"/>
        <v>37857.56</v>
      </c>
      <c r="K28" s="153">
        <f t="shared" si="4"/>
        <v>35960.61</v>
      </c>
      <c r="L28" s="153">
        <f t="shared" si="4"/>
        <v>32245.17</v>
      </c>
      <c r="M28" s="153">
        <f t="shared" si="4"/>
        <v>30594.06</v>
      </c>
      <c r="N28" s="153">
        <f t="shared" si="4"/>
        <v>55530.11</v>
      </c>
      <c r="O28" s="153">
        <f t="shared" si="4"/>
        <v>53819.27</v>
      </c>
      <c r="P28" s="153">
        <f t="shared" si="4"/>
        <v>39326.85</v>
      </c>
      <c r="Q28" s="153">
        <f t="shared" si="4"/>
        <v>36610.86</v>
      </c>
      <c r="R28" s="153">
        <f t="shared" si="4"/>
        <v>24150.11</v>
      </c>
      <c r="S28" s="153">
        <f t="shared" si="4"/>
        <v>36809.74</v>
      </c>
      <c r="T28" s="153">
        <f t="shared" si="4"/>
        <v>30898.77</v>
      </c>
      <c r="U28" s="153">
        <f t="shared" si="4"/>
        <v>35786.16</v>
      </c>
      <c r="V28" s="153">
        <f t="shared" si="4"/>
        <v>32038.31</v>
      </c>
      <c r="W28" s="153">
        <f t="shared" si="4"/>
        <v>33835.12</v>
      </c>
      <c r="X28" s="153">
        <f t="shared" si="4"/>
        <v>34016.48</v>
      </c>
      <c r="Y28" s="153">
        <f t="shared" si="4"/>
        <v>20755.83</v>
      </c>
      <c r="Z28" s="153">
        <f t="shared" si="4"/>
        <v>21695.47</v>
      </c>
      <c r="AA28" s="153">
        <f t="shared" si="4"/>
        <v>16989.73</v>
      </c>
      <c r="AB28" s="153">
        <f t="shared" si="4"/>
        <v>22278.44</v>
      </c>
      <c r="AC28" s="153">
        <f t="shared" si="4"/>
        <v>20146.86</v>
      </c>
      <c r="AD28" s="153">
        <f t="shared" si="4"/>
        <v>14980.98</v>
      </c>
      <c r="AE28" s="153">
        <f t="shared" si="4"/>
        <v>15479.5</v>
      </c>
      <c r="AF28" s="153">
        <f t="shared" si="4"/>
        <v>10577.1</v>
      </c>
      <c r="AG28" s="360">
        <f>SUM(B28:AF28)</f>
        <v>930005.68</v>
      </c>
    </row>
    <row r="29">
      <c r="A29" s="42"/>
      <c r="B29" s="327"/>
      <c r="C29" s="327"/>
      <c r="D29" s="327"/>
      <c r="E29" s="327"/>
      <c r="F29" s="327"/>
      <c r="G29" s="327"/>
      <c r="H29" s="327"/>
      <c r="I29" s="327"/>
      <c r="J29" s="327"/>
      <c r="K29" s="327"/>
      <c r="L29" s="327"/>
      <c r="M29" s="327"/>
      <c r="N29" s="327"/>
      <c r="O29" s="327"/>
      <c r="P29" s="327"/>
      <c r="Q29" s="327"/>
      <c r="R29" s="327"/>
      <c r="S29" s="327"/>
      <c r="T29" s="327"/>
      <c r="U29" s="327"/>
      <c r="V29" s="327"/>
      <c r="W29" s="327"/>
      <c r="X29" s="327"/>
      <c r="Y29" s="327"/>
      <c r="Z29" s="327"/>
      <c r="AA29" s="327"/>
      <c r="AB29" s="327"/>
      <c r="AC29" s="327"/>
      <c r="AD29" s="327"/>
      <c r="AE29" s="327"/>
      <c r="AF29" s="327"/>
      <c r="AG29" s="336"/>
    </row>
    <row r="30">
      <c r="A30" s="361" t="s">
        <v>205</v>
      </c>
      <c r="B30" s="327"/>
      <c r="C30" s="327"/>
      <c r="D30" s="327"/>
      <c r="E30" s="327"/>
      <c r="F30" s="327"/>
      <c r="G30" s="327"/>
      <c r="H30" s="327"/>
      <c r="I30" s="327"/>
      <c r="J30" s="327"/>
      <c r="K30" s="327"/>
      <c r="L30" s="327"/>
      <c r="M30" s="327"/>
      <c r="N30" s="327"/>
      <c r="O30" s="327"/>
      <c r="P30" s="327"/>
      <c r="Q30" s="327"/>
      <c r="R30" s="327"/>
      <c r="S30" s="327"/>
      <c r="T30" s="327"/>
      <c r="U30" s="327"/>
      <c r="V30" s="327"/>
      <c r="W30" s="327"/>
      <c r="X30" s="327"/>
      <c r="Y30" s="327"/>
      <c r="Z30" s="327"/>
      <c r="AA30" s="327"/>
      <c r="AB30" s="327"/>
      <c r="AC30" s="327"/>
      <c r="AD30" s="327"/>
      <c r="AE30" s="327"/>
      <c r="AF30" s="327"/>
      <c r="AG30" s="336"/>
    </row>
    <row r="31">
      <c r="A31" s="42" t="s">
        <v>427</v>
      </c>
      <c r="B31" s="362">
        <f>'OLD Sales'!B20</f>
        <v>7590.32</v>
      </c>
      <c r="C31" s="362">
        <f>'OLD Sales'!C20</f>
        <v>9939.48</v>
      </c>
      <c r="D31" s="362">
        <f>'OLD Sales'!D20</f>
        <v>11857.85</v>
      </c>
      <c r="E31" s="362">
        <f>'OLD Sales'!E20</f>
        <v>13975.77</v>
      </c>
      <c r="F31" s="362">
        <f>'OLD Sales'!F20</f>
        <v>13627.08</v>
      </c>
      <c r="G31" s="362">
        <f>'OLD Sales'!G20</f>
        <v>13435.73</v>
      </c>
      <c r="H31" s="362">
        <f>'OLD Sales'!H20</f>
        <v>13643.57</v>
      </c>
      <c r="I31" s="362">
        <f>'OLD Sales'!I20</f>
        <v>14020.82</v>
      </c>
      <c r="J31" s="362">
        <f>'OLD Sales'!J20</f>
        <v>16923.12</v>
      </c>
      <c r="K31" s="362">
        <f>'OLD Sales'!K20</f>
        <v>16638.37</v>
      </c>
      <c r="L31" s="362">
        <f>'OLD Sales'!L20</f>
        <v>14685.47</v>
      </c>
      <c r="M31" s="362">
        <f>'OLD Sales'!M20</f>
        <v>9643.71</v>
      </c>
      <c r="N31" s="362">
        <f>'OLD Sales'!N20</f>
        <v>9544.29</v>
      </c>
      <c r="O31" s="362">
        <f>'OLD Sales'!O20</f>
        <v>13137.58</v>
      </c>
      <c r="P31" s="362">
        <f>'OLD Sales'!P20</f>
        <v>17548.71</v>
      </c>
      <c r="Q31" s="362">
        <f>'OLD Sales'!Q20</f>
        <v>20371.34</v>
      </c>
      <c r="R31" s="362">
        <f>'OLD Sales'!R20</f>
        <v>14875.41</v>
      </c>
      <c r="S31" s="362">
        <f>'OLD Sales'!S20</f>
        <v>14651</v>
      </c>
      <c r="T31" s="362">
        <f>'OLD Sales'!T20</f>
        <v>15983.11</v>
      </c>
      <c r="U31" s="362">
        <f>'OLD Sales'!U20</f>
        <v>16495.31</v>
      </c>
      <c r="V31" s="362">
        <f>'OLD Sales'!V20</f>
        <v>16540.43</v>
      </c>
      <c r="W31" s="362">
        <f>'OLD Sales'!W20</f>
        <v>16840.85</v>
      </c>
      <c r="X31" s="362">
        <f>'OLD Sales'!X20</f>
        <v>17566.45</v>
      </c>
      <c r="Y31" s="362">
        <f>'OLD Sales'!Y20</f>
        <v>11293.8</v>
      </c>
      <c r="Z31" s="362">
        <f>'OLD Sales'!Z20</f>
        <v>9326.51</v>
      </c>
      <c r="AA31" s="362">
        <f>'OLD Sales'!AA20</f>
        <v>9853.2</v>
      </c>
      <c r="AB31" s="362">
        <f>'OLD Sales'!AB20</f>
        <v>7316.48</v>
      </c>
      <c r="AC31" s="362">
        <f>'OLD Sales'!AC20</f>
        <v>6685.51</v>
      </c>
      <c r="AD31" s="362">
        <f>'OLD Sales'!AD20</f>
        <v>6692.13</v>
      </c>
      <c r="AE31" s="362">
        <f>'OLD Sales'!AE20</f>
        <v>7810.96</v>
      </c>
      <c r="AF31" s="362">
        <f>'OLD Sales'!AF20</f>
        <v>7705.29</v>
      </c>
      <c r="AG31" s="360">
        <f t="shared" ref="AG31:AG42" si="5">SUM(B31:AF31)</f>
        <v>396219.65</v>
      </c>
    </row>
    <row r="32">
      <c r="A32" s="337" t="s">
        <v>143</v>
      </c>
      <c r="B32" s="362">
        <f>'OLD Sales'!B21</f>
        <v>3493.03</v>
      </c>
      <c r="C32" s="362">
        <f>'OLD Sales'!C21</f>
        <v>3318.69</v>
      </c>
      <c r="D32" s="362">
        <f>'OLD Sales'!D21</f>
        <v>3105.04</v>
      </c>
      <c r="E32" s="362">
        <f>'OLD Sales'!E21</f>
        <v>3164.26</v>
      </c>
      <c r="F32" s="362">
        <f>'OLD Sales'!F21</f>
        <v>2740.55</v>
      </c>
      <c r="G32" s="362">
        <f>'OLD Sales'!G21</f>
        <v>3020.34</v>
      </c>
      <c r="H32" s="362">
        <f>'OLD Sales'!H21</f>
        <v>3129.51</v>
      </c>
      <c r="I32" s="362">
        <f>'OLD Sales'!I21</f>
        <v>3393.25</v>
      </c>
      <c r="J32" s="362">
        <f>'OLD Sales'!J21</f>
        <v>3789.9</v>
      </c>
      <c r="K32" s="362">
        <f>'OLD Sales'!K21</f>
        <v>3108.44</v>
      </c>
      <c r="L32" s="362">
        <f>'OLD Sales'!L21</f>
        <v>3475.99</v>
      </c>
      <c r="M32" s="362">
        <f>'OLD Sales'!M21</f>
        <v>3368.31</v>
      </c>
      <c r="N32" s="362">
        <f>'OLD Sales'!N21</f>
        <v>3891.75</v>
      </c>
      <c r="O32" s="362">
        <f>'OLD Sales'!O21</f>
        <v>4289.75</v>
      </c>
      <c r="P32" s="362">
        <f>'OLD Sales'!P21</f>
        <v>4978.18</v>
      </c>
      <c r="Q32" s="362">
        <f>'OLD Sales'!Q21</f>
        <v>5350.38</v>
      </c>
      <c r="R32" s="362">
        <f>'OLD Sales'!R21</f>
        <v>4262.94</v>
      </c>
      <c r="S32" s="362">
        <f>'OLD Sales'!S21</f>
        <v>5867.41</v>
      </c>
      <c r="T32" s="362">
        <f>'OLD Sales'!T21</f>
        <v>3955.4</v>
      </c>
      <c r="U32" s="362">
        <f>'OLD Sales'!U21</f>
        <v>3443.43</v>
      </c>
      <c r="V32" s="362">
        <f>'OLD Sales'!V21</f>
        <v>4404.04</v>
      </c>
      <c r="W32" s="362">
        <f>'OLD Sales'!W21</f>
        <v>6179.63</v>
      </c>
      <c r="X32" s="362">
        <f>'OLD Sales'!X21</f>
        <v>7876.81</v>
      </c>
      <c r="Y32" s="362">
        <f>'OLD Sales'!Y21</f>
        <v>6931.42</v>
      </c>
      <c r="Z32" s="362">
        <f>'OLD Sales'!Z21</f>
        <v>6903.19</v>
      </c>
      <c r="AA32" s="362">
        <f>'OLD Sales'!AA21</f>
        <v>5631.54</v>
      </c>
      <c r="AB32" s="362">
        <f>'OLD Sales'!AB21</f>
        <v>6483.21</v>
      </c>
      <c r="AC32" s="362">
        <f>'OLD Sales'!AC21</f>
        <v>6665.27</v>
      </c>
      <c r="AD32" s="362">
        <f>'OLD Sales'!AD21</f>
        <v>5627.76</v>
      </c>
      <c r="AE32" s="362">
        <f>'OLD Sales'!AE21</f>
        <v>3929.84</v>
      </c>
      <c r="AF32" s="362">
        <f>'OLD Sales'!AF21</f>
        <v>2235.27</v>
      </c>
      <c r="AG32" s="360">
        <f t="shared" si="5"/>
        <v>138014.53</v>
      </c>
    </row>
    <row r="33">
      <c r="A33" s="42" t="s">
        <v>148</v>
      </c>
      <c r="B33" s="362">
        <f>'OLD Sales'!B23</f>
        <v>0</v>
      </c>
      <c r="C33" s="362">
        <f>'OLD Sales'!C23</f>
        <v>0</v>
      </c>
      <c r="D33" s="362">
        <f>'OLD Sales'!D23</f>
        <v>0</v>
      </c>
      <c r="E33" s="362">
        <f>'OLD Sales'!E23</f>
        <v>0</v>
      </c>
      <c r="F33" s="362">
        <f>'OLD Sales'!F23</f>
        <v>0</v>
      </c>
      <c r="G33" s="362">
        <f>'OLD Sales'!G23</f>
        <v>0</v>
      </c>
      <c r="H33" s="362">
        <f>'OLD Sales'!H23</f>
        <v>0</v>
      </c>
      <c r="I33" s="362">
        <f>'OLD Sales'!I23</f>
        <v>0</v>
      </c>
      <c r="J33" s="362">
        <f>'OLD Sales'!J23</f>
        <v>0</v>
      </c>
      <c r="K33" s="362">
        <f>'OLD Sales'!K23</f>
        <v>0</v>
      </c>
      <c r="L33" s="362">
        <f>'OLD Sales'!L23</f>
        <v>0</v>
      </c>
      <c r="M33" s="362">
        <f>'OLD Sales'!M23</f>
        <v>0</v>
      </c>
      <c r="N33" s="362">
        <f>'OLD Sales'!N23</f>
        <v>0</v>
      </c>
      <c r="O33" s="362">
        <f>'OLD Sales'!O23</f>
        <v>0</v>
      </c>
      <c r="P33" s="362">
        <f>'OLD Sales'!P23</f>
        <v>0</v>
      </c>
      <c r="Q33" s="362">
        <f>'OLD Sales'!Q23</f>
        <v>0</v>
      </c>
      <c r="R33" s="362">
        <f>'OLD Sales'!R23</f>
        <v>0</v>
      </c>
      <c r="S33" s="362">
        <f>'OLD Sales'!S23</f>
        <v>0</v>
      </c>
      <c r="T33" s="362">
        <f>'OLD Sales'!T23</f>
        <v>0</v>
      </c>
      <c r="U33" s="362">
        <f>'OLD Sales'!U23</f>
        <v>0</v>
      </c>
      <c r="V33" s="362">
        <f>'OLD Sales'!V23</f>
        <v>0</v>
      </c>
      <c r="W33" s="362">
        <f>'OLD Sales'!W23</f>
        <v>0</v>
      </c>
      <c r="X33" s="362">
        <f>'OLD Sales'!X23</f>
        <v>0</v>
      </c>
      <c r="Y33" s="362">
        <f>'OLD Sales'!Y23</f>
        <v>0</v>
      </c>
      <c r="Z33" s="362">
        <f>'OLD Sales'!Z23</f>
        <v>0</v>
      </c>
      <c r="AA33" s="362">
        <f>'OLD Sales'!AA23</f>
        <v>0</v>
      </c>
      <c r="AB33" s="362">
        <f>'OLD Sales'!AB23</f>
        <v>0</v>
      </c>
      <c r="AC33" s="362">
        <f>'OLD Sales'!AC23</f>
        <v>0</v>
      </c>
      <c r="AD33" s="362">
        <f>'OLD Sales'!AD23</f>
        <v>0</v>
      </c>
      <c r="AE33" s="362">
        <f>'OLD Sales'!AE23</f>
        <v>0</v>
      </c>
      <c r="AF33" s="362" t="str">
        <f>'OLD Sales'!AF23</f>
        <v/>
      </c>
      <c r="AG33" s="360">
        <f t="shared" si="5"/>
        <v>0</v>
      </c>
    </row>
    <row r="34">
      <c r="A34" s="337" t="s">
        <v>146</v>
      </c>
      <c r="B34" s="362">
        <f>'OLD Sales'!B22</f>
        <v>244.51</v>
      </c>
      <c r="C34" s="362">
        <f>'OLD Sales'!C22</f>
        <v>259.8</v>
      </c>
      <c r="D34" s="362">
        <f>'OLD Sales'!D22</f>
        <v>259.73</v>
      </c>
      <c r="E34" s="362">
        <f>'OLD Sales'!E22</f>
        <v>251.56</v>
      </c>
      <c r="F34" s="362">
        <f>'OLD Sales'!F22</f>
        <v>260.93</v>
      </c>
      <c r="G34" s="362">
        <f>'OLD Sales'!G22</f>
        <v>252.96</v>
      </c>
      <c r="H34" s="362">
        <f>'OLD Sales'!H22</f>
        <v>250.94</v>
      </c>
      <c r="I34" s="362">
        <f>'OLD Sales'!I22</f>
        <v>249.85</v>
      </c>
      <c r="J34" s="362">
        <f>'OLD Sales'!J22</f>
        <v>248.72</v>
      </c>
      <c r="K34" s="362">
        <f>'OLD Sales'!K22</f>
        <v>245.95</v>
      </c>
      <c r="L34" s="362">
        <f>'OLD Sales'!L22</f>
        <v>250.54</v>
      </c>
      <c r="M34" s="362">
        <f>'OLD Sales'!M22</f>
        <v>247.66</v>
      </c>
      <c r="N34" s="362">
        <f>'OLD Sales'!N22</f>
        <v>82.36</v>
      </c>
      <c r="O34" s="362">
        <f>'OLD Sales'!O22</f>
        <v>0</v>
      </c>
      <c r="P34" s="362">
        <f>'OLD Sales'!P22</f>
        <v>0</v>
      </c>
      <c r="Q34" s="362">
        <f>'OLD Sales'!Q22</f>
        <v>0</v>
      </c>
      <c r="R34" s="362">
        <f>'OLD Sales'!R22</f>
        <v>0</v>
      </c>
      <c r="S34" s="362">
        <f>'OLD Sales'!S22</f>
        <v>0</v>
      </c>
      <c r="T34" s="362">
        <f>'OLD Sales'!T22</f>
        <v>130.29</v>
      </c>
      <c r="U34" s="362">
        <f>'OLD Sales'!U22</f>
        <v>247.33</v>
      </c>
      <c r="V34" s="362">
        <f>'OLD Sales'!V22</f>
        <v>241.87</v>
      </c>
      <c r="W34" s="362">
        <f>'OLD Sales'!W22</f>
        <v>267.6</v>
      </c>
      <c r="X34" s="362">
        <f>'OLD Sales'!X22</f>
        <v>243.5</v>
      </c>
      <c r="Y34" s="362">
        <f>'OLD Sales'!Y22</f>
        <v>239.41</v>
      </c>
      <c r="Z34" s="362">
        <f>'OLD Sales'!Z22</f>
        <v>253.25</v>
      </c>
      <c r="AA34" s="362">
        <f>'OLD Sales'!AA22</f>
        <v>274.45</v>
      </c>
      <c r="AB34" s="362">
        <f>'OLD Sales'!AB22</f>
        <v>262.48</v>
      </c>
      <c r="AC34" s="362">
        <f>'OLD Sales'!AC22</f>
        <v>301.09</v>
      </c>
      <c r="AD34" s="362">
        <f>'OLD Sales'!AD22</f>
        <v>283.72</v>
      </c>
      <c r="AE34" s="362">
        <f>'OLD Sales'!AE22</f>
        <v>289.28</v>
      </c>
      <c r="AF34" s="362">
        <f>'OLD Sales'!AF22</f>
        <v>296.9</v>
      </c>
      <c r="AG34" s="360">
        <f t="shared" si="5"/>
        <v>6436.68</v>
      </c>
    </row>
    <row r="35">
      <c r="A35" s="337" t="s">
        <v>410</v>
      </c>
      <c r="B35" s="366" t="str">
        <f>'OLD Sales'!B24</f>
        <v/>
      </c>
      <c r="C35" s="366" t="str">
        <f>'OLD Sales'!C24</f>
        <v/>
      </c>
      <c r="D35" s="366" t="str">
        <f>'OLD Sales'!D24</f>
        <v/>
      </c>
      <c r="E35" s="366" t="str">
        <f>'OLD Sales'!E24</f>
        <v/>
      </c>
      <c r="F35" s="366" t="str">
        <f>'OLD Sales'!F24</f>
        <v/>
      </c>
      <c r="G35" s="366" t="str">
        <f>'OLD Sales'!G24</f>
        <v/>
      </c>
      <c r="H35" s="366" t="str">
        <f>'OLD Sales'!H24</f>
        <v/>
      </c>
      <c r="I35" s="366" t="str">
        <f>'OLD Sales'!I24</f>
        <v/>
      </c>
      <c r="J35" s="366" t="str">
        <f>'OLD Sales'!J24</f>
        <v/>
      </c>
      <c r="K35" s="366" t="str">
        <f>'OLD Sales'!K24</f>
        <v/>
      </c>
      <c r="L35" s="366" t="str">
        <f>'OLD Sales'!L24</f>
        <v/>
      </c>
      <c r="M35" s="366" t="str">
        <f>'OLD Sales'!M24</f>
        <v/>
      </c>
      <c r="N35" s="366" t="str">
        <f>'OLD Sales'!N24</f>
        <v/>
      </c>
      <c r="O35" s="366" t="str">
        <f>'OLD Sales'!O24</f>
        <v/>
      </c>
      <c r="P35" s="366" t="str">
        <f>'OLD Sales'!P24</f>
        <v/>
      </c>
      <c r="Q35" s="366" t="str">
        <f>'OLD Sales'!Q24</f>
        <v/>
      </c>
      <c r="R35" s="366" t="str">
        <f>'OLD Sales'!R24</f>
        <v/>
      </c>
      <c r="S35" s="366" t="str">
        <f>'OLD Sales'!S24</f>
        <v/>
      </c>
      <c r="T35" s="366" t="str">
        <f>'OLD Sales'!T24</f>
        <v/>
      </c>
      <c r="U35" s="366" t="str">
        <f>'OLD Sales'!U24</f>
        <v/>
      </c>
      <c r="V35" s="366" t="str">
        <f>'OLD Sales'!V24</f>
        <v/>
      </c>
      <c r="W35" s="366" t="str">
        <f>'OLD Sales'!W24</f>
        <v/>
      </c>
      <c r="X35" s="366" t="str">
        <f>'OLD Sales'!X24</f>
        <v/>
      </c>
      <c r="Y35" s="366" t="str">
        <f>'OLD Sales'!Y24</f>
        <v/>
      </c>
      <c r="Z35" s="366" t="str">
        <f>'OLD Sales'!Z24</f>
        <v/>
      </c>
      <c r="AA35" s="366" t="str">
        <f>'OLD Sales'!AA24</f>
        <v/>
      </c>
      <c r="AB35" s="366" t="str">
        <f>'OLD Sales'!AB24</f>
        <v/>
      </c>
      <c r="AC35" s="366" t="str">
        <f>'OLD Sales'!AC24</f>
        <v/>
      </c>
      <c r="AD35" s="366" t="str">
        <f>'OLD Sales'!AD24</f>
        <v/>
      </c>
      <c r="AE35" s="366" t="str">
        <f>'OLD Sales'!AE24</f>
        <v/>
      </c>
      <c r="AF35" s="366"/>
      <c r="AG35" s="360">
        <f t="shared" si="5"/>
        <v>0</v>
      </c>
    </row>
    <row r="36">
      <c r="A36" s="337" t="s">
        <v>441</v>
      </c>
      <c r="B36" s="366">
        <f t="shared" ref="B36:S36" si="6">B22*0.15</f>
        <v>0</v>
      </c>
      <c r="C36" s="366">
        <f t="shared" si="6"/>
        <v>0</v>
      </c>
      <c r="D36" s="366">
        <f t="shared" si="6"/>
        <v>0</v>
      </c>
      <c r="E36" s="366">
        <f t="shared" si="6"/>
        <v>0</v>
      </c>
      <c r="F36" s="366">
        <f t="shared" si="6"/>
        <v>0</v>
      </c>
      <c r="G36" s="366">
        <f t="shared" si="6"/>
        <v>0</v>
      </c>
      <c r="H36" s="366">
        <f t="shared" si="6"/>
        <v>0</v>
      </c>
      <c r="I36" s="366">
        <f t="shared" si="6"/>
        <v>0</v>
      </c>
      <c r="J36" s="366">
        <f t="shared" si="6"/>
        <v>0</v>
      </c>
      <c r="K36" s="366">
        <f t="shared" si="6"/>
        <v>0</v>
      </c>
      <c r="L36" s="366">
        <f t="shared" si="6"/>
        <v>0</v>
      </c>
      <c r="M36" s="366">
        <f t="shared" si="6"/>
        <v>0</v>
      </c>
      <c r="N36" s="366">
        <f t="shared" si="6"/>
        <v>0</v>
      </c>
      <c r="O36" s="366">
        <f t="shared" si="6"/>
        <v>0</v>
      </c>
      <c r="P36" s="366">
        <f t="shared" si="6"/>
        <v>0</v>
      </c>
      <c r="Q36" s="366">
        <f t="shared" si="6"/>
        <v>0</v>
      </c>
      <c r="R36" s="366">
        <f t="shared" si="6"/>
        <v>0</v>
      </c>
      <c r="S36" s="366">
        <f t="shared" si="6"/>
        <v>0</v>
      </c>
      <c r="T36" s="366"/>
      <c r="U36" s="366">
        <f t="shared" ref="U36:AC36" si="7">U22*0.15</f>
        <v>0</v>
      </c>
      <c r="V36" s="366">
        <f t="shared" si="7"/>
        <v>0</v>
      </c>
      <c r="W36" s="366">
        <f t="shared" si="7"/>
        <v>0</v>
      </c>
      <c r="X36" s="366">
        <f t="shared" si="7"/>
        <v>0</v>
      </c>
      <c r="Y36" s="366">
        <f t="shared" si="7"/>
        <v>0</v>
      </c>
      <c r="Z36" s="366">
        <f t="shared" si="7"/>
        <v>0</v>
      </c>
      <c r="AA36" s="366">
        <f t="shared" si="7"/>
        <v>0</v>
      </c>
      <c r="AB36" s="366">
        <f t="shared" si="7"/>
        <v>0</v>
      </c>
      <c r="AC36" s="366">
        <f t="shared" si="7"/>
        <v>0</v>
      </c>
      <c r="AD36" s="366"/>
      <c r="AE36" s="366"/>
      <c r="AF36" s="366"/>
      <c r="AG36" s="360">
        <f t="shared" si="5"/>
        <v>0</v>
      </c>
    </row>
    <row r="37">
      <c r="A37" s="337" t="s">
        <v>444</v>
      </c>
      <c r="B37" s="370"/>
      <c r="C37" s="370"/>
      <c r="D37" s="370"/>
      <c r="E37" s="370"/>
      <c r="F37" s="370"/>
      <c r="G37" s="370"/>
      <c r="H37" s="370"/>
      <c r="I37" s="370"/>
      <c r="J37" s="370"/>
      <c r="K37" s="370"/>
      <c r="L37" s="370"/>
      <c r="M37" s="370"/>
      <c r="N37" s="370"/>
      <c r="O37" s="370"/>
      <c r="P37" s="370"/>
      <c r="Q37" s="370"/>
      <c r="R37" s="370"/>
      <c r="S37" s="370"/>
      <c r="T37" s="370"/>
      <c r="U37" s="370"/>
      <c r="V37" s="370"/>
      <c r="W37" s="370"/>
      <c r="X37" s="370"/>
      <c r="Y37" s="370"/>
      <c r="Z37" s="370"/>
      <c r="AA37" s="370"/>
      <c r="AB37" s="370"/>
      <c r="AC37" s="370"/>
      <c r="AD37" s="370"/>
      <c r="AE37" s="370"/>
      <c r="AF37" s="370"/>
      <c r="AG37" s="360">
        <f t="shared" si="5"/>
        <v>0</v>
      </c>
    </row>
    <row r="38">
      <c r="A38" s="372" t="s">
        <v>446</v>
      </c>
      <c r="B38" s="373"/>
      <c r="C38" s="370"/>
      <c r="D38" s="370"/>
      <c r="E38" s="370"/>
      <c r="F38" s="370"/>
      <c r="G38" s="370"/>
      <c r="H38" s="370"/>
      <c r="I38" s="370"/>
      <c r="J38" s="370"/>
      <c r="K38" s="370"/>
      <c r="L38" s="370"/>
      <c r="M38" s="370"/>
      <c r="N38" s="370"/>
      <c r="O38" s="370"/>
      <c r="P38" s="370"/>
      <c r="Q38" s="370"/>
      <c r="R38" s="370"/>
      <c r="S38" s="370"/>
      <c r="T38" s="370"/>
      <c r="U38" s="370"/>
      <c r="V38" s="370"/>
      <c r="W38" s="370"/>
      <c r="X38" s="370"/>
      <c r="Y38" s="370"/>
      <c r="Z38" s="370"/>
      <c r="AA38" s="370"/>
      <c r="AB38" s="370"/>
      <c r="AC38" s="370"/>
      <c r="AD38" s="370"/>
      <c r="AE38" s="370"/>
      <c r="AF38" s="370"/>
      <c r="AG38" s="360">
        <f t="shared" si="5"/>
        <v>0</v>
      </c>
    </row>
    <row r="39">
      <c r="A39" s="372" t="s">
        <v>448</v>
      </c>
      <c r="B39" s="377">
        <f>'OLD Sales'!B25</f>
        <v>0</v>
      </c>
      <c r="C39" s="380">
        <f>'OLD Sales'!C25</f>
        <v>0</v>
      </c>
      <c r="D39" s="380">
        <f>'OLD Sales'!D25</f>
        <v>0</v>
      </c>
      <c r="E39" s="380">
        <f>'OLD Sales'!E25</f>
        <v>0</v>
      </c>
      <c r="F39" s="380">
        <f>'OLD Sales'!F25</f>
        <v>0</v>
      </c>
      <c r="G39" s="380">
        <f>'OLD Sales'!G25</f>
        <v>0</v>
      </c>
      <c r="H39" s="380">
        <f>'OLD Sales'!H25</f>
        <v>0</v>
      </c>
      <c r="I39" s="380">
        <f>'OLD Sales'!I25</f>
        <v>0</v>
      </c>
      <c r="J39" s="380">
        <f>'OLD Sales'!J25</f>
        <v>0</v>
      </c>
      <c r="K39" s="380">
        <f>'OLD Sales'!K25</f>
        <v>0</v>
      </c>
      <c r="L39" s="380">
        <f>'OLD Sales'!L25</f>
        <v>0</v>
      </c>
      <c r="M39" s="380">
        <f>'OLD Sales'!M25</f>
        <v>0</v>
      </c>
      <c r="N39" s="380">
        <f>'OLD Sales'!N25</f>
        <v>0</v>
      </c>
      <c r="O39" s="380">
        <f>'OLD Sales'!O25</f>
        <v>0</v>
      </c>
      <c r="P39" s="380">
        <f>'OLD Sales'!P25</f>
        <v>0</v>
      </c>
      <c r="Q39" s="380">
        <f>'OLD Sales'!Q25</f>
        <v>0</v>
      </c>
      <c r="R39" s="380">
        <f>'OLD Sales'!R25</f>
        <v>0</v>
      </c>
      <c r="S39" s="380">
        <f>'OLD Sales'!S25</f>
        <v>156.16</v>
      </c>
      <c r="T39" s="380">
        <f>'OLD Sales'!T25</f>
        <v>131.12</v>
      </c>
      <c r="U39" s="380">
        <f>'OLD Sales'!U25</f>
        <v>215.27</v>
      </c>
      <c r="V39" s="380">
        <f>'OLD Sales'!V25</f>
        <v>264.81</v>
      </c>
      <c r="W39" s="380">
        <f>'OLD Sales'!W25</f>
        <v>122.94</v>
      </c>
      <c r="X39" s="380">
        <f>'OLD Sales'!X25</f>
        <v>187.67</v>
      </c>
      <c r="Y39" s="380">
        <f>'OLD Sales'!Y25</f>
        <v>229.7</v>
      </c>
      <c r="Z39" s="380">
        <f>'OLD Sales'!Z25</f>
        <v>157.02</v>
      </c>
      <c r="AA39" s="380">
        <f>'OLD Sales'!AA25</f>
        <v>108.61</v>
      </c>
      <c r="AB39" s="380">
        <f>'OLD Sales'!AB25</f>
        <v>196.05</v>
      </c>
      <c r="AC39" s="380">
        <f>'OLD Sales'!AC25</f>
        <v>49.05</v>
      </c>
      <c r="AD39" s="380">
        <f>'OLD Sales'!AD25</f>
        <v>0</v>
      </c>
      <c r="AE39" s="380">
        <f>'OLD Sales'!AE25</f>
        <v>136.42</v>
      </c>
      <c r="AF39" s="380">
        <f>'OLD Sales'!AF25</f>
        <v>0</v>
      </c>
      <c r="AG39" s="360">
        <f t="shared" si="5"/>
        <v>1954.82</v>
      </c>
    </row>
    <row r="40">
      <c r="A40" s="42" t="s">
        <v>449</v>
      </c>
      <c r="B40" s="370"/>
      <c r="C40" s="370"/>
      <c r="D40" s="370"/>
      <c r="E40" s="370"/>
      <c r="F40" s="370"/>
      <c r="G40" s="370"/>
      <c r="H40" s="370"/>
      <c r="I40" s="370"/>
      <c r="J40" s="370"/>
      <c r="K40" s="370"/>
      <c r="L40" s="370"/>
      <c r="M40" s="370"/>
      <c r="N40" s="370"/>
      <c r="O40" s="370"/>
      <c r="P40" s="370"/>
      <c r="Q40" s="370"/>
      <c r="R40" s="370"/>
      <c r="S40" s="370"/>
      <c r="T40" s="370"/>
      <c r="U40" s="370"/>
      <c r="V40" s="370"/>
      <c r="W40" s="370"/>
      <c r="X40" s="370"/>
      <c r="Y40" s="370"/>
      <c r="Z40" s="370"/>
      <c r="AA40" s="370"/>
      <c r="AB40" s="370"/>
      <c r="AC40" s="370"/>
      <c r="AD40" s="370"/>
      <c r="AE40" s="370"/>
      <c r="AF40" s="370"/>
      <c r="AG40" s="360">
        <f t="shared" si="5"/>
        <v>0</v>
      </c>
    </row>
    <row r="41">
      <c r="A41" s="42" t="s">
        <v>451</v>
      </c>
      <c r="B41" s="370"/>
      <c r="C41" s="370"/>
      <c r="D41" s="370"/>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60">
        <f t="shared" si="5"/>
        <v>0</v>
      </c>
    </row>
    <row r="42">
      <c r="A42" s="42" t="s">
        <v>452</v>
      </c>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60">
        <f t="shared" si="5"/>
        <v>0</v>
      </c>
    </row>
    <row r="43">
      <c r="A43" s="337" t="s">
        <v>745</v>
      </c>
      <c r="B43" s="370"/>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36"/>
    </row>
    <row r="44">
      <c r="A44" s="337" t="s">
        <v>746</v>
      </c>
      <c r="B44" s="370">
        <f>B27*'ECOMMERCE Formulas'!$C$41</f>
        <v>0</v>
      </c>
      <c r="C44" s="370">
        <f>C27*'ECOMMERCE Formulas'!$C$41</f>
        <v>0</v>
      </c>
      <c r="D44" s="370">
        <f>D27*'ECOMMERCE Formulas'!$C$41</f>
        <v>0</v>
      </c>
      <c r="E44" s="370">
        <f>E27*'ECOMMERCE Formulas'!$C$41</f>
        <v>0</v>
      </c>
      <c r="F44" s="370">
        <f>F27*'ECOMMERCE Formulas'!$C$41</f>
        <v>0</v>
      </c>
      <c r="G44" s="370">
        <f>G27*'ECOMMERCE Formulas'!$C$41</f>
        <v>0</v>
      </c>
      <c r="H44" s="370">
        <f>H27*'ECOMMERCE Formulas'!$C$41</f>
        <v>0</v>
      </c>
      <c r="I44" s="370">
        <f>I27*'ECOMMERCE Formulas'!$C$41</f>
        <v>0</v>
      </c>
      <c r="J44" s="370">
        <f>J27*'ECOMMERCE Formulas'!$C$41</f>
        <v>0</v>
      </c>
      <c r="K44" s="370">
        <f>K27*'ECOMMERCE Formulas'!$C$41</f>
        <v>0</v>
      </c>
      <c r="L44" s="370">
        <f>L27*'ECOMMERCE Formulas'!$C$41</f>
        <v>0</v>
      </c>
      <c r="M44" s="370">
        <f>M27*'ECOMMERCE Formulas'!$C$41</f>
        <v>0</v>
      </c>
      <c r="N44" s="370">
        <f>N27*'ECOMMERCE Formulas'!$C$41</f>
        <v>0</v>
      </c>
      <c r="O44" s="370">
        <f>O27*'ECOMMERCE Formulas'!$C$41</f>
        <v>0</v>
      </c>
      <c r="P44" s="370">
        <f>P27*'ECOMMERCE Formulas'!$C$41</f>
        <v>0</v>
      </c>
      <c r="Q44" s="370">
        <f>Q27*'ECOMMERCE Formulas'!$C$41</f>
        <v>0</v>
      </c>
      <c r="R44" s="370">
        <f>R27*'ECOMMERCE Formulas'!$C$41</f>
        <v>0</v>
      </c>
      <c r="S44" s="370">
        <f>S27*'ECOMMERCE Formulas'!$C$41</f>
        <v>0</v>
      </c>
      <c r="T44" s="370">
        <f>T27*'ECOMMERCE Formulas'!$C$41</f>
        <v>0</v>
      </c>
      <c r="U44" s="370">
        <f>U27*'ECOMMERCE Formulas'!$C$41</f>
        <v>0</v>
      </c>
      <c r="V44" s="370">
        <f>V27*'ECOMMERCE Formulas'!$C$41</f>
        <v>0</v>
      </c>
      <c r="W44" s="370">
        <f>W27*'ECOMMERCE Formulas'!$C$41</f>
        <v>0</v>
      </c>
      <c r="X44" s="370">
        <f>X27*'ECOMMERCE Formulas'!$C$41</f>
        <v>0</v>
      </c>
      <c r="Y44" s="370">
        <f>Y27*'ECOMMERCE Formulas'!$C$41</f>
        <v>0</v>
      </c>
      <c r="Z44" s="370">
        <f>Z27*'ECOMMERCE Formulas'!$C$41</f>
        <v>0</v>
      </c>
      <c r="AA44" s="370">
        <f>AA27*'ECOMMERCE Formulas'!$C$41</f>
        <v>0</v>
      </c>
      <c r="AB44" s="370">
        <f>AB27*'ECOMMERCE Formulas'!$C$41</f>
        <v>0</v>
      </c>
      <c r="AC44" s="370">
        <f>AC27*'ECOMMERCE Formulas'!$C$41</f>
        <v>0</v>
      </c>
      <c r="AD44" s="370">
        <f>AD27*'ECOMMERCE Formulas'!$C$41</f>
        <v>0</v>
      </c>
      <c r="AE44" s="370">
        <f>AE27*'ECOMMERCE Formulas'!$C$41</f>
        <v>0</v>
      </c>
      <c r="AF44" s="370">
        <f>AF27*'ECOMMERCE Formulas'!$C$41</f>
        <v>0</v>
      </c>
      <c r="AG44" s="336"/>
    </row>
    <row r="45">
      <c r="A45" s="146" t="s">
        <v>453</v>
      </c>
      <c r="B45" s="394"/>
      <c r="C45" s="394"/>
      <c r="D45" s="394"/>
      <c r="E45" s="394"/>
      <c r="F45" s="394"/>
      <c r="G45" s="394"/>
      <c r="H45" s="394"/>
      <c r="I45" s="394"/>
      <c r="J45" s="394"/>
      <c r="K45" s="394"/>
      <c r="L45" s="394"/>
      <c r="M45" s="394"/>
      <c r="N45" s="394"/>
      <c r="O45" s="394"/>
      <c r="P45" s="394"/>
      <c r="Q45" s="394"/>
      <c r="R45" s="394"/>
      <c r="S45" s="394"/>
      <c r="T45" s="394"/>
      <c r="U45" s="394"/>
      <c r="V45" s="394"/>
      <c r="W45" s="394"/>
      <c r="X45" s="394"/>
      <c r="Y45" s="394"/>
      <c r="Z45" s="394"/>
      <c r="AA45" s="394"/>
      <c r="AB45" s="394"/>
      <c r="AC45" s="394"/>
      <c r="AD45" s="370"/>
      <c r="AE45" s="370"/>
      <c r="AF45" s="370"/>
      <c r="AG45" s="360">
        <f t="shared" ref="AG45:AG46" si="9">SUM(B45:AF45)</f>
        <v>0</v>
      </c>
    </row>
    <row r="46">
      <c r="A46" s="346" t="s">
        <v>151</v>
      </c>
      <c r="B46" s="153">
        <f t="shared" ref="B46:AF46" si="8">SUM(B31:B45)</f>
        <v>11327.86</v>
      </c>
      <c r="C46" s="153">
        <f t="shared" si="8"/>
        <v>13517.97</v>
      </c>
      <c r="D46" s="153">
        <f t="shared" si="8"/>
        <v>15222.62</v>
      </c>
      <c r="E46" s="153">
        <f t="shared" si="8"/>
        <v>17391.59</v>
      </c>
      <c r="F46" s="153">
        <f t="shared" si="8"/>
        <v>16628.56</v>
      </c>
      <c r="G46" s="153">
        <f t="shared" si="8"/>
        <v>16709.03</v>
      </c>
      <c r="H46" s="153">
        <f t="shared" si="8"/>
        <v>17024.02</v>
      </c>
      <c r="I46" s="153">
        <f t="shared" si="8"/>
        <v>17663.92</v>
      </c>
      <c r="J46" s="153">
        <f t="shared" si="8"/>
        <v>20961.74</v>
      </c>
      <c r="K46" s="153">
        <f t="shared" si="8"/>
        <v>19992.76</v>
      </c>
      <c r="L46" s="153">
        <f t="shared" si="8"/>
        <v>18412</v>
      </c>
      <c r="M46" s="153">
        <f t="shared" si="8"/>
        <v>13259.68</v>
      </c>
      <c r="N46" s="153">
        <f t="shared" si="8"/>
        <v>13518.4</v>
      </c>
      <c r="O46" s="153">
        <f t="shared" si="8"/>
        <v>17427.33</v>
      </c>
      <c r="P46" s="153">
        <f t="shared" si="8"/>
        <v>22526.89</v>
      </c>
      <c r="Q46" s="153">
        <f t="shared" si="8"/>
        <v>25721.72</v>
      </c>
      <c r="R46" s="153">
        <f t="shared" si="8"/>
        <v>19138.35</v>
      </c>
      <c r="S46" s="153">
        <f t="shared" si="8"/>
        <v>20674.57</v>
      </c>
      <c r="T46" s="153">
        <f t="shared" si="8"/>
        <v>20199.92</v>
      </c>
      <c r="U46" s="153">
        <f t="shared" si="8"/>
        <v>20401.34</v>
      </c>
      <c r="V46" s="153">
        <f t="shared" si="8"/>
        <v>21451.15</v>
      </c>
      <c r="W46" s="153">
        <f t="shared" si="8"/>
        <v>23411.02</v>
      </c>
      <c r="X46" s="153">
        <f t="shared" si="8"/>
        <v>25874.43</v>
      </c>
      <c r="Y46" s="153">
        <f t="shared" si="8"/>
        <v>18694.33</v>
      </c>
      <c r="Z46" s="153">
        <f t="shared" si="8"/>
        <v>16639.97</v>
      </c>
      <c r="AA46" s="153">
        <f t="shared" si="8"/>
        <v>15867.8</v>
      </c>
      <c r="AB46" s="153">
        <f t="shared" si="8"/>
        <v>14258.22</v>
      </c>
      <c r="AC46" s="153">
        <f t="shared" si="8"/>
        <v>13700.92</v>
      </c>
      <c r="AD46" s="359">
        <f t="shared" si="8"/>
        <v>12603.61</v>
      </c>
      <c r="AE46" s="359">
        <f t="shared" si="8"/>
        <v>12166.5</v>
      </c>
      <c r="AF46" s="359">
        <f t="shared" si="8"/>
        <v>10237.46</v>
      </c>
      <c r="AG46" s="360">
        <f t="shared" si="9"/>
        <v>542625.68</v>
      </c>
    </row>
    <row r="47">
      <c r="A47" s="42"/>
      <c r="B47" s="327"/>
      <c r="C47" s="327"/>
      <c r="D47" s="327"/>
      <c r="E47" s="327"/>
      <c r="F47" s="327"/>
      <c r="G47" s="327"/>
      <c r="H47" s="327"/>
      <c r="I47" s="327"/>
      <c r="J47" s="327"/>
      <c r="K47" s="327"/>
      <c r="L47" s="327"/>
      <c r="M47" s="327"/>
      <c r="N47" s="327"/>
      <c r="O47" s="327"/>
      <c r="P47" s="327"/>
      <c r="Q47" s="327"/>
      <c r="R47" s="327"/>
      <c r="S47" s="327"/>
      <c r="T47" s="327"/>
      <c r="U47" s="327"/>
      <c r="V47" s="327"/>
      <c r="W47" s="327"/>
      <c r="X47" s="327"/>
      <c r="Y47" s="327"/>
      <c r="Z47" s="327"/>
      <c r="AA47" s="327"/>
      <c r="AB47" s="327"/>
      <c r="AC47" s="327"/>
      <c r="AD47" s="327"/>
      <c r="AE47" s="327"/>
      <c r="AF47" s="327"/>
      <c r="AG47" s="336"/>
    </row>
    <row r="48">
      <c r="A48" s="361" t="s">
        <v>455</v>
      </c>
      <c r="B48" s="302"/>
      <c r="C48" s="327"/>
      <c r="D48" s="327"/>
      <c r="E48" s="327"/>
      <c r="F48" s="327"/>
      <c r="G48" s="327"/>
      <c r="H48" s="327"/>
      <c r="I48" s="327"/>
      <c r="J48" s="327"/>
      <c r="K48" s="327"/>
      <c r="L48" s="327"/>
      <c r="M48" s="327"/>
      <c r="N48" s="327"/>
      <c r="O48" s="327"/>
      <c r="P48" s="327"/>
      <c r="Q48" s="327"/>
      <c r="R48" s="327"/>
      <c r="S48" s="327"/>
      <c r="T48" s="327"/>
      <c r="U48" s="327"/>
      <c r="V48" s="327"/>
      <c r="W48" s="327"/>
      <c r="X48" s="327"/>
      <c r="Y48" s="327"/>
      <c r="Z48" s="327"/>
      <c r="AA48" s="327"/>
      <c r="AB48" s="327"/>
      <c r="AC48" s="327"/>
      <c r="AD48" s="327"/>
      <c r="AE48" s="327"/>
      <c r="AF48" s="327"/>
      <c r="AG48" s="336"/>
    </row>
    <row r="49">
      <c r="A49" s="337" t="s">
        <v>747</v>
      </c>
      <c r="B49" s="276">
        <f>B15*'ECOMMERCE Formulas'!$J$3</f>
        <v>8944.909695</v>
      </c>
      <c r="C49" s="276">
        <f>C15*'ECOMMERCE Formulas'!$J$3</f>
        <v>12522.87357</v>
      </c>
      <c r="D49" s="276">
        <f>D15*'ECOMMERCE Formulas'!$J$3</f>
        <v>8646.746038</v>
      </c>
      <c r="E49" s="276">
        <f>E15*'ECOMMERCE Formulas'!$J$3</f>
        <v>12622.26146</v>
      </c>
      <c r="F49" s="276">
        <f>F15*'ECOMMERCE Formulas'!$J$3</f>
        <v>10932.6674</v>
      </c>
      <c r="G49" s="276">
        <f>G15*'ECOMMERCE Formulas'!$J$3</f>
        <v>12125.32203</v>
      </c>
      <c r="H49" s="276">
        <f>H15*'ECOMMERCE Formulas'!$J$3</f>
        <v>12622.26146</v>
      </c>
      <c r="I49" s="276">
        <f>I15*'ECOMMERCE Formulas'!$J$3</f>
        <v>16995.32842</v>
      </c>
      <c r="J49" s="276">
        <f>J15*'ECOMMERCE Formulas'!$J$3</f>
        <v>14908.18282</v>
      </c>
      <c r="K49" s="276">
        <f>K15*'ECOMMERCE Formulas'!$J$3</f>
        <v>14908.18282</v>
      </c>
      <c r="L49" s="276">
        <f>L15*'ECOMMERCE Formulas'!$J$3</f>
        <v>13317.97666</v>
      </c>
      <c r="M49" s="276">
        <f>M15*'ECOMMERCE Formulas'!$J$3</f>
        <v>12324.0978</v>
      </c>
      <c r="N49" s="276">
        <f>N15*'ECOMMERCE Formulas'!$J$3</f>
        <v>23057.98944</v>
      </c>
      <c r="O49" s="276">
        <f>O15*'ECOMMERCE Formulas'!$J$3</f>
        <v>21368.39538</v>
      </c>
      <c r="P49" s="276">
        <f>P15*'ECOMMERCE Formulas'!$J$3</f>
        <v>16200.22534</v>
      </c>
      <c r="Q49" s="276">
        <f>Q15*'ECOMMERCE Formulas'!$J$3</f>
        <v>15106.9586</v>
      </c>
      <c r="R49" s="276">
        <f>R15*'ECOMMERCE Formulas'!$J$3</f>
        <v>9938.78855</v>
      </c>
      <c r="S49" s="276">
        <f>S15*'ECOMMERCE Formulas'!$J$3</f>
        <v>15305.73437</v>
      </c>
      <c r="T49" s="276">
        <f>T15*'ECOMMERCE Formulas'!$J$3</f>
        <v>12324.0978</v>
      </c>
      <c r="U49" s="276">
        <f>U15*'ECOMMERCE Formulas'!$J$3</f>
        <v>14013.69186</v>
      </c>
      <c r="V49" s="276">
        <f>V15*'ECOMMERCE Formulas'!$J$3</f>
        <v>13019.813</v>
      </c>
      <c r="W49" s="276">
        <f>W15*'ECOMMERCE Formulas'!$J$3</f>
        <v>13218.58877</v>
      </c>
      <c r="X49" s="276">
        <f>X15*'ECOMMERCE Formulas'!$J$3</f>
        <v>14212.46763</v>
      </c>
      <c r="Y49" s="276">
        <f>Y15*'ECOMMERCE Formulas'!$J$3</f>
        <v>8249.194496</v>
      </c>
      <c r="Z49" s="276">
        <f>Z15*'ECOMMERCE Formulas'!$J$3</f>
        <v>7553.479298</v>
      </c>
      <c r="AA49" s="276">
        <f>AA15*'ECOMMERCE Formulas'!$J$3</f>
        <v>6360.824672</v>
      </c>
      <c r="AB49" s="276">
        <f>AB15*'ECOMMERCE Formulas'!$J$3</f>
        <v>8050.418725</v>
      </c>
      <c r="AC49" s="276">
        <f>AC15*'ECOMMERCE Formulas'!$J$3</f>
        <v>7553.479298</v>
      </c>
      <c r="AD49" s="276">
        <f>AD15*'ECOMMERCE Formulas'!$J$3</f>
        <v>6062.661015</v>
      </c>
      <c r="AE49" s="276">
        <f>AE15*'ECOMMERCE Formulas'!$J$3</f>
        <v>5963.27313</v>
      </c>
      <c r="AF49" s="276">
        <f>AF15*'ECOMMERCE Formulas'!$J$3</f>
        <v>4074.903305</v>
      </c>
      <c r="AG49" s="360">
        <f t="shared" ref="AG49:AG57" si="10">SUM(B49:AF49)</f>
        <v>372505.7949</v>
      </c>
    </row>
    <row r="50">
      <c r="A50" s="302" t="s">
        <v>748</v>
      </c>
      <c r="B50" s="396">
        <f>B15*'ECOMMERCE Formulas'!$I$4</f>
        <v>1175.337</v>
      </c>
      <c r="C50" s="276">
        <f>C15*'ECOMMERCE Formulas'!$I$4</f>
        <v>1645.4718</v>
      </c>
      <c r="D50" s="276">
        <f>D15*'ECOMMERCE Formulas'!$I$4</f>
        <v>1136.1591</v>
      </c>
      <c r="E50" s="276">
        <f>E15*'ECOMMERCE Formulas'!$I$4</f>
        <v>1658.5311</v>
      </c>
      <c r="F50" s="276">
        <f>F15*'ECOMMERCE Formulas'!$I$4</f>
        <v>1436.523</v>
      </c>
      <c r="G50" s="276">
        <f>G15*'ECOMMERCE Formulas'!$I$4</f>
        <v>1593.2346</v>
      </c>
      <c r="H50" s="276">
        <f>H15*'ECOMMERCE Formulas'!$I$4</f>
        <v>1658.5311</v>
      </c>
      <c r="I50" s="276">
        <f>I15*'ECOMMERCE Formulas'!$I$4</f>
        <v>2233.1403</v>
      </c>
      <c r="J50" s="276">
        <f>J15*'ECOMMERCE Formulas'!$I$4</f>
        <v>1958.895</v>
      </c>
      <c r="K50" s="276">
        <f>K15*'ECOMMERCE Formulas'!$I$4</f>
        <v>1958.895</v>
      </c>
      <c r="L50" s="276">
        <f>L15*'ECOMMERCE Formulas'!$I$4</f>
        <v>1749.9462</v>
      </c>
      <c r="M50" s="276">
        <f>M15*'ECOMMERCE Formulas'!$I$4</f>
        <v>1619.3532</v>
      </c>
      <c r="N50" s="276">
        <f>N15*'ECOMMERCE Formulas'!$I$4</f>
        <v>3029.7576</v>
      </c>
      <c r="O50" s="276">
        <f>O15*'ECOMMERCE Formulas'!$I$4</f>
        <v>2807.7495</v>
      </c>
      <c r="P50" s="276">
        <f>P15*'ECOMMERCE Formulas'!$I$4</f>
        <v>2128.6659</v>
      </c>
      <c r="Q50" s="276">
        <f>Q15*'ECOMMERCE Formulas'!$I$4</f>
        <v>1985.0136</v>
      </c>
      <c r="R50" s="276">
        <f>R15*'ECOMMERCE Formulas'!$I$4</f>
        <v>1305.93</v>
      </c>
      <c r="S50" s="276">
        <f>S15*'ECOMMERCE Formulas'!$I$4</f>
        <v>2011.1322</v>
      </c>
      <c r="T50" s="276">
        <f>T15*'ECOMMERCE Formulas'!$I$4</f>
        <v>1619.3532</v>
      </c>
      <c r="U50" s="276">
        <f>U15*'ECOMMERCE Formulas'!$I$4</f>
        <v>1841.3613</v>
      </c>
      <c r="V50" s="276">
        <f>V15*'ECOMMERCE Formulas'!$I$4</f>
        <v>1710.7683</v>
      </c>
      <c r="W50" s="276">
        <f>W15*'ECOMMERCE Formulas'!$I$4</f>
        <v>1736.8869</v>
      </c>
      <c r="X50" s="276">
        <f>X15*'ECOMMERCE Formulas'!$I$4</f>
        <v>1867.4799</v>
      </c>
      <c r="Y50" s="276">
        <f>Y15*'ECOMMERCE Formulas'!$I$4</f>
        <v>1083.9219</v>
      </c>
      <c r="Z50" s="276">
        <f>Z15*'ECOMMERCE Formulas'!$I$4</f>
        <v>992.5068</v>
      </c>
      <c r="AA50" s="276">
        <f>AA15*'ECOMMERCE Formulas'!$I$4</f>
        <v>835.7952</v>
      </c>
      <c r="AB50" s="276">
        <f>AB15*'ECOMMERCE Formulas'!$I$4</f>
        <v>1057.8033</v>
      </c>
      <c r="AC50" s="276">
        <f>AC15*'ECOMMERCE Formulas'!$I$4</f>
        <v>992.5068</v>
      </c>
      <c r="AD50" s="276">
        <f>AD15*'ECOMMERCE Formulas'!$I$4</f>
        <v>796.6173</v>
      </c>
      <c r="AE50" s="276">
        <f>AE15*'ECOMMERCE Formulas'!$I$4</f>
        <v>783.558</v>
      </c>
      <c r="AF50" s="468">
        <f>AF15*'ECOMMERCE Formulas'!$I$4</f>
        <v>535.4313</v>
      </c>
      <c r="AG50" s="865">
        <f t="shared" si="10"/>
        <v>48946.2564</v>
      </c>
    </row>
    <row r="51">
      <c r="A51" s="302" t="s">
        <v>749</v>
      </c>
      <c r="B51" s="396">
        <f>B15*'ECOMMERCE Formulas'!$I$5</f>
        <v>1355.4</v>
      </c>
      <c r="C51" s="276">
        <f>C15*'ECOMMERCE Formulas'!$I$5</f>
        <v>1897.56</v>
      </c>
      <c r="D51" s="276">
        <f>D15*'ECOMMERCE Formulas'!$I$5</f>
        <v>1310.22</v>
      </c>
      <c r="E51" s="276">
        <f>E15*'ECOMMERCE Formulas'!$I$5</f>
        <v>1912.62</v>
      </c>
      <c r="F51" s="276">
        <f>F15*'ECOMMERCE Formulas'!$I$5</f>
        <v>1656.6</v>
      </c>
      <c r="G51" s="276">
        <f>G15*'ECOMMERCE Formulas'!$I$5</f>
        <v>1837.32</v>
      </c>
      <c r="H51" s="276">
        <f>H15*'ECOMMERCE Formulas'!$I$5</f>
        <v>1912.62</v>
      </c>
      <c r="I51" s="276">
        <f>I15*'ECOMMERCE Formulas'!$I$5</f>
        <v>2575.26</v>
      </c>
      <c r="J51" s="276">
        <f>J15*'ECOMMERCE Formulas'!$I$5</f>
        <v>2259</v>
      </c>
      <c r="K51" s="276">
        <f>K15*'ECOMMERCE Formulas'!$I$5</f>
        <v>2259</v>
      </c>
      <c r="L51" s="276">
        <f>L15*'ECOMMERCE Formulas'!$I$5</f>
        <v>2018.04</v>
      </c>
      <c r="M51" s="276">
        <f>M15*'ECOMMERCE Formulas'!$I$5</f>
        <v>1867.44</v>
      </c>
      <c r="N51" s="276">
        <f>N15*'ECOMMERCE Formulas'!$I$5</f>
        <v>3493.92</v>
      </c>
      <c r="O51" s="276">
        <f>O15*'ECOMMERCE Formulas'!$I$5</f>
        <v>3237.9</v>
      </c>
      <c r="P51" s="276">
        <f>P15*'ECOMMERCE Formulas'!$I$5</f>
        <v>2454.78</v>
      </c>
      <c r="Q51" s="276">
        <f>Q15*'ECOMMERCE Formulas'!$I$5</f>
        <v>2289.12</v>
      </c>
      <c r="R51" s="276">
        <f>R15*'ECOMMERCE Formulas'!$I$5</f>
        <v>1506</v>
      </c>
      <c r="S51" s="276">
        <f>S15*'ECOMMERCE Formulas'!$I$5</f>
        <v>2319.24</v>
      </c>
      <c r="T51" s="276">
        <f>T15*'ECOMMERCE Formulas'!$I$5</f>
        <v>1867.44</v>
      </c>
      <c r="U51" s="276">
        <f>U15*'ECOMMERCE Formulas'!$I$5</f>
        <v>2123.46</v>
      </c>
      <c r="V51" s="276">
        <f>V15*'ECOMMERCE Formulas'!$I$5</f>
        <v>1972.86</v>
      </c>
      <c r="W51" s="276">
        <f>W15*'ECOMMERCE Formulas'!$I$5</f>
        <v>2002.98</v>
      </c>
      <c r="X51" s="276">
        <f>X15*'ECOMMERCE Formulas'!$I$5</f>
        <v>2153.58</v>
      </c>
      <c r="Y51" s="276">
        <f>Y15*'ECOMMERCE Formulas'!$I$5</f>
        <v>1249.98</v>
      </c>
      <c r="Z51" s="276">
        <f>Z15*'ECOMMERCE Formulas'!$I$5</f>
        <v>1144.56</v>
      </c>
      <c r="AA51" s="276">
        <f>AA15*'ECOMMERCE Formulas'!$I$5</f>
        <v>963.84</v>
      </c>
      <c r="AB51" s="276">
        <f>AB15*'ECOMMERCE Formulas'!$I$5</f>
        <v>1219.86</v>
      </c>
      <c r="AC51" s="276">
        <f>AC15*'ECOMMERCE Formulas'!$I$5</f>
        <v>1144.56</v>
      </c>
      <c r="AD51" s="276">
        <f>AD15*'ECOMMERCE Formulas'!$I$5</f>
        <v>918.66</v>
      </c>
      <c r="AE51" s="276">
        <f>AE15*'ECOMMERCE Formulas'!$I$5</f>
        <v>903.6</v>
      </c>
      <c r="AF51" s="276">
        <f>AF15*'ECOMMERCE Formulas'!$I$5</f>
        <v>617.46</v>
      </c>
      <c r="AG51" s="360">
        <f t="shared" si="10"/>
        <v>56444.88</v>
      </c>
    </row>
    <row r="52">
      <c r="A52" s="302" t="s">
        <v>750</v>
      </c>
      <c r="B52" s="396">
        <f>B15*'ECOMMERCE Formulas'!$I$6</f>
        <v>1512.9</v>
      </c>
      <c r="C52" s="276">
        <f>C15*'ECOMMERCE Formulas'!$I$6</f>
        <v>2118.06</v>
      </c>
      <c r="D52" s="276">
        <f>D15*'ECOMMERCE Formulas'!$I$6</f>
        <v>1462.47</v>
      </c>
      <c r="E52" s="276">
        <f>E15*'ECOMMERCE Formulas'!$I$6</f>
        <v>2134.87</v>
      </c>
      <c r="F52" s="276">
        <f>F15*'ECOMMERCE Formulas'!$I$6</f>
        <v>1849.1</v>
      </c>
      <c r="G52" s="276">
        <f>G15*'ECOMMERCE Formulas'!$I$6</f>
        <v>2050.82</v>
      </c>
      <c r="H52" s="276">
        <f>H15*'ECOMMERCE Formulas'!$I$6</f>
        <v>2134.87</v>
      </c>
      <c r="I52" s="276">
        <f>I15*'ECOMMERCE Formulas'!$I$6</f>
        <v>2874.51</v>
      </c>
      <c r="J52" s="276">
        <f>J15*'ECOMMERCE Formulas'!$I$6</f>
        <v>2521.5</v>
      </c>
      <c r="K52" s="276">
        <f>K15*'ECOMMERCE Formulas'!$I$6</f>
        <v>2521.5</v>
      </c>
      <c r="L52" s="276">
        <f>L15*'ECOMMERCE Formulas'!$I$6</f>
        <v>2252.54</v>
      </c>
      <c r="M52" s="276">
        <f>M15*'ECOMMERCE Formulas'!$I$6</f>
        <v>2084.44</v>
      </c>
      <c r="N52" s="276">
        <f>N15*'ECOMMERCE Formulas'!$I$6</f>
        <v>3899.92</v>
      </c>
      <c r="O52" s="276">
        <f>O15*'ECOMMERCE Formulas'!$I$6</f>
        <v>3614.15</v>
      </c>
      <c r="P52" s="276">
        <f>P15*'ECOMMERCE Formulas'!$I$6</f>
        <v>2740.03</v>
      </c>
      <c r="Q52" s="276">
        <f>Q15*'ECOMMERCE Formulas'!$I$6</f>
        <v>2555.12</v>
      </c>
      <c r="R52" s="276">
        <f>R15*'ECOMMERCE Formulas'!$I$6</f>
        <v>1681</v>
      </c>
      <c r="S52" s="276">
        <f>S15*'ECOMMERCE Formulas'!$I$6</f>
        <v>2588.74</v>
      </c>
      <c r="T52" s="276">
        <f>T15*'ECOMMERCE Formulas'!$I$6</f>
        <v>2084.44</v>
      </c>
      <c r="U52" s="276">
        <f>U15*'ECOMMERCE Formulas'!$I$6</f>
        <v>2370.21</v>
      </c>
      <c r="V52" s="276">
        <f>V15*'ECOMMERCE Formulas'!$I$6</f>
        <v>2202.11</v>
      </c>
      <c r="W52" s="276">
        <f>W15*'ECOMMERCE Formulas'!$I$6</f>
        <v>2235.73</v>
      </c>
      <c r="X52" s="276">
        <f>X15*'ECOMMERCE Formulas'!$I$6</f>
        <v>2403.83</v>
      </c>
      <c r="Y52" s="276">
        <f>Y15*'ECOMMERCE Formulas'!$I$6</f>
        <v>1395.23</v>
      </c>
      <c r="Z52" s="276">
        <f>Z15*'ECOMMERCE Formulas'!$I$6</f>
        <v>1277.56</v>
      </c>
      <c r="AA52" s="276">
        <f>AA15*'ECOMMERCE Formulas'!$I$6</f>
        <v>1075.84</v>
      </c>
      <c r="AB52" s="276">
        <f>AB15*'ECOMMERCE Formulas'!$I$6</f>
        <v>1361.61</v>
      </c>
      <c r="AC52" s="276">
        <f>AC15*'ECOMMERCE Formulas'!$I$6</f>
        <v>1277.56</v>
      </c>
      <c r="AD52" s="276">
        <f>AD15*'ECOMMERCE Formulas'!$I$6</f>
        <v>1025.41</v>
      </c>
      <c r="AE52" s="276">
        <f>AE15*'ECOMMERCE Formulas'!$I$6</f>
        <v>1008.6</v>
      </c>
      <c r="AF52" s="276">
        <f>AF15*'ECOMMERCE Formulas'!$I$6</f>
        <v>689.21</v>
      </c>
      <c r="AG52" s="360">
        <f t="shared" si="10"/>
        <v>63003.88</v>
      </c>
    </row>
    <row r="53">
      <c r="A53" s="337" t="s">
        <v>154</v>
      </c>
      <c r="B53" s="276">
        <f>B28*'ECOMMERCE Formulas'!$L$3</f>
        <v>642.93087</v>
      </c>
      <c r="C53" s="276">
        <f>C28*'ECOMMERCE Formulas'!$L$3</f>
        <v>973.27741</v>
      </c>
      <c r="D53" s="276">
        <f>D28*'ECOMMERCE Formulas'!$L$3</f>
        <v>634.02555</v>
      </c>
      <c r="E53" s="276">
        <f>E28*'ECOMMERCE Formulas'!$L$3</f>
        <v>913.59222</v>
      </c>
      <c r="F53" s="276">
        <f>F28*'ECOMMERCE Formulas'!$L$3</f>
        <v>763.56217</v>
      </c>
      <c r="G53" s="276">
        <f>G28*'ECOMMERCE Formulas'!$L$3</f>
        <v>857.81536</v>
      </c>
      <c r="H53" s="276">
        <f>H28*'ECOMMERCE Formulas'!$L$3</f>
        <v>874.08233</v>
      </c>
      <c r="I53" s="276">
        <f>I28*'ECOMMERCE Formulas'!$L$3</f>
        <v>1231.7692</v>
      </c>
      <c r="J53" s="276">
        <f>J28*'ECOMMERCE Formulas'!$L$3</f>
        <v>1097.86924</v>
      </c>
      <c r="K53" s="276">
        <f>K28*'ECOMMERCE Formulas'!$L$3</f>
        <v>1042.85769</v>
      </c>
      <c r="L53" s="276">
        <f>L28*'ECOMMERCE Formulas'!$L$3</f>
        <v>935.10993</v>
      </c>
      <c r="M53" s="276">
        <f>M28*'ECOMMERCE Formulas'!$L$3</f>
        <v>887.22774</v>
      </c>
      <c r="N53" s="276">
        <f>N28*'ECOMMERCE Formulas'!$L$3</f>
        <v>1610.37319</v>
      </c>
      <c r="O53" s="276">
        <f>O28*'ECOMMERCE Formulas'!$L$3</f>
        <v>1560.75883</v>
      </c>
      <c r="P53" s="276">
        <f>P28*'ECOMMERCE Formulas'!$L$3</f>
        <v>1140.47865</v>
      </c>
      <c r="Q53" s="276">
        <f>Q28*'ECOMMERCE Formulas'!$L$3</f>
        <v>1061.71494</v>
      </c>
      <c r="R53" s="276">
        <f>R28*'ECOMMERCE Formulas'!$L$3</f>
        <v>700.35319</v>
      </c>
      <c r="S53" s="276">
        <f>S28*'ECOMMERCE Formulas'!$L$3</f>
        <v>1067.48246</v>
      </c>
      <c r="T53" s="276">
        <f>T28*'ECOMMERCE Formulas'!$L$3</f>
        <v>896.06433</v>
      </c>
      <c r="U53" s="276">
        <f>U28*'ECOMMERCE Formulas'!$L$3</f>
        <v>1037.79864</v>
      </c>
      <c r="V53" s="276">
        <f>V28*'ECOMMERCE Formulas'!$L$3</f>
        <v>929.11099</v>
      </c>
      <c r="W53" s="276">
        <f>W28*'ECOMMERCE Formulas'!$L$3</f>
        <v>981.21848</v>
      </c>
      <c r="X53" s="276">
        <f>X28*'ECOMMERCE Formulas'!$L$3</f>
        <v>986.47792</v>
      </c>
      <c r="Y53" s="276">
        <f>Y28*'ECOMMERCE Formulas'!$L$3</f>
        <v>601.91907</v>
      </c>
      <c r="Z53" s="276">
        <f>Z28*'ECOMMERCE Formulas'!$L$3</f>
        <v>629.16863</v>
      </c>
      <c r="AA53" s="276">
        <f>AA28*'ECOMMERCE Formulas'!$L$3</f>
        <v>492.70217</v>
      </c>
      <c r="AB53" s="276">
        <f>AB28*'ECOMMERCE Formulas'!$L$3</f>
        <v>646.07476</v>
      </c>
      <c r="AC53" s="276">
        <f>AC28*'ECOMMERCE Formulas'!$L$3</f>
        <v>584.25894</v>
      </c>
      <c r="AD53" s="276">
        <f>AD28*'ECOMMERCE Formulas'!$L$3</f>
        <v>434.44842</v>
      </c>
      <c r="AE53" s="276">
        <f>AE28*'ECOMMERCE Formulas'!$L$3</f>
        <v>448.9055</v>
      </c>
      <c r="AF53" s="276">
        <f>AF28*'ECOMMERCE Formulas'!$L$3</f>
        <v>306.7359</v>
      </c>
      <c r="AG53" s="360">
        <f t="shared" si="10"/>
        <v>26970.16472</v>
      </c>
    </row>
    <row r="54">
      <c r="A54" s="343" t="s">
        <v>159</v>
      </c>
      <c r="B54" s="462">
        <f>B15*'ECOMMERCE Formulas'!$I$10</f>
        <v>27</v>
      </c>
      <c r="C54" s="462">
        <f>C15*'ECOMMERCE Formulas'!$I$10</f>
        <v>37.8</v>
      </c>
      <c r="D54" s="462">
        <f>D15*'ECOMMERCE Formulas'!$I$10</f>
        <v>26.1</v>
      </c>
      <c r="E54" s="462">
        <f>E15*'ECOMMERCE Formulas'!$I$10</f>
        <v>38.1</v>
      </c>
      <c r="F54" s="462">
        <f>F15*'ECOMMERCE Formulas'!$I$10</f>
        <v>33</v>
      </c>
      <c r="G54" s="462">
        <f>G15*'ECOMMERCE Formulas'!$I$10</f>
        <v>36.6</v>
      </c>
      <c r="H54" s="462">
        <f>H15*'ECOMMERCE Formulas'!$I$10</f>
        <v>38.1</v>
      </c>
      <c r="I54" s="462">
        <f>I15*'ECOMMERCE Formulas'!$I$10</f>
        <v>51.3</v>
      </c>
      <c r="J54" s="462">
        <f>J15*'ECOMMERCE Formulas'!$I$10</f>
        <v>45</v>
      </c>
      <c r="K54" s="462">
        <f>K15*'ECOMMERCE Formulas'!$I$10</f>
        <v>45</v>
      </c>
      <c r="L54" s="462">
        <f>L15*'ECOMMERCE Formulas'!$I$10</f>
        <v>40.2</v>
      </c>
      <c r="M54" s="462">
        <f>M15*'ECOMMERCE Formulas'!$I$10</f>
        <v>37.2</v>
      </c>
      <c r="N54" s="462">
        <f>N15*'ECOMMERCE Formulas'!$I$10</f>
        <v>69.6</v>
      </c>
      <c r="O54" s="462">
        <f>O15*'ECOMMERCE Formulas'!$I$10</f>
        <v>64.5</v>
      </c>
      <c r="P54" s="462">
        <f>P15*'ECOMMERCE Formulas'!$I$10</f>
        <v>48.9</v>
      </c>
      <c r="Q54" s="462">
        <f>Q15*'ECOMMERCE Formulas'!$I$10</f>
        <v>45.6</v>
      </c>
      <c r="R54" s="462">
        <f>R15*'ECOMMERCE Formulas'!$I$10</f>
        <v>30</v>
      </c>
      <c r="S54" s="462">
        <f>S15*'ECOMMERCE Formulas'!$I$10</f>
        <v>46.2</v>
      </c>
      <c r="T54" s="462">
        <f>T15*'ECOMMERCE Formulas'!$I$10</f>
        <v>37.2</v>
      </c>
      <c r="U54" s="462">
        <f>U15*'ECOMMERCE Formulas'!$I$10</f>
        <v>42.3</v>
      </c>
      <c r="V54" s="462">
        <f>V15*'ECOMMERCE Formulas'!$I$10</f>
        <v>39.3</v>
      </c>
      <c r="W54" s="462">
        <f>W15*'ECOMMERCE Formulas'!$I$10</f>
        <v>39.9</v>
      </c>
      <c r="X54" s="462">
        <f>X15*'ECOMMERCE Formulas'!$I$10</f>
        <v>42.9</v>
      </c>
      <c r="Y54" s="462">
        <f>Y15*'ECOMMERCE Formulas'!$I$10</f>
        <v>24.9</v>
      </c>
      <c r="Z54" s="462">
        <f>Z15*'ECOMMERCE Formulas'!$I$10</f>
        <v>22.8</v>
      </c>
      <c r="AA54" s="462">
        <f>AA15*'ECOMMERCE Formulas'!$I$10</f>
        <v>19.2</v>
      </c>
      <c r="AB54" s="462">
        <f>AB15*'ECOMMERCE Formulas'!$I$10</f>
        <v>24.3</v>
      </c>
      <c r="AC54" s="462">
        <f>AC15*'ECOMMERCE Formulas'!$I$10</f>
        <v>22.8</v>
      </c>
      <c r="AD54" s="462">
        <f>AD15*'ECOMMERCE Formulas'!$I$10</f>
        <v>18.3</v>
      </c>
      <c r="AE54" s="462">
        <f>AE15*'ECOMMERCE Formulas'!$I$10</f>
        <v>18</v>
      </c>
      <c r="AF54" s="462">
        <f>AF15*'ECOMMERCE Formulas'!$I$10</f>
        <v>12.3</v>
      </c>
      <c r="AG54" s="360">
        <f t="shared" si="10"/>
        <v>1124.4</v>
      </c>
    </row>
    <row r="55">
      <c r="A55" s="346" t="s">
        <v>151</v>
      </c>
      <c r="B55" s="153">
        <f t="shared" ref="B55:AF55" si="11">SUM(B49:B54)</f>
        <v>13658.47756</v>
      </c>
      <c r="C55" s="153">
        <f t="shared" si="11"/>
        <v>19195.04278</v>
      </c>
      <c r="D55" s="153">
        <f t="shared" si="11"/>
        <v>13215.72069</v>
      </c>
      <c r="E55" s="153">
        <f t="shared" si="11"/>
        <v>19279.97478</v>
      </c>
      <c r="F55" s="153">
        <f t="shared" si="11"/>
        <v>16671.45257</v>
      </c>
      <c r="G55" s="153">
        <f t="shared" si="11"/>
        <v>18501.11199</v>
      </c>
      <c r="H55" s="153">
        <f t="shared" si="11"/>
        <v>19240.46489</v>
      </c>
      <c r="I55" s="153">
        <f t="shared" si="11"/>
        <v>25961.30792</v>
      </c>
      <c r="J55" s="153">
        <f t="shared" si="11"/>
        <v>22790.44706</v>
      </c>
      <c r="K55" s="153">
        <f t="shared" si="11"/>
        <v>22735.43551</v>
      </c>
      <c r="L55" s="153">
        <f t="shared" si="11"/>
        <v>20313.81279</v>
      </c>
      <c r="M55" s="153">
        <f t="shared" si="11"/>
        <v>18819.75874</v>
      </c>
      <c r="N55" s="153">
        <f t="shared" si="11"/>
        <v>35161.56023</v>
      </c>
      <c r="O55" s="153">
        <f t="shared" si="11"/>
        <v>32653.45371</v>
      </c>
      <c r="P55" s="153">
        <f t="shared" si="11"/>
        <v>24713.07989</v>
      </c>
      <c r="Q55" s="153">
        <f t="shared" si="11"/>
        <v>23043.52714</v>
      </c>
      <c r="R55" s="153">
        <f t="shared" si="11"/>
        <v>15162.07174</v>
      </c>
      <c r="S55" s="153">
        <f t="shared" si="11"/>
        <v>23338.52903</v>
      </c>
      <c r="T55" s="153">
        <f t="shared" si="11"/>
        <v>18828.59533</v>
      </c>
      <c r="U55" s="153">
        <f t="shared" si="11"/>
        <v>21428.8218</v>
      </c>
      <c r="V55" s="153">
        <f t="shared" si="11"/>
        <v>19873.96229</v>
      </c>
      <c r="W55" s="153">
        <f t="shared" si="11"/>
        <v>20215.30415</v>
      </c>
      <c r="X55" s="153">
        <f t="shared" si="11"/>
        <v>21666.73545</v>
      </c>
      <c r="Y55" s="153">
        <f t="shared" si="11"/>
        <v>12605.14547</v>
      </c>
      <c r="Z55" s="153">
        <f t="shared" si="11"/>
        <v>11620.07473</v>
      </c>
      <c r="AA55" s="153">
        <f t="shared" si="11"/>
        <v>9748.202042</v>
      </c>
      <c r="AB55" s="153">
        <f t="shared" si="11"/>
        <v>12360.06679</v>
      </c>
      <c r="AC55" s="153">
        <f t="shared" si="11"/>
        <v>11575.16504</v>
      </c>
      <c r="AD55" s="153">
        <f t="shared" si="11"/>
        <v>9256.096735</v>
      </c>
      <c r="AE55" s="153">
        <f t="shared" si="11"/>
        <v>9125.93663</v>
      </c>
      <c r="AF55" s="153">
        <f t="shared" si="11"/>
        <v>6236.040505</v>
      </c>
      <c r="AG55" s="360">
        <f t="shared" si="10"/>
        <v>568995.376</v>
      </c>
    </row>
    <row r="56">
      <c r="A56" s="42"/>
      <c r="B56" s="465"/>
      <c r="C56" s="465"/>
      <c r="D56" s="465"/>
      <c r="E56" s="465"/>
      <c r="F56" s="465"/>
      <c r="G56" s="465"/>
      <c r="H56" s="465"/>
      <c r="I56" s="465"/>
      <c r="J56" s="465"/>
      <c r="K56" s="465"/>
      <c r="L56" s="465"/>
      <c r="M56" s="465"/>
      <c r="N56" s="465"/>
      <c r="O56" s="465"/>
      <c r="P56" s="465"/>
      <c r="Q56" s="465"/>
      <c r="R56" s="465"/>
      <c r="S56" s="465"/>
      <c r="T56" s="465"/>
      <c r="U56" s="465"/>
      <c r="V56" s="465"/>
      <c r="W56" s="465"/>
      <c r="X56" s="465"/>
      <c r="Y56" s="465"/>
      <c r="Z56" s="465"/>
      <c r="AA56" s="465"/>
      <c r="AB56" s="465"/>
      <c r="AC56" s="465"/>
      <c r="AD56" s="465"/>
      <c r="AE56" s="465"/>
      <c r="AF56" s="465"/>
      <c r="AG56" s="360">
        <f t="shared" si="10"/>
        <v>0</v>
      </c>
    </row>
    <row r="57">
      <c r="A57" s="347" t="s">
        <v>496</v>
      </c>
      <c r="B57" s="276">
        <f t="shared" ref="B57:AF57" si="12">B28-B46-B55</f>
        <v>-2816.307565</v>
      </c>
      <c r="C57" s="276">
        <f t="shared" si="12"/>
        <v>848.2772171</v>
      </c>
      <c r="D57" s="276">
        <f t="shared" si="12"/>
        <v>-6575.390688</v>
      </c>
      <c r="E57" s="276">
        <f t="shared" si="12"/>
        <v>-5168.384778</v>
      </c>
      <c r="F57" s="276">
        <f t="shared" si="12"/>
        <v>-6970.282575</v>
      </c>
      <c r="G57" s="276">
        <f t="shared" si="12"/>
        <v>-5630.301991</v>
      </c>
      <c r="H57" s="276">
        <f t="shared" si="12"/>
        <v>-6123.714888</v>
      </c>
      <c r="I57" s="276">
        <f t="shared" si="12"/>
        <v>-1150.42792</v>
      </c>
      <c r="J57" s="276">
        <f t="shared" si="12"/>
        <v>-5894.627065</v>
      </c>
      <c r="K57" s="276">
        <f t="shared" si="12"/>
        <v>-6767.585515</v>
      </c>
      <c r="L57" s="276">
        <f t="shared" si="12"/>
        <v>-6480.642787</v>
      </c>
      <c r="M57" s="276">
        <f t="shared" si="12"/>
        <v>-1485.378742</v>
      </c>
      <c r="N57" s="276">
        <f t="shared" si="12"/>
        <v>6850.149774</v>
      </c>
      <c r="O57" s="276">
        <f t="shared" si="12"/>
        <v>3738.486288</v>
      </c>
      <c r="P57" s="276">
        <f t="shared" si="12"/>
        <v>-7913.119886</v>
      </c>
      <c r="Q57" s="276">
        <f t="shared" si="12"/>
        <v>-12154.38714</v>
      </c>
      <c r="R57" s="276">
        <f t="shared" si="12"/>
        <v>-10150.31174</v>
      </c>
      <c r="S57" s="276">
        <f t="shared" si="12"/>
        <v>-7203.359027</v>
      </c>
      <c r="T57" s="276">
        <f t="shared" si="12"/>
        <v>-8129.745332</v>
      </c>
      <c r="U57" s="276">
        <f t="shared" si="12"/>
        <v>-6044.001795</v>
      </c>
      <c r="V57" s="276">
        <f t="shared" si="12"/>
        <v>-9286.80229</v>
      </c>
      <c r="W57" s="276">
        <f t="shared" si="12"/>
        <v>-9791.204151</v>
      </c>
      <c r="X57" s="276">
        <f t="shared" si="12"/>
        <v>-13524.68545</v>
      </c>
      <c r="Y57" s="276">
        <f t="shared" si="12"/>
        <v>-10543.64547</v>
      </c>
      <c r="Z57" s="276">
        <f t="shared" si="12"/>
        <v>-6564.574728</v>
      </c>
      <c r="AA57" s="276">
        <f t="shared" si="12"/>
        <v>-8626.272042</v>
      </c>
      <c r="AB57" s="276">
        <f t="shared" si="12"/>
        <v>-4339.846785</v>
      </c>
      <c r="AC57" s="276">
        <f t="shared" si="12"/>
        <v>-5129.225038</v>
      </c>
      <c r="AD57" s="276">
        <f t="shared" si="12"/>
        <v>-6878.726735</v>
      </c>
      <c r="AE57" s="276">
        <f t="shared" si="12"/>
        <v>-5812.93663</v>
      </c>
      <c r="AF57" s="276">
        <f t="shared" si="12"/>
        <v>-5896.400505</v>
      </c>
      <c r="AG57" s="360">
        <f t="shared" si="10"/>
        <v>-181615.376</v>
      </c>
    </row>
    <row r="58">
      <c r="A58" s="468">
        <f>SUM(B57:AC57)</f>
        <v>-163027.3121</v>
      </c>
      <c r="B58" s="327"/>
      <c r="C58" s="327"/>
      <c r="D58" s="327"/>
      <c r="E58" s="327"/>
      <c r="F58" s="327"/>
      <c r="G58" s="327"/>
      <c r="H58" s="327"/>
      <c r="I58" s="327"/>
      <c r="J58" s="327"/>
      <c r="K58" s="327"/>
      <c r="L58" s="327"/>
      <c r="M58" s="327"/>
      <c r="N58" s="327"/>
      <c r="O58" s="327"/>
      <c r="P58" s="327"/>
      <c r="Q58" s="327"/>
      <c r="R58" s="327"/>
      <c r="S58" s="327"/>
      <c r="T58" s="327"/>
      <c r="U58" s="327"/>
      <c r="V58" s="327"/>
      <c r="W58" s="327"/>
      <c r="X58" s="327"/>
      <c r="Y58" s="327"/>
      <c r="Z58" s="327"/>
      <c r="AA58" s="327"/>
      <c r="AB58" s="327"/>
      <c r="AC58" s="327"/>
      <c r="AD58" s="327"/>
      <c r="AE58" s="327"/>
      <c r="AF58" s="327"/>
      <c r="AG58" s="330"/>
    </row>
    <row r="59">
      <c r="A59" s="42"/>
      <c r="B59" s="327"/>
      <c r="C59" s="327"/>
      <c r="D59" s="302"/>
      <c r="E59" s="327"/>
      <c r="F59" s="327"/>
      <c r="G59" s="327"/>
      <c r="H59" s="19"/>
      <c r="I59" s="327"/>
      <c r="J59" s="327"/>
      <c r="K59" s="327"/>
      <c r="L59" s="327"/>
      <c r="M59" s="327"/>
      <c r="N59" s="327"/>
      <c r="O59" s="327"/>
      <c r="P59" s="327"/>
      <c r="Q59" s="327"/>
      <c r="R59" s="327"/>
      <c r="S59" s="327"/>
      <c r="T59" s="327"/>
      <c r="U59" s="327"/>
      <c r="V59" s="327"/>
      <c r="W59" s="327"/>
      <c r="X59" s="327"/>
      <c r="Y59" s="327"/>
      <c r="Z59" s="327"/>
      <c r="AA59" s="327"/>
      <c r="AB59" s="327"/>
      <c r="AC59" s="327"/>
      <c r="AD59" s="327"/>
      <c r="AE59" s="327"/>
      <c r="AF59" s="327"/>
      <c r="AG59" s="330"/>
    </row>
    <row r="60">
      <c r="A60" s="471"/>
      <c r="B60" s="472"/>
      <c r="C60" s="472"/>
      <c r="D60" s="472"/>
      <c r="E60" s="472"/>
      <c r="F60" s="472"/>
      <c r="G60" s="472"/>
      <c r="H60" s="472"/>
      <c r="I60" s="472"/>
      <c r="J60" s="472"/>
      <c r="K60" s="472"/>
      <c r="L60" s="472"/>
      <c r="M60" s="472"/>
      <c r="N60" s="472"/>
      <c r="O60" s="472"/>
      <c r="P60" s="472"/>
      <c r="Q60" s="472"/>
      <c r="R60" s="472"/>
      <c r="S60" s="472"/>
      <c r="T60" s="472"/>
      <c r="U60" s="472"/>
      <c r="V60" s="472"/>
      <c r="W60" s="472"/>
      <c r="X60" s="472"/>
      <c r="Y60" s="472"/>
      <c r="Z60" s="472"/>
      <c r="AA60" s="472"/>
      <c r="AB60" s="472"/>
      <c r="AC60" s="472"/>
      <c r="AD60" s="472"/>
      <c r="AE60" s="472"/>
      <c r="AF60" s="472"/>
      <c r="AG60" s="476"/>
    </row>
    <row r="61">
      <c r="A61" s="42"/>
      <c r="B61" s="327"/>
      <c r="C61" s="327"/>
      <c r="D61" s="327"/>
      <c r="E61" s="327"/>
      <c r="F61" s="327"/>
      <c r="G61" s="327"/>
      <c r="H61" s="327"/>
      <c r="I61" s="327"/>
      <c r="J61" s="327"/>
      <c r="K61" s="327"/>
      <c r="L61" s="327"/>
      <c r="M61" s="327"/>
      <c r="N61" s="327"/>
      <c r="O61" s="327"/>
      <c r="P61" s="327"/>
      <c r="Q61" s="327"/>
      <c r="R61" s="327"/>
      <c r="S61" s="327"/>
      <c r="T61" s="327"/>
      <c r="U61" s="327"/>
      <c r="V61" s="327"/>
      <c r="W61" s="327"/>
      <c r="X61" s="327"/>
      <c r="Y61" s="327"/>
      <c r="Z61" s="327"/>
      <c r="AA61" s="327"/>
      <c r="AB61" s="327"/>
      <c r="AC61" s="327"/>
      <c r="AD61" s="327"/>
      <c r="AE61" s="327"/>
      <c r="AF61" s="327"/>
      <c r="AG61" s="330"/>
    </row>
    <row r="62">
      <c r="A62" s="23" t="s">
        <v>500</v>
      </c>
      <c r="B62" s="327"/>
      <c r="C62" s="327"/>
      <c r="D62" s="327"/>
      <c r="E62" s="327"/>
      <c r="F62" s="327"/>
      <c r="G62" s="327"/>
      <c r="H62" s="327"/>
      <c r="I62" s="327"/>
      <c r="J62" s="327"/>
      <c r="K62" s="327"/>
      <c r="L62" s="327"/>
      <c r="M62" s="327"/>
      <c r="N62" s="327"/>
      <c r="O62" s="327"/>
      <c r="P62" s="327"/>
      <c r="Q62" s="327"/>
      <c r="R62" s="327"/>
      <c r="S62" s="327"/>
      <c r="T62" s="327"/>
      <c r="U62" s="327"/>
      <c r="V62" s="327"/>
      <c r="W62" s="327"/>
      <c r="X62" s="327"/>
      <c r="Y62" s="327"/>
      <c r="Z62" s="480">
        <v>3.11</v>
      </c>
      <c r="AA62" s="481">
        <v>1.8</v>
      </c>
      <c r="AB62" s="327"/>
      <c r="AC62" s="327"/>
      <c r="AD62" s="327"/>
      <c r="AE62" s="327"/>
      <c r="AF62" s="327"/>
      <c r="AG62" s="482"/>
    </row>
    <row r="63">
      <c r="A63" s="483" t="s">
        <v>501</v>
      </c>
      <c r="B63" s="276">
        <f>B18-(B5*'ECOMMERCE Formulas'!$I$15)-B31</f>
        <v>-3381.434312</v>
      </c>
      <c r="C63" s="276">
        <f>C18-(C5*'ECOMMERCE Formulas'!$I$15)-C31</f>
        <v>-2721.314534</v>
      </c>
      <c r="D63" s="276">
        <f>D18-(D5*'ECOMMERCE Formulas'!$I$15)-D31</f>
        <v>-8541.418402</v>
      </c>
      <c r="E63" s="276">
        <f>E18-(E5*'ECOMMERCE Formulas'!$I$15)-E31</f>
        <v>-6849.395669</v>
      </c>
      <c r="F63" s="276">
        <f>F18-(F5*'ECOMMERCE Formulas'!$I$15)-F31</f>
        <v>-7862.421126</v>
      </c>
      <c r="G63" s="276">
        <f>G18-(G5*'ECOMMERCE Formulas'!$I$15)-G31</f>
        <v>-7665.742714</v>
      </c>
      <c r="H63" s="276">
        <f>H18-(H5*'ECOMMERCE Formulas'!$I$15)-H31</f>
        <v>-7094.580895</v>
      </c>
      <c r="I63" s="276">
        <f>I18-(I5*'ECOMMERCE Formulas'!$I$15)-I31</f>
        <v>-1594.207026</v>
      </c>
      <c r="J63" s="276">
        <f>J18-(J5*'ECOMMERCE Formulas'!$I$15)-J31</f>
        <v>-8489.468393</v>
      </c>
      <c r="K63" s="276">
        <f>K18-(K5*'ECOMMERCE Formulas'!$I$15)-K31</f>
        <v>-9027.086805</v>
      </c>
      <c r="L63" s="276">
        <f>L18-(L5*'ECOMMERCE Formulas'!$I$15)-L31</f>
        <v>-9034.389307</v>
      </c>
      <c r="M63" s="276">
        <f>M18-(M5*'ECOMMERCE Formulas'!$I$15)-M31</f>
        <v>-5045.5959</v>
      </c>
      <c r="N63" s="276">
        <f>N18-(N5*'ECOMMERCE Formulas'!$I$15)-N31</f>
        <v>-3416.183398</v>
      </c>
      <c r="O63" s="276">
        <f>O18-(O5*'ECOMMERCE Formulas'!$I$15)-O31</f>
        <v>-4646.754303</v>
      </c>
      <c r="P63" s="276">
        <f>P18-(P5*'ECOMMERCE Formulas'!$I$15)-P31</f>
        <v>-9953.749076</v>
      </c>
      <c r="Q63" s="276">
        <f>Q18-(Q5*'ECOMMERCE Formulas'!$I$15)-Q31</f>
        <v>-13426.71203</v>
      </c>
      <c r="R63" s="276">
        <f>R18-(R5*'ECOMMERCE Formulas'!$I$15)-R31</f>
        <v>-11209.14727</v>
      </c>
      <c r="S63" s="276">
        <f>S18-(S5*'ECOMMERCE Formulas'!$I$15)-S31</f>
        <v>-7823.098172</v>
      </c>
      <c r="T63" s="276">
        <f>T18-(T5*'ECOMMERCE Formulas'!$I$15)-T31</f>
        <v>-11371.1534</v>
      </c>
      <c r="U63" s="276">
        <f>U18-(U5*'ECOMMERCE Formulas'!$I$15)-U31</f>
        <v>-7559.530895</v>
      </c>
      <c r="V63" s="276">
        <f>V18-(V5*'ECOMMERCE Formulas'!$I$15)-V31</f>
        <v>-10505.27271</v>
      </c>
      <c r="W63" s="276">
        <f>W18-(W5*'ECOMMERCE Formulas'!$I$15)-W31</f>
        <v>-8288.037941</v>
      </c>
      <c r="X63" s="276">
        <f>X18-(X5*'ECOMMERCE Formulas'!$I$15)-X31</f>
        <v>-11372.25794</v>
      </c>
      <c r="Y63" s="276">
        <f>Y18-(Y5*'ECOMMERCE Formulas'!$I$15)-Y31</f>
        <v>-7916.571357</v>
      </c>
      <c r="Z63" s="276">
        <f>Z18-(Z5*'ECOMMERCE Formulas'!$I$15)-Z31</f>
        <v>-4814.298402</v>
      </c>
      <c r="AA63" s="276">
        <f>AA18-(AA5*'ECOMMERCE Formulas'!$I$15)-AA31</f>
        <v>-7414.754543</v>
      </c>
      <c r="AB63" s="276">
        <f>AB18-(AB5*'ECOMMERCE Formulas'!$I$15)-AB31</f>
        <v>-3849.770222</v>
      </c>
      <c r="AC63" s="276">
        <f>AC18-(AC5*'ECOMMERCE Formulas'!$I$15)-AC31</f>
        <v>-4458.60795</v>
      </c>
      <c r="AD63" s="276">
        <f>AD18-(AD5*'ECOMMERCE Formulas'!$I$15)-AD31</f>
        <v>-3957.53795</v>
      </c>
      <c r="AE63" s="276">
        <f>AE18-(AE5*'ECOMMERCE Formulas'!$I$15)-AE31</f>
        <v>-7810.96</v>
      </c>
      <c r="AF63" s="276">
        <f>AF18-(AF5*'ECOMMERCE Formulas'!$I$15)-AF31</f>
        <v>-7705.29</v>
      </c>
      <c r="AG63" s="482">
        <f>SUM(B63:AF63)</f>
        <v>-224806.7426</v>
      </c>
    </row>
    <row r="64">
      <c r="A64" s="483" t="s">
        <v>234</v>
      </c>
      <c r="B64" s="485">
        <f t="shared" ref="B64:AF64" si="13">B18/B31</f>
        <v>1.13485334</v>
      </c>
      <c r="C64" s="485">
        <f t="shared" si="13"/>
        <v>1.582014351</v>
      </c>
      <c r="D64" s="485">
        <f t="shared" si="13"/>
        <v>0.6767871073</v>
      </c>
      <c r="E64" s="485">
        <f t="shared" si="13"/>
        <v>1.151156609</v>
      </c>
      <c r="F64" s="485">
        <f t="shared" si="13"/>
        <v>0.9469247997</v>
      </c>
      <c r="G64" s="485">
        <f t="shared" si="13"/>
        <v>1.10777829</v>
      </c>
      <c r="H64" s="485">
        <f t="shared" si="13"/>
        <v>1.192532453</v>
      </c>
      <c r="I64" s="485">
        <f t="shared" si="13"/>
        <v>1.850494479</v>
      </c>
      <c r="J64" s="485">
        <f t="shared" si="13"/>
        <v>1.171529245</v>
      </c>
      <c r="K64" s="485">
        <f t="shared" si="13"/>
        <v>1.02347165</v>
      </c>
      <c r="L64" s="485">
        <f t="shared" si="13"/>
        <v>0.912318775</v>
      </c>
      <c r="M64" s="485">
        <f t="shared" si="13"/>
        <v>1.138336802</v>
      </c>
      <c r="N64" s="485">
        <f t="shared" si="13"/>
        <v>1.48556362</v>
      </c>
      <c r="O64" s="485">
        <f t="shared" si="13"/>
        <v>1.490328508</v>
      </c>
      <c r="P64" s="485">
        <f t="shared" si="13"/>
        <v>1.021383338</v>
      </c>
      <c r="Q64" s="485">
        <f t="shared" si="13"/>
        <v>0.840481284</v>
      </c>
      <c r="R64" s="485">
        <f t="shared" si="13"/>
        <v>0.5323806201</v>
      </c>
      <c r="S64" s="485">
        <f t="shared" si="13"/>
        <v>0.9636857552</v>
      </c>
      <c r="T64" s="485">
        <f t="shared" si="13"/>
        <v>0.7922425611</v>
      </c>
      <c r="U64" s="485">
        <f t="shared" si="13"/>
        <v>1.131060283</v>
      </c>
      <c r="V64" s="485">
        <f t="shared" si="13"/>
        <v>0.9158758267</v>
      </c>
      <c r="W64" s="485">
        <f t="shared" si="13"/>
        <v>1.094132422</v>
      </c>
      <c r="X64" s="485">
        <f t="shared" si="13"/>
        <v>0.9146697255</v>
      </c>
      <c r="Y64" s="485">
        <f t="shared" si="13"/>
        <v>0.7025217376</v>
      </c>
      <c r="Z64" s="485">
        <f t="shared" si="13"/>
        <v>0.988689231</v>
      </c>
      <c r="AA64" s="485">
        <f t="shared" si="13"/>
        <v>0.4324696545</v>
      </c>
      <c r="AB64" s="485">
        <f t="shared" si="13"/>
        <v>1.034367619</v>
      </c>
      <c r="AC64" s="485">
        <f t="shared" si="13"/>
        <v>0.8102209106</v>
      </c>
      <c r="AD64" s="485">
        <f t="shared" si="13"/>
        <v>0.885283161</v>
      </c>
      <c r="AE64" s="485">
        <f t="shared" si="13"/>
        <v>0</v>
      </c>
      <c r="AF64" s="485">
        <f t="shared" si="13"/>
        <v>0</v>
      </c>
      <c r="AG64" s="482"/>
    </row>
    <row r="65">
      <c r="A65" s="483" t="s">
        <v>508</v>
      </c>
      <c r="B65" s="488">
        <f t="shared" ref="B65:AF65" si="14">B31/B5</f>
        <v>261.7351724</v>
      </c>
      <c r="C65" s="488">
        <f t="shared" si="14"/>
        <v>177.4907143</v>
      </c>
      <c r="D65" s="488">
        <f t="shared" si="14"/>
        <v>382.5112903</v>
      </c>
      <c r="E65" s="488">
        <f t="shared" si="14"/>
        <v>236.8774576</v>
      </c>
      <c r="F65" s="488">
        <f t="shared" si="14"/>
        <v>289.9378723</v>
      </c>
      <c r="G65" s="488">
        <f t="shared" si="14"/>
        <v>223.9288333</v>
      </c>
      <c r="H65" s="488">
        <f t="shared" si="14"/>
        <v>213.1807813</v>
      </c>
      <c r="I65" s="488">
        <f t="shared" si="14"/>
        <v>157.5373034</v>
      </c>
      <c r="J65" s="488">
        <f t="shared" si="14"/>
        <v>225.6416</v>
      </c>
      <c r="K65" s="488">
        <f t="shared" si="14"/>
        <v>268.3608065</v>
      </c>
      <c r="L65" s="488">
        <f t="shared" si="14"/>
        <v>287.9503922</v>
      </c>
      <c r="M65" s="488">
        <f t="shared" si="14"/>
        <v>229.6121429</v>
      </c>
      <c r="N65" s="488">
        <f t="shared" si="14"/>
        <v>180.0809434</v>
      </c>
      <c r="O65" s="488">
        <f t="shared" si="14"/>
        <v>179.9668493</v>
      </c>
      <c r="P65" s="488">
        <f t="shared" si="14"/>
        <v>258.0692647</v>
      </c>
      <c r="Q65" s="488">
        <f t="shared" si="14"/>
        <v>304.0498507</v>
      </c>
      <c r="R65" s="488">
        <f t="shared" si="14"/>
        <v>531.2646429</v>
      </c>
      <c r="S65" s="488">
        <f t="shared" si="14"/>
        <v>305.2291667</v>
      </c>
      <c r="T65" s="488">
        <f t="shared" si="14"/>
        <v>301.5681132</v>
      </c>
      <c r="U65" s="488">
        <f t="shared" si="14"/>
        <v>257.7392188</v>
      </c>
      <c r="V65" s="488">
        <f t="shared" si="14"/>
        <v>275.6738333</v>
      </c>
      <c r="W65" s="488">
        <f t="shared" si="14"/>
        <v>259.09</v>
      </c>
      <c r="X65" s="488">
        <f t="shared" si="14"/>
        <v>270.2530769</v>
      </c>
      <c r="Y65" s="488">
        <f t="shared" si="14"/>
        <v>376.46</v>
      </c>
      <c r="Z65" s="488">
        <f t="shared" si="14"/>
        <v>300.8551613</v>
      </c>
      <c r="AA65" s="488">
        <f t="shared" si="14"/>
        <v>821.1</v>
      </c>
      <c r="AB65" s="488">
        <f t="shared" si="14"/>
        <v>270.9807407</v>
      </c>
      <c r="AC65" s="488">
        <f t="shared" si="14"/>
        <v>318.357619</v>
      </c>
      <c r="AD65" s="488">
        <f t="shared" si="14"/>
        <v>318.6728571</v>
      </c>
      <c r="AE65" s="488" t="str">
        <f t="shared" si="14"/>
        <v>#DIV/0!</v>
      </c>
      <c r="AF65" s="488" t="str">
        <f t="shared" si="14"/>
        <v>#DIV/0!</v>
      </c>
      <c r="AG65" s="482"/>
    </row>
    <row r="66">
      <c r="A66" s="489" t="s">
        <v>509</v>
      </c>
      <c r="B66" s="490">
        <f>B18/('ECOMMERCE Formulas'!$I$15*B5+B31)</f>
        <v>0.7181042042</v>
      </c>
      <c r="C66" s="490">
        <f>C18/('ECOMMERCE Formulas'!$I$15*C5+C31)</f>
        <v>0.8524690096</v>
      </c>
      <c r="D66" s="490">
        <f>D18/('ECOMMERCE Formulas'!$I$15*D5+D31)</f>
        <v>0.4844211672</v>
      </c>
      <c r="E66" s="490">
        <f>E18/('ECOMMERCE Formulas'!$I$15*E5+E31)</f>
        <v>0.701391292</v>
      </c>
      <c r="F66" s="490">
        <f>F18/('ECOMMERCE Formulas'!$I$15*F5+F31)</f>
        <v>0.6213844827</v>
      </c>
      <c r="G66" s="490">
        <f>G18/('ECOMMERCE Formulas'!$I$15*G5+G31)</f>
        <v>0.6600490124</v>
      </c>
      <c r="H66" s="490">
        <f>H18/('ECOMMERCE Formulas'!$I$15*H5+H31)</f>
        <v>0.6963583695</v>
      </c>
      <c r="I66" s="490">
        <f>I18/('ECOMMERCE Formulas'!$I$15*I5+I31)</f>
        <v>0.9421123137</v>
      </c>
      <c r="J66" s="490">
        <f>J18/('ECOMMERCE Formulas'!$I$15*J5+J31)</f>
        <v>0.7001819196</v>
      </c>
      <c r="K66" s="490">
        <f>K18/('ECOMMERCE Formulas'!$I$15*K5+K31)</f>
        <v>0.653550377</v>
      </c>
      <c r="L66" s="490">
        <f>L18/('ECOMMERCE Formulas'!$I$15*L5+L31)</f>
        <v>0.5972583371</v>
      </c>
      <c r="M66" s="490">
        <f>M18/('ECOMMERCE Formulas'!$I$15*M5+M31)</f>
        <v>0.6851105046</v>
      </c>
      <c r="N66" s="490">
        <f>N18/('ECOMMERCE Formulas'!$I$15*N5+N31)</f>
        <v>0.8058416741</v>
      </c>
      <c r="O66" s="490">
        <f>O18/('ECOMMERCE Formulas'!$I$15*O5+O31)</f>
        <v>0.8081919438</v>
      </c>
      <c r="P66" s="490">
        <f>P18/('ECOMMERCE Formulas'!$I$15*P5+P31)</f>
        <v>0.6429495319</v>
      </c>
      <c r="Q66" s="490">
        <f>Q18/('ECOMMERCE Formulas'!$I$15*Q5+Q31)</f>
        <v>0.5604780101</v>
      </c>
      <c r="R66" s="490">
        <f>R18/('ECOMMERCE Formulas'!$I$15*R5+R31)</f>
        <v>0.4140088722</v>
      </c>
      <c r="S66" s="490">
        <f>S18/('ECOMMERCE Formulas'!$I$15*S5+S31)</f>
        <v>0.643465617</v>
      </c>
      <c r="T66" s="490">
        <f>T18/('ECOMMERCE Formulas'!$I$15*T5+T31)</f>
        <v>0.5268653829</v>
      </c>
      <c r="U66" s="490">
        <f>U18/('ECOMMERCE Formulas'!$I$15*U5+U31)</f>
        <v>0.7116523105</v>
      </c>
      <c r="V66" s="490">
        <f>V18/('ECOMMERCE Formulas'!$I$15*V5+V31)</f>
        <v>0.5905056042</v>
      </c>
      <c r="W66" s="490">
        <f>W18/('ECOMMERCE Formulas'!$I$15*W5+W31)</f>
        <v>0.6897511065</v>
      </c>
      <c r="X66" s="490">
        <f>X18/('ECOMMERCE Formulas'!$I$15*X5+X31)</f>
        <v>0.585555457</v>
      </c>
      <c r="Y66" s="490">
        <f>Y18/('ECOMMERCE Formulas'!$I$15*Y5+Y31)</f>
        <v>0.500554191</v>
      </c>
      <c r="Z66" s="490">
        <f>Z18/('ECOMMERCE Formulas'!$I$15*Z5+Z31)</f>
        <v>0.6569868766</v>
      </c>
      <c r="AA66" s="490">
        <f>AA18/('ECOMMERCE Formulas'!$I$15*AA5+AA31)</f>
        <v>0.364955716</v>
      </c>
      <c r="AB66" s="490">
        <f>AB18/('ECOMMERCE Formulas'!$I$15*AB5+AB31)</f>
        <v>0.6628243738</v>
      </c>
      <c r="AC66" s="490">
        <f>AC18/('ECOMMERCE Formulas'!$I$15*AC5+AC31)</f>
        <v>0.5485113059</v>
      </c>
      <c r="AD66" s="490">
        <f>AD18/('ECOMMERCE Formulas'!$I$15*AD5+AD31)</f>
        <v>0.5995192486</v>
      </c>
      <c r="AE66" s="490">
        <f>AE18/('ECOMMERCE Formulas'!$I$15*AE5+AE31)</f>
        <v>0</v>
      </c>
      <c r="AF66" s="490">
        <f>AF18/('ECOMMERCE Formulas'!$I$15*AF5+AF31)</f>
        <v>0</v>
      </c>
      <c r="AG66" s="482"/>
    </row>
    <row r="67">
      <c r="A67" s="327"/>
      <c r="B67" s="327"/>
      <c r="C67" s="327"/>
      <c r="D67" s="327"/>
      <c r="E67" s="327"/>
      <c r="F67" s="327"/>
      <c r="G67" s="327"/>
      <c r="H67" s="327"/>
      <c r="I67" s="327"/>
      <c r="J67" s="327"/>
      <c r="K67" s="327"/>
      <c r="L67" s="327"/>
      <c r="M67" s="327"/>
      <c r="N67" s="327"/>
      <c r="O67" s="327"/>
      <c r="P67" s="327"/>
      <c r="Q67" s="327"/>
      <c r="R67" s="327"/>
      <c r="S67" s="327"/>
      <c r="T67" s="327"/>
      <c r="U67" s="327"/>
      <c r="V67" s="327"/>
      <c r="W67" s="327"/>
      <c r="X67" s="327"/>
      <c r="Y67" s="327"/>
      <c r="Z67" s="327"/>
      <c r="AA67" s="327"/>
      <c r="AB67" s="327"/>
      <c r="AC67" s="327"/>
      <c r="AD67" s="327"/>
      <c r="AE67" s="327"/>
      <c r="AF67" s="327"/>
      <c r="AG67" s="482"/>
    </row>
    <row r="68">
      <c r="A68" s="493" t="s">
        <v>555</v>
      </c>
      <c r="B68" s="327"/>
      <c r="C68" s="327"/>
      <c r="D68" s="327"/>
      <c r="E68" s="327"/>
      <c r="F68" s="327"/>
      <c r="G68" s="327"/>
      <c r="H68" s="327"/>
      <c r="I68" s="327"/>
      <c r="J68" s="327"/>
      <c r="K68" s="327"/>
      <c r="L68" s="327"/>
      <c r="M68" s="327"/>
      <c r="N68" s="327"/>
      <c r="O68" s="327"/>
      <c r="P68" s="327"/>
      <c r="Q68" s="327"/>
      <c r="R68" s="327"/>
      <c r="S68" s="327"/>
      <c r="T68" s="327"/>
      <c r="U68" s="327"/>
      <c r="V68" s="327"/>
      <c r="W68" s="327"/>
      <c r="X68" s="327"/>
      <c r="Y68" s="327"/>
      <c r="Z68" s="327"/>
      <c r="AA68" s="302"/>
      <c r="AB68" s="327"/>
      <c r="AC68" s="327"/>
      <c r="AD68" s="327"/>
      <c r="AE68" s="327"/>
      <c r="AF68" s="327"/>
      <c r="AG68" s="330"/>
    </row>
    <row r="69">
      <c r="A69" s="494" t="s">
        <v>501</v>
      </c>
      <c r="B69" s="276">
        <f>B19-(B6*'ECOMMERCE Formulas'!$I$15)-B32</f>
        <v>511.9225117</v>
      </c>
      <c r="C69" s="276">
        <f>C19-(C6*'ECOMMERCE Formulas'!$I$15)-C32</f>
        <v>2978.133195</v>
      </c>
      <c r="D69" s="276">
        <f>D19-(D6*'ECOMMERCE Formulas'!$I$15)-D32</f>
        <v>1988.473647</v>
      </c>
      <c r="E69" s="276">
        <f>E19-(E6*'ECOMMERCE Formulas'!$I$15)-E32</f>
        <v>1548.273195</v>
      </c>
      <c r="F69" s="276">
        <f>F19-(F6*'ECOMMERCE Formulas'!$I$15)-F32</f>
        <v>1077.344331</v>
      </c>
      <c r="G69" s="276">
        <f>G19-(G6*'ECOMMERCE Formulas'!$I$15)-G32</f>
        <v>1815.094331</v>
      </c>
      <c r="H69" s="276">
        <f>H19-(H6*'ECOMMERCE Formulas'!$I$15)-H32</f>
        <v>1073.933195</v>
      </c>
      <c r="I69" s="276">
        <f>I19-(I6*'ECOMMERCE Formulas'!$I$15)-I32</f>
        <v>800.8334259</v>
      </c>
      <c r="J69" s="276">
        <f>J19-(J6*'ECOMMERCE Formulas'!$I$15)-J32</f>
        <v>1591.047969</v>
      </c>
      <c r="K69" s="276">
        <f>K19-(K6*'ECOMMERCE Formulas'!$I$15)-K32</f>
        <v>2014.306381</v>
      </c>
      <c r="L69" s="276">
        <f>L19-(L6*'ECOMMERCE Formulas'!$I$15)-L32</f>
        <v>2747.080471</v>
      </c>
      <c r="M69" s="276">
        <f>M19-(M6*'ECOMMERCE Formulas'!$I$15)-M32</f>
        <v>3432.297516</v>
      </c>
      <c r="N69" s="276">
        <f>N19-(N6*'ECOMMERCE Formulas'!$I$15)-N32</f>
        <v>3326.2882</v>
      </c>
      <c r="O69" s="276">
        <f>O19-(O6*'ECOMMERCE Formulas'!$I$15)-O32</f>
        <v>777.1061498</v>
      </c>
      <c r="P69" s="276">
        <f>P19-(P6*'ECOMMERCE Formulas'!$I$15)-P32</f>
        <v>-880.1261217</v>
      </c>
      <c r="Q69" s="276">
        <f>Q19-(Q6*'ECOMMERCE Formulas'!$I$15)-Q32</f>
        <v>-355.7979407</v>
      </c>
      <c r="R69" s="276">
        <f>R19-(R6*'ECOMMERCE Formulas'!$I$15)-R32</f>
        <v>-974.6859001</v>
      </c>
      <c r="S69" s="276">
        <f>S19-(S6*'ECOMMERCE Formulas'!$I$15)-S32</f>
        <v>-1281.37385</v>
      </c>
      <c r="T69" s="276">
        <f>T19-(T6*'ECOMMERCE Formulas'!$I$15)-T32</f>
        <v>3475.195014</v>
      </c>
      <c r="U69" s="276">
        <f>U19-(U6*'ECOMMERCE Formulas'!$I$15)-U32</f>
        <v>1270.885014</v>
      </c>
      <c r="V69" s="276">
        <f>V19-(V6*'ECOMMERCE Formulas'!$I$15)-V32</f>
        <v>671.451376</v>
      </c>
      <c r="W69" s="276">
        <f>W19-(W6*'ECOMMERCE Formulas'!$I$15)-W32</f>
        <v>-1952.701579</v>
      </c>
      <c r="X69" s="276">
        <f>X19-(X6*'ECOMMERCE Formulas'!$I$15)-X32</f>
        <v>-2392.037941</v>
      </c>
      <c r="Y69" s="276">
        <f>Y19-(Y6*'ECOMMERCE Formulas'!$I$15)-Y32</f>
        <v>-2744.727036</v>
      </c>
      <c r="Z69" s="276">
        <f>Z19-(Z6*'ECOMMERCE Formulas'!$I$15)-Z32</f>
        <v>-1656.56181</v>
      </c>
      <c r="AA69" s="276">
        <f>AA19-(AA6*'ECOMMERCE Formulas'!$I$15)-AA32</f>
        <v>-957.2452168</v>
      </c>
      <c r="AB69" s="276">
        <f>AB19-(AB6*'ECOMMERCE Formulas'!$I$15)-AB32</f>
        <v>-1012.664081</v>
      </c>
      <c r="AC69" s="276">
        <f>AC19-(AC6*'ECOMMERCE Formulas'!$I$15)-AC32</f>
        <v>-1409.543398</v>
      </c>
      <c r="AD69" s="276">
        <f>AD19-(AD6*'ECOMMERCE Formulas'!$I$15)-AD32</f>
        <v>-2620.134764</v>
      </c>
      <c r="AE69" s="276">
        <f>AE19-(AE6*'ECOMMERCE Formulas'!$I$15)-AE32</f>
        <v>2179.230693</v>
      </c>
      <c r="AF69" s="276">
        <f>AF19-(AF6*'ECOMMERCE Formulas'!$I$15)-AF32</f>
        <v>1575.126371</v>
      </c>
      <c r="AG69" s="482">
        <f>SUM(B69:AF69)</f>
        <v>16616.42335</v>
      </c>
    </row>
    <row r="70">
      <c r="A70" s="494" t="s">
        <v>234</v>
      </c>
      <c r="B70" s="485">
        <f t="shared" ref="B70:AF70" si="15">B19/B32</f>
        <v>3.53827193</v>
      </c>
      <c r="C70" s="485">
        <f t="shared" si="15"/>
        <v>4.735133441</v>
      </c>
      <c r="D70" s="485">
        <f t="shared" si="15"/>
        <v>4.184216628</v>
      </c>
      <c r="E70" s="485">
        <f t="shared" si="15"/>
        <v>4.465546447</v>
      </c>
      <c r="F70" s="485">
        <f t="shared" si="15"/>
        <v>4.663231833</v>
      </c>
      <c r="G70" s="485">
        <f t="shared" si="15"/>
        <v>4.568147957</v>
      </c>
      <c r="H70" s="485">
        <f t="shared" si="15"/>
        <v>4.352457733</v>
      </c>
      <c r="I70" s="485">
        <f t="shared" si="15"/>
        <v>4.77240109</v>
      </c>
      <c r="J70" s="485">
        <f t="shared" si="15"/>
        <v>4.1051347</v>
      </c>
      <c r="K70" s="485">
        <f t="shared" si="15"/>
        <v>5.557292404</v>
      </c>
      <c r="L70" s="485">
        <f t="shared" si="15"/>
        <v>5.198818178</v>
      </c>
      <c r="M70" s="485">
        <f t="shared" si="15"/>
        <v>5.491382919</v>
      </c>
      <c r="N70" s="485">
        <f t="shared" si="15"/>
        <v>5.133266525</v>
      </c>
      <c r="O70" s="485">
        <f t="shared" si="15"/>
        <v>3.41194009</v>
      </c>
      <c r="P70" s="485">
        <f t="shared" si="15"/>
        <v>2.928570281</v>
      </c>
      <c r="Q70" s="485">
        <f t="shared" si="15"/>
        <v>2.778847484</v>
      </c>
      <c r="R70" s="485">
        <f t="shared" si="15"/>
        <v>2.267901964</v>
      </c>
      <c r="S70" s="485">
        <f t="shared" si="15"/>
        <v>2.412572157</v>
      </c>
      <c r="T70" s="485">
        <f t="shared" si="15"/>
        <v>4.413156697</v>
      </c>
      <c r="U70" s="485">
        <f t="shared" si="15"/>
        <v>4.280476153</v>
      </c>
      <c r="V70" s="485">
        <f t="shared" si="15"/>
        <v>3.15290506</v>
      </c>
      <c r="W70" s="485">
        <f t="shared" si="15"/>
        <v>2.085086</v>
      </c>
      <c r="X70" s="485">
        <f t="shared" si="15"/>
        <v>1.94978424</v>
      </c>
      <c r="Y70" s="485">
        <f t="shared" si="15"/>
        <v>1.590159015</v>
      </c>
      <c r="Z70" s="485">
        <f t="shared" si="15"/>
        <v>1.64018519</v>
      </c>
      <c r="AA70" s="485">
        <f t="shared" si="15"/>
        <v>2.151676096</v>
      </c>
      <c r="AB70" s="485">
        <f t="shared" si="15"/>
        <v>1.921549664</v>
      </c>
      <c r="AC70" s="485">
        <f t="shared" si="15"/>
        <v>1.996358737</v>
      </c>
      <c r="AD70" s="485">
        <f t="shared" si="15"/>
        <v>1.587063059</v>
      </c>
      <c r="AE70" s="485">
        <f t="shared" si="15"/>
        <v>3.525797488</v>
      </c>
      <c r="AF70" s="485">
        <f t="shared" si="15"/>
        <v>4.151037682</v>
      </c>
      <c r="AG70" s="482"/>
    </row>
    <row r="71">
      <c r="A71" s="494" t="s">
        <v>508</v>
      </c>
      <c r="B71" s="488">
        <f t="shared" ref="B71:AF71" si="16">B32/B6</f>
        <v>63.50963636</v>
      </c>
      <c r="C71" s="488">
        <f t="shared" si="16"/>
        <v>53.52725806</v>
      </c>
      <c r="D71" s="488">
        <f t="shared" si="16"/>
        <v>59.71230769</v>
      </c>
      <c r="E71" s="488">
        <f t="shared" si="16"/>
        <v>51.03645161</v>
      </c>
      <c r="F71" s="488">
        <f t="shared" si="16"/>
        <v>46.45</v>
      </c>
      <c r="G71" s="488">
        <f t="shared" si="16"/>
        <v>51.19220339</v>
      </c>
      <c r="H71" s="488">
        <f t="shared" si="16"/>
        <v>50.47596774</v>
      </c>
      <c r="I71" s="488">
        <f t="shared" si="16"/>
        <v>42.95253165</v>
      </c>
      <c r="J71" s="488">
        <f t="shared" si="16"/>
        <v>56.56567164</v>
      </c>
      <c r="K71" s="488">
        <f t="shared" si="16"/>
        <v>38.8555</v>
      </c>
      <c r="L71" s="488">
        <f t="shared" si="16"/>
        <v>44.56397436</v>
      </c>
      <c r="M71" s="488">
        <f t="shared" si="16"/>
        <v>43.74428571</v>
      </c>
      <c r="N71" s="488">
        <f t="shared" si="16"/>
        <v>46.33035714</v>
      </c>
      <c r="O71" s="488">
        <f t="shared" si="16"/>
        <v>68.09126984</v>
      </c>
      <c r="P71" s="488">
        <f t="shared" si="16"/>
        <v>72.14753623</v>
      </c>
      <c r="Q71" s="488">
        <f t="shared" si="16"/>
        <v>82.31353846</v>
      </c>
      <c r="R71" s="488">
        <f t="shared" si="16"/>
        <v>101.4985714</v>
      </c>
      <c r="S71" s="488">
        <f t="shared" si="16"/>
        <v>93.13349206</v>
      </c>
      <c r="T71" s="488">
        <f t="shared" si="16"/>
        <v>59.93030303</v>
      </c>
      <c r="U71" s="488">
        <f t="shared" si="16"/>
        <v>52.17318182</v>
      </c>
      <c r="V71" s="488">
        <f t="shared" si="16"/>
        <v>75.93172414</v>
      </c>
      <c r="W71" s="488">
        <f t="shared" si="16"/>
        <v>108.4145614</v>
      </c>
      <c r="X71" s="488">
        <f t="shared" si="16"/>
        <v>121.1816923</v>
      </c>
      <c r="Y71" s="488">
        <f t="shared" si="16"/>
        <v>154.0315556</v>
      </c>
      <c r="Z71" s="488">
        <f t="shared" si="16"/>
        <v>172.57975</v>
      </c>
      <c r="AA71" s="488">
        <f t="shared" si="16"/>
        <v>114.9293878</v>
      </c>
      <c r="AB71" s="488">
        <f t="shared" si="16"/>
        <v>140.9393478</v>
      </c>
      <c r="AC71" s="488">
        <f t="shared" si="16"/>
        <v>125.7598113</v>
      </c>
      <c r="AD71" s="488">
        <f t="shared" si="16"/>
        <v>144.3015385</v>
      </c>
      <c r="AE71" s="488">
        <f t="shared" si="16"/>
        <v>77.05568627</v>
      </c>
      <c r="AF71" s="488">
        <f t="shared" si="16"/>
        <v>62.09083333</v>
      </c>
      <c r="AG71" s="482"/>
    </row>
    <row r="72">
      <c r="A72" s="502" t="s">
        <v>509</v>
      </c>
      <c r="B72" s="490">
        <f>B19/('ECOMMERCE Formulas'!$I$15*B6+B32)</f>
        <v>1.043209811</v>
      </c>
      <c r="C72" s="490">
        <f>C19/('ECOMMERCE Formulas'!$I$15*C6+C32)</f>
        <v>1.233830202</v>
      </c>
      <c r="D72" s="490">
        <f>D19/('ECOMMERCE Formulas'!$I$15*D6+D32)</f>
        <v>1.180709772</v>
      </c>
      <c r="E72" s="490">
        <f>E19/('ECOMMERCE Formulas'!$I$15*E6+E32)</f>
        <v>1.123055822</v>
      </c>
      <c r="F72" s="490">
        <f>F19/('ECOMMERCE Formulas'!$I$15*F6+F32)</f>
        <v>1.092061232</v>
      </c>
      <c r="G72" s="490">
        <f>G19/('ECOMMERCE Formulas'!$I$15*G6+G32)</f>
        <v>1.15148173</v>
      </c>
      <c r="H72" s="490">
        <f>H19/('ECOMMERCE Formulas'!$I$15*H6+H32)</f>
        <v>1.085591962</v>
      </c>
      <c r="I72" s="490">
        <f>I19/('ECOMMERCE Formulas'!$I$15*I6+I32)</f>
        <v>1.052025425</v>
      </c>
      <c r="J72" s="490">
        <f>J19/('ECOMMERCE Formulas'!$I$15*J6+J32)</f>
        <v>1.11391478</v>
      </c>
      <c r="K72" s="490">
        <f>K19/('ECOMMERCE Formulas'!$I$15*K6+K32)</f>
        <v>1.131997346</v>
      </c>
      <c r="L72" s="490">
        <f>L19/('ECOMMERCE Formulas'!$I$15*L6+L32)</f>
        <v>1.179267014</v>
      </c>
      <c r="M72" s="490">
        <f>M19/('ECOMMERCE Formulas'!$I$15*M6+M32)</f>
        <v>1.227841899</v>
      </c>
      <c r="N72" s="490">
        <f>N19/('ECOMMERCE Formulas'!$I$15*N6+N32)</f>
        <v>1.19976385</v>
      </c>
      <c r="O72" s="490">
        <f>O19/('ECOMMERCE Formulas'!$I$15*O6+O32)</f>
        <v>1.056071243</v>
      </c>
      <c r="P72" s="490">
        <f>P19/('ECOMMERCE Formulas'!$I$15*P6+P32)</f>
        <v>0.9430673531</v>
      </c>
      <c r="Q72" s="490">
        <f>Q19/('ECOMMERCE Formulas'!$I$15*Q6+Q32)</f>
        <v>0.976628663</v>
      </c>
      <c r="R72" s="490">
        <f>R19/('ECOMMERCE Formulas'!$I$15*R6+R32)</f>
        <v>0.9084166986</v>
      </c>
      <c r="S72" s="490">
        <f>S19/('ECOMMERCE Formulas'!$I$15*S6+S32)</f>
        <v>0.916992928</v>
      </c>
      <c r="T72" s="490">
        <f>T19/('ECOMMERCE Formulas'!$I$15*T6+T32)</f>
        <v>1.248572577</v>
      </c>
      <c r="U72" s="490">
        <f>U19/('ECOMMERCE Formulas'!$I$15*U6+U32)</f>
        <v>1.094358858</v>
      </c>
      <c r="V72" s="490">
        <f>V19/('ECOMMERCE Formulas'!$I$15*V6+V32)</f>
        <v>1.050813371</v>
      </c>
      <c r="W72" s="490">
        <f>W19/('ECOMMERCE Formulas'!$I$15*W6+W32)</f>
        <v>0.868396485</v>
      </c>
      <c r="X72" s="490">
        <f>X19/('ECOMMERCE Formulas'!$I$15*X6+X32)</f>
        <v>0.8652381945</v>
      </c>
      <c r="Y72" s="490">
        <f>Y19/('ECOMMERCE Formulas'!$I$15*Y6+Y32)</f>
        <v>0.800626898</v>
      </c>
      <c r="Z72" s="490">
        <f>Z19/('ECOMMERCE Formulas'!$I$15*Z6+Z32)</f>
        <v>0.8723666966</v>
      </c>
      <c r="AA72" s="490">
        <f>AA19/('ECOMMERCE Formulas'!$I$15*AA6+AA32)</f>
        <v>0.9267853022</v>
      </c>
      <c r="AB72" s="490">
        <f>AB19/('ECOMMERCE Formulas'!$I$15*AB6+AB32)</f>
        <v>0.9248234268</v>
      </c>
      <c r="AC72" s="490">
        <f>AC19/('ECOMMERCE Formulas'!$I$15*AC6+AC32)</f>
        <v>0.9042157331</v>
      </c>
      <c r="AD72" s="490">
        <f>AD19/('ECOMMERCE Formulas'!$I$15*AD6+AD32)</f>
        <v>0.7731827687</v>
      </c>
      <c r="AE72" s="490">
        <f>AE19/('ECOMMERCE Formulas'!$I$15*AE6+AE32)</f>
        <v>1.186632469</v>
      </c>
      <c r="AF72" s="490">
        <f>AF19/('ECOMMERCE Formulas'!$I$15*AF6+AF32)</f>
        <v>1.204467237</v>
      </c>
      <c r="AG72" s="482"/>
    </row>
    <row r="73">
      <c r="A73" s="42"/>
      <c r="B73" s="327"/>
      <c r="C73" s="327"/>
      <c r="D73" s="327"/>
      <c r="E73" s="327"/>
      <c r="F73" s="327"/>
      <c r="G73" s="327"/>
      <c r="H73" s="327"/>
      <c r="I73" s="327"/>
      <c r="J73" s="327"/>
      <c r="K73" s="327"/>
      <c r="L73" s="327"/>
      <c r="M73" s="327"/>
      <c r="N73" s="327"/>
      <c r="O73" s="327"/>
      <c r="P73" s="327"/>
      <c r="Q73" s="327"/>
      <c r="R73" s="327"/>
      <c r="S73" s="327"/>
      <c r="T73" s="327"/>
      <c r="U73" s="327"/>
      <c r="V73" s="327"/>
      <c r="W73" s="327"/>
      <c r="X73" s="327"/>
      <c r="Y73" s="327"/>
      <c r="Z73" s="327"/>
      <c r="AA73" s="327"/>
      <c r="AB73" s="327"/>
      <c r="AC73" s="327"/>
      <c r="AD73" s="327"/>
      <c r="AE73" s="327"/>
      <c r="AF73" s="327"/>
      <c r="AG73" s="482"/>
    </row>
    <row r="74">
      <c r="A74" s="525" t="s">
        <v>602</v>
      </c>
      <c r="B74" s="327"/>
      <c r="C74" s="327"/>
      <c r="D74" s="327"/>
      <c r="E74" s="327"/>
      <c r="F74" s="327"/>
      <c r="G74" s="327"/>
      <c r="H74" s="327"/>
      <c r="I74" s="327"/>
      <c r="J74" s="327"/>
      <c r="K74" s="327"/>
      <c r="L74" s="327"/>
      <c r="M74" s="327"/>
      <c r="N74" s="327"/>
      <c r="O74" s="327"/>
      <c r="P74" s="327"/>
      <c r="Q74" s="327"/>
      <c r="R74" s="327"/>
      <c r="S74" s="327"/>
      <c r="T74" s="327"/>
      <c r="U74" s="327"/>
      <c r="V74" s="327"/>
      <c r="W74" s="327"/>
      <c r="X74" s="327"/>
      <c r="Y74" s="327"/>
      <c r="Z74" s="327"/>
      <c r="AA74" s="327"/>
      <c r="AB74" s="327"/>
      <c r="AC74" s="327"/>
      <c r="AD74" s="327"/>
      <c r="AE74" s="327"/>
      <c r="AF74" s="327"/>
      <c r="AG74" s="482"/>
    </row>
    <row r="75">
      <c r="A75" s="347" t="s">
        <v>501</v>
      </c>
      <c r="B75" s="276">
        <f>B20-(B7*'ECOMMERCE Formulas'!$I$15)-B33</f>
        <v>0</v>
      </c>
      <c r="C75" s="276">
        <f>C20-(C7*'ECOMMERCE Formulas'!$I$15)-C33</f>
        <v>0</v>
      </c>
      <c r="D75" s="276">
        <f>D20-(D7*'ECOMMERCE Formulas'!$I$15)-D33</f>
        <v>0</v>
      </c>
      <c r="E75" s="276">
        <f>E20-(E7*'ECOMMERCE Formulas'!$I$15)-E33</f>
        <v>0</v>
      </c>
      <c r="F75" s="276">
        <f>F20-(F7*'ECOMMERCE Formulas'!$I$15)-F33</f>
        <v>0</v>
      </c>
      <c r="G75" s="276">
        <f>G20-(G7*'ECOMMERCE Formulas'!$I$15)-G33</f>
        <v>0</v>
      </c>
      <c r="H75" s="276">
        <f>H20-(H7*'ECOMMERCE Formulas'!$I$15)-H33</f>
        <v>0</v>
      </c>
      <c r="I75" s="276">
        <f>I20-(I7*'ECOMMERCE Formulas'!$I$15)-I33</f>
        <v>0</v>
      </c>
      <c r="J75" s="276">
        <f>J20-(J7*'ECOMMERCE Formulas'!$I$15)-J33</f>
        <v>0</v>
      </c>
      <c r="K75" s="276">
        <f>K20-(K7*'ECOMMERCE Formulas'!$I$15)-K33</f>
        <v>0</v>
      </c>
      <c r="L75" s="276">
        <f>L20-(L7*'ECOMMERCE Formulas'!$I$15)-L33</f>
        <v>0</v>
      </c>
      <c r="M75" s="276">
        <f>M20-(M7*'ECOMMERCE Formulas'!$I$15)-M33</f>
        <v>0</v>
      </c>
      <c r="N75" s="276">
        <f>N20-(N7*'ECOMMERCE Formulas'!$I$15)-N33</f>
        <v>0</v>
      </c>
      <c r="O75" s="276">
        <f>O20-(O7*'ECOMMERCE Formulas'!$I$15)-O33</f>
        <v>0</v>
      </c>
      <c r="P75" s="276">
        <f>P20-(P7*'ECOMMERCE Formulas'!$I$15)-P33</f>
        <v>0</v>
      </c>
      <c r="Q75" s="276">
        <f>Q20-(Q7*'ECOMMERCE Formulas'!$I$15)-Q33</f>
        <v>0</v>
      </c>
      <c r="R75" s="276">
        <f>R20-(R7*'ECOMMERCE Formulas'!$I$15)-R33</f>
        <v>0</v>
      </c>
      <c r="S75" s="276">
        <f>S20-(S7*'ECOMMERCE Formulas'!$I$15)-S33</f>
        <v>0</v>
      </c>
      <c r="T75" s="276">
        <f>T20-(T7*'ECOMMERCE Formulas'!$I$15)-T33</f>
        <v>0</v>
      </c>
      <c r="U75" s="276">
        <f>U20-(U7*'ECOMMERCE Formulas'!$I$15)-U33</f>
        <v>0</v>
      </c>
      <c r="V75" s="276">
        <f>V20-(V7*'ECOMMERCE Formulas'!$I$15)-V33</f>
        <v>0</v>
      </c>
      <c r="W75" s="276">
        <f>W20-(W7*'ECOMMERCE Formulas'!$I$15)-W33</f>
        <v>0</v>
      </c>
      <c r="X75" s="276">
        <f>X20-(X7*'ECOMMERCE Formulas'!$I$15)-X33</f>
        <v>0</v>
      </c>
      <c r="Y75" s="276">
        <f>Y20-(Y7*'ECOMMERCE Formulas'!$I$15)-Y33</f>
        <v>0</v>
      </c>
      <c r="Z75" s="276">
        <f>Z20-(Z7*'ECOMMERCE Formulas'!$I$15)-Z33</f>
        <v>0</v>
      </c>
      <c r="AA75" s="276">
        <f>AA20-(AA7*'ECOMMERCE Formulas'!$I$15)-AA33</f>
        <v>0</v>
      </c>
      <c r="AB75" s="276">
        <f>AB20-(AB7*'ECOMMERCE Formulas'!$I$15)-AB33</f>
        <v>0</v>
      </c>
      <c r="AC75" s="276">
        <f>AC20-(AC7*'ECOMMERCE Formulas'!$I$15)-AC33</f>
        <v>0</v>
      </c>
      <c r="AD75" s="276">
        <f>AD20-(AD7*'ECOMMERCE Formulas'!$I$15)-AD33</f>
        <v>0</v>
      </c>
      <c r="AE75" s="276">
        <f>AE20-(AE7*'ECOMMERCE Formulas'!$I$15)-AE33</f>
        <v>0</v>
      </c>
      <c r="AF75" s="276">
        <f>AF20-(AF7*'ECOMMERCE Formulas'!$I$15)-AF33</f>
        <v>0</v>
      </c>
      <c r="AG75" s="482">
        <f>SUM(B75:AF75)</f>
        <v>0</v>
      </c>
    </row>
    <row r="76">
      <c r="A76" s="347" t="s">
        <v>234</v>
      </c>
      <c r="B76" s="485" t="str">
        <f t="shared" ref="B76:AF76" si="17">B20/B33</f>
        <v>#DIV/0!</v>
      </c>
      <c r="C76" s="485" t="str">
        <f t="shared" si="17"/>
        <v>#DIV/0!</v>
      </c>
      <c r="D76" s="485" t="str">
        <f t="shared" si="17"/>
        <v>#DIV/0!</v>
      </c>
      <c r="E76" s="485" t="str">
        <f t="shared" si="17"/>
        <v>#DIV/0!</v>
      </c>
      <c r="F76" s="485" t="str">
        <f t="shared" si="17"/>
        <v>#DIV/0!</v>
      </c>
      <c r="G76" s="485" t="str">
        <f t="shared" si="17"/>
        <v>#DIV/0!</v>
      </c>
      <c r="H76" s="485" t="str">
        <f t="shared" si="17"/>
        <v>#DIV/0!</v>
      </c>
      <c r="I76" s="485" t="str">
        <f t="shared" si="17"/>
        <v>#DIV/0!</v>
      </c>
      <c r="J76" s="485" t="str">
        <f t="shared" si="17"/>
        <v>#DIV/0!</v>
      </c>
      <c r="K76" s="485" t="str">
        <f t="shared" si="17"/>
        <v>#DIV/0!</v>
      </c>
      <c r="L76" s="485" t="str">
        <f t="shared" si="17"/>
        <v>#DIV/0!</v>
      </c>
      <c r="M76" s="485" t="str">
        <f t="shared" si="17"/>
        <v>#DIV/0!</v>
      </c>
      <c r="N76" s="485" t="str">
        <f t="shared" si="17"/>
        <v>#DIV/0!</v>
      </c>
      <c r="O76" s="485" t="str">
        <f t="shared" si="17"/>
        <v>#DIV/0!</v>
      </c>
      <c r="P76" s="485" t="str">
        <f t="shared" si="17"/>
        <v>#DIV/0!</v>
      </c>
      <c r="Q76" s="485" t="str">
        <f t="shared" si="17"/>
        <v>#DIV/0!</v>
      </c>
      <c r="R76" s="485" t="str">
        <f t="shared" si="17"/>
        <v>#DIV/0!</v>
      </c>
      <c r="S76" s="485" t="str">
        <f t="shared" si="17"/>
        <v>#DIV/0!</v>
      </c>
      <c r="T76" s="485" t="str">
        <f t="shared" si="17"/>
        <v>#DIV/0!</v>
      </c>
      <c r="U76" s="485" t="str">
        <f t="shared" si="17"/>
        <v>#DIV/0!</v>
      </c>
      <c r="V76" s="485" t="str">
        <f t="shared" si="17"/>
        <v>#DIV/0!</v>
      </c>
      <c r="W76" s="485" t="str">
        <f t="shared" si="17"/>
        <v>#DIV/0!</v>
      </c>
      <c r="X76" s="485" t="str">
        <f t="shared" si="17"/>
        <v>#DIV/0!</v>
      </c>
      <c r="Y76" s="485" t="str">
        <f t="shared" si="17"/>
        <v>#DIV/0!</v>
      </c>
      <c r="Z76" s="485" t="str">
        <f t="shared" si="17"/>
        <v>#DIV/0!</v>
      </c>
      <c r="AA76" s="485" t="str">
        <f t="shared" si="17"/>
        <v>#DIV/0!</v>
      </c>
      <c r="AB76" s="485" t="str">
        <f t="shared" si="17"/>
        <v>#DIV/0!</v>
      </c>
      <c r="AC76" s="485" t="str">
        <f t="shared" si="17"/>
        <v>#DIV/0!</v>
      </c>
      <c r="AD76" s="485" t="str">
        <f t="shared" si="17"/>
        <v>#DIV/0!</v>
      </c>
      <c r="AE76" s="485" t="str">
        <f t="shared" si="17"/>
        <v>#DIV/0!</v>
      </c>
      <c r="AF76" s="485" t="str">
        <f t="shared" si="17"/>
        <v>#DIV/0!</v>
      </c>
      <c r="AG76" s="482"/>
    </row>
    <row r="77">
      <c r="A77" s="347" t="s">
        <v>508</v>
      </c>
      <c r="B77" s="488" t="str">
        <f t="shared" ref="B77:AF77" si="18">B33/B7</f>
        <v>#DIV/0!</v>
      </c>
      <c r="C77" s="488" t="str">
        <f t="shared" si="18"/>
        <v>#DIV/0!</v>
      </c>
      <c r="D77" s="488" t="str">
        <f t="shared" si="18"/>
        <v>#DIV/0!</v>
      </c>
      <c r="E77" s="488" t="str">
        <f t="shared" si="18"/>
        <v>#DIV/0!</v>
      </c>
      <c r="F77" s="488" t="str">
        <f t="shared" si="18"/>
        <v>#DIV/0!</v>
      </c>
      <c r="G77" s="488" t="str">
        <f t="shared" si="18"/>
        <v>#DIV/0!</v>
      </c>
      <c r="H77" s="488" t="str">
        <f t="shared" si="18"/>
        <v>#DIV/0!</v>
      </c>
      <c r="I77" s="488" t="str">
        <f t="shared" si="18"/>
        <v>#DIV/0!</v>
      </c>
      <c r="J77" s="488" t="str">
        <f t="shared" si="18"/>
        <v>#DIV/0!</v>
      </c>
      <c r="K77" s="488" t="str">
        <f t="shared" si="18"/>
        <v>#DIV/0!</v>
      </c>
      <c r="L77" s="488" t="str">
        <f t="shared" si="18"/>
        <v>#DIV/0!</v>
      </c>
      <c r="M77" s="488" t="str">
        <f t="shared" si="18"/>
        <v>#DIV/0!</v>
      </c>
      <c r="N77" s="488" t="str">
        <f t="shared" si="18"/>
        <v>#DIV/0!</v>
      </c>
      <c r="O77" s="488" t="str">
        <f t="shared" si="18"/>
        <v>#DIV/0!</v>
      </c>
      <c r="P77" s="488" t="str">
        <f t="shared" si="18"/>
        <v>#DIV/0!</v>
      </c>
      <c r="Q77" s="488" t="str">
        <f t="shared" si="18"/>
        <v>#DIV/0!</v>
      </c>
      <c r="R77" s="488" t="str">
        <f t="shared" si="18"/>
        <v>#DIV/0!</v>
      </c>
      <c r="S77" s="488" t="str">
        <f t="shared" si="18"/>
        <v>#DIV/0!</v>
      </c>
      <c r="T77" s="488" t="str">
        <f t="shared" si="18"/>
        <v>#DIV/0!</v>
      </c>
      <c r="U77" s="488" t="str">
        <f t="shared" si="18"/>
        <v>#DIV/0!</v>
      </c>
      <c r="V77" s="488" t="str">
        <f t="shared" si="18"/>
        <v>#DIV/0!</v>
      </c>
      <c r="W77" s="488" t="str">
        <f t="shared" si="18"/>
        <v>#DIV/0!</v>
      </c>
      <c r="X77" s="488" t="str">
        <f t="shared" si="18"/>
        <v>#DIV/0!</v>
      </c>
      <c r="Y77" s="488" t="str">
        <f t="shared" si="18"/>
        <v>#DIV/0!</v>
      </c>
      <c r="Z77" s="488" t="str">
        <f t="shared" si="18"/>
        <v>#DIV/0!</v>
      </c>
      <c r="AA77" s="488" t="str">
        <f t="shared" si="18"/>
        <v>#DIV/0!</v>
      </c>
      <c r="AB77" s="488" t="str">
        <f t="shared" si="18"/>
        <v>#DIV/0!</v>
      </c>
      <c r="AC77" s="488" t="str">
        <f t="shared" si="18"/>
        <v>#DIV/0!</v>
      </c>
      <c r="AD77" s="488" t="str">
        <f t="shared" si="18"/>
        <v>#DIV/0!</v>
      </c>
      <c r="AE77" s="488" t="str">
        <f t="shared" si="18"/>
        <v>#DIV/0!</v>
      </c>
      <c r="AF77" s="488" t="str">
        <f t="shared" si="18"/>
        <v>#DIV/0!</v>
      </c>
      <c r="AG77" s="482"/>
    </row>
    <row r="78">
      <c r="A78" s="100" t="s">
        <v>509</v>
      </c>
      <c r="B78" s="490" t="str">
        <f>B20/('ECOMMERCE Formulas'!$I$15*B7+B33)</f>
        <v>#DIV/0!</v>
      </c>
      <c r="C78" s="490" t="str">
        <f>C20/('ECOMMERCE Formulas'!$I$15*C7+C33)</f>
        <v>#DIV/0!</v>
      </c>
      <c r="D78" s="490" t="str">
        <f>D20/('ECOMMERCE Formulas'!$I$15*D7+D33)</f>
        <v>#DIV/0!</v>
      </c>
      <c r="E78" s="490" t="str">
        <f>E20/('ECOMMERCE Formulas'!$I$15*E7+E33)</f>
        <v>#DIV/0!</v>
      </c>
      <c r="F78" s="490" t="str">
        <f>F20/('ECOMMERCE Formulas'!$I$15*F7+F33)</f>
        <v>#DIV/0!</v>
      </c>
      <c r="G78" s="490" t="str">
        <f>G20/('ECOMMERCE Formulas'!$I$15*G7+G33)</f>
        <v>#DIV/0!</v>
      </c>
      <c r="H78" s="490" t="str">
        <f>H20/('ECOMMERCE Formulas'!$I$15*H7+H33)</f>
        <v>#DIV/0!</v>
      </c>
      <c r="I78" s="490" t="str">
        <f>I20/('ECOMMERCE Formulas'!$I$15*I7+I33)</f>
        <v>#DIV/0!</v>
      </c>
      <c r="J78" s="490" t="str">
        <f>J20/('ECOMMERCE Formulas'!$I$15*J7+J33)</f>
        <v>#DIV/0!</v>
      </c>
      <c r="K78" s="490" t="str">
        <f>K20/('ECOMMERCE Formulas'!$I$15*K7+K33)</f>
        <v>#DIV/0!</v>
      </c>
      <c r="L78" s="490" t="str">
        <f>L20/('ECOMMERCE Formulas'!$I$15*L7+L33)</f>
        <v>#DIV/0!</v>
      </c>
      <c r="M78" s="490" t="str">
        <f>M20/('ECOMMERCE Formulas'!$I$15*M7+M33)</f>
        <v>#DIV/0!</v>
      </c>
      <c r="N78" s="490" t="str">
        <f>N20/('ECOMMERCE Formulas'!$I$15*N7+N33)</f>
        <v>#DIV/0!</v>
      </c>
      <c r="O78" s="490" t="str">
        <f>O20/('ECOMMERCE Formulas'!$I$15*O7+O33)</f>
        <v>#DIV/0!</v>
      </c>
      <c r="P78" s="490" t="str">
        <f>P20/('ECOMMERCE Formulas'!$I$15*P7+P33)</f>
        <v>#DIV/0!</v>
      </c>
      <c r="Q78" s="490" t="str">
        <f>Q20/('ECOMMERCE Formulas'!$I$15*Q7+Q33)</f>
        <v>#DIV/0!</v>
      </c>
      <c r="R78" s="490" t="str">
        <f>R20/('ECOMMERCE Formulas'!$I$15*R7+R33)</f>
        <v>#DIV/0!</v>
      </c>
      <c r="S78" s="490" t="str">
        <f>S20/('ECOMMERCE Formulas'!$I$15*S7+S33)</f>
        <v>#DIV/0!</v>
      </c>
      <c r="T78" s="490" t="str">
        <f>T20/('ECOMMERCE Formulas'!$I$15*T7+T33)</f>
        <v>#DIV/0!</v>
      </c>
      <c r="U78" s="490" t="str">
        <f>U20/('ECOMMERCE Formulas'!$I$15*U7+U33)</f>
        <v>#DIV/0!</v>
      </c>
      <c r="V78" s="490" t="str">
        <f>V20/('ECOMMERCE Formulas'!$I$15*V7+V33)</f>
        <v>#DIV/0!</v>
      </c>
      <c r="W78" s="490" t="str">
        <f>W20/('ECOMMERCE Formulas'!$I$15*W7+W33)</f>
        <v>#DIV/0!</v>
      </c>
      <c r="X78" s="490" t="str">
        <f>X20/('ECOMMERCE Formulas'!$I$15*X7+X33)</f>
        <v>#DIV/0!</v>
      </c>
      <c r="Y78" s="490" t="str">
        <f>Y20/('ECOMMERCE Formulas'!$I$15*Y7+Y33)</f>
        <v>#DIV/0!</v>
      </c>
      <c r="Z78" s="490" t="str">
        <f>Z20/('ECOMMERCE Formulas'!$I$15*Z7+Z33)</f>
        <v>#DIV/0!</v>
      </c>
      <c r="AA78" s="490" t="str">
        <f>AA20/('ECOMMERCE Formulas'!$I$15*AA7+AA33)</f>
        <v>#DIV/0!</v>
      </c>
      <c r="AB78" s="490" t="str">
        <f>AB20/('ECOMMERCE Formulas'!$I$15*AB7+AB33)</f>
        <v>#DIV/0!</v>
      </c>
      <c r="AC78" s="490" t="str">
        <f>AC20/('ECOMMERCE Formulas'!$I$15*AC7+AC33)</f>
        <v>#DIV/0!</v>
      </c>
      <c r="AD78" s="490" t="str">
        <f>AD20/('ECOMMERCE Formulas'!$I$15*AD7+AD33)</f>
        <v>#DIV/0!</v>
      </c>
      <c r="AE78" s="490" t="str">
        <f>AE20/('ECOMMERCE Formulas'!$I$15*AE7+AE33)</f>
        <v>#DIV/0!</v>
      </c>
      <c r="AF78" s="490" t="str">
        <f>AF20/('ECOMMERCE Formulas'!$I$15*AF7+AF33)</f>
        <v>#DIV/0!</v>
      </c>
      <c r="AG78" s="482"/>
    </row>
    <row r="79">
      <c r="A79" s="327"/>
      <c r="B79" s="327"/>
      <c r="C79" s="327"/>
      <c r="D79" s="327"/>
      <c r="E79" s="327"/>
      <c r="F79" s="327"/>
      <c r="G79" s="327"/>
      <c r="H79" s="327"/>
      <c r="I79" s="327"/>
      <c r="J79" s="327"/>
      <c r="K79" s="327"/>
      <c r="L79" s="327"/>
      <c r="M79" s="327"/>
      <c r="N79" s="327"/>
      <c r="O79" s="327"/>
      <c r="P79" s="327"/>
      <c r="Q79" s="327"/>
      <c r="R79" s="327"/>
      <c r="S79" s="327"/>
      <c r="T79" s="327"/>
      <c r="U79" s="327"/>
      <c r="V79" s="327"/>
      <c r="W79" s="327"/>
      <c r="X79" s="327"/>
      <c r="Y79" s="327"/>
      <c r="Z79" s="327"/>
      <c r="AA79" s="327"/>
      <c r="AB79" s="327"/>
      <c r="AC79" s="327"/>
      <c r="AD79" s="327"/>
      <c r="AE79" s="327"/>
      <c r="AF79" s="327"/>
      <c r="AG79" s="482"/>
    </row>
    <row r="80">
      <c r="A80" s="540" t="s">
        <v>621</v>
      </c>
      <c r="B80" s="542"/>
      <c r="C80" s="542"/>
      <c r="D80" s="542"/>
      <c r="E80" s="542"/>
      <c r="F80" s="542"/>
      <c r="G80" s="542"/>
      <c r="H80" s="542"/>
      <c r="I80" s="542"/>
      <c r="J80" s="542"/>
      <c r="K80" s="542"/>
      <c r="L80" s="542"/>
      <c r="M80" s="542"/>
      <c r="N80" s="542"/>
      <c r="O80" s="542"/>
      <c r="P80" s="542"/>
      <c r="Q80" s="542"/>
      <c r="R80" s="542"/>
      <c r="S80" s="542"/>
      <c r="T80" s="542"/>
      <c r="U80" s="542"/>
      <c r="V80" s="542"/>
      <c r="W80" s="542"/>
      <c r="X80" s="542"/>
      <c r="Y80" s="542"/>
      <c r="Z80" s="542"/>
      <c r="AA80" s="542"/>
      <c r="AB80" s="542"/>
      <c r="AC80" s="542"/>
      <c r="AD80" s="542"/>
      <c r="AE80" s="542"/>
      <c r="AF80" s="542"/>
      <c r="AG80" s="482"/>
    </row>
    <row r="81">
      <c r="A81" s="550" t="s">
        <v>501</v>
      </c>
      <c r="B81" s="276">
        <f>B21-(B8*'ECOMMERCE Formulas'!$I$15)-B34</f>
        <v>-166.9240905</v>
      </c>
      <c r="C81" s="276">
        <f>C21-(C8*'ECOMMERCE Formulas'!$I$15)-C34</f>
        <v>-182.8340905</v>
      </c>
      <c r="D81" s="276">
        <f>D21-(D8*'ECOMMERCE Formulas'!$I$15)-D34</f>
        <v>-325.2270452</v>
      </c>
      <c r="E81" s="276">
        <f>E21-(E8*'ECOMMERCE Formulas'!$I$15)-E34</f>
        <v>-84.15818097</v>
      </c>
      <c r="F81" s="276">
        <f>F21-(F8*'ECOMMERCE Formulas'!$I$15)-F34</f>
        <v>-275.2311357</v>
      </c>
      <c r="G81" s="276">
        <f>G21-(G8*'ECOMMERCE Formulas'!$I$15)-G34</f>
        <v>75.28590952</v>
      </c>
      <c r="H81" s="276">
        <f>H21-(H8*'ECOMMERCE Formulas'!$I$15)-H34</f>
        <v>-153.5270452</v>
      </c>
      <c r="I81" s="276">
        <f>I21-(I8*'ECOMMERCE Formulas'!$I$15)-I34</f>
        <v>-248.9840905</v>
      </c>
      <c r="J81" s="276">
        <f>J21-(J8*'ECOMMERCE Formulas'!$I$15)-J34</f>
        <v>888.3377286</v>
      </c>
      <c r="K81" s="276">
        <f>K21-(K8*'ECOMMERCE Formulas'!$I$15)-K34</f>
        <v>108.0847738</v>
      </c>
      <c r="L81" s="276">
        <f>L21-(L8*'ECOMMERCE Formulas'!$I$15)-L34</f>
        <v>-144.828181</v>
      </c>
      <c r="M81" s="276">
        <f>M21-(M8*'ECOMMERCE Formulas'!$I$15)-M34</f>
        <v>68.12886428</v>
      </c>
      <c r="N81" s="276">
        <f>N21-(N8*'ECOMMERCE Formulas'!$I$15)-N34</f>
        <v>58.72295476</v>
      </c>
      <c r="O81" s="276">
        <f>O21-(O8*'ECOMMERCE Formulas'!$I$15)-O34</f>
        <v>95.34886428</v>
      </c>
      <c r="P81" s="276">
        <f>P21-(P8*'ECOMMERCE Formulas'!$I$15)-P34</f>
        <v>140.7629548</v>
      </c>
      <c r="Q81" s="276">
        <f>Q21-(Q8*'ECOMMERCE Formulas'!$I$15)-Q34</f>
        <v>389.7188643</v>
      </c>
      <c r="R81" s="276">
        <f>R21-(R8*'ECOMMERCE Formulas'!$I$15)-R34</f>
        <v>-126.4570452</v>
      </c>
      <c r="S81" s="276">
        <f>S21-(S8*'ECOMMERCE Formulas'!$I$15)-S34</f>
        <v>-66.48704524</v>
      </c>
      <c r="T81" s="276">
        <f>T21-(T8*'ECOMMERCE Formulas'!$I$15)-T34</f>
        <v>-130.29</v>
      </c>
      <c r="U81" s="276">
        <f>U21-(U8*'ECOMMERCE Formulas'!$I$15)-U34</f>
        <v>-216.638181</v>
      </c>
      <c r="V81" s="276">
        <f>V21-(V8*'ECOMMERCE Formulas'!$I$15)-V34</f>
        <v>200.5677286</v>
      </c>
      <c r="W81" s="276">
        <f>W21-(W8*'ECOMMERCE Formulas'!$I$15)-W34</f>
        <v>351.4006833</v>
      </c>
      <c r="X81" s="276">
        <f>X21-(X8*'ECOMMERCE Formulas'!$I$15)-X34</f>
        <v>-420.908181</v>
      </c>
      <c r="Y81" s="276">
        <f>Y21-(Y8*'ECOMMERCE Formulas'!$I$15)-Y34</f>
        <v>-91.92704524</v>
      </c>
      <c r="Z81" s="276">
        <f>Z21-(Z8*'ECOMMERCE Formulas'!$I$15)-Z34</f>
        <v>-63.14704524</v>
      </c>
      <c r="AA81" s="276">
        <f>AA21-(AA8*'ECOMMERCE Formulas'!$I$15)-AA34</f>
        <v>-358.1370452</v>
      </c>
      <c r="AB81" s="276">
        <f>AB21-(AB8*'ECOMMERCE Formulas'!$I$15)-AB34</f>
        <v>-117.2370452</v>
      </c>
      <c r="AC81" s="276">
        <f>AC21-(AC8*'ECOMMERCE Formulas'!$I$15)-AC34</f>
        <v>149.4129548</v>
      </c>
      <c r="AD81" s="276">
        <f>AD21-(AD8*'ECOMMERCE Formulas'!$I$15)-AD34</f>
        <v>-283.72</v>
      </c>
      <c r="AE81" s="276">
        <f>AE21-(AE8*'ECOMMERCE Formulas'!$I$15)-AE34</f>
        <v>-146.0370452</v>
      </c>
      <c r="AF81" s="276">
        <f>AF21-(AF8*'ECOMMERCE Formulas'!$I$15)-AF34</f>
        <v>-151.3170452</v>
      </c>
      <c r="AG81" s="482">
        <f>SUM(B81:AF81)</f>
        <v>-1228.244303</v>
      </c>
    </row>
    <row r="82">
      <c r="A82" s="550" t="s">
        <v>234</v>
      </c>
      <c r="B82" s="485">
        <f t="shared" ref="B82:AF82" si="19">B21/B34</f>
        <v>1.559772606</v>
      </c>
      <c r="C82" s="485">
        <f t="shared" si="19"/>
        <v>1.465588915</v>
      </c>
      <c r="D82" s="485">
        <f t="shared" si="19"/>
        <v>0.3326531398</v>
      </c>
      <c r="E82" s="485">
        <f t="shared" si="19"/>
        <v>3.080736206</v>
      </c>
      <c r="F82" s="485">
        <f t="shared" si="19"/>
        <v>1.691603112</v>
      </c>
      <c r="G82" s="485">
        <f t="shared" si="19"/>
        <v>2.49857685</v>
      </c>
      <c r="H82" s="485">
        <f t="shared" si="19"/>
        <v>0.9935044234</v>
      </c>
      <c r="I82" s="485">
        <f t="shared" si="19"/>
        <v>1.219371623</v>
      </c>
      <c r="J82" s="485">
        <f t="shared" si="19"/>
        <v>8.235927951</v>
      </c>
      <c r="K82" s="485">
        <f t="shared" si="19"/>
        <v>4.527424273</v>
      </c>
      <c r="L82" s="485">
        <f t="shared" si="19"/>
        <v>2.847050371</v>
      </c>
      <c r="M82" s="485">
        <f t="shared" si="19"/>
        <v>3.115077122</v>
      </c>
      <c r="N82" s="485">
        <f t="shared" si="19"/>
        <v>3.557309373</v>
      </c>
      <c r="O82" s="485" t="str">
        <f t="shared" si="19"/>
        <v>#DIV/0!</v>
      </c>
      <c r="P82" s="485" t="str">
        <f t="shared" si="19"/>
        <v>#DIV/0!</v>
      </c>
      <c r="Q82" s="485" t="str">
        <f t="shared" si="19"/>
        <v>#DIV/0!</v>
      </c>
      <c r="R82" s="485" t="str">
        <f t="shared" si="19"/>
        <v>#DIV/0!</v>
      </c>
      <c r="S82" s="485" t="str">
        <f t="shared" si="19"/>
        <v>#DIV/0!</v>
      </c>
      <c r="T82" s="485">
        <f t="shared" si="19"/>
        <v>0</v>
      </c>
      <c r="U82" s="485">
        <f t="shared" si="19"/>
        <v>2.58068168</v>
      </c>
      <c r="V82" s="485">
        <f t="shared" si="19"/>
        <v>5.597304337</v>
      </c>
      <c r="W82" s="485">
        <f t="shared" si="19"/>
        <v>6.286547085</v>
      </c>
      <c r="X82" s="485">
        <f t="shared" si="19"/>
        <v>1.766652977</v>
      </c>
      <c r="Y82" s="485">
        <f t="shared" si="19"/>
        <v>1.25049079</v>
      </c>
      <c r="Z82" s="485">
        <f t="shared" si="19"/>
        <v>1.350444225</v>
      </c>
      <c r="AA82" s="485">
        <f t="shared" si="19"/>
        <v>0.2485334305</v>
      </c>
      <c r="AB82" s="485">
        <f t="shared" si="19"/>
        <v>1.132048156</v>
      </c>
      <c r="AC82" s="485">
        <f t="shared" si="19"/>
        <v>2.000730679</v>
      </c>
      <c r="AD82" s="485">
        <f t="shared" si="19"/>
        <v>0</v>
      </c>
      <c r="AE82" s="485">
        <f t="shared" si="19"/>
        <v>1.02025719</v>
      </c>
      <c r="AF82" s="485">
        <f t="shared" si="19"/>
        <v>1.00195352</v>
      </c>
      <c r="AG82" s="482"/>
    </row>
    <row r="83">
      <c r="A83" s="550" t="s">
        <v>508</v>
      </c>
      <c r="B83" s="488">
        <f t="shared" ref="B83:AF83" si="20">B34/B8</f>
        <v>122.255</v>
      </c>
      <c r="C83" s="488">
        <f t="shared" si="20"/>
        <v>129.9</v>
      </c>
      <c r="D83" s="488">
        <f t="shared" si="20"/>
        <v>259.73</v>
      </c>
      <c r="E83" s="488">
        <f t="shared" si="20"/>
        <v>62.89</v>
      </c>
      <c r="F83" s="488">
        <f t="shared" si="20"/>
        <v>86.97666667</v>
      </c>
      <c r="G83" s="488">
        <f t="shared" si="20"/>
        <v>126.48</v>
      </c>
      <c r="H83" s="488">
        <f t="shared" si="20"/>
        <v>250.94</v>
      </c>
      <c r="I83" s="488">
        <f t="shared" si="20"/>
        <v>124.925</v>
      </c>
      <c r="J83" s="488">
        <f t="shared" si="20"/>
        <v>41.45333333</v>
      </c>
      <c r="K83" s="488">
        <f t="shared" si="20"/>
        <v>49.19</v>
      </c>
      <c r="L83" s="488">
        <f t="shared" si="20"/>
        <v>62.635</v>
      </c>
      <c r="M83" s="488">
        <f t="shared" si="20"/>
        <v>82.55333333</v>
      </c>
      <c r="N83" s="488">
        <f t="shared" si="20"/>
        <v>82.36</v>
      </c>
      <c r="O83" s="488">
        <f t="shared" si="20"/>
        <v>0</v>
      </c>
      <c r="P83" s="488">
        <f t="shared" si="20"/>
        <v>0</v>
      </c>
      <c r="Q83" s="488">
        <f t="shared" si="20"/>
        <v>0</v>
      </c>
      <c r="R83" s="488">
        <f t="shared" si="20"/>
        <v>0</v>
      </c>
      <c r="S83" s="488">
        <f t="shared" si="20"/>
        <v>0</v>
      </c>
      <c r="T83" s="488" t="str">
        <f t="shared" si="20"/>
        <v>#DIV/0!</v>
      </c>
      <c r="U83" s="488">
        <f t="shared" si="20"/>
        <v>61.8325</v>
      </c>
      <c r="V83" s="488">
        <f t="shared" si="20"/>
        <v>40.31166667</v>
      </c>
      <c r="W83" s="488">
        <f t="shared" si="20"/>
        <v>38.22857143</v>
      </c>
      <c r="X83" s="488">
        <f t="shared" si="20"/>
        <v>60.875</v>
      </c>
      <c r="Y83" s="488">
        <f t="shared" si="20"/>
        <v>239.41</v>
      </c>
      <c r="Z83" s="488">
        <f t="shared" si="20"/>
        <v>253.25</v>
      </c>
      <c r="AA83" s="488">
        <f t="shared" si="20"/>
        <v>274.45</v>
      </c>
      <c r="AB83" s="488">
        <f t="shared" si="20"/>
        <v>262.48</v>
      </c>
      <c r="AC83" s="488">
        <f t="shared" si="20"/>
        <v>301.09</v>
      </c>
      <c r="AD83" s="488" t="str">
        <f t="shared" si="20"/>
        <v>#DIV/0!</v>
      </c>
      <c r="AE83" s="488">
        <f t="shared" si="20"/>
        <v>289.28</v>
      </c>
      <c r="AF83" s="488">
        <f t="shared" si="20"/>
        <v>296.9</v>
      </c>
      <c r="AG83" s="482"/>
    </row>
    <row r="84">
      <c r="A84" s="599" t="s">
        <v>509</v>
      </c>
      <c r="B84" s="490">
        <f>B21/('ECOMMERCE Formulas'!$I$15*B8+B34)</f>
        <v>0.6955629305</v>
      </c>
      <c r="C84" s="490">
        <f>C21/('ECOMMERCE Formulas'!$I$15*C8+C34)</f>
        <v>0.6755926054</v>
      </c>
      <c r="D84" s="490">
        <f>D21/('ECOMMERCE Formulas'!$I$15*D8+D34)</f>
        <v>0.2098987445</v>
      </c>
      <c r="E84" s="490">
        <f>E21/('ECOMMERCE Formulas'!$I$15*E8+E34)</f>
        <v>0.9020446265</v>
      </c>
      <c r="F84" s="490">
        <f>F21/('ECOMMERCE Formulas'!$I$15*F8+F34)</f>
        <v>0.6159321544</v>
      </c>
      <c r="G84" s="490">
        <f>G21/('ECOMMERCE Formulas'!$I$15*G8+G34)</f>
        <v>1.135222912</v>
      </c>
      <c r="H84" s="490">
        <f>H21/('ECOMMERCE Formulas'!$I$15*H8+H34)</f>
        <v>0.6188854847</v>
      </c>
      <c r="I84" s="490">
        <f>I21/('ECOMMERCE Formulas'!$I$15*I8+I34)</f>
        <v>0.5502813183</v>
      </c>
      <c r="J84" s="490">
        <f>J21/('ECOMMERCE Formulas'!$I$15*J8+J34)</f>
        <v>1.765740875</v>
      </c>
      <c r="K84" s="490">
        <f>K21/('ECOMMERCE Formulas'!$I$15*K8+K34)</f>
        <v>1.107500484</v>
      </c>
      <c r="L84" s="490">
        <f>L21/('ECOMMERCE Formulas'!$I$15*L8+L34)</f>
        <v>0.8312278</v>
      </c>
      <c r="M84" s="490">
        <f>M21/('ECOMMERCE Formulas'!$I$15*M8+M34)</f>
        <v>1.096863232</v>
      </c>
      <c r="N84" s="490">
        <f>N21/('ECOMMERCE Formulas'!$I$15*N8+N34)</f>
        <v>1.250677433</v>
      </c>
      <c r="O84" s="490">
        <f>O21/('ECOMMERCE Formulas'!$I$15*O8+O34)</f>
        <v>1.209240112</v>
      </c>
      <c r="P84" s="490">
        <f>P21/('ECOMMERCE Formulas'!$I$15*P8+P34)</f>
        <v>1.926699756</v>
      </c>
      <c r="Q84" s="490">
        <f>Q21/('ECOMMERCE Formulas'!$I$15*Q8+Q34)</f>
        <v>1.855225906</v>
      </c>
      <c r="R84" s="490">
        <f>R21/('ECOMMERCE Formulas'!$I$15*R8+R34)</f>
        <v>0.1674818622</v>
      </c>
      <c r="S84" s="490">
        <f>S21/('ECOMMERCE Formulas'!$I$15*S8+S34)</f>
        <v>0.562288752</v>
      </c>
      <c r="T84" s="490">
        <f>T21/('ECOMMERCE Formulas'!$I$15*T8+T34)</f>
        <v>0</v>
      </c>
      <c r="U84" s="490">
        <f>U21/('ECOMMERCE Formulas'!$I$15*U8+U34)</f>
        <v>0.7465977613</v>
      </c>
      <c r="V84" s="490">
        <f>V21/('ECOMMERCE Formulas'!$I$15*V8+V34)</f>
        <v>1.173914878</v>
      </c>
      <c r="W84" s="490">
        <f>W21/('ECOMMERCE Formulas'!$I$15*W8+W34)</f>
        <v>1.264036475</v>
      </c>
      <c r="X84" s="490">
        <f>X21/('ECOMMERCE Formulas'!$I$15*X8+X34)</f>
        <v>0.5054470378</v>
      </c>
      <c r="Y84" s="490">
        <f>Y21/('ECOMMERCE Formulas'!$I$15*Y8+Y34)</f>
        <v>0.7650769482</v>
      </c>
      <c r="Z84" s="490">
        <f>Z21/('ECOMMERCE Formulas'!$I$15*Z8+Z34)</f>
        <v>0.8441379593</v>
      </c>
      <c r="AA84" s="490">
        <f>AA21/('ECOMMERCE Formulas'!$I$15*AA8+AA34)</f>
        <v>0.1599870358</v>
      </c>
      <c r="AB84" s="490">
        <f>AB21/('ECOMMERCE Formulas'!$I$15*AB8+AB34)</f>
        <v>0.7170764004</v>
      </c>
      <c r="AC84" s="490">
        <f>AC21/('ECOMMERCE Formulas'!$I$15*AC8+AC34)</f>
        <v>1.329839355</v>
      </c>
      <c r="AD84" s="490">
        <f>AD21/('ECOMMERCE Formulas'!$I$15*AD8+AD34)</f>
        <v>0</v>
      </c>
      <c r="AE84" s="488" t="str">
        <f>AE35/AE9</f>
        <v>#DIV/0!</v>
      </c>
      <c r="AF84" s="490">
        <f>AF21/('ECOMMERCE Formulas'!$I$15*AF8+AF34)</f>
        <v>0.6628385885</v>
      </c>
      <c r="AG84" s="482"/>
    </row>
    <row r="85">
      <c r="A85" s="327"/>
      <c r="B85" s="327"/>
      <c r="C85" s="327"/>
      <c r="D85" s="327"/>
      <c r="E85" s="327"/>
      <c r="F85" s="327"/>
      <c r="G85" s="327"/>
      <c r="H85" s="327"/>
      <c r="I85" s="327"/>
      <c r="J85" s="327"/>
      <c r="K85" s="327"/>
      <c r="L85" s="327"/>
      <c r="M85" s="327"/>
      <c r="N85" s="327"/>
      <c r="O85" s="327"/>
      <c r="P85" s="327"/>
      <c r="Q85" s="327"/>
      <c r="R85" s="327"/>
      <c r="S85" s="327"/>
      <c r="T85" s="327"/>
      <c r="U85" s="327"/>
      <c r="V85" s="327"/>
      <c r="W85" s="327"/>
      <c r="X85" s="327"/>
      <c r="Y85" s="327"/>
      <c r="Z85" s="327"/>
      <c r="AA85" s="327"/>
      <c r="AB85" s="327"/>
      <c r="AC85" s="327"/>
      <c r="AD85" s="327"/>
      <c r="AE85" s="327"/>
      <c r="AF85" s="327"/>
      <c r="AG85" s="482"/>
    </row>
    <row r="86">
      <c r="A86" s="648" t="s">
        <v>410</v>
      </c>
      <c r="B86" s="327"/>
      <c r="C86" s="327"/>
      <c r="D86" s="327"/>
      <c r="E86" s="327"/>
      <c r="F86" s="327"/>
      <c r="G86" s="327"/>
      <c r="H86" s="327"/>
      <c r="I86" s="327"/>
      <c r="J86" s="327"/>
      <c r="K86" s="327"/>
      <c r="L86" s="327"/>
      <c r="M86" s="327"/>
      <c r="N86" s="327"/>
      <c r="O86" s="327"/>
      <c r="P86" s="327"/>
      <c r="Q86" s="327"/>
      <c r="R86" s="327"/>
      <c r="S86" s="327"/>
      <c r="T86" s="327"/>
      <c r="U86" s="327"/>
      <c r="V86" s="327"/>
      <c r="W86" s="327"/>
      <c r="X86" s="327"/>
      <c r="Y86" s="327"/>
      <c r="Z86" s="327"/>
      <c r="AA86" s="327"/>
      <c r="AB86" s="327"/>
      <c r="AC86" s="327"/>
      <c r="AD86" s="327"/>
      <c r="AE86" s="327"/>
      <c r="AF86" s="327"/>
      <c r="AG86" s="482"/>
    </row>
    <row r="87">
      <c r="A87" s="652" t="s">
        <v>501</v>
      </c>
      <c r="B87" s="276">
        <f>B22-(B9*'OLD Formulas'!$C32)-B35</f>
        <v>0</v>
      </c>
      <c r="C87" s="276">
        <f>C22-(C9*'OLD Formulas'!$C32)-C35</f>
        <v>0</v>
      </c>
      <c r="D87" s="276">
        <f>D22-(D9*'OLD Formulas'!$C32)-D35</f>
        <v>0</v>
      </c>
      <c r="E87" s="276">
        <f>E22-(E9*'OLD Formulas'!$C32)-E35</f>
        <v>0</v>
      </c>
      <c r="F87" s="276">
        <f>F22-(F9*'OLD Formulas'!$C32)-F35</f>
        <v>0</v>
      </c>
      <c r="G87" s="276">
        <f>G22-(G9*'OLD Formulas'!$C32)-G35</f>
        <v>0</v>
      </c>
      <c r="H87" s="276">
        <f>H22-(H9*'OLD Formulas'!$C32)-H35</f>
        <v>0</v>
      </c>
      <c r="I87" s="276">
        <f>I22-(I9*'OLD Formulas'!$C32)-I35</f>
        <v>0</v>
      </c>
      <c r="J87" s="276">
        <f>J22-(J9*'OLD Formulas'!$C32)-J35</f>
        <v>0</v>
      </c>
      <c r="K87" s="276">
        <f>K22-(K9*'OLD Formulas'!$C32)-K35</f>
        <v>0</v>
      </c>
      <c r="L87" s="276">
        <f>L22-(L9*'OLD Formulas'!$C32)-L35</f>
        <v>0</v>
      </c>
      <c r="M87" s="276">
        <f>M22-(M9*'OLD Formulas'!$C32)-M35</f>
        <v>0</v>
      </c>
      <c r="N87" s="276">
        <f>N22-(N9*'OLD Formulas'!$C32)-N35</f>
        <v>0</v>
      </c>
      <c r="O87" s="276">
        <f>O22-(O9*'OLD Formulas'!$C32)-O35</f>
        <v>0</v>
      </c>
      <c r="P87" s="276">
        <f>P22-(P9*'OLD Formulas'!$C32)-P35</f>
        <v>0</v>
      </c>
      <c r="Q87" s="276">
        <f>Q22-(Q9*'OLD Formulas'!$C32)-Q35</f>
        <v>0</v>
      </c>
      <c r="R87" s="276">
        <f>R22-(R9*'OLD Formulas'!$C32)-R35</f>
        <v>0</v>
      </c>
      <c r="S87" s="276">
        <f>S22-(S9*'OLD Formulas'!$C32)-S35</f>
        <v>0</v>
      </c>
      <c r="T87" s="276">
        <f>T22-(T9*'OLD Formulas'!$C32)-T35</f>
        <v>0</v>
      </c>
      <c r="U87" s="276">
        <f>U22-(U9*'OLD Formulas'!$C32)-U35</f>
        <v>0</v>
      </c>
      <c r="V87" s="276">
        <f>V22-(V9*'OLD Formulas'!$C32)-V35</f>
        <v>0</v>
      </c>
      <c r="W87" s="276">
        <f>W22-(W9*'OLD Formulas'!$C32)-W35</f>
        <v>0</v>
      </c>
      <c r="X87" s="276">
        <f>X22-(X9*'OLD Formulas'!$C32)-X35</f>
        <v>0</v>
      </c>
      <c r="Y87" s="276">
        <f>Y22-(Y9*'OLD Formulas'!$C32)-Y35</f>
        <v>0</v>
      </c>
      <c r="Z87" s="276">
        <f>Z22-(Z9*'OLD Formulas'!$C32)-Z35</f>
        <v>0</v>
      </c>
      <c r="AA87" s="276">
        <f>AA22-(AA9*'OLD Formulas'!$C32)-AA35</f>
        <v>0</v>
      </c>
      <c r="AB87" s="276">
        <f>AB22-(AB9*'OLD Formulas'!$C32)-AB35</f>
        <v>0</v>
      </c>
      <c r="AC87" s="276">
        <f>AC22-(AC9*'OLD Formulas'!$C32)-AC35</f>
        <v>0</v>
      </c>
      <c r="AD87" s="276">
        <f>AD22-(AD9*'OLD Formulas'!$C32)-AD35</f>
        <v>0</v>
      </c>
      <c r="AE87" s="276">
        <f>AE22-(AE9*'OLD Formulas'!$C32)-AE35</f>
        <v>0</v>
      </c>
      <c r="AF87" s="276"/>
      <c r="AG87" s="482">
        <f>SUM(B87:AF87)</f>
        <v>0</v>
      </c>
    </row>
    <row r="88">
      <c r="A88" s="652" t="s">
        <v>234</v>
      </c>
      <c r="B88" s="485" t="str">
        <f t="shared" ref="B88:AF88" si="21">B22/B35</f>
        <v>#DIV/0!</v>
      </c>
      <c r="C88" s="485" t="str">
        <f t="shared" si="21"/>
        <v>#DIV/0!</v>
      </c>
      <c r="D88" s="485" t="str">
        <f t="shared" si="21"/>
        <v>#DIV/0!</v>
      </c>
      <c r="E88" s="485" t="str">
        <f t="shared" si="21"/>
        <v>#DIV/0!</v>
      </c>
      <c r="F88" s="485" t="str">
        <f t="shared" si="21"/>
        <v>#DIV/0!</v>
      </c>
      <c r="G88" s="485" t="str">
        <f t="shared" si="21"/>
        <v>#DIV/0!</v>
      </c>
      <c r="H88" s="485" t="str">
        <f t="shared" si="21"/>
        <v>#DIV/0!</v>
      </c>
      <c r="I88" s="485" t="str">
        <f t="shared" si="21"/>
        <v>#DIV/0!</v>
      </c>
      <c r="J88" s="485" t="str">
        <f t="shared" si="21"/>
        <v>#DIV/0!</v>
      </c>
      <c r="K88" s="485" t="str">
        <f t="shared" si="21"/>
        <v>#DIV/0!</v>
      </c>
      <c r="L88" s="485" t="str">
        <f t="shared" si="21"/>
        <v>#DIV/0!</v>
      </c>
      <c r="M88" s="485" t="str">
        <f t="shared" si="21"/>
        <v>#DIV/0!</v>
      </c>
      <c r="N88" s="485" t="str">
        <f t="shared" si="21"/>
        <v>#DIV/0!</v>
      </c>
      <c r="O88" s="485" t="str">
        <f t="shared" si="21"/>
        <v>#DIV/0!</v>
      </c>
      <c r="P88" s="485" t="str">
        <f t="shared" si="21"/>
        <v>#DIV/0!</v>
      </c>
      <c r="Q88" s="485" t="str">
        <f t="shared" si="21"/>
        <v>#DIV/0!</v>
      </c>
      <c r="R88" s="485" t="str">
        <f t="shared" si="21"/>
        <v>#DIV/0!</v>
      </c>
      <c r="S88" s="485" t="str">
        <f t="shared" si="21"/>
        <v>#DIV/0!</v>
      </c>
      <c r="T88" s="485" t="str">
        <f t="shared" si="21"/>
        <v>#DIV/0!</v>
      </c>
      <c r="U88" s="485" t="str">
        <f t="shared" si="21"/>
        <v>#DIV/0!</v>
      </c>
      <c r="V88" s="485" t="str">
        <f t="shared" si="21"/>
        <v>#DIV/0!</v>
      </c>
      <c r="W88" s="485" t="str">
        <f t="shared" si="21"/>
        <v>#DIV/0!</v>
      </c>
      <c r="X88" s="485" t="str">
        <f t="shared" si="21"/>
        <v>#DIV/0!</v>
      </c>
      <c r="Y88" s="485" t="str">
        <f t="shared" si="21"/>
        <v>#DIV/0!</v>
      </c>
      <c r="Z88" s="485" t="str">
        <f t="shared" si="21"/>
        <v>#DIV/0!</v>
      </c>
      <c r="AA88" s="485" t="str">
        <f t="shared" si="21"/>
        <v>#DIV/0!</v>
      </c>
      <c r="AB88" s="485" t="str">
        <f t="shared" si="21"/>
        <v>#DIV/0!</v>
      </c>
      <c r="AC88" s="485" t="str">
        <f t="shared" si="21"/>
        <v>#DIV/0!</v>
      </c>
      <c r="AD88" s="485" t="str">
        <f t="shared" si="21"/>
        <v>#DIV/0!</v>
      </c>
      <c r="AE88" s="485" t="str">
        <f t="shared" si="21"/>
        <v>#DIV/0!</v>
      </c>
      <c r="AF88" s="485" t="str">
        <f t="shared" si="21"/>
        <v>#DIV/0!</v>
      </c>
      <c r="AG88" s="482"/>
    </row>
    <row r="89">
      <c r="A89" s="652" t="s">
        <v>508</v>
      </c>
      <c r="B89" s="488" t="str">
        <f t="shared" ref="B89:AF89" si="22">B35/B9</f>
        <v>#DIV/0!</v>
      </c>
      <c r="C89" s="488" t="str">
        <f t="shared" si="22"/>
        <v>#DIV/0!</v>
      </c>
      <c r="D89" s="488" t="str">
        <f t="shared" si="22"/>
        <v>#DIV/0!</v>
      </c>
      <c r="E89" s="488" t="str">
        <f t="shared" si="22"/>
        <v>#DIV/0!</v>
      </c>
      <c r="F89" s="488" t="str">
        <f t="shared" si="22"/>
        <v>#DIV/0!</v>
      </c>
      <c r="G89" s="488" t="str">
        <f t="shared" si="22"/>
        <v>#DIV/0!</v>
      </c>
      <c r="H89" s="488" t="str">
        <f t="shared" si="22"/>
        <v>#DIV/0!</v>
      </c>
      <c r="I89" s="488" t="str">
        <f t="shared" si="22"/>
        <v>#DIV/0!</v>
      </c>
      <c r="J89" s="488" t="str">
        <f t="shared" si="22"/>
        <v>#DIV/0!</v>
      </c>
      <c r="K89" s="488" t="str">
        <f t="shared" si="22"/>
        <v>#DIV/0!</v>
      </c>
      <c r="L89" s="488" t="str">
        <f t="shared" si="22"/>
        <v>#DIV/0!</v>
      </c>
      <c r="M89" s="488" t="str">
        <f t="shared" si="22"/>
        <v>#DIV/0!</v>
      </c>
      <c r="N89" s="488" t="str">
        <f t="shared" si="22"/>
        <v>#DIV/0!</v>
      </c>
      <c r="O89" s="488" t="str">
        <f t="shared" si="22"/>
        <v>#DIV/0!</v>
      </c>
      <c r="P89" s="488" t="str">
        <f t="shared" si="22"/>
        <v>#DIV/0!</v>
      </c>
      <c r="Q89" s="488" t="str">
        <f t="shared" si="22"/>
        <v>#DIV/0!</v>
      </c>
      <c r="R89" s="488" t="str">
        <f t="shared" si="22"/>
        <v>#DIV/0!</v>
      </c>
      <c r="S89" s="488" t="str">
        <f t="shared" si="22"/>
        <v>#DIV/0!</v>
      </c>
      <c r="T89" s="488" t="str">
        <f t="shared" si="22"/>
        <v>#DIV/0!</v>
      </c>
      <c r="U89" s="488" t="str">
        <f t="shared" si="22"/>
        <v>#DIV/0!</v>
      </c>
      <c r="V89" s="488" t="str">
        <f t="shared" si="22"/>
        <v>#DIV/0!</v>
      </c>
      <c r="W89" s="488" t="str">
        <f t="shared" si="22"/>
        <v>#DIV/0!</v>
      </c>
      <c r="X89" s="488" t="str">
        <f t="shared" si="22"/>
        <v>#DIV/0!</v>
      </c>
      <c r="Y89" s="488" t="str">
        <f t="shared" si="22"/>
        <v>#DIV/0!</v>
      </c>
      <c r="Z89" s="488" t="str">
        <f t="shared" si="22"/>
        <v>#DIV/0!</v>
      </c>
      <c r="AA89" s="488" t="str">
        <f t="shared" si="22"/>
        <v>#DIV/0!</v>
      </c>
      <c r="AB89" s="488" t="str">
        <f t="shared" si="22"/>
        <v>#DIV/0!</v>
      </c>
      <c r="AC89" s="488" t="str">
        <f t="shared" si="22"/>
        <v>#DIV/0!</v>
      </c>
      <c r="AD89" s="488" t="str">
        <f t="shared" si="22"/>
        <v>#DIV/0!</v>
      </c>
      <c r="AE89" s="488" t="str">
        <f t="shared" si="22"/>
        <v>#DIV/0!</v>
      </c>
      <c r="AF89" s="488" t="str">
        <f t="shared" si="22"/>
        <v>#DIV/0!</v>
      </c>
      <c r="AG89" s="482"/>
    </row>
    <row r="90">
      <c r="A90" s="681" t="s">
        <v>509</v>
      </c>
      <c r="B90" s="490" t="str">
        <f>B22/('OLD Formulas'!$C32*B9+B35)</f>
        <v>#DIV/0!</v>
      </c>
      <c r="C90" s="490" t="str">
        <f>C22/('OLD Formulas'!$C32*C9+C35)</f>
        <v>#DIV/0!</v>
      </c>
      <c r="D90" s="490" t="str">
        <f>D22/('OLD Formulas'!$C32*D9+D35)</f>
        <v>#DIV/0!</v>
      </c>
      <c r="E90" s="490" t="str">
        <f>E22/('OLD Formulas'!$C32*E9+E35)</f>
        <v>#DIV/0!</v>
      </c>
      <c r="F90" s="490" t="str">
        <f>F22/('OLD Formulas'!$C32*F9+F35)</f>
        <v>#DIV/0!</v>
      </c>
      <c r="G90" s="490" t="str">
        <f>G22/('OLD Formulas'!$C32*G9+G35)</f>
        <v>#DIV/0!</v>
      </c>
      <c r="H90" s="490" t="str">
        <f>H22/('OLD Formulas'!$C32*H9+H35)</f>
        <v>#DIV/0!</v>
      </c>
      <c r="I90" s="490" t="str">
        <f>I22/('OLD Formulas'!$C32*I9+I35)</f>
        <v>#DIV/0!</v>
      </c>
      <c r="J90" s="490" t="str">
        <f>J22/('OLD Formulas'!$C32*J9+J35)</f>
        <v>#DIV/0!</v>
      </c>
      <c r="K90" s="490" t="str">
        <f>K22/('OLD Formulas'!$C32*K9+K35)</f>
        <v>#DIV/0!</v>
      </c>
      <c r="L90" s="490" t="str">
        <f>L22/('OLD Formulas'!$C32*L9+L35)</f>
        <v>#DIV/0!</v>
      </c>
      <c r="M90" s="490" t="str">
        <f>M22/('OLD Formulas'!$C32*M9+M35)</f>
        <v>#DIV/0!</v>
      </c>
      <c r="N90" s="490" t="str">
        <f>N22/('OLD Formulas'!$C32*N9+N35)</f>
        <v>#DIV/0!</v>
      </c>
      <c r="O90" s="490" t="str">
        <f>O22/('OLD Formulas'!$C32*O9+O35)</f>
        <v>#DIV/0!</v>
      </c>
      <c r="P90" s="490" t="str">
        <f>P22/('OLD Formulas'!$C32*P9+P35)</f>
        <v>#DIV/0!</v>
      </c>
      <c r="Q90" s="490" t="str">
        <f>Q22/('OLD Formulas'!$C32*Q9+Q35)</f>
        <v>#DIV/0!</v>
      </c>
      <c r="R90" s="490" t="str">
        <f>R22/('OLD Formulas'!$C32*R9+R35)</f>
        <v>#DIV/0!</v>
      </c>
      <c r="S90" s="490" t="str">
        <f>S22/('OLD Formulas'!$C32*S9+S35)</f>
        <v>#DIV/0!</v>
      </c>
      <c r="T90" s="490" t="str">
        <f>T22/('OLD Formulas'!$C32*T9+T35)</f>
        <v>#DIV/0!</v>
      </c>
      <c r="U90" s="490" t="str">
        <f>U22/('OLD Formulas'!$C32*U9+U35)</f>
        <v>#DIV/0!</v>
      </c>
      <c r="V90" s="490" t="str">
        <f>V22/('OLD Formulas'!$C32*V9+V35)</f>
        <v>#DIV/0!</v>
      </c>
      <c r="W90" s="490" t="str">
        <f>W22/('OLD Formulas'!$C32*W9+W35)</f>
        <v>#DIV/0!</v>
      </c>
      <c r="X90" s="490" t="str">
        <f>X22/('OLD Formulas'!$C32*X9+X35)</f>
        <v>#DIV/0!</v>
      </c>
      <c r="Y90" s="490" t="str">
        <f>Y22/('OLD Formulas'!$C32*Y9+Y35)</f>
        <v>#DIV/0!</v>
      </c>
      <c r="Z90" s="490" t="str">
        <f>Z22/('OLD Formulas'!$C32*Z9+Z35)</f>
        <v>#DIV/0!</v>
      </c>
      <c r="AA90" s="490" t="str">
        <f>AA22/('OLD Formulas'!$C32*AA9+AA35)</f>
        <v>#DIV/0!</v>
      </c>
      <c r="AB90" s="490" t="str">
        <f>AB22/('OLD Formulas'!$C32*AB9+AB35)</f>
        <v>#DIV/0!</v>
      </c>
      <c r="AC90" s="490" t="str">
        <f>AC22/('OLD Formulas'!$C32*AC9+AC35)</f>
        <v>#DIV/0!</v>
      </c>
      <c r="AD90" s="490" t="str">
        <f>AD22/('OLD Formulas'!$C32*AD9+AD35)</f>
        <v>#DIV/0!</v>
      </c>
      <c r="AE90" s="490" t="str">
        <f>AE22/('OLD Formulas'!$C32*AE9+AE35)</f>
        <v>#DIV/0!</v>
      </c>
      <c r="AF90" s="490" t="str">
        <f>AF22/('OLD Formulas'!$C32*AF9+AF35)</f>
        <v>#DIV/0!</v>
      </c>
      <c r="AG90" s="482"/>
    </row>
    <row r="91">
      <c r="A91" s="42"/>
      <c r="B91" s="327"/>
      <c r="C91" s="327"/>
      <c r="D91" s="327"/>
      <c r="E91" s="327"/>
      <c r="F91" s="327"/>
      <c r="G91" s="327"/>
      <c r="H91" s="327"/>
      <c r="I91" s="327"/>
      <c r="J91" s="327"/>
      <c r="K91" s="327"/>
      <c r="L91" s="327"/>
      <c r="M91" s="327"/>
      <c r="N91" s="327"/>
      <c r="O91" s="327"/>
      <c r="P91" s="327"/>
      <c r="Q91" s="327"/>
      <c r="R91" s="276"/>
      <c r="S91" s="327"/>
      <c r="T91" s="327"/>
      <c r="U91" s="327"/>
      <c r="V91" s="327"/>
      <c r="W91" s="327"/>
      <c r="X91" s="327"/>
      <c r="Y91" s="327"/>
      <c r="Z91" s="327"/>
      <c r="AA91" s="327"/>
      <c r="AB91" s="327"/>
      <c r="AC91" s="327"/>
      <c r="AD91" s="327"/>
      <c r="AE91" s="327"/>
      <c r="AF91" s="327"/>
      <c r="AG91" s="482"/>
    </row>
    <row r="92">
      <c r="A92" s="687" t="s">
        <v>677</v>
      </c>
      <c r="B92" s="327"/>
      <c r="C92" s="327"/>
      <c r="D92" s="327"/>
      <c r="E92" s="327"/>
      <c r="F92" s="327"/>
      <c r="G92" s="327"/>
      <c r="H92" s="327"/>
      <c r="I92" s="327"/>
      <c r="J92" s="327"/>
      <c r="K92" s="327"/>
      <c r="L92" s="327"/>
      <c r="M92" s="327"/>
      <c r="N92" s="327"/>
      <c r="O92" s="327"/>
      <c r="P92" s="327"/>
      <c r="Q92" s="327"/>
      <c r="R92" s="327"/>
      <c r="S92" s="327"/>
      <c r="T92" s="327"/>
      <c r="U92" s="327"/>
      <c r="V92" s="327"/>
      <c r="W92" s="327"/>
      <c r="X92" s="327"/>
      <c r="Y92" s="327"/>
      <c r="Z92" s="327"/>
      <c r="AA92" s="327"/>
      <c r="AB92" s="327"/>
      <c r="AC92" s="327"/>
      <c r="AD92" s="327"/>
      <c r="AE92" s="327"/>
      <c r="AF92" s="327"/>
      <c r="AG92" s="482"/>
    </row>
    <row r="93">
      <c r="A93" s="688" t="s">
        <v>501</v>
      </c>
      <c r="B93" s="689"/>
      <c r="C93" s="689"/>
      <c r="D93" s="689"/>
      <c r="E93" s="689"/>
      <c r="F93" s="689"/>
      <c r="G93" s="689"/>
      <c r="H93" s="689"/>
      <c r="I93" s="689"/>
      <c r="J93" s="689"/>
      <c r="K93" s="689"/>
      <c r="L93" s="689"/>
      <c r="M93" s="689"/>
      <c r="N93" s="689"/>
      <c r="O93" s="689"/>
      <c r="P93" s="689"/>
      <c r="Q93" s="689"/>
      <c r="R93" s="689"/>
      <c r="S93" s="689"/>
      <c r="T93" s="689"/>
      <c r="U93" s="689"/>
      <c r="V93" s="689"/>
      <c r="W93" s="689"/>
      <c r="X93" s="689"/>
      <c r="Y93" s="689"/>
      <c r="Z93" s="689"/>
      <c r="AA93" s="689"/>
      <c r="AB93" s="689"/>
      <c r="AC93" s="689"/>
      <c r="AD93" s="689"/>
      <c r="AE93" s="689"/>
      <c r="AF93" s="689"/>
      <c r="AG93" s="482">
        <f>SUM(B93:AF93)</f>
        <v>0</v>
      </c>
    </row>
    <row r="94">
      <c r="A94" s="688" t="s">
        <v>234</v>
      </c>
      <c r="B94" s="689"/>
      <c r="C94" s="689"/>
      <c r="D94" s="689"/>
      <c r="E94" s="689"/>
      <c r="F94" s="689"/>
      <c r="G94" s="689"/>
      <c r="H94" s="689"/>
      <c r="I94" s="689"/>
      <c r="J94" s="689"/>
      <c r="K94" s="689"/>
      <c r="L94" s="689"/>
      <c r="M94" s="689"/>
      <c r="N94" s="689"/>
      <c r="O94" s="689"/>
      <c r="P94" s="689"/>
      <c r="Q94" s="689"/>
      <c r="R94" s="689"/>
      <c r="S94" s="689"/>
      <c r="T94" s="689"/>
      <c r="U94" s="689"/>
      <c r="V94" s="689"/>
      <c r="W94" s="689"/>
      <c r="X94" s="689"/>
      <c r="Y94" s="689"/>
      <c r="Z94" s="689"/>
      <c r="AA94" s="689"/>
      <c r="AB94" s="689"/>
      <c r="AC94" s="689"/>
      <c r="AD94" s="689"/>
      <c r="AE94" s="689"/>
      <c r="AF94" s="689"/>
      <c r="AG94" s="482"/>
    </row>
    <row r="95">
      <c r="A95" s="688" t="s">
        <v>508</v>
      </c>
      <c r="B95" s="689"/>
      <c r="C95" s="689"/>
      <c r="D95" s="689"/>
      <c r="E95" s="689"/>
      <c r="F95" s="689"/>
      <c r="G95" s="689"/>
      <c r="H95" s="689"/>
      <c r="I95" s="689"/>
      <c r="J95" s="689"/>
      <c r="K95" s="689"/>
      <c r="L95" s="689"/>
      <c r="M95" s="689"/>
      <c r="N95" s="689"/>
      <c r="O95" s="689"/>
      <c r="P95" s="689"/>
      <c r="Q95" s="689"/>
      <c r="R95" s="689"/>
      <c r="S95" s="689"/>
      <c r="T95" s="689"/>
      <c r="U95" s="689"/>
      <c r="V95" s="689"/>
      <c r="W95" s="689"/>
      <c r="X95" s="689"/>
      <c r="Y95" s="689"/>
      <c r="Z95" s="689"/>
      <c r="AA95" s="689"/>
      <c r="AB95" s="689"/>
      <c r="AC95" s="689"/>
      <c r="AD95" s="689"/>
      <c r="AE95" s="689"/>
      <c r="AF95" s="689"/>
      <c r="AG95" s="482"/>
    </row>
    <row r="96">
      <c r="A96" s="690" t="s">
        <v>509</v>
      </c>
      <c r="B96" s="689"/>
      <c r="C96" s="689"/>
      <c r="D96" s="689"/>
      <c r="E96" s="689"/>
      <c r="F96" s="689"/>
      <c r="G96" s="689"/>
      <c r="H96" s="689"/>
      <c r="I96" s="689"/>
      <c r="J96" s="689"/>
      <c r="K96" s="689"/>
      <c r="L96" s="689"/>
      <c r="M96" s="689"/>
      <c r="N96" s="689"/>
      <c r="O96" s="689"/>
      <c r="P96" s="689"/>
      <c r="Q96" s="689"/>
      <c r="R96" s="689"/>
      <c r="S96" s="689"/>
      <c r="T96" s="689"/>
      <c r="U96" s="689"/>
      <c r="V96" s="689"/>
      <c r="W96" s="689"/>
      <c r="X96" s="689"/>
      <c r="Y96" s="689"/>
      <c r="Z96" s="689"/>
      <c r="AA96" s="689"/>
      <c r="AB96" s="689"/>
      <c r="AC96" s="689"/>
      <c r="AD96" s="689"/>
      <c r="AE96" s="689"/>
      <c r="AF96" s="689"/>
      <c r="AG96" s="482"/>
    </row>
    <row r="97">
      <c r="A97" s="42"/>
      <c r="B97" s="542"/>
      <c r="C97" s="542"/>
      <c r="D97" s="542"/>
      <c r="E97" s="542"/>
      <c r="F97" s="542"/>
      <c r="G97" s="542"/>
      <c r="H97" s="542"/>
      <c r="I97" s="542"/>
      <c r="J97" s="542"/>
      <c r="K97" s="542"/>
      <c r="L97" s="542"/>
      <c r="M97" s="542"/>
      <c r="N97" s="542"/>
      <c r="O97" s="542"/>
      <c r="P97" s="542"/>
      <c r="Q97" s="542"/>
      <c r="R97" s="542"/>
      <c r="S97" s="542"/>
      <c r="T97" s="542"/>
      <c r="U97" s="542"/>
      <c r="V97" s="542"/>
      <c r="W97" s="542"/>
      <c r="X97" s="542"/>
      <c r="Y97" s="542"/>
      <c r="Z97" s="542"/>
      <c r="AA97" s="542"/>
      <c r="AB97" s="542"/>
      <c r="AC97" s="542"/>
      <c r="AD97" s="542"/>
      <c r="AE97" s="542"/>
      <c r="AF97" s="542"/>
      <c r="AG97" s="482"/>
    </row>
    <row r="98">
      <c r="A98" s="599" t="s">
        <v>678</v>
      </c>
      <c r="B98" s="327"/>
      <c r="C98" s="327"/>
      <c r="D98" s="327"/>
      <c r="E98" s="327"/>
      <c r="F98" s="327"/>
      <c r="G98" s="327"/>
      <c r="H98" s="327"/>
      <c r="I98" s="327"/>
      <c r="J98" s="327"/>
      <c r="K98" s="327"/>
      <c r="L98" s="327"/>
      <c r="M98" s="327"/>
      <c r="N98" s="327"/>
      <c r="O98" s="327"/>
      <c r="P98" s="327"/>
      <c r="Q98" s="327"/>
      <c r="R98" s="327"/>
      <c r="S98" s="327"/>
      <c r="T98" s="327"/>
      <c r="U98" s="327"/>
      <c r="V98" s="327"/>
      <c r="W98" s="327"/>
      <c r="X98" s="327"/>
      <c r="Y98" s="327"/>
      <c r="Z98" s="327"/>
      <c r="AA98" s="327"/>
      <c r="AB98" s="327"/>
      <c r="AC98" s="327"/>
      <c r="AD98" s="327"/>
      <c r="AE98" s="327"/>
      <c r="AF98" s="327"/>
      <c r="AG98" s="482"/>
    </row>
    <row r="99">
      <c r="A99" s="691" t="s">
        <v>501</v>
      </c>
      <c r="B99" s="689"/>
      <c r="C99" s="689"/>
      <c r="D99" s="689"/>
      <c r="E99" s="689"/>
      <c r="F99" s="689"/>
      <c r="G99" s="689"/>
      <c r="H99" s="689"/>
      <c r="I99" s="689"/>
      <c r="J99" s="689"/>
      <c r="K99" s="689"/>
      <c r="L99" s="689"/>
      <c r="M99" s="689"/>
      <c r="N99" s="689"/>
      <c r="O99" s="689"/>
      <c r="P99" s="689"/>
      <c r="Q99" s="689"/>
      <c r="R99" s="689"/>
      <c r="S99" s="689"/>
      <c r="T99" s="689"/>
      <c r="U99" s="689"/>
      <c r="V99" s="689"/>
      <c r="W99" s="689"/>
      <c r="X99" s="689"/>
      <c r="Y99" s="689"/>
      <c r="Z99" s="689"/>
      <c r="AA99" s="689"/>
      <c r="AB99" s="689"/>
      <c r="AC99" s="689"/>
      <c r="AD99" s="689"/>
      <c r="AE99" s="689"/>
      <c r="AF99" s="689"/>
      <c r="AG99" s="482">
        <f>SUM(B99:AF99)</f>
        <v>0</v>
      </c>
    </row>
    <row r="100">
      <c r="A100" s="691" t="s">
        <v>234</v>
      </c>
      <c r="B100" s="694"/>
      <c r="C100" s="694"/>
      <c r="D100" s="694"/>
      <c r="E100" s="694"/>
      <c r="F100" s="694"/>
      <c r="G100" s="694"/>
      <c r="H100" s="694"/>
      <c r="I100" s="694"/>
      <c r="J100" s="694"/>
      <c r="K100" s="694"/>
      <c r="L100" s="694"/>
      <c r="M100" s="694"/>
      <c r="N100" s="694"/>
      <c r="O100" s="694"/>
      <c r="P100" s="694"/>
      <c r="Q100" s="694"/>
      <c r="R100" s="694"/>
      <c r="S100" s="694"/>
      <c r="T100" s="694"/>
      <c r="U100" s="694"/>
      <c r="V100" s="694"/>
      <c r="W100" s="694"/>
      <c r="X100" s="694"/>
      <c r="Y100" s="694"/>
      <c r="Z100" s="694"/>
      <c r="AA100" s="694"/>
      <c r="AB100" s="694"/>
      <c r="AC100" s="694"/>
      <c r="AD100" s="694"/>
      <c r="AE100" s="694"/>
      <c r="AF100" s="694"/>
      <c r="AG100" s="482"/>
    </row>
    <row r="101">
      <c r="A101" s="691" t="s">
        <v>508</v>
      </c>
      <c r="B101" s="697"/>
      <c r="C101" s="697"/>
      <c r="D101" s="697"/>
      <c r="E101" s="697"/>
      <c r="F101" s="697"/>
      <c r="G101" s="697"/>
      <c r="H101" s="697"/>
      <c r="I101" s="697"/>
      <c r="J101" s="697"/>
      <c r="K101" s="697"/>
      <c r="L101" s="697"/>
      <c r="M101" s="697"/>
      <c r="N101" s="697"/>
      <c r="O101" s="697"/>
      <c r="P101" s="697"/>
      <c r="Q101" s="697"/>
      <c r="R101" s="697"/>
      <c r="S101" s="697"/>
      <c r="T101" s="697"/>
      <c r="U101" s="697"/>
      <c r="V101" s="697"/>
      <c r="W101" s="697"/>
      <c r="X101" s="697"/>
      <c r="Y101" s="697"/>
      <c r="Z101" s="697"/>
      <c r="AA101" s="697"/>
      <c r="AB101" s="697"/>
      <c r="AC101" s="697"/>
      <c r="AD101" s="697"/>
      <c r="AE101" s="697"/>
      <c r="AF101" s="697"/>
      <c r="AG101" s="482"/>
    </row>
    <row r="102">
      <c r="A102" s="292" t="s">
        <v>509</v>
      </c>
      <c r="B102" s="694"/>
      <c r="C102" s="694"/>
      <c r="D102" s="694"/>
      <c r="E102" s="694"/>
      <c r="F102" s="694"/>
      <c r="G102" s="694"/>
      <c r="H102" s="694"/>
      <c r="I102" s="694"/>
      <c r="J102" s="694"/>
      <c r="K102" s="694"/>
      <c r="L102" s="694"/>
      <c r="M102" s="694"/>
      <c r="N102" s="694"/>
      <c r="O102" s="694"/>
      <c r="P102" s="694"/>
      <c r="Q102" s="694"/>
      <c r="R102" s="694"/>
      <c r="S102" s="694"/>
      <c r="T102" s="694"/>
      <c r="U102" s="694"/>
      <c r="V102" s="694"/>
      <c r="W102" s="694"/>
      <c r="X102" s="694"/>
      <c r="Y102" s="694"/>
      <c r="Z102" s="694"/>
      <c r="AA102" s="694"/>
      <c r="AB102" s="694"/>
      <c r="AC102" s="694"/>
      <c r="AD102" s="694"/>
      <c r="AE102" s="694"/>
      <c r="AF102" s="694"/>
      <c r="AG102" s="482"/>
    </row>
    <row r="103">
      <c r="A103" s="42"/>
      <c r="B103" s="703"/>
      <c r="C103" s="703"/>
      <c r="D103" s="703"/>
      <c r="E103" s="703"/>
      <c r="F103" s="703"/>
      <c r="G103" s="703"/>
      <c r="H103" s="703"/>
      <c r="I103" s="703"/>
      <c r="J103" s="703"/>
      <c r="K103" s="703"/>
      <c r="L103" s="703"/>
      <c r="M103" s="703"/>
      <c r="N103" s="703"/>
      <c r="O103" s="703"/>
      <c r="P103" s="703"/>
      <c r="Q103" s="703"/>
      <c r="R103" s="703"/>
      <c r="S103" s="703"/>
      <c r="T103" s="703"/>
      <c r="U103" s="703"/>
      <c r="V103" s="703"/>
      <c r="W103" s="703"/>
      <c r="X103" s="703"/>
      <c r="Y103" s="703"/>
      <c r="Z103" s="703"/>
      <c r="AA103" s="703"/>
      <c r="AB103" s="703"/>
      <c r="AC103" s="703"/>
      <c r="AD103" s="703"/>
      <c r="AE103" s="703"/>
      <c r="AF103" s="703"/>
      <c r="AG103" s="482"/>
    </row>
    <row r="104">
      <c r="A104" s="706" t="s">
        <v>682</v>
      </c>
      <c r="B104" s="542"/>
      <c r="C104" s="542"/>
      <c r="D104" s="542"/>
      <c r="E104" s="542"/>
      <c r="F104" s="542"/>
      <c r="G104" s="542"/>
      <c r="H104" s="542"/>
      <c r="I104" s="542"/>
      <c r="J104" s="542"/>
      <c r="K104" s="542"/>
      <c r="L104" s="542"/>
      <c r="M104" s="542"/>
      <c r="N104" s="542"/>
      <c r="O104" s="542"/>
      <c r="P104" s="542"/>
      <c r="Q104" s="542"/>
      <c r="R104" s="542"/>
      <c r="S104" s="542"/>
      <c r="T104" s="542"/>
      <c r="U104" s="542"/>
      <c r="V104" s="542"/>
      <c r="W104" s="542"/>
      <c r="X104" s="542"/>
      <c r="Y104" s="542"/>
      <c r="Z104" s="542"/>
      <c r="AA104" s="542"/>
      <c r="AB104" s="542"/>
      <c r="AC104" s="542"/>
      <c r="AD104" s="542"/>
      <c r="AE104" s="542"/>
      <c r="AF104" s="542"/>
      <c r="AG104" s="482"/>
    </row>
    <row r="105">
      <c r="A105" s="494" t="s">
        <v>501</v>
      </c>
      <c r="B105" s="689"/>
      <c r="C105" s="689"/>
      <c r="D105" s="689"/>
      <c r="E105" s="689"/>
      <c r="F105" s="689"/>
      <c r="G105" s="689"/>
      <c r="H105" s="689"/>
      <c r="I105" s="689"/>
      <c r="J105" s="689"/>
      <c r="K105" s="689"/>
      <c r="L105" s="689"/>
      <c r="M105" s="689"/>
      <c r="N105" s="689"/>
      <c r="O105" s="689"/>
      <c r="P105" s="689"/>
      <c r="Q105" s="689"/>
      <c r="R105" s="689"/>
      <c r="S105" s="689"/>
      <c r="T105" s="689"/>
      <c r="U105" s="689"/>
      <c r="V105" s="689"/>
      <c r="W105" s="689"/>
      <c r="X105" s="689"/>
      <c r="Y105" s="689"/>
      <c r="Z105" s="689"/>
      <c r="AA105" s="689"/>
      <c r="AB105" s="689"/>
      <c r="AC105" s="689"/>
      <c r="AD105" s="689"/>
      <c r="AE105" s="689"/>
      <c r="AF105" s="689"/>
      <c r="AG105" s="482">
        <f>SUM(B105:AF105)</f>
        <v>0</v>
      </c>
    </row>
    <row r="106">
      <c r="A106" s="494" t="s">
        <v>234</v>
      </c>
      <c r="B106" s="694"/>
      <c r="C106" s="694"/>
      <c r="D106" s="694"/>
      <c r="E106" s="694"/>
      <c r="F106" s="694"/>
      <c r="G106" s="694"/>
      <c r="H106" s="694"/>
      <c r="I106" s="694"/>
      <c r="J106" s="694"/>
      <c r="K106" s="694"/>
      <c r="L106" s="694"/>
      <c r="M106" s="694"/>
      <c r="N106" s="694"/>
      <c r="O106" s="694"/>
      <c r="P106" s="694"/>
      <c r="Q106" s="694"/>
      <c r="R106" s="694"/>
      <c r="S106" s="694"/>
      <c r="T106" s="694"/>
      <c r="U106" s="694"/>
      <c r="V106" s="694"/>
      <c r="W106" s="694"/>
      <c r="X106" s="694"/>
      <c r="Y106" s="694"/>
      <c r="Z106" s="694"/>
      <c r="AA106" s="694"/>
      <c r="AB106" s="694"/>
      <c r="AC106" s="694"/>
      <c r="AD106" s="694"/>
      <c r="AE106" s="694"/>
      <c r="AF106" s="694"/>
      <c r="AG106" s="482"/>
    </row>
    <row r="107">
      <c r="A107" s="494" t="s">
        <v>508</v>
      </c>
      <c r="B107" s="697"/>
      <c r="C107" s="697"/>
      <c r="D107" s="697"/>
      <c r="E107" s="697"/>
      <c r="F107" s="697"/>
      <c r="G107" s="697"/>
      <c r="H107" s="697"/>
      <c r="I107" s="697"/>
      <c r="J107" s="697"/>
      <c r="K107" s="697"/>
      <c r="L107" s="697"/>
      <c r="M107" s="697"/>
      <c r="N107" s="697"/>
      <c r="O107" s="697"/>
      <c r="P107" s="697"/>
      <c r="Q107" s="697"/>
      <c r="R107" s="697"/>
      <c r="S107" s="697"/>
      <c r="T107" s="697"/>
      <c r="U107" s="697"/>
      <c r="V107" s="697"/>
      <c r="W107" s="697"/>
      <c r="X107" s="697"/>
      <c r="Y107" s="697"/>
      <c r="Z107" s="697"/>
      <c r="AA107" s="697"/>
      <c r="AB107" s="697"/>
      <c r="AC107" s="697"/>
      <c r="AD107" s="697"/>
      <c r="AE107" s="697"/>
      <c r="AF107" s="697"/>
      <c r="AG107" s="482"/>
    </row>
    <row r="108">
      <c r="A108" s="502" t="s">
        <v>509</v>
      </c>
      <c r="B108" s="694"/>
      <c r="C108" s="694"/>
      <c r="D108" s="694"/>
      <c r="E108" s="694"/>
      <c r="F108" s="694"/>
      <c r="G108" s="694"/>
      <c r="H108" s="694"/>
      <c r="I108" s="694"/>
      <c r="J108" s="694"/>
      <c r="K108" s="694"/>
      <c r="L108" s="694"/>
      <c r="M108" s="694"/>
      <c r="N108" s="694"/>
      <c r="O108" s="694"/>
      <c r="P108" s="694"/>
      <c r="Q108" s="694"/>
      <c r="R108" s="694"/>
      <c r="S108" s="694"/>
      <c r="T108" s="694"/>
      <c r="U108" s="694"/>
      <c r="V108" s="694"/>
      <c r="W108" s="694"/>
      <c r="X108" s="694"/>
      <c r="Y108" s="694"/>
      <c r="Z108" s="694"/>
      <c r="AA108" s="694"/>
      <c r="AB108" s="694"/>
      <c r="AC108" s="694"/>
      <c r="AD108" s="694"/>
      <c r="AE108" s="694"/>
      <c r="AF108" s="694"/>
      <c r="AG108" s="482"/>
    </row>
    <row r="109">
      <c r="A109" s="708"/>
      <c r="B109" s="542"/>
      <c r="C109" s="542"/>
      <c r="D109" s="542"/>
      <c r="E109" s="542"/>
      <c r="F109" s="542"/>
      <c r="G109" s="542"/>
      <c r="H109" s="542"/>
      <c r="I109" s="542"/>
      <c r="J109" s="542"/>
      <c r="K109" s="542"/>
      <c r="L109" s="542"/>
      <c r="M109" s="542"/>
      <c r="N109" s="542"/>
      <c r="O109" s="542"/>
      <c r="P109" s="542"/>
      <c r="Q109" s="542"/>
      <c r="R109" s="542"/>
      <c r="S109" s="542"/>
      <c r="T109" s="542"/>
      <c r="U109" s="542"/>
      <c r="V109" s="542"/>
      <c r="W109" s="542"/>
      <c r="X109" s="542"/>
      <c r="Y109" s="542"/>
      <c r="Z109" s="542"/>
      <c r="AA109" s="542"/>
      <c r="AB109" s="542"/>
      <c r="AC109" s="542"/>
      <c r="AD109" s="542"/>
      <c r="AE109" s="542"/>
      <c r="AF109" s="542"/>
      <c r="AG109" s="482"/>
    </row>
    <row r="110">
      <c r="A110" s="708"/>
      <c r="B110" s="542"/>
      <c r="C110" s="542"/>
      <c r="D110" s="542"/>
      <c r="E110" s="542"/>
      <c r="F110" s="542"/>
      <c r="G110" s="542"/>
      <c r="H110" s="542"/>
      <c r="I110" s="542"/>
      <c r="J110" s="542"/>
      <c r="K110" s="542"/>
      <c r="L110" s="542"/>
      <c r="M110" s="542"/>
      <c r="N110" s="542"/>
      <c r="O110" s="542"/>
      <c r="P110" s="542"/>
      <c r="Q110" s="542"/>
      <c r="R110" s="542"/>
      <c r="S110" s="542"/>
      <c r="T110" s="542"/>
      <c r="U110" s="542"/>
      <c r="V110" s="542"/>
      <c r="W110" s="542"/>
      <c r="X110" s="542"/>
      <c r="Y110" s="542"/>
      <c r="Z110" s="542"/>
      <c r="AA110" s="542"/>
      <c r="AB110" s="542"/>
      <c r="AC110" s="542"/>
      <c r="AD110" s="542"/>
      <c r="AE110" s="542"/>
      <c r="AF110" s="542"/>
      <c r="AG110" s="482"/>
    </row>
    <row r="111">
      <c r="A111" s="710" t="s">
        <v>684</v>
      </c>
      <c r="B111" s="542"/>
      <c r="C111" s="542"/>
      <c r="D111" s="542"/>
      <c r="E111" s="542"/>
      <c r="F111" s="542"/>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482"/>
    </row>
    <row r="112">
      <c r="A112" s="493" t="s">
        <v>501</v>
      </c>
      <c r="B112" s="276">
        <f>B26-(B13*'ECOMMERCE Formulas'!$I$15)</f>
        <v>207.871819</v>
      </c>
      <c r="C112" s="276">
        <f>C26-(C13*'ECOMMERCE Formulas'!$I$15)</f>
        <v>830.3077286</v>
      </c>
      <c r="D112" s="276">
        <f>D26-(D13*'ECOMMERCE Formulas'!$I$15)</f>
        <v>303.4588643</v>
      </c>
      <c r="E112" s="276">
        <f>E26-(E13*'ECOMMERCE Formulas'!$I$15)</f>
        <v>205.9459095</v>
      </c>
      <c r="F112" s="276">
        <f>F26-(F13*'ECOMMERCE Formulas'!$I$15)</f>
        <v>52.80295476</v>
      </c>
      <c r="G112" s="276">
        <f>G26-(G13*'ECOMMERCE Formulas'!$I$15)</f>
        <v>114.7329548</v>
      </c>
      <c r="H112" s="276">
        <f>H26-(H13*'ECOMMERCE Formulas'!$I$15)</f>
        <v>0</v>
      </c>
      <c r="I112" s="276">
        <f>I26-(I13*'ECOMMERCE Formulas'!$I$15)</f>
        <v>-121.1570452</v>
      </c>
      <c r="J112" s="276">
        <f>J26-(J13*'ECOMMERCE Formulas'!$I$15)</f>
        <v>121.3459095</v>
      </c>
      <c r="K112" s="276">
        <f>K26-(K13*'ECOMMERCE Formulas'!$I$15)</f>
        <v>87.98886428</v>
      </c>
      <c r="L112" s="276">
        <f>L26-(L13*'ECOMMERCE Formulas'!$I$15)</f>
        <v>-88.89704524</v>
      </c>
      <c r="M112" s="276">
        <f>M26-(M13*'ECOMMERCE Formulas'!$I$15)</f>
        <v>44.31590952</v>
      </c>
      <c r="N112" s="276">
        <f>N26-(N13*'ECOMMERCE Formulas'!$I$15)</f>
        <v>6802.767747</v>
      </c>
      <c r="O112" s="276">
        <f>O26-(O13*'ECOMMERCE Formulas'!$I$15)</f>
        <v>7508.374562</v>
      </c>
      <c r="P112" s="276">
        <f>P26-(P13*'ECOMMERCE Formulas'!$I$15)</f>
        <v>2733.853869</v>
      </c>
      <c r="Q112" s="276">
        <f>Q26-(Q13*'ECOMMERCE Formulas'!$I$15)</f>
        <v>1193.580231</v>
      </c>
      <c r="R112" s="276">
        <f>R26-(R13*'ECOMMERCE Formulas'!$I$15)</f>
        <v>2132.345688</v>
      </c>
      <c r="S112" s="276">
        <f>S26-(S13*'ECOMMERCE Formulas'!$I$15)</f>
        <v>1896.922281</v>
      </c>
      <c r="T112" s="276">
        <f>T26-(T13*'ECOMMERCE Formulas'!$I$15)</f>
        <v>-65.11409048</v>
      </c>
      <c r="U112" s="276">
        <f>U26-(U13*'ECOMMERCE Formulas'!$I$15)</f>
        <v>218.131819</v>
      </c>
      <c r="V112" s="276">
        <f>V26-(V13*'ECOMMERCE Formulas'!$I$15)</f>
        <v>9.728864276</v>
      </c>
      <c r="W112" s="276">
        <f>W26-(W13*'ECOMMERCE Formulas'!$I$15)</f>
        <v>5.915909517</v>
      </c>
      <c r="X112" s="276">
        <f>X26-(X13*'ECOMMERCE Formulas'!$I$15)</f>
        <v>311.0077286</v>
      </c>
      <c r="Y112" s="276">
        <f>Y26-(Y13*'ECOMMERCE Formulas'!$I$15)</f>
        <v>47.99590952</v>
      </c>
      <c r="Z112" s="276">
        <f>Z26-(Z13*'ECOMMERCE Formulas'!$I$15)</f>
        <v>-127.0570452</v>
      </c>
      <c r="AA112" s="276">
        <f>AA26-(AA13*'ECOMMERCE Formulas'!$I$15)</f>
        <v>0</v>
      </c>
      <c r="AB112" s="276">
        <f>AB26-(AB13*'ECOMMERCE Formulas'!$I$15)</f>
        <v>439.721819</v>
      </c>
      <c r="AC112" s="276">
        <f>AC26-(AC13*'ECOMMERCE Formulas'!$I$15)</f>
        <v>576.18</v>
      </c>
      <c r="AD112" s="276">
        <f>AD26-(AD13*'ECOMMERCE Formulas'!$I$15)</f>
        <v>-26.95704524</v>
      </c>
      <c r="AE112" s="276">
        <f>AE26-(AE13*'ECOMMERCE Formulas'!$I$15)</f>
        <v>38.83181903</v>
      </c>
      <c r="AF112" s="276">
        <f>AF26-(AF13*'ECOMMERCE Formulas'!$I$15)</f>
        <v>393.341819</v>
      </c>
      <c r="AG112" s="482">
        <f>SUM(B112:AF112)</f>
        <v>25848.28871</v>
      </c>
    </row>
    <row r="113">
      <c r="A113" s="493" t="s">
        <v>234</v>
      </c>
      <c r="B113" s="694"/>
      <c r="C113" s="694"/>
      <c r="D113" s="694"/>
      <c r="E113" s="694"/>
      <c r="F113" s="694"/>
      <c r="G113" s="694"/>
      <c r="H113" s="694"/>
      <c r="I113" s="694"/>
      <c r="J113" s="694"/>
      <c r="K113" s="694"/>
      <c r="L113" s="694"/>
      <c r="M113" s="694"/>
      <c r="N113" s="694"/>
      <c r="O113" s="694"/>
      <c r="P113" s="694"/>
      <c r="Q113" s="694"/>
      <c r="R113" s="694"/>
      <c r="S113" s="694"/>
      <c r="T113" s="694"/>
      <c r="U113" s="694"/>
      <c r="V113" s="694"/>
      <c r="W113" s="694"/>
      <c r="X113" s="694"/>
      <c r="Y113" s="694"/>
      <c r="Z113" s="694"/>
      <c r="AA113" s="694"/>
      <c r="AB113" s="694"/>
      <c r="AC113" s="694"/>
      <c r="AD113" s="694"/>
      <c r="AE113" s="694"/>
      <c r="AF113" s="694"/>
      <c r="AG113" s="482"/>
    </row>
    <row r="114">
      <c r="A114" s="493" t="s">
        <v>508</v>
      </c>
      <c r="B114" s="697"/>
      <c r="C114" s="697"/>
      <c r="D114" s="697"/>
      <c r="E114" s="697"/>
      <c r="F114" s="697"/>
      <c r="G114" s="697"/>
      <c r="H114" s="697"/>
      <c r="I114" s="697"/>
      <c r="J114" s="697"/>
      <c r="K114" s="697"/>
      <c r="L114" s="697"/>
      <c r="M114" s="697"/>
      <c r="N114" s="697"/>
      <c r="O114" s="697"/>
      <c r="P114" s="697"/>
      <c r="Q114" s="697"/>
      <c r="R114" s="697"/>
      <c r="S114" s="697"/>
      <c r="T114" s="697"/>
      <c r="U114" s="697"/>
      <c r="V114" s="697"/>
      <c r="W114" s="697"/>
      <c r="X114" s="697"/>
      <c r="Y114" s="697"/>
      <c r="Z114" s="697"/>
      <c r="AA114" s="697"/>
      <c r="AB114" s="697"/>
      <c r="AC114" s="697"/>
      <c r="AD114" s="697"/>
      <c r="AE114" s="697"/>
      <c r="AF114" s="697"/>
      <c r="AG114" s="482"/>
    </row>
    <row r="115">
      <c r="A115" s="713" t="s">
        <v>509</v>
      </c>
      <c r="B115" s="895">
        <f>B26/('ECOMMERCE Formulas'!$I$15*B13)</f>
        <v>1.342126173</v>
      </c>
      <c r="C115" s="895">
        <f>C26/('ECOMMERCE Formulas'!$I$15*C13)</f>
        <v>1.911042221</v>
      </c>
      <c r="D115" s="895">
        <f>D26/('ECOMMERCE Formulas'!$I$15*D13)</f>
        <v>1.665931023</v>
      </c>
      <c r="E115" s="895">
        <f>E26/('ECOMMERCE Formulas'!$I$15*E13)</f>
        <v>1.677912823</v>
      </c>
      <c r="F115" s="895">
        <f>F26/('ECOMMERCE Formulas'!$I$15*F13)</f>
        <v>1.347623317</v>
      </c>
      <c r="G115" s="895">
        <f>G26/('ECOMMERCE Formulas'!$I$15*G13)</f>
        <v>1.755333684</v>
      </c>
      <c r="H115" s="895" t="str">
        <f>H26/('ECOMMERCE Formulas'!$I$15*H13)</f>
        <v>#DIV/0!</v>
      </c>
      <c r="I115" s="895">
        <f>I26/('ECOMMERCE Formulas'!$I$15*I13)</f>
        <v>0.2023739168</v>
      </c>
      <c r="J115" s="895">
        <f>J26/('ECOMMERCE Formulas'!$I$15*J13)</f>
        <v>1.399434727</v>
      </c>
      <c r="K115" s="895">
        <f>K26/('ECOMMERCE Formulas'!$I$15*K13)</f>
        <v>1.193088821</v>
      </c>
      <c r="L115" s="895">
        <f>L26/('ECOMMERCE Formulas'!$I$15*L13)</f>
        <v>0.4147546116</v>
      </c>
      <c r="M115" s="895">
        <f>M26/('ECOMMERCE Formulas'!$I$15*M13)</f>
        <v>1.145874824</v>
      </c>
      <c r="N115" s="895">
        <f>N26/('ECOMMERCE Formulas'!$I$15*N13)</f>
        <v>1.476440273</v>
      </c>
      <c r="O115" s="895">
        <f>O26/('ECOMMERCE Formulas'!$I$15*O13)</f>
        <v>1.650403712</v>
      </c>
      <c r="P115" s="895">
        <f>P26/('ECOMMERCE Formulas'!$I$15*P13)</f>
        <v>1.719922857</v>
      </c>
      <c r="Q115" s="895">
        <f>Q26/('ECOMMERCE Formulas'!$I$15*Q13)</f>
        <v>1.462224935</v>
      </c>
      <c r="R115" s="895">
        <f>R26/('ECOMMERCE Formulas'!$I$15*R13)</f>
        <v>1.484072363</v>
      </c>
      <c r="S115" s="895">
        <f>S26/('ECOMMERCE Formulas'!$I$15*S13)</f>
        <v>1.328637119</v>
      </c>
      <c r="T115" s="895">
        <f>T26/('ECOMMERCE Formulas'!$I$15*T13)</f>
        <v>0.7856637357</v>
      </c>
      <c r="U115" s="895">
        <f>U26/('ECOMMERCE Formulas'!$I$15*U13)</f>
        <v>1.359012611</v>
      </c>
      <c r="V115" s="895">
        <f>V26/('ECOMMERCE Formulas'!$I$15*V13)</f>
        <v>1.02134969</v>
      </c>
      <c r="W115" s="895">
        <f>W26/('ECOMMERCE Formulas'!$I$15*W13)</f>
        <v>1.019473419</v>
      </c>
      <c r="X115" s="895">
        <f>X26/('ECOMMERCE Formulas'!$I$15*X13)</f>
        <v>1.341248385</v>
      </c>
      <c r="Y115" s="895">
        <f>Y26/('ECOMMERCE Formulas'!$I$15*Y13)</f>
        <v>1.157988292</v>
      </c>
      <c r="Z115" s="895">
        <f>Z26/('ECOMMERCE Formulas'!$I$15*Z13)</f>
        <v>0.1635318183</v>
      </c>
      <c r="AA115" s="895" t="str">
        <f>AA26/('ECOMMERCE Formulas'!$I$15*AA13)</f>
        <v>#DIV/0!</v>
      </c>
      <c r="AB115" s="895">
        <f>AB26/('ECOMMERCE Formulas'!$I$15*AB13)</f>
        <v>1.723716874</v>
      </c>
      <c r="AC115" s="895" t="str">
        <f>AC26/('ECOMMERCE Formulas'!$I$15*AC13)</f>
        <v>#DIV/0!</v>
      </c>
      <c r="AD115" s="895">
        <f>AD26/('ECOMMERCE Formulas'!$I$15*AD13)</f>
        <v>0.8225308122</v>
      </c>
      <c r="AE115" s="895">
        <f>AE26/('ECOMMERCE Formulas'!$I$15*AE13)</f>
        <v>1.063911413</v>
      </c>
      <c r="AF115" s="895">
        <f>AF26/('ECOMMERCE Formulas'!$I$15*AF13)</f>
        <v>1.647382275</v>
      </c>
      <c r="AG115" s="482"/>
    </row>
    <row r="116">
      <c r="A116" s="708"/>
      <c r="B116" s="542"/>
      <c r="C116" s="542"/>
      <c r="D116" s="542"/>
      <c r="E116" s="542"/>
      <c r="F116" s="542"/>
      <c r="G116" s="542"/>
      <c r="H116" s="542"/>
      <c r="I116" s="542"/>
      <c r="J116" s="542"/>
      <c r="K116" s="542"/>
      <c r="L116" s="542"/>
      <c r="M116" s="542"/>
      <c r="N116" s="542"/>
      <c r="O116" s="542"/>
      <c r="P116" s="542"/>
      <c r="Q116" s="542"/>
      <c r="R116" s="542"/>
      <c r="S116" s="542"/>
      <c r="T116" s="542"/>
      <c r="U116" s="542"/>
      <c r="V116" s="542"/>
      <c r="W116" s="542"/>
      <c r="X116" s="542"/>
      <c r="Y116" s="542"/>
      <c r="Z116" s="542"/>
      <c r="AA116" s="542"/>
      <c r="AB116" s="542"/>
      <c r="AC116" s="542"/>
      <c r="AD116" s="542"/>
      <c r="AE116" s="542"/>
      <c r="AF116" s="542"/>
      <c r="AG116" s="739"/>
    </row>
    <row r="117">
      <c r="A117" s="898" t="s">
        <v>788</v>
      </c>
      <c r="B117" s="542"/>
      <c r="C117" s="542"/>
      <c r="D117" s="542"/>
      <c r="E117" s="542"/>
      <c r="F117" s="542"/>
      <c r="G117" s="542"/>
      <c r="H117" s="542"/>
      <c r="I117" s="542"/>
      <c r="J117" s="542"/>
      <c r="K117" s="542"/>
      <c r="L117" s="542"/>
      <c r="M117" s="542"/>
      <c r="N117" s="542"/>
      <c r="O117" s="542"/>
      <c r="P117" s="542"/>
      <c r="Q117" s="542"/>
      <c r="R117" s="542"/>
      <c r="S117" s="542"/>
      <c r="T117" s="542"/>
      <c r="U117" s="542"/>
      <c r="V117" s="542"/>
      <c r="W117" s="542"/>
      <c r="X117" s="542"/>
      <c r="Y117" s="542"/>
      <c r="Z117" s="542"/>
      <c r="AA117" s="542"/>
      <c r="AB117" s="542"/>
      <c r="AC117" s="542"/>
      <c r="AD117" s="542"/>
      <c r="AE117" s="542"/>
      <c r="AF117" s="542"/>
      <c r="AG117" s="739"/>
    </row>
    <row r="118">
      <c r="A118" s="899" t="s">
        <v>501</v>
      </c>
      <c r="B118" s="542">
        <f>B27-(B14*'ECOMMERCE Formulas'!$A$43)-B43</f>
        <v>0</v>
      </c>
      <c r="C118" s="542">
        <f>C27-(C14*'ECOMMERCE Formulas'!$A$43)-C43</f>
        <v>0</v>
      </c>
      <c r="D118" s="542">
        <f>D27-(D14*'ECOMMERCE Formulas'!$A$43)-D43</f>
        <v>0</v>
      </c>
      <c r="E118" s="542">
        <f>E27-(E14*'ECOMMERCE Formulas'!$A$43)-E43</f>
        <v>0</v>
      </c>
      <c r="F118" s="542">
        <f>F27-(F14*'ECOMMERCE Formulas'!$A$43)-F43</f>
        <v>0</v>
      </c>
      <c r="G118" s="542">
        <f>G27-(G14*'ECOMMERCE Formulas'!$A$43)-G43</f>
        <v>0</v>
      </c>
      <c r="H118" s="542">
        <f>H27-(H14*'ECOMMERCE Formulas'!$A$43)-H43</f>
        <v>0</v>
      </c>
      <c r="I118" s="542">
        <f>I27-(I14*'ECOMMERCE Formulas'!$A$43)-I43</f>
        <v>0</v>
      </c>
      <c r="J118" s="542">
        <f>J27-(J14*'ECOMMERCE Formulas'!$A$43)-J43</f>
        <v>0</v>
      </c>
      <c r="K118" s="542">
        <f>K27-(K14*'ECOMMERCE Formulas'!$A$43)-K43</f>
        <v>0</v>
      </c>
      <c r="L118" s="542">
        <f>L27-(L14*'ECOMMERCE Formulas'!$A$43)-L43</f>
        <v>0</v>
      </c>
      <c r="M118" s="542">
        <f>M27-(M14*'ECOMMERCE Formulas'!$A$43)-M43</f>
        <v>0</v>
      </c>
      <c r="N118" s="542">
        <f>N27-(N14*'ECOMMERCE Formulas'!$A$43)-N43</f>
        <v>0</v>
      </c>
      <c r="O118" s="542">
        <f>O27-(O14*'ECOMMERCE Formulas'!$A$43)-O43</f>
        <v>0</v>
      </c>
      <c r="P118" s="542">
        <f>P27-(P14*'ECOMMERCE Formulas'!$A$43)-P43</f>
        <v>0</v>
      </c>
      <c r="Q118" s="542">
        <f>Q27-(Q14*'ECOMMERCE Formulas'!$A$43)-Q43</f>
        <v>0</v>
      </c>
      <c r="R118" s="542">
        <f>R27-(R14*'ECOMMERCE Formulas'!$A$43)-R43</f>
        <v>0</v>
      </c>
      <c r="S118" s="542">
        <f>S27-(S14*'ECOMMERCE Formulas'!$A$43)-S43</f>
        <v>0</v>
      </c>
      <c r="T118" s="542">
        <f>T27-(T14*'ECOMMERCE Formulas'!$A$43)-T43</f>
        <v>0</v>
      </c>
      <c r="U118" s="542">
        <f>U27-(U14*'ECOMMERCE Formulas'!$A$43)-U43</f>
        <v>0</v>
      </c>
      <c r="V118" s="542">
        <f>V27-(V14*'ECOMMERCE Formulas'!$A$43)-V43</f>
        <v>0</v>
      </c>
      <c r="W118" s="542">
        <f>W27-(W14*'ECOMMERCE Formulas'!$A$43)-W43</f>
        <v>0</v>
      </c>
      <c r="X118" s="542">
        <f>X27-(X14*'ECOMMERCE Formulas'!$A$43)-X43</f>
        <v>0</v>
      </c>
      <c r="Y118" s="542">
        <f>Y27-(Y14*'ECOMMERCE Formulas'!$A$43)-Y43</f>
        <v>0</v>
      </c>
      <c r="Z118" s="542">
        <f>Z27-(Z14*'ECOMMERCE Formulas'!$A$43)-Z43</f>
        <v>0</v>
      </c>
      <c r="AA118" s="542">
        <f>AA27-(AA14*'ECOMMERCE Formulas'!$A$43)-AA43</f>
        <v>0</v>
      </c>
      <c r="AB118" s="542">
        <f>AB27-(AB14*'ECOMMERCE Formulas'!$A$43)-AB43</f>
        <v>0</v>
      </c>
      <c r="AC118" s="542">
        <f>AC27-(AC14*'ECOMMERCE Formulas'!$A$43)-AC43</f>
        <v>0</v>
      </c>
      <c r="AD118" s="542">
        <f>AD27-(AD14*'ECOMMERCE Formulas'!$A$43)-AD43</f>
        <v>0</v>
      </c>
      <c r="AE118" s="542">
        <f>AE27-(AE14*'ECOMMERCE Formulas'!$A$43)-AE43</f>
        <v>0</v>
      </c>
      <c r="AF118" s="542">
        <f>AF27-(AF14*'ECOMMERCE Formulas'!$A$43)-AF43</f>
        <v>0</v>
      </c>
      <c r="AG118" s="739"/>
    </row>
    <row r="119">
      <c r="A119" s="899" t="s">
        <v>234</v>
      </c>
      <c r="B119" s="542" t="str">
        <f t="shared" ref="B119:AF119" si="23">B27/B43</f>
        <v>#DIV/0!</v>
      </c>
      <c r="C119" s="542" t="str">
        <f t="shared" si="23"/>
        <v>#DIV/0!</v>
      </c>
      <c r="D119" s="542" t="str">
        <f t="shared" si="23"/>
        <v>#DIV/0!</v>
      </c>
      <c r="E119" s="542" t="str">
        <f t="shared" si="23"/>
        <v>#DIV/0!</v>
      </c>
      <c r="F119" s="542" t="str">
        <f t="shared" si="23"/>
        <v>#DIV/0!</v>
      </c>
      <c r="G119" s="542" t="str">
        <f t="shared" si="23"/>
        <v>#DIV/0!</v>
      </c>
      <c r="H119" s="542" t="str">
        <f t="shared" si="23"/>
        <v>#DIV/0!</v>
      </c>
      <c r="I119" s="542" t="str">
        <f t="shared" si="23"/>
        <v>#DIV/0!</v>
      </c>
      <c r="J119" s="542" t="str">
        <f t="shared" si="23"/>
        <v>#DIV/0!</v>
      </c>
      <c r="K119" s="542" t="str">
        <f t="shared" si="23"/>
        <v>#DIV/0!</v>
      </c>
      <c r="L119" s="542" t="str">
        <f t="shared" si="23"/>
        <v>#DIV/0!</v>
      </c>
      <c r="M119" s="542" t="str">
        <f t="shared" si="23"/>
        <v>#DIV/0!</v>
      </c>
      <c r="N119" s="542" t="str">
        <f t="shared" si="23"/>
        <v>#DIV/0!</v>
      </c>
      <c r="O119" s="542" t="str">
        <f t="shared" si="23"/>
        <v>#DIV/0!</v>
      </c>
      <c r="P119" s="542" t="str">
        <f t="shared" si="23"/>
        <v>#DIV/0!</v>
      </c>
      <c r="Q119" s="542" t="str">
        <f t="shared" si="23"/>
        <v>#DIV/0!</v>
      </c>
      <c r="R119" s="542" t="str">
        <f t="shared" si="23"/>
        <v>#DIV/0!</v>
      </c>
      <c r="S119" s="542" t="str">
        <f t="shared" si="23"/>
        <v>#DIV/0!</v>
      </c>
      <c r="T119" s="542" t="str">
        <f t="shared" si="23"/>
        <v>#DIV/0!</v>
      </c>
      <c r="U119" s="542" t="str">
        <f t="shared" si="23"/>
        <v>#DIV/0!</v>
      </c>
      <c r="V119" s="542" t="str">
        <f t="shared" si="23"/>
        <v>#DIV/0!</v>
      </c>
      <c r="W119" s="542" t="str">
        <f t="shared" si="23"/>
        <v>#DIV/0!</v>
      </c>
      <c r="X119" s="542" t="str">
        <f t="shared" si="23"/>
        <v>#DIV/0!</v>
      </c>
      <c r="Y119" s="542" t="str">
        <f t="shared" si="23"/>
        <v>#DIV/0!</v>
      </c>
      <c r="Z119" s="542" t="str">
        <f t="shared" si="23"/>
        <v>#DIV/0!</v>
      </c>
      <c r="AA119" s="542" t="str">
        <f t="shared" si="23"/>
        <v>#DIV/0!</v>
      </c>
      <c r="AB119" s="542" t="str">
        <f t="shared" si="23"/>
        <v>#DIV/0!</v>
      </c>
      <c r="AC119" s="542" t="str">
        <f t="shared" si="23"/>
        <v>#DIV/0!</v>
      </c>
      <c r="AD119" s="542" t="str">
        <f t="shared" si="23"/>
        <v>#DIV/0!</v>
      </c>
      <c r="AE119" s="542" t="str">
        <f t="shared" si="23"/>
        <v>#DIV/0!</v>
      </c>
      <c r="AF119" s="542" t="str">
        <f t="shared" si="23"/>
        <v>#DIV/0!</v>
      </c>
      <c r="AG119" s="739"/>
    </row>
    <row r="120">
      <c r="A120" s="899" t="s">
        <v>508</v>
      </c>
      <c r="B120" s="542" t="str">
        <f t="shared" ref="B120:AF120" si="24">B43/B14</f>
        <v>#DIV/0!</v>
      </c>
      <c r="C120" s="542" t="str">
        <f t="shared" si="24"/>
        <v>#DIV/0!</v>
      </c>
      <c r="D120" s="542" t="str">
        <f t="shared" si="24"/>
        <v>#DIV/0!</v>
      </c>
      <c r="E120" s="542" t="str">
        <f t="shared" si="24"/>
        <v>#DIV/0!</v>
      </c>
      <c r="F120" s="542" t="str">
        <f t="shared" si="24"/>
        <v>#DIV/0!</v>
      </c>
      <c r="G120" s="542" t="str">
        <f t="shared" si="24"/>
        <v>#DIV/0!</v>
      </c>
      <c r="H120" s="542" t="str">
        <f t="shared" si="24"/>
        <v>#DIV/0!</v>
      </c>
      <c r="I120" s="542" t="str">
        <f t="shared" si="24"/>
        <v>#DIV/0!</v>
      </c>
      <c r="J120" s="542" t="str">
        <f t="shared" si="24"/>
        <v>#DIV/0!</v>
      </c>
      <c r="K120" s="542" t="str">
        <f t="shared" si="24"/>
        <v>#DIV/0!</v>
      </c>
      <c r="L120" s="542" t="str">
        <f t="shared" si="24"/>
        <v>#DIV/0!</v>
      </c>
      <c r="M120" s="542" t="str">
        <f t="shared" si="24"/>
        <v>#DIV/0!</v>
      </c>
      <c r="N120" s="542" t="str">
        <f t="shared" si="24"/>
        <v>#DIV/0!</v>
      </c>
      <c r="O120" s="542" t="str">
        <f t="shared" si="24"/>
        <v>#DIV/0!</v>
      </c>
      <c r="P120" s="542" t="str">
        <f t="shared" si="24"/>
        <v>#DIV/0!</v>
      </c>
      <c r="Q120" s="542" t="str">
        <f t="shared" si="24"/>
        <v>#DIV/0!</v>
      </c>
      <c r="R120" s="542" t="str">
        <f t="shared" si="24"/>
        <v>#DIV/0!</v>
      </c>
      <c r="S120" s="542" t="str">
        <f t="shared" si="24"/>
        <v>#DIV/0!</v>
      </c>
      <c r="T120" s="542" t="str">
        <f t="shared" si="24"/>
        <v>#DIV/0!</v>
      </c>
      <c r="U120" s="542" t="str">
        <f t="shared" si="24"/>
        <v>#DIV/0!</v>
      </c>
      <c r="V120" s="542" t="str">
        <f t="shared" si="24"/>
        <v>#DIV/0!</v>
      </c>
      <c r="W120" s="542" t="str">
        <f t="shared" si="24"/>
        <v>#DIV/0!</v>
      </c>
      <c r="X120" s="542" t="str">
        <f t="shared" si="24"/>
        <v>#DIV/0!</v>
      </c>
      <c r="Y120" s="542" t="str">
        <f t="shared" si="24"/>
        <v>#DIV/0!</v>
      </c>
      <c r="Z120" s="542" t="str">
        <f t="shared" si="24"/>
        <v>#DIV/0!</v>
      </c>
      <c r="AA120" s="542" t="str">
        <f t="shared" si="24"/>
        <v>#DIV/0!</v>
      </c>
      <c r="AB120" s="542" t="str">
        <f t="shared" si="24"/>
        <v>#DIV/0!</v>
      </c>
      <c r="AC120" s="542" t="str">
        <f t="shared" si="24"/>
        <v>#DIV/0!</v>
      </c>
      <c r="AD120" s="542" t="str">
        <f t="shared" si="24"/>
        <v>#DIV/0!</v>
      </c>
      <c r="AE120" s="542" t="str">
        <f t="shared" si="24"/>
        <v>#DIV/0!</v>
      </c>
      <c r="AF120" s="542" t="str">
        <f t="shared" si="24"/>
        <v>#DIV/0!</v>
      </c>
      <c r="AG120" s="739"/>
    </row>
    <row r="121">
      <c r="A121" s="902" t="s">
        <v>509</v>
      </c>
      <c r="B121" s="542" t="str">
        <f>B27/('ECOMMERCE Formulas'!$A$43*B14+B43+B44)</f>
        <v>#DIV/0!</v>
      </c>
      <c r="C121" s="542" t="str">
        <f>C27/('ECOMMERCE Formulas'!$A$43*C14+C43+C44)</f>
        <v>#DIV/0!</v>
      </c>
      <c r="D121" s="542" t="str">
        <f>D27/('ECOMMERCE Formulas'!$A$43*D14+D43+D44)</f>
        <v>#DIV/0!</v>
      </c>
      <c r="E121" s="542" t="str">
        <f>E27/('ECOMMERCE Formulas'!$A$43*E14+E43+E44)</f>
        <v>#DIV/0!</v>
      </c>
      <c r="F121" s="542" t="str">
        <f>F27/('ECOMMERCE Formulas'!$A$43*F14+F43+F44)</f>
        <v>#DIV/0!</v>
      </c>
      <c r="G121" s="542" t="str">
        <f>G27/('ECOMMERCE Formulas'!$A$43*G14+G43+G44)</f>
        <v>#DIV/0!</v>
      </c>
      <c r="H121" s="542" t="str">
        <f>H27/('ECOMMERCE Formulas'!$A$43*H14+H43+H44)</f>
        <v>#DIV/0!</v>
      </c>
      <c r="I121" s="542" t="str">
        <f>I27/('ECOMMERCE Formulas'!$A$43*I14+I43+I44)</f>
        <v>#DIV/0!</v>
      </c>
      <c r="J121" s="542" t="str">
        <f>J27/('ECOMMERCE Formulas'!$A$43*J14+J43+J44)</f>
        <v>#DIV/0!</v>
      </c>
      <c r="K121" s="542" t="str">
        <f>K27/('ECOMMERCE Formulas'!$A$43*K14+K43+K44)</f>
        <v>#DIV/0!</v>
      </c>
      <c r="L121" s="542" t="str">
        <f>L27/('ECOMMERCE Formulas'!$A$43*L14+L43+L44)</f>
        <v>#DIV/0!</v>
      </c>
      <c r="M121" s="542" t="str">
        <f>M27/('ECOMMERCE Formulas'!$A$43*M14+M43+M44)</f>
        <v>#DIV/0!</v>
      </c>
      <c r="N121" s="542" t="str">
        <f>N27/('ECOMMERCE Formulas'!$A$43*N14+N43+N44)</f>
        <v>#DIV/0!</v>
      </c>
      <c r="O121" s="542" t="str">
        <f>O27/('ECOMMERCE Formulas'!$A$43*O14+O43+O44)</f>
        <v>#DIV/0!</v>
      </c>
      <c r="P121" s="542" t="str">
        <f>P27/('ECOMMERCE Formulas'!$A$43*P14+P43+P44)</f>
        <v>#DIV/0!</v>
      </c>
      <c r="Q121" s="542" t="str">
        <f>Q27/('ECOMMERCE Formulas'!$A$43*Q14+Q43+Q44)</f>
        <v>#DIV/0!</v>
      </c>
      <c r="R121" s="542" t="str">
        <f>R27/('ECOMMERCE Formulas'!$A$43*R14+R43+R44)</f>
        <v>#DIV/0!</v>
      </c>
      <c r="S121" s="542" t="str">
        <f>S27/('ECOMMERCE Formulas'!$A$43*S14+S43+S44)</f>
        <v>#DIV/0!</v>
      </c>
      <c r="T121" s="542" t="str">
        <f>T27/('ECOMMERCE Formulas'!$A$43*T14+T43+T44)</f>
        <v>#DIV/0!</v>
      </c>
      <c r="U121" s="542" t="str">
        <f>U27/('ECOMMERCE Formulas'!$A$43*U14+U43+U44)</f>
        <v>#DIV/0!</v>
      </c>
      <c r="V121" s="542" t="str">
        <f>V27/('ECOMMERCE Formulas'!$A$43*V14+V43+V44)</f>
        <v>#DIV/0!</v>
      </c>
      <c r="W121" s="542" t="str">
        <f>W27/('ECOMMERCE Formulas'!$A$43*W14+W43+W44)</f>
        <v>#DIV/0!</v>
      </c>
      <c r="X121" s="542" t="str">
        <f>X27/('ECOMMERCE Formulas'!$A$43*X14+X43+X44)</f>
        <v>#DIV/0!</v>
      </c>
      <c r="Y121" s="542" t="str">
        <f>Y27/('ECOMMERCE Formulas'!$A$43*Y14+Y43+Y44)</f>
        <v>#DIV/0!</v>
      </c>
      <c r="Z121" s="542" t="str">
        <f>Z27/('ECOMMERCE Formulas'!$A$43*Z14+Z43+Z44)</f>
        <v>#DIV/0!</v>
      </c>
      <c r="AA121" s="542" t="str">
        <f>AA27/('ECOMMERCE Formulas'!$A$43*AA14+AA43+AA44)</f>
        <v>#DIV/0!</v>
      </c>
      <c r="AB121" s="542" t="str">
        <f>AB27/('ECOMMERCE Formulas'!$A$43*AB14+AB43+AB44)</f>
        <v>#DIV/0!</v>
      </c>
      <c r="AC121" s="542" t="str">
        <f>AC27/('ECOMMERCE Formulas'!$A$43*AC14+AC43+AC44)</f>
        <v>#DIV/0!</v>
      </c>
      <c r="AD121" s="542" t="str">
        <f>AD27/('ECOMMERCE Formulas'!$A$43*AD14+AD43+AD44)</f>
        <v>#DIV/0!</v>
      </c>
      <c r="AE121" s="542" t="str">
        <f>AE27/('ECOMMERCE Formulas'!$A$43*AE14+AE43+AE44)</f>
        <v>#DIV/0!</v>
      </c>
      <c r="AF121" s="542" t="str">
        <f>AF27/('ECOMMERCE Formulas'!$A$43*AF14+AF43+AF44)</f>
        <v>#DIV/0!</v>
      </c>
      <c r="AG121" s="739"/>
    </row>
    <row r="122">
      <c r="A122" s="903"/>
      <c r="B122" s="904"/>
      <c r="C122" s="904"/>
      <c r="D122" s="904"/>
      <c r="E122" s="904"/>
      <c r="F122" s="904"/>
      <c r="G122" s="904"/>
      <c r="H122" s="904"/>
      <c r="I122" s="904"/>
      <c r="J122" s="904"/>
      <c r="K122" s="904"/>
      <c r="L122" s="904"/>
      <c r="M122" s="904"/>
      <c r="N122" s="904"/>
      <c r="O122" s="904"/>
      <c r="P122" s="904"/>
      <c r="Q122" s="904"/>
      <c r="R122" s="904"/>
      <c r="S122" s="904"/>
      <c r="T122" s="904"/>
      <c r="U122" s="904"/>
      <c r="V122" s="904"/>
      <c r="W122" s="904"/>
      <c r="X122" s="904"/>
      <c r="Y122" s="904"/>
      <c r="Z122" s="904"/>
      <c r="AA122" s="904"/>
      <c r="AB122" s="904"/>
      <c r="AC122" s="904"/>
      <c r="AD122" s="904"/>
      <c r="AE122" s="904"/>
      <c r="AF122" s="904"/>
      <c r="AG122" s="905"/>
    </row>
    <row r="123">
      <c r="A123" s="740"/>
      <c r="B123" s="472"/>
      <c r="C123" s="472"/>
      <c r="D123" s="472"/>
      <c r="E123" s="472"/>
      <c r="F123" s="472"/>
      <c r="G123" s="472"/>
      <c r="H123" s="472"/>
      <c r="I123" s="472"/>
      <c r="J123" s="472"/>
      <c r="K123" s="472"/>
      <c r="L123" s="472"/>
      <c r="M123" s="472"/>
      <c r="N123" s="472"/>
      <c r="O123" s="472"/>
      <c r="P123" s="472"/>
      <c r="Q123" s="472"/>
      <c r="R123" s="472"/>
      <c r="S123" s="472"/>
      <c r="T123" s="472"/>
      <c r="U123" s="472"/>
      <c r="V123" s="472"/>
      <c r="W123" s="472"/>
      <c r="X123" s="472"/>
      <c r="Y123" s="472"/>
      <c r="Z123" s="472"/>
      <c r="AA123" s="472"/>
      <c r="AB123" s="472"/>
      <c r="AC123" s="472"/>
      <c r="AD123" s="472"/>
      <c r="AE123" s="472"/>
      <c r="AF123" s="472"/>
      <c r="AG123" s="476"/>
    </row>
    <row r="124">
      <c r="A124" s="42"/>
      <c r="B124" s="743"/>
      <c r="C124" s="743"/>
      <c r="D124" s="743"/>
      <c r="E124" s="743"/>
      <c r="F124" s="743"/>
      <c r="G124" s="743"/>
      <c r="H124" s="743"/>
      <c r="I124" s="743"/>
      <c r="J124" s="743"/>
      <c r="K124" s="743"/>
      <c r="L124" s="743"/>
      <c r="M124" s="743"/>
      <c r="N124" s="743"/>
      <c r="O124" s="743"/>
      <c r="P124" s="743"/>
      <c r="Q124" s="743"/>
      <c r="R124" s="743"/>
      <c r="S124" s="743"/>
      <c r="T124" s="743"/>
      <c r="U124" s="743"/>
      <c r="V124" s="743"/>
      <c r="W124" s="743"/>
      <c r="X124" s="743"/>
      <c r="Y124" s="743"/>
      <c r="Z124" s="743"/>
      <c r="AA124" s="743"/>
      <c r="AB124" s="743"/>
      <c r="AC124" s="743"/>
      <c r="AD124" s="743"/>
      <c r="AE124" s="743"/>
      <c r="AF124" s="743"/>
      <c r="AG124" s="330"/>
    </row>
    <row r="125">
      <c r="A125" s="274" t="s">
        <v>167</v>
      </c>
      <c r="B125" s="327"/>
      <c r="C125" s="327"/>
      <c r="D125" s="327"/>
      <c r="E125" s="327"/>
      <c r="F125" s="327"/>
      <c r="G125" s="327"/>
      <c r="H125" s="327"/>
      <c r="I125" s="327"/>
      <c r="J125" s="327"/>
      <c r="K125" s="327"/>
      <c r="L125" s="327"/>
      <c r="M125" s="327"/>
      <c r="N125" s="327"/>
      <c r="O125" s="327"/>
      <c r="P125" s="327"/>
      <c r="Q125" s="327"/>
      <c r="R125" s="327"/>
      <c r="S125" s="327"/>
      <c r="T125" s="327"/>
      <c r="U125" s="327"/>
      <c r="V125" s="327"/>
      <c r="W125" s="327"/>
      <c r="X125" s="327"/>
      <c r="Y125" s="327"/>
      <c r="Z125" s="327"/>
      <c r="AA125" s="327"/>
      <c r="AB125" s="327"/>
      <c r="AC125" s="327"/>
      <c r="AD125" s="327"/>
      <c r="AE125" s="327"/>
      <c r="AF125" s="327"/>
      <c r="AG125" s="330"/>
    </row>
    <row r="126">
      <c r="A126" s="906" t="s">
        <v>244</v>
      </c>
      <c r="B126" s="276">
        <f>'OLD Sales'!B8</f>
        <v>49127.2</v>
      </c>
      <c r="C126" s="276">
        <f>'OLD Sales'!C8</f>
        <v>44359.94</v>
      </c>
      <c r="D126" s="276">
        <f>'OLD Sales'!D8</f>
        <v>41176.95</v>
      </c>
      <c r="E126" s="276">
        <f>'OLD Sales'!E8</f>
        <v>43682.34</v>
      </c>
      <c r="F126" s="276">
        <f>'OLD Sales'!F8</f>
        <v>40447.23</v>
      </c>
      <c r="G126" s="276">
        <f>'OLD Sales'!G8</f>
        <v>43380.21</v>
      </c>
      <c r="H126" s="276">
        <f>'OLD Sales'!H8</f>
        <v>47720.49</v>
      </c>
      <c r="I126" s="276">
        <f>'OLD Sales'!I8</f>
        <v>53389.16</v>
      </c>
      <c r="J126" s="276">
        <f>'OLD Sales'!J8</f>
        <v>55427.36</v>
      </c>
      <c r="K126" s="276">
        <f>'OLD Sales'!K8</f>
        <v>45887.67</v>
      </c>
      <c r="L126" s="276">
        <f>'OLD Sales'!L8</f>
        <v>51043.74</v>
      </c>
      <c r="M126" s="276">
        <f>'OLD Sales'!M8</f>
        <v>51340.77</v>
      </c>
      <c r="N126" s="276">
        <f>'OLD Sales'!N8</f>
        <v>80153.53</v>
      </c>
      <c r="O126" s="276">
        <f>'OLD Sales'!O8</f>
        <v>68572.56</v>
      </c>
      <c r="P126" s="276">
        <f>'OLD Sales'!P8</f>
        <v>60624.25</v>
      </c>
      <c r="Q126" s="276">
        <f>'OLD Sales'!Q8</f>
        <v>59856.53</v>
      </c>
      <c r="R126" s="276">
        <f>'OLD Sales'!R8</f>
        <v>32044.25</v>
      </c>
      <c r="S126" s="276">
        <f>'OLD Sales'!S8</f>
        <v>60316.3</v>
      </c>
      <c r="T126" s="276">
        <f>'OLD Sales'!T8</f>
        <v>43139.27</v>
      </c>
      <c r="U126" s="276">
        <f>'OLD Sales'!U8</f>
        <v>47288.79</v>
      </c>
      <c r="V126" s="276">
        <f>'OLD Sales'!V8</f>
        <v>48826.1</v>
      </c>
      <c r="W126" s="276">
        <f>'OLD Sales'!W8</f>
        <v>41957.56</v>
      </c>
      <c r="X126" s="276">
        <f>'OLD Sales'!X8</f>
        <v>40174.12</v>
      </c>
      <c r="Y126" s="276">
        <f>'OLD Sales'!Y8</f>
        <v>31487.95</v>
      </c>
      <c r="Z126" s="276">
        <f>'OLD Sales'!Z8</f>
        <v>36143.33</v>
      </c>
      <c r="AA126" s="276">
        <f>'OLD Sales'!AA8</f>
        <v>30366.88</v>
      </c>
      <c r="AB126" s="276">
        <f>'OLD Sales'!AB8</f>
        <v>34701.54</v>
      </c>
      <c r="AC126" s="276">
        <f>'OLD Sales'!AC8</f>
        <v>30849.69</v>
      </c>
      <c r="AD126" s="276">
        <f>'OLD Sales'!AD8</f>
        <v>32381.7</v>
      </c>
      <c r="AE126" s="276">
        <f>'OLD Sales'!AE8</f>
        <v>31165.57</v>
      </c>
      <c r="AF126" s="276">
        <f>'OLD Sales'!AF8</f>
        <v>34474.77</v>
      </c>
      <c r="AG126" s="768">
        <f>sum(B126:AF126)</f>
        <v>1411507.75</v>
      </c>
    </row>
    <row r="127">
      <c r="A127" s="275" t="s">
        <v>702</v>
      </c>
      <c r="B127" s="770">
        <f t="shared" ref="B127:AF127" si="25">SUM(B126)</f>
        <v>49127.2</v>
      </c>
      <c r="C127" s="770">
        <f t="shared" si="25"/>
        <v>44359.94</v>
      </c>
      <c r="D127" s="770">
        <f t="shared" si="25"/>
        <v>41176.95</v>
      </c>
      <c r="E127" s="770">
        <f t="shared" si="25"/>
        <v>43682.34</v>
      </c>
      <c r="F127" s="770">
        <f t="shared" si="25"/>
        <v>40447.23</v>
      </c>
      <c r="G127" s="770">
        <f t="shared" si="25"/>
        <v>43380.21</v>
      </c>
      <c r="H127" s="770">
        <f t="shared" si="25"/>
        <v>47720.49</v>
      </c>
      <c r="I127" s="770">
        <f t="shared" si="25"/>
        <v>53389.16</v>
      </c>
      <c r="J127" s="770">
        <f t="shared" si="25"/>
        <v>55427.36</v>
      </c>
      <c r="K127" s="770">
        <f t="shared" si="25"/>
        <v>45887.67</v>
      </c>
      <c r="L127" s="770">
        <f t="shared" si="25"/>
        <v>51043.74</v>
      </c>
      <c r="M127" s="770">
        <f t="shared" si="25"/>
        <v>51340.77</v>
      </c>
      <c r="N127" s="770">
        <f t="shared" si="25"/>
        <v>80153.53</v>
      </c>
      <c r="O127" s="770">
        <f t="shared" si="25"/>
        <v>68572.56</v>
      </c>
      <c r="P127" s="770">
        <f t="shared" si="25"/>
        <v>60624.25</v>
      </c>
      <c r="Q127" s="770">
        <f t="shared" si="25"/>
        <v>59856.53</v>
      </c>
      <c r="R127" s="770">
        <f t="shared" si="25"/>
        <v>32044.25</v>
      </c>
      <c r="S127" s="770">
        <f t="shared" si="25"/>
        <v>60316.3</v>
      </c>
      <c r="T127" s="770">
        <f t="shared" si="25"/>
        <v>43139.27</v>
      </c>
      <c r="U127" s="770">
        <f t="shared" si="25"/>
        <v>47288.79</v>
      </c>
      <c r="V127" s="770">
        <f t="shared" si="25"/>
        <v>48826.1</v>
      </c>
      <c r="W127" s="770">
        <f t="shared" si="25"/>
        <v>41957.56</v>
      </c>
      <c r="X127" s="770">
        <f t="shared" si="25"/>
        <v>40174.12</v>
      </c>
      <c r="Y127" s="770">
        <f t="shared" si="25"/>
        <v>31487.95</v>
      </c>
      <c r="Z127" s="770">
        <f t="shared" si="25"/>
        <v>36143.33</v>
      </c>
      <c r="AA127" s="770">
        <f t="shared" si="25"/>
        <v>30366.88</v>
      </c>
      <c r="AB127" s="770">
        <f t="shared" si="25"/>
        <v>34701.54</v>
      </c>
      <c r="AC127" s="770">
        <f t="shared" si="25"/>
        <v>30849.69</v>
      </c>
      <c r="AD127" s="770">
        <f t="shared" si="25"/>
        <v>32381.7</v>
      </c>
      <c r="AE127" s="770">
        <f t="shared" si="25"/>
        <v>31165.57</v>
      </c>
      <c r="AF127" s="770">
        <f t="shared" si="25"/>
        <v>34474.77</v>
      </c>
      <c r="AG127" s="360">
        <f>SUM(B127:AF127)</f>
        <v>1411507.75</v>
      </c>
    </row>
    <row r="128">
      <c r="A128" s="42"/>
      <c r="B128" s="327"/>
      <c r="C128" s="327"/>
      <c r="D128" s="327"/>
      <c r="E128" s="327"/>
      <c r="F128" s="327"/>
      <c r="G128" s="327"/>
      <c r="H128" s="327"/>
      <c r="I128" s="327"/>
      <c r="J128" s="327"/>
      <c r="K128" s="327"/>
      <c r="L128" s="327"/>
      <c r="M128" s="327"/>
      <c r="N128" s="327"/>
      <c r="O128" s="327"/>
      <c r="P128" s="327"/>
      <c r="Q128" s="327"/>
      <c r="R128" s="327"/>
      <c r="S128" s="327"/>
      <c r="T128" s="327"/>
      <c r="U128" s="327"/>
      <c r="V128" s="327"/>
      <c r="W128" s="327"/>
      <c r="X128" s="327"/>
      <c r="Y128" s="327"/>
      <c r="Z128" s="327"/>
      <c r="AA128" s="327"/>
      <c r="AB128" s="327"/>
      <c r="AC128" s="327"/>
      <c r="AD128" s="327"/>
      <c r="AE128" s="327"/>
      <c r="AF128" s="327"/>
      <c r="AG128" s="776"/>
    </row>
    <row r="129">
      <c r="A129" s="648" t="s">
        <v>100</v>
      </c>
      <c r="B129" s="327"/>
      <c r="C129" s="327"/>
      <c r="D129" s="327"/>
      <c r="E129" s="327"/>
      <c r="F129" s="327"/>
      <c r="G129" s="327"/>
      <c r="H129" s="327"/>
      <c r="I129" s="327"/>
      <c r="J129" s="327"/>
      <c r="K129" s="327"/>
      <c r="L129" s="327"/>
      <c r="M129" s="327"/>
      <c r="N129" s="327"/>
      <c r="O129" s="327"/>
      <c r="P129" s="327"/>
      <c r="Q129" s="327"/>
      <c r="R129" s="327"/>
      <c r="S129" s="327"/>
      <c r="T129" s="327"/>
      <c r="U129" s="327"/>
      <c r="V129" s="327"/>
      <c r="W129" s="327"/>
      <c r="X129" s="327"/>
      <c r="Y129" s="327"/>
      <c r="Z129" s="327"/>
      <c r="AA129" s="327"/>
      <c r="AB129" s="327"/>
      <c r="AC129" s="327"/>
      <c r="AD129" s="327"/>
      <c r="AE129" s="327"/>
      <c r="AF129" s="327"/>
      <c r="AG129" s="776"/>
    </row>
    <row r="130">
      <c r="A130" s="909" t="s">
        <v>246</v>
      </c>
      <c r="B130" s="295">
        <f>'OLD Sales'!B15</f>
        <v>173</v>
      </c>
      <c r="C130" s="777">
        <f>'OLD Sales'!C15</f>
        <v>181</v>
      </c>
      <c r="D130" s="777">
        <f>'OLD Sales'!D15</f>
        <v>159</v>
      </c>
      <c r="E130" s="777">
        <f>'OLD Sales'!E15</f>
        <v>184</v>
      </c>
      <c r="F130" s="777">
        <f>'OLD Sales'!F15</f>
        <v>171</v>
      </c>
      <c r="G130" s="777">
        <f>'OLD Sales'!G15</f>
        <v>187</v>
      </c>
      <c r="H130" s="777">
        <f>'OLD Sales'!H15</f>
        <v>193</v>
      </c>
      <c r="I130" s="777">
        <f>'OLD Sales'!I15</f>
        <v>236</v>
      </c>
      <c r="J130" s="777">
        <f>'OLD Sales'!J15</f>
        <v>216</v>
      </c>
      <c r="K130" s="777">
        <f>'OLD Sales'!K15</f>
        <v>214</v>
      </c>
      <c r="L130" s="777">
        <f>'OLD Sales'!L15</f>
        <v>204</v>
      </c>
      <c r="M130" s="777">
        <f>'OLD Sales'!M15</f>
        <v>198</v>
      </c>
      <c r="N130" s="777">
        <f>'OLD Sales'!N15</f>
        <v>326</v>
      </c>
      <c r="O130" s="777">
        <f>'OLD Sales'!O15</f>
        <v>288</v>
      </c>
      <c r="P130" s="777">
        <f>'OLD Sales'!P15</f>
        <v>252</v>
      </c>
      <c r="Q130" s="777">
        <f>'OLD Sales'!Q15</f>
        <v>249</v>
      </c>
      <c r="R130" s="777">
        <f>'OLD Sales'!R15</f>
        <v>147</v>
      </c>
      <c r="S130" s="777">
        <f>'OLD Sales'!S15</f>
        <v>234</v>
      </c>
      <c r="T130" s="777">
        <f>'OLD Sales'!T15</f>
        <v>172</v>
      </c>
      <c r="U130" s="777">
        <f>'OLD Sales'!U15</f>
        <v>198</v>
      </c>
      <c r="V130" s="777">
        <f>'OLD Sales'!V15</f>
        <v>188</v>
      </c>
      <c r="W130" s="777">
        <f>'OLD Sales'!W15</f>
        <v>187</v>
      </c>
      <c r="X130" s="777">
        <f>'OLD Sales'!X15</f>
        <v>171</v>
      </c>
      <c r="Y130" s="777">
        <f>'OLD Sales'!Y15</f>
        <v>126</v>
      </c>
      <c r="Z130" s="777">
        <f>'OLD Sales'!Z15</f>
        <v>129</v>
      </c>
      <c r="AA130" s="293">
        <f>'OLD Sales'!AA15</f>
        <v>114</v>
      </c>
      <c r="AB130" s="777">
        <f>'OLD Sales'!AB15</f>
        <v>128</v>
      </c>
      <c r="AC130" s="777">
        <f>'OLD Sales'!AC15</f>
        <v>130</v>
      </c>
      <c r="AD130" s="777">
        <f>'OLD Sales'!AD15</f>
        <v>126</v>
      </c>
      <c r="AE130" s="777">
        <f>'OLD Sales'!AE15</f>
        <v>128</v>
      </c>
      <c r="AF130" s="777">
        <f>'OLD Sales'!AF15</f>
        <v>131</v>
      </c>
      <c r="AG130" s="768">
        <f t="shared" ref="AG130:AG131" si="27">sum(B130:AF130)</f>
        <v>5740</v>
      </c>
    </row>
    <row r="131">
      <c r="A131" s="909" t="s">
        <v>790</v>
      </c>
      <c r="B131" s="783">
        <f t="shared" ref="B131:AF131" si="26">SUM(B130)</f>
        <v>173</v>
      </c>
      <c r="C131" s="784">
        <f t="shared" si="26"/>
        <v>181</v>
      </c>
      <c r="D131" s="784">
        <f t="shared" si="26"/>
        <v>159</v>
      </c>
      <c r="E131" s="784">
        <f t="shared" si="26"/>
        <v>184</v>
      </c>
      <c r="F131" s="784">
        <f t="shared" si="26"/>
        <v>171</v>
      </c>
      <c r="G131" s="784">
        <f t="shared" si="26"/>
        <v>187</v>
      </c>
      <c r="H131" s="784">
        <f t="shared" si="26"/>
        <v>193</v>
      </c>
      <c r="I131" s="784">
        <f t="shared" si="26"/>
        <v>236</v>
      </c>
      <c r="J131" s="784">
        <f t="shared" si="26"/>
        <v>216</v>
      </c>
      <c r="K131" s="784">
        <f t="shared" si="26"/>
        <v>214</v>
      </c>
      <c r="L131" s="784">
        <f t="shared" si="26"/>
        <v>204</v>
      </c>
      <c r="M131" s="784">
        <f t="shared" si="26"/>
        <v>198</v>
      </c>
      <c r="N131" s="784">
        <f t="shared" si="26"/>
        <v>326</v>
      </c>
      <c r="O131" s="784">
        <f t="shared" si="26"/>
        <v>288</v>
      </c>
      <c r="P131" s="784">
        <f t="shared" si="26"/>
        <v>252</v>
      </c>
      <c r="Q131" s="784">
        <f t="shared" si="26"/>
        <v>249</v>
      </c>
      <c r="R131" s="784">
        <f t="shared" si="26"/>
        <v>147</v>
      </c>
      <c r="S131" s="784">
        <f t="shared" si="26"/>
        <v>234</v>
      </c>
      <c r="T131" s="784">
        <f t="shared" si="26"/>
        <v>172</v>
      </c>
      <c r="U131" s="784">
        <f t="shared" si="26"/>
        <v>198</v>
      </c>
      <c r="V131" s="784">
        <f t="shared" si="26"/>
        <v>188</v>
      </c>
      <c r="W131" s="784">
        <f t="shared" si="26"/>
        <v>187</v>
      </c>
      <c r="X131" s="784">
        <f t="shared" si="26"/>
        <v>171</v>
      </c>
      <c r="Y131" s="784">
        <f t="shared" si="26"/>
        <v>126</v>
      </c>
      <c r="Z131" s="784">
        <f t="shared" si="26"/>
        <v>129</v>
      </c>
      <c r="AA131" s="784">
        <f t="shared" si="26"/>
        <v>114</v>
      </c>
      <c r="AB131" s="784">
        <f t="shared" si="26"/>
        <v>128</v>
      </c>
      <c r="AC131" s="784">
        <f t="shared" si="26"/>
        <v>130</v>
      </c>
      <c r="AD131" s="784">
        <f t="shared" si="26"/>
        <v>126</v>
      </c>
      <c r="AE131" s="784">
        <f t="shared" si="26"/>
        <v>128</v>
      </c>
      <c r="AF131" s="784">
        <f t="shared" si="26"/>
        <v>131</v>
      </c>
      <c r="AG131" s="768">
        <f t="shared" si="27"/>
        <v>5740</v>
      </c>
    </row>
    <row r="132">
      <c r="A132" s="42"/>
      <c r="B132" s="327"/>
      <c r="C132" s="327"/>
      <c r="D132" s="327"/>
      <c r="E132" s="327"/>
      <c r="F132" s="327"/>
      <c r="G132" s="327"/>
      <c r="H132" s="327"/>
      <c r="I132" s="327"/>
      <c r="J132" s="327"/>
      <c r="K132" s="327"/>
      <c r="L132" s="327"/>
      <c r="M132" s="327"/>
      <c r="N132" s="327"/>
      <c r="O132" s="327"/>
      <c r="P132" s="327"/>
      <c r="Q132" s="327"/>
      <c r="R132" s="327"/>
      <c r="S132" s="327"/>
      <c r="T132" s="327"/>
      <c r="U132" s="327"/>
      <c r="V132" s="327"/>
      <c r="W132" s="327"/>
      <c r="X132" s="327"/>
      <c r="Y132" s="327"/>
      <c r="Z132" s="327"/>
      <c r="AA132" s="327"/>
      <c r="AB132" s="327"/>
      <c r="AC132" s="327"/>
      <c r="AD132" s="327"/>
      <c r="AE132" s="327"/>
      <c r="AF132" s="327"/>
      <c r="AG132" s="776"/>
    </row>
    <row r="133">
      <c r="A133" s="648" t="s">
        <v>791</v>
      </c>
      <c r="B133" s="327"/>
      <c r="C133" s="327"/>
      <c r="D133" s="327"/>
      <c r="E133" s="327"/>
      <c r="F133" s="327"/>
      <c r="G133" s="327"/>
      <c r="H133" s="327"/>
      <c r="I133" s="327"/>
      <c r="J133" s="327"/>
      <c r="K133" s="327"/>
      <c r="L133" s="327"/>
      <c r="M133" s="327"/>
      <c r="N133" s="327"/>
      <c r="O133" s="327"/>
      <c r="P133" s="327"/>
      <c r="Q133" s="327"/>
      <c r="R133" s="327"/>
      <c r="S133" s="327"/>
      <c r="T133" s="327"/>
      <c r="U133" s="327"/>
      <c r="V133" s="327"/>
      <c r="W133" s="327"/>
      <c r="X133" s="327"/>
      <c r="Y133" s="327"/>
      <c r="Z133" s="327"/>
      <c r="AA133" s="327"/>
      <c r="AB133" s="327"/>
      <c r="AC133" s="327"/>
      <c r="AD133" s="327"/>
      <c r="AE133" s="327"/>
      <c r="AF133" s="327"/>
      <c r="AG133" s="776"/>
    </row>
    <row r="134">
      <c r="A134" s="794" t="s">
        <v>792</v>
      </c>
      <c r="B134" s="787">
        <v>35794.0</v>
      </c>
      <c r="C134" s="787">
        <v>40434.0</v>
      </c>
      <c r="D134" s="788">
        <v>35870.0</v>
      </c>
      <c r="E134" s="787">
        <v>39683.0</v>
      </c>
      <c r="F134" s="787">
        <v>38047.0</v>
      </c>
      <c r="G134" s="787">
        <v>41568.0</v>
      </c>
      <c r="H134" s="787">
        <v>43431.0</v>
      </c>
      <c r="I134" s="789">
        <v>51150.0</v>
      </c>
      <c r="J134" s="790">
        <v>47897.0</v>
      </c>
      <c r="K134" s="790">
        <v>45949.0</v>
      </c>
      <c r="L134" s="787">
        <v>46432.0</v>
      </c>
      <c r="M134" s="787">
        <v>47282.0</v>
      </c>
      <c r="N134" s="787">
        <v>77829.0</v>
      </c>
      <c r="O134" s="787">
        <v>69661.0</v>
      </c>
      <c r="P134" s="787">
        <v>58744.0</v>
      </c>
      <c r="Q134" s="787">
        <v>57443.0</v>
      </c>
      <c r="R134" s="787">
        <v>31641.1</v>
      </c>
      <c r="S134" s="787">
        <v>56318.0</v>
      </c>
      <c r="T134" s="787">
        <v>40207.0</v>
      </c>
      <c r="U134" s="792">
        <v>46438.0</v>
      </c>
      <c r="V134" s="787">
        <v>40670.0</v>
      </c>
      <c r="W134" s="787">
        <v>39606.0</v>
      </c>
      <c r="X134" s="787">
        <v>35325.0</v>
      </c>
      <c r="Y134" s="792">
        <v>28074.0</v>
      </c>
      <c r="Z134" s="787">
        <v>29685.0</v>
      </c>
      <c r="AA134" s="787">
        <v>27981.2</v>
      </c>
      <c r="AB134" s="787">
        <v>31583.0</v>
      </c>
      <c r="AC134" s="787">
        <v>28913.0</v>
      </c>
      <c r="AD134" s="787">
        <v>27673.2</v>
      </c>
      <c r="AE134" s="787">
        <v>28465.2</v>
      </c>
      <c r="AF134" s="787">
        <v>31337.0</v>
      </c>
      <c r="AG134" s="360">
        <f>SUM(B134:AF134)</f>
        <v>1301130.7</v>
      </c>
    </row>
    <row r="135">
      <c r="A135" s="794" t="s">
        <v>718</v>
      </c>
      <c r="B135" s="787">
        <v>809.0</v>
      </c>
      <c r="C135" s="787">
        <v>670.0</v>
      </c>
      <c r="D135" s="787">
        <v>1371.2</v>
      </c>
      <c r="E135" s="787">
        <v>2488.9</v>
      </c>
      <c r="F135" s="787">
        <v>2499.2</v>
      </c>
      <c r="G135" s="787">
        <v>2311.1</v>
      </c>
      <c r="H135" s="787">
        <v>3085.8</v>
      </c>
      <c r="I135" s="787">
        <v>3300.4</v>
      </c>
      <c r="J135" s="787">
        <v>2771.9</v>
      </c>
      <c r="K135" s="787">
        <v>3034.2</v>
      </c>
      <c r="L135" s="787">
        <v>4020.2</v>
      </c>
      <c r="M135" s="787">
        <v>3904.6</v>
      </c>
      <c r="N135" s="787">
        <v>9724.6</v>
      </c>
      <c r="O135" s="787">
        <v>8735.4</v>
      </c>
      <c r="P135" s="787">
        <v>6295.7</v>
      </c>
      <c r="Q135" s="792">
        <v>5445.5</v>
      </c>
      <c r="R135" s="787">
        <v>3261.9</v>
      </c>
      <c r="S135" s="787">
        <v>5056.3</v>
      </c>
      <c r="T135" s="787">
        <v>3111.0</v>
      </c>
      <c r="U135" s="792">
        <v>2934.8</v>
      </c>
      <c r="V135" s="787">
        <v>1797.5</v>
      </c>
      <c r="W135" s="787">
        <v>659.7</v>
      </c>
      <c r="X135" s="787">
        <v>804.8</v>
      </c>
      <c r="Y135" s="787">
        <v>241.7</v>
      </c>
      <c r="Z135" s="787">
        <v>822.6</v>
      </c>
      <c r="AA135" s="787">
        <v>994.0</v>
      </c>
      <c r="AB135" s="787">
        <v>724.2</v>
      </c>
      <c r="AC135" s="787">
        <v>803.4</v>
      </c>
      <c r="AD135" s="787">
        <v>1101.0</v>
      </c>
      <c r="AE135" s="787">
        <v>952.6</v>
      </c>
      <c r="AF135" s="787">
        <v>887.1</v>
      </c>
      <c r="AG135" s="360"/>
    </row>
    <row r="136">
      <c r="A136" s="794" t="s">
        <v>793</v>
      </c>
      <c r="B136" s="787">
        <v>2301.91</v>
      </c>
      <c r="C136" s="797">
        <v>2585.0</v>
      </c>
      <c r="D136" s="787">
        <v>2250.0</v>
      </c>
      <c r="E136" s="787">
        <v>2535.0</v>
      </c>
      <c r="F136" s="787">
        <v>2300.0</v>
      </c>
      <c r="G136" s="787">
        <v>2320.0</v>
      </c>
      <c r="H136" s="787">
        <v>2578.95</v>
      </c>
      <c r="I136" s="787">
        <v>2955.0</v>
      </c>
      <c r="J136" s="787">
        <v>2895.0</v>
      </c>
      <c r="K136" s="787">
        <v>2885.0</v>
      </c>
      <c r="L136" s="787">
        <v>2500.0</v>
      </c>
      <c r="M136" s="787">
        <v>2610.0</v>
      </c>
      <c r="N136" s="787">
        <v>4250.0</v>
      </c>
      <c r="O136" s="787">
        <v>3835.0</v>
      </c>
      <c r="P136" s="787">
        <v>3400.0</v>
      </c>
      <c r="Q136" s="792">
        <v>3440.0</v>
      </c>
      <c r="R136" s="787">
        <v>1885.0</v>
      </c>
      <c r="S136" s="787">
        <v>3070.0</v>
      </c>
      <c r="T136" s="787">
        <v>2390.0</v>
      </c>
      <c r="U136" s="792">
        <v>2650.0</v>
      </c>
      <c r="V136" s="787">
        <v>2480.0</v>
      </c>
      <c r="W136" s="787">
        <v>2360.0</v>
      </c>
      <c r="X136" s="787">
        <v>2285.0</v>
      </c>
      <c r="Y136" s="787">
        <v>1740.0</v>
      </c>
      <c r="Z136" s="787">
        <v>1760.0</v>
      </c>
      <c r="AA136" s="787">
        <v>1705.0</v>
      </c>
      <c r="AB136" s="787">
        <v>1780.0</v>
      </c>
      <c r="AC136" s="787">
        <v>1905.0</v>
      </c>
      <c r="AD136" s="787">
        <v>1630.0</v>
      </c>
      <c r="AE136" s="787">
        <v>1775.0</v>
      </c>
      <c r="AF136" s="787">
        <v>1745.0</v>
      </c>
      <c r="AG136" s="360">
        <f t="shared" ref="AG136:AG138" si="28">SUM(B136:AF136)</f>
        <v>76800.86</v>
      </c>
    </row>
    <row r="137">
      <c r="A137" s="794" t="s">
        <v>794</v>
      </c>
      <c r="B137" s="787">
        <v>2405.0</v>
      </c>
      <c r="C137" s="787">
        <v>2823.24</v>
      </c>
      <c r="D137" s="787">
        <v>2179.75</v>
      </c>
      <c r="E137" s="787">
        <v>2224.15</v>
      </c>
      <c r="F137" s="787">
        <v>2263.06</v>
      </c>
      <c r="G137" s="787">
        <v>2560.91</v>
      </c>
      <c r="H137" s="787">
        <v>2475.0</v>
      </c>
      <c r="I137" s="787">
        <v>3139.62</v>
      </c>
      <c r="J137" s="787">
        <v>2878.18</v>
      </c>
      <c r="K137" s="787">
        <v>2687.08</v>
      </c>
      <c r="L137" s="787">
        <v>2857.92</v>
      </c>
      <c r="M137" s="787">
        <v>2742.77</v>
      </c>
      <c r="N137" s="787">
        <v>4420.83</v>
      </c>
      <c r="O137" s="787">
        <v>4041.71</v>
      </c>
      <c r="P137" s="787">
        <v>3417.03</v>
      </c>
      <c r="Q137" s="787">
        <v>3275.52</v>
      </c>
      <c r="R137" s="787">
        <v>1843.91</v>
      </c>
      <c r="S137" s="787">
        <v>3460.94</v>
      </c>
      <c r="T137" s="787">
        <v>2473.56</v>
      </c>
      <c r="U137" s="787">
        <v>2781.55</v>
      </c>
      <c r="V137" s="787">
        <v>2567.44</v>
      </c>
      <c r="W137" s="787">
        <v>2549.56</v>
      </c>
      <c r="X137" s="787">
        <v>2241.14</v>
      </c>
      <c r="Y137" s="787">
        <v>1706.5</v>
      </c>
      <c r="Z137" s="787">
        <v>1795.56</v>
      </c>
      <c r="AA137" s="787">
        <v>1705.31</v>
      </c>
      <c r="AB137" s="787">
        <v>1833.59</v>
      </c>
      <c r="AC137" s="787">
        <v>1625.61</v>
      </c>
      <c r="AD137" s="787">
        <v>1729.55</v>
      </c>
      <c r="AE137" s="787">
        <v>1831.39</v>
      </c>
      <c r="AF137" s="787">
        <v>1827.95</v>
      </c>
      <c r="AG137" s="360">
        <f t="shared" si="28"/>
        <v>78365.33</v>
      </c>
    </row>
    <row r="138">
      <c r="A138" s="799" t="s">
        <v>795</v>
      </c>
      <c r="B138" s="800">
        <v>39691.91</v>
      </c>
      <c r="C138" s="800">
        <v>45172.24</v>
      </c>
      <c r="D138" s="800">
        <v>38928.55</v>
      </c>
      <c r="E138" s="800">
        <v>41953.25</v>
      </c>
      <c r="F138" s="800">
        <v>40110.86</v>
      </c>
      <c r="G138" s="800">
        <v>44137.810000000005</v>
      </c>
      <c r="H138" s="800">
        <v>45399.149999999994</v>
      </c>
      <c r="I138" s="800">
        <v>53944.22</v>
      </c>
      <c r="J138" s="800">
        <v>50898.28</v>
      </c>
      <c r="K138" s="800">
        <v>48486.880000000005</v>
      </c>
      <c r="L138" s="800">
        <v>47769.72</v>
      </c>
      <c r="M138" s="800">
        <v>48730.17</v>
      </c>
      <c r="N138" s="800">
        <v>76775.23</v>
      </c>
      <c r="O138" s="800">
        <v>68802.31000000001</v>
      </c>
      <c r="P138" s="800">
        <v>59265.33</v>
      </c>
      <c r="Q138" s="800">
        <v>58713.02</v>
      </c>
      <c r="R138" s="800">
        <v>32108.11</v>
      </c>
      <c r="S138" s="800">
        <v>57792.64</v>
      </c>
      <c r="T138" s="800">
        <v>41959.56</v>
      </c>
      <c r="U138" s="800">
        <v>48934.75</v>
      </c>
      <c r="V138" s="800">
        <v>43919.94</v>
      </c>
      <c r="W138" s="800">
        <v>43855.86</v>
      </c>
      <c r="X138" s="800">
        <v>39046.34</v>
      </c>
      <c r="Y138" s="800">
        <v>31278.8</v>
      </c>
      <c r="Z138" s="800">
        <v>32417.96</v>
      </c>
      <c r="AA138" s="800">
        <v>30397.510000000002</v>
      </c>
      <c r="AB138" s="800">
        <v>34472.39</v>
      </c>
      <c r="AC138" s="800">
        <v>31640.21</v>
      </c>
      <c r="AD138" s="800">
        <v>29931.75</v>
      </c>
      <c r="AE138" s="800">
        <v>31118.99</v>
      </c>
      <c r="AF138" s="800">
        <v>34022.85</v>
      </c>
      <c r="AG138" s="360">
        <f t="shared" si="28"/>
        <v>1371676.59</v>
      </c>
    </row>
    <row r="139">
      <c r="A139" s="42"/>
      <c r="B139" s="327"/>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7"/>
      <c r="Y139" s="327"/>
      <c r="Z139" s="327"/>
      <c r="AA139" s="327"/>
      <c r="AB139" s="327"/>
      <c r="AC139" s="327"/>
      <c r="AD139" s="327"/>
      <c r="AE139" s="327"/>
      <c r="AF139" s="327"/>
      <c r="AG139" s="776"/>
    </row>
    <row r="140">
      <c r="A140" s="648" t="s">
        <v>796</v>
      </c>
      <c r="B140" s="327"/>
      <c r="C140" s="327"/>
      <c r="D140" s="327"/>
      <c r="E140" s="327"/>
      <c r="F140" s="327"/>
      <c r="G140" s="327"/>
      <c r="H140" s="327"/>
      <c r="I140" s="327"/>
      <c r="J140" s="327"/>
      <c r="K140" s="327"/>
      <c r="L140" s="327"/>
      <c r="M140" s="327"/>
      <c r="N140" s="327"/>
      <c r="O140" s="327"/>
      <c r="P140" s="327"/>
      <c r="Q140" s="327"/>
      <c r="R140" s="327"/>
      <c r="S140" s="327"/>
      <c r="T140" s="327"/>
      <c r="U140" s="327"/>
      <c r="V140" s="327"/>
      <c r="W140" s="327"/>
      <c r="X140" s="327"/>
      <c r="Y140" s="327"/>
      <c r="Z140" s="327"/>
      <c r="AA140" s="327"/>
      <c r="AB140" s="327"/>
      <c r="AC140" s="327"/>
      <c r="AD140" s="327"/>
      <c r="AE140" s="327"/>
      <c r="AF140" s="327"/>
      <c r="AG140" s="776"/>
    </row>
    <row r="141">
      <c r="A141" s="799" t="s">
        <v>702</v>
      </c>
      <c r="B141" s="804">
        <v>39691.91</v>
      </c>
      <c r="C141" s="804">
        <v>45172.24</v>
      </c>
      <c r="D141" s="804">
        <v>38928.55</v>
      </c>
      <c r="E141" s="804">
        <v>41953.25</v>
      </c>
      <c r="F141" s="804">
        <v>39882.86</v>
      </c>
      <c r="G141" s="804">
        <v>44067.81</v>
      </c>
      <c r="H141" s="804">
        <v>45399.149999999994</v>
      </c>
      <c r="I141" s="804">
        <v>53944.22</v>
      </c>
      <c r="J141" s="804">
        <v>50898.28</v>
      </c>
      <c r="K141" s="804">
        <v>48486.88</v>
      </c>
      <c r="L141" s="804">
        <v>47769.72</v>
      </c>
      <c r="M141" s="804">
        <v>48730.17</v>
      </c>
      <c r="N141" s="804">
        <v>76715.23</v>
      </c>
      <c r="O141" s="804">
        <v>68802.31</v>
      </c>
      <c r="P141" s="804">
        <v>59238.43</v>
      </c>
      <c r="Q141" s="804">
        <v>58669.22</v>
      </c>
      <c r="R141" s="804">
        <v>31885.01</v>
      </c>
      <c r="S141" s="804">
        <v>57346.54</v>
      </c>
      <c r="T141" s="804">
        <v>41831.46</v>
      </c>
      <c r="U141" s="804">
        <v>48612.33</v>
      </c>
      <c r="V141" s="804">
        <v>43560.84</v>
      </c>
      <c r="W141" s="804">
        <v>43855.86</v>
      </c>
      <c r="X141" s="804">
        <v>38937.83</v>
      </c>
      <c r="Y141" s="804">
        <v>29988.7</v>
      </c>
      <c r="Z141" s="804">
        <v>32351.06</v>
      </c>
      <c r="AA141" s="804">
        <v>30337.51</v>
      </c>
      <c r="AB141" s="804">
        <v>34177.29</v>
      </c>
      <c r="AC141" s="804">
        <v>31353.11</v>
      </c>
      <c r="AD141" s="804">
        <v>29931.75</v>
      </c>
      <c r="AE141" s="804">
        <v>30775.09</v>
      </c>
      <c r="AF141" s="804">
        <v>33355.85</v>
      </c>
      <c r="AG141" s="360">
        <f t="shared" ref="AG141:AG142" si="29">SUM(B141:AF141)</f>
        <v>1366650.46</v>
      </c>
    </row>
    <row r="142">
      <c r="A142" s="799" t="s">
        <v>790</v>
      </c>
      <c r="B142" s="805">
        <v>173.0</v>
      </c>
      <c r="C142" s="806">
        <v>181.0</v>
      </c>
      <c r="D142" s="806">
        <v>159.0</v>
      </c>
      <c r="E142" s="806">
        <v>184.0</v>
      </c>
      <c r="F142" s="806">
        <v>171.0</v>
      </c>
      <c r="G142" s="806">
        <v>187.0</v>
      </c>
      <c r="H142" s="806">
        <v>193.0</v>
      </c>
      <c r="I142" s="806">
        <v>236.0</v>
      </c>
      <c r="J142" s="806">
        <v>216.0</v>
      </c>
      <c r="K142" s="806">
        <v>214.0</v>
      </c>
      <c r="L142" s="806">
        <v>204.0</v>
      </c>
      <c r="M142" s="806">
        <v>198.0</v>
      </c>
      <c r="N142" s="806">
        <v>326.0</v>
      </c>
      <c r="O142" s="806">
        <v>288.0</v>
      </c>
      <c r="P142" s="806">
        <v>252.0</v>
      </c>
      <c r="Q142" s="806">
        <v>249.0</v>
      </c>
      <c r="R142" s="806">
        <v>147.0</v>
      </c>
      <c r="S142" s="806">
        <v>234.0</v>
      </c>
      <c r="T142" s="806">
        <v>172.0</v>
      </c>
      <c r="U142" s="806">
        <v>198.0</v>
      </c>
      <c r="V142" s="806">
        <v>188.0</v>
      </c>
      <c r="W142" s="806">
        <v>187.0</v>
      </c>
      <c r="X142" s="806">
        <v>171.0</v>
      </c>
      <c r="Y142" s="806">
        <v>126.0</v>
      </c>
      <c r="Z142" s="806">
        <v>129.0</v>
      </c>
      <c r="AA142" s="807">
        <v>114.0</v>
      </c>
      <c r="AB142" s="806">
        <v>128.0</v>
      </c>
      <c r="AC142" s="806">
        <v>130.0</v>
      </c>
      <c r="AD142" s="806">
        <v>126.0</v>
      </c>
      <c r="AE142" s="806">
        <v>128.0</v>
      </c>
      <c r="AF142" s="806">
        <v>131.0</v>
      </c>
      <c r="AG142" s="360">
        <f t="shared" si="29"/>
        <v>5740</v>
      </c>
    </row>
    <row r="143">
      <c r="A143" s="42"/>
      <c r="B143" s="327"/>
      <c r="C143" s="327"/>
      <c r="D143" s="327"/>
      <c r="E143" s="327"/>
      <c r="F143" s="327"/>
      <c r="G143" s="327"/>
      <c r="H143" s="327"/>
      <c r="I143" s="327"/>
      <c r="J143" s="327"/>
      <c r="K143" s="327"/>
      <c r="L143" s="327"/>
      <c r="M143" s="327"/>
      <c r="N143" s="327"/>
      <c r="O143" s="327"/>
      <c r="P143" s="327"/>
      <c r="Q143" s="327"/>
      <c r="R143" s="327"/>
      <c r="S143" s="327"/>
      <c r="T143" s="327"/>
      <c r="U143" s="327"/>
      <c r="V143" s="327"/>
      <c r="W143" s="327"/>
      <c r="X143" s="327"/>
      <c r="Y143" s="327"/>
      <c r="Z143" s="327"/>
      <c r="AA143" s="327"/>
      <c r="AB143" s="327"/>
      <c r="AC143" s="327"/>
      <c r="AD143" s="327"/>
      <c r="AE143" s="327"/>
      <c r="AF143" s="327"/>
      <c r="AG143" s="776"/>
    </row>
    <row r="144">
      <c r="A144" s="648" t="s">
        <v>249</v>
      </c>
      <c r="B144" s="294"/>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7"/>
      <c r="Y144" s="327"/>
      <c r="Z144" s="327"/>
      <c r="AA144" s="327"/>
      <c r="AB144" s="327"/>
      <c r="AC144" s="327"/>
      <c r="AD144" s="327"/>
      <c r="AE144" s="327"/>
      <c r="AF144" s="327"/>
      <c r="AG144" s="776"/>
    </row>
    <row r="145">
      <c r="A145" s="691" t="s">
        <v>106</v>
      </c>
      <c r="B145" s="808">
        <v>37.0</v>
      </c>
      <c r="C145" s="294">
        <v>57.0</v>
      </c>
      <c r="D145" s="294">
        <v>45.0</v>
      </c>
      <c r="E145" s="294">
        <v>38.0</v>
      </c>
      <c r="F145" s="294">
        <v>47.0</v>
      </c>
      <c r="G145" s="294">
        <v>50.0</v>
      </c>
      <c r="H145" s="294">
        <v>63.0</v>
      </c>
      <c r="I145" s="293">
        <v>53.0</v>
      </c>
      <c r="J145" s="293">
        <v>51.0</v>
      </c>
      <c r="K145" s="293">
        <v>62.0</v>
      </c>
      <c r="L145" s="293">
        <v>55.0</v>
      </c>
      <c r="M145" s="293">
        <v>57.0</v>
      </c>
      <c r="N145" s="293">
        <v>60.0</v>
      </c>
      <c r="O145" s="295">
        <v>70.0</v>
      </c>
      <c r="P145" s="293">
        <v>62.0</v>
      </c>
      <c r="Q145" s="293">
        <v>72.0</v>
      </c>
      <c r="R145" s="293">
        <v>29.0</v>
      </c>
      <c r="S145" s="302">
        <v>57.0</v>
      </c>
      <c r="T145" s="302">
        <v>43.0</v>
      </c>
      <c r="U145" s="302">
        <v>47.0</v>
      </c>
      <c r="V145" s="302">
        <v>48.0</v>
      </c>
      <c r="W145" s="302">
        <v>29.0</v>
      </c>
      <c r="X145" s="302">
        <v>27.0</v>
      </c>
      <c r="Y145" s="302">
        <v>18.0</v>
      </c>
      <c r="Z145" s="809">
        <v>26.0</v>
      </c>
      <c r="AA145" s="302">
        <v>24.0</v>
      </c>
      <c r="AB145" s="302">
        <v>35.0</v>
      </c>
      <c r="AC145" s="809">
        <v>33.0</v>
      </c>
      <c r="AD145" s="809">
        <v>17.0</v>
      </c>
      <c r="AE145" s="809">
        <v>29.0</v>
      </c>
      <c r="AF145" s="809">
        <v>22.0</v>
      </c>
      <c r="AG145" s="768">
        <f t="shared" ref="AG145:AG147" si="30">sum(B145:AF145)</f>
        <v>1363</v>
      </c>
    </row>
    <row r="146">
      <c r="A146" s="691" t="s">
        <v>119</v>
      </c>
      <c r="B146" s="294">
        <v>90.0</v>
      </c>
      <c r="C146" s="294">
        <v>92.0</v>
      </c>
      <c r="D146" s="294">
        <v>89.0</v>
      </c>
      <c r="E146" s="294">
        <v>105.0</v>
      </c>
      <c r="F146" s="294">
        <v>95.0</v>
      </c>
      <c r="G146" s="294">
        <v>105.0</v>
      </c>
      <c r="H146" s="294">
        <v>103.0</v>
      </c>
      <c r="I146" s="293">
        <v>133.0</v>
      </c>
      <c r="J146" s="293">
        <v>122.0</v>
      </c>
      <c r="K146" s="293">
        <v>107.0</v>
      </c>
      <c r="L146" s="293">
        <v>120.0</v>
      </c>
      <c r="M146" s="293">
        <v>122.0</v>
      </c>
      <c r="N146" s="293">
        <v>221.0</v>
      </c>
      <c r="O146" s="295">
        <v>187.0</v>
      </c>
      <c r="P146" s="293">
        <v>152.0</v>
      </c>
      <c r="Q146" s="293">
        <v>143.0</v>
      </c>
      <c r="R146" s="293">
        <v>85.0</v>
      </c>
      <c r="S146" s="302">
        <v>149.0</v>
      </c>
      <c r="T146" s="302">
        <v>106.0</v>
      </c>
      <c r="U146" s="302">
        <v>121.0</v>
      </c>
      <c r="V146" s="302">
        <v>101.0</v>
      </c>
      <c r="W146" s="302">
        <v>112.0</v>
      </c>
      <c r="X146" s="302">
        <v>96.0</v>
      </c>
      <c r="Y146" s="302">
        <v>77.0</v>
      </c>
      <c r="Z146" s="811">
        <v>81.0</v>
      </c>
      <c r="AA146" s="302">
        <v>78.0</v>
      </c>
      <c r="AB146" s="302">
        <v>82.0</v>
      </c>
      <c r="AC146" s="302">
        <v>74.0</v>
      </c>
      <c r="AD146" s="302">
        <v>80.0</v>
      </c>
      <c r="AE146" s="302">
        <v>73.0</v>
      </c>
      <c r="AF146" s="302">
        <v>88.0</v>
      </c>
      <c r="AG146" s="768">
        <f t="shared" si="30"/>
        <v>3389</v>
      </c>
    </row>
    <row r="147">
      <c r="A147" s="812" t="s">
        <v>725</v>
      </c>
      <c r="B147" s="813">
        <f t="shared" ref="B147:AF147" si="31">SUM(B145:B146)</f>
        <v>127</v>
      </c>
      <c r="C147" s="813">
        <f t="shared" si="31"/>
        <v>149</v>
      </c>
      <c r="D147" s="813">
        <f t="shared" si="31"/>
        <v>134</v>
      </c>
      <c r="E147" s="813">
        <f t="shared" si="31"/>
        <v>143</v>
      </c>
      <c r="F147" s="813">
        <f t="shared" si="31"/>
        <v>142</v>
      </c>
      <c r="G147" s="813">
        <f t="shared" si="31"/>
        <v>155</v>
      </c>
      <c r="H147" s="813">
        <f t="shared" si="31"/>
        <v>166</v>
      </c>
      <c r="I147" s="813">
        <f t="shared" si="31"/>
        <v>186</v>
      </c>
      <c r="J147" s="813">
        <f t="shared" si="31"/>
        <v>173</v>
      </c>
      <c r="K147" s="813">
        <f t="shared" si="31"/>
        <v>169</v>
      </c>
      <c r="L147" s="813">
        <f t="shared" si="31"/>
        <v>175</v>
      </c>
      <c r="M147" s="813">
        <f t="shared" si="31"/>
        <v>179</v>
      </c>
      <c r="N147" s="813">
        <f t="shared" si="31"/>
        <v>281</v>
      </c>
      <c r="O147" s="813">
        <f t="shared" si="31"/>
        <v>257</v>
      </c>
      <c r="P147" s="813">
        <f t="shared" si="31"/>
        <v>214</v>
      </c>
      <c r="Q147" s="813">
        <f t="shared" si="31"/>
        <v>215</v>
      </c>
      <c r="R147" s="813">
        <f t="shared" si="31"/>
        <v>114</v>
      </c>
      <c r="S147" s="813">
        <f t="shared" si="31"/>
        <v>206</v>
      </c>
      <c r="T147" s="813">
        <f t="shared" si="31"/>
        <v>149</v>
      </c>
      <c r="U147" s="813">
        <f t="shared" si="31"/>
        <v>168</v>
      </c>
      <c r="V147" s="813">
        <f t="shared" si="31"/>
        <v>149</v>
      </c>
      <c r="W147" s="813">
        <f t="shared" si="31"/>
        <v>141</v>
      </c>
      <c r="X147" s="813">
        <f t="shared" si="31"/>
        <v>123</v>
      </c>
      <c r="Y147" s="813">
        <f t="shared" si="31"/>
        <v>95</v>
      </c>
      <c r="Z147" s="813">
        <f t="shared" si="31"/>
        <v>107</v>
      </c>
      <c r="AA147" s="813">
        <f t="shared" si="31"/>
        <v>102</v>
      </c>
      <c r="AB147" s="813">
        <f t="shared" si="31"/>
        <v>117</v>
      </c>
      <c r="AC147" s="813">
        <f t="shared" si="31"/>
        <v>107</v>
      </c>
      <c r="AD147" s="813">
        <f t="shared" si="31"/>
        <v>97</v>
      </c>
      <c r="AE147" s="813">
        <f t="shared" si="31"/>
        <v>102</v>
      </c>
      <c r="AF147" s="813">
        <f t="shared" si="31"/>
        <v>110</v>
      </c>
      <c r="AG147" s="768">
        <f t="shared" si="30"/>
        <v>4752</v>
      </c>
    </row>
    <row r="148">
      <c r="A148" s="42"/>
      <c r="B148" s="823"/>
      <c r="C148" s="823"/>
      <c r="D148" s="823"/>
      <c r="E148" s="823"/>
      <c r="F148" s="823"/>
      <c r="G148" s="823"/>
      <c r="H148" s="823"/>
      <c r="I148" s="823"/>
      <c r="J148" s="327"/>
      <c r="K148" s="327"/>
      <c r="L148" s="327"/>
      <c r="M148" s="327"/>
      <c r="N148" s="327"/>
      <c r="O148" s="327"/>
      <c r="P148" s="327"/>
      <c r="Q148" s="327"/>
      <c r="R148" s="327"/>
      <c r="S148" s="327"/>
      <c r="T148" s="327"/>
      <c r="U148" s="327"/>
      <c r="V148" s="327"/>
      <c r="W148" s="327"/>
      <c r="X148" s="327"/>
      <c r="Y148" s="327"/>
      <c r="Z148" s="327"/>
      <c r="AA148" s="327"/>
      <c r="AB148" s="327"/>
      <c r="AC148" s="327"/>
      <c r="AD148" s="327"/>
      <c r="AE148" s="327"/>
      <c r="AF148" s="327"/>
      <c r="AG148" s="827"/>
    </row>
    <row r="149">
      <c r="A149" s="691" t="s">
        <v>121</v>
      </c>
      <c r="B149" s="294">
        <v>50.0</v>
      </c>
      <c r="C149" s="294">
        <v>52.0</v>
      </c>
      <c r="D149" s="294">
        <v>32.0</v>
      </c>
      <c r="E149" s="294">
        <v>37.0</v>
      </c>
      <c r="F149" s="294">
        <v>45.0</v>
      </c>
      <c r="G149" s="294">
        <v>42.0</v>
      </c>
      <c r="H149" s="294">
        <v>48.0</v>
      </c>
      <c r="I149" s="293">
        <v>70.0</v>
      </c>
      <c r="J149" s="293">
        <v>72.0</v>
      </c>
      <c r="K149" s="293">
        <v>62.0</v>
      </c>
      <c r="L149" s="293">
        <v>55.0</v>
      </c>
      <c r="M149" s="293">
        <v>45.0</v>
      </c>
      <c r="N149" s="293">
        <v>83.0</v>
      </c>
      <c r="O149" s="293">
        <v>66.0</v>
      </c>
      <c r="P149" s="293">
        <v>85.0</v>
      </c>
      <c r="Q149" s="293">
        <v>79.0</v>
      </c>
      <c r="R149" s="293">
        <v>32.0</v>
      </c>
      <c r="S149" s="302">
        <v>76.0</v>
      </c>
      <c r="T149" s="302">
        <v>44.0</v>
      </c>
      <c r="U149" s="302">
        <v>58.0</v>
      </c>
      <c r="V149" s="302">
        <v>47.0</v>
      </c>
      <c r="W149" s="302">
        <v>57.0</v>
      </c>
      <c r="X149" s="302">
        <v>55.0</v>
      </c>
      <c r="Y149" s="302">
        <v>35.0</v>
      </c>
      <c r="Z149" s="829">
        <v>37.0</v>
      </c>
      <c r="AA149" s="302">
        <v>26.0</v>
      </c>
      <c r="AB149" s="302">
        <v>39.0</v>
      </c>
      <c r="AC149" s="829">
        <v>32.0</v>
      </c>
      <c r="AD149" s="829">
        <v>40.0</v>
      </c>
      <c r="AE149" s="829">
        <v>33.0</v>
      </c>
      <c r="AF149" s="829">
        <v>45.0</v>
      </c>
      <c r="AG149" s="768">
        <f t="shared" ref="AG149:AG150" si="32">sum(B149:AF149)</f>
        <v>1579</v>
      </c>
    </row>
    <row r="150">
      <c r="A150" s="691" t="s">
        <v>129</v>
      </c>
      <c r="B150" s="294">
        <v>0.0</v>
      </c>
      <c r="C150" s="294">
        <v>0.0</v>
      </c>
      <c r="D150" s="294">
        <v>0.0</v>
      </c>
      <c r="E150" s="294">
        <v>0.0</v>
      </c>
      <c r="F150" s="294">
        <v>0.0</v>
      </c>
      <c r="G150" s="294">
        <v>0.0</v>
      </c>
      <c r="H150" s="294">
        <v>0.0</v>
      </c>
      <c r="I150" s="294">
        <v>0.0</v>
      </c>
      <c r="J150" s="294">
        <v>0.0</v>
      </c>
      <c r="K150" s="294">
        <v>0.0</v>
      </c>
      <c r="L150" s="294">
        <v>0.0</v>
      </c>
      <c r="M150" s="294">
        <v>0.0</v>
      </c>
      <c r="N150" s="294">
        <v>0.0</v>
      </c>
      <c r="O150" s="294">
        <v>0.0</v>
      </c>
      <c r="P150" s="294">
        <v>0.0</v>
      </c>
      <c r="Q150" s="293">
        <v>0.0</v>
      </c>
      <c r="R150" s="293">
        <v>0.0</v>
      </c>
      <c r="S150" s="293">
        <v>0.0</v>
      </c>
      <c r="T150" s="293">
        <v>0.0</v>
      </c>
      <c r="U150" s="293">
        <v>0.0</v>
      </c>
      <c r="V150" s="302">
        <v>0.0</v>
      </c>
      <c r="W150" s="302">
        <v>0.0</v>
      </c>
      <c r="X150" s="302">
        <v>0.0</v>
      </c>
      <c r="Y150" s="302">
        <v>0.0</v>
      </c>
      <c r="Z150" s="302">
        <v>0.0</v>
      </c>
      <c r="AA150" s="302">
        <v>0.0</v>
      </c>
      <c r="AB150" s="302">
        <v>0.0</v>
      </c>
      <c r="AC150" s="302">
        <v>0.0</v>
      </c>
      <c r="AD150" s="302">
        <v>0.0</v>
      </c>
      <c r="AE150" s="302">
        <v>0.0</v>
      </c>
      <c r="AF150" s="302">
        <v>0.0</v>
      </c>
      <c r="AG150" s="768">
        <f t="shared" si="32"/>
        <v>0</v>
      </c>
    </row>
    <row r="151">
      <c r="A151" s="691" t="s">
        <v>137</v>
      </c>
      <c r="B151" s="294">
        <v>24.0</v>
      </c>
      <c r="C151" s="294">
        <v>37.0</v>
      </c>
      <c r="D151" s="294">
        <v>22.0</v>
      </c>
      <c r="E151" s="294">
        <v>28.0</v>
      </c>
      <c r="F151" s="294">
        <v>25.0</v>
      </c>
      <c r="G151" s="294">
        <v>18.0</v>
      </c>
      <c r="H151" s="294">
        <v>16.0</v>
      </c>
      <c r="I151" s="293">
        <v>31.0</v>
      </c>
      <c r="J151" s="293">
        <v>25.0</v>
      </c>
      <c r="K151" s="293">
        <v>29.0</v>
      </c>
      <c r="L151" s="293">
        <v>23.0</v>
      </c>
      <c r="M151" s="293">
        <v>24.0</v>
      </c>
      <c r="N151" s="294">
        <v>48.0</v>
      </c>
      <c r="O151" s="293">
        <v>38.0</v>
      </c>
      <c r="P151" s="293">
        <v>39.0</v>
      </c>
      <c r="Q151" s="293">
        <v>37.0</v>
      </c>
      <c r="R151" s="293">
        <v>24.0</v>
      </c>
      <c r="S151" s="302">
        <v>35.0</v>
      </c>
      <c r="T151" s="302">
        <v>33.0</v>
      </c>
      <c r="U151" s="302">
        <v>32.0</v>
      </c>
      <c r="V151" s="302">
        <v>25.0</v>
      </c>
      <c r="W151" s="302">
        <v>27.0</v>
      </c>
      <c r="X151" s="302">
        <v>26.0</v>
      </c>
      <c r="Y151" s="302">
        <v>23.0</v>
      </c>
      <c r="Z151" s="809">
        <v>17.0</v>
      </c>
      <c r="AA151" s="831">
        <v>21.0</v>
      </c>
      <c r="AB151" s="302">
        <v>14.0</v>
      </c>
      <c r="AC151" s="831">
        <v>15.0</v>
      </c>
      <c r="AD151" s="831">
        <v>18.0</v>
      </c>
      <c r="AE151" s="831">
        <v>23.0</v>
      </c>
      <c r="AF151" s="831">
        <v>15.0</v>
      </c>
      <c r="AG151" s="768">
        <f t="shared" ref="AG151:AG154" si="33">sum(B151:AE151)</f>
        <v>797</v>
      </c>
    </row>
    <row r="152">
      <c r="A152" s="691" t="s">
        <v>153</v>
      </c>
      <c r="B152" s="294">
        <v>33.0</v>
      </c>
      <c r="C152" s="294">
        <v>43.0</v>
      </c>
      <c r="D152" s="294">
        <v>22.0</v>
      </c>
      <c r="E152" s="294">
        <v>34.0</v>
      </c>
      <c r="F152" s="294">
        <v>21.0</v>
      </c>
      <c r="G152" s="294">
        <v>27.0</v>
      </c>
      <c r="H152" s="294">
        <v>19.0</v>
      </c>
      <c r="I152" s="294">
        <v>38.0</v>
      </c>
      <c r="J152" s="294">
        <v>38.0</v>
      </c>
      <c r="K152" s="294">
        <v>36.0</v>
      </c>
      <c r="L152" s="294">
        <v>25.0</v>
      </c>
      <c r="M152" s="294">
        <v>25.0</v>
      </c>
      <c r="N152" s="294">
        <v>55.0</v>
      </c>
      <c r="O152" s="294">
        <v>47.0</v>
      </c>
      <c r="P152" s="294">
        <v>48.0</v>
      </c>
      <c r="Q152" s="294">
        <v>36.0</v>
      </c>
      <c r="R152" s="294">
        <v>18.0</v>
      </c>
      <c r="S152" s="294">
        <v>33.0</v>
      </c>
      <c r="T152" s="294">
        <v>30.0</v>
      </c>
      <c r="U152" s="294">
        <v>33.0</v>
      </c>
      <c r="V152" s="294">
        <v>35.0</v>
      </c>
      <c r="W152" s="294">
        <v>29.0</v>
      </c>
      <c r="X152" s="294">
        <v>35.0</v>
      </c>
      <c r="Y152" s="294">
        <v>20.0</v>
      </c>
      <c r="Z152" s="832">
        <v>14.0</v>
      </c>
      <c r="AA152" s="294">
        <v>24.0</v>
      </c>
      <c r="AB152" s="294">
        <v>14.0</v>
      </c>
      <c r="AC152" s="832">
        <v>17.0</v>
      </c>
      <c r="AD152" s="832">
        <v>11.0</v>
      </c>
      <c r="AE152" s="832">
        <v>23.0</v>
      </c>
      <c r="AF152" s="832">
        <v>17.0</v>
      </c>
      <c r="AG152" s="768">
        <f t="shared" si="33"/>
        <v>883</v>
      </c>
    </row>
    <row r="153">
      <c r="A153" s="691" t="s">
        <v>127</v>
      </c>
      <c r="B153" s="294">
        <v>18.0</v>
      </c>
      <c r="C153" s="294">
        <v>19.0</v>
      </c>
      <c r="D153" s="294">
        <v>18.0</v>
      </c>
      <c r="E153" s="294">
        <v>23.0</v>
      </c>
      <c r="F153" s="294">
        <v>13.0</v>
      </c>
      <c r="G153" s="294">
        <v>18.0</v>
      </c>
      <c r="H153" s="294">
        <v>18.0</v>
      </c>
      <c r="I153" s="294">
        <v>23.0</v>
      </c>
      <c r="J153" s="294">
        <v>25.0</v>
      </c>
      <c r="K153" s="294">
        <v>27.0</v>
      </c>
      <c r="L153" s="294">
        <v>12.0</v>
      </c>
      <c r="M153" s="294">
        <v>14.0</v>
      </c>
      <c r="N153" s="294">
        <v>35.0</v>
      </c>
      <c r="O153" s="294">
        <v>24.0</v>
      </c>
      <c r="P153" s="294">
        <v>22.0</v>
      </c>
      <c r="Q153" s="294">
        <v>17.0</v>
      </c>
      <c r="R153" s="294">
        <v>16.0</v>
      </c>
      <c r="S153" s="294">
        <v>19.0</v>
      </c>
      <c r="T153" s="294">
        <v>10.0</v>
      </c>
      <c r="U153" s="294">
        <v>21.0</v>
      </c>
      <c r="V153" s="294">
        <v>16.0</v>
      </c>
      <c r="W153" s="294">
        <v>16.0</v>
      </c>
      <c r="X153" s="294">
        <v>20.0</v>
      </c>
      <c r="Y153" s="294">
        <v>10.0</v>
      </c>
      <c r="Z153" s="294">
        <v>17.0</v>
      </c>
      <c r="AA153" s="302">
        <v>11.0</v>
      </c>
      <c r="AB153" s="294">
        <v>10.0</v>
      </c>
      <c r="AC153" s="832">
        <v>10.0</v>
      </c>
      <c r="AD153" s="832">
        <v>20.0</v>
      </c>
      <c r="AE153" s="832">
        <v>16.0</v>
      </c>
      <c r="AF153" s="832">
        <v>11.0</v>
      </c>
      <c r="AG153" s="768">
        <f t="shared" si="33"/>
        <v>538</v>
      </c>
    </row>
    <row r="154">
      <c r="A154" s="812" t="s">
        <v>151</v>
      </c>
      <c r="B154" s="813">
        <f t="shared" ref="B154:AF154" si="34">SUM(B149:B153)</f>
        <v>125</v>
      </c>
      <c r="C154" s="813">
        <f t="shared" si="34"/>
        <v>151</v>
      </c>
      <c r="D154" s="813">
        <f t="shared" si="34"/>
        <v>94</v>
      </c>
      <c r="E154" s="813">
        <f t="shared" si="34"/>
        <v>122</v>
      </c>
      <c r="F154" s="813">
        <f t="shared" si="34"/>
        <v>104</v>
      </c>
      <c r="G154" s="813">
        <f t="shared" si="34"/>
        <v>105</v>
      </c>
      <c r="H154" s="813">
        <f t="shared" si="34"/>
        <v>101</v>
      </c>
      <c r="I154" s="813">
        <f t="shared" si="34"/>
        <v>162</v>
      </c>
      <c r="J154" s="813">
        <f t="shared" si="34"/>
        <v>160</v>
      </c>
      <c r="K154" s="813">
        <f t="shared" si="34"/>
        <v>154</v>
      </c>
      <c r="L154" s="813">
        <f t="shared" si="34"/>
        <v>115</v>
      </c>
      <c r="M154" s="813">
        <f t="shared" si="34"/>
        <v>108</v>
      </c>
      <c r="N154" s="813">
        <f t="shared" si="34"/>
        <v>221</v>
      </c>
      <c r="O154" s="813">
        <f t="shared" si="34"/>
        <v>175</v>
      </c>
      <c r="P154" s="813">
        <f t="shared" si="34"/>
        <v>194</v>
      </c>
      <c r="Q154" s="813">
        <f t="shared" si="34"/>
        <v>169</v>
      </c>
      <c r="R154" s="813">
        <f t="shared" si="34"/>
        <v>90</v>
      </c>
      <c r="S154" s="813">
        <f t="shared" si="34"/>
        <v>163</v>
      </c>
      <c r="T154" s="813">
        <f t="shared" si="34"/>
        <v>117</v>
      </c>
      <c r="U154" s="813">
        <f t="shared" si="34"/>
        <v>144</v>
      </c>
      <c r="V154" s="813">
        <f t="shared" si="34"/>
        <v>123</v>
      </c>
      <c r="W154" s="813">
        <f t="shared" si="34"/>
        <v>129</v>
      </c>
      <c r="X154" s="813">
        <f t="shared" si="34"/>
        <v>136</v>
      </c>
      <c r="Y154" s="813">
        <f t="shared" si="34"/>
        <v>88</v>
      </c>
      <c r="Z154" s="813">
        <f t="shared" si="34"/>
        <v>85</v>
      </c>
      <c r="AA154" s="813">
        <f t="shared" si="34"/>
        <v>82</v>
      </c>
      <c r="AB154" s="813">
        <f t="shared" si="34"/>
        <v>77</v>
      </c>
      <c r="AC154" s="813">
        <f t="shared" si="34"/>
        <v>74</v>
      </c>
      <c r="AD154" s="813">
        <f t="shared" si="34"/>
        <v>89</v>
      </c>
      <c r="AE154" s="813">
        <f t="shared" si="34"/>
        <v>95</v>
      </c>
      <c r="AF154" s="813">
        <f t="shared" si="34"/>
        <v>88</v>
      </c>
      <c r="AG154" s="768">
        <f t="shared" si="33"/>
        <v>3752</v>
      </c>
    </row>
    <row r="155">
      <c r="A155" s="835"/>
      <c r="AG155" s="768"/>
    </row>
    <row r="156">
      <c r="A156" s="691" t="s">
        <v>727</v>
      </c>
      <c r="B156" s="836"/>
      <c r="C156" s="836"/>
      <c r="D156" s="836"/>
      <c r="E156" s="836"/>
      <c r="F156" s="836"/>
      <c r="G156" s="836"/>
      <c r="H156" s="836"/>
      <c r="I156" s="836"/>
      <c r="J156" s="836"/>
      <c r="K156" s="836"/>
      <c r="L156" s="836"/>
      <c r="M156" s="836"/>
      <c r="N156" s="836"/>
      <c r="O156" s="836"/>
      <c r="P156" s="836"/>
      <c r="Q156" s="836"/>
      <c r="R156" s="836"/>
      <c r="S156" s="836"/>
      <c r="T156" s="836"/>
      <c r="U156" s="836"/>
      <c r="V156" s="836"/>
      <c r="W156" s="836"/>
      <c r="X156" s="836"/>
      <c r="Y156" s="836"/>
      <c r="Z156" s="836"/>
      <c r="AA156" s="836"/>
      <c r="AB156" s="836"/>
      <c r="AC156" s="836"/>
      <c r="AD156" s="836"/>
      <c r="AE156" s="836"/>
      <c r="AF156" s="836"/>
      <c r="AG156" s="768">
        <f t="shared" ref="AG156:AG158" si="35">sum(B156:AF156)</f>
        <v>0</v>
      </c>
    </row>
    <row r="157">
      <c r="A157" s="691" t="s">
        <v>728</v>
      </c>
      <c r="B157" s="836"/>
      <c r="C157" s="836"/>
      <c r="D157" s="836"/>
      <c r="E157" s="836"/>
      <c r="F157" s="836"/>
      <c r="G157" s="836"/>
      <c r="H157" s="836"/>
      <c r="I157" s="836"/>
      <c r="J157" s="836"/>
      <c r="K157" s="836"/>
      <c r="L157" s="836"/>
      <c r="M157" s="836"/>
      <c r="N157" s="836"/>
      <c r="O157" s="836"/>
      <c r="P157" s="836"/>
      <c r="Q157" s="836"/>
      <c r="R157" s="836"/>
      <c r="S157" s="836"/>
      <c r="T157" s="836"/>
      <c r="U157" s="836"/>
      <c r="V157" s="836"/>
      <c r="W157" s="836"/>
      <c r="X157" s="836"/>
      <c r="Y157" s="836"/>
      <c r="Z157" s="836"/>
      <c r="AA157" s="836"/>
      <c r="AB157" s="836"/>
      <c r="AC157" s="836"/>
      <c r="AD157" s="836"/>
      <c r="AE157" s="836"/>
      <c r="AF157" s="836"/>
      <c r="AG157" s="768">
        <f t="shared" si="35"/>
        <v>0</v>
      </c>
    </row>
    <row r="158">
      <c r="A158" s="812" t="s">
        <v>151</v>
      </c>
      <c r="B158" s="813">
        <f t="shared" ref="B158:AF158" si="36">SUM(B156:B157)</f>
        <v>0</v>
      </c>
      <c r="C158" s="813">
        <f t="shared" si="36"/>
        <v>0</v>
      </c>
      <c r="D158" s="813">
        <f t="shared" si="36"/>
        <v>0</v>
      </c>
      <c r="E158" s="813">
        <f t="shared" si="36"/>
        <v>0</v>
      </c>
      <c r="F158" s="813">
        <f t="shared" si="36"/>
        <v>0</v>
      </c>
      <c r="G158" s="813">
        <f t="shared" si="36"/>
        <v>0</v>
      </c>
      <c r="H158" s="813">
        <f t="shared" si="36"/>
        <v>0</v>
      </c>
      <c r="I158" s="813">
        <f t="shared" si="36"/>
        <v>0</v>
      </c>
      <c r="J158" s="813">
        <f t="shared" si="36"/>
        <v>0</v>
      </c>
      <c r="K158" s="813">
        <f t="shared" si="36"/>
        <v>0</v>
      </c>
      <c r="L158" s="813">
        <f t="shared" si="36"/>
        <v>0</v>
      </c>
      <c r="M158" s="813">
        <f t="shared" si="36"/>
        <v>0</v>
      </c>
      <c r="N158" s="813">
        <f t="shared" si="36"/>
        <v>0</v>
      </c>
      <c r="O158" s="813">
        <f t="shared" si="36"/>
        <v>0</v>
      </c>
      <c r="P158" s="813">
        <f t="shared" si="36"/>
        <v>0</v>
      </c>
      <c r="Q158" s="813">
        <f t="shared" si="36"/>
        <v>0</v>
      </c>
      <c r="R158" s="813">
        <f t="shared" si="36"/>
        <v>0</v>
      </c>
      <c r="S158" s="813">
        <f t="shared" si="36"/>
        <v>0</v>
      </c>
      <c r="T158" s="813">
        <f t="shared" si="36"/>
        <v>0</v>
      </c>
      <c r="U158" s="813">
        <f t="shared" si="36"/>
        <v>0</v>
      </c>
      <c r="V158" s="813">
        <f t="shared" si="36"/>
        <v>0</v>
      </c>
      <c r="W158" s="813">
        <f t="shared" si="36"/>
        <v>0</v>
      </c>
      <c r="X158" s="813">
        <f t="shared" si="36"/>
        <v>0</v>
      </c>
      <c r="Y158" s="813">
        <f t="shared" si="36"/>
        <v>0</v>
      </c>
      <c r="Z158" s="813">
        <f t="shared" si="36"/>
        <v>0</v>
      </c>
      <c r="AA158" s="813">
        <f t="shared" si="36"/>
        <v>0</v>
      </c>
      <c r="AB158" s="813">
        <f t="shared" si="36"/>
        <v>0</v>
      </c>
      <c r="AC158" s="813">
        <f t="shared" si="36"/>
        <v>0</v>
      </c>
      <c r="AD158" s="813">
        <f t="shared" si="36"/>
        <v>0</v>
      </c>
      <c r="AE158" s="813">
        <f t="shared" si="36"/>
        <v>0</v>
      </c>
      <c r="AF158" s="813">
        <f t="shared" si="36"/>
        <v>0</v>
      </c>
      <c r="AG158" s="768">
        <f t="shared" si="35"/>
        <v>0</v>
      </c>
    </row>
    <row r="159">
      <c r="A159" s="835"/>
      <c r="AG159" s="768"/>
    </row>
    <row r="160">
      <c r="A160" s="691" t="s">
        <v>730</v>
      </c>
      <c r="B160" s="837"/>
      <c r="C160" s="837"/>
      <c r="D160" s="837"/>
      <c r="E160" s="837"/>
      <c r="F160" s="837"/>
      <c r="G160" s="837"/>
      <c r="H160" s="837"/>
      <c r="I160" s="837"/>
      <c r="J160" s="837"/>
      <c r="K160" s="837"/>
      <c r="L160" s="837"/>
      <c r="M160" s="837"/>
      <c r="N160" s="837"/>
      <c r="O160" s="837"/>
      <c r="P160" s="837"/>
      <c r="Q160" s="837"/>
      <c r="R160" s="837"/>
      <c r="S160" s="837"/>
      <c r="T160" s="837"/>
      <c r="U160" s="837"/>
      <c r="V160" s="837"/>
      <c r="W160" s="837"/>
      <c r="X160" s="837"/>
      <c r="Y160" s="837"/>
      <c r="Z160" s="837"/>
      <c r="AA160" s="837"/>
      <c r="AB160" s="837"/>
      <c r="AC160" s="837"/>
      <c r="AD160" s="837"/>
      <c r="AE160" s="837"/>
      <c r="AF160" s="837"/>
      <c r="AG160" s="768">
        <f t="shared" ref="AG160:AG162" si="37">sum(B160:AF160)</f>
        <v>0</v>
      </c>
    </row>
    <row r="161">
      <c r="A161" s="691" t="s">
        <v>732</v>
      </c>
      <c r="B161" s="837"/>
      <c r="C161" s="837"/>
      <c r="D161" s="837"/>
      <c r="E161" s="837"/>
      <c r="F161" s="837"/>
      <c r="G161" s="837"/>
      <c r="H161" s="837"/>
      <c r="I161" s="837"/>
      <c r="J161" s="837"/>
      <c r="K161" s="837"/>
      <c r="L161" s="837"/>
      <c r="M161" s="837"/>
      <c r="N161" s="837"/>
      <c r="O161" s="837"/>
      <c r="P161" s="837"/>
      <c r="Q161" s="837"/>
      <c r="R161" s="837"/>
      <c r="S161" s="837"/>
      <c r="T161" s="837"/>
      <c r="U161" s="837"/>
      <c r="V161" s="837"/>
      <c r="W161" s="837"/>
      <c r="X161" s="837"/>
      <c r="Y161" s="837"/>
      <c r="Z161" s="837"/>
      <c r="AA161" s="837"/>
      <c r="AB161" s="837"/>
      <c r="AC161" s="837"/>
      <c r="AD161" s="837"/>
      <c r="AE161" s="837"/>
      <c r="AF161" s="837"/>
      <c r="AG161" s="768">
        <f t="shared" si="37"/>
        <v>0</v>
      </c>
    </row>
    <row r="162">
      <c r="A162" s="812" t="s">
        <v>151</v>
      </c>
      <c r="B162" s="838">
        <f t="shared" ref="B162:AF162" si="38">SUM(B160:B161)</f>
        <v>0</v>
      </c>
      <c r="C162" s="838">
        <f t="shared" si="38"/>
        <v>0</v>
      </c>
      <c r="D162" s="838">
        <f t="shared" si="38"/>
        <v>0</v>
      </c>
      <c r="E162" s="838">
        <f t="shared" si="38"/>
        <v>0</v>
      </c>
      <c r="F162" s="838">
        <f t="shared" si="38"/>
        <v>0</v>
      </c>
      <c r="G162" s="838">
        <f t="shared" si="38"/>
        <v>0</v>
      </c>
      <c r="H162" s="838">
        <f t="shared" si="38"/>
        <v>0</v>
      </c>
      <c r="I162" s="838">
        <f t="shared" si="38"/>
        <v>0</v>
      </c>
      <c r="J162" s="838">
        <f t="shared" si="38"/>
        <v>0</v>
      </c>
      <c r="K162" s="838">
        <f t="shared" si="38"/>
        <v>0</v>
      </c>
      <c r="L162" s="838">
        <f t="shared" si="38"/>
        <v>0</v>
      </c>
      <c r="M162" s="838">
        <f t="shared" si="38"/>
        <v>0</v>
      </c>
      <c r="N162" s="838">
        <f t="shared" si="38"/>
        <v>0</v>
      </c>
      <c r="O162" s="838">
        <f t="shared" si="38"/>
        <v>0</v>
      </c>
      <c r="P162" s="838">
        <f t="shared" si="38"/>
        <v>0</v>
      </c>
      <c r="Q162" s="838">
        <f t="shared" si="38"/>
        <v>0</v>
      </c>
      <c r="R162" s="838">
        <f t="shared" si="38"/>
        <v>0</v>
      </c>
      <c r="S162" s="838">
        <f t="shared" si="38"/>
        <v>0</v>
      </c>
      <c r="T162" s="838">
        <f t="shared" si="38"/>
        <v>0</v>
      </c>
      <c r="U162" s="838">
        <f t="shared" si="38"/>
        <v>0</v>
      </c>
      <c r="V162" s="838">
        <f t="shared" si="38"/>
        <v>0</v>
      </c>
      <c r="W162" s="838">
        <f t="shared" si="38"/>
        <v>0</v>
      </c>
      <c r="X162" s="838">
        <f t="shared" si="38"/>
        <v>0</v>
      </c>
      <c r="Y162" s="838">
        <f t="shared" si="38"/>
        <v>0</v>
      </c>
      <c r="Z162" s="838">
        <f t="shared" si="38"/>
        <v>0</v>
      </c>
      <c r="AA162" s="838">
        <f t="shared" si="38"/>
        <v>0</v>
      </c>
      <c r="AB162" s="838">
        <f t="shared" si="38"/>
        <v>0</v>
      </c>
      <c r="AC162" s="838">
        <f t="shared" si="38"/>
        <v>0</v>
      </c>
      <c r="AD162" s="838">
        <f t="shared" si="38"/>
        <v>0</v>
      </c>
      <c r="AE162" s="838">
        <f t="shared" si="38"/>
        <v>0</v>
      </c>
      <c r="AF162" s="838">
        <f t="shared" si="38"/>
        <v>0</v>
      </c>
      <c r="AG162" s="768">
        <f t="shared" si="37"/>
        <v>0</v>
      </c>
    </row>
    <row r="163">
      <c r="A163" s="835"/>
      <c r="AG163" s="768"/>
    </row>
    <row r="164">
      <c r="A164" s="691" t="s">
        <v>734</v>
      </c>
      <c r="B164" s="294">
        <v>0.0</v>
      </c>
      <c r="C164" s="294">
        <v>0.0</v>
      </c>
      <c r="D164" s="294">
        <v>0.0</v>
      </c>
      <c r="E164" s="294">
        <v>0.0</v>
      </c>
      <c r="F164" s="294">
        <v>0.0</v>
      </c>
      <c r="G164" s="294">
        <v>0.0</v>
      </c>
      <c r="H164" s="294">
        <v>0.0</v>
      </c>
      <c r="I164" s="294">
        <v>0.0</v>
      </c>
      <c r="J164" s="294">
        <v>0.0</v>
      </c>
      <c r="K164" s="294">
        <v>0.0</v>
      </c>
      <c r="L164" s="294">
        <v>0.0</v>
      </c>
      <c r="M164" s="294">
        <v>0.0</v>
      </c>
      <c r="N164" s="294">
        <v>0.0</v>
      </c>
      <c r="O164" s="294">
        <v>0.0</v>
      </c>
      <c r="P164" s="294">
        <v>0.0</v>
      </c>
      <c r="Q164" s="294">
        <v>0.0</v>
      </c>
      <c r="R164" s="294">
        <v>0.0</v>
      </c>
      <c r="S164" s="294">
        <v>0.0</v>
      </c>
      <c r="T164" s="294">
        <v>0.0</v>
      </c>
      <c r="U164" s="294">
        <v>0.0</v>
      </c>
      <c r="V164" s="294">
        <v>0.0</v>
      </c>
      <c r="W164" s="294">
        <v>0.0</v>
      </c>
      <c r="X164" s="294">
        <v>0.0</v>
      </c>
      <c r="Y164" s="294">
        <v>0.0</v>
      </c>
      <c r="Z164" s="294">
        <v>0.0</v>
      </c>
      <c r="AA164" s="294">
        <v>0.0</v>
      </c>
      <c r="AB164" s="294">
        <v>0.0</v>
      </c>
      <c r="AC164" s="294">
        <v>0.0</v>
      </c>
      <c r="AD164" s="294">
        <v>0.0</v>
      </c>
      <c r="AE164" s="294">
        <v>0.0</v>
      </c>
      <c r="AF164" s="294">
        <v>0.0</v>
      </c>
      <c r="AG164" s="768">
        <f t="shared" ref="AG164:AG165" si="40">sum(B164:AF164)</f>
        <v>0</v>
      </c>
    </row>
    <row r="165">
      <c r="A165" s="812" t="s">
        <v>151</v>
      </c>
      <c r="B165" s="838">
        <f t="shared" ref="B165:AF165" si="39">B164</f>
        <v>0</v>
      </c>
      <c r="C165" s="838">
        <f t="shared" si="39"/>
        <v>0</v>
      </c>
      <c r="D165" s="838">
        <f t="shared" si="39"/>
        <v>0</v>
      </c>
      <c r="E165" s="838">
        <f t="shared" si="39"/>
        <v>0</v>
      </c>
      <c r="F165" s="838">
        <f t="shared" si="39"/>
        <v>0</v>
      </c>
      <c r="G165" s="838">
        <f t="shared" si="39"/>
        <v>0</v>
      </c>
      <c r="H165" s="838">
        <f t="shared" si="39"/>
        <v>0</v>
      </c>
      <c r="I165" s="838">
        <f t="shared" si="39"/>
        <v>0</v>
      </c>
      <c r="J165" s="838">
        <f t="shared" si="39"/>
        <v>0</v>
      </c>
      <c r="K165" s="838">
        <f t="shared" si="39"/>
        <v>0</v>
      </c>
      <c r="L165" s="838">
        <f t="shared" si="39"/>
        <v>0</v>
      </c>
      <c r="M165" s="838">
        <f t="shared" si="39"/>
        <v>0</v>
      </c>
      <c r="N165" s="838">
        <f t="shared" si="39"/>
        <v>0</v>
      </c>
      <c r="O165" s="838">
        <f t="shared" si="39"/>
        <v>0</v>
      </c>
      <c r="P165" s="838">
        <f t="shared" si="39"/>
        <v>0</v>
      </c>
      <c r="Q165" s="838">
        <f t="shared" si="39"/>
        <v>0</v>
      </c>
      <c r="R165" s="838">
        <f t="shared" si="39"/>
        <v>0</v>
      </c>
      <c r="S165" s="838">
        <f t="shared" si="39"/>
        <v>0</v>
      </c>
      <c r="T165" s="838">
        <f t="shared" si="39"/>
        <v>0</v>
      </c>
      <c r="U165" s="838">
        <f t="shared" si="39"/>
        <v>0</v>
      </c>
      <c r="V165" s="838">
        <f t="shared" si="39"/>
        <v>0</v>
      </c>
      <c r="W165" s="838">
        <f t="shared" si="39"/>
        <v>0</v>
      </c>
      <c r="X165" s="838">
        <f t="shared" si="39"/>
        <v>0</v>
      </c>
      <c r="Y165" s="838">
        <f t="shared" si="39"/>
        <v>0</v>
      </c>
      <c r="Z165" s="838">
        <f t="shared" si="39"/>
        <v>0</v>
      </c>
      <c r="AA165" s="838">
        <f t="shared" si="39"/>
        <v>0</v>
      </c>
      <c r="AB165" s="838">
        <f t="shared" si="39"/>
        <v>0</v>
      </c>
      <c r="AC165" s="838">
        <f t="shared" si="39"/>
        <v>0</v>
      </c>
      <c r="AD165" s="838">
        <f t="shared" si="39"/>
        <v>0</v>
      </c>
      <c r="AE165" s="838">
        <f t="shared" si="39"/>
        <v>0</v>
      </c>
      <c r="AF165" s="838">
        <f t="shared" si="39"/>
        <v>0</v>
      </c>
      <c r="AG165" s="768">
        <f t="shared" si="40"/>
        <v>0</v>
      </c>
    </row>
    <row r="166">
      <c r="A166" s="835"/>
      <c r="AG166" s="768"/>
    </row>
    <row r="167">
      <c r="A167" s="648" t="s">
        <v>264</v>
      </c>
      <c r="AG167" s="768"/>
    </row>
    <row r="168">
      <c r="A168" s="691" t="s">
        <v>106</v>
      </c>
      <c r="B168" s="844">
        <v>37.0</v>
      </c>
      <c r="C168" s="844">
        <v>57.0</v>
      </c>
      <c r="D168" s="844">
        <v>44.0</v>
      </c>
      <c r="E168" s="844">
        <v>38.0</v>
      </c>
      <c r="F168" s="844">
        <v>47.0</v>
      </c>
      <c r="G168" s="844">
        <v>48.0</v>
      </c>
      <c r="H168" s="844">
        <v>63.0</v>
      </c>
      <c r="I168" s="844">
        <v>53.0</v>
      </c>
      <c r="J168" s="844">
        <v>50.0</v>
      </c>
      <c r="K168" s="844">
        <v>59.0</v>
      </c>
      <c r="L168" s="844">
        <v>55.0</v>
      </c>
      <c r="M168" s="844">
        <v>57.0</v>
      </c>
      <c r="N168" s="844">
        <v>60.0</v>
      </c>
      <c r="O168" s="844">
        <v>67.0</v>
      </c>
      <c r="P168" s="844">
        <v>61.0</v>
      </c>
      <c r="Q168" s="844">
        <v>70.0</v>
      </c>
      <c r="R168" s="844">
        <v>28.0</v>
      </c>
      <c r="S168" s="844">
        <v>56.0</v>
      </c>
      <c r="T168" s="844">
        <v>43.0</v>
      </c>
      <c r="U168" s="844">
        <v>47.0</v>
      </c>
      <c r="V168" s="844">
        <v>46.0</v>
      </c>
      <c r="W168" s="844">
        <v>29.0</v>
      </c>
      <c r="X168" s="844">
        <v>26.0</v>
      </c>
      <c r="Y168" s="844">
        <v>18.0</v>
      </c>
      <c r="Z168" s="844">
        <v>25.0</v>
      </c>
      <c r="AA168" s="844">
        <v>24.0</v>
      </c>
      <c r="AB168" s="844">
        <v>35.0</v>
      </c>
      <c r="AC168" s="809">
        <v>33.0</v>
      </c>
      <c r="AD168" s="809">
        <v>17.0</v>
      </c>
      <c r="AE168" s="844">
        <v>29.0</v>
      </c>
      <c r="AF168" s="844">
        <v>21.0</v>
      </c>
      <c r="AG168" s="768">
        <f t="shared" ref="AG168:AG170" si="41">sum(B168:AF168)</f>
        <v>1343</v>
      </c>
    </row>
    <row r="169">
      <c r="A169" s="691" t="s">
        <v>119</v>
      </c>
      <c r="B169" s="844">
        <v>90.0</v>
      </c>
      <c r="C169" s="844">
        <v>92.0</v>
      </c>
      <c r="D169" s="844">
        <v>87.0</v>
      </c>
      <c r="E169" s="844">
        <v>103.0</v>
      </c>
      <c r="F169" s="844">
        <v>92.0</v>
      </c>
      <c r="G169" s="844">
        <v>101.0</v>
      </c>
      <c r="H169" s="844">
        <v>103.0</v>
      </c>
      <c r="I169" s="844">
        <v>133.0</v>
      </c>
      <c r="J169" s="844">
        <v>122.0</v>
      </c>
      <c r="K169" s="844">
        <v>106.0</v>
      </c>
      <c r="L169" s="844">
        <v>117.0</v>
      </c>
      <c r="M169" s="844">
        <v>121.0</v>
      </c>
      <c r="N169" s="844">
        <v>216.0</v>
      </c>
      <c r="O169" s="844">
        <v>181.0</v>
      </c>
      <c r="P169" s="844">
        <v>147.0</v>
      </c>
      <c r="Q169" s="844">
        <v>139.0</v>
      </c>
      <c r="R169" s="844">
        <v>84.0</v>
      </c>
      <c r="S169" s="844">
        <v>141.0</v>
      </c>
      <c r="T169" s="844">
        <v>106.0</v>
      </c>
      <c r="U169" s="844">
        <v>117.0</v>
      </c>
      <c r="V169" s="844">
        <v>99.0</v>
      </c>
      <c r="W169" s="844">
        <v>110.0</v>
      </c>
      <c r="X169" s="844">
        <v>94.0</v>
      </c>
      <c r="Y169" s="844">
        <v>75.0</v>
      </c>
      <c r="Z169" s="844">
        <v>80.0</v>
      </c>
      <c r="AA169" s="844">
        <v>78.0</v>
      </c>
      <c r="AB169" s="844">
        <v>82.0</v>
      </c>
      <c r="AC169" s="302">
        <v>74.0</v>
      </c>
      <c r="AD169" s="302">
        <v>80.0</v>
      </c>
      <c r="AE169" s="844">
        <v>71.0</v>
      </c>
      <c r="AF169" s="844">
        <v>87.0</v>
      </c>
      <c r="AG169" s="768">
        <f t="shared" si="41"/>
        <v>3328</v>
      </c>
    </row>
    <row r="170">
      <c r="A170" s="812" t="s">
        <v>725</v>
      </c>
      <c r="B170" s="838">
        <f t="shared" ref="B170:AF170" si="42">SUM(B168:B169)</f>
        <v>127</v>
      </c>
      <c r="C170" s="838">
        <f t="shared" si="42"/>
        <v>149</v>
      </c>
      <c r="D170" s="838">
        <f t="shared" si="42"/>
        <v>131</v>
      </c>
      <c r="E170" s="838">
        <f t="shared" si="42"/>
        <v>141</v>
      </c>
      <c r="F170" s="838">
        <f t="shared" si="42"/>
        <v>139</v>
      </c>
      <c r="G170" s="838">
        <f t="shared" si="42"/>
        <v>149</v>
      </c>
      <c r="H170" s="838">
        <f t="shared" si="42"/>
        <v>166</v>
      </c>
      <c r="I170" s="838">
        <f t="shared" si="42"/>
        <v>186</v>
      </c>
      <c r="J170" s="838">
        <f t="shared" si="42"/>
        <v>172</v>
      </c>
      <c r="K170" s="838">
        <f t="shared" si="42"/>
        <v>165</v>
      </c>
      <c r="L170" s="838">
        <f t="shared" si="42"/>
        <v>172</v>
      </c>
      <c r="M170" s="838">
        <f t="shared" si="42"/>
        <v>178</v>
      </c>
      <c r="N170" s="838">
        <f t="shared" si="42"/>
        <v>276</v>
      </c>
      <c r="O170" s="838">
        <f t="shared" si="42"/>
        <v>248</v>
      </c>
      <c r="P170" s="838">
        <f t="shared" si="42"/>
        <v>208</v>
      </c>
      <c r="Q170" s="838">
        <f t="shared" si="42"/>
        <v>209</v>
      </c>
      <c r="R170" s="838">
        <f t="shared" si="42"/>
        <v>112</v>
      </c>
      <c r="S170" s="838">
        <f t="shared" si="42"/>
        <v>197</v>
      </c>
      <c r="T170" s="838">
        <f t="shared" si="42"/>
        <v>149</v>
      </c>
      <c r="U170" s="838">
        <f t="shared" si="42"/>
        <v>164</v>
      </c>
      <c r="V170" s="838">
        <f t="shared" si="42"/>
        <v>145</v>
      </c>
      <c r="W170" s="838">
        <f t="shared" si="42"/>
        <v>139</v>
      </c>
      <c r="X170" s="838">
        <f t="shared" si="42"/>
        <v>120</v>
      </c>
      <c r="Y170" s="838">
        <f t="shared" si="42"/>
        <v>93</v>
      </c>
      <c r="Z170" s="838">
        <f t="shared" si="42"/>
        <v>105</v>
      </c>
      <c r="AA170" s="838">
        <f t="shared" si="42"/>
        <v>102</v>
      </c>
      <c r="AB170" s="838">
        <f t="shared" si="42"/>
        <v>117</v>
      </c>
      <c r="AC170" s="838">
        <f t="shared" si="42"/>
        <v>107</v>
      </c>
      <c r="AD170" s="838">
        <f t="shared" si="42"/>
        <v>97</v>
      </c>
      <c r="AE170" s="838">
        <f t="shared" si="42"/>
        <v>100</v>
      </c>
      <c r="AF170" s="838">
        <f t="shared" si="42"/>
        <v>108</v>
      </c>
      <c r="AG170" s="768">
        <f t="shared" si="41"/>
        <v>4671</v>
      </c>
    </row>
    <row r="171">
      <c r="A171" s="42"/>
      <c r="AG171" s="768"/>
    </row>
    <row r="172">
      <c r="A172" s="691" t="s">
        <v>121</v>
      </c>
      <c r="B172" s="844">
        <v>50.0</v>
      </c>
      <c r="C172" s="844">
        <v>52.0</v>
      </c>
      <c r="D172" s="844">
        <v>32.0</v>
      </c>
      <c r="E172" s="844">
        <v>35.0</v>
      </c>
      <c r="F172" s="844">
        <v>44.0</v>
      </c>
      <c r="G172" s="844">
        <v>42.0</v>
      </c>
      <c r="H172" s="844">
        <v>48.0</v>
      </c>
      <c r="I172" s="844">
        <v>70.0</v>
      </c>
      <c r="J172" s="844">
        <v>72.0</v>
      </c>
      <c r="K172" s="844">
        <v>62.0</v>
      </c>
      <c r="L172" s="844">
        <v>53.0</v>
      </c>
      <c r="M172" s="844">
        <v>44.0</v>
      </c>
      <c r="N172" s="844">
        <v>83.0</v>
      </c>
      <c r="O172" s="844">
        <v>62.0</v>
      </c>
      <c r="P172" s="844">
        <v>81.0</v>
      </c>
      <c r="Q172" s="844">
        <v>76.0</v>
      </c>
      <c r="R172" s="844">
        <v>29.0</v>
      </c>
      <c r="S172" s="844">
        <v>76.0</v>
      </c>
      <c r="T172" s="844">
        <v>41.0</v>
      </c>
      <c r="U172" s="844">
        <v>56.0</v>
      </c>
      <c r="V172" s="844">
        <v>45.0</v>
      </c>
      <c r="W172" s="844">
        <v>56.0</v>
      </c>
      <c r="X172" s="844">
        <v>52.0</v>
      </c>
      <c r="Y172" s="844">
        <v>29.0</v>
      </c>
      <c r="Z172" s="844">
        <v>36.0</v>
      </c>
      <c r="AA172" s="844">
        <v>26.0</v>
      </c>
      <c r="AB172" s="844">
        <v>38.0</v>
      </c>
      <c r="AC172" s="844">
        <v>32.0</v>
      </c>
      <c r="AD172" s="829">
        <v>40.0</v>
      </c>
      <c r="AE172" s="844">
        <v>32.0</v>
      </c>
      <c r="AF172" s="844">
        <v>39.0</v>
      </c>
      <c r="AG172" s="768">
        <f t="shared" ref="AG172:AG177" si="43">sum(B172:AF172)</f>
        <v>1533</v>
      </c>
    </row>
    <row r="173">
      <c r="A173" s="691" t="s">
        <v>129</v>
      </c>
      <c r="B173" s="844">
        <v>0.0</v>
      </c>
      <c r="C173" s="844">
        <v>0.0</v>
      </c>
      <c r="D173" s="844">
        <v>0.0</v>
      </c>
      <c r="E173" s="844">
        <v>0.0</v>
      </c>
      <c r="F173" s="844">
        <v>0.0</v>
      </c>
      <c r="G173" s="844">
        <v>0.0</v>
      </c>
      <c r="H173" s="844">
        <v>0.0</v>
      </c>
      <c r="I173" s="844">
        <v>0.0</v>
      </c>
      <c r="J173" s="294">
        <v>0.0</v>
      </c>
      <c r="K173" s="844">
        <v>0.0</v>
      </c>
      <c r="L173" s="844">
        <v>0.0</v>
      </c>
      <c r="M173" s="844">
        <v>0.0</v>
      </c>
      <c r="N173" s="844">
        <v>0.0</v>
      </c>
      <c r="O173" s="844">
        <v>0.0</v>
      </c>
      <c r="P173" s="844">
        <v>0.0</v>
      </c>
      <c r="Q173" s="844">
        <v>0.0</v>
      </c>
      <c r="R173" s="844">
        <v>0.0</v>
      </c>
      <c r="S173" s="844">
        <v>0.0</v>
      </c>
      <c r="T173" s="844">
        <v>0.0</v>
      </c>
      <c r="U173" s="844">
        <v>0.0</v>
      </c>
      <c r="V173" s="844">
        <v>0.0</v>
      </c>
      <c r="W173" s="844">
        <v>0.0</v>
      </c>
      <c r="X173" s="844">
        <v>0.0</v>
      </c>
      <c r="Y173" s="844">
        <v>0.0</v>
      </c>
      <c r="Z173" s="844">
        <v>0.0</v>
      </c>
      <c r="AA173" s="844">
        <v>0.0</v>
      </c>
      <c r="AB173" s="844">
        <v>0.0</v>
      </c>
      <c r="AC173" s="844">
        <v>0.0</v>
      </c>
      <c r="AD173" s="302">
        <v>0.0</v>
      </c>
      <c r="AE173" s="844">
        <v>0.0</v>
      </c>
      <c r="AF173" s="844">
        <v>0.0</v>
      </c>
      <c r="AG173" s="768">
        <f t="shared" si="43"/>
        <v>0</v>
      </c>
    </row>
    <row r="174">
      <c r="A174" s="691" t="s">
        <v>137</v>
      </c>
      <c r="B174" s="844">
        <v>24.0</v>
      </c>
      <c r="C174" s="844">
        <v>37.0</v>
      </c>
      <c r="D174" s="844">
        <v>19.0</v>
      </c>
      <c r="E174" s="844">
        <v>27.0</v>
      </c>
      <c r="F174" s="844">
        <v>23.0</v>
      </c>
      <c r="G174" s="844">
        <v>18.0</v>
      </c>
      <c r="H174" s="844">
        <v>16.0</v>
      </c>
      <c r="I174" s="844">
        <v>31.0</v>
      </c>
      <c r="J174" s="844">
        <v>25.0</v>
      </c>
      <c r="K174" s="844">
        <v>28.0</v>
      </c>
      <c r="L174" s="844">
        <v>23.0</v>
      </c>
      <c r="M174" s="844">
        <v>24.0</v>
      </c>
      <c r="N174" s="844">
        <v>46.0</v>
      </c>
      <c r="O174" s="844">
        <v>37.0</v>
      </c>
      <c r="P174" s="844">
        <v>38.0</v>
      </c>
      <c r="Q174" s="844">
        <v>33.0</v>
      </c>
      <c r="R174" s="844">
        <v>23.0</v>
      </c>
      <c r="S174" s="844">
        <v>32.0</v>
      </c>
      <c r="T174" s="844">
        <v>29.0</v>
      </c>
      <c r="U174" s="844">
        <v>31.0</v>
      </c>
      <c r="V174" s="844">
        <v>23.0</v>
      </c>
      <c r="W174" s="844">
        <v>27.0</v>
      </c>
      <c r="X174" s="844">
        <v>26.0</v>
      </c>
      <c r="Y174" s="844">
        <v>17.0</v>
      </c>
      <c r="Z174" s="844">
        <v>17.0</v>
      </c>
      <c r="AA174" s="844">
        <v>21.0</v>
      </c>
      <c r="AB174" s="844">
        <v>13.0</v>
      </c>
      <c r="AC174" s="831">
        <v>15.0</v>
      </c>
      <c r="AD174" s="831">
        <v>18.0</v>
      </c>
      <c r="AE174" s="844">
        <v>20.0</v>
      </c>
      <c r="AF174" s="844">
        <v>15.0</v>
      </c>
      <c r="AG174" s="768">
        <f t="shared" si="43"/>
        <v>776</v>
      </c>
    </row>
    <row r="175">
      <c r="A175" s="691" t="s">
        <v>153</v>
      </c>
      <c r="B175" s="844">
        <v>33.0</v>
      </c>
      <c r="C175" s="844">
        <v>43.0</v>
      </c>
      <c r="D175" s="844">
        <v>21.0</v>
      </c>
      <c r="E175" s="844">
        <v>33.0</v>
      </c>
      <c r="F175" s="844">
        <v>19.0</v>
      </c>
      <c r="G175" s="844">
        <v>27.0</v>
      </c>
      <c r="H175" s="844">
        <v>19.0</v>
      </c>
      <c r="I175" s="844">
        <v>38.0</v>
      </c>
      <c r="J175" s="844">
        <v>38.0</v>
      </c>
      <c r="K175" s="844">
        <v>32.0</v>
      </c>
      <c r="L175" s="844">
        <v>25.0</v>
      </c>
      <c r="M175" s="844">
        <v>25.0</v>
      </c>
      <c r="N175" s="844">
        <v>53.0</v>
      </c>
      <c r="O175" s="844">
        <v>46.0</v>
      </c>
      <c r="P175" s="844">
        <v>45.0</v>
      </c>
      <c r="Q175" s="844">
        <v>32.0</v>
      </c>
      <c r="R175" s="844">
        <v>18.0</v>
      </c>
      <c r="S175" s="844">
        <v>32.0</v>
      </c>
      <c r="T175" s="844">
        <v>25.0</v>
      </c>
      <c r="U175" s="844">
        <v>33.0</v>
      </c>
      <c r="V175" s="844">
        <v>31.0</v>
      </c>
      <c r="W175" s="844">
        <v>27.0</v>
      </c>
      <c r="X175" s="844">
        <v>35.0</v>
      </c>
      <c r="Y175" s="844">
        <v>16.0</v>
      </c>
      <c r="Z175" s="844">
        <v>14.0</v>
      </c>
      <c r="AA175" s="844">
        <v>24.0</v>
      </c>
      <c r="AB175" s="844">
        <v>13.0</v>
      </c>
      <c r="AC175" s="832">
        <v>17.0</v>
      </c>
      <c r="AD175" s="832">
        <v>11.0</v>
      </c>
      <c r="AE175" s="844">
        <v>23.0</v>
      </c>
      <c r="AF175" s="844">
        <v>17.0</v>
      </c>
      <c r="AG175" s="768">
        <f t="shared" si="43"/>
        <v>865</v>
      </c>
    </row>
    <row r="176">
      <c r="A176" s="691" t="s">
        <v>127</v>
      </c>
      <c r="B176" s="844">
        <v>18.0</v>
      </c>
      <c r="C176" s="844">
        <v>19.0</v>
      </c>
      <c r="D176" s="844">
        <v>17.0</v>
      </c>
      <c r="E176" s="844">
        <v>22.0</v>
      </c>
      <c r="F176" s="844">
        <v>13.0</v>
      </c>
      <c r="G176" s="844">
        <v>18.0</v>
      </c>
      <c r="H176" s="844">
        <v>18.0</v>
      </c>
      <c r="I176" s="844">
        <v>23.0</v>
      </c>
      <c r="J176" s="844">
        <v>24.0</v>
      </c>
      <c r="K176" s="844">
        <v>26.0</v>
      </c>
      <c r="L176" s="844">
        <v>11.0</v>
      </c>
      <c r="M176" s="844">
        <v>13.0</v>
      </c>
      <c r="N176" s="844">
        <v>34.0</v>
      </c>
      <c r="O176" s="844">
        <v>23.0</v>
      </c>
      <c r="P176" s="844">
        <v>20.0</v>
      </c>
      <c r="Q176" s="844">
        <v>15.0</v>
      </c>
      <c r="R176" s="844">
        <v>14.0</v>
      </c>
      <c r="S176" s="844">
        <v>19.0</v>
      </c>
      <c r="T176" s="844">
        <v>10.0</v>
      </c>
      <c r="U176" s="844">
        <v>21.0</v>
      </c>
      <c r="V176" s="844">
        <v>15.0</v>
      </c>
      <c r="W176" s="844">
        <v>15.0</v>
      </c>
      <c r="X176" s="844">
        <v>17.0</v>
      </c>
      <c r="Y176" s="844">
        <v>8.0</v>
      </c>
      <c r="Z176" s="844">
        <v>17.0</v>
      </c>
      <c r="AA176" s="844">
        <v>9.0</v>
      </c>
      <c r="AB176" s="844">
        <v>10.0</v>
      </c>
      <c r="AC176" s="832">
        <v>10.0</v>
      </c>
      <c r="AD176" s="832">
        <v>20.0</v>
      </c>
      <c r="AE176" s="844">
        <v>13.0</v>
      </c>
      <c r="AF176" s="844">
        <v>11.0</v>
      </c>
      <c r="AG176" s="768">
        <f t="shared" si="43"/>
        <v>523</v>
      </c>
    </row>
    <row r="177">
      <c r="A177" s="812" t="s">
        <v>151</v>
      </c>
      <c r="B177" s="838">
        <f t="shared" ref="B177:AF177" si="44">SUM(B172:B176)</f>
        <v>125</v>
      </c>
      <c r="C177" s="838">
        <f t="shared" si="44"/>
        <v>151</v>
      </c>
      <c r="D177" s="838">
        <f t="shared" si="44"/>
        <v>89</v>
      </c>
      <c r="E177" s="838">
        <f t="shared" si="44"/>
        <v>117</v>
      </c>
      <c r="F177" s="838">
        <f t="shared" si="44"/>
        <v>99</v>
      </c>
      <c r="G177" s="838">
        <f t="shared" si="44"/>
        <v>105</v>
      </c>
      <c r="H177" s="838">
        <f t="shared" si="44"/>
        <v>101</v>
      </c>
      <c r="I177" s="838">
        <f t="shared" si="44"/>
        <v>162</v>
      </c>
      <c r="J177" s="838">
        <f t="shared" si="44"/>
        <v>159</v>
      </c>
      <c r="K177" s="838">
        <f t="shared" si="44"/>
        <v>148</v>
      </c>
      <c r="L177" s="838">
        <f t="shared" si="44"/>
        <v>112</v>
      </c>
      <c r="M177" s="838">
        <f t="shared" si="44"/>
        <v>106</v>
      </c>
      <c r="N177" s="838">
        <f t="shared" si="44"/>
        <v>216</v>
      </c>
      <c r="O177" s="838">
        <f t="shared" si="44"/>
        <v>168</v>
      </c>
      <c r="P177" s="838">
        <f t="shared" si="44"/>
        <v>184</v>
      </c>
      <c r="Q177" s="838">
        <f t="shared" si="44"/>
        <v>156</v>
      </c>
      <c r="R177" s="838">
        <f t="shared" si="44"/>
        <v>84</v>
      </c>
      <c r="S177" s="838">
        <f t="shared" si="44"/>
        <v>159</v>
      </c>
      <c r="T177" s="838">
        <f t="shared" si="44"/>
        <v>105</v>
      </c>
      <c r="U177" s="838">
        <f t="shared" si="44"/>
        <v>141</v>
      </c>
      <c r="V177" s="838">
        <f t="shared" si="44"/>
        <v>114</v>
      </c>
      <c r="W177" s="838">
        <f t="shared" si="44"/>
        <v>125</v>
      </c>
      <c r="X177" s="838">
        <f t="shared" si="44"/>
        <v>130</v>
      </c>
      <c r="Y177" s="838">
        <f t="shared" si="44"/>
        <v>70</v>
      </c>
      <c r="Z177" s="838">
        <f t="shared" si="44"/>
        <v>84</v>
      </c>
      <c r="AA177" s="838">
        <f t="shared" si="44"/>
        <v>80</v>
      </c>
      <c r="AB177" s="838">
        <f t="shared" si="44"/>
        <v>74</v>
      </c>
      <c r="AC177" s="838">
        <f t="shared" si="44"/>
        <v>74</v>
      </c>
      <c r="AD177" s="838">
        <f t="shared" si="44"/>
        <v>89</v>
      </c>
      <c r="AE177" s="838">
        <f t="shared" si="44"/>
        <v>88</v>
      </c>
      <c r="AF177" s="838">
        <f t="shared" si="44"/>
        <v>82</v>
      </c>
      <c r="AG177" s="768">
        <f t="shared" si="43"/>
        <v>3697</v>
      </c>
    </row>
    <row r="178">
      <c r="A178" s="835"/>
      <c r="AG178" s="768"/>
    </row>
    <row r="179">
      <c r="A179" s="648" t="s">
        <v>275</v>
      </c>
      <c r="AG179" s="768"/>
    </row>
    <row r="180">
      <c r="A180" s="691" t="s">
        <v>106</v>
      </c>
      <c r="B180" s="844">
        <v>0.0</v>
      </c>
      <c r="C180" s="844">
        <v>0.0</v>
      </c>
      <c r="D180" s="844">
        <v>0.0</v>
      </c>
      <c r="E180" s="844">
        <v>0.0</v>
      </c>
      <c r="F180" s="844">
        <v>0.0</v>
      </c>
      <c r="G180" s="844">
        <v>2.0</v>
      </c>
      <c r="H180" s="844">
        <v>0.0</v>
      </c>
      <c r="I180" s="844">
        <v>0.0</v>
      </c>
      <c r="J180" s="844">
        <v>1.0</v>
      </c>
      <c r="K180" s="844">
        <v>3.0</v>
      </c>
      <c r="L180" s="844">
        <v>0.0</v>
      </c>
      <c r="M180" s="844">
        <v>0.0</v>
      </c>
      <c r="N180" s="844">
        <v>0.0</v>
      </c>
      <c r="O180" s="844">
        <v>3.0</v>
      </c>
      <c r="P180" s="844">
        <v>1.0</v>
      </c>
      <c r="Q180" s="844">
        <v>2.0</v>
      </c>
      <c r="R180" s="844">
        <v>1.0</v>
      </c>
      <c r="S180" s="844">
        <v>1.0</v>
      </c>
      <c r="T180" s="844">
        <v>0.0</v>
      </c>
      <c r="U180" s="844">
        <v>0.0</v>
      </c>
      <c r="V180" s="844">
        <v>2.0</v>
      </c>
      <c r="W180" s="844">
        <v>0.0</v>
      </c>
      <c r="X180" s="844">
        <v>1.0</v>
      </c>
      <c r="Y180" s="844">
        <v>0.0</v>
      </c>
      <c r="Z180" s="844">
        <v>1.0</v>
      </c>
      <c r="AA180" s="859">
        <v>0.0</v>
      </c>
      <c r="AB180" s="844">
        <v>0.0</v>
      </c>
      <c r="AC180" s="844">
        <v>0.0</v>
      </c>
      <c r="AD180" s="844">
        <v>0.0</v>
      </c>
      <c r="AE180" s="844">
        <v>0.0</v>
      </c>
      <c r="AF180" s="844">
        <v>1.0</v>
      </c>
      <c r="AG180" s="768">
        <f t="shared" ref="AG180:AG182" si="45">sum(B180:AF180)</f>
        <v>19</v>
      </c>
    </row>
    <row r="181">
      <c r="A181" s="691" t="s">
        <v>119</v>
      </c>
      <c r="B181" s="844">
        <v>0.0</v>
      </c>
      <c r="C181" s="844">
        <v>0.0</v>
      </c>
      <c r="D181" s="844">
        <v>1.0</v>
      </c>
      <c r="E181" s="844">
        <v>2.0</v>
      </c>
      <c r="F181" s="844">
        <v>3.0</v>
      </c>
      <c r="G181" s="844">
        <v>4.0</v>
      </c>
      <c r="H181" s="844">
        <v>0.0</v>
      </c>
      <c r="I181" s="844">
        <v>0.0</v>
      </c>
      <c r="J181" s="844">
        <v>0.0</v>
      </c>
      <c r="K181" s="844">
        <v>1.0</v>
      </c>
      <c r="L181" s="844">
        <v>3.0</v>
      </c>
      <c r="M181" s="844">
        <v>1.0</v>
      </c>
      <c r="N181" s="844">
        <v>5.0</v>
      </c>
      <c r="O181" s="844">
        <v>6.0</v>
      </c>
      <c r="P181" s="844">
        <v>5.0</v>
      </c>
      <c r="Q181" s="844">
        <v>4.0</v>
      </c>
      <c r="R181" s="844">
        <v>1.0</v>
      </c>
      <c r="S181" s="844">
        <v>8.0</v>
      </c>
      <c r="T181" s="844">
        <v>0.0</v>
      </c>
      <c r="U181" s="844">
        <v>4.0</v>
      </c>
      <c r="V181" s="844">
        <v>2.0</v>
      </c>
      <c r="W181" s="844">
        <v>2.0</v>
      </c>
      <c r="X181" s="844">
        <v>2.0</v>
      </c>
      <c r="Y181" s="844">
        <v>2.0</v>
      </c>
      <c r="Z181" s="844">
        <v>1.0</v>
      </c>
      <c r="AA181" s="859">
        <v>0.0</v>
      </c>
      <c r="AB181" s="844">
        <v>0.0</v>
      </c>
      <c r="AC181" s="844">
        <v>0.0</v>
      </c>
      <c r="AD181" s="844">
        <v>0.0</v>
      </c>
      <c r="AE181" s="844">
        <v>2.0</v>
      </c>
      <c r="AF181" s="844">
        <v>1.0</v>
      </c>
      <c r="AG181" s="768">
        <f t="shared" si="45"/>
        <v>60</v>
      </c>
    </row>
    <row r="182">
      <c r="A182" s="812" t="s">
        <v>725</v>
      </c>
      <c r="B182" s="838">
        <f t="shared" ref="B182:AF182" si="46">SUM(B180:B181)</f>
        <v>0</v>
      </c>
      <c r="C182" s="838">
        <f t="shared" si="46"/>
        <v>0</v>
      </c>
      <c r="D182" s="838">
        <f t="shared" si="46"/>
        <v>1</v>
      </c>
      <c r="E182" s="838">
        <f t="shared" si="46"/>
        <v>2</v>
      </c>
      <c r="F182" s="838">
        <f t="shared" si="46"/>
        <v>3</v>
      </c>
      <c r="G182" s="838">
        <f t="shared" si="46"/>
        <v>6</v>
      </c>
      <c r="H182" s="838">
        <f t="shared" si="46"/>
        <v>0</v>
      </c>
      <c r="I182" s="838">
        <f t="shared" si="46"/>
        <v>0</v>
      </c>
      <c r="J182" s="838">
        <f t="shared" si="46"/>
        <v>1</v>
      </c>
      <c r="K182" s="838">
        <f t="shared" si="46"/>
        <v>4</v>
      </c>
      <c r="L182" s="838">
        <f t="shared" si="46"/>
        <v>3</v>
      </c>
      <c r="M182" s="838">
        <f t="shared" si="46"/>
        <v>1</v>
      </c>
      <c r="N182" s="838">
        <f t="shared" si="46"/>
        <v>5</v>
      </c>
      <c r="O182" s="838">
        <f t="shared" si="46"/>
        <v>9</v>
      </c>
      <c r="P182" s="838">
        <f t="shared" si="46"/>
        <v>6</v>
      </c>
      <c r="Q182" s="838">
        <f t="shared" si="46"/>
        <v>6</v>
      </c>
      <c r="R182" s="838">
        <f t="shared" si="46"/>
        <v>2</v>
      </c>
      <c r="S182" s="838">
        <f t="shared" si="46"/>
        <v>9</v>
      </c>
      <c r="T182" s="838">
        <f t="shared" si="46"/>
        <v>0</v>
      </c>
      <c r="U182" s="838">
        <f t="shared" si="46"/>
        <v>4</v>
      </c>
      <c r="V182" s="838">
        <f t="shared" si="46"/>
        <v>4</v>
      </c>
      <c r="W182" s="838">
        <f t="shared" si="46"/>
        <v>2</v>
      </c>
      <c r="X182" s="838">
        <f t="shared" si="46"/>
        <v>3</v>
      </c>
      <c r="Y182" s="838">
        <f t="shared" si="46"/>
        <v>2</v>
      </c>
      <c r="Z182" s="838">
        <f t="shared" si="46"/>
        <v>2</v>
      </c>
      <c r="AA182" s="838">
        <f t="shared" si="46"/>
        <v>0</v>
      </c>
      <c r="AB182" s="838">
        <f t="shared" si="46"/>
        <v>0</v>
      </c>
      <c r="AC182" s="838">
        <f t="shared" si="46"/>
        <v>0</v>
      </c>
      <c r="AD182" s="838">
        <f t="shared" si="46"/>
        <v>0</v>
      </c>
      <c r="AE182" s="838">
        <f t="shared" si="46"/>
        <v>2</v>
      </c>
      <c r="AF182" s="838">
        <f t="shared" si="46"/>
        <v>2</v>
      </c>
      <c r="AG182" s="768">
        <f t="shared" si="45"/>
        <v>79</v>
      </c>
    </row>
    <row r="183">
      <c r="A183" s="42"/>
      <c r="AG183" s="768"/>
    </row>
    <row r="184">
      <c r="A184" s="691" t="s">
        <v>121</v>
      </c>
      <c r="B184" s="844">
        <v>0.0</v>
      </c>
      <c r="C184" s="844">
        <v>0.0</v>
      </c>
      <c r="D184" s="844">
        <v>0.0</v>
      </c>
      <c r="E184" s="844">
        <v>2.0</v>
      </c>
      <c r="F184" s="844">
        <v>1.0</v>
      </c>
      <c r="G184" s="844">
        <v>0.0</v>
      </c>
      <c r="H184" s="844">
        <v>0.0</v>
      </c>
      <c r="I184" s="844">
        <v>0.0</v>
      </c>
      <c r="J184" s="844">
        <v>0.0</v>
      </c>
      <c r="K184" s="844">
        <v>0.0</v>
      </c>
      <c r="L184" s="844">
        <v>2.0</v>
      </c>
      <c r="M184" s="844">
        <v>1.0</v>
      </c>
      <c r="N184" s="844">
        <v>0.0</v>
      </c>
      <c r="O184" s="844">
        <v>4.0</v>
      </c>
      <c r="P184" s="844">
        <v>4.0</v>
      </c>
      <c r="Q184" s="844">
        <v>3.0</v>
      </c>
      <c r="R184" s="844">
        <v>3.0</v>
      </c>
      <c r="S184" s="844">
        <v>0.0</v>
      </c>
      <c r="T184" s="844">
        <v>3.0</v>
      </c>
      <c r="U184" s="844">
        <v>2.0</v>
      </c>
      <c r="V184" s="844">
        <v>2.0</v>
      </c>
      <c r="W184" s="844">
        <v>1.0</v>
      </c>
      <c r="X184" s="844">
        <v>3.0</v>
      </c>
      <c r="Y184" s="844">
        <v>6.0</v>
      </c>
      <c r="Z184" s="844">
        <v>1.0</v>
      </c>
      <c r="AA184" s="844">
        <v>0.0</v>
      </c>
      <c r="AB184" s="844">
        <v>1.0</v>
      </c>
      <c r="AC184" s="844">
        <v>0.0</v>
      </c>
      <c r="AD184" s="844">
        <v>0.0</v>
      </c>
      <c r="AE184" s="844">
        <v>1.0</v>
      </c>
      <c r="AF184" s="844">
        <v>6.0</v>
      </c>
      <c r="AG184" s="768">
        <f t="shared" ref="AG184:AG189" si="47">sum(B184:AF184)</f>
        <v>46</v>
      </c>
    </row>
    <row r="185">
      <c r="A185" s="691" t="s">
        <v>129</v>
      </c>
      <c r="B185" s="844">
        <v>0.0</v>
      </c>
      <c r="C185" s="844">
        <v>0.0</v>
      </c>
      <c r="D185" s="844">
        <v>0.0</v>
      </c>
      <c r="E185" s="844">
        <v>0.0</v>
      </c>
      <c r="F185" s="844">
        <v>0.0</v>
      </c>
      <c r="G185" s="844">
        <v>0.0</v>
      </c>
      <c r="H185" s="844">
        <v>0.0</v>
      </c>
      <c r="I185" s="844">
        <v>0.0</v>
      </c>
      <c r="J185" s="844">
        <v>0.0</v>
      </c>
      <c r="K185" s="844">
        <v>0.0</v>
      </c>
      <c r="L185" s="844">
        <v>0.0</v>
      </c>
      <c r="M185" s="844">
        <v>0.0</v>
      </c>
      <c r="N185" s="844">
        <v>0.0</v>
      </c>
      <c r="O185" s="844">
        <v>0.0</v>
      </c>
      <c r="P185" s="844">
        <v>0.0</v>
      </c>
      <c r="Q185" s="844">
        <v>0.0</v>
      </c>
      <c r="R185" s="844">
        <v>0.0</v>
      </c>
      <c r="S185" s="844">
        <v>0.0</v>
      </c>
      <c r="T185" s="844">
        <v>0.0</v>
      </c>
      <c r="U185" s="844">
        <v>0.0</v>
      </c>
      <c r="V185" s="844">
        <v>0.0</v>
      </c>
      <c r="W185" s="844">
        <v>0.0</v>
      </c>
      <c r="X185" s="844">
        <v>0.0</v>
      </c>
      <c r="Y185" s="844">
        <v>0.0</v>
      </c>
      <c r="Z185" s="844">
        <v>0.0</v>
      </c>
      <c r="AA185" s="844">
        <v>0.0</v>
      </c>
      <c r="AB185" s="844">
        <v>0.0</v>
      </c>
      <c r="AC185" s="844">
        <v>0.0</v>
      </c>
      <c r="AD185" s="844">
        <v>0.0</v>
      </c>
      <c r="AE185" s="844">
        <v>0.0</v>
      </c>
      <c r="AF185" s="844">
        <v>0.0</v>
      </c>
      <c r="AG185" s="768">
        <f t="shared" si="47"/>
        <v>0</v>
      </c>
    </row>
    <row r="186">
      <c r="A186" s="691" t="s">
        <v>137</v>
      </c>
      <c r="B186" s="844">
        <v>0.0</v>
      </c>
      <c r="C186" s="844">
        <v>0.0</v>
      </c>
      <c r="D186" s="844">
        <v>1.0</v>
      </c>
      <c r="E186" s="844">
        <v>1.0</v>
      </c>
      <c r="F186" s="844">
        <v>2.0</v>
      </c>
      <c r="G186" s="844">
        <v>0.0</v>
      </c>
      <c r="H186" s="844">
        <v>0.0</v>
      </c>
      <c r="I186" s="844">
        <v>0.0</v>
      </c>
      <c r="J186" s="844">
        <v>0.0</v>
      </c>
      <c r="K186" s="844">
        <v>1.0</v>
      </c>
      <c r="L186" s="844">
        <v>0.0</v>
      </c>
      <c r="M186" s="844">
        <v>0.0</v>
      </c>
      <c r="N186" s="844">
        <v>2.0</v>
      </c>
      <c r="O186" s="844">
        <v>1.0</v>
      </c>
      <c r="P186" s="844">
        <v>1.0</v>
      </c>
      <c r="Q186" s="844">
        <v>4.0</v>
      </c>
      <c r="R186" s="844">
        <v>1.0</v>
      </c>
      <c r="S186" s="844">
        <v>3.0</v>
      </c>
      <c r="T186" s="844">
        <v>4.0</v>
      </c>
      <c r="U186" s="844">
        <v>1.0</v>
      </c>
      <c r="V186" s="844">
        <v>2.0</v>
      </c>
      <c r="W186" s="844">
        <v>0.0</v>
      </c>
      <c r="X186" s="844">
        <v>0.0</v>
      </c>
      <c r="Y186" s="844">
        <v>6.0</v>
      </c>
      <c r="Z186" s="844">
        <v>0.0</v>
      </c>
      <c r="AA186" s="844">
        <v>0.0</v>
      </c>
      <c r="AB186" s="844">
        <v>1.0</v>
      </c>
      <c r="AC186" s="844">
        <v>0.0</v>
      </c>
      <c r="AD186" s="844">
        <v>0.0</v>
      </c>
      <c r="AE186" s="844">
        <v>3.0</v>
      </c>
      <c r="AF186" s="844">
        <v>0.0</v>
      </c>
      <c r="AG186" s="768">
        <f t="shared" si="47"/>
        <v>34</v>
      </c>
    </row>
    <row r="187">
      <c r="A187" s="691" t="s">
        <v>153</v>
      </c>
      <c r="B187" s="844">
        <v>0.0</v>
      </c>
      <c r="C187" s="844">
        <v>0.0</v>
      </c>
      <c r="D187" s="844">
        <v>1.0</v>
      </c>
      <c r="E187" s="844">
        <v>1.0</v>
      </c>
      <c r="F187" s="844">
        <v>2.0</v>
      </c>
      <c r="G187" s="844">
        <v>0.0</v>
      </c>
      <c r="H187" s="844">
        <v>0.0</v>
      </c>
      <c r="I187" s="844">
        <v>0.0</v>
      </c>
      <c r="J187" s="844">
        <v>0.0</v>
      </c>
      <c r="K187" s="844">
        <v>4.0</v>
      </c>
      <c r="L187" s="844">
        <v>0.0</v>
      </c>
      <c r="M187" s="844">
        <v>0.0</v>
      </c>
      <c r="N187" s="844">
        <v>2.0</v>
      </c>
      <c r="O187" s="844">
        <v>1.0</v>
      </c>
      <c r="P187" s="844">
        <v>3.0</v>
      </c>
      <c r="Q187" s="844">
        <v>4.0</v>
      </c>
      <c r="R187" s="844">
        <v>0.0</v>
      </c>
      <c r="S187" s="844">
        <v>1.0</v>
      </c>
      <c r="T187" s="844">
        <v>5.0</v>
      </c>
      <c r="U187" s="844">
        <v>0.0</v>
      </c>
      <c r="V187" s="844">
        <v>4.0</v>
      </c>
      <c r="W187" s="844">
        <v>2.0</v>
      </c>
      <c r="X187" s="844">
        <v>0.0</v>
      </c>
      <c r="Y187" s="844">
        <v>4.0</v>
      </c>
      <c r="Z187" s="844">
        <v>0.0</v>
      </c>
      <c r="AA187" s="844">
        <v>0.0</v>
      </c>
      <c r="AB187" s="844">
        <v>1.0</v>
      </c>
      <c r="AC187" s="844">
        <v>0.0</v>
      </c>
      <c r="AD187" s="844">
        <v>0.0</v>
      </c>
      <c r="AE187" s="844">
        <v>0.0</v>
      </c>
      <c r="AF187" s="844">
        <v>0.0</v>
      </c>
      <c r="AG187" s="768">
        <f t="shared" si="47"/>
        <v>35</v>
      </c>
    </row>
    <row r="188">
      <c r="A188" s="691" t="s">
        <v>127</v>
      </c>
      <c r="B188" s="844">
        <v>0.0</v>
      </c>
      <c r="C188" s="844">
        <v>0.0</v>
      </c>
      <c r="D188" s="844">
        <v>0.0</v>
      </c>
      <c r="E188" s="844">
        <v>1.0</v>
      </c>
      <c r="F188" s="844">
        <v>0.0</v>
      </c>
      <c r="G188" s="844">
        <v>0.0</v>
      </c>
      <c r="H188" s="844">
        <v>0.0</v>
      </c>
      <c r="I188" s="844">
        <v>0.0</v>
      </c>
      <c r="J188" s="844">
        <v>1.0</v>
      </c>
      <c r="K188" s="844">
        <v>1.0</v>
      </c>
      <c r="L188" s="844">
        <v>1.0</v>
      </c>
      <c r="M188" s="844">
        <v>1.0</v>
      </c>
      <c r="N188" s="844">
        <v>1.0</v>
      </c>
      <c r="O188" s="844">
        <v>1.0</v>
      </c>
      <c r="P188" s="844">
        <v>2.0</v>
      </c>
      <c r="Q188" s="844">
        <v>2.0</v>
      </c>
      <c r="R188" s="844">
        <v>2.0</v>
      </c>
      <c r="S188" s="844">
        <v>0.0</v>
      </c>
      <c r="T188" s="844">
        <v>0.0</v>
      </c>
      <c r="U188" s="844">
        <v>0.0</v>
      </c>
      <c r="V188" s="844">
        <v>1.0</v>
      </c>
      <c r="W188" s="844">
        <v>1.0</v>
      </c>
      <c r="X188" s="844">
        <v>3.0</v>
      </c>
      <c r="Y188" s="844">
        <v>2.0</v>
      </c>
      <c r="Z188" s="844">
        <v>0.0</v>
      </c>
      <c r="AA188" s="844">
        <v>2.0</v>
      </c>
      <c r="AB188" s="844">
        <v>0.0</v>
      </c>
      <c r="AC188" s="844">
        <v>0.0</v>
      </c>
      <c r="AD188" s="844">
        <v>0.0</v>
      </c>
      <c r="AE188" s="844">
        <v>3.0</v>
      </c>
      <c r="AF188" s="844">
        <v>0.0</v>
      </c>
      <c r="AG188" s="768">
        <f t="shared" si="47"/>
        <v>25</v>
      </c>
    </row>
    <row r="189">
      <c r="A189" s="812" t="s">
        <v>151</v>
      </c>
      <c r="B189" s="838">
        <f t="shared" ref="B189:AF189" si="48">SUM(B184:B188)</f>
        <v>0</v>
      </c>
      <c r="C189" s="838">
        <f t="shared" si="48"/>
        <v>0</v>
      </c>
      <c r="D189" s="838">
        <f t="shared" si="48"/>
        <v>2</v>
      </c>
      <c r="E189" s="838">
        <f t="shared" si="48"/>
        <v>5</v>
      </c>
      <c r="F189" s="838">
        <f t="shared" si="48"/>
        <v>5</v>
      </c>
      <c r="G189" s="838">
        <f t="shared" si="48"/>
        <v>0</v>
      </c>
      <c r="H189" s="838">
        <f t="shared" si="48"/>
        <v>0</v>
      </c>
      <c r="I189" s="838">
        <f t="shared" si="48"/>
        <v>0</v>
      </c>
      <c r="J189" s="838">
        <f t="shared" si="48"/>
        <v>1</v>
      </c>
      <c r="K189" s="838">
        <f t="shared" si="48"/>
        <v>6</v>
      </c>
      <c r="L189" s="838">
        <f t="shared" si="48"/>
        <v>3</v>
      </c>
      <c r="M189" s="838">
        <f t="shared" si="48"/>
        <v>2</v>
      </c>
      <c r="N189" s="838">
        <f t="shared" si="48"/>
        <v>5</v>
      </c>
      <c r="O189" s="838">
        <f t="shared" si="48"/>
        <v>7</v>
      </c>
      <c r="P189" s="838">
        <f t="shared" si="48"/>
        <v>10</v>
      </c>
      <c r="Q189" s="838">
        <f t="shared" si="48"/>
        <v>13</v>
      </c>
      <c r="R189" s="838">
        <f t="shared" si="48"/>
        <v>6</v>
      </c>
      <c r="S189" s="838">
        <f t="shared" si="48"/>
        <v>4</v>
      </c>
      <c r="T189" s="838">
        <f t="shared" si="48"/>
        <v>12</v>
      </c>
      <c r="U189" s="838">
        <f t="shared" si="48"/>
        <v>3</v>
      </c>
      <c r="V189" s="838">
        <f t="shared" si="48"/>
        <v>9</v>
      </c>
      <c r="W189" s="838">
        <f t="shared" si="48"/>
        <v>4</v>
      </c>
      <c r="X189" s="838">
        <f t="shared" si="48"/>
        <v>6</v>
      </c>
      <c r="Y189" s="838">
        <f t="shared" si="48"/>
        <v>18</v>
      </c>
      <c r="Z189" s="838">
        <f t="shared" si="48"/>
        <v>1</v>
      </c>
      <c r="AA189" s="838">
        <f t="shared" si="48"/>
        <v>2</v>
      </c>
      <c r="AB189" s="838">
        <f t="shared" si="48"/>
        <v>3</v>
      </c>
      <c r="AC189" s="838">
        <f t="shared" si="48"/>
        <v>0</v>
      </c>
      <c r="AD189" s="838">
        <f t="shared" si="48"/>
        <v>0</v>
      </c>
      <c r="AE189" s="838">
        <f t="shared" si="48"/>
        <v>7</v>
      </c>
      <c r="AF189" s="838">
        <f t="shared" si="48"/>
        <v>6</v>
      </c>
      <c r="AG189" s="768">
        <f t="shared" si="47"/>
        <v>140</v>
      </c>
    </row>
    <row r="190">
      <c r="A190" s="835"/>
      <c r="AG190" s="768"/>
    </row>
    <row r="191">
      <c r="A191" s="648" t="s">
        <v>286</v>
      </c>
      <c r="B191" s="294"/>
      <c r="C191" s="327"/>
      <c r="D191" s="327"/>
      <c r="E191" s="327"/>
      <c r="F191" s="327"/>
      <c r="G191" s="327"/>
      <c r="H191" s="327"/>
      <c r="I191" s="327"/>
      <c r="J191" s="327"/>
      <c r="K191" s="327"/>
      <c r="L191" s="327"/>
      <c r="M191" s="327"/>
      <c r="N191" s="327"/>
      <c r="O191" s="327"/>
      <c r="P191" s="327"/>
      <c r="Q191" s="327"/>
      <c r="R191" s="327"/>
      <c r="S191" s="327"/>
      <c r="T191" s="327"/>
      <c r="U191" s="327"/>
      <c r="V191" s="327"/>
      <c r="W191" s="327"/>
      <c r="X191" s="327"/>
      <c r="Y191" s="327"/>
      <c r="Z191" s="327"/>
      <c r="AA191" s="327"/>
      <c r="AB191" s="327"/>
      <c r="AC191" s="327"/>
      <c r="AD191" s="327"/>
      <c r="AE191" s="327"/>
      <c r="AF191" s="327"/>
      <c r="AG191" s="768"/>
    </row>
    <row r="192">
      <c r="A192" s="691" t="s">
        <v>106</v>
      </c>
      <c r="B192" s="871">
        <f t="shared" ref="B192:AF192" si="49">B145-B294</f>
        <v>37</v>
      </c>
      <c r="C192" s="871">
        <f t="shared" si="49"/>
        <v>57</v>
      </c>
      <c r="D192" s="871">
        <f t="shared" si="49"/>
        <v>45</v>
      </c>
      <c r="E192" s="871">
        <f t="shared" si="49"/>
        <v>38</v>
      </c>
      <c r="F192" s="871">
        <f t="shared" si="49"/>
        <v>43</v>
      </c>
      <c r="G192" s="871">
        <f t="shared" si="49"/>
        <v>47</v>
      </c>
      <c r="H192" s="871">
        <f t="shared" si="49"/>
        <v>63</v>
      </c>
      <c r="I192" s="871">
        <f t="shared" si="49"/>
        <v>53</v>
      </c>
      <c r="J192" s="871">
        <f t="shared" si="49"/>
        <v>51</v>
      </c>
      <c r="K192" s="871">
        <f t="shared" si="49"/>
        <v>60</v>
      </c>
      <c r="L192" s="871">
        <f t="shared" si="49"/>
        <v>54</v>
      </c>
      <c r="M192" s="871">
        <f t="shared" si="49"/>
        <v>57</v>
      </c>
      <c r="N192" s="871">
        <f t="shared" si="49"/>
        <v>60</v>
      </c>
      <c r="O192" s="872">
        <f t="shared" si="49"/>
        <v>70</v>
      </c>
      <c r="P192" s="871">
        <f t="shared" si="49"/>
        <v>62</v>
      </c>
      <c r="Q192" s="871">
        <f t="shared" si="49"/>
        <v>72</v>
      </c>
      <c r="R192" s="871">
        <f t="shared" si="49"/>
        <v>27</v>
      </c>
      <c r="S192" s="871">
        <f t="shared" si="49"/>
        <v>55</v>
      </c>
      <c r="T192" s="871">
        <f t="shared" si="49"/>
        <v>43</v>
      </c>
      <c r="U192" s="871">
        <f t="shared" si="49"/>
        <v>46</v>
      </c>
      <c r="V192" s="871">
        <f t="shared" si="49"/>
        <v>47</v>
      </c>
      <c r="W192" s="871">
        <f t="shared" si="49"/>
        <v>29</v>
      </c>
      <c r="X192" s="871">
        <f t="shared" si="49"/>
        <v>26</v>
      </c>
      <c r="Y192" s="871">
        <f t="shared" si="49"/>
        <v>13</v>
      </c>
      <c r="Z192" s="872">
        <f t="shared" si="49"/>
        <v>24</v>
      </c>
      <c r="AA192" s="871">
        <f t="shared" si="49"/>
        <v>23</v>
      </c>
      <c r="AB192" s="871">
        <f t="shared" si="49"/>
        <v>34</v>
      </c>
      <c r="AC192" s="872">
        <f t="shared" si="49"/>
        <v>30</v>
      </c>
      <c r="AD192" s="872">
        <f t="shared" si="49"/>
        <v>17</v>
      </c>
      <c r="AE192" s="872">
        <f t="shared" si="49"/>
        <v>26</v>
      </c>
      <c r="AF192" s="872">
        <f t="shared" si="49"/>
        <v>17</v>
      </c>
      <c r="AG192" s="768">
        <f t="shared" ref="AG192:AG194" si="51">sum(B192:AF192)</f>
        <v>1326</v>
      </c>
    </row>
    <row r="193">
      <c r="A193" s="691" t="s">
        <v>119</v>
      </c>
      <c r="B193" s="871">
        <f t="shared" ref="B193:AF193" si="50">B146-B295</f>
        <v>90</v>
      </c>
      <c r="C193" s="871">
        <f t="shared" si="50"/>
        <v>92</v>
      </c>
      <c r="D193" s="871">
        <f t="shared" si="50"/>
        <v>89</v>
      </c>
      <c r="E193" s="871">
        <f t="shared" si="50"/>
        <v>105</v>
      </c>
      <c r="F193" s="871">
        <f t="shared" si="50"/>
        <v>94</v>
      </c>
      <c r="G193" s="871">
        <f t="shared" si="50"/>
        <v>103</v>
      </c>
      <c r="H193" s="871">
        <f t="shared" si="50"/>
        <v>103</v>
      </c>
      <c r="I193" s="871">
        <f t="shared" si="50"/>
        <v>133</v>
      </c>
      <c r="J193" s="871">
        <f t="shared" si="50"/>
        <v>122</v>
      </c>
      <c r="K193" s="871">
        <f t="shared" si="50"/>
        <v>106</v>
      </c>
      <c r="L193" s="871">
        <f t="shared" si="50"/>
        <v>120</v>
      </c>
      <c r="M193" s="871">
        <f t="shared" si="50"/>
        <v>122</v>
      </c>
      <c r="N193" s="871">
        <f t="shared" si="50"/>
        <v>221</v>
      </c>
      <c r="O193" s="872">
        <f t="shared" si="50"/>
        <v>187</v>
      </c>
      <c r="P193" s="871">
        <f t="shared" si="50"/>
        <v>152</v>
      </c>
      <c r="Q193" s="871">
        <f t="shared" si="50"/>
        <v>143</v>
      </c>
      <c r="R193" s="871">
        <f t="shared" si="50"/>
        <v>85</v>
      </c>
      <c r="S193" s="871">
        <f t="shared" si="50"/>
        <v>147</v>
      </c>
      <c r="T193" s="871">
        <f t="shared" si="50"/>
        <v>106</v>
      </c>
      <c r="U193" s="871">
        <f t="shared" si="50"/>
        <v>120</v>
      </c>
      <c r="V193" s="871">
        <f t="shared" si="50"/>
        <v>100</v>
      </c>
      <c r="W193" s="871">
        <f t="shared" si="50"/>
        <v>112</v>
      </c>
      <c r="X193" s="871">
        <f t="shared" si="50"/>
        <v>95</v>
      </c>
      <c r="Y193" s="871">
        <f t="shared" si="50"/>
        <v>74</v>
      </c>
      <c r="Z193" s="871">
        <f t="shared" si="50"/>
        <v>81</v>
      </c>
      <c r="AA193" s="871">
        <f t="shared" si="50"/>
        <v>77</v>
      </c>
      <c r="AB193" s="871">
        <f t="shared" si="50"/>
        <v>81</v>
      </c>
      <c r="AC193" s="871">
        <f t="shared" si="50"/>
        <v>72</v>
      </c>
      <c r="AD193" s="871">
        <f t="shared" si="50"/>
        <v>80</v>
      </c>
      <c r="AE193" s="871">
        <f t="shared" si="50"/>
        <v>71</v>
      </c>
      <c r="AF193" s="871">
        <f t="shared" si="50"/>
        <v>86</v>
      </c>
      <c r="AG193" s="768">
        <f t="shared" si="51"/>
        <v>3369</v>
      </c>
    </row>
    <row r="194">
      <c r="A194" s="812" t="s">
        <v>725</v>
      </c>
      <c r="B194" s="813">
        <f t="shared" ref="B194:AF194" si="52">SUM(B192:B193)</f>
        <v>127</v>
      </c>
      <c r="C194" s="813">
        <f t="shared" si="52"/>
        <v>149</v>
      </c>
      <c r="D194" s="813">
        <f t="shared" si="52"/>
        <v>134</v>
      </c>
      <c r="E194" s="813">
        <f t="shared" si="52"/>
        <v>143</v>
      </c>
      <c r="F194" s="813">
        <f t="shared" si="52"/>
        <v>137</v>
      </c>
      <c r="G194" s="813">
        <f t="shared" si="52"/>
        <v>150</v>
      </c>
      <c r="H194" s="813">
        <f t="shared" si="52"/>
        <v>166</v>
      </c>
      <c r="I194" s="813">
        <f t="shared" si="52"/>
        <v>186</v>
      </c>
      <c r="J194" s="813">
        <f t="shared" si="52"/>
        <v>173</v>
      </c>
      <c r="K194" s="813">
        <f t="shared" si="52"/>
        <v>166</v>
      </c>
      <c r="L194" s="813">
        <f t="shared" si="52"/>
        <v>174</v>
      </c>
      <c r="M194" s="813">
        <f t="shared" si="52"/>
        <v>179</v>
      </c>
      <c r="N194" s="813">
        <f t="shared" si="52"/>
        <v>281</v>
      </c>
      <c r="O194" s="813">
        <f t="shared" si="52"/>
        <v>257</v>
      </c>
      <c r="P194" s="813">
        <f t="shared" si="52"/>
        <v>214</v>
      </c>
      <c r="Q194" s="813">
        <f t="shared" si="52"/>
        <v>215</v>
      </c>
      <c r="R194" s="813">
        <f t="shared" si="52"/>
        <v>112</v>
      </c>
      <c r="S194" s="813">
        <f t="shared" si="52"/>
        <v>202</v>
      </c>
      <c r="T194" s="813">
        <f t="shared" si="52"/>
        <v>149</v>
      </c>
      <c r="U194" s="813">
        <f t="shared" si="52"/>
        <v>166</v>
      </c>
      <c r="V194" s="813">
        <f t="shared" si="52"/>
        <v>147</v>
      </c>
      <c r="W194" s="813">
        <f t="shared" si="52"/>
        <v>141</v>
      </c>
      <c r="X194" s="813">
        <f t="shared" si="52"/>
        <v>121</v>
      </c>
      <c r="Y194" s="813">
        <f t="shared" si="52"/>
        <v>87</v>
      </c>
      <c r="Z194" s="813">
        <f t="shared" si="52"/>
        <v>105</v>
      </c>
      <c r="AA194" s="813">
        <f t="shared" si="52"/>
        <v>100</v>
      </c>
      <c r="AB194" s="813">
        <f t="shared" si="52"/>
        <v>115</v>
      </c>
      <c r="AC194" s="813">
        <f t="shared" si="52"/>
        <v>102</v>
      </c>
      <c r="AD194" s="813">
        <f t="shared" si="52"/>
        <v>97</v>
      </c>
      <c r="AE194" s="813">
        <f t="shared" si="52"/>
        <v>97</v>
      </c>
      <c r="AF194" s="813">
        <f t="shared" si="52"/>
        <v>103</v>
      </c>
      <c r="AG194" s="768">
        <f t="shared" si="51"/>
        <v>4695</v>
      </c>
    </row>
    <row r="195">
      <c r="A195" s="42"/>
      <c r="B195" s="823"/>
      <c r="C195" s="823"/>
      <c r="D195" s="823"/>
      <c r="E195" s="823"/>
      <c r="F195" s="823"/>
      <c r="G195" s="823"/>
      <c r="H195" s="823"/>
      <c r="I195" s="823"/>
      <c r="J195" s="327"/>
      <c r="K195" s="327"/>
      <c r="L195" s="327"/>
      <c r="M195" s="327"/>
      <c r="N195" s="327"/>
      <c r="O195" s="327"/>
      <c r="P195" s="327"/>
      <c r="Q195" s="327"/>
      <c r="R195" s="327"/>
      <c r="S195" s="327"/>
      <c r="T195" s="327"/>
      <c r="U195" s="327"/>
      <c r="V195" s="327"/>
      <c r="W195" s="327"/>
      <c r="X195" s="327"/>
      <c r="Y195" s="327"/>
      <c r="Z195" s="327"/>
      <c r="AA195" s="327"/>
      <c r="AB195" s="327"/>
      <c r="AC195" s="327"/>
      <c r="AD195" s="327"/>
      <c r="AE195" s="327"/>
      <c r="AF195" s="327"/>
      <c r="AG195" s="768"/>
    </row>
    <row r="196">
      <c r="A196" s="691" t="s">
        <v>121</v>
      </c>
      <c r="B196" s="300">
        <f t="shared" ref="B196:AF196" si="53">B149-B297-B304-B311</f>
        <v>50</v>
      </c>
      <c r="C196" s="300">
        <f t="shared" si="53"/>
        <v>52</v>
      </c>
      <c r="D196" s="300">
        <f t="shared" si="53"/>
        <v>32</v>
      </c>
      <c r="E196" s="300">
        <f t="shared" si="53"/>
        <v>37</v>
      </c>
      <c r="F196" s="300">
        <f t="shared" si="53"/>
        <v>43</v>
      </c>
      <c r="G196" s="300">
        <f t="shared" si="53"/>
        <v>41</v>
      </c>
      <c r="H196" s="300">
        <f t="shared" si="53"/>
        <v>48</v>
      </c>
      <c r="I196" s="300">
        <f t="shared" si="53"/>
        <v>70</v>
      </c>
      <c r="J196" s="300">
        <f t="shared" si="53"/>
        <v>72</v>
      </c>
      <c r="K196" s="300">
        <f t="shared" si="53"/>
        <v>62</v>
      </c>
      <c r="L196" s="300">
        <f t="shared" si="53"/>
        <v>55</v>
      </c>
      <c r="M196" s="300">
        <f t="shared" si="53"/>
        <v>45</v>
      </c>
      <c r="N196" s="300">
        <f t="shared" si="53"/>
        <v>83</v>
      </c>
      <c r="O196" s="300">
        <f t="shared" si="53"/>
        <v>66</v>
      </c>
      <c r="P196" s="300">
        <f t="shared" si="53"/>
        <v>85</v>
      </c>
      <c r="Q196" s="300">
        <f t="shared" si="53"/>
        <v>79</v>
      </c>
      <c r="R196" s="300">
        <f t="shared" si="53"/>
        <v>32</v>
      </c>
      <c r="S196" s="300">
        <f t="shared" si="53"/>
        <v>73</v>
      </c>
      <c r="T196" s="300">
        <f t="shared" si="53"/>
        <v>43</v>
      </c>
      <c r="U196" s="300">
        <f t="shared" si="53"/>
        <v>58</v>
      </c>
      <c r="V196" s="300">
        <f t="shared" si="53"/>
        <v>46</v>
      </c>
      <c r="W196" s="300">
        <f t="shared" si="53"/>
        <v>57</v>
      </c>
      <c r="X196" s="300">
        <f t="shared" si="53"/>
        <v>55</v>
      </c>
      <c r="Y196" s="300">
        <f t="shared" si="53"/>
        <v>34</v>
      </c>
      <c r="Z196" s="300">
        <f t="shared" si="53"/>
        <v>37</v>
      </c>
      <c r="AA196" s="300">
        <f t="shared" si="53"/>
        <v>24</v>
      </c>
      <c r="AB196" s="300">
        <f t="shared" si="53"/>
        <v>39</v>
      </c>
      <c r="AC196" s="300">
        <f t="shared" si="53"/>
        <v>28</v>
      </c>
      <c r="AD196" s="300">
        <f t="shared" si="53"/>
        <v>37</v>
      </c>
      <c r="AE196" s="300">
        <f t="shared" si="53"/>
        <v>29</v>
      </c>
      <c r="AF196" s="300">
        <f t="shared" si="53"/>
        <v>31</v>
      </c>
      <c r="AG196" s="768">
        <f t="shared" ref="AG196:AG201" si="55">sum(B196:AF196)</f>
        <v>1543</v>
      </c>
    </row>
    <row r="197">
      <c r="A197" s="691" t="s">
        <v>129</v>
      </c>
      <c r="B197" s="300">
        <f t="shared" ref="B197:AF197" si="54">B150-B298-B305-B312</f>
        <v>0</v>
      </c>
      <c r="C197" s="300">
        <f t="shared" si="54"/>
        <v>0</v>
      </c>
      <c r="D197" s="300">
        <f t="shared" si="54"/>
        <v>0</v>
      </c>
      <c r="E197" s="300">
        <f t="shared" si="54"/>
        <v>0</v>
      </c>
      <c r="F197" s="300">
        <f t="shared" si="54"/>
        <v>0</v>
      </c>
      <c r="G197" s="300">
        <f t="shared" si="54"/>
        <v>0</v>
      </c>
      <c r="H197" s="300">
        <f t="shared" si="54"/>
        <v>0</v>
      </c>
      <c r="I197" s="300">
        <f t="shared" si="54"/>
        <v>0</v>
      </c>
      <c r="J197" s="300">
        <f t="shared" si="54"/>
        <v>0</v>
      </c>
      <c r="K197" s="300">
        <f t="shared" si="54"/>
        <v>0</v>
      </c>
      <c r="L197" s="300">
        <f t="shared" si="54"/>
        <v>0</v>
      </c>
      <c r="M197" s="300">
        <f t="shared" si="54"/>
        <v>0</v>
      </c>
      <c r="N197" s="300">
        <f t="shared" si="54"/>
        <v>0</v>
      </c>
      <c r="O197" s="300">
        <f t="shared" si="54"/>
        <v>0</v>
      </c>
      <c r="P197" s="300">
        <f t="shared" si="54"/>
        <v>0</v>
      </c>
      <c r="Q197" s="300">
        <f t="shared" si="54"/>
        <v>0</v>
      </c>
      <c r="R197" s="300">
        <f t="shared" si="54"/>
        <v>0</v>
      </c>
      <c r="S197" s="300">
        <f t="shared" si="54"/>
        <v>0</v>
      </c>
      <c r="T197" s="300">
        <f t="shared" si="54"/>
        <v>0</v>
      </c>
      <c r="U197" s="300">
        <f t="shared" si="54"/>
        <v>0</v>
      </c>
      <c r="V197" s="300">
        <f t="shared" si="54"/>
        <v>0</v>
      </c>
      <c r="W197" s="300">
        <f t="shared" si="54"/>
        <v>0</v>
      </c>
      <c r="X197" s="300">
        <f t="shared" si="54"/>
        <v>0</v>
      </c>
      <c r="Y197" s="300">
        <f t="shared" si="54"/>
        <v>0</v>
      </c>
      <c r="Z197" s="300">
        <f t="shared" si="54"/>
        <v>0</v>
      </c>
      <c r="AA197" s="300">
        <f t="shared" si="54"/>
        <v>0</v>
      </c>
      <c r="AB197" s="300">
        <f t="shared" si="54"/>
        <v>0</v>
      </c>
      <c r="AC197" s="300">
        <f t="shared" si="54"/>
        <v>0</v>
      </c>
      <c r="AD197" s="300">
        <f t="shared" si="54"/>
        <v>-1</v>
      </c>
      <c r="AE197" s="300">
        <f t="shared" si="54"/>
        <v>-1</v>
      </c>
      <c r="AF197" s="300">
        <f t="shared" si="54"/>
        <v>0</v>
      </c>
      <c r="AG197" s="768">
        <f t="shared" si="55"/>
        <v>-2</v>
      </c>
    </row>
    <row r="198">
      <c r="A198" s="691" t="s">
        <v>137</v>
      </c>
      <c r="B198" s="300">
        <f t="shared" ref="B198:AF198" si="56">B151-B299-B306-B313</f>
        <v>24</v>
      </c>
      <c r="C198" s="300">
        <f t="shared" si="56"/>
        <v>37</v>
      </c>
      <c r="D198" s="300">
        <f t="shared" si="56"/>
        <v>22</v>
      </c>
      <c r="E198" s="300">
        <f t="shared" si="56"/>
        <v>28</v>
      </c>
      <c r="F198" s="300">
        <f t="shared" si="56"/>
        <v>25</v>
      </c>
      <c r="G198" s="300">
        <f t="shared" si="56"/>
        <v>18</v>
      </c>
      <c r="H198" s="300">
        <f t="shared" si="56"/>
        <v>16</v>
      </c>
      <c r="I198" s="300">
        <f t="shared" si="56"/>
        <v>31</v>
      </c>
      <c r="J198" s="300">
        <f t="shared" si="56"/>
        <v>25</v>
      </c>
      <c r="K198" s="300">
        <f t="shared" si="56"/>
        <v>28</v>
      </c>
      <c r="L198" s="300">
        <f t="shared" si="56"/>
        <v>23</v>
      </c>
      <c r="M198" s="300">
        <f t="shared" si="56"/>
        <v>24</v>
      </c>
      <c r="N198" s="300">
        <f t="shared" si="56"/>
        <v>48</v>
      </c>
      <c r="O198" s="300">
        <f t="shared" si="56"/>
        <v>38</v>
      </c>
      <c r="P198" s="300">
        <f t="shared" si="56"/>
        <v>39</v>
      </c>
      <c r="Q198" s="300">
        <f t="shared" si="56"/>
        <v>37</v>
      </c>
      <c r="R198" s="300">
        <f t="shared" si="56"/>
        <v>24</v>
      </c>
      <c r="S198" s="300">
        <f t="shared" si="56"/>
        <v>34</v>
      </c>
      <c r="T198" s="300">
        <f t="shared" si="56"/>
        <v>33</v>
      </c>
      <c r="U198" s="300">
        <f t="shared" si="56"/>
        <v>32</v>
      </c>
      <c r="V198" s="300">
        <f t="shared" si="56"/>
        <v>24</v>
      </c>
      <c r="W198" s="300">
        <f t="shared" si="56"/>
        <v>27</v>
      </c>
      <c r="X198" s="300">
        <f t="shared" si="56"/>
        <v>26</v>
      </c>
      <c r="Y198" s="300">
        <f t="shared" si="56"/>
        <v>22</v>
      </c>
      <c r="Z198" s="300">
        <f t="shared" si="56"/>
        <v>16</v>
      </c>
      <c r="AA198" s="300">
        <f t="shared" si="56"/>
        <v>20</v>
      </c>
      <c r="AB198" s="300">
        <f t="shared" si="56"/>
        <v>14</v>
      </c>
      <c r="AC198" s="300">
        <f t="shared" si="56"/>
        <v>15</v>
      </c>
      <c r="AD198" s="300">
        <f t="shared" si="56"/>
        <v>16</v>
      </c>
      <c r="AE198" s="300">
        <f t="shared" si="56"/>
        <v>23</v>
      </c>
      <c r="AF198" s="300">
        <f t="shared" si="56"/>
        <v>13</v>
      </c>
      <c r="AG198" s="768">
        <f t="shared" si="55"/>
        <v>802</v>
      </c>
    </row>
    <row r="199">
      <c r="A199" s="691" t="s">
        <v>153</v>
      </c>
      <c r="B199" s="300">
        <f t="shared" ref="B199:AF199" si="57">B152-B300-B307-B314</f>
        <v>33</v>
      </c>
      <c r="C199" s="300">
        <f t="shared" si="57"/>
        <v>43</v>
      </c>
      <c r="D199" s="300">
        <f t="shared" si="57"/>
        <v>22</v>
      </c>
      <c r="E199" s="300">
        <f t="shared" si="57"/>
        <v>34</v>
      </c>
      <c r="F199" s="300">
        <f t="shared" si="57"/>
        <v>21</v>
      </c>
      <c r="G199" s="300">
        <f t="shared" si="57"/>
        <v>27</v>
      </c>
      <c r="H199" s="300">
        <f t="shared" si="57"/>
        <v>19</v>
      </c>
      <c r="I199" s="300">
        <f t="shared" si="57"/>
        <v>38</v>
      </c>
      <c r="J199" s="300">
        <f t="shared" si="57"/>
        <v>38</v>
      </c>
      <c r="K199" s="300">
        <f t="shared" si="57"/>
        <v>36</v>
      </c>
      <c r="L199" s="300">
        <f t="shared" si="57"/>
        <v>25</v>
      </c>
      <c r="M199" s="300">
        <f t="shared" si="57"/>
        <v>25</v>
      </c>
      <c r="N199" s="300">
        <f t="shared" si="57"/>
        <v>55</v>
      </c>
      <c r="O199" s="300">
        <f t="shared" si="57"/>
        <v>47</v>
      </c>
      <c r="P199" s="300">
        <f t="shared" si="57"/>
        <v>48</v>
      </c>
      <c r="Q199" s="300">
        <f t="shared" si="57"/>
        <v>36</v>
      </c>
      <c r="R199" s="300">
        <f t="shared" si="57"/>
        <v>18</v>
      </c>
      <c r="S199" s="300">
        <f t="shared" si="57"/>
        <v>32</v>
      </c>
      <c r="T199" s="300">
        <f t="shared" si="57"/>
        <v>30</v>
      </c>
      <c r="U199" s="300">
        <f t="shared" si="57"/>
        <v>33</v>
      </c>
      <c r="V199" s="300">
        <f t="shared" si="57"/>
        <v>34</v>
      </c>
      <c r="W199" s="300">
        <f t="shared" si="57"/>
        <v>28</v>
      </c>
      <c r="X199" s="300">
        <f t="shared" si="57"/>
        <v>35</v>
      </c>
      <c r="Y199" s="300">
        <f t="shared" si="57"/>
        <v>20</v>
      </c>
      <c r="Z199" s="300">
        <f t="shared" si="57"/>
        <v>13</v>
      </c>
      <c r="AA199" s="300">
        <f t="shared" si="57"/>
        <v>22</v>
      </c>
      <c r="AB199" s="300">
        <f t="shared" si="57"/>
        <v>14</v>
      </c>
      <c r="AC199" s="300">
        <f t="shared" si="57"/>
        <v>15</v>
      </c>
      <c r="AD199" s="300">
        <f t="shared" si="57"/>
        <v>10</v>
      </c>
      <c r="AE199" s="300">
        <f t="shared" si="57"/>
        <v>21</v>
      </c>
      <c r="AF199" s="300">
        <f t="shared" si="57"/>
        <v>14</v>
      </c>
      <c r="AG199" s="768">
        <f t="shared" si="55"/>
        <v>886</v>
      </c>
    </row>
    <row r="200">
      <c r="A200" s="691" t="s">
        <v>127</v>
      </c>
      <c r="B200" s="300">
        <f t="shared" ref="B200:AF200" si="58">B153-B301-B308-B315</f>
        <v>18</v>
      </c>
      <c r="C200" s="300">
        <f t="shared" si="58"/>
        <v>19</v>
      </c>
      <c r="D200" s="300">
        <f t="shared" si="58"/>
        <v>18</v>
      </c>
      <c r="E200" s="300">
        <f t="shared" si="58"/>
        <v>23</v>
      </c>
      <c r="F200" s="300">
        <f t="shared" si="58"/>
        <v>11</v>
      </c>
      <c r="G200" s="300">
        <f t="shared" si="58"/>
        <v>17</v>
      </c>
      <c r="H200" s="300">
        <f t="shared" si="58"/>
        <v>18</v>
      </c>
      <c r="I200" s="300">
        <f t="shared" si="58"/>
        <v>23</v>
      </c>
      <c r="J200" s="300">
        <f t="shared" si="58"/>
        <v>25</v>
      </c>
      <c r="K200" s="300">
        <f t="shared" si="58"/>
        <v>27</v>
      </c>
      <c r="L200" s="300">
        <f t="shared" si="58"/>
        <v>12</v>
      </c>
      <c r="M200" s="300">
        <f t="shared" si="58"/>
        <v>14</v>
      </c>
      <c r="N200" s="300">
        <f t="shared" si="58"/>
        <v>35</v>
      </c>
      <c r="O200" s="300">
        <f t="shared" si="58"/>
        <v>24</v>
      </c>
      <c r="P200" s="300">
        <f t="shared" si="58"/>
        <v>22</v>
      </c>
      <c r="Q200" s="300">
        <f t="shared" si="58"/>
        <v>17</v>
      </c>
      <c r="R200" s="300">
        <f t="shared" si="58"/>
        <v>15</v>
      </c>
      <c r="S200" s="300">
        <f t="shared" si="58"/>
        <v>19</v>
      </c>
      <c r="T200" s="300">
        <f t="shared" si="58"/>
        <v>10</v>
      </c>
      <c r="U200" s="300">
        <f t="shared" si="58"/>
        <v>21</v>
      </c>
      <c r="V200" s="300">
        <f t="shared" si="58"/>
        <v>16</v>
      </c>
      <c r="W200" s="300">
        <f t="shared" si="58"/>
        <v>16</v>
      </c>
      <c r="X200" s="300">
        <f t="shared" si="58"/>
        <v>20</v>
      </c>
      <c r="Y200" s="300">
        <f t="shared" si="58"/>
        <v>9</v>
      </c>
      <c r="Z200" s="300">
        <f t="shared" si="58"/>
        <v>17</v>
      </c>
      <c r="AA200" s="300">
        <f t="shared" si="58"/>
        <v>11</v>
      </c>
      <c r="AB200" s="300">
        <f t="shared" si="58"/>
        <v>10</v>
      </c>
      <c r="AC200" s="300">
        <f t="shared" si="58"/>
        <v>10</v>
      </c>
      <c r="AD200" s="300">
        <f t="shared" si="58"/>
        <v>20</v>
      </c>
      <c r="AE200" s="300">
        <f t="shared" si="58"/>
        <v>14</v>
      </c>
      <c r="AF200" s="300">
        <f t="shared" si="58"/>
        <v>9</v>
      </c>
      <c r="AG200" s="768">
        <f t="shared" si="55"/>
        <v>540</v>
      </c>
    </row>
    <row r="201">
      <c r="A201" s="812" t="s">
        <v>151</v>
      </c>
      <c r="B201" s="813">
        <f t="shared" ref="B201:AF201" si="59">SUM(B196:B200)</f>
        <v>125</v>
      </c>
      <c r="C201" s="813">
        <f t="shared" si="59"/>
        <v>151</v>
      </c>
      <c r="D201" s="813">
        <f t="shared" si="59"/>
        <v>94</v>
      </c>
      <c r="E201" s="813">
        <f t="shared" si="59"/>
        <v>122</v>
      </c>
      <c r="F201" s="813">
        <f t="shared" si="59"/>
        <v>100</v>
      </c>
      <c r="G201" s="813">
        <f t="shared" si="59"/>
        <v>103</v>
      </c>
      <c r="H201" s="813">
        <f t="shared" si="59"/>
        <v>101</v>
      </c>
      <c r="I201" s="813">
        <f t="shared" si="59"/>
        <v>162</v>
      </c>
      <c r="J201" s="813">
        <f t="shared" si="59"/>
        <v>160</v>
      </c>
      <c r="K201" s="813">
        <f t="shared" si="59"/>
        <v>153</v>
      </c>
      <c r="L201" s="813">
        <f t="shared" si="59"/>
        <v>115</v>
      </c>
      <c r="M201" s="813">
        <f t="shared" si="59"/>
        <v>108</v>
      </c>
      <c r="N201" s="813">
        <f t="shared" si="59"/>
        <v>221</v>
      </c>
      <c r="O201" s="813">
        <f t="shared" si="59"/>
        <v>175</v>
      </c>
      <c r="P201" s="813">
        <f t="shared" si="59"/>
        <v>194</v>
      </c>
      <c r="Q201" s="813">
        <f t="shared" si="59"/>
        <v>169</v>
      </c>
      <c r="R201" s="813">
        <f t="shared" si="59"/>
        <v>89</v>
      </c>
      <c r="S201" s="813">
        <f t="shared" si="59"/>
        <v>158</v>
      </c>
      <c r="T201" s="813">
        <f t="shared" si="59"/>
        <v>116</v>
      </c>
      <c r="U201" s="813">
        <f t="shared" si="59"/>
        <v>144</v>
      </c>
      <c r="V201" s="813">
        <f t="shared" si="59"/>
        <v>120</v>
      </c>
      <c r="W201" s="813">
        <f t="shared" si="59"/>
        <v>128</v>
      </c>
      <c r="X201" s="813">
        <f t="shared" si="59"/>
        <v>136</v>
      </c>
      <c r="Y201" s="813">
        <f t="shared" si="59"/>
        <v>85</v>
      </c>
      <c r="Z201" s="813">
        <f t="shared" si="59"/>
        <v>83</v>
      </c>
      <c r="AA201" s="813">
        <f t="shared" si="59"/>
        <v>77</v>
      </c>
      <c r="AB201" s="813">
        <f t="shared" si="59"/>
        <v>77</v>
      </c>
      <c r="AC201" s="813">
        <f t="shared" si="59"/>
        <v>68</v>
      </c>
      <c r="AD201" s="813">
        <f t="shared" si="59"/>
        <v>82</v>
      </c>
      <c r="AE201" s="813">
        <f t="shared" si="59"/>
        <v>86</v>
      </c>
      <c r="AF201" s="813">
        <f t="shared" si="59"/>
        <v>67</v>
      </c>
      <c r="AG201" s="768">
        <f t="shared" si="55"/>
        <v>3769</v>
      </c>
    </row>
    <row r="202">
      <c r="A202" s="835"/>
      <c r="AG202" s="768"/>
    </row>
    <row r="203">
      <c r="A203" s="691" t="s">
        <v>727</v>
      </c>
      <c r="B203" s="836"/>
      <c r="C203" s="836"/>
      <c r="D203" s="836"/>
      <c r="E203" s="836"/>
      <c r="F203" s="836"/>
      <c r="G203" s="836"/>
      <c r="H203" s="836"/>
      <c r="I203" s="836"/>
      <c r="J203" s="836"/>
      <c r="K203" s="836"/>
      <c r="L203" s="836"/>
      <c r="M203" s="836"/>
      <c r="N203" s="836"/>
      <c r="O203" s="836"/>
      <c r="P203" s="836"/>
      <c r="Q203" s="836"/>
      <c r="R203" s="836"/>
      <c r="S203" s="836"/>
      <c r="T203" s="836"/>
      <c r="U203" s="836"/>
      <c r="V203" s="836"/>
      <c r="W203" s="836"/>
      <c r="X203" s="836"/>
      <c r="Y203" s="836"/>
      <c r="Z203" s="836"/>
      <c r="AA203" s="836"/>
      <c r="AB203" s="836"/>
      <c r="AC203" s="836"/>
      <c r="AD203" s="836"/>
      <c r="AE203" s="836"/>
      <c r="AF203" s="836"/>
      <c r="AG203" s="768">
        <f t="shared" ref="AG203:AG205" si="60">sum(B203:AF203)</f>
        <v>0</v>
      </c>
    </row>
    <row r="204">
      <c r="A204" s="691" t="s">
        <v>728</v>
      </c>
      <c r="B204" s="836"/>
      <c r="C204" s="836"/>
      <c r="D204" s="836"/>
      <c r="E204" s="836"/>
      <c r="F204" s="836"/>
      <c r="G204" s="836"/>
      <c r="H204" s="836"/>
      <c r="I204" s="836"/>
      <c r="J204" s="836"/>
      <c r="K204" s="836"/>
      <c r="L204" s="836"/>
      <c r="M204" s="836"/>
      <c r="N204" s="836"/>
      <c r="O204" s="836"/>
      <c r="P204" s="836"/>
      <c r="Q204" s="836"/>
      <c r="R204" s="836"/>
      <c r="S204" s="836"/>
      <c r="T204" s="836"/>
      <c r="U204" s="836"/>
      <c r="V204" s="836"/>
      <c r="W204" s="836"/>
      <c r="X204" s="836"/>
      <c r="Y204" s="836"/>
      <c r="Z204" s="836"/>
      <c r="AA204" s="836"/>
      <c r="AB204" s="836"/>
      <c r="AC204" s="836"/>
      <c r="AD204" s="836"/>
      <c r="AE204" s="836"/>
      <c r="AF204" s="836"/>
      <c r="AG204" s="768">
        <f t="shared" si="60"/>
        <v>0</v>
      </c>
    </row>
    <row r="205">
      <c r="A205" s="812" t="s">
        <v>151</v>
      </c>
      <c r="B205" s="813">
        <f t="shared" ref="B205:AF205" si="61">SUM(B203:B204)</f>
        <v>0</v>
      </c>
      <c r="C205" s="813">
        <f t="shared" si="61"/>
        <v>0</v>
      </c>
      <c r="D205" s="813">
        <f t="shared" si="61"/>
        <v>0</v>
      </c>
      <c r="E205" s="813">
        <f t="shared" si="61"/>
        <v>0</v>
      </c>
      <c r="F205" s="813">
        <f t="shared" si="61"/>
        <v>0</v>
      </c>
      <c r="G205" s="813">
        <f t="shared" si="61"/>
        <v>0</v>
      </c>
      <c r="H205" s="813">
        <f t="shared" si="61"/>
        <v>0</v>
      </c>
      <c r="I205" s="813">
        <f t="shared" si="61"/>
        <v>0</v>
      </c>
      <c r="J205" s="813">
        <f t="shared" si="61"/>
        <v>0</v>
      </c>
      <c r="K205" s="813">
        <f t="shared" si="61"/>
        <v>0</v>
      </c>
      <c r="L205" s="813">
        <f t="shared" si="61"/>
        <v>0</v>
      </c>
      <c r="M205" s="813">
        <f t="shared" si="61"/>
        <v>0</v>
      </c>
      <c r="N205" s="813">
        <f t="shared" si="61"/>
        <v>0</v>
      </c>
      <c r="O205" s="813">
        <f t="shared" si="61"/>
        <v>0</v>
      </c>
      <c r="P205" s="813">
        <f t="shared" si="61"/>
        <v>0</v>
      </c>
      <c r="Q205" s="813">
        <f t="shared" si="61"/>
        <v>0</v>
      </c>
      <c r="R205" s="813">
        <f t="shared" si="61"/>
        <v>0</v>
      </c>
      <c r="S205" s="813">
        <f t="shared" si="61"/>
        <v>0</v>
      </c>
      <c r="T205" s="813">
        <f t="shared" si="61"/>
        <v>0</v>
      </c>
      <c r="U205" s="813">
        <f t="shared" si="61"/>
        <v>0</v>
      </c>
      <c r="V205" s="813">
        <f t="shared" si="61"/>
        <v>0</v>
      </c>
      <c r="W205" s="813">
        <f t="shared" si="61"/>
        <v>0</v>
      </c>
      <c r="X205" s="813">
        <f t="shared" si="61"/>
        <v>0</v>
      </c>
      <c r="Y205" s="813">
        <f t="shared" si="61"/>
        <v>0</v>
      </c>
      <c r="Z205" s="813">
        <f t="shared" si="61"/>
        <v>0</v>
      </c>
      <c r="AA205" s="813">
        <f t="shared" si="61"/>
        <v>0</v>
      </c>
      <c r="AB205" s="813">
        <f t="shared" si="61"/>
        <v>0</v>
      </c>
      <c r="AC205" s="813">
        <f t="shared" si="61"/>
        <v>0</v>
      </c>
      <c r="AD205" s="813">
        <f t="shared" si="61"/>
        <v>0</v>
      </c>
      <c r="AE205" s="813">
        <f t="shared" si="61"/>
        <v>0</v>
      </c>
      <c r="AF205" s="813">
        <f t="shared" si="61"/>
        <v>0</v>
      </c>
      <c r="AG205" s="768">
        <f t="shared" si="60"/>
        <v>0</v>
      </c>
    </row>
    <row r="206">
      <c r="A206" s="835"/>
      <c r="AG206" s="11"/>
    </row>
    <row r="207">
      <c r="A207" s="691" t="s">
        <v>730</v>
      </c>
      <c r="B207" s="873"/>
      <c r="C207" s="873"/>
      <c r="D207" s="873"/>
      <c r="E207" s="873"/>
      <c r="F207" s="873"/>
      <c r="G207" s="873"/>
      <c r="H207" s="873"/>
      <c r="I207" s="873"/>
      <c r="J207" s="873"/>
      <c r="K207" s="873"/>
      <c r="L207" s="873"/>
      <c r="M207" s="873"/>
      <c r="N207" s="873"/>
      <c r="O207" s="873"/>
      <c r="P207" s="873"/>
      <c r="Q207" s="873"/>
      <c r="R207" s="873"/>
      <c r="S207" s="873"/>
      <c r="T207" s="873"/>
      <c r="U207" s="873"/>
      <c r="V207" s="873"/>
      <c r="W207" s="873"/>
      <c r="X207" s="873"/>
      <c r="Y207" s="873"/>
      <c r="Z207" s="873"/>
      <c r="AA207" s="873"/>
      <c r="AB207" s="873"/>
      <c r="AC207" s="873"/>
      <c r="AD207" s="873"/>
      <c r="AE207" s="873"/>
      <c r="AF207" s="873"/>
      <c r="AG207" s="768">
        <f t="shared" ref="AG207:AG209" si="62">sum(B207:AF207)</f>
        <v>0</v>
      </c>
    </row>
    <row r="208">
      <c r="A208" s="691" t="s">
        <v>732</v>
      </c>
      <c r="B208" s="873"/>
      <c r="C208" s="873"/>
      <c r="D208" s="873"/>
      <c r="E208" s="873"/>
      <c r="F208" s="873"/>
      <c r="G208" s="873"/>
      <c r="H208" s="873"/>
      <c r="I208" s="873"/>
      <c r="J208" s="873"/>
      <c r="K208" s="873"/>
      <c r="L208" s="873"/>
      <c r="M208" s="873"/>
      <c r="N208" s="873"/>
      <c r="O208" s="873"/>
      <c r="P208" s="873"/>
      <c r="Q208" s="873"/>
      <c r="R208" s="873"/>
      <c r="S208" s="873"/>
      <c r="T208" s="873"/>
      <c r="U208" s="873"/>
      <c r="V208" s="873"/>
      <c r="W208" s="873"/>
      <c r="X208" s="873"/>
      <c r="Y208" s="873"/>
      <c r="Z208" s="873"/>
      <c r="AA208" s="873"/>
      <c r="AB208" s="873"/>
      <c r="AC208" s="873"/>
      <c r="AD208" s="873"/>
      <c r="AE208" s="873"/>
      <c r="AF208" s="873"/>
      <c r="AG208" s="768">
        <f t="shared" si="62"/>
        <v>0</v>
      </c>
    </row>
    <row r="209">
      <c r="A209" s="812" t="s">
        <v>151</v>
      </c>
      <c r="B209" s="838">
        <f t="shared" ref="B209:AF209" si="63">SUM(B207:B208)</f>
        <v>0</v>
      </c>
      <c r="C209" s="838">
        <f t="shared" si="63"/>
        <v>0</v>
      </c>
      <c r="D209" s="838">
        <f t="shared" si="63"/>
        <v>0</v>
      </c>
      <c r="E209" s="838">
        <f t="shared" si="63"/>
        <v>0</v>
      </c>
      <c r="F209" s="838">
        <f t="shared" si="63"/>
        <v>0</v>
      </c>
      <c r="G209" s="838">
        <f t="shared" si="63"/>
        <v>0</v>
      </c>
      <c r="H209" s="838">
        <f t="shared" si="63"/>
        <v>0</v>
      </c>
      <c r="I209" s="838">
        <f t="shared" si="63"/>
        <v>0</v>
      </c>
      <c r="J209" s="838">
        <f t="shared" si="63"/>
        <v>0</v>
      </c>
      <c r="K209" s="838">
        <f t="shared" si="63"/>
        <v>0</v>
      </c>
      <c r="L209" s="838">
        <f t="shared" si="63"/>
        <v>0</v>
      </c>
      <c r="M209" s="838">
        <f t="shared" si="63"/>
        <v>0</v>
      </c>
      <c r="N209" s="838">
        <f t="shared" si="63"/>
        <v>0</v>
      </c>
      <c r="O209" s="838">
        <f t="shared" si="63"/>
        <v>0</v>
      </c>
      <c r="P209" s="838">
        <f t="shared" si="63"/>
        <v>0</v>
      </c>
      <c r="Q209" s="838">
        <f t="shared" si="63"/>
        <v>0</v>
      </c>
      <c r="R209" s="838">
        <f t="shared" si="63"/>
        <v>0</v>
      </c>
      <c r="S209" s="838">
        <f t="shared" si="63"/>
        <v>0</v>
      </c>
      <c r="T209" s="838">
        <f t="shared" si="63"/>
        <v>0</v>
      </c>
      <c r="U209" s="838">
        <f t="shared" si="63"/>
        <v>0</v>
      </c>
      <c r="V209" s="838">
        <f t="shared" si="63"/>
        <v>0</v>
      </c>
      <c r="W209" s="838">
        <f t="shared" si="63"/>
        <v>0</v>
      </c>
      <c r="X209" s="838">
        <f t="shared" si="63"/>
        <v>0</v>
      </c>
      <c r="Y209" s="838">
        <f t="shared" si="63"/>
        <v>0</v>
      </c>
      <c r="Z209" s="838">
        <f t="shared" si="63"/>
        <v>0</v>
      </c>
      <c r="AA209" s="838">
        <f t="shared" si="63"/>
        <v>0</v>
      </c>
      <c r="AB209" s="838">
        <f t="shared" si="63"/>
        <v>0</v>
      </c>
      <c r="AC209" s="838">
        <f t="shared" si="63"/>
        <v>0</v>
      </c>
      <c r="AD209" s="838">
        <f t="shared" si="63"/>
        <v>0</v>
      </c>
      <c r="AE209" s="838">
        <f t="shared" si="63"/>
        <v>0</v>
      </c>
      <c r="AF209" s="838">
        <f t="shared" si="63"/>
        <v>0</v>
      </c>
      <c r="AG209" s="768">
        <f t="shared" si="62"/>
        <v>0</v>
      </c>
    </row>
    <row r="210">
      <c r="A210" s="835"/>
      <c r="B210" s="874"/>
      <c r="AG210" s="11"/>
    </row>
    <row r="211">
      <c r="A211" s="691" t="s">
        <v>734</v>
      </c>
      <c r="B211" s="300">
        <f t="shared" ref="B211:AF211" si="64">B164-B326</f>
        <v>0</v>
      </c>
      <c r="C211" s="300">
        <f t="shared" si="64"/>
        <v>0</v>
      </c>
      <c r="D211" s="300">
        <f t="shared" si="64"/>
        <v>0</v>
      </c>
      <c r="E211" s="300">
        <f t="shared" si="64"/>
        <v>0</v>
      </c>
      <c r="F211" s="300">
        <f t="shared" si="64"/>
        <v>0</v>
      </c>
      <c r="G211" s="300">
        <f t="shared" si="64"/>
        <v>0</v>
      </c>
      <c r="H211" s="300">
        <f t="shared" si="64"/>
        <v>0</v>
      </c>
      <c r="I211" s="300">
        <f t="shared" si="64"/>
        <v>0</v>
      </c>
      <c r="J211" s="300">
        <f t="shared" si="64"/>
        <v>0</v>
      </c>
      <c r="K211" s="300">
        <f t="shared" si="64"/>
        <v>0</v>
      </c>
      <c r="L211" s="300">
        <f t="shared" si="64"/>
        <v>0</v>
      </c>
      <c r="M211" s="300">
        <f t="shared" si="64"/>
        <v>0</v>
      </c>
      <c r="N211" s="300">
        <f t="shared" si="64"/>
        <v>0</v>
      </c>
      <c r="O211" s="300">
        <f t="shared" si="64"/>
        <v>0</v>
      </c>
      <c r="P211" s="300">
        <f t="shared" si="64"/>
        <v>0</v>
      </c>
      <c r="Q211" s="300">
        <f t="shared" si="64"/>
        <v>0</v>
      </c>
      <c r="R211" s="300">
        <f t="shared" si="64"/>
        <v>0</v>
      </c>
      <c r="S211" s="300">
        <f t="shared" si="64"/>
        <v>0</v>
      </c>
      <c r="T211" s="300">
        <f t="shared" si="64"/>
        <v>0</v>
      </c>
      <c r="U211" s="300">
        <f t="shared" si="64"/>
        <v>0</v>
      </c>
      <c r="V211" s="300">
        <f t="shared" si="64"/>
        <v>0</v>
      </c>
      <c r="W211" s="300">
        <f t="shared" si="64"/>
        <v>0</v>
      </c>
      <c r="X211" s="300">
        <f t="shared" si="64"/>
        <v>0</v>
      </c>
      <c r="Y211" s="300">
        <f t="shared" si="64"/>
        <v>0</v>
      </c>
      <c r="Z211" s="300">
        <f t="shared" si="64"/>
        <v>0</v>
      </c>
      <c r="AA211" s="300">
        <f t="shared" si="64"/>
        <v>0</v>
      </c>
      <c r="AB211" s="300">
        <f t="shared" si="64"/>
        <v>0</v>
      </c>
      <c r="AC211" s="300">
        <f t="shared" si="64"/>
        <v>0</v>
      </c>
      <c r="AD211" s="300">
        <f t="shared" si="64"/>
        <v>0</v>
      </c>
      <c r="AE211" s="300">
        <f t="shared" si="64"/>
        <v>0</v>
      </c>
      <c r="AF211" s="300">
        <f t="shared" si="64"/>
        <v>0</v>
      </c>
      <c r="AG211" s="768">
        <f t="shared" ref="AG211:AG212" si="66">sum(B211:AF211)</f>
        <v>0</v>
      </c>
    </row>
    <row r="212">
      <c r="A212" s="812" t="s">
        <v>151</v>
      </c>
      <c r="B212" s="838">
        <f t="shared" ref="B212:AF212" si="65">B211</f>
        <v>0</v>
      </c>
      <c r="C212" s="838">
        <f t="shared" si="65"/>
        <v>0</v>
      </c>
      <c r="D212" s="838">
        <f t="shared" si="65"/>
        <v>0</v>
      </c>
      <c r="E212" s="838">
        <f t="shared" si="65"/>
        <v>0</v>
      </c>
      <c r="F212" s="838">
        <f t="shared" si="65"/>
        <v>0</v>
      </c>
      <c r="G212" s="838">
        <f t="shared" si="65"/>
        <v>0</v>
      </c>
      <c r="H212" s="838">
        <f t="shared" si="65"/>
        <v>0</v>
      </c>
      <c r="I212" s="838">
        <f t="shared" si="65"/>
        <v>0</v>
      </c>
      <c r="J212" s="838">
        <f t="shared" si="65"/>
        <v>0</v>
      </c>
      <c r="K212" s="838">
        <f t="shared" si="65"/>
        <v>0</v>
      </c>
      <c r="L212" s="838">
        <f t="shared" si="65"/>
        <v>0</v>
      </c>
      <c r="M212" s="838">
        <f t="shared" si="65"/>
        <v>0</v>
      </c>
      <c r="N212" s="838">
        <f t="shared" si="65"/>
        <v>0</v>
      </c>
      <c r="O212" s="838">
        <f t="shared" si="65"/>
        <v>0</v>
      </c>
      <c r="P212" s="838">
        <f t="shared" si="65"/>
        <v>0</v>
      </c>
      <c r="Q212" s="838">
        <f t="shared" si="65"/>
        <v>0</v>
      </c>
      <c r="R212" s="838">
        <f t="shared" si="65"/>
        <v>0</v>
      </c>
      <c r="S212" s="838">
        <f t="shared" si="65"/>
        <v>0</v>
      </c>
      <c r="T212" s="838">
        <f t="shared" si="65"/>
        <v>0</v>
      </c>
      <c r="U212" s="838">
        <f t="shared" si="65"/>
        <v>0</v>
      </c>
      <c r="V212" s="838">
        <f t="shared" si="65"/>
        <v>0</v>
      </c>
      <c r="W212" s="838">
        <f t="shared" si="65"/>
        <v>0</v>
      </c>
      <c r="X212" s="838">
        <f t="shared" si="65"/>
        <v>0</v>
      </c>
      <c r="Y212" s="838">
        <f t="shared" si="65"/>
        <v>0</v>
      </c>
      <c r="Z212" s="838">
        <f t="shared" si="65"/>
        <v>0</v>
      </c>
      <c r="AA212" s="838">
        <f t="shared" si="65"/>
        <v>0</v>
      </c>
      <c r="AB212" s="838">
        <f t="shared" si="65"/>
        <v>0</v>
      </c>
      <c r="AC212" s="838">
        <f t="shared" si="65"/>
        <v>0</v>
      </c>
      <c r="AD212" s="838">
        <f t="shared" si="65"/>
        <v>0</v>
      </c>
      <c r="AE212" s="838">
        <f t="shared" si="65"/>
        <v>0</v>
      </c>
      <c r="AF212" s="838">
        <f t="shared" si="65"/>
        <v>0</v>
      </c>
      <c r="AG212" s="768">
        <f t="shared" si="66"/>
        <v>0</v>
      </c>
    </row>
    <row r="213">
      <c r="A213" s="835"/>
      <c r="AG213" s="11"/>
    </row>
    <row r="214">
      <c r="A214" s="875" t="s">
        <v>751</v>
      </c>
      <c r="B214" s="542"/>
      <c r="C214" s="542"/>
      <c r="D214" s="542"/>
      <c r="E214" s="542"/>
      <c r="F214" s="542"/>
      <c r="G214" s="542"/>
      <c r="H214" s="542"/>
      <c r="I214" s="327"/>
      <c r="J214" s="327"/>
      <c r="K214" s="327"/>
      <c r="L214" s="327"/>
      <c r="M214" s="327"/>
      <c r="N214" s="327"/>
      <c r="O214" s="327"/>
      <c r="P214" s="327"/>
      <c r="Q214" s="327"/>
      <c r="R214" s="327"/>
      <c r="S214" s="327"/>
      <c r="T214" s="327"/>
      <c r="U214" s="327"/>
      <c r="V214" s="327"/>
      <c r="W214" s="327"/>
      <c r="X214" s="327"/>
      <c r="Y214" s="327"/>
      <c r="Z214" s="327"/>
      <c r="AA214" s="327"/>
      <c r="AB214" s="327"/>
      <c r="AC214" s="327"/>
      <c r="AD214" s="327"/>
      <c r="AE214" s="327"/>
      <c r="AF214" s="327"/>
      <c r="AG214" s="768"/>
    </row>
    <row r="215">
      <c r="A215" s="876" t="s">
        <v>752</v>
      </c>
      <c r="B215" s="877">
        <v>35.0</v>
      </c>
      <c r="C215" s="877">
        <v>53.0</v>
      </c>
      <c r="D215" s="877">
        <v>40.0</v>
      </c>
      <c r="E215" s="877">
        <v>36.0</v>
      </c>
      <c r="F215" s="877">
        <v>45.0</v>
      </c>
      <c r="G215" s="877">
        <v>45.0</v>
      </c>
      <c r="H215" s="301">
        <v>61.0</v>
      </c>
      <c r="I215" s="301">
        <v>50.0</v>
      </c>
      <c r="J215" s="301">
        <v>48.0</v>
      </c>
      <c r="K215" s="301">
        <v>60.0</v>
      </c>
      <c r="L215" s="301">
        <v>54.0</v>
      </c>
      <c r="M215" s="877">
        <v>55.0</v>
      </c>
      <c r="N215" s="301">
        <v>57.0</v>
      </c>
      <c r="O215" s="301">
        <v>64.0</v>
      </c>
      <c r="P215" s="301">
        <v>61.0</v>
      </c>
      <c r="Q215" s="301">
        <v>68.0</v>
      </c>
      <c r="R215" s="877">
        <v>29.0</v>
      </c>
      <c r="S215" s="877">
        <v>57.0</v>
      </c>
      <c r="T215" s="301">
        <v>43.0</v>
      </c>
      <c r="U215" s="301">
        <v>44.0</v>
      </c>
      <c r="V215" s="301">
        <v>45.0</v>
      </c>
      <c r="W215" s="301">
        <v>29.0</v>
      </c>
      <c r="X215" s="301">
        <v>26.0</v>
      </c>
      <c r="Y215" s="301">
        <v>18.0</v>
      </c>
      <c r="Z215" s="301">
        <v>25.0</v>
      </c>
      <c r="AA215" s="301">
        <v>19.0</v>
      </c>
      <c r="AB215" s="301">
        <v>33.0</v>
      </c>
      <c r="AC215" s="301">
        <v>24.0</v>
      </c>
      <c r="AD215" s="301">
        <v>17.0</v>
      </c>
      <c r="AE215" s="301">
        <v>28.0</v>
      </c>
      <c r="AF215" s="301">
        <v>23.0</v>
      </c>
      <c r="AG215" s="768">
        <f t="shared" ref="AG215:AG222" si="67">sum(B215:AF215)</f>
        <v>1292</v>
      </c>
    </row>
    <row r="216">
      <c r="A216" s="876" t="s">
        <v>753</v>
      </c>
      <c r="B216" s="877">
        <v>85.0</v>
      </c>
      <c r="C216" s="877">
        <v>89.0</v>
      </c>
      <c r="D216" s="877">
        <v>85.0</v>
      </c>
      <c r="E216" s="877">
        <v>101.0</v>
      </c>
      <c r="F216" s="877">
        <v>91.0</v>
      </c>
      <c r="G216" s="877">
        <v>100.0</v>
      </c>
      <c r="H216" s="301">
        <v>97.0</v>
      </c>
      <c r="I216" s="301">
        <v>128.0</v>
      </c>
      <c r="J216" s="301">
        <v>119.0</v>
      </c>
      <c r="K216" s="301">
        <v>101.0</v>
      </c>
      <c r="L216" s="301">
        <v>117.0</v>
      </c>
      <c r="M216" s="877">
        <v>115.0</v>
      </c>
      <c r="N216" s="301">
        <v>215.0</v>
      </c>
      <c r="O216" s="301">
        <v>181.0</v>
      </c>
      <c r="P216" s="301">
        <v>147.0</v>
      </c>
      <c r="Q216" s="301">
        <v>136.0</v>
      </c>
      <c r="R216" s="877">
        <v>82.0</v>
      </c>
      <c r="S216" s="877">
        <v>144.0</v>
      </c>
      <c r="T216" s="301">
        <v>103.0</v>
      </c>
      <c r="U216" s="301">
        <v>117.0</v>
      </c>
      <c r="V216" s="301">
        <v>99.0</v>
      </c>
      <c r="W216" s="301">
        <v>109.0</v>
      </c>
      <c r="X216" s="301">
        <v>93.0</v>
      </c>
      <c r="Y216" s="301">
        <v>73.0</v>
      </c>
      <c r="Z216" s="301">
        <v>74.0</v>
      </c>
      <c r="AA216" s="301">
        <v>76.0</v>
      </c>
      <c r="AB216" s="301">
        <v>80.0</v>
      </c>
      <c r="AC216" s="301">
        <v>70.0</v>
      </c>
      <c r="AD216" s="301">
        <v>75.0</v>
      </c>
      <c r="AE216" s="301">
        <v>73.0</v>
      </c>
      <c r="AF216" s="301">
        <v>85.0</v>
      </c>
      <c r="AG216" s="768">
        <f t="shared" si="67"/>
        <v>3260</v>
      </c>
    </row>
    <row r="217">
      <c r="A217" s="876" t="s">
        <v>754</v>
      </c>
      <c r="B217" s="877">
        <v>2.0</v>
      </c>
      <c r="C217" s="877">
        <v>3.0</v>
      </c>
      <c r="D217" s="877">
        <v>5.0</v>
      </c>
      <c r="E217" s="877">
        <v>2.0</v>
      </c>
      <c r="F217" s="877">
        <v>3.0</v>
      </c>
      <c r="G217" s="877">
        <v>3.0</v>
      </c>
      <c r="H217" s="301">
        <v>2.0</v>
      </c>
      <c r="I217" s="301">
        <v>3.0</v>
      </c>
      <c r="J217" s="301">
        <v>3.0</v>
      </c>
      <c r="K217" s="301">
        <v>2.0</v>
      </c>
      <c r="L217" s="301">
        <v>1.0</v>
      </c>
      <c r="M217" s="877">
        <v>1.0</v>
      </c>
      <c r="N217" s="301">
        <v>3.0</v>
      </c>
      <c r="O217" s="301">
        <v>6.0</v>
      </c>
      <c r="P217" s="301">
        <v>1.0</v>
      </c>
      <c r="Q217" s="301">
        <v>4.0</v>
      </c>
      <c r="R217" s="877">
        <v>1.0</v>
      </c>
      <c r="S217" s="877">
        <v>0.0</v>
      </c>
      <c r="T217" s="301">
        <v>0.0</v>
      </c>
      <c r="U217" s="301">
        <v>3.0</v>
      </c>
      <c r="V217" s="301">
        <v>3.0</v>
      </c>
      <c r="W217" s="301">
        <v>0.0</v>
      </c>
      <c r="X217" s="301">
        <v>1.0</v>
      </c>
      <c r="Y217" s="301">
        <v>1.0</v>
      </c>
      <c r="Z217" s="301">
        <v>1.0</v>
      </c>
      <c r="AA217" s="301">
        <v>3.0</v>
      </c>
      <c r="AB217" s="301">
        <v>2.0</v>
      </c>
      <c r="AC217" s="301">
        <v>9.0</v>
      </c>
      <c r="AD217" s="301">
        <v>0.0</v>
      </c>
      <c r="AE217" s="301">
        <v>1.0</v>
      </c>
      <c r="AF217" s="301">
        <v>1.0</v>
      </c>
      <c r="AG217" s="768">
        <f t="shared" si="67"/>
        <v>70</v>
      </c>
    </row>
    <row r="218">
      <c r="A218" s="876" t="s">
        <v>755</v>
      </c>
      <c r="B218" s="877">
        <v>4.0</v>
      </c>
      <c r="C218" s="877">
        <v>2.0</v>
      </c>
      <c r="D218" s="877">
        <v>4.0</v>
      </c>
      <c r="E218" s="877">
        <v>4.0</v>
      </c>
      <c r="F218" s="877">
        <v>3.0</v>
      </c>
      <c r="G218" s="877">
        <v>5.0</v>
      </c>
      <c r="H218" s="301">
        <v>4.0</v>
      </c>
      <c r="I218" s="301">
        <v>3.0</v>
      </c>
      <c r="J218" s="301">
        <v>3.0</v>
      </c>
      <c r="K218" s="301">
        <v>5.0</v>
      </c>
      <c r="L218" s="301">
        <v>3.0</v>
      </c>
      <c r="M218" s="877">
        <v>7.0</v>
      </c>
      <c r="N218" s="301">
        <v>5.0</v>
      </c>
      <c r="O218" s="301">
        <v>6.0</v>
      </c>
      <c r="P218" s="301">
        <v>5.0</v>
      </c>
      <c r="Q218" s="301">
        <v>7.0</v>
      </c>
      <c r="R218" s="877">
        <v>2.0</v>
      </c>
      <c r="S218" s="877">
        <v>6.0</v>
      </c>
      <c r="T218" s="301">
        <v>2.0</v>
      </c>
      <c r="U218" s="301">
        <v>5.0</v>
      </c>
      <c r="V218" s="301">
        <v>3.0</v>
      </c>
      <c r="W218" s="301">
        <v>3.0</v>
      </c>
      <c r="X218" s="301">
        <v>3.0</v>
      </c>
      <c r="Y218" s="301">
        <v>4.0</v>
      </c>
      <c r="Z218" s="301">
        <v>5.0</v>
      </c>
      <c r="AA218" s="301">
        <v>1.0</v>
      </c>
      <c r="AB218" s="301">
        <v>3.0</v>
      </c>
      <c r="AC218" s="301">
        <v>4.0</v>
      </c>
      <c r="AD218" s="301">
        <v>5.0</v>
      </c>
      <c r="AE218" s="301">
        <v>1.0</v>
      </c>
      <c r="AF218" s="301">
        <v>4.0</v>
      </c>
      <c r="AG218" s="768">
        <f t="shared" si="67"/>
        <v>121</v>
      </c>
    </row>
    <row r="219">
      <c r="A219" s="876" t="s">
        <v>756</v>
      </c>
      <c r="B219" s="836"/>
      <c r="C219" s="836"/>
      <c r="D219" s="54"/>
      <c r="E219" s="878"/>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768">
        <f t="shared" si="67"/>
        <v>0</v>
      </c>
    </row>
    <row r="220">
      <c r="A220" s="876" t="s">
        <v>757</v>
      </c>
      <c r="B220" s="879"/>
      <c r="C220" s="54">
        <v>1.0</v>
      </c>
      <c r="D220" s="836"/>
      <c r="E220" s="878"/>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768">
        <f t="shared" si="67"/>
        <v>1</v>
      </c>
    </row>
    <row r="221">
      <c r="A221" s="880" t="s">
        <v>725</v>
      </c>
      <c r="B221" s="881">
        <f t="shared" ref="B221:B222" si="69">B215+B217+B219</f>
        <v>37</v>
      </c>
      <c r="C221" s="881">
        <f t="shared" ref="C221:AF221" si="68">SUM(C215:C220)</f>
        <v>148</v>
      </c>
      <c r="D221" s="881">
        <f t="shared" si="68"/>
        <v>134</v>
      </c>
      <c r="E221" s="881">
        <f t="shared" si="68"/>
        <v>143</v>
      </c>
      <c r="F221" s="881">
        <f t="shared" si="68"/>
        <v>142</v>
      </c>
      <c r="G221" s="881">
        <f t="shared" si="68"/>
        <v>153</v>
      </c>
      <c r="H221" s="881">
        <f t="shared" si="68"/>
        <v>164</v>
      </c>
      <c r="I221" s="881">
        <f t="shared" si="68"/>
        <v>184</v>
      </c>
      <c r="J221" s="881">
        <f t="shared" si="68"/>
        <v>173</v>
      </c>
      <c r="K221" s="881">
        <f t="shared" si="68"/>
        <v>168</v>
      </c>
      <c r="L221" s="881">
        <f t="shared" si="68"/>
        <v>175</v>
      </c>
      <c r="M221" s="881">
        <f t="shared" si="68"/>
        <v>178</v>
      </c>
      <c r="N221" s="881">
        <f t="shared" si="68"/>
        <v>280</v>
      </c>
      <c r="O221" s="881">
        <f t="shared" si="68"/>
        <v>257</v>
      </c>
      <c r="P221" s="881">
        <f t="shared" si="68"/>
        <v>214</v>
      </c>
      <c r="Q221" s="881">
        <f t="shared" si="68"/>
        <v>215</v>
      </c>
      <c r="R221" s="881">
        <f t="shared" si="68"/>
        <v>114</v>
      </c>
      <c r="S221" s="881">
        <f t="shared" si="68"/>
        <v>207</v>
      </c>
      <c r="T221" s="881">
        <f t="shared" si="68"/>
        <v>148</v>
      </c>
      <c r="U221" s="881">
        <f t="shared" si="68"/>
        <v>169</v>
      </c>
      <c r="V221" s="881">
        <f t="shared" si="68"/>
        <v>150</v>
      </c>
      <c r="W221" s="881">
        <f t="shared" si="68"/>
        <v>141</v>
      </c>
      <c r="X221" s="881">
        <f t="shared" si="68"/>
        <v>123</v>
      </c>
      <c r="Y221" s="881">
        <f t="shared" si="68"/>
        <v>96</v>
      </c>
      <c r="Z221" s="881">
        <f t="shared" si="68"/>
        <v>105</v>
      </c>
      <c r="AA221" s="881">
        <f t="shared" si="68"/>
        <v>99</v>
      </c>
      <c r="AB221" s="881">
        <f t="shared" si="68"/>
        <v>118</v>
      </c>
      <c r="AC221" s="881">
        <f t="shared" si="68"/>
        <v>107</v>
      </c>
      <c r="AD221" s="881">
        <f t="shared" si="68"/>
        <v>97</v>
      </c>
      <c r="AE221" s="881">
        <f t="shared" si="68"/>
        <v>103</v>
      </c>
      <c r="AF221" s="881">
        <f t="shared" si="68"/>
        <v>113</v>
      </c>
      <c r="AG221" s="768">
        <f t="shared" si="67"/>
        <v>4655</v>
      </c>
    </row>
    <row r="222">
      <c r="A222" s="880" t="s">
        <v>758</v>
      </c>
      <c r="B222" s="881">
        <f t="shared" si="69"/>
        <v>89</v>
      </c>
      <c r="C222" s="881">
        <f t="shared" ref="C222:AF222" si="70">C216+C218+C220</f>
        <v>92</v>
      </c>
      <c r="D222" s="881">
        <f t="shared" si="70"/>
        <v>89</v>
      </c>
      <c r="E222" s="881">
        <f t="shared" si="70"/>
        <v>105</v>
      </c>
      <c r="F222" s="881">
        <f t="shared" si="70"/>
        <v>94</v>
      </c>
      <c r="G222" s="881">
        <f t="shared" si="70"/>
        <v>105</v>
      </c>
      <c r="H222" s="881">
        <f t="shared" si="70"/>
        <v>101</v>
      </c>
      <c r="I222" s="881">
        <f t="shared" si="70"/>
        <v>131</v>
      </c>
      <c r="J222" s="881">
        <f t="shared" si="70"/>
        <v>122</v>
      </c>
      <c r="K222" s="881">
        <f t="shared" si="70"/>
        <v>106</v>
      </c>
      <c r="L222" s="881">
        <f t="shared" si="70"/>
        <v>120</v>
      </c>
      <c r="M222" s="881">
        <f t="shared" si="70"/>
        <v>122</v>
      </c>
      <c r="N222" s="881">
        <f t="shared" si="70"/>
        <v>220</v>
      </c>
      <c r="O222" s="881">
        <f t="shared" si="70"/>
        <v>187</v>
      </c>
      <c r="P222" s="881">
        <f t="shared" si="70"/>
        <v>152</v>
      </c>
      <c r="Q222" s="881">
        <f t="shared" si="70"/>
        <v>143</v>
      </c>
      <c r="R222" s="881">
        <f t="shared" si="70"/>
        <v>84</v>
      </c>
      <c r="S222" s="881">
        <f t="shared" si="70"/>
        <v>150</v>
      </c>
      <c r="T222" s="881">
        <f t="shared" si="70"/>
        <v>105</v>
      </c>
      <c r="U222" s="881">
        <f t="shared" si="70"/>
        <v>122</v>
      </c>
      <c r="V222" s="881">
        <f t="shared" si="70"/>
        <v>102</v>
      </c>
      <c r="W222" s="881">
        <f t="shared" si="70"/>
        <v>112</v>
      </c>
      <c r="X222" s="881">
        <f t="shared" si="70"/>
        <v>96</v>
      </c>
      <c r="Y222" s="881">
        <f t="shared" si="70"/>
        <v>77</v>
      </c>
      <c r="Z222" s="881">
        <f t="shared" si="70"/>
        <v>79</v>
      </c>
      <c r="AA222" s="881">
        <f t="shared" si="70"/>
        <v>77</v>
      </c>
      <c r="AB222" s="881">
        <f t="shared" si="70"/>
        <v>83</v>
      </c>
      <c r="AC222" s="881">
        <f t="shared" si="70"/>
        <v>74</v>
      </c>
      <c r="AD222" s="881">
        <f t="shared" si="70"/>
        <v>80</v>
      </c>
      <c r="AE222" s="881">
        <f t="shared" si="70"/>
        <v>74</v>
      </c>
      <c r="AF222" s="881">
        <f t="shared" si="70"/>
        <v>89</v>
      </c>
      <c r="AG222" s="768">
        <f t="shared" si="67"/>
        <v>3382</v>
      </c>
    </row>
    <row r="223" ht="21.0" customHeight="1">
      <c r="A223" s="42"/>
      <c r="B223" s="542"/>
      <c r="C223" s="542"/>
      <c r="D223" s="542"/>
      <c r="E223" s="542"/>
      <c r="F223" s="542"/>
      <c r="G223" s="542"/>
      <c r="H223" s="542"/>
      <c r="I223" s="327"/>
      <c r="J223" s="327"/>
      <c r="K223" s="327"/>
      <c r="L223" s="327"/>
      <c r="M223" s="327"/>
      <c r="N223" s="327"/>
      <c r="O223" s="327"/>
      <c r="P223" s="327"/>
      <c r="Q223" s="327"/>
      <c r="R223" s="327"/>
      <c r="S223" s="327"/>
      <c r="T223" s="327"/>
      <c r="U223" s="327"/>
      <c r="V223" s="327"/>
      <c r="W223" s="327"/>
      <c r="X223" s="327"/>
      <c r="Y223" s="327"/>
      <c r="Z223" s="327"/>
      <c r="AA223" s="327"/>
      <c r="AB223" s="327"/>
      <c r="AC223" s="327"/>
      <c r="AD223" s="327"/>
      <c r="AE223" s="327"/>
      <c r="AF223" s="327"/>
      <c r="AG223" s="768"/>
    </row>
    <row r="224">
      <c r="A224" s="876" t="s">
        <v>760</v>
      </c>
      <c r="B224" s="877">
        <v>47.0</v>
      </c>
      <c r="C224" s="877">
        <v>51.0</v>
      </c>
      <c r="D224" s="877">
        <v>31.0</v>
      </c>
      <c r="E224" s="877">
        <v>36.0</v>
      </c>
      <c r="F224" s="877">
        <v>40.0</v>
      </c>
      <c r="G224" s="877">
        <v>36.0</v>
      </c>
      <c r="H224" s="301">
        <v>48.0</v>
      </c>
      <c r="I224" s="301">
        <v>66.0</v>
      </c>
      <c r="J224" s="301">
        <v>71.0</v>
      </c>
      <c r="K224" s="301">
        <v>58.0</v>
      </c>
      <c r="L224" s="301">
        <v>53.0</v>
      </c>
      <c r="M224" s="877">
        <v>39.0</v>
      </c>
      <c r="N224" s="301">
        <v>81.0</v>
      </c>
      <c r="O224" s="301">
        <v>58.0</v>
      </c>
      <c r="P224" s="301">
        <v>83.0</v>
      </c>
      <c r="Q224" s="301">
        <v>72.0</v>
      </c>
      <c r="R224" s="877">
        <v>31.0</v>
      </c>
      <c r="S224" s="877">
        <v>73.0</v>
      </c>
      <c r="T224" s="301">
        <v>45.0</v>
      </c>
      <c r="U224" s="302">
        <v>53.0</v>
      </c>
      <c r="V224" s="302">
        <v>43.0</v>
      </c>
      <c r="W224" s="301">
        <v>53.0</v>
      </c>
      <c r="X224" s="301">
        <v>54.0</v>
      </c>
      <c r="Y224" s="301">
        <v>34.0</v>
      </c>
      <c r="Z224" s="301">
        <v>35.0</v>
      </c>
      <c r="AA224" s="301">
        <v>22.0</v>
      </c>
      <c r="AB224" s="301">
        <v>37.0</v>
      </c>
      <c r="AC224" s="301">
        <v>28.0</v>
      </c>
      <c r="AD224" s="301">
        <v>37.0</v>
      </c>
      <c r="AE224" s="301">
        <v>35.0</v>
      </c>
      <c r="AF224" s="301">
        <v>42.0</v>
      </c>
      <c r="AG224" s="768">
        <f t="shared" ref="AG224:AG229" si="71">sum(B224:AF224)</f>
        <v>1492</v>
      </c>
    </row>
    <row r="225">
      <c r="A225" s="876" t="s">
        <v>761</v>
      </c>
      <c r="B225" s="877">
        <v>0.0</v>
      </c>
      <c r="C225" s="877">
        <v>0.0</v>
      </c>
      <c r="D225" s="877">
        <v>0.0</v>
      </c>
      <c r="E225" s="877">
        <v>0.0</v>
      </c>
      <c r="F225" s="877">
        <v>0.0</v>
      </c>
      <c r="G225" s="877">
        <v>0.0</v>
      </c>
      <c r="H225" s="301">
        <v>0.0</v>
      </c>
      <c r="I225" s="301">
        <v>0.0</v>
      </c>
      <c r="J225" s="301">
        <v>0.0</v>
      </c>
      <c r="K225" s="301">
        <v>0.0</v>
      </c>
      <c r="L225" s="301">
        <v>0.0</v>
      </c>
      <c r="M225" s="877">
        <v>0.0</v>
      </c>
      <c r="N225" s="301">
        <v>0.0</v>
      </c>
      <c r="O225" s="301">
        <v>0.0</v>
      </c>
      <c r="P225" s="301">
        <v>0.0</v>
      </c>
      <c r="Q225" s="301">
        <v>0.0</v>
      </c>
      <c r="R225" s="877">
        <v>0.0</v>
      </c>
      <c r="S225" s="877">
        <v>0.0</v>
      </c>
      <c r="T225" s="301">
        <v>0.0</v>
      </c>
      <c r="U225" s="301">
        <v>0.0</v>
      </c>
      <c r="V225" s="302">
        <v>0.0</v>
      </c>
      <c r="W225" s="302">
        <v>0.0</v>
      </c>
      <c r="X225" s="302">
        <v>0.0</v>
      </c>
      <c r="Y225" s="301">
        <v>0.0</v>
      </c>
      <c r="Z225" s="301">
        <v>0.0</v>
      </c>
      <c r="AA225" s="301">
        <v>0.0</v>
      </c>
      <c r="AB225" s="301">
        <v>0.0</v>
      </c>
      <c r="AC225" s="301">
        <v>0.0</v>
      </c>
      <c r="AD225" s="301">
        <v>0.0</v>
      </c>
      <c r="AE225" s="301">
        <v>0.0</v>
      </c>
      <c r="AF225" s="301">
        <v>0.0</v>
      </c>
      <c r="AG225" s="768">
        <f t="shared" si="71"/>
        <v>0</v>
      </c>
    </row>
    <row r="226">
      <c r="A226" s="876" t="s">
        <v>762</v>
      </c>
      <c r="B226" s="877">
        <v>22.0</v>
      </c>
      <c r="C226" s="877">
        <v>37.0</v>
      </c>
      <c r="D226" s="877">
        <v>21.0</v>
      </c>
      <c r="E226" s="877">
        <v>26.0</v>
      </c>
      <c r="F226" s="877">
        <v>22.0</v>
      </c>
      <c r="G226" s="877">
        <v>14.0</v>
      </c>
      <c r="H226" s="301">
        <v>16.0</v>
      </c>
      <c r="I226" s="301">
        <v>29.0</v>
      </c>
      <c r="J226" s="301">
        <v>25.0</v>
      </c>
      <c r="K226" s="301">
        <v>27.0</v>
      </c>
      <c r="L226" s="301">
        <v>22.0</v>
      </c>
      <c r="M226" s="877">
        <v>24.0</v>
      </c>
      <c r="N226" s="301">
        <v>47.0</v>
      </c>
      <c r="O226" s="301">
        <v>37.0</v>
      </c>
      <c r="P226" s="301">
        <v>36.0</v>
      </c>
      <c r="Q226" s="301">
        <v>35.0</v>
      </c>
      <c r="R226" s="877">
        <v>23.0</v>
      </c>
      <c r="S226" s="877">
        <v>34.0</v>
      </c>
      <c r="T226" s="301">
        <v>32.0</v>
      </c>
      <c r="U226" s="302">
        <v>31.0</v>
      </c>
      <c r="V226" s="302">
        <v>24.0</v>
      </c>
      <c r="W226" s="301">
        <v>26.0</v>
      </c>
      <c r="X226" s="301">
        <v>23.0</v>
      </c>
      <c r="Y226" s="301">
        <v>23.0</v>
      </c>
      <c r="Z226" s="301">
        <v>16.0</v>
      </c>
      <c r="AA226" s="301">
        <v>18.0</v>
      </c>
      <c r="AB226" s="301">
        <v>14.0</v>
      </c>
      <c r="AC226" s="301">
        <v>14.0</v>
      </c>
      <c r="AD226" s="301">
        <v>17.0</v>
      </c>
      <c r="AE226" s="301">
        <v>22.0</v>
      </c>
      <c r="AF226" s="301">
        <v>15.0</v>
      </c>
      <c r="AG226" s="768">
        <f t="shared" si="71"/>
        <v>772</v>
      </c>
    </row>
    <row r="227">
      <c r="A227" s="876" t="s">
        <v>763</v>
      </c>
      <c r="B227" s="877">
        <v>31.0</v>
      </c>
      <c r="C227" s="877">
        <v>41.0</v>
      </c>
      <c r="D227" s="877">
        <v>22.0</v>
      </c>
      <c r="E227" s="877">
        <v>31.0</v>
      </c>
      <c r="F227" s="877">
        <v>18.0</v>
      </c>
      <c r="G227" s="877">
        <v>23.0</v>
      </c>
      <c r="H227" s="301">
        <v>18.0</v>
      </c>
      <c r="I227" s="301">
        <v>36.0</v>
      </c>
      <c r="J227" s="301">
        <v>38.0</v>
      </c>
      <c r="K227" s="301">
        <v>33.0</v>
      </c>
      <c r="L227" s="301">
        <v>23.0</v>
      </c>
      <c r="M227" s="877">
        <v>22.0</v>
      </c>
      <c r="N227" s="301">
        <v>55.0</v>
      </c>
      <c r="O227" s="301">
        <v>46.0</v>
      </c>
      <c r="P227" s="301">
        <v>45.0</v>
      </c>
      <c r="Q227" s="301">
        <v>33.0</v>
      </c>
      <c r="R227" s="877">
        <v>17.0</v>
      </c>
      <c r="S227" s="877">
        <v>33.0</v>
      </c>
      <c r="T227" s="301">
        <v>30.0</v>
      </c>
      <c r="U227" s="294">
        <v>32.0</v>
      </c>
      <c r="V227" s="294">
        <v>33.0</v>
      </c>
      <c r="W227" s="301">
        <v>28.0</v>
      </c>
      <c r="X227" s="302">
        <v>35.0</v>
      </c>
      <c r="Y227" s="301">
        <v>19.0</v>
      </c>
      <c r="Z227" s="301">
        <v>13.0</v>
      </c>
      <c r="AA227" s="301">
        <v>22.0</v>
      </c>
      <c r="AB227" s="301">
        <v>14.0</v>
      </c>
      <c r="AC227" s="301">
        <v>15.0</v>
      </c>
      <c r="AD227" s="301">
        <v>11.0</v>
      </c>
      <c r="AE227" s="301">
        <v>23.0</v>
      </c>
      <c r="AF227" s="301">
        <v>18.0</v>
      </c>
      <c r="AG227" s="768">
        <f t="shared" si="71"/>
        <v>858</v>
      </c>
    </row>
    <row r="228">
      <c r="A228" s="876" t="s">
        <v>764</v>
      </c>
      <c r="B228" s="877">
        <v>17.0</v>
      </c>
      <c r="C228" s="877">
        <v>17.0</v>
      </c>
      <c r="D228" s="877">
        <v>14.0</v>
      </c>
      <c r="E228" s="877">
        <v>17.0</v>
      </c>
      <c r="F228" s="877">
        <v>13.0</v>
      </c>
      <c r="G228" s="877">
        <v>19.0</v>
      </c>
      <c r="H228" s="301">
        <v>17.0</v>
      </c>
      <c r="I228" s="301">
        <v>18.0</v>
      </c>
      <c r="J228" s="301">
        <v>22.0</v>
      </c>
      <c r="K228" s="301">
        <v>25.0</v>
      </c>
      <c r="L228" s="301">
        <v>10.0</v>
      </c>
      <c r="M228" s="877">
        <v>9.0</v>
      </c>
      <c r="N228" s="301">
        <v>35.0</v>
      </c>
      <c r="O228" s="301">
        <v>23.0</v>
      </c>
      <c r="P228" s="301">
        <v>21.0</v>
      </c>
      <c r="Q228" s="301">
        <v>16.0</v>
      </c>
      <c r="R228" s="877">
        <v>17.0</v>
      </c>
      <c r="S228" s="877">
        <v>18.0</v>
      </c>
      <c r="T228" s="301">
        <v>9.0</v>
      </c>
      <c r="U228" s="294">
        <v>18.0</v>
      </c>
      <c r="V228" s="294">
        <v>15.0</v>
      </c>
      <c r="W228" s="301">
        <v>14.0</v>
      </c>
      <c r="X228" s="301">
        <v>20.0</v>
      </c>
      <c r="Y228" s="301">
        <v>11.0</v>
      </c>
      <c r="Z228" s="301">
        <v>13.0</v>
      </c>
      <c r="AA228" s="301">
        <v>11.0</v>
      </c>
      <c r="AB228" s="301">
        <v>10.0</v>
      </c>
      <c r="AC228" s="301">
        <v>8.0</v>
      </c>
      <c r="AD228" s="301">
        <v>16.0</v>
      </c>
      <c r="AE228" s="301">
        <v>15.0</v>
      </c>
      <c r="AF228" s="301">
        <v>10.0</v>
      </c>
      <c r="AG228" s="768">
        <f t="shared" si="71"/>
        <v>498</v>
      </c>
    </row>
    <row r="229">
      <c r="A229" s="880" t="s">
        <v>765</v>
      </c>
      <c r="B229" s="881">
        <f t="shared" ref="B229:AF229" si="72">SUM(B224:B228)</f>
        <v>117</v>
      </c>
      <c r="C229" s="881">
        <f t="shared" si="72"/>
        <v>146</v>
      </c>
      <c r="D229" s="881">
        <f t="shared" si="72"/>
        <v>88</v>
      </c>
      <c r="E229" s="881">
        <f t="shared" si="72"/>
        <v>110</v>
      </c>
      <c r="F229" s="881">
        <f t="shared" si="72"/>
        <v>93</v>
      </c>
      <c r="G229" s="881">
        <f t="shared" si="72"/>
        <v>92</v>
      </c>
      <c r="H229" s="881">
        <f t="shared" si="72"/>
        <v>99</v>
      </c>
      <c r="I229" s="881">
        <f t="shared" si="72"/>
        <v>149</v>
      </c>
      <c r="J229" s="881">
        <f t="shared" si="72"/>
        <v>156</v>
      </c>
      <c r="K229" s="881">
        <f t="shared" si="72"/>
        <v>143</v>
      </c>
      <c r="L229" s="881">
        <f t="shared" si="72"/>
        <v>108</v>
      </c>
      <c r="M229" s="881">
        <f t="shared" si="72"/>
        <v>94</v>
      </c>
      <c r="N229" s="881">
        <f t="shared" si="72"/>
        <v>218</v>
      </c>
      <c r="O229" s="881">
        <f t="shared" si="72"/>
        <v>164</v>
      </c>
      <c r="P229" s="881">
        <f t="shared" si="72"/>
        <v>185</v>
      </c>
      <c r="Q229" s="881">
        <f t="shared" si="72"/>
        <v>156</v>
      </c>
      <c r="R229" s="881">
        <f t="shared" si="72"/>
        <v>88</v>
      </c>
      <c r="S229" s="881">
        <f t="shared" si="72"/>
        <v>158</v>
      </c>
      <c r="T229" s="881">
        <f t="shared" si="72"/>
        <v>116</v>
      </c>
      <c r="U229" s="881">
        <f t="shared" si="72"/>
        <v>134</v>
      </c>
      <c r="V229" s="881">
        <f t="shared" si="72"/>
        <v>115</v>
      </c>
      <c r="W229" s="881">
        <f t="shared" si="72"/>
        <v>121</v>
      </c>
      <c r="X229" s="881">
        <f t="shared" si="72"/>
        <v>132</v>
      </c>
      <c r="Y229" s="881">
        <f t="shared" si="72"/>
        <v>87</v>
      </c>
      <c r="Z229" s="881">
        <f t="shared" si="72"/>
        <v>77</v>
      </c>
      <c r="AA229" s="881">
        <f t="shared" si="72"/>
        <v>73</v>
      </c>
      <c r="AB229" s="881">
        <f t="shared" si="72"/>
        <v>75</v>
      </c>
      <c r="AC229" s="881">
        <f t="shared" si="72"/>
        <v>65</v>
      </c>
      <c r="AD229" s="881">
        <f t="shared" si="72"/>
        <v>81</v>
      </c>
      <c r="AE229" s="881">
        <f t="shared" si="72"/>
        <v>95</v>
      </c>
      <c r="AF229" s="881">
        <f t="shared" si="72"/>
        <v>85</v>
      </c>
      <c r="AG229" s="768">
        <f t="shared" si="71"/>
        <v>3620</v>
      </c>
    </row>
    <row r="230">
      <c r="A230" s="42"/>
      <c r="B230" s="542"/>
      <c r="C230" s="542"/>
      <c r="D230" s="542"/>
      <c r="E230" s="542"/>
      <c r="F230" s="542"/>
      <c r="G230" s="542"/>
      <c r="H230" s="542"/>
      <c r="I230" s="327"/>
      <c r="J230" s="327"/>
      <c r="K230" s="327"/>
      <c r="L230" s="327"/>
      <c r="M230" s="327"/>
      <c r="N230" s="327"/>
      <c r="O230" s="327"/>
      <c r="P230" s="327"/>
      <c r="Q230" s="327"/>
      <c r="R230" s="327"/>
      <c r="S230" s="327"/>
      <c r="T230" s="327"/>
      <c r="U230" s="327"/>
      <c r="V230" s="327"/>
      <c r="W230" s="327"/>
      <c r="X230" s="327"/>
      <c r="Y230" s="327"/>
      <c r="Z230" s="327"/>
      <c r="AA230" s="327"/>
      <c r="AB230" s="327"/>
      <c r="AC230" s="327"/>
      <c r="AD230" s="327"/>
      <c r="AE230" s="327"/>
      <c r="AF230" s="327"/>
      <c r="AG230" s="768"/>
    </row>
    <row r="231">
      <c r="A231" s="876" t="s">
        <v>767</v>
      </c>
      <c r="B231" s="877">
        <v>3.0</v>
      </c>
      <c r="C231" s="877">
        <v>1.0</v>
      </c>
      <c r="D231" s="877">
        <v>1.0</v>
      </c>
      <c r="E231" s="877">
        <v>1.0</v>
      </c>
      <c r="F231" s="877">
        <v>4.0</v>
      </c>
      <c r="G231" s="877">
        <v>6.0</v>
      </c>
      <c r="H231" s="301">
        <v>0.0</v>
      </c>
      <c r="I231" s="301">
        <v>4.0</v>
      </c>
      <c r="J231" s="301">
        <v>1.0</v>
      </c>
      <c r="K231" s="301">
        <v>4.0</v>
      </c>
      <c r="L231" s="301">
        <v>2.0</v>
      </c>
      <c r="M231" s="877">
        <v>6.0</v>
      </c>
      <c r="N231" s="301">
        <v>2.0</v>
      </c>
      <c r="O231" s="301">
        <v>8.0</v>
      </c>
      <c r="P231" s="301">
        <v>2.0</v>
      </c>
      <c r="Q231" s="301">
        <v>7.0</v>
      </c>
      <c r="R231" s="877">
        <v>1.0</v>
      </c>
      <c r="S231" s="877">
        <v>4.0</v>
      </c>
      <c r="T231" s="301">
        <v>1.0</v>
      </c>
      <c r="U231" s="301">
        <v>5.0</v>
      </c>
      <c r="V231" s="301">
        <v>5.0</v>
      </c>
      <c r="W231" s="301">
        <v>4.0</v>
      </c>
      <c r="X231" s="301">
        <v>1.0</v>
      </c>
      <c r="Y231" s="301">
        <v>3.0</v>
      </c>
      <c r="Z231" s="301">
        <v>2.0</v>
      </c>
      <c r="AA231" s="301">
        <v>3.0</v>
      </c>
      <c r="AB231" s="301">
        <v>3.0</v>
      </c>
      <c r="AC231" s="301">
        <v>4.0</v>
      </c>
      <c r="AD231" s="301">
        <v>3.0</v>
      </c>
      <c r="AE231" s="301">
        <v>0.0</v>
      </c>
      <c r="AF231" s="301">
        <v>4.0</v>
      </c>
      <c r="AG231" s="768">
        <f t="shared" ref="AG231:AG236" si="73">sum(B231:AF231)</f>
        <v>95</v>
      </c>
    </row>
    <row r="232">
      <c r="A232" s="876" t="s">
        <v>769</v>
      </c>
      <c r="B232" s="877">
        <v>0.0</v>
      </c>
      <c r="C232" s="877">
        <v>0.0</v>
      </c>
      <c r="D232" s="877">
        <v>0.0</v>
      </c>
      <c r="E232" s="877">
        <v>0.0</v>
      </c>
      <c r="F232" s="877">
        <v>0.0</v>
      </c>
      <c r="G232" s="877">
        <v>0.0</v>
      </c>
      <c r="H232" s="301">
        <v>0.0</v>
      </c>
      <c r="I232" s="301">
        <v>0.0</v>
      </c>
      <c r="J232" s="301">
        <v>0.0</v>
      </c>
      <c r="K232" s="301">
        <v>0.0</v>
      </c>
      <c r="L232" s="301">
        <v>0.0</v>
      </c>
      <c r="M232" s="877">
        <v>0.0</v>
      </c>
      <c r="N232" s="301">
        <v>0.0</v>
      </c>
      <c r="O232" s="301">
        <v>0.0</v>
      </c>
      <c r="P232" s="301">
        <v>0.0</v>
      </c>
      <c r="Q232" s="301">
        <v>0.0</v>
      </c>
      <c r="R232" s="877">
        <v>0.0</v>
      </c>
      <c r="S232" s="877">
        <v>0.0</v>
      </c>
      <c r="T232" s="301">
        <v>0.0</v>
      </c>
      <c r="U232" s="301">
        <v>0.0</v>
      </c>
      <c r="V232" s="301">
        <v>0.0</v>
      </c>
      <c r="W232" s="301">
        <v>0.0</v>
      </c>
      <c r="X232" s="301">
        <v>0.0</v>
      </c>
      <c r="Y232" s="301">
        <v>0.0</v>
      </c>
      <c r="Z232" s="301">
        <v>0.0</v>
      </c>
      <c r="AA232" s="301">
        <v>0.0</v>
      </c>
      <c r="AB232" s="301">
        <v>0.0</v>
      </c>
      <c r="AC232" s="301">
        <v>0.0</v>
      </c>
      <c r="AD232" s="301">
        <v>0.0</v>
      </c>
      <c r="AE232" s="301">
        <v>0.0</v>
      </c>
      <c r="AF232" s="301">
        <v>0.0</v>
      </c>
      <c r="AG232" s="768">
        <f t="shared" si="73"/>
        <v>0</v>
      </c>
    </row>
    <row r="233">
      <c r="A233" s="876" t="s">
        <v>770</v>
      </c>
      <c r="B233" s="877">
        <v>2.0</v>
      </c>
      <c r="C233" s="877">
        <v>0.0</v>
      </c>
      <c r="D233" s="877">
        <v>1.0</v>
      </c>
      <c r="E233" s="877">
        <v>2.0</v>
      </c>
      <c r="F233" s="877">
        <v>2.0</v>
      </c>
      <c r="G233" s="877">
        <v>4.0</v>
      </c>
      <c r="H233" s="301">
        <v>0.0</v>
      </c>
      <c r="I233" s="301">
        <v>2.0</v>
      </c>
      <c r="J233" s="301">
        <v>0.0</v>
      </c>
      <c r="K233" s="301">
        <v>2.0</v>
      </c>
      <c r="L233" s="301">
        <v>1.0</v>
      </c>
      <c r="M233" s="877">
        <v>0.0</v>
      </c>
      <c r="N233" s="301">
        <v>1.0</v>
      </c>
      <c r="O233" s="301">
        <v>1.0</v>
      </c>
      <c r="P233" s="301">
        <v>3.0</v>
      </c>
      <c r="Q233" s="301">
        <v>2.0</v>
      </c>
      <c r="R233" s="877">
        <v>1.0</v>
      </c>
      <c r="S233" s="877">
        <v>1.0</v>
      </c>
      <c r="T233" s="301">
        <v>1.0</v>
      </c>
      <c r="U233" s="301">
        <v>1.0</v>
      </c>
      <c r="V233" s="301">
        <v>2.0</v>
      </c>
      <c r="W233" s="301">
        <v>1.0</v>
      </c>
      <c r="X233" s="301">
        <v>3.0</v>
      </c>
      <c r="Y233" s="301">
        <v>1.0</v>
      </c>
      <c r="Z233" s="301">
        <v>1.0</v>
      </c>
      <c r="AA233" s="301">
        <v>14.0</v>
      </c>
      <c r="AB233" s="301">
        <v>1.0</v>
      </c>
      <c r="AC233" s="301">
        <v>1.0</v>
      </c>
      <c r="AD233" s="301">
        <v>1.0</v>
      </c>
      <c r="AE233" s="301">
        <v>1.0</v>
      </c>
      <c r="AF233" s="301">
        <v>1.0</v>
      </c>
      <c r="AG233" s="768">
        <f t="shared" si="73"/>
        <v>54</v>
      </c>
    </row>
    <row r="234">
      <c r="A234" s="876" t="s">
        <v>771</v>
      </c>
      <c r="B234" s="877">
        <v>2.0</v>
      </c>
      <c r="C234" s="877">
        <v>2.0</v>
      </c>
      <c r="D234" s="877">
        <v>0.0</v>
      </c>
      <c r="E234" s="877">
        <v>3.0</v>
      </c>
      <c r="F234" s="877">
        <v>4.0</v>
      </c>
      <c r="G234" s="877">
        <v>4.0</v>
      </c>
      <c r="H234" s="301">
        <v>1.0</v>
      </c>
      <c r="I234" s="301">
        <v>2.0</v>
      </c>
      <c r="J234" s="301">
        <v>0.0</v>
      </c>
      <c r="K234" s="301">
        <v>3.0</v>
      </c>
      <c r="L234" s="301">
        <v>2.0</v>
      </c>
      <c r="M234" s="877">
        <v>3.0</v>
      </c>
      <c r="N234" s="301">
        <v>0.0</v>
      </c>
      <c r="O234" s="301">
        <v>1.0</v>
      </c>
      <c r="P234" s="301">
        <v>3.0</v>
      </c>
      <c r="Q234" s="301">
        <v>3.0</v>
      </c>
      <c r="R234" s="877">
        <v>1.0</v>
      </c>
      <c r="S234" s="877">
        <v>0.0</v>
      </c>
      <c r="T234" s="301">
        <v>0.0</v>
      </c>
      <c r="U234" s="301">
        <v>1.0</v>
      </c>
      <c r="V234" s="301">
        <v>3.0</v>
      </c>
      <c r="W234" s="301">
        <v>1.0</v>
      </c>
      <c r="X234" s="301">
        <v>1.0</v>
      </c>
      <c r="Y234" s="301">
        <v>1.0</v>
      </c>
      <c r="Z234" s="301">
        <v>1.0</v>
      </c>
      <c r="AA234" s="301">
        <v>1.0</v>
      </c>
      <c r="AB234" s="301">
        <v>0.0</v>
      </c>
      <c r="AC234" s="301">
        <v>2.0</v>
      </c>
      <c r="AD234" s="301">
        <v>0.0</v>
      </c>
      <c r="AE234" s="301">
        <v>0.0</v>
      </c>
      <c r="AF234" s="301">
        <v>0.0</v>
      </c>
      <c r="AG234" s="768">
        <f t="shared" si="73"/>
        <v>45</v>
      </c>
    </row>
    <row r="235">
      <c r="A235" s="876" t="s">
        <v>772</v>
      </c>
      <c r="B235" s="877">
        <v>0.0</v>
      </c>
      <c r="C235" s="877">
        <v>1.0</v>
      </c>
      <c r="D235" s="877">
        <v>3.0</v>
      </c>
      <c r="E235" s="877">
        <v>3.0</v>
      </c>
      <c r="F235" s="877">
        <v>0.0</v>
      </c>
      <c r="G235" s="877">
        <v>0.0</v>
      </c>
      <c r="H235" s="301">
        <v>1.0</v>
      </c>
      <c r="I235" s="301">
        <v>5.0</v>
      </c>
      <c r="J235" s="301">
        <v>3.0</v>
      </c>
      <c r="K235" s="301">
        <v>2.0</v>
      </c>
      <c r="L235" s="301">
        <v>2.0</v>
      </c>
      <c r="M235" s="877">
        <v>5.0</v>
      </c>
      <c r="N235" s="301">
        <v>0.0</v>
      </c>
      <c r="O235" s="301">
        <v>1.0</v>
      </c>
      <c r="P235" s="301">
        <v>1.0</v>
      </c>
      <c r="Q235" s="301">
        <v>1.0</v>
      </c>
      <c r="R235" s="877">
        <v>0.0</v>
      </c>
      <c r="S235" s="877">
        <v>1.0</v>
      </c>
      <c r="T235" s="301">
        <v>1.0</v>
      </c>
      <c r="U235" s="301">
        <v>3.0</v>
      </c>
      <c r="V235" s="301">
        <v>1.0</v>
      </c>
      <c r="W235" s="301">
        <v>2.0</v>
      </c>
      <c r="X235" s="301">
        <v>0.0</v>
      </c>
      <c r="Y235" s="301">
        <v>0.0</v>
      </c>
      <c r="Z235" s="301">
        <v>4.0</v>
      </c>
      <c r="AA235" s="301">
        <v>0.0</v>
      </c>
      <c r="AB235" s="301">
        <v>0.0</v>
      </c>
      <c r="AC235" s="301">
        <v>2.0</v>
      </c>
      <c r="AD235" s="301">
        <v>4.0</v>
      </c>
      <c r="AE235" s="301">
        <v>1.0</v>
      </c>
      <c r="AF235" s="301">
        <v>1.0</v>
      </c>
      <c r="AG235" s="768">
        <f t="shared" si="73"/>
        <v>48</v>
      </c>
    </row>
    <row r="236">
      <c r="A236" s="883" t="s">
        <v>773</v>
      </c>
      <c r="B236" s="881">
        <f t="shared" ref="B236:AF236" si="74">SUM(B231:B235)</f>
        <v>7</v>
      </c>
      <c r="C236" s="881">
        <f t="shared" si="74"/>
        <v>4</v>
      </c>
      <c r="D236" s="881">
        <f t="shared" si="74"/>
        <v>5</v>
      </c>
      <c r="E236" s="881">
        <f t="shared" si="74"/>
        <v>9</v>
      </c>
      <c r="F236" s="881">
        <f t="shared" si="74"/>
        <v>10</v>
      </c>
      <c r="G236" s="881">
        <f t="shared" si="74"/>
        <v>14</v>
      </c>
      <c r="H236" s="881">
        <f t="shared" si="74"/>
        <v>2</v>
      </c>
      <c r="I236" s="881">
        <f t="shared" si="74"/>
        <v>13</v>
      </c>
      <c r="J236" s="881">
        <f t="shared" si="74"/>
        <v>4</v>
      </c>
      <c r="K236" s="881">
        <f t="shared" si="74"/>
        <v>11</v>
      </c>
      <c r="L236" s="881">
        <f t="shared" si="74"/>
        <v>7</v>
      </c>
      <c r="M236" s="881">
        <f t="shared" si="74"/>
        <v>14</v>
      </c>
      <c r="N236" s="881">
        <f t="shared" si="74"/>
        <v>3</v>
      </c>
      <c r="O236" s="881">
        <f t="shared" si="74"/>
        <v>11</v>
      </c>
      <c r="P236" s="881">
        <f t="shared" si="74"/>
        <v>9</v>
      </c>
      <c r="Q236" s="881">
        <f t="shared" si="74"/>
        <v>13</v>
      </c>
      <c r="R236" s="881">
        <f t="shared" si="74"/>
        <v>3</v>
      </c>
      <c r="S236" s="881">
        <f t="shared" si="74"/>
        <v>6</v>
      </c>
      <c r="T236" s="881">
        <f t="shared" si="74"/>
        <v>3</v>
      </c>
      <c r="U236" s="881">
        <f t="shared" si="74"/>
        <v>10</v>
      </c>
      <c r="V236" s="881">
        <f t="shared" si="74"/>
        <v>11</v>
      </c>
      <c r="W236" s="881">
        <f t="shared" si="74"/>
        <v>8</v>
      </c>
      <c r="X236" s="881">
        <f t="shared" si="74"/>
        <v>5</v>
      </c>
      <c r="Y236" s="881">
        <f t="shared" si="74"/>
        <v>5</v>
      </c>
      <c r="Z236" s="881">
        <f t="shared" si="74"/>
        <v>8</v>
      </c>
      <c r="AA236" s="881">
        <f t="shared" si="74"/>
        <v>18</v>
      </c>
      <c r="AB236" s="881">
        <f t="shared" si="74"/>
        <v>4</v>
      </c>
      <c r="AC236" s="881">
        <f t="shared" si="74"/>
        <v>9</v>
      </c>
      <c r="AD236" s="881">
        <f t="shared" si="74"/>
        <v>8</v>
      </c>
      <c r="AE236" s="881">
        <f t="shared" si="74"/>
        <v>2</v>
      </c>
      <c r="AF236" s="881">
        <f t="shared" si="74"/>
        <v>6</v>
      </c>
      <c r="AG236" s="768">
        <f t="shared" si="73"/>
        <v>242</v>
      </c>
    </row>
    <row r="237">
      <c r="A237" s="42"/>
      <c r="B237" s="542"/>
      <c r="C237" s="542"/>
      <c r="D237" s="542"/>
      <c r="E237" s="542"/>
      <c r="F237" s="542"/>
      <c r="G237" s="542"/>
      <c r="H237" s="542"/>
      <c r="I237" s="327"/>
      <c r="J237" s="327"/>
      <c r="K237" s="327"/>
      <c r="L237" s="327"/>
      <c r="M237" s="327"/>
      <c r="N237" s="327"/>
      <c r="O237" s="327"/>
      <c r="P237" s="327"/>
      <c r="Q237" s="327"/>
      <c r="R237" s="327"/>
      <c r="S237" s="327"/>
      <c r="T237" s="327"/>
      <c r="U237" s="327"/>
      <c r="V237" s="327"/>
      <c r="W237" s="327"/>
      <c r="X237" s="327"/>
      <c r="Y237" s="327"/>
      <c r="Z237" s="327"/>
      <c r="AA237" s="327"/>
      <c r="AB237" s="327"/>
      <c r="AC237" s="327"/>
      <c r="AD237" s="327"/>
      <c r="AE237" s="327"/>
      <c r="AF237" s="327"/>
      <c r="AG237" s="768"/>
    </row>
    <row r="238">
      <c r="A238" s="876" t="s">
        <v>774</v>
      </c>
      <c r="B238" s="836"/>
      <c r="C238" s="878"/>
      <c r="D238" s="878"/>
      <c r="E238" s="878"/>
      <c r="F238" s="878"/>
      <c r="G238" s="878"/>
      <c r="H238" s="878"/>
      <c r="I238" s="878"/>
      <c r="J238" s="878"/>
      <c r="K238" s="878"/>
      <c r="L238" s="878"/>
      <c r="M238" s="878"/>
      <c r="N238" s="878"/>
      <c r="O238" s="878"/>
      <c r="P238" s="878"/>
      <c r="Q238" s="878"/>
      <c r="R238" s="878"/>
      <c r="S238" s="878"/>
      <c r="T238" s="878"/>
      <c r="U238" s="878"/>
      <c r="V238" s="878"/>
      <c r="W238" s="878"/>
      <c r="X238" s="878"/>
      <c r="Y238" s="878"/>
      <c r="Z238" s="878"/>
      <c r="AA238" s="878"/>
      <c r="AB238" s="878"/>
      <c r="AC238" s="878"/>
      <c r="AD238" s="878"/>
      <c r="AE238" s="878"/>
      <c r="AF238" s="878"/>
      <c r="AG238" s="768">
        <f t="shared" ref="AG238:AG243" si="75">sum(B238:AF238)</f>
        <v>0</v>
      </c>
    </row>
    <row r="239">
      <c r="A239" s="876" t="s">
        <v>775</v>
      </c>
      <c r="B239" s="836"/>
      <c r="C239" s="884"/>
      <c r="D239" s="54"/>
      <c r="E239" s="878"/>
      <c r="F239" s="878"/>
      <c r="G239" s="878"/>
      <c r="H239" s="878"/>
      <c r="I239" s="878"/>
      <c r="J239" s="878"/>
      <c r="K239" s="878"/>
      <c r="L239" s="878"/>
      <c r="M239" s="878"/>
      <c r="N239" s="878"/>
      <c r="O239" s="878"/>
      <c r="P239" s="878"/>
      <c r="Q239" s="878"/>
      <c r="R239" s="878"/>
      <c r="S239" s="878"/>
      <c r="T239" s="878"/>
      <c r="U239" s="878"/>
      <c r="V239" s="878"/>
      <c r="W239" s="878"/>
      <c r="X239" s="878"/>
      <c r="Y239" s="878"/>
      <c r="Z239" s="878"/>
      <c r="AA239" s="878"/>
      <c r="AB239" s="878"/>
      <c r="AC239" s="878"/>
      <c r="AD239" s="878"/>
      <c r="AE239" s="878"/>
      <c r="AF239" s="878"/>
      <c r="AG239" s="768">
        <f t="shared" si="75"/>
        <v>0</v>
      </c>
    </row>
    <row r="240">
      <c r="A240" s="876" t="s">
        <v>776</v>
      </c>
      <c r="B240" s="836"/>
      <c r="C240" s="878"/>
      <c r="D240" s="878"/>
      <c r="E240" s="878"/>
      <c r="F240" s="878"/>
      <c r="G240" s="878"/>
      <c r="H240" s="878"/>
      <c r="I240" s="878"/>
      <c r="J240" s="878"/>
      <c r="K240" s="878"/>
      <c r="L240" s="878"/>
      <c r="M240" s="878"/>
      <c r="N240" s="878"/>
      <c r="O240" s="878"/>
      <c r="P240" s="878"/>
      <c r="Q240" s="878"/>
      <c r="R240" s="878"/>
      <c r="S240" s="878"/>
      <c r="T240" s="878"/>
      <c r="U240" s="878"/>
      <c r="V240" s="878"/>
      <c r="W240" s="878"/>
      <c r="X240" s="878"/>
      <c r="Y240" s="878"/>
      <c r="Z240" s="878"/>
      <c r="AA240" s="878"/>
      <c r="AB240" s="878"/>
      <c r="AC240" s="878"/>
      <c r="AD240" s="878"/>
      <c r="AE240" s="878"/>
      <c r="AF240" s="878"/>
      <c r="AG240" s="768">
        <f t="shared" si="75"/>
        <v>0</v>
      </c>
    </row>
    <row r="241">
      <c r="A241" s="876" t="s">
        <v>777</v>
      </c>
      <c r="B241" s="836"/>
      <c r="C241" s="878"/>
      <c r="D241" s="878"/>
      <c r="E241" s="878"/>
      <c r="F241" s="878"/>
      <c r="G241" s="878"/>
      <c r="H241" s="878"/>
      <c r="I241" s="878"/>
      <c r="J241" s="878"/>
      <c r="K241" s="878"/>
      <c r="L241" s="878"/>
      <c r="M241" s="878"/>
      <c r="N241" s="878"/>
      <c r="O241" s="878"/>
      <c r="P241" s="878"/>
      <c r="Q241" s="878"/>
      <c r="R241" s="878"/>
      <c r="S241" s="878"/>
      <c r="T241" s="878"/>
      <c r="U241" s="878"/>
      <c r="V241" s="878"/>
      <c r="W241" s="878"/>
      <c r="X241" s="878"/>
      <c r="Y241" s="878"/>
      <c r="Z241" s="878"/>
      <c r="AA241" s="878"/>
      <c r="AB241" s="878"/>
      <c r="AC241" s="878"/>
      <c r="AD241" s="878"/>
      <c r="AE241" s="878"/>
      <c r="AF241" s="878"/>
      <c r="AG241" s="768">
        <f t="shared" si="75"/>
        <v>0</v>
      </c>
    </row>
    <row r="242">
      <c r="A242" s="876" t="s">
        <v>778</v>
      </c>
      <c r="B242" s="878">
        <v>1.0</v>
      </c>
      <c r="C242" s="884"/>
      <c r="D242" s="878"/>
      <c r="E242" s="878"/>
      <c r="F242" s="878"/>
      <c r="G242" s="878"/>
      <c r="H242" s="878"/>
      <c r="I242" s="878"/>
      <c r="J242" s="878"/>
      <c r="K242" s="878"/>
      <c r="L242" s="878"/>
      <c r="M242" s="878"/>
      <c r="N242" s="878"/>
      <c r="O242" s="878"/>
      <c r="P242" s="878"/>
      <c r="Q242" s="878"/>
      <c r="R242" s="878"/>
      <c r="S242" s="878"/>
      <c r="T242" s="878"/>
      <c r="U242" s="878"/>
      <c r="V242" s="878"/>
      <c r="W242" s="878"/>
      <c r="X242" s="878"/>
      <c r="Y242" s="878"/>
      <c r="Z242" s="878"/>
      <c r="AA242" s="878"/>
      <c r="AB242" s="878"/>
      <c r="AC242" s="878"/>
      <c r="AD242" s="878"/>
      <c r="AE242" s="878"/>
      <c r="AF242" s="878"/>
      <c r="AG242" s="768">
        <f t="shared" si="75"/>
        <v>1</v>
      </c>
    </row>
    <row r="243">
      <c r="A243" s="883" t="s">
        <v>779</v>
      </c>
      <c r="B243" s="881">
        <f>SUM(B238:B242)</f>
        <v>1</v>
      </c>
      <c r="C243" s="881">
        <f>SUM(C238:C241)</f>
        <v>0</v>
      </c>
      <c r="D243" s="881">
        <f t="shared" ref="D243:F243" si="76">SUM(D238:D242)</f>
        <v>0</v>
      </c>
      <c r="E243" s="881">
        <f t="shared" si="76"/>
        <v>0</v>
      </c>
      <c r="F243" s="881">
        <f t="shared" si="76"/>
        <v>0</v>
      </c>
      <c r="G243" s="881">
        <f t="shared" ref="G243:V243" si="77">SUM(G238:G241)</f>
        <v>0</v>
      </c>
      <c r="H243" s="881">
        <f t="shared" si="77"/>
        <v>0</v>
      </c>
      <c r="I243" s="881">
        <f t="shared" si="77"/>
        <v>0</v>
      </c>
      <c r="J243" s="881">
        <f t="shared" si="77"/>
        <v>0</v>
      </c>
      <c r="K243" s="881">
        <f t="shared" si="77"/>
        <v>0</v>
      </c>
      <c r="L243" s="881">
        <f t="shared" si="77"/>
        <v>0</v>
      </c>
      <c r="M243" s="881">
        <f t="shared" si="77"/>
        <v>0</v>
      </c>
      <c r="N243" s="881">
        <f t="shared" si="77"/>
        <v>0</v>
      </c>
      <c r="O243" s="881">
        <f t="shared" si="77"/>
        <v>0</v>
      </c>
      <c r="P243" s="881">
        <f t="shared" si="77"/>
        <v>0</v>
      </c>
      <c r="Q243" s="881">
        <f t="shared" si="77"/>
        <v>0</v>
      </c>
      <c r="R243" s="881">
        <f t="shared" si="77"/>
        <v>0</v>
      </c>
      <c r="S243" s="881">
        <f t="shared" si="77"/>
        <v>0</v>
      </c>
      <c r="T243" s="881">
        <f t="shared" si="77"/>
        <v>0</v>
      </c>
      <c r="U243" s="881">
        <f t="shared" si="77"/>
        <v>0</v>
      </c>
      <c r="V243" s="881">
        <f t="shared" si="77"/>
        <v>0</v>
      </c>
      <c r="W243" s="881">
        <f>SUM(W238:W242)</f>
        <v>0</v>
      </c>
      <c r="X243" s="881">
        <f t="shared" ref="X243:AF243" si="78">SUM(X238:X241)</f>
        <v>0</v>
      </c>
      <c r="Y243" s="881">
        <f t="shared" si="78"/>
        <v>0</v>
      </c>
      <c r="Z243" s="881">
        <f t="shared" si="78"/>
        <v>0</v>
      </c>
      <c r="AA243" s="881">
        <f t="shared" si="78"/>
        <v>0</v>
      </c>
      <c r="AB243" s="881">
        <f t="shared" si="78"/>
        <v>0</v>
      </c>
      <c r="AC243" s="881">
        <f t="shared" si="78"/>
        <v>0</v>
      </c>
      <c r="AD243" s="881">
        <f t="shared" si="78"/>
        <v>0</v>
      </c>
      <c r="AE243" s="881">
        <f t="shared" si="78"/>
        <v>0</v>
      </c>
      <c r="AF243" s="881">
        <f t="shared" si="78"/>
        <v>0</v>
      </c>
      <c r="AG243" s="768">
        <f t="shared" si="75"/>
        <v>1</v>
      </c>
    </row>
    <row r="244">
      <c r="A244" s="42"/>
      <c r="B244" s="542"/>
      <c r="C244" s="542"/>
      <c r="D244" s="542"/>
      <c r="E244" s="542"/>
      <c r="F244" s="542"/>
      <c r="G244" s="542"/>
      <c r="H244" s="542"/>
      <c r="I244" s="327"/>
      <c r="J244" s="327"/>
      <c r="K244" s="327"/>
      <c r="L244" s="327"/>
      <c r="M244" s="327"/>
      <c r="N244" s="327"/>
      <c r="O244" s="327"/>
      <c r="P244" s="327"/>
      <c r="Q244" s="327"/>
      <c r="R244" s="327"/>
      <c r="S244" s="327"/>
      <c r="T244" s="327"/>
      <c r="U244" s="327"/>
      <c r="V244" s="327"/>
      <c r="W244" s="327"/>
      <c r="X244" s="327"/>
      <c r="Y244" s="327"/>
      <c r="Z244" s="327"/>
      <c r="AA244" s="327"/>
      <c r="AB244" s="327"/>
      <c r="AC244" s="327"/>
      <c r="AD244" s="327"/>
      <c r="AE244" s="327"/>
      <c r="AF244" s="327"/>
      <c r="AG244" s="768"/>
    </row>
    <row r="245">
      <c r="A245" s="648" t="s">
        <v>780</v>
      </c>
      <c r="B245" s="542"/>
      <c r="C245" s="542"/>
      <c r="D245" s="542"/>
      <c r="E245" s="542"/>
      <c r="F245" s="542"/>
      <c r="G245" s="542"/>
      <c r="H245" s="542"/>
      <c r="I245" s="327"/>
      <c r="J245" s="327"/>
      <c r="K245" s="327"/>
      <c r="L245" s="327"/>
      <c r="M245" s="327"/>
      <c r="N245" s="327"/>
      <c r="O245" s="327"/>
      <c r="P245" s="327"/>
      <c r="Q245" s="327"/>
      <c r="R245" s="327"/>
      <c r="S245" s="327"/>
      <c r="T245" s="327"/>
      <c r="U245" s="327"/>
      <c r="V245" s="327"/>
      <c r="W245" s="327"/>
      <c r="X245" s="327"/>
      <c r="Y245" s="327"/>
      <c r="Z245" s="327"/>
      <c r="AA245" s="327"/>
      <c r="AB245" s="327"/>
      <c r="AC245" s="327"/>
      <c r="AD245" s="327"/>
      <c r="AE245" s="327"/>
      <c r="AF245" s="327"/>
      <c r="AG245" s="768"/>
    </row>
    <row r="246">
      <c r="A246" s="876" t="s">
        <v>752</v>
      </c>
      <c r="B246" s="885">
        <v>6755.0</v>
      </c>
      <c r="C246" s="885">
        <v>10317.0</v>
      </c>
      <c r="D246" s="885">
        <v>7511.7</v>
      </c>
      <c r="E246" s="885">
        <v>6626.7</v>
      </c>
      <c r="F246" s="885">
        <v>8312.36</v>
      </c>
      <c r="G246" s="885">
        <v>8487.3</v>
      </c>
      <c r="H246" s="311">
        <v>11193.7</v>
      </c>
      <c r="I246" s="311">
        <v>9313.1</v>
      </c>
      <c r="J246" s="311">
        <v>8825.5</v>
      </c>
      <c r="K246" s="311">
        <v>11044.4</v>
      </c>
      <c r="L246" s="311">
        <v>9830.6</v>
      </c>
      <c r="M246" s="885">
        <v>10148.9</v>
      </c>
      <c r="N246" s="311">
        <v>9776.0</v>
      </c>
      <c r="O246" s="311">
        <v>10910.6</v>
      </c>
      <c r="P246" s="311">
        <v>10638.0</v>
      </c>
      <c r="Q246" s="311">
        <v>12056.9</v>
      </c>
      <c r="R246" s="885">
        <v>5250.6</v>
      </c>
      <c r="S246" s="885">
        <v>10391.2</v>
      </c>
      <c r="T246" s="311">
        <v>7910.1</v>
      </c>
      <c r="U246" s="311">
        <v>8188.8</v>
      </c>
      <c r="V246" s="311">
        <v>8457.4</v>
      </c>
      <c r="W246" s="311">
        <v>5611.6</v>
      </c>
      <c r="X246" s="311">
        <v>5119.2</v>
      </c>
      <c r="Y246" s="311">
        <v>4044.0</v>
      </c>
      <c r="Z246" s="311">
        <v>4960.0</v>
      </c>
      <c r="AA246" s="311">
        <v>4523.0</v>
      </c>
      <c r="AB246" s="311">
        <v>6531.16</v>
      </c>
      <c r="AC246" s="311">
        <v>4925.0</v>
      </c>
      <c r="AD246" s="311">
        <v>3475.0</v>
      </c>
      <c r="AE246" s="311">
        <v>5423.4</v>
      </c>
      <c r="AF246" s="311">
        <v>4493.4</v>
      </c>
      <c r="AG246" s="350">
        <f t="shared" ref="AG246:AG253" si="79">SUM(B246:AF246)</f>
        <v>241051.62</v>
      </c>
    </row>
    <row r="247">
      <c r="A247" s="876" t="s">
        <v>753</v>
      </c>
      <c r="B247" s="885">
        <v>22555.0</v>
      </c>
      <c r="C247" s="885">
        <v>23551.0</v>
      </c>
      <c r="D247" s="885">
        <v>22088.9</v>
      </c>
      <c r="E247" s="885">
        <v>25526.9</v>
      </c>
      <c r="F247" s="885">
        <v>23050.2</v>
      </c>
      <c r="G247" s="885">
        <v>25223.86</v>
      </c>
      <c r="H247" s="311">
        <v>24610.4</v>
      </c>
      <c r="I247" s="311">
        <v>32471.86</v>
      </c>
      <c r="J247" s="311">
        <v>30178.7</v>
      </c>
      <c r="K247" s="311">
        <v>25533.56</v>
      </c>
      <c r="L247" s="311">
        <v>28504.0</v>
      </c>
      <c r="M247" s="885">
        <v>28275.46</v>
      </c>
      <c r="N247" s="311">
        <v>50250.7</v>
      </c>
      <c r="O247" s="311">
        <v>42080.7</v>
      </c>
      <c r="P247" s="311">
        <v>35036.4</v>
      </c>
      <c r="Q247" s="311">
        <v>32800.9</v>
      </c>
      <c r="R247" s="885">
        <v>19706.8</v>
      </c>
      <c r="S247" s="885">
        <v>34812.1</v>
      </c>
      <c r="T247" s="311">
        <v>25598.2</v>
      </c>
      <c r="U247" s="311">
        <v>29356.7</v>
      </c>
      <c r="V247" s="311">
        <v>25609.5</v>
      </c>
      <c r="W247" s="885">
        <v>28940.2</v>
      </c>
      <c r="X247" s="311">
        <v>24430.06</v>
      </c>
      <c r="Y247" s="311">
        <v>20903.0</v>
      </c>
      <c r="Z247" s="311">
        <v>19719.89</v>
      </c>
      <c r="AA247" s="311">
        <v>19844.06</v>
      </c>
      <c r="AB247" s="311">
        <v>20994.8</v>
      </c>
      <c r="AC247" s="311">
        <v>19273.0</v>
      </c>
      <c r="AD247" s="311">
        <v>20009.0</v>
      </c>
      <c r="AE247" s="311">
        <v>18770.03</v>
      </c>
      <c r="AF247" s="311">
        <v>22493.5</v>
      </c>
      <c r="AG247" s="350">
        <f t="shared" si="79"/>
        <v>822199.38</v>
      </c>
    </row>
    <row r="248">
      <c r="A248" s="876" t="s">
        <v>754</v>
      </c>
      <c r="B248" s="885">
        <v>388.0</v>
      </c>
      <c r="C248" s="885">
        <v>577.0</v>
      </c>
      <c r="D248" s="885">
        <v>925.2</v>
      </c>
      <c r="E248" s="885">
        <v>378.1</v>
      </c>
      <c r="F248" s="885">
        <v>557.2</v>
      </c>
      <c r="G248" s="885">
        <v>577.1</v>
      </c>
      <c r="H248" s="311">
        <v>398.0</v>
      </c>
      <c r="I248" s="311">
        <v>557.2</v>
      </c>
      <c r="J248" s="311">
        <v>537.3</v>
      </c>
      <c r="K248" s="311">
        <v>358.2</v>
      </c>
      <c r="L248" s="311">
        <v>199.0</v>
      </c>
      <c r="M248" s="885">
        <v>179.1</v>
      </c>
      <c r="N248" s="886">
        <v>537.3</v>
      </c>
      <c r="O248" s="311">
        <v>114.4</v>
      </c>
      <c r="P248" s="885">
        <v>179.1</v>
      </c>
      <c r="Q248" s="311">
        <v>736.3</v>
      </c>
      <c r="R248" s="311">
        <v>179.1</v>
      </c>
      <c r="S248" s="885">
        <v>0.0</v>
      </c>
      <c r="T248" s="311">
        <v>0.0</v>
      </c>
      <c r="U248" s="311">
        <v>552.2</v>
      </c>
      <c r="V248" s="885">
        <v>557.2</v>
      </c>
      <c r="W248" s="311">
        <v>0.0</v>
      </c>
      <c r="X248" s="311">
        <v>199.0</v>
      </c>
      <c r="Y248" s="311">
        <v>199.0</v>
      </c>
      <c r="Z248" s="311">
        <v>199.0</v>
      </c>
      <c r="AA248" s="311">
        <v>592.0</v>
      </c>
      <c r="AB248" s="311">
        <v>398.0</v>
      </c>
      <c r="AC248" s="311">
        <v>1631.0</v>
      </c>
      <c r="AD248" s="311">
        <v>0.0</v>
      </c>
      <c r="AE248" s="311">
        <v>199.0</v>
      </c>
      <c r="AF248" s="311">
        <v>199.0</v>
      </c>
      <c r="AG248" s="350">
        <f t="shared" si="79"/>
        <v>12103</v>
      </c>
    </row>
    <row r="249">
      <c r="A249" s="876" t="s">
        <v>755</v>
      </c>
      <c r="B249" s="885">
        <v>1066.0</v>
      </c>
      <c r="C249" s="885">
        <v>518.0</v>
      </c>
      <c r="D249" s="885">
        <v>1066.0</v>
      </c>
      <c r="E249" s="885">
        <v>968.4</v>
      </c>
      <c r="F249" s="885">
        <v>753.2</v>
      </c>
      <c r="G249" s="885">
        <v>1264.3</v>
      </c>
      <c r="H249" s="311">
        <v>1049.1</v>
      </c>
      <c r="I249" s="311">
        <v>780.1</v>
      </c>
      <c r="J249" s="311">
        <v>699.4</v>
      </c>
      <c r="K249" s="311">
        <v>1264.3</v>
      </c>
      <c r="L249" s="311">
        <v>753.2</v>
      </c>
      <c r="M249" s="885">
        <v>1721.6</v>
      </c>
      <c r="N249" s="311">
        <v>1237.4</v>
      </c>
      <c r="O249" s="311">
        <v>1510.2</v>
      </c>
      <c r="P249" s="311">
        <v>1214.3</v>
      </c>
      <c r="Q249" s="885">
        <v>1775.4</v>
      </c>
      <c r="R249" s="885">
        <v>484.2</v>
      </c>
      <c r="S249" s="887">
        <v>1506.4</v>
      </c>
      <c r="T249" s="311">
        <v>484.2</v>
      </c>
      <c r="U249" s="311">
        <v>1210.5</v>
      </c>
      <c r="V249" s="311">
        <v>669.4</v>
      </c>
      <c r="W249" s="311">
        <v>807.0</v>
      </c>
      <c r="X249" s="311">
        <v>760.1</v>
      </c>
      <c r="Y249" s="311">
        <v>1369.0</v>
      </c>
      <c r="Z249" s="311">
        <v>1335.0</v>
      </c>
      <c r="AA249" s="311">
        <v>269.0</v>
      </c>
      <c r="AB249" s="311">
        <v>807.0</v>
      </c>
      <c r="AC249" s="311">
        <v>1143.0</v>
      </c>
      <c r="AD249" s="311">
        <v>1319.0</v>
      </c>
      <c r="AE249" s="311">
        <v>269.0</v>
      </c>
      <c r="AF249" s="311">
        <v>931.7</v>
      </c>
      <c r="AG249" s="350">
        <f t="shared" si="79"/>
        <v>31005.4</v>
      </c>
    </row>
    <row r="250" ht="20.25" customHeight="1">
      <c r="A250" s="876" t="s">
        <v>756</v>
      </c>
      <c r="B250" s="103"/>
      <c r="C250" s="138"/>
      <c r="D250" s="138"/>
      <c r="E250" s="138"/>
      <c r="F250" s="138"/>
      <c r="G250" s="138"/>
      <c r="H250" s="138"/>
      <c r="I250" s="138"/>
      <c r="J250" s="103"/>
      <c r="K250" s="103"/>
      <c r="L250" s="103"/>
      <c r="M250" s="103"/>
      <c r="N250" s="103"/>
      <c r="O250" s="103"/>
      <c r="P250" s="103"/>
      <c r="Q250" s="103"/>
      <c r="R250" s="103"/>
      <c r="S250" s="103"/>
      <c r="T250" s="103"/>
      <c r="U250" s="103"/>
      <c r="V250" s="103"/>
      <c r="W250" s="138"/>
      <c r="X250" s="103"/>
      <c r="Y250" s="103"/>
      <c r="Z250" s="103"/>
      <c r="AA250" s="103"/>
      <c r="AB250" s="103"/>
      <c r="AC250" s="103"/>
      <c r="AD250" s="103"/>
      <c r="AE250" s="103"/>
      <c r="AF250" s="103"/>
      <c r="AG250" s="350">
        <f t="shared" si="79"/>
        <v>0</v>
      </c>
    </row>
    <row r="251">
      <c r="A251" s="876" t="s">
        <v>757</v>
      </c>
      <c r="B251" s="103"/>
      <c r="C251" s="138">
        <v>269.0</v>
      </c>
      <c r="D251" s="103"/>
      <c r="E251" s="138"/>
      <c r="F251" s="138"/>
      <c r="G251" s="138"/>
      <c r="H251" s="138"/>
      <c r="I251" s="138"/>
      <c r="J251" s="103"/>
      <c r="K251" s="103"/>
      <c r="L251" s="103"/>
      <c r="M251" s="103"/>
      <c r="N251" s="103"/>
      <c r="O251" s="103"/>
      <c r="P251" s="103"/>
      <c r="Q251" s="103"/>
      <c r="R251" s="103"/>
      <c r="S251" s="103"/>
      <c r="T251" s="103"/>
      <c r="U251" s="103"/>
      <c r="V251" s="103"/>
      <c r="W251" s="103"/>
      <c r="X251" s="103"/>
      <c r="Y251" s="103"/>
      <c r="Z251" s="103"/>
      <c r="AA251" s="103"/>
      <c r="AB251" s="103"/>
      <c r="AC251" s="103"/>
      <c r="AD251" s="103"/>
      <c r="AE251" s="103"/>
      <c r="AF251" s="103"/>
      <c r="AG251" s="350">
        <f t="shared" si="79"/>
        <v>269</v>
      </c>
    </row>
    <row r="252">
      <c r="A252" s="880" t="s">
        <v>725</v>
      </c>
      <c r="B252" s="888">
        <f t="shared" ref="B252:AF252" si="80">B246+B248+B250</f>
        <v>7143</v>
      </c>
      <c r="C252" s="888">
        <f t="shared" si="80"/>
        <v>10894</v>
      </c>
      <c r="D252" s="888">
        <f t="shared" si="80"/>
        <v>8436.9</v>
      </c>
      <c r="E252" s="888">
        <f t="shared" si="80"/>
        <v>7004.8</v>
      </c>
      <c r="F252" s="888">
        <f t="shared" si="80"/>
        <v>8869.56</v>
      </c>
      <c r="G252" s="888">
        <f t="shared" si="80"/>
        <v>9064.4</v>
      </c>
      <c r="H252" s="888">
        <f t="shared" si="80"/>
        <v>11591.7</v>
      </c>
      <c r="I252" s="888">
        <f t="shared" si="80"/>
        <v>9870.3</v>
      </c>
      <c r="J252" s="888">
        <f t="shared" si="80"/>
        <v>9362.8</v>
      </c>
      <c r="K252" s="888">
        <f t="shared" si="80"/>
        <v>11402.6</v>
      </c>
      <c r="L252" s="888">
        <f t="shared" si="80"/>
        <v>10029.6</v>
      </c>
      <c r="M252" s="888">
        <f t="shared" si="80"/>
        <v>10328</v>
      </c>
      <c r="N252" s="888">
        <f t="shared" si="80"/>
        <v>10313.3</v>
      </c>
      <c r="O252" s="888">
        <f t="shared" si="80"/>
        <v>11025</v>
      </c>
      <c r="P252" s="888">
        <f t="shared" si="80"/>
        <v>10817.1</v>
      </c>
      <c r="Q252" s="888">
        <f t="shared" si="80"/>
        <v>12793.2</v>
      </c>
      <c r="R252" s="888">
        <f t="shared" si="80"/>
        <v>5429.7</v>
      </c>
      <c r="S252" s="888">
        <f t="shared" si="80"/>
        <v>10391.2</v>
      </c>
      <c r="T252" s="888">
        <f t="shared" si="80"/>
        <v>7910.1</v>
      </c>
      <c r="U252" s="888">
        <f t="shared" si="80"/>
        <v>8741</v>
      </c>
      <c r="V252" s="888">
        <f t="shared" si="80"/>
        <v>9014.6</v>
      </c>
      <c r="W252" s="888">
        <f t="shared" si="80"/>
        <v>5611.6</v>
      </c>
      <c r="X252" s="888">
        <f t="shared" si="80"/>
        <v>5318.2</v>
      </c>
      <c r="Y252" s="888">
        <f t="shared" si="80"/>
        <v>4243</v>
      </c>
      <c r="Z252" s="888">
        <f t="shared" si="80"/>
        <v>5159</v>
      </c>
      <c r="AA252" s="888">
        <f t="shared" si="80"/>
        <v>5115</v>
      </c>
      <c r="AB252" s="888">
        <f t="shared" si="80"/>
        <v>6929.16</v>
      </c>
      <c r="AC252" s="888">
        <f t="shared" si="80"/>
        <v>6556</v>
      </c>
      <c r="AD252" s="888">
        <f t="shared" si="80"/>
        <v>3475</v>
      </c>
      <c r="AE252" s="888">
        <f t="shared" si="80"/>
        <v>5622.4</v>
      </c>
      <c r="AF252" s="888">
        <f t="shared" si="80"/>
        <v>4692.4</v>
      </c>
      <c r="AG252" s="350">
        <f t="shared" si="79"/>
        <v>253154.62</v>
      </c>
    </row>
    <row r="253">
      <c r="A253" s="880" t="s">
        <v>781</v>
      </c>
      <c r="B253" s="888">
        <f t="shared" ref="B253:AF253" si="81">B247+B249+B251</f>
        <v>23621</v>
      </c>
      <c r="C253" s="888">
        <f t="shared" si="81"/>
        <v>24338</v>
      </c>
      <c r="D253" s="888">
        <f t="shared" si="81"/>
        <v>23154.9</v>
      </c>
      <c r="E253" s="888">
        <f t="shared" si="81"/>
        <v>26495.3</v>
      </c>
      <c r="F253" s="888">
        <f t="shared" si="81"/>
        <v>23803.4</v>
      </c>
      <c r="G253" s="888">
        <f t="shared" si="81"/>
        <v>26488.16</v>
      </c>
      <c r="H253" s="888">
        <f t="shared" si="81"/>
        <v>25659.5</v>
      </c>
      <c r="I253" s="888">
        <f t="shared" si="81"/>
        <v>33251.96</v>
      </c>
      <c r="J253" s="888">
        <f t="shared" si="81"/>
        <v>30878.1</v>
      </c>
      <c r="K253" s="888">
        <f t="shared" si="81"/>
        <v>26797.86</v>
      </c>
      <c r="L253" s="888">
        <f t="shared" si="81"/>
        <v>29257.2</v>
      </c>
      <c r="M253" s="888">
        <f t="shared" si="81"/>
        <v>29997.06</v>
      </c>
      <c r="N253" s="888">
        <f t="shared" si="81"/>
        <v>51488.1</v>
      </c>
      <c r="O253" s="888">
        <f t="shared" si="81"/>
        <v>43590.9</v>
      </c>
      <c r="P253" s="888">
        <f t="shared" si="81"/>
        <v>36250.7</v>
      </c>
      <c r="Q253" s="888">
        <f t="shared" si="81"/>
        <v>34576.3</v>
      </c>
      <c r="R253" s="888">
        <f t="shared" si="81"/>
        <v>20191</v>
      </c>
      <c r="S253" s="888">
        <f t="shared" si="81"/>
        <v>36318.5</v>
      </c>
      <c r="T253" s="888">
        <f t="shared" si="81"/>
        <v>26082.4</v>
      </c>
      <c r="U253" s="888">
        <f t="shared" si="81"/>
        <v>30567.2</v>
      </c>
      <c r="V253" s="888">
        <f t="shared" si="81"/>
        <v>26278.9</v>
      </c>
      <c r="W253" s="888">
        <f t="shared" si="81"/>
        <v>29747.2</v>
      </c>
      <c r="X253" s="888">
        <f t="shared" si="81"/>
        <v>25190.16</v>
      </c>
      <c r="Y253" s="888">
        <f t="shared" si="81"/>
        <v>22272</v>
      </c>
      <c r="Z253" s="888">
        <f t="shared" si="81"/>
        <v>21054.89</v>
      </c>
      <c r="AA253" s="888">
        <f t="shared" si="81"/>
        <v>20113.06</v>
      </c>
      <c r="AB253" s="888">
        <f t="shared" si="81"/>
        <v>21801.8</v>
      </c>
      <c r="AC253" s="888">
        <f t="shared" si="81"/>
        <v>20416</v>
      </c>
      <c r="AD253" s="888">
        <f t="shared" si="81"/>
        <v>21328</v>
      </c>
      <c r="AE253" s="888">
        <f t="shared" si="81"/>
        <v>19039.03</v>
      </c>
      <c r="AF253" s="888">
        <f t="shared" si="81"/>
        <v>23425.2</v>
      </c>
      <c r="AG253" s="350">
        <f t="shared" si="79"/>
        <v>853473.78</v>
      </c>
    </row>
    <row r="254" ht="16.5" customHeight="1">
      <c r="A254" s="42"/>
      <c r="B254" s="326"/>
      <c r="C254" s="326"/>
      <c r="D254" s="326"/>
      <c r="E254" s="326"/>
      <c r="F254" s="326"/>
      <c r="G254" s="326"/>
      <c r="H254" s="326"/>
      <c r="I254" s="326"/>
      <c r="J254" s="326"/>
      <c r="K254" s="326"/>
      <c r="L254" s="326"/>
      <c r="M254" s="326"/>
      <c r="N254" s="326"/>
      <c r="O254" s="326"/>
      <c r="P254" s="326"/>
      <c r="Q254" s="326"/>
      <c r="R254" s="326"/>
      <c r="S254" s="326"/>
      <c r="T254" s="326"/>
      <c r="U254" s="326"/>
      <c r="V254" s="326"/>
      <c r="W254" s="326"/>
      <c r="X254" s="326"/>
      <c r="Y254" s="326"/>
      <c r="Z254" s="326"/>
      <c r="AA254" s="326"/>
      <c r="AB254" s="326"/>
      <c r="AC254" s="326"/>
      <c r="AD254" s="326"/>
      <c r="AE254" s="326"/>
      <c r="AF254" s="326"/>
      <c r="AG254" s="350"/>
    </row>
    <row r="255">
      <c r="A255" s="876" t="s">
        <v>760</v>
      </c>
      <c r="B255" s="889">
        <v>1128.0</v>
      </c>
      <c r="C255" s="890">
        <v>2124.0</v>
      </c>
      <c r="D255" s="889">
        <v>729.0</v>
      </c>
      <c r="E255" s="889">
        <v>859.0</v>
      </c>
      <c r="F255" s="889">
        <v>939.17</v>
      </c>
      <c r="G255" s="889">
        <v>845.67</v>
      </c>
      <c r="H255" s="891">
        <v>1132.0</v>
      </c>
      <c r="I255" s="892">
        <v>1569.0</v>
      </c>
      <c r="J255" s="891">
        <v>1684.0</v>
      </c>
      <c r="K255" s="891">
        <v>1387.0</v>
      </c>
      <c r="L255" s="891">
        <v>1242.0</v>
      </c>
      <c r="M255" s="889">
        <v>926.0</v>
      </c>
      <c r="N255" s="891">
        <v>1909.0</v>
      </c>
      <c r="O255" s="891">
        <v>1379.5</v>
      </c>
      <c r="P255" s="891">
        <v>1962.5</v>
      </c>
      <c r="Q255" s="891">
        <v>1728.0</v>
      </c>
      <c r="R255" s="889">
        <v>731.5</v>
      </c>
      <c r="S255" s="889">
        <v>1710.0</v>
      </c>
      <c r="T255" s="891">
        <v>1072.5</v>
      </c>
      <c r="U255" s="889">
        <v>1257.0</v>
      </c>
      <c r="V255" s="891">
        <v>1017.0</v>
      </c>
      <c r="W255" s="891">
        <v>1244.5</v>
      </c>
      <c r="X255" s="889">
        <v>1258.17</v>
      </c>
      <c r="Y255" s="891">
        <v>801.0</v>
      </c>
      <c r="Z255" s="891">
        <v>814.17</v>
      </c>
      <c r="AA255" s="891">
        <v>520.5</v>
      </c>
      <c r="AB255" s="891">
        <v>867.17</v>
      </c>
      <c r="AC255" s="891">
        <v>6756.0</v>
      </c>
      <c r="AD255" s="891">
        <v>7057.0</v>
      </c>
      <c r="AE255" s="891">
        <v>819.17</v>
      </c>
      <c r="AF255" s="891">
        <v>966.0</v>
      </c>
      <c r="AG255" s="350">
        <f t="shared" ref="AG255:AG260" si="82">SUM(B255:AF255)</f>
        <v>48435.52</v>
      </c>
    </row>
    <row r="256">
      <c r="A256" s="876" t="s">
        <v>761</v>
      </c>
      <c r="B256" s="890">
        <v>0.0</v>
      </c>
      <c r="C256" s="890">
        <v>0.0</v>
      </c>
      <c r="D256" s="890">
        <v>0.0</v>
      </c>
      <c r="E256" s="890">
        <v>0.0</v>
      </c>
      <c r="F256" s="890">
        <v>0.0</v>
      </c>
      <c r="G256" s="890">
        <v>0.0</v>
      </c>
      <c r="H256" s="892">
        <v>0.0</v>
      </c>
      <c r="I256" s="892">
        <v>0.0</v>
      </c>
      <c r="J256" s="892">
        <v>0.0</v>
      </c>
      <c r="K256" s="892">
        <v>0.0</v>
      </c>
      <c r="L256" s="890">
        <v>0.0</v>
      </c>
      <c r="M256" s="890">
        <v>0.0</v>
      </c>
      <c r="N256" s="890">
        <v>0.0</v>
      </c>
      <c r="O256" s="890">
        <v>0.0</v>
      </c>
      <c r="P256" s="890">
        <v>0.0</v>
      </c>
      <c r="Q256" s="889">
        <v>0.0</v>
      </c>
      <c r="R256" s="889">
        <v>0.0</v>
      </c>
      <c r="S256" s="889">
        <v>0.0</v>
      </c>
      <c r="T256" s="889">
        <v>0.0</v>
      </c>
      <c r="U256" s="889">
        <v>0.0</v>
      </c>
      <c r="V256" s="889">
        <v>0.0</v>
      </c>
      <c r="W256" s="889">
        <v>0.0</v>
      </c>
      <c r="X256" s="889">
        <v>0.0</v>
      </c>
      <c r="Y256" s="889">
        <v>0.0</v>
      </c>
      <c r="Z256" s="889">
        <v>0.0</v>
      </c>
      <c r="AA256" s="889">
        <v>0.0</v>
      </c>
      <c r="AB256" s="889">
        <v>0.0</v>
      </c>
      <c r="AC256" s="889">
        <v>0.0</v>
      </c>
      <c r="AD256" s="891">
        <v>0.0</v>
      </c>
      <c r="AE256" s="891">
        <v>0.0</v>
      </c>
      <c r="AF256" s="891">
        <v>0.0</v>
      </c>
      <c r="AG256" s="350">
        <f t="shared" si="82"/>
        <v>0</v>
      </c>
    </row>
    <row r="257">
      <c r="A257" s="876" t="s">
        <v>762</v>
      </c>
      <c r="B257" s="889">
        <v>308.0</v>
      </c>
      <c r="C257" s="889">
        <v>518.0</v>
      </c>
      <c r="D257" s="889">
        <v>294.0</v>
      </c>
      <c r="E257" s="889">
        <v>364.0</v>
      </c>
      <c r="F257" s="889">
        <v>295.5</v>
      </c>
      <c r="G257" s="889">
        <v>196.0</v>
      </c>
      <c r="H257" s="891">
        <v>224.0</v>
      </c>
      <c r="I257" s="891">
        <v>402.67</v>
      </c>
      <c r="J257" s="892">
        <v>350.0</v>
      </c>
      <c r="K257" s="891">
        <v>374.67</v>
      </c>
      <c r="L257" s="891">
        <v>308.0</v>
      </c>
      <c r="M257" s="889">
        <v>322.67</v>
      </c>
      <c r="N257" s="891">
        <v>654.67</v>
      </c>
      <c r="O257" s="891">
        <v>515.5</v>
      </c>
      <c r="P257" s="891">
        <v>491.5</v>
      </c>
      <c r="Q257" s="891">
        <v>485.0</v>
      </c>
      <c r="R257" s="889">
        <v>314.5</v>
      </c>
      <c r="S257" s="889">
        <v>471.0</v>
      </c>
      <c r="T257" s="891">
        <v>445.5</v>
      </c>
      <c r="U257" s="891">
        <v>424.0</v>
      </c>
      <c r="V257" s="891">
        <v>331.0</v>
      </c>
      <c r="W257" s="891">
        <v>351.5</v>
      </c>
      <c r="X257" s="891">
        <v>312.84</v>
      </c>
      <c r="Y257" s="891">
        <v>312.0</v>
      </c>
      <c r="Z257" s="891">
        <v>213.17</v>
      </c>
      <c r="AA257" s="891">
        <v>246.17</v>
      </c>
      <c r="AB257" s="891">
        <v>190.17</v>
      </c>
      <c r="AC257" s="891">
        <v>3167.0</v>
      </c>
      <c r="AD257" s="891">
        <v>3618.0</v>
      </c>
      <c r="AE257" s="891">
        <v>300.5</v>
      </c>
      <c r="AF257" s="891">
        <v>200.0</v>
      </c>
      <c r="AG257" s="350">
        <f t="shared" si="82"/>
        <v>17001.53</v>
      </c>
    </row>
    <row r="258">
      <c r="A258" s="876" t="s">
        <v>763</v>
      </c>
      <c r="B258" s="889">
        <v>899.0</v>
      </c>
      <c r="C258" s="889">
        <v>1189.0</v>
      </c>
      <c r="D258" s="889">
        <v>638.0</v>
      </c>
      <c r="E258" s="889">
        <v>889.0</v>
      </c>
      <c r="F258" s="889">
        <v>517.0</v>
      </c>
      <c r="G258" s="889">
        <v>663.67</v>
      </c>
      <c r="H258" s="891">
        <v>522.0</v>
      </c>
      <c r="I258" s="891">
        <v>1025.67</v>
      </c>
      <c r="J258" s="891">
        <v>1102.0</v>
      </c>
      <c r="K258" s="891">
        <v>953.67</v>
      </c>
      <c r="L258" s="891">
        <v>667.0</v>
      </c>
      <c r="M258" s="889">
        <v>634.67</v>
      </c>
      <c r="N258" s="891">
        <v>1571.67</v>
      </c>
      <c r="O258" s="891">
        <v>1325.7</v>
      </c>
      <c r="P258" s="891">
        <v>1292.5</v>
      </c>
      <c r="Q258" s="891">
        <v>957.0</v>
      </c>
      <c r="R258" s="889">
        <v>478.0</v>
      </c>
      <c r="S258" s="889">
        <v>952.0</v>
      </c>
      <c r="T258" s="891">
        <v>867.5</v>
      </c>
      <c r="U258" s="891">
        <v>928.0</v>
      </c>
      <c r="V258" s="891">
        <v>957.0</v>
      </c>
      <c r="W258" s="891">
        <v>789.5</v>
      </c>
      <c r="X258" s="891">
        <v>1004.17</v>
      </c>
      <c r="Y258" s="891">
        <v>546.0</v>
      </c>
      <c r="Z258" s="891">
        <v>371.17</v>
      </c>
      <c r="AA258" s="891">
        <v>622.17</v>
      </c>
      <c r="AB258" s="891">
        <v>398.5</v>
      </c>
      <c r="AC258" s="891">
        <v>3371.0</v>
      </c>
      <c r="AD258" s="891">
        <v>2508.0</v>
      </c>
      <c r="AE258" s="891">
        <v>654.5</v>
      </c>
      <c r="AF258" s="891">
        <v>484.6</v>
      </c>
      <c r="AG258" s="350">
        <f t="shared" si="82"/>
        <v>29779.66</v>
      </c>
    </row>
    <row r="259">
      <c r="A259" s="876" t="s">
        <v>764</v>
      </c>
      <c r="B259" s="889">
        <v>1190.0</v>
      </c>
      <c r="C259" s="889">
        <v>1190.0</v>
      </c>
      <c r="D259" s="889">
        <v>928.0</v>
      </c>
      <c r="E259" s="889">
        <v>1065.0</v>
      </c>
      <c r="F259" s="889">
        <v>883.17</v>
      </c>
      <c r="G259" s="889">
        <v>1309.0</v>
      </c>
      <c r="H259" s="891">
        <v>1117.0</v>
      </c>
      <c r="I259" s="891">
        <v>1219.0</v>
      </c>
      <c r="J259" s="891">
        <v>1519.0</v>
      </c>
      <c r="K259" s="891">
        <v>1648.0</v>
      </c>
      <c r="L259" s="891">
        <v>648.0</v>
      </c>
      <c r="M259" s="889">
        <v>588.0</v>
      </c>
      <c r="N259" s="891">
        <v>2324.66</v>
      </c>
      <c r="O259" s="891">
        <v>1565.0</v>
      </c>
      <c r="P259" s="891">
        <v>1397.0</v>
      </c>
      <c r="Q259" s="891">
        <v>1105.0</v>
      </c>
      <c r="R259" s="889">
        <v>1167.5</v>
      </c>
      <c r="S259" s="889">
        <v>1239.0</v>
      </c>
      <c r="T259" s="891">
        <v>610.0</v>
      </c>
      <c r="U259" s="891">
        <v>1239.0</v>
      </c>
      <c r="V259" s="891">
        <v>974.0</v>
      </c>
      <c r="W259" s="891">
        <v>923.0</v>
      </c>
      <c r="X259" s="891">
        <v>1341.66</v>
      </c>
      <c r="Y259" s="891">
        <v>739.0</v>
      </c>
      <c r="Z259" s="891">
        <v>879.0</v>
      </c>
      <c r="AA259" s="891">
        <v>760.0</v>
      </c>
      <c r="AB259" s="891">
        <v>571.0</v>
      </c>
      <c r="AC259" s="891">
        <v>619.0</v>
      </c>
      <c r="AD259" s="891">
        <v>1639.0</v>
      </c>
      <c r="AE259" s="891">
        <v>993.0</v>
      </c>
      <c r="AF259" s="891">
        <v>690.0</v>
      </c>
      <c r="AG259" s="350">
        <f t="shared" si="82"/>
        <v>34079.99</v>
      </c>
    </row>
    <row r="260">
      <c r="A260" s="893" t="s">
        <v>151</v>
      </c>
      <c r="B260" s="888">
        <f t="shared" ref="B260:AF260" si="83">SUM(B255:B259)</f>
        <v>3525</v>
      </c>
      <c r="C260" s="888">
        <f t="shared" si="83"/>
        <v>5021</v>
      </c>
      <c r="D260" s="888">
        <f t="shared" si="83"/>
        <v>2589</v>
      </c>
      <c r="E260" s="888">
        <f t="shared" si="83"/>
        <v>3177</v>
      </c>
      <c r="F260" s="888">
        <f t="shared" si="83"/>
        <v>2634.84</v>
      </c>
      <c r="G260" s="888">
        <f t="shared" si="83"/>
        <v>3014.34</v>
      </c>
      <c r="H260" s="888">
        <f t="shared" si="83"/>
        <v>2995</v>
      </c>
      <c r="I260" s="888">
        <f t="shared" si="83"/>
        <v>4216.34</v>
      </c>
      <c r="J260" s="888">
        <f t="shared" si="83"/>
        <v>4655</v>
      </c>
      <c r="K260" s="888">
        <f t="shared" si="83"/>
        <v>4363.34</v>
      </c>
      <c r="L260" s="888">
        <f t="shared" si="83"/>
        <v>2865</v>
      </c>
      <c r="M260" s="888">
        <f t="shared" si="83"/>
        <v>2471.34</v>
      </c>
      <c r="N260" s="888">
        <f t="shared" si="83"/>
        <v>6460</v>
      </c>
      <c r="O260" s="888">
        <f t="shared" si="83"/>
        <v>4785.7</v>
      </c>
      <c r="P260" s="888">
        <f t="shared" si="83"/>
        <v>5143.5</v>
      </c>
      <c r="Q260" s="888">
        <f t="shared" si="83"/>
        <v>4275</v>
      </c>
      <c r="R260" s="888">
        <f t="shared" si="83"/>
        <v>2691.5</v>
      </c>
      <c r="S260" s="888">
        <f t="shared" si="83"/>
        <v>4372</v>
      </c>
      <c r="T260" s="888">
        <f t="shared" si="83"/>
        <v>2995.5</v>
      </c>
      <c r="U260" s="888">
        <f t="shared" si="83"/>
        <v>3848</v>
      </c>
      <c r="V260" s="888">
        <f t="shared" si="83"/>
        <v>3279</v>
      </c>
      <c r="W260" s="888">
        <f t="shared" si="83"/>
        <v>3308.5</v>
      </c>
      <c r="X260" s="888">
        <f t="shared" si="83"/>
        <v>3916.84</v>
      </c>
      <c r="Y260" s="888">
        <f t="shared" si="83"/>
        <v>2398</v>
      </c>
      <c r="Z260" s="888">
        <f t="shared" si="83"/>
        <v>2277.51</v>
      </c>
      <c r="AA260" s="888">
        <f t="shared" si="83"/>
        <v>2148.84</v>
      </c>
      <c r="AB260" s="888">
        <f t="shared" si="83"/>
        <v>2026.84</v>
      </c>
      <c r="AC260" s="888">
        <f t="shared" si="83"/>
        <v>13913</v>
      </c>
      <c r="AD260" s="888">
        <f t="shared" si="83"/>
        <v>14822</v>
      </c>
      <c r="AE260" s="888">
        <f t="shared" si="83"/>
        <v>2767.17</v>
      </c>
      <c r="AF260" s="888">
        <f t="shared" si="83"/>
        <v>2340.6</v>
      </c>
      <c r="AG260" s="350">
        <f t="shared" si="82"/>
        <v>129296.7</v>
      </c>
    </row>
    <row r="261">
      <c r="A261" s="42"/>
      <c r="B261" s="326"/>
      <c r="C261" s="326"/>
      <c r="D261" s="326"/>
      <c r="E261" s="326"/>
      <c r="F261" s="326"/>
      <c r="G261" s="326"/>
      <c r="H261" s="326"/>
      <c r="I261" s="326"/>
      <c r="J261" s="326"/>
      <c r="K261" s="326"/>
      <c r="L261" s="326"/>
      <c r="M261" s="326"/>
      <c r="N261" s="326"/>
      <c r="O261" s="326"/>
      <c r="P261" s="326"/>
      <c r="Q261" s="326"/>
      <c r="R261" s="326"/>
      <c r="S261" s="326"/>
      <c r="T261" s="326"/>
      <c r="U261" s="326"/>
      <c r="V261" s="326"/>
      <c r="W261" s="326"/>
      <c r="X261" s="326"/>
      <c r="Y261" s="326"/>
      <c r="Z261" s="326"/>
      <c r="AA261" s="326"/>
      <c r="AB261" s="326"/>
      <c r="AC261" s="326"/>
      <c r="AD261" s="326"/>
      <c r="AE261" s="326"/>
      <c r="AF261" s="326"/>
      <c r="AG261" s="350"/>
    </row>
    <row r="262">
      <c r="A262" s="876" t="s">
        <v>767</v>
      </c>
      <c r="B262" s="885">
        <v>72.0</v>
      </c>
      <c r="C262" s="890">
        <v>24.0</v>
      </c>
      <c r="D262" s="885">
        <v>24.0</v>
      </c>
      <c r="E262" s="889">
        <v>24.0</v>
      </c>
      <c r="F262" s="885">
        <v>96.0</v>
      </c>
      <c r="G262" s="885">
        <v>120.0</v>
      </c>
      <c r="H262" s="311">
        <v>0.0</v>
      </c>
      <c r="I262" s="311">
        <v>96.0</v>
      </c>
      <c r="J262" s="311">
        <v>19.2</v>
      </c>
      <c r="K262" s="311">
        <v>96.0</v>
      </c>
      <c r="L262" s="311">
        <v>48.0</v>
      </c>
      <c r="M262" s="885">
        <v>144.0</v>
      </c>
      <c r="N262" s="311">
        <v>48.0</v>
      </c>
      <c r="O262" s="311">
        <v>192.0</v>
      </c>
      <c r="P262" s="311">
        <v>48.0</v>
      </c>
      <c r="Q262" s="311">
        <v>168.0</v>
      </c>
      <c r="R262" s="885">
        <v>24.0</v>
      </c>
      <c r="S262" s="885">
        <v>96.0</v>
      </c>
      <c r="T262" s="311">
        <v>24.0</v>
      </c>
      <c r="U262" s="311">
        <v>115.0</v>
      </c>
      <c r="V262" s="311">
        <v>110.0</v>
      </c>
      <c r="W262" s="311">
        <v>96.0</v>
      </c>
      <c r="X262" s="311">
        <v>24.0</v>
      </c>
      <c r="Y262" s="311">
        <v>384.0</v>
      </c>
      <c r="Z262" s="311">
        <v>48.0</v>
      </c>
      <c r="AA262" s="311">
        <v>67.0</v>
      </c>
      <c r="AB262" s="311">
        <v>72.0</v>
      </c>
      <c r="AC262" s="311">
        <v>427.0</v>
      </c>
      <c r="AD262" s="311">
        <v>331.0</v>
      </c>
      <c r="AE262" s="311">
        <v>0.0</v>
      </c>
      <c r="AF262" s="311">
        <v>96.0</v>
      </c>
      <c r="AG262" s="350">
        <f t="shared" ref="AG262:AG267" si="84">SUM(B262:AF262)</f>
        <v>3133.2</v>
      </c>
    </row>
    <row r="263">
      <c r="A263" s="876" t="s">
        <v>769</v>
      </c>
      <c r="B263" s="885">
        <v>0.0</v>
      </c>
      <c r="C263" s="890">
        <v>0.0</v>
      </c>
      <c r="D263" s="885">
        <v>0.0</v>
      </c>
      <c r="E263" s="890">
        <v>0.0</v>
      </c>
      <c r="F263" s="885">
        <v>0.0</v>
      </c>
      <c r="G263" s="885">
        <v>0.0</v>
      </c>
      <c r="H263" s="311">
        <v>0.0</v>
      </c>
      <c r="I263" s="311">
        <v>0.0</v>
      </c>
      <c r="J263" s="311">
        <v>0.0</v>
      </c>
      <c r="K263" s="311">
        <v>0.0</v>
      </c>
      <c r="L263" s="311">
        <v>0.0</v>
      </c>
      <c r="M263" s="885">
        <v>0.0</v>
      </c>
      <c r="N263" s="311">
        <v>0.0</v>
      </c>
      <c r="O263" s="311">
        <v>0.0</v>
      </c>
      <c r="P263" s="311">
        <v>0.0</v>
      </c>
      <c r="Q263" s="311">
        <v>0.0</v>
      </c>
      <c r="R263" s="885">
        <v>0.0</v>
      </c>
      <c r="S263" s="885">
        <v>0.0</v>
      </c>
      <c r="T263" s="311">
        <v>0.0</v>
      </c>
      <c r="U263" s="311">
        <v>0.0</v>
      </c>
      <c r="V263" s="311">
        <v>0.0</v>
      </c>
      <c r="W263" s="311">
        <v>0.0</v>
      </c>
      <c r="X263" s="311">
        <v>0.0</v>
      </c>
      <c r="Y263" s="311">
        <v>0.0</v>
      </c>
      <c r="Z263" s="311">
        <v>0.0</v>
      </c>
      <c r="AA263" s="311">
        <v>0.0</v>
      </c>
      <c r="AB263" s="311">
        <v>0.0</v>
      </c>
      <c r="AC263" s="311">
        <v>0.0</v>
      </c>
      <c r="AD263" s="311">
        <v>0.0</v>
      </c>
      <c r="AE263" s="311">
        <v>0.0</v>
      </c>
      <c r="AF263" s="311">
        <v>0.0</v>
      </c>
      <c r="AG263" s="350">
        <f t="shared" si="84"/>
        <v>0</v>
      </c>
    </row>
    <row r="264">
      <c r="A264" s="876" t="s">
        <v>770</v>
      </c>
      <c r="B264" s="885">
        <v>28.0</v>
      </c>
      <c r="C264" s="889">
        <v>0.0</v>
      </c>
      <c r="D264" s="885">
        <v>14.0</v>
      </c>
      <c r="E264" s="889">
        <v>28.0</v>
      </c>
      <c r="F264" s="885">
        <v>28.0</v>
      </c>
      <c r="G264" s="885">
        <v>56.0</v>
      </c>
      <c r="H264" s="311">
        <v>0.0</v>
      </c>
      <c r="I264" s="311">
        <v>28.0</v>
      </c>
      <c r="J264" s="311">
        <v>0.0</v>
      </c>
      <c r="K264" s="311">
        <v>28.0</v>
      </c>
      <c r="L264" s="311">
        <v>14.0</v>
      </c>
      <c r="M264" s="885">
        <v>0.0</v>
      </c>
      <c r="N264" s="311">
        <v>14.0</v>
      </c>
      <c r="O264" s="311">
        <v>14.0</v>
      </c>
      <c r="P264" s="311">
        <v>42.0</v>
      </c>
      <c r="Q264" s="311">
        <v>28.0</v>
      </c>
      <c r="R264" s="885">
        <v>14.0</v>
      </c>
      <c r="S264" s="885">
        <v>14.0</v>
      </c>
      <c r="T264" s="311">
        <v>14.0</v>
      </c>
      <c r="U264" s="311">
        <v>14.0</v>
      </c>
      <c r="V264" s="311">
        <v>28.0</v>
      </c>
      <c r="W264" s="891">
        <v>14.0</v>
      </c>
      <c r="X264" s="311">
        <v>42.0</v>
      </c>
      <c r="Y264" s="311">
        <v>67.0</v>
      </c>
      <c r="Z264" s="311">
        <v>14.0</v>
      </c>
      <c r="AA264" s="311">
        <v>28.0</v>
      </c>
      <c r="AB264" s="311">
        <v>29.0</v>
      </c>
      <c r="AC264" s="311">
        <v>336.0</v>
      </c>
      <c r="AD264" s="311">
        <v>488.0</v>
      </c>
      <c r="AE264" s="311">
        <v>14.0</v>
      </c>
      <c r="AF264" s="311">
        <v>14.0</v>
      </c>
      <c r="AG264" s="350">
        <f t="shared" si="84"/>
        <v>1452</v>
      </c>
    </row>
    <row r="265">
      <c r="A265" s="876" t="s">
        <v>771</v>
      </c>
      <c r="B265" s="885">
        <v>58.0</v>
      </c>
      <c r="C265" s="889">
        <v>58.0</v>
      </c>
      <c r="D265" s="885">
        <v>0.0</v>
      </c>
      <c r="E265" s="889">
        <v>87.0</v>
      </c>
      <c r="F265" s="885">
        <v>116.0</v>
      </c>
      <c r="G265" s="885">
        <v>116.0</v>
      </c>
      <c r="H265" s="311">
        <v>29.0</v>
      </c>
      <c r="I265" s="311">
        <v>58.0</v>
      </c>
      <c r="J265" s="311">
        <v>0.0</v>
      </c>
      <c r="K265" s="311">
        <v>87.0</v>
      </c>
      <c r="L265" s="311">
        <v>58.0</v>
      </c>
      <c r="M265" s="885">
        <v>87.0</v>
      </c>
      <c r="N265" s="311">
        <v>0.0</v>
      </c>
      <c r="O265" s="311">
        <v>29.0</v>
      </c>
      <c r="P265" s="311">
        <v>87.0</v>
      </c>
      <c r="Q265" s="311">
        <v>87.0</v>
      </c>
      <c r="R265" s="885">
        <v>29.0</v>
      </c>
      <c r="S265" s="885">
        <v>0.0</v>
      </c>
      <c r="T265" s="311">
        <v>0.0</v>
      </c>
      <c r="U265" s="311">
        <v>25.0</v>
      </c>
      <c r="V265" s="311">
        <v>62.0</v>
      </c>
      <c r="W265" s="311">
        <v>29.0</v>
      </c>
      <c r="X265" s="311">
        <v>29.0</v>
      </c>
      <c r="Y265" s="311">
        <v>67.0</v>
      </c>
      <c r="Z265" s="311">
        <v>29.0</v>
      </c>
      <c r="AA265" s="311">
        <v>29.0</v>
      </c>
      <c r="AB265" s="311">
        <v>0.0</v>
      </c>
      <c r="AC265" s="311">
        <v>379.0</v>
      </c>
      <c r="AD265" s="311">
        <v>0.0</v>
      </c>
      <c r="AE265" s="311">
        <v>0.0</v>
      </c>
      <c r="AF265" s="311">
        <v>0.0</v>
      </c>
      <c r="AG265" s="350">
        <f t="shared" si="84"/>
        <v>1635</v>
      </c>
    </row>
    <row r="266">
      <c r="A266" s="876" t="s">
        <v>772</v>
      </c>
      <c r="B266" s="885">
        <v>0.0</v>
      </c>
      <c r="C266" s="889">
        <v>70.0</v>
      </c>
      <c r="D266" s="885">
        <v>210.0</v>
      </c>
      <c r="E266" s="889">
        <v>189.0</v>
      </c>
      <c r="F266" s="885">
        <v>0.0</v>
      </c>
      <c r="G266" s="885">
        <v>0.0</v>
      </c>
      <c r="H266" s="311">
        <v>70.0</v>
      </c>
      <c r="I266" s="311">
        <v>329.0</v>
      </c>
      <c r="J266" s="311">
        <v>210.0</v>
      </c>
      <c r="K266" s="311">
        <v>140.0</v>
      </c>
      <c r="L266" s="311">
        <v>140.0</v>
      </c>
      <c r="M266" s="885">
        <v>350.0</v>
      </c>
      <c r="N266" s="311">
        <v>0.0</v>
      </c>
      <c r="O266" s="311">
        <v>70.0</v>
      </c>
      <c r="P266" s="311">
        <v>60.0</v>
      </c>
      <c r="Q266" s="311">
        <v>70.0</v>
      </c>
      <c r="R266" s="885">
        <v>0.0</v>
      </c>
      <c r="S266" s="885">
        <v>70.0</v>
      </c>
      <c r="T266" s="311">
        <v>70.0</v>
      </c>
      <c r="U266" s="311">
        <v>189.0</v>
      </c>
      <c r="V266" s="311">
        <v>70.0</v>
      </c>
      <c r="W266" s="311">
        <v>140.0</v>
      </c>
      <c r="X266" s="311">
        <v>0.0</v>
      </c>
      <c r="Y266" s="311">
        <v>0.0</v>
      </c>
      <c r="Z266" s="311">
        <v>280.0</v>
      </c>
      <c r="AA266" s="311">
        <v>0.0</v>
      </c>
      <c r="AB266" s="311">
        <v>0.0</v>
      </c>
      <c r="AC266" s="311">
        <v>140.0</v>
      </c>
      <c r="AD266" s="311">
        <v>280.0</v>
      </c>
      <c r="AE266" s="311">
        <v>70.0</v>
      </c>
      <c r="AF266" s="311">
        <v>70.0</v>
      </c>
      <c r="AG266" s="350">
        <f t="shared" si="84"/>
        <v>3287</v>
      </c>
    </row>
    <row r="267">
      <c r="A267" s="893" t="s">
        <v>151</v>
      </c>
      <c r="B267" s="888">
        <f t="shared" ref="B267:AF267" si="85">SUM(B262:B266)</f>
        <v>158</v>
      </c>
      <c r="C267" s="888">
        <f t="shared" si="85"/>
        <v>152</v>
      </c>
      <c r="D267" s="888">
        <f t="shared" si="85"/>
        <v>248</v>
      </c>
      <c r="E267" s="888">
        <f t="shared" si="85"/>
        <v>328</v>
      </c>
      <c r="F267" s="888">
        <f t="shared" si="85"/>
        <v>240</v>
      </c>
      <c r="G267" s="888">
        <f t="shared" si="85"/>
        <v>292</v>
      </c>
      <c r="H267" s="888">
        <f t="shared" si="85"/>
        <v>99</v>
      </c>
      <c r="I267" s="888">
        <f t="shared" si="85"/>
        <v>511</v>
      </c>
      <c r="J267" s="888">
        <f t="shared" si="85"/>
        <v>229.2</v>
      </c>
      <c r="K267" s="888">
        <f t="shared" si="85"/>
        <v>351</v>
      </c>
      <c r="L267" s="888">
        <f t="shared" si="85"/>
        <v>260</v>
      </c>
      <c r="M267" s="888">
        <f t="shared" si="85"/>
        <v>581</v>
      </c>
      <c r="N267" s="888">
        <f t="shared" si="85"/>
        <v>62</v>
      </c>
      <c r="O267" s="888">
        <f t="shared" si="85"/>
        <v>305</v>
      </c>
      <c r="P267" s="888">
        <f t="shared" si="85"/>
        <v>237</v>
      </c>
      <c r="Q267" s="888">
        <f t="shared" si="85"/>
        <v>353</v>
      </c>
      <c r="R267" s="888">
        <f t="shared" si="85"/>
        <v>67</v>
      </c>
      <c r="S267" s="888">
        <f t="shared" si="85"/>
        <v>180</v>
      </c>
      <c r="T267" s="888">
        <f t="shared" si="85"/>
        <v>108</v>
      </c>
      <c r="U267" s="888">
        <f t="shared" si="85"/>
        <v>343</v>
      </c>
      <c r="V267" s="888">
        <f t="shared" si="85"/>
        <v>270</v>
      </c>
      <c r="W267" s="888">
        <f t="shared" si="85"/>
        <v>279</v>
      </c>
      <c r="X267" s="888">
        <f t="shared" si="85"/>
        <v>95</v>
      </c>
      <c r="Y267" s="888">
        <f t="shared" si="85"/>
        <v>518</v>
      </c>
      <c r="Z267" s="888">
        <f t="shared" si="85"/>
        <v>371</v>
      </c>
      <c r="AA267" s="888">
        <f t="shared" si="85"/>
        <v>124</v>
      </c>
      <c r="AB267" s="888">
        <f t="shared" si="85"/>
        <v>101</v>
      </c>
      <c r="AC267" s="888">
        <f t="shared" si="85"/>
        <v>1282</v>
      </c>
      <c r="AD267" s="888">
        <f t="shared" si="85"/>
        <v>1099</v>
      </c>
      <c r="AE267" s="888">
        <f t="shared" si="85"/>
        <v>84</v>
      </c>
      <c r="AF267" s="888">
        <f t="shared" si="85"/>
        <v>180</v>
      </c>
      <c r="AG267" s="350">
        <f t="shared" si="84"/>
        <v>9507.2</v>
      </c>
    </row>
    <row r="268">
      <c r="A268" s="42"/>
      <c r="B268" s="326"/>
      <c r="C268" s="326"/>
      <c r="D268" s="326"/>
      <c r="E268" s="326"/>
      <c r="F268" s="326"/>
      <c r="G268" s="326"/>
      <c r="H268" s="326"/>
      <c r="I268" s="326"/>
      <c r="J268" s="326"/>
      <c r="K268" s="326"/>
      <c r="L268" s="326"/>
      <c r="M268" s="326"/>
      <c r="N268" s="326"/>
      <c r="O268" s="326"/>
      <c r="P268" s="326"/>
      <c r="Q268" s="326"/>
      <c r="R268" s="326"/>
      <c r="S268" s="326"/>
      <c r="T268" s="326"/>
      <c r="U268" s="326"/>
      <c r="V268" s="326"/>
      <c r="W268" s="326"/>
      <c r="X268" s="326"/>
      <c r="Y268" s="326"/>
      <c r="Z268" s="326"/>
      <c r="AA268" s="326"/>
      <c r="AB268" s="326"/>
      <c r="AC268" s="326"/>
      <c r="AD268" s="326"/>
      <c r="AE268" s="326"/>
      <c r="AF268" s="326"/>
      <c r="AG268" s="350"/>
    </row>
    <row r="269">
      <c r="A269" s="876" t="s">
        <v>774</v>
      </c>
      <c r="B269" s="103"/>
      <c r="C269" s="138"/>
      <c r="D269" s="103"/>
      <c r="E269" s="138"/>
      <c r="F269" s="138"/>
      <c r="G269" s="138"/>
      <c r="H269" s="138"/>
      <c r="I269" s="138"/>
      <c r="J269" s="103"/>
      <c r="K269" s="103"/>
      <c r="L269" s="103"/>
      <c r="M269" s="103"/>
      <c r="N269" s="103"/>
      <c r="O269" s="103"/>
      <c r="P269" s="103"/>
      <c r="Q269" s="103"/>
      <c r="R269" s="103"/>
      <c r="S269" s="103"/>
      <c r="T269" s="103"/>
      <c r="U269" s="103"/>
      <c r="V269" s="103"/>
      <c r="W269" s="103"/>
      <c r="X269" s="103"/>
      <c r="Y269" s="103"/>
      <c r="Z269" s="103"/>
      <c r="AA269" s="103"/>
      <c r="AB269" s="103"/>
      <c r="AC269" s="103"/>
      <c r="AD269" s="103"/>
      <c r="AE269" s="103"/>
      <c r="AF269" s="103"/>
      <c r="AG269" s="350">
        <f t="shared" ref="AG269:AG274" si="86">SUM(B269:AF269)</f>
        <v>0</v>
      </c>
    </row>
    <row r="270">
      <c r="A270" s="876" t="s">
        <v>775</v>
      </c>
      <c r="B270" s="103"/>
      <c r="C270" s="103"/>
      <c r="D270" s="138"/>
      <c r="E270" s="138"/>
      <c r="F270" s="138"/>
      <c r="G270" s="138"/>
      <c r="H270" s="138"/>
      <c r="I270" s="138"/>
      <c r="J270" s="103"/>
      <c r="K270" s="103"/>
      <c r="L270" s="103"/>
      <c r="M270" s="103"/>
      <c r="N270" s="103"/>
      <c r="O270" s="103"/>
      <c r="P270" s="103"/>
      <c r="Q270" s="103"/>
      <c r="R270" s="103"/>
      <c r="S270" s="103"/>
      <c r="T270" s="103"/>
      <c r="U270" s="103"/>
      <c r="V270" s="103"/>
      <c r="W270" s="103"/>
      <c r="X270" s="103"/>
      <c r="Y270" s="103"/>
      <c r="Z270" s="103"/>
      <c r="AA270" s="103"/>
      <c r="AB270" s="103"/>
      <c r="AC270" s="103"/>
      <c r="AD270" s="103"/>
      <c r="AE270" s="103"/>
      <c r="AF270" s="103"/>
      <c r="AG270" s="350">
        <f t="shared" si="86"/>
        <v>0</v>
      </c>
    </row>
    <row r="271">
      <c r="A271" s="876" t="s">
        <v>776</v>
      </c>
      <c r="B271" s="103"/>
      <c r="C271" s="138"/>
      <c r="D271" s="103"/>
      <c r="E271" s="138"/>
      <c r="F271" s="138"/>
      <c r="G271" s="138"/>
      <c r="H271" s="138"/>
      <c r="I271" s="138"/>
      <c r="J271" s="103"/>
      <c r="K271" s="103"/>
      <c r="L271" s="103"/>
      <c r="M271" s="103"/>
      <c r="N271" s="103"/>
      <c r="O271" s="103"/>
      <c r="P271" s="103"/>
      <c r="Q271" s="103"/>
      <c r="R271" s="103"/>
      <c r="S271" s="103"/>
      <c r="T271" s="103"/>
      <c r="U271" s="103"/>
      <c r="V271" s="103"/>
      <c r="W271" s="103"/>
      <c r="X271" s="103"/>
      <c r="Y271" s="103"/>
      <c r="Z271" s="103"/>
      <c r="AA271" s="103"/>
      <c r="AB271" s="103"/>
      <c r="AC271" s="103"/>
      <c r="AD271" s="103"/>
      <c r="AE271" s="103"/>
      <c r="AF271" s="103"/>
      <c r="AG271" s="350">
        <f t="shared" si="86"/>
        <v>0</v>
      </c>
    </row>
    <row r="272">
      <c r="A272" s="876" t="s">
        <v>777</v>
      </c>
      <c r="B272" s="103"/>
      <c r="C272" s="138"/>
      <c r="D272" s="103"/>
      <c r="E272" s="138"/>
      <c r="F272" s="138"/>
      <c r="G272" s="138"/>
      <c r="H272" s="138"/>
      <c r="I272" s="138"/>
      <c r="J272" s="103"/>
      <c r="K272" s="103"/>
      <c r="L272" s="103"/>
      <c r="M272" s="103"/>
      <c r="N272" s="103"/>
      <c r="O272" s="103"/>
      <c r="P272" s="103"/>
      <c r="Q272" s="103"/>
      <c r="R272" s="103"/>
      <c r="S272" s="103"/>
      <c r="T272" s="103"/>
      <c r="U272" s="103"/>
      <c r="V272" s="103"/>
      <c r="W272" s="103"/>
      <c r="X272" s="103"/>
      <c r="Y272" s="103"/>
      <c r="Z272" s="103"/>
      <c r="AA272" s="103"/>
      <c r="AB272" s="103"/>
      <c r="AC272" s="103"/>
      <c r="AD272" s="103"/>
      <c r="AE272" s="103"/>
      <c r="AF272" s="103"/>
      <c r="AG272" s="350">
        <f t="shared" si="86"/>
        <v>0</v>
      </c>
    </row>
    <row r="273">
      <c r="A273" s="876" t="s">
        <v>778</v>
      </c>
      <c r="B273" s="138">
        <v>70.0</v>
      </c>
      <c r="C273" s="103"/>
      <c r="D273" s="103"/>
      <c r="E273" s="138"/>
      <c r="F273" s="138"/>
      <c r="G273" s="138"/>
      <c r="H273" s="138"/>
      <c r="I273" s="138"/>
      <c r="J273" s="103"/>
      <c r="K273" s="103"/>
      <c r="L273" s="103"/>
      <c r="M273" s="103"/>
      <c r="N273" s="103"/>
      <c r="O273" s="103"/>
      <c r="P273" s="103"/>
      <c r="Q273" s="103"/>
      <c r="R273" s="103"/>
      <c r="S273" s="103"/>
      <c r="T273" s="103"/>
      <c r="U273" s="103"/>
      <c r="V273" s="103"/>
      <c r="W273" s="138"/>
      <c r="X273" s="103"/>
      <c r="Y273" s="103"/>
      <c r="Z273" s="103"/>
      <c r="AA273" s="103"/>
      <c r="AB273" s="103"/>
      <c r="AC273" s="103"/>
      <c r="AD273" s="103"/>
      <c r="AE273" s="103"/>
      <c r="AF273" s="103"/>
      <c r="AG273" s="350">
        <f t="shared" si="86"/>
        <v>70</v>
      </c>
    </row>
    <row r="274">
      <c r="A274" s="893" t="s">
        <v>151</v>
      </c>
      <c r="B274" s="888">
        <f t="shared" ref="B274:AF274" si="87">SUM(B269:B273)</f>
        <v>70</v>
      </c>
      <c r="C274" s="888">
        <f t="shared" si="87"/>
        <v>0</v>
      </c>
      <c r="D274" s="888">
        <f t="shared" si="87"/>
        <v>0</v>
      </c>
      <c r="E274" s="888">
        <f t="shared" si="87"/>
        <v>0</v>
      </c>
      <c r="F274" s="888">
        <f t="shared" si="87"/>
        <v>0</v>
      </c>
      <c r="G274" s="888">
        <f t="shared" si="87"/>
        <v>0</v>
      </c>
      <c r="H274" s="888">
        <f t="shared" si="87"/>
        <v>0</v>
      </c>
      <c r="I274" s="888">
        <f t="shared" si="87"/>
        <v>0</v>
      </c>
      <c r="J274" s="888">
        <f t="shared" si="87"/>
        <v>0</v>
      </c>
      <c r="K274" s="888">
        <f t="shared" si="87"/>
        <v>0</v>
      </c>
      <c r="L274" s="888">
        <f t="shared" si="87"/>
        <v>0</v>
      </c>
      <c r="M274" s="888">
        <f t="shared" si="87"/>
        <v>0</v>
      </c>
      <c r="N274" s="888">
        <f t="shared" si="87"/>
        <v>0</v>
      </c>
      <c r="O274" s="888">
        <f t="shared" si="87"/>
        <v>0</v>
      </c>
      <c r="P274" s="888">
        <f t="shared" si="87"/>
        <v>0</v>
      </c>
      <c r="Q274" s="888">
        <f t="shared" si="87"/>
        <v>0</v>
      </c>
      <c r="R274" s="888">
        <f t="shared" si="87"/>
        <v>0</v>
      </c>
      <c r="S274" s="888">
        <f t="shared" si="87"/>
        <v>0</v>
      </c>
      <c r="T274" s="888">
        <f t="shared" si="87"/>
        <v>0</v>
      </c>
      <c r="U274" s="888">
        <f t="shared" si="87"/>
        <v>0</v>
      </c>
      <c r="V274" s="888">
        <f t="shared" si="87"/>
        <v>0</v>
      </c>
      <c r="W274" s="888">
        <f t="shared" si="87"/>
        <v>0</v>
      </c>
      <c r="X274" s="888">
        <f t="shared" si="87"/>
        <v>0</v>
      </c>
      <c r="Y274" s="888">
        <f t="shared" si="87"/>
        <v>0</v>
      </c>
      <c r="Z274" s="888">
        <f t="shared" si="87"/>
        <v>0</v>
      </c>
      <c r="AA274" s="888">
        <f t="shared" si="87"/>
        <v>0</v>
      </c>
      <c r="AB274" s="888">
        <f t="shared" si="87"/>
        <v>0</v>
      </c>
      <c r="AC274" s="888">
        <f t="shared" si="87"/>
        <v>0</v>
      </c>
      <c r="AD274" s="888">
        <f t="shared" si="87"/>
        <v>0</v>
      </c>
      <c r="AE274" s="888">
        <f t="shared" si="87"/>
        <v>0</v>
      </c>
      <c r="AF274" s="888">
        <f t="shared" si="87"/>
        <v>0</v>
      </c>
      <c r="AG274" s="350">
        <f t="shared" si="86"/>
        <v>70</v>
      </c>
    </row>
    <row r="275">
      <c r="A275" s="835"/>
      <c r="AG275" s="350"/>
    </row>
    <row r="276">
      <c r="A276" s="876" t="s">
        <v>782</v>
      </c>
      <c r="B276" s="103"/>
      <c r="C276" s="103"/>
      <c r="D276" s="103"/>
      <c r="E276" s="103"/>
      <c r="F276" s="103"/>
      <c r="G276" s="103"/>
      <c r="H276" s="103"/>
      <c r="I276" s="103"/>
      <c r="J276" s="103"/>
      <c r="K276" s="103"/>
      <c r="L276" s="103"/>
      <c r="M276" s="138"/>
      <c r="N276" s="138"/>
      <c r="O276" s="138"/>
      <c r="P276" s="138"/>
      <c r="Q276" s="138"/>
      <c r="R276" s="138"/>
      <c r="S276" s="140"/>
      <c r="T276" s="138"/>
      <c r="U276" s="140"/>
      <c r="V276" s="103"/>
      <c r="W276" s="103"/>
      <c r="X276" s="140"/>
      <c r="Y276" s="103"/>
      <c r="Z276" s="103"/>
      <c r="AA276" s="103"/>
      <c r="AB276" s="103"/>
      <c r="AC276" s="103"/>
      <c r="AD276" s="103"/>
      <c r="AE276" s="103"/>
      <c r="AF276" s="103"/>
      <c r="AG276" s="350">
        <f t="shared" ref="AG276:AG278" si="88">SUM(B276:AF276)</f>
        <v>0</v>
      </c>
    </row>
    <row r="277">
      <c r="A277" s="876" t="s">
        <v>783</v>
      </c>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c r="AB277" s="103"/>
      <c r="AC277" s="103"/>
      <c r="AD277" s="103"/>
      <c r="AE277" s="103"/>
      <c r="AF277" s="103"/>
      <c r="AG277" s="350">
        <f t="shared" si="88"/>
        <v>0</v>
      </c>
    </row>
    <row r="278">
      <c r="A278" s="893" t="s">
        <v>151</v>
      </c>
      <c r="B278" s="888">
        <f t="shared" ref="B278:AF278" si="89">SUM(B276:B277)</f>
        <v>0</v>
      </c>
      <c r="C278" s="888">
        <f t="shared" si="89"/>
        <v>0</v>
      </c>
      <c r="D278" s="888">
        <f t="shared" si="89"/>
        <v>0</v>
      </c>
      <c r="E278" s="888">
        <f t="shared" si="89"/>
        <v>0</v>
      </c>
      <c r="F278" s="888">
        <f t="shared" si="89"/>
        <v>0</v>
      </c>
      <c r="G278" s="888">
        <f t="shared" si="89"/>
        <v>0</v>
      </c>
      <c r="H278" s="888">
        <f t="shared" si="89"/>
        <v>0</v>
      </c>
      <c r="I278" s="888">
        <f t="shared" si="89"/>
        <v>0</v>
      </c>
      <c r="J278" s="888">
        <f t="shared" si="89"/>
        <v>0</v>
      </c>
      <c r="K278" s="888">
        <f t="shared" si="89"/>
        <v>0</v>
      </c>
      <c r="L278" s="888">
        <f t="shared" si="89"/>
        <v>0</v>
      </c>
      <c r="M278" s="888">
        <f t="shared" si="89"/>
        <v>0</v>
      </c>
      <c r="N278" s="888">
        <f t="shared" si="89"/>
        <v>0</v>
      </c>
      <c r="O278" s="888">
        <f t="shared" si="89"/>
        <v>0</v>
      </c>
      <c r="P278" s="888">
        <f t="shared" si="89"/>
        <v>0</v>
      </c>
      <c r="Q278" s="888">
        <f t="shared" si="89"/>
        <v>0</v>
      </c>
      <c r="R278" s="888">
        <f t="shared" si="89"/>
        <v>0</v>
      </c>
      <c r="S278" s="888">
        <f t="shared" si="89"/>
        <v>0</v>
      </c>
      <c r="T278" s="888">
        <f t="shared" si="89"/>
        <v>0</v>
      </c>
      <c r="U278" s="888">
        <f t="shared" si="89"/>
        <v>0</v>
      </c>
      <c r="V278" s="888">
        <f t="shared" si="89"/>
        <v>0</v>
      </c>
      <c r="W278" s="888">
        <f t="shared" si="89"/>
        <v>0</v>
      </c>
      <c r="X278" s="888">
        <f t="shared" si="89"/>
        <v>0</v>
      </c>
      <c r="Y278" s="888">
        <f t="shared" si="89"/>
        <v>0</v>
      </c>
      <c r="Z278" s="888">
        <f t="shared" si="89"/>
        <v>0</v>
      </c>
      <c r="AA278" s="888">
        <f t="shared" si="89"/>
        <v>0</v>
      </c>
      <c r="AB278" s="888">
        <f t="shared" si="89"/>
        <v>0</v>
      </c>
      <c r="AC278" s="888">
        <f t="shared" si="89"/>
        <v>0</v>
      </c>
      <c r="AD278" s="888">
        <f t="shared" si="89"/>
        <v>0</v>
      </c>
      <c r="AE278" s="888">
        <f t="shared" si="89"/>
        <v>0</v>
      </c>
      <c r="AF278" s="888">
        <f t="shared" si="89"/>
        <v>0</v>
      </c>
      <c r="AG278" s="350">
        <f t="shared" si="88"/>
        <v>0</v>
      </c>
    </row>
    <row r="279">
      <c r="A279" s="835"/>
      <c r="AG279" s="11"/>
    </row>
    <row r="280">
      <c r="A280" s="876" t="s">
        <v>730</v>
      </c>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350">
        <f t="shared" ref="AG280:AG282" si="90">SUM(B280:AF280)</f>
        <v>0</v>
      </c>
    </row>
    <row r="281">
      <c r="A281" s="876" t="s">
        <v>732</v>
      </c>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350">
        <f t="shared" si="90"/>
        <v>0</v>
      </c>
    </row>
    <row r="282">
      <c r="A282" s="893" t="s">
        <v>151</v>
      </c>
      <c r="B282" s="888">
        <f t="shared" ref="B282:AF282" si="91">sum(B280:B281)</f>
        <v>0</v>
      </c>
      <c r="C282" s="888">
        <f t="shared" si="91"/>
        <v>0</v>
      </c>
      <c r="D282" s="888">
        <f t="shared" si="91"/>
        <v>0</v>
      </c>
      <c r="E282" s="888">
        <f t="shared" si="91"/>
        <v>0</v>
      </c>
      <c r="F282" s="888">
        <f t="shared" si="91"/>
        <v>0</v>
      </c>
      <c r="G282" s="888">
        <f t="shared" si="91"/>
        <v>0</v>
      </c>
      <c r="H282" s="888">
        <f t="shared" si="91"/>
        <v>0</v>
      </c>
      <c r="I282" s="888">
        <f t="shared" si="91"/>
        <v>0</v>
      </c>
      <c r="J282" s="888">
        <f t="shared" si="91"/>
        <v>0</v>
      </c>
      <c r="K282" s="888">
        <f t="shared" si="91"/>
        <v>0</v>
      </c>
      <c r="L282" s="888">
        <f t="shared" si="91"/>
        <v>0</v>
      </c>
      <c r="M282" s="888">
        <f t="shared" si="91"/>
        <v>0</v>
      </c>
      <c r="N282" s="888">
        <f t="shared" si="91"/>
        <v>0</v>
      </c>
      <c r="O282" s="888">
        <f t="shared" si="91"/>
        <v>0</v>
      </c>
      <c r="P282" s="888">
        <f t="shared" si="91"/>
        <v>0</v>
      </c>
      <c r="Q282" s="888">
        <f t="shared" si="91"/>
        <v>0</v>
      </c>
      <c r="R282" s="888">
        <f t="shared" si="91"/>
        <v>0</v>
      </c>
      <c r="S282" s="888">
        <f t="shared" si="91"/>
        <v>0</v>
      </c>
      <c r="T282" s="888">
        <f t="shared" si="91"/>
        <v>0</v>
      </c>
      <c r="U282" s="888">
        <f t="shared" si="91"/>
        <v>0</v>
      </c>
      <c r="V282" s="888">
        <f t="shared" si="91"/>
        <v>0</v>
      </c>
      <c r="W282" s="888">
        <f t="shared" si="91"/>
        <v>0</v>
      </c>
      <c r="X282" s="888">
        <f t="shared" si="91"/>
        <v>0</v>
      </c>
      <c r="Y282" s="888">
        <f t="shared" si="91"/>
        <v>0</v>
      </c>
      <c r="Z282" s="888">
        <f t="shared" si="91"/>
        <v>0</v>
      </c>
      <c r="AA282" s="888">
        <f t="shared" si="91"/>
        <v>0</v>
      </c>
      <c r="AB282" s="888">
        <f t="shared" si="91"/>
        <v>0</v>
      </c>
      <c r="AC282" s="888">
        <f t="shared" si="91"/>
        <v>0</v>
      </c>
      <c r="AD282" s="888">
        <f t="shared" si="91"/>
        <v>0</v>
      </c>
      <c r="AE282" s="888">
        <f t="shared" si="91"/>
        <v>0</v>
      </c>
      <c r="AF282" s="888">
        <f t="shared" si="91"/>
        <v>0</v>
      </c>
      <c r="AG282" s="350">
        <f t="shared" si="90"/>
        <v>0</v>
      </c>
    </row>
    <row r="283">
      <c r="A283" s="835"/>
      <c r="B283" s="894"/>
      <c r="C283" s="894"/>
      <c r="D283" s="894"/>
      <c r="E283" s="894"/>
      <c r="F283" s="894"/>
      <c r="G283" s="894"/>
      <c r="H283" s="894"/>
      <c r="I283" s="894"/>
      <c r="J283" s="894"/>
      <c r="K283" s="894"/>
      <c r="L283" s="894"/>
      <c r="M283" s="894"/>
      <c r="N283" s="894"/>
      <c r="O283" s="894"/>
      <c r="P283" s="894"/>
      <c r="Q283" s="894"/>
      <c r="R283" s="894"/>
      <c r="S283" s="894"/>
      <c r="T283" s="894"/>
      <c r="U283" s="894"/>
      <c r="V283" s="894"/>
      <c r="W283" s="894"/>
      <c r="X283" s="894"/>
      <c r="Y283" s="894"/>
      <c r="Z283" s="894"/>
      <c r="AA283" s="894"/>
      <c r="AB283" s="894"/>
      <c r="AC283" s="894"/>
      <c r="AD283" s="894"/>
      <c r="AE283" s="894"/>
      <c r="AF283" s="894"/>
      <c r="AG283" s="11"/>
    </row>
    <row r="284">
      <c r="A284" s="876" t="s">
        <v>785</v>
      </c>
      <c r="B284" s="790">
        <v>0.0</v>
      </c>
      <c r="C284" s="311">
        <v>0.0</v>
      </c>
      <c r="D284" s="311">
        <v>0.0</v>
      </c>
      <c r="E284" s="790">
        <v>0.0</v>
      </c>
      <c r="F284" s="790">
        <v>0.0</v>
      </c>
      <c r="G284" s="790">
        <v>0.0</v>
      </c>
      <c r="H284" s="790">
        <v>0.0</v>
      </c>
      <c r="I284" s="790">
        <v>0.0</v>
      </c>
      <c r="J284" s="790">
        <v>0.0</v>
      </c>
      <c r="K284" s="790">
        <v>0.0</v>
      </c>
      <c r="L284" s="790">
        <v>0.0</v>
      </c>
      <c r="M284" s="790">
        <v>0.0</v>
      </c>
      <c r="N284" s="891">
        <v>0.0</v>
      </c>
      <c r="O284" s="790">
        <v>0.0</v>
      </c>
      <c r="P284" s="790">
        <v>0.0</v>
      </c>
      <c r="Q284" s="891">
        <v>0.0</v>
      </c>
      <c r="R284" s="790">
        <v>0.0</v>
      </c>
      <c r="S284" s="790">
        <v>0.0</v>
      </c>
      <c r="T284" s="790">
        <v>0.0</v>
      </c>
      <c r="U284" s="790">
        <v>0.0</v>
      </c>
      <c r="V284" s="790">
        <v>0.0</v>
      </c>
      <c r="W284" s="790">
        <v>0.0</v>
      </c>
      <c r="X284" s="790">
        <v>0.0</v>
      </c>
      <c r="Y284" s="790">
        <v>0.0</v>
      </c>
      <c r="Z284" s="790">
        <v>0.0</v>
      </c>
      <c r="AA284" s="790">
        <v>0.0</v>
      </c>
      <c r="AB284" s="790">
        <v>0.0</v>
      </c>
      <c r="AC284" s="790">
        <v>0.0</v>
      </c>
      <c r="AD284" s="790">
        <v>0.0</v>
      </c>
      <c r="AE284" s="790"/>
      <c r="AF284" s="790"/>
      <c r="AG284" s="350"/>
    </row>
    <row r="285">
      <c r="A285" s="893" t="s">
        <v>786</v>
      </c>
      <c r="B285" s="888">
        <f t="shared" ref="B285:AF285" si="92">B284</f>
        <v>0</v>
      </c>
      <c r="C285" s="888">
        <f t="shared" si="92"/>
        <v>0</v>
      </c>
      <c r="D285" s="888">
        <f t="shared" si="92"/>
        <v>0</v>
      </c>
      <c r="E285" s="888">
        <f t="shared" si="92"/>
        <v>0</v>
      </c>
      <c r="F285" s="888">
        <f t="shared" si="92"/>
        <v>0</v>
      </c>
      <c r="G285" s="888">
        <f t="shared" si="92"/>
        <v>0</v>
      </c>
      <c r="H285" s="888">
        <f t="shared" si="92"/>
        <v>0</v>
      </c>
      <c r="I285" s="888">
        <f t="shared" si="92"/>
        <v>0</v>
      </c>
      <c r="J285" s="888">
        <f t="shared" si="92"/>
        <v>0</v>
      </c>
      <c r="K285" s="888">
        <f t="shared" si="92"/>
        <v>0</v>
      </c>
      <c r="L285" s="888">
        <f t="shared" si="92"/>
        <v>0</v>
      </c>
      <c r="M285" s="888">
        <f t="shared" si="92"/>
        <v>0</v>
      </c>
      <c r="N285" s="888">
        <f t="shared" si="92"/>
        <v>0</v>
      </c>
      <c r="O285" s="888">
        <f t="shared" si="92"/>
        <v>0</v>
      </c>
      <c r="P285" s="888">
        <f t="shared" si="92"/>
        <v>0</v>
      </c>
      <c r="Q285" s="888">
        <f t="shared" si="92"/>
        <v>0</v>
      </c>
      <c r="R285" s="888">
        <f t="shared" si="92"/>
        <v>0</v>
      </c>
      <c r="S285" s="888">
        <f t="shared" si="92"/>
        <v>0</v>
      </c>
      <c r="T285" s="888">
        <f t="shared" si="92"/>
        <v>0</v>
      </c>
      <c r="U285" s="888">
        <f t="shared" si="92"/>
        <v>0</v>
      </c>
      <c r="V285" s="888">
        <f t="shared" si="92"/>
        <v>0</v>
      </c>
      <c r="W285" s="888">
        <f t="shared" si="92"/>
        <v>0</v>
      </c>
      <c r="X285" s="888">
        <f t="shared" si="92"/>
        <v>0</v>
      </c>
      <c r="Y285" s="888">
        <f t="shared" si="92"/>
        <v>0</v>
      </c>
      <c r="Z285" s="888">
        <f t="shared" si="92"/>
        <v>0</v>
      </c>
      <c r="AA285" s="888">
        <f t="shared" si="92"/>
        <v>0</v>
      </c>
      <c r="AB285" s="888">
        <f t="shared" si="92"/>
        <v>0</v>
      </c>
      <c r="AC285" s="888">
        <f t="shared" si="92"/>
        <v>0</v>
      </c>
      <c r="AD285" s="888">
        <f t="shared" si="92"/>
        <v>0</v>
      </c>
      <c r="AE285" s="888" t="str">
        <f t="shared" si="92"/>
        <v/>
      </c>
      <c r="AF285" s="888" t="str">
        <f t="shared" si="92"/>
        <v/>
      </c>
      <c r="AG285" s="350">
        <f>sum(B285:AF285)</f>
        <v>0</v>
      </c>
    </row>
    <row r="286">
      <c r="A286" s="835"/>
      <c r="J286" s="1" t="s">
        <v>236</v>
      </c>
      <c r="AG286" s="11"/>
    </row>
    <row r="287">
      <c r="A287" s="648" t="s">
        <v>820</v>
      </c>
      <c r="B287" s="542"/>
      <c r="C287" s="542"/>
      <c r="D287" s="542"/>
      <c r="E287" s="542"/>
      <c r="F287" s="542"/>
      <c r="G287" s="542"/>
      <c r="H287" s="542"/>
      <c r="I287" s="327"/>
      <c r="J287" s="327"/>
      <c r="K287" s="327"/>
      <c r="L287" s="327"/>
      <c r="M287" s="327"/>
      <c r="N287" s="327"/>
      <c r="O287" s="327"/>
      <c r="P287" s="327"/>
      <c r="Q287" s="327"/>
      <c r="R287" s="327"/>
      <c r="S287" s="327"/>
      <c r="T287" s="327"/>
      <c r="U287" s="327"/>
      <c r="V287" s="327"/>
      <c r="W287" s="327"/>
      <c r="X287" s="327"/>
      <c r="Y287" s="327"/>
      <c r="Z287" s="327"/>
      <c r="AA287" s="327"/>
      <c r="AB287" s="327"/>
      <c r="AC287" s="327"/>
      <c r="AD287" s="327"/>
      <c r="AE287" s="327"/>
      <c r="AF287" s="327"/>
      <c r="AG287" s="11"/>
    </row>
    <row r="288">
      <c r="A288" s="897" t="s">
        <v>752</v>
      </c>
      <c r="B288" s="301">
        <v>0.0</v>
      </c>
      <c r="C288" s="301">
        <v>0.0</v>
      </c>
      <c r="D288" s="301">
        <v>0.0</v>
      </c>
      <c r="E288" s="301">
        <v>0.0</v>
      </c>
      <c r="F288" s="877">
        <v>3.0</v>
      </c>
      <c r="G288" s="301">
        <v>0.0</v>
      </c>
      <c r="H288" s="301">
        <v>0.0</v>
      </c>
      <c r="I288" s="301">
        <v>0.0</v>
      </c>
      <c r="J288" s="301">
        <v>0.0</v>
      </c>
      <c r="K288" s="301">
        <v>1.0</v>
      </c>
      <c r="L288" s="301">
        <v>1.0</v>
      </c>
      <c r="M288" s="301">
        <v>0.0</v>
      </c>
      <c r="N288" s="301">
        <v>0.0</v>
      </c>
      <c r="O288" s="301">
        <v>0.0</v>
      </c>
      <c r="P288" s="301">
        <v>0.0</v>
      </c>
      <c r="Q288" s="301">
        <v>0.0</v>
      </c>
      <c r="R288" s="301">
        <v>2.0</v>
      </c>
      <c r="S288" s="877">
        <v>0.0</v>
      </c>
      <c r="T288" s="877">
        <v>0.0</v>
      </c>
      <c r="U288" s="301">
        <v>0.0</v>
      </c>
      <c r="V288" s="301">
        <v>0.0</v>
      </c>
      <c r="W288" s="877">
        <v>0.0</v>
      </c>
      <c r="X288" s="877">
        <v>0.0</v>
      </c>
      <c r="Y288" s="301">
        <v>2.0</v>
      </c>
      <c r="Z288" s="301">
        <v>2.0</v>
      </c>
      <c r="AA288" s="301">
        <v>0.0</v>
      </c>
      <c r="AB288" s="301">
        <v>0.0</v>
      </c>
      <c r="AC288" s="301">
        <v>1.0</v>
      </c>
      <c r="AD288" s="301">
        <v>0.0</v>
      </c>
      <c r="AE288" s="301">
        <v>1.0</v>
      </c>
      <c r="AF288" s="301">
        <v>3.0</v>
      </c>
      <c r="AG288" s="768">
        <f t="shared" ref="AG288:AG295" si="93">SUM(B288:AF288)</f>
        <v>16</v>
      </c>
    </row>
    <row r="289">
      <c r="A289" s="897" t="s">
        <v>753</v>
      </c>
      <c r="B289" s="808">
        <v>0.0</v>
      </c>
      <c r="C289" s="808">
        <v>0.0</v>
      </c>
      <c r="D289" s="808">
        <v>0.0</v>
      </c>
      <c r="E289" s="808">
        <v>0.0</v>
      </c>
      <c r="F289" s="877">
        <v>1.0</v>
      </c>
      <c r="G289" s="301">
        <v>1.0</v>
      </c>
      <c r="H289" s="301">
        <v>0.0</v>
      </c>
      <c r="I289" s="301">
        <v>0.0</v>
      </c>
      <c r="J289" s="301">
        <v>0.0</v>
      </c>
      <c r="K289" s="301">
        <v>1.0</v>
      </c>
      <c r="L289" s="301">
        <v>0.0</v>
      </c>
      <c r="M289" s="301">
        <v>0.0</v>
      </c>
      <c r="N289" s="301">
        <v>0.0</v>
      </c>
      <c r="O289" s="301">
        <v>0.0</v>
      </c>
      <c r="P289" s="301">
        <v>0.0</v>
      </c>
      <c r="Q289" s="301">
        <v>0.0</v>
      </c>
      <c r="R289" s="301">
        <v>0.0</v>
      </c>
      <c r="S289" s="877">
        <v>1.0</v>
      </c>
      <c r="T289" s="877">
        <v>0.0</v>
      </c>
      <c r="U289" s="301">
        <v>1.0</v>
      </c>
      <c r="V289" s="301">
        <v>1.0</v>
      </c>
      <c r="W289" s="877">
        <v>0.0</v>
      </c>
      <c r="X289" s="877">
        <v>1.0</v>
      </c>
      <c r="Y289" s="301">
        <v>3.0</v>
      </c>
      <c r="Z289" s="301">
        <v>0.0</v>
      </c>
      <c r="AA289" s="301">
        <v>1.0</v>
      </c>
      <c r="AB289" s="301">
        <v>1.0</v>
      </c>
      <c r="AC289" s="301">
        <v>2.0</v>
      </c>
      <c r="AD289" s="301">
        <v>0.0</v>
      </c>
      <c r="AE289" s="301">
        <v>2.0</v>
      </c>
      <c r="AF289" s="301">
        <v>2.0</v>
      </c>
      <c r="AG289" s="768">
        <f t="shared" si="93"/>
        <v>18</v>
      </c>
    </row>
    <row r="290">
      <c r="A290" s="897" t="s">
        <v>754</v>
      </c>
      <c r="B290" s="301">
        <v>0.0</v>
      </c>
      <c r="C290" s="301">
        <v>0.0</v>
      </c>
      <c r="D290" s="301">
        <v>0.0</v>
      </c>
      <c r="E290" s="301">
        <v>0.0</v>
      </c>
      <c r="F290" s="877">
        <v>0.0</v>
      </c>
      <c r="G290" s="301">
        <v>1.0</v>
      </c>
      <c r="H290" s="301">
        <v>0.0</v>
      </c>
      <c r="I290" s="301">
        <v>0.0</v>
      </c>
      <c r="J290" s="301">
        <v>0.0</v>
      </c>
      <c r="K290" s="301">
        <v>0.0</v>
      </c>
      <c r="L290" s="301">
        <v>0.0</v>
      </c>
      <c r="M290" s="301">
        <v>0.0</v>
      </c>
      <c r="N290" s="301">
        <v>0.0</v>
      </c>
      <c r="O290" s="301">
        <v>0.0</v>
      </c>
      <c r="P290" s="301">
        <v>0.0</v>
      </c>
      <c r="Q290" s="301">
        <v>0.0</v>
      </c>
      <c r="R290" s="301">
        <v>0.0</v>
      </c>
      <c r="S290" s="877">
        <v>0.0</v>
      </c>
      <c r="T290" s="877">
        <v>0.0</v>
      </c>
      <c r="U290" s="301">
        <v>0.0</v>
      </c>
      <c r="V290" s="301">
        <v>0.0</v>
      </c>
      <c r="W290" s="877">
        <v>0.0</v>
      </c>
      <c r="X290" s="877">
        <v>0.0</v>
      </c>
      <c r="Y290" s="301">
        <v>0.0</v>
      </c>
      <c r="Z290" s="301">
        <v>0.0</v>
      </c>
      <c r="AA290" s="301">
        <v>0.0</v>
      </c>
      <c r="AB290" s="301">
        <v>0.0</v>
      </c>
      <c r="AC290" s="301">
        <v>0.0</v>
      </c>
      <c r="AD290" s="301">
        <v>0.0</v>
      </c>
      <c r="AE290" s="301">
        <v>0.0</v>
      </c>
      <c r="AF290" s="301">
        <v>0.0</v>
      </c>
      <c r="AG290" s="768">
        <f t="shared" si="93"/>
        <v>1</v>
      </c>
    </row>
    <row r="291">
      <c r="A291" s="897" t="s">
        <v>755</v>
      </c>
      <c r="B291" s="301">
        <v>0.0</v>
      </c>
      <c r="C291" s="301">
        <v>0.0</v>
      </c>
      <c r="D291" s="301">
        <v>0.0</v>
      </c>
      <c r="E291" s="301">
        <v>0.0</v>
      </c>
      <c r="F291" s="877">
        <v>0.0</v>
      </c>
      <c r="G291" s="301">
        <v>1.0</v>
      </c>
      <c r="H291" s="301">
        <v>0.0</v>
      </c>
      <c r="I291" s="301">
        <v>0.0</v>
      </c>
      <c r="J291" s="301">
        <v>0.0</v>
      </c>
      <c r="K291" s="301">
        <v>0.0</v>
      </c>
      <c r="L291" s="301">
        <v>0.0</v>
      </c>
      <c r="M291" s="301">
        <v>0.0</v>
      </c>
      <c r="N291" s="301">
        <v>0.0</v>
      </c>
      <c r="O291" s="301">
        <v>0.0</v>
      </c>
      <c r="P291" s="301">
        <v>0.0</v>
      </c>
      <c r="Q291" s="301">
        <v>0.0</v>
      </c>
      <c r="R291" s="301">
        <v>0.0</v>
      </c>
      <c r="S291" s="877">
        <v>1.0</v>
      </c>
      <c r="T291" s="877">
        <v>0.0</v>
      </c>
      <c r="U291" s="301">
        <v>0.0</v>
      </c>
      <c r="V291" s="301">
        <v>0.0</v>
      </c>
      <c r="W291" s="877">
        <v>0.0</v>
      </c>
      <c r="X291" s="877">
        <v>0.0</v>
      </c>
      <c r="Y291" s="301">
        <v>0.0</v>
      </c>
      <c r="Z291" s="301">
        <v>0.0</v>
      </c>
      <c r="AA291" s="301">
        <v>0.0</v>
      </c>
      <c r="AB291" s="301">
        <v>0.0</v>
      </c>
      <c r="AC291" s="301">
        <v>0.0</v>
      </c>
      <c r="AD291" s="301">
        <v>0.0</v>
      </c>
      <c r="AE291" s="301">
        <v>0.0</v>
      </c>
      <c r="AF291" s="301">
        <v>0.0</v>
      </c>
      <c r="AG291" s="768">
        <f t="shared" si="93"/>
        <v>2</v>
      </c>
    </row>
    <row r="292">
      <c r="A292" s="897" t="s">
        <v>756</v>
      </c>
      <c r="B292" s="54"/>
      <c r="C292" s="54"/>
      <c r="D292" s="54"/>
      <c r="E292" s="54"/>
      <c r="F292" s="878"/>
      <c r="G292" s="884"/>
      <c r="H292" s="884"/>
      <c r="I292" s="884"/>
      <c r="J292" s="884"/>
      <c r="K292" s="54"/>
      <c r="L292" s="884"/>
      <c r="M292" s="884"/>
      <c r="N292" s="884"/>
      <c r="O292" s="884"/>
      <c r="P292" s="884"/>
      <c r="Q292" s="884"/>
      <c r="R292" s="884"/>
      <c r="S292" s="884"/>
      <c r="T292" s="884"/>
      <c r="U292" s="884"/>
      <c r="V292" s="884"/>
      <c r="W292" s="884"/>
      <c r="X292" s="884"/>
      <c r="Y292" s="884"/>
      <c r="Z292" s="884"/>
      <c r="AA292" s="884"/>
      <c r="AB292" s="884"/>
      <c r="AC292" s="884"/>
      <c r="AD292" s="884"/>
      <c r="AE292" s="884"/>
      <c r="AF292" s="884"/>
      <c r="AG292" s="768">
        <f t="shared" si="93"/>
        <v>0</v>
      </c>
    </row>
    <row r="293">
      <c r="A293" s="897" t="s">
        <v>757</v>
      </c>
      <c r="B293" s="54"/>
      <c r="C293" s="54"/>
      <c r="D293" s="54"/>
      <c r="E293" s="54"/>
      <c r="F293" s="878"/>
      <c r="G293" s="884"/>
      <c r="H293" s="884"/>
      <c r="I293" s="884"/>
      <c r="J293" s="884"/>
      <c r="K293" s="884"/>
      <c r="L293" s="884"/>
      <c r="M293" s="884"/>
      <c r="N293" s="884"/>
      <c r="O293" s="884"/>
      <c r="P293" s="884"/>
      <c r="Q293" s="884"/>
      <c r="R293" s="884"/>
      <c r="S293" s="884"/>
      <c r="T293" s="884"/>
      <c r="U293" s="884"/>
      <c r="V293" s="884"/>
      <c r="W293" s="884"/>
      <c r="X293" s="884"/>
      <c r="Y293" s="884"/>
      <c r="Z293" s="884"/>
      <c r="AA293" s="884"/>
      <c r="AB293" s="884"/>
      <c r="AC293" s="884"/>
      <c r="AD293" s="884"/>
      <c r="AE293" s="884"/>
      <c r="AF293" s="884"/>
      <c r="AG293" s="768">
        <f t="shared" si="93"/>
        <v>0</v>
      </c>
    </row>
    <row r="294">
      <c r="A294" s="900" t="s">
        <v>725</v>
      </c>
      <c r="B294" s="901">
        <f t="shared" ref="B294:AF294" si="94">SUM(B288:B293)</f>
        <v>0</v>
      </c>
      <c r="C294" s="901">
        <f t="shared" si="94"/>
        <v>0</v>
      </c>
      <c r="D294" s="901">
        <f t="shared" si="94"/>
        <v>0</v>
      </c>
      <c r="E294" s="901">
        <f t="shared" si="94"/>
        <v>0</v>
      </c>
      <c r="F294" s="901">
        <f t="shared" si="94"/>
        <v>4</v>
      </c>
      <c r="G294" s="901">
        <f t="shared" si="94"/>
        <v>3</v>
      </c>
      <c r="H294" s="901">
        <f t="shared" si="94"/>
        <v>0</v>
      </c>
      <c r="I294" s="901">
        <f t="shared" si="94"/>
        <v>0</v>
      </c>
      <c r="J294" s="901">
        <f t="shared" si="94"/>
        <v>0</v>
      </c>
      <c r="K294" s="901">
        <f t="shared" si="94"/>
        <v>2</v>
      </c>
      <c r="L294" s="901">
        <f t="shared" si="94"/>
        <v>1</v>
      </c>
      <c r="M294" s="901">
        <f t="shared" si="94"/>
        <v>0</v>
      </c>
      <c r="N294" s="901">
        <f t="shared" si="94"/>
        <v>0</v>
      </c>
      <c r="O294" s="901">
        <f t="shared" si="94"/>
        <v>0</v>
      </c>
      <c r="P294" s="901">
        <f t="shared" si="94"/>
        <v>0</v>
      </c>
      <c r="Q294" s="901">
        <f t="shared" si="94"/>
        <v>0</v>
      </c>
      <c r="R294" s="901">
        <f t="shared" si="94"/>
        <v>2</v>
      </c>
      <c r="S294" s="901">
        <f t="shared" si="94"/>
        <v>2</v>
      </c>
      <c r="T294" s="901">
        <f t="shared" si="94"/>
        <v>0</v>
      </c>
      <c r="U294" s="901">
        <f t="shared" si="94"/>
        <v>1</v>
      </c>
      <c r="V294" s="901">
        <f t="shared" si="94"/>
        <v>1</v>
      </c>
      <c r="W294" s="901">
        <f t="shared" si="94"/>
        <v>0</v>
      </c>
      <c r="X294" s="901">
        <f t="shared" si="94"/>
        <v>1</v>
      </c>
      <c r="Y294" s="901">
        <f t="shared" si="94"/>
        <v>5</v>
      </c>
      <c r="Z294" s="901">
        <f t="shared" si="94"/>
        <v>2</v>
      </c>
      <c r="AA294" s="901">
        <f t="shared" si="94"/>
        <v>1</v>
      </c>
      <c r="AB294" s="901">
        <f t="shared" si="94"/>
        <v>1</v>
      </c>
      <c r="AC294" s="901">
        <f t="shared" si="94"/>
        <v>3</v>
      </c>
      <c r="AD294" s="901">
        <f t="shared" si="94"/>
        <v>0</v>
      </c>
      <c r="AE294" s="901">
        <f t="shared" si="94"/>
        <v>3</v>
      </c>
      <c r="AF294" s="901">
        <f t="shared" si="94"/>
        <v>5</v>
      </c>
      <c r="AG294" s="768">
        <f t="shared" si="93"/>
        <v>37</v>
      </c>
    </row>
    <row r="295">
      <c r="A295" s="900" t="s">
        <v>758</v>
      </c>
      <c r="B295" s="901">
        <f>B288+B291+B293</f>
        <v>0</v>
      </c>
      <c r="C295" s="901">
        <f t="shared" ref="C295:AF295" si="95">C289+C291+C293</f>
        <v>0</v>
      </c>
      <c r="D295" s="901">
        <f t="shared" si="95"/>
        <v>0</v>
      </c>
      <c r="E295" s="901">
        <f t="shared" si="95"/>
        <v>0</v>
      </c>
      <c r="F295" s="901">
        <f t="shared" si="95"/>
        <v>1</v>
      </c>
      <c r="G295" s="901">
        <f t="shared" si="95"/>
        <v>2</v>
      </c>
      <c r="H295" s="901">
        <f t="shared" si="95"/>
        <v>0</v>
      </c>
      <c r="I295" s="901">
        <f t="shared" si="95"/>
        <v>0</v>
      </c>
      <c r="J295" s="901">
        <f t="shared" si="95"/>
        <v>0</v>
      </c>
      <c r="K295" s="901">
        <f t="shared" si="95"/>
        <v>1</v>
      </c>
      <c r="L295" s="901">
        <f t="shared" si="95"/>
        <v>0</v>
      </c>
      <c r="M295" s="901">
        <f t="shared" si="95"/>
        <v>0</v>
      </c>
      <c r="N295" s="901">
        <f t="shared" si="95"/>
        <v>0</v>
      </c>
      <c r="O295" s="901">
        <f t="shared" si="95"/>
        <v>0</v>
      </c>
      <c r="P295" s="901">
        <f t="shared" si="95"/>
        <v>0</v>
      </c>
      <c r="Q295" s="901">
        <f t="shared" si="95"/>
        <v>0</v>
      </c>
      <c r="R295" s="901">
        <f t="shared" si="95"/>
        <v>0</v>
      </c>
      <c r="S295" s="901">
        <f t="shared" si="95"/>
        <v>2</v>
      </c>
      <c r="T295" s="901">
        <f t="shared" si="95"/>
        <v>0</v>
      </c>
      <c r="U295" s="901">
        <f t="shared" si="95"/>
        <v>1</v>
      </c>
      <c r="V295" s="901">
        <f t="shared" si="95"/>
        <v>1</v>
      </c>
      <c r="W295" s="901">
        <f t="shared" si="95"/>
        <v>0</v>
      </c>
      <c r="X295" s="901">
        <f t="shared" si="95"/>
        <v>1</v>
      </c>
      <c r="Y295" s="901">
        <f t="shared" si="95"/>
        <v>3</v>
      </c>
      <c r="Z295" s="901">
        <f t="shared" si="95"/>
        <v>0</v>
      </c>
      <c r="AA295" s="901">
        <f t="shared" si="95"/>
        <v>1</v>
      </c>
      <c r="AB295" s="901">
        <f t="shared" si="95"/>
        <v>1</v>
      </c>
      <c r="AC295" s="901">
        <f t="shared" si="95"/>
        <v>2</v>
      </c>
      <c r="AD295" s="901">
        <f t="shared" si="95"/>
        <v>0</v>
      </c>
      <c r="AE295" s="901">
        <f t="shared" si="95"/>
        <v>2</v>
      </c>
      <c r="AF295" s="901">
        <f t="shared" si="95"/>
        <v>2</v>
      </c>
      <c r="AG295" s="768">
        <f t="shared" si="93"/>
        <v>20</v>
      </c>
    </row>
    <row r="296">
      <c r="A296" s="42"/>
      <c r="B296" s="542"/>
      <c r="C296" s="542"/>
      <c r="D296" s="542"/>
      <c r="E296" s="542"/>
      <c r="F296" s="542"/>
      <c r="G296" s="542"/>
      <c r="H296" s="542"/>
      <c r="I296" s="327"/>
      <c r="J296" s="327"/>
      <c r="K296" s="327"/>
      <c r="L296" s="327"/>
      <c r="M296" s="327"/>
      <c r="N296" s="327"/>
      <c r="O296" s="327"/>
      <c r="P296" s="327"/>
      <c r="Q296" s="327"/>
      <c r="R296" s="327"/>
      <c r="S296" s="327"/>
      <c r="T296" s="327"/>
      <c r="U296" s="327"/>
      <c r="V296" s="327"/>
      <c r="W296" s="327"/>
      <c r="X296" s="327"/>
      <c r="Y296" s="327"/>
      <c r="Z296" s="327"/>
      <c r="AA296" s="327"/>
      <c r="AB296" s="327"/>
      <c r="AC296" s="327"/>
      <c r="AD296" s="327"/>
      <c r="AE296" s="327"/>
      <c r="AF296" s="327"/>
      <c r="AG296" s="768"/>
    </row>
    <row r="297">
      <c r="A297" s="897" t="s">
        <v>760</v>
      </c>
      <c r="B297" s="301">
        <v>0.0</v>
      </c>
      <c r="C297" s="301">
        <v>0.0</v>
      </c>
      <c r="D297" s="301">
        <v>0.0</v>
      </c>
      <c r="E297" s="301">
        <v>0.0</v>
      </c>
      <c r="F297" s="877">
        <v>2.0</v>
      </c>
      <c r="G297" s="301">
        <v>1.0</v>
      </c>
      <c r="H297" s="301">
        <v>0.0</v>
      </c>
      <c r="I297" s="301">
        <v>0.0</v>
      </c>
      <c r="J297" s="301">
        <v>0.0</v>
      </c>
      <c r="K297" s="301">
        <v>0.0</v>
      </c>
      <c r="L297" s="301">
        <v>0.0</v>
      </c>
      <c r="M297" s="301">
        <v>0.0</v>
      </c>
      <c r="N297" s="301">
        <v>0.0</v>
      </c>
      <c r="O297" s="301">
        <v>0.0</v>
      </c>
      <c r="P297" s="301">
        <v>0.0</v>
      </c>
      <c r="Q297" s="301">
        <v>0.0</v>
      </c>
      <c r="R297" s="301">
        <v>0.0</v>
      </c>
      <c r="S297" s="877">
        <v>1.0</v>
      </c>
      <c r="T297" s="877">
        <v>1.0</v>
      </c>
      <c r="U297" s="301">
        <v>0.0</v>
      </c>
      <c r="V297" s="301">
        <v>1.0</v>
      </c>
      <c r="W297" s="877">
        <v>0.0</v>
      </c>
      <c r="X297" s="877">
        <v>0.0</v>
      </c>
      <c r="Y297" s="301">
        <v>1.0</v>
      </c>
      <c r="Z297" s="301">
        <v>0.0</v>
      </c>
      <c r="AA297" s="301">
        <v>2.0</v>
      </c>
      <c r="AB297" s="301">
        <v>0.0</v>
      </c>
      <c r="AC297" s="301">
        <v>4.0</v>
      </c>
      <c r="AD297" s="301">
        <v>3.0</v>
      </c>
      <c r="AE297" s="301">
        <v>3.0</v>
      </c>
      <c r="AF297" s="301">
        <v>14.0</v>
      </c>
      <c r="AG297" s="768">
        <f t="shared" ref="AG297:AG302" si="96">SUM(B297:AF297)</f>
        <v>33</v>
      </c>
    </row>
    <row r="298">
      <c r="A298" s="897" t="s">
        <v>761</v>
      </c>
      <c r="B298" s="301">
        <v>0.0</v>
      </c>
      <c r="C298" s="301">
        <v>0.0</v>
      </c>
      <c r="D298" s="301">
        <v>0.0</v>
      </c>
      <c r="E298" s="301">
        <v>0.0</v>
      </c>
      <c r="F298" s="877">
        <v>0.0</v>
      </c>
      <c r="G298" s="301">
        <v>0.0</v>
      </c>
      <c r="H298" s="301">
        <v>0.0</v>
      </c>
      <c r="I298" s="301">
        <v>0.0</v>
      </c>
      <c r="J298" s="301">
        <v>0.0</v>
      </c>
      <c r="K298" s="301">
        <v>0.0</v>
      </c>
      <c r="L298" s="301">
        <v>0.0</v>
      </c>
      <c r="M298" s="301">
        <v>0.0</v>
      </c>
      <c r="N298" s="301">
        <v>0.0</v>
      </c>
      <c r="O298" s="301">
        <v>0.0</v>
      </c>
      <c r="P298" s="301">
        <v>0.0</v>
      </c>
      <c r="Q298" s="301">
        <v>0.0</v>
      </c>
      <c r="R298" s="301">
        <v>0.0</v>
      </c>
      <c r="S298" s="877">
        <v>0.0</v>
      </c>
      <c r="T298" s="877">
        <v>0.0</v>
      </c>
      <c r="U298" s="301">
        <v>0.0</v>
      </c>
      <c r="V298" s="301">
        <v>0.0</v>
      </c>
      <c r="W298" s="877">
        <v>0.0</v>
      </c>
      <c r="X298" s="877">
        <v>0.0</v>
      </c>
      <c r="Y298" s="301">
        <v>0.0</v>
      </c>
      <c r="Z298" s="301">
        <v>0.0</v>
      </c>
      <c r="AA298" s="301">
        <v>0.0</v>
      </c>
      <c r="AB298" s="301">
        <v>0.0</v>
      </c>
      <c r="AC298" s="301">
        <v>0.0</v>
      </c>
      <c r="AD298" s="301">
        <v>1.0</v>
      </c>
      <c r="AE298" s="301">
        <v>1.0</v>
      </c>
      <c r="AF298" s="301">
        <v>0.0</v>
      </c>
      <c r="AG298" s="768">
        <f t="shared" si="96"/>
        <v>2</v>
      </c>
    </row>
    <row r="299">
      <c r="A299" s="897" t="s">
        <v>762</v>
      </c>
      <c r="B299" s="301">
        <v>0.0</v>
      </c>
      <c r="C299" s="301">
        <v>0.0</v>
      </c>
      <c r="D299" s="301">
        <v>0.0</v>
      </c>
      <c r="E299" s="301">
        <v>0.0</v>
      </c>
      <c r="F299" s="877">
        <v>0.0</v>
      </c>
      <c r="G299" s="301">
        <v>0.0</v>
      </c>
      <c r="H299" s="301">
        <v>0.0</v>
      </c>
      <c r="I299" s="301">
        <v>0.0</v>
      </c>
      <c r="J299" s="301">
        <v>0.0</v>
      </c>
      <c r="K299" s="301">
        <v>1.0</v>
      </c>
      <c r="L299" s="301">
        <v>0.0</v>
      </c>
      <c r="M299" s="301">
        <v>0.0</v>
      </c>
      <c r="N299" s="301">
        <v>0.0</v>
      </c>
      <c r="O299" s="301">
        <v>0.0</v>
      </c>
      <c r="P299" s="301">
        <v>0.0</v>
      </c>
      <c r="Q299" s="301">
        <v>0.0</v>
      </c>
      <c r="R299" s="301">
        <v>0.0</v>
      </c>
      <c r="S299" s="877">
        <v>1.0</v>
      </c>
      <c r="T299" s="877">
        <v>0.0</v>
      </c>
      <c r="U299" s="301">
        <v>0.0</v>
      </c>
      <c r="V299" s="301">
        <v>1.0</v>
      </c>
      <c r="W299" s="877">
        <v>0.0</v>
      </c>
      <c r="X299" s="877">
        <v>0.0</v>
      </c>
      <c r="Y299" s="301">
        <v>1.0</v>
      </c>
      <c r="Z299" s="301">
        <v>1.0</v>
      </c>
      <c r="AA299" s="301">
        <v>1.0</v>
      </c>
      <c r="AB299" s="301">
        <v>0.0</v>
      </c>
      <c r="AC299" s="301">
        <v>0.0</v>
      </c>
      <c r="AD299" s="301">
        <v>2.0</v>
      </c>
      <c r="AE299" s="301">
        <v>0.0</v>
      </c>
      <c r="AF299" s="301">
        <v>2.0</v>
      </c>
      <c r="AG299" s="768">
        <f t="shared" si="96"/>
        <v>10</v>
      </c>
    </row>
    <row r="300">
      <c r="A300" s="897" t="s">
        <v>763</v>
      </c>
      <c r="B300" s="301">
        <v>0.0</v>
      </c>
      <c r="C300" s="301">
        <v>0.0</v>
      </c>
      <c r="D300" s="301">
        <v>0.0</v>
      </c>
      <c r="E300" s="301">
        <v>0.0</v>
      </c>
      <c r="F300" s="877">
        <v>0.0</v>
      </c>
      <c r="G300" s="301">
        <v>0.0</v>
      </c>
      <c r="H300" s="301">
        <v>0.0</v>
      </c>
      <c r="I300" s="301">
        <v>0.0</v>
      </c>
      <c r="J300" s="301">
        <v>0.0</v>
      </c>
      <c r="K300" s="301">
        <v>0.0</v>
      </c>
      <c r="L300" s="301">
        <v>0.0</v>
      </c>
      <c r="M300" s="301">
        <v>0.0</v>
      </c>
      <c r="N300" s="301">
        <v>0.0</v>
      </c>
      <c r="O300" s="301">
        <v>0.0</v>
      </c>
      <c r="P300" s="301">
        <v>0.0</v>
      </c>
      <c r="Q300" s="301">
        <v>0.0</v>
      </c>
      <c r="R300" s="301">
        <v>0.0</v>
      </c>
      <c r="S300" s="877">
        <v>1.0</v>
      </c>
      <c r="T300" s="877">
        <v>0.0</v>
      </c>
      <c r="U300" s="301">
        <v>0.0</v>
      </c>
      <c r="V300" s="301">
        <v>1.0</v>
      </c>
      <c r="W300" s="877">
        <v>1.0</v>
      </c>
      <c r="X300" s="877">
        <v>0.0</v>
      </c>
      <c r="Y300" s="301">
        <v>0.0</v>
      </c>
      <c r="Z300" s="301">
        <v>1.0</v>
      </c>
      <c r="AA300" s="301">
        <v>2.0</v>
      </c>
      <c r="AB300" s="301">
        <v>0.0</v>
      </c>
      <c r="AC300" s="301">
        <v>2.0</v>
      </c>
      <c r="AD300" s="301">
        <v>1.0</v>
      </c>
      <c r="AE300" s="301">
        <v>1.0</v>
      </c>
      <c r="AF300" s="301">
        <v>3.0</v>
      </c>
      <c r="AG300" s="768">
        <f t="shared" si="96"/>
        <v>13</v>
      </c>
    </row>
    <row r="301">
      <c r="A301" s="897" t="s">
        <v>764</v>
      </c>
      <c r="B301" s="301">
        <v>0.0</v>
      </c>
      <c r="C301" s="301">
        <v>0.0</v>
      </c>
      <c r="D301" s="301">
        <v>0.0</v>
      </c>
      <c r="E301" s="301">
        <v>0.0</v>
      </c>
      <c r="F301" s="877">
        <v>2.0</v>
      </c>
      <c r="G301" s="301">
        <v>1.0</v>
      </c>
      <c r="H301" s="301">
        <v>0.0</v>
      </c>
      <c r="I301" s="301">
        <v>0.0</v>
      </c>
      <c r="J301" s="301">
        <v>0.0</v>
      </c>
      <c r="K301" s="301">
        <v>0.0</v>
      </c>
      <c r="L301" s="301">
        <v>0.0</v>
      </c>
      <c r="M301" s="301">
        <v>0.0</v>
      </c>
      <c r="N301" s="301">
        <v>0.0</v>
      </c>
      <c r="O301" s="301">
        <v>0.0</v>
      </c>
      <c r="P301" s="301">
        <v>0.0</v>
      </c>
      <c r="Q301" s="301">
        <v>0.0</v>
      </c>
      <c r="R301" s="301">
        <v>1.0</v>
      </c>
      <c r="S301" s="877">
        <v>0.0</v>
      </c>
      <c r="T301" s="877">
        <v>0.0</v>
      </c>
      <c r="U301" s="301">
        <v>0.0</v>
      </c>
      <c r="V301" s="301">
        <v>0.0</v>
      </c>
      <c r="W301" s="877">
        <v>0.0</v>
      </c>
      <c r="X301" s="877">
        <v>0.0</v>
      </c>
      <c r="Y301" s="301">
        <v>1.0</v>
      </c>
      <c r="Z301" s="301">
        <v>0.0</v>
      </c>
      <c r="AA301" s="301">
        <v>0.0</v>
      </c>
      <c r="AB301" s="301">
        <v>0.0</v>
      </c>
      <c r="AC301" s="301">
        <v>0.0</v>
      </c>
      <c r="AD301" s="301">
        <v>0.0</v>
      </c>
      <c r="AE301" s="301">
        <v>2.0</v>
      </c>
      <c r="AF301" s="301">
        <v>2.0</v>
      </c>
      <c r="AG301" s="768">
        <f t="shared" si="96"/>
        <v>9</v>
      </c>
    </row>
    <row r="302">
      <c r="A302" s="907" t="s">
        <v>765</v>
      </c>
      <c r="B302" s="901">
        <f t="shared" ref="B302:M302" si="97">SUM(B297:B301)</f>
        <v>0</v>
      </c>
      <c r="C302" s="901">
        <f t="shared" si="97"/>
        <v>0</v>
      </c>
      <c r="D302" s="901">
        <f t="shared" si="97"/>
        <v>0</v>
      </c>
      <c r="E302" s="901">
        <f t="shared" si="97"/>
        <v>0</v>
      </c>
      <c r="F302" s="901">
        <f t="shared" si="97"/>
        <v>4</v>
      </c>
      <c r="G302" s="901">
        <f t="shared" si="97"/>
        <v>2</v>
      </c>
      <c r="H302" s="901">
        <f t="shared" si="97"/>
        <v>0</v>
      </c>
      <c r="I302" s="901">
        <f t="shared" si="97"/>
        <v>0</v>
      </c>
      <c r="J302" s="901">
        <f t="shared" si="97"/>
        <v>0</v>
      </c>
      <c r="K302" s="901">
        <f t="shared" si="97"/>
        <v>1</v>
      </c>
      <c r="L302" s="901">
        <f t="shared" si="97"/>
        <v>0</v>
      </c>
      <c r="M302" s="901">
        <f t="shared" si="97"/>
        <v>0</v>
      </c>
      <c r="N302" s="908">
        <v>0.0</v>
      </c>
      <c r="O302" s="901">
        <f t="shared" ref="O302:AF302" si="98">SUM(O297:O301)</f>
        <v>0</v>
      </c>
      <c r="P302" s="901">
        <f t="shared" si="98"/>
        <v>0</v>
      </c>
      <c r="Q302" s="901">
        <f t="shared" si="98"/>
        <v>0</v>
      </c>
      <c r="R302" s="901">
        <f t="shared" si="98"/>
        <v>1</v>
      </c>
      <c r="S302" s="901">
        <f t="shared" si="98"/>
        <v>3</v>
      </c>
      <c r="T302" s="901">
        <f t="shared" si="98"/>
        <v>1</v>
      </c>
      <c r="U302" s="901">
        <f t="shared" si="98"/>
        <v>0</v>
      </c>
      <c r="V302" s="901">
        <f t="shared" si="98"/>
        <v>3</v>
      </c>
      <c r="W302" s="901">
        <f t="shared" si="98"/>
        <v>1</v>
      </c>
      <c r="X302" s="901">
        <f t="shared" si="98"/>
        <v>0</v>
      </c>
      <c r="Y302" s="901">
        <f t="shared" si="98"/>
        <v>3</v>
      </c>
      <c r="Z302" s="901">
        <f t="shared" si="98"/>
        <v>2</v>
      </c>
      <c r="AA302" s="901">
        <f t="shared" si="98"/>
        <v>5</v>
      </c>
      <c r="AB302" s="901">
        <f t="shared" si="98"/>
        <v>0</v>
      </c>
      <c r="AC302" s="901">
        <f t="shared" si="98"/>
        <v>6</v>
      </c>
      <c r="AD302" s="901">
        <f t="shared" si="98"/>
        <v>7</v>
      </c>
      <c r="AE302" s="901">
        <f t="shared" si="98"/>
        <v>7</v>
      </c>
      <c r="AF302" s="901">
        <f t="shared" si="98"/>
        <v>21</v>
      </c>
      <c r="AG302" s="768">
        <f t="shared" si="96"/>
        <v>67</v>
      </c>
    </row>
    <row r="303">
      <c r="A303" s="42"/>
      <c r="B303" s="542"/>
      <c r="C303" s="542"/>
      <c r="D303" s="542"/>
      <c r="E303" s="542"/>
      <c r="F303" s="542"/>
      <c r="G303" s="542"/>
      <c r="H303" s="542"/>
      <c r="I303" s="327"/>
      <c r="J303" s="327"/>
      <c r="K303" s="327"/>
      <c r="L303" s="327"/>
      <c r="M303" s="327"/>
      <c r="N303" s="327"/>
      <c r="O303" s="327"/>
      <c r="P303" s="327"/>
      <c r="Q303" s="327"/>
      <c r="R303" s="327"/>
      <c r="S303" s="327"/>
      <c r="T303" s="327"/>
      <c r="U303" s="327"/>
      <c r="V303" s="327"/>
      <c r="W303" s="327"/>
      <c r="X303" s="327"/>
      <c r="Y303" s="327"/>
      <c r="Z303" s="327"/>
      <c r="AA303" s="327"/>
      <c r="AB303" s="327"/>
      <c r="AC303" s="327"/>
      <c r="AD303" s="327"/>
      <c r="AE303" s="327"/>
      <c r="AF303" s="327"/>
      <c r="AG303" s="768"/>
    </row>
    <row r="304">
      <c r="A304" s="897" t="s">
        <v>767</v>
      </c>
      <c r="B304" s="301">
        <v>0.0</v>
      </c>
      <c r="C304" s="301">
        <v>0.0</v>
      </c>
      <c r="D304" s="301">
        <v>0.0</v>
      </c>
      <c r="E304" s="301">
        <v>0.0</v>
      </c>
      <c r="F304" s="301">
        <v>0.0</v>
      </c>
      <c r="G304" s="301">
        <v>0.0</v>
      </c>
      <c r="H304" s="301">
        <v>0.0</v>
      </c>
      <c r="I304" s="301">
        <v>0.0</v>
      </c>
      <c r="J304" s="301">
        <v>0.0</v>
      </c>
      <c r="K304" s="301">
        <v>0.0</v>
      </c>
      <c r="L304" s="301">
        <v>0.0</v>
      </c>
      <c r="M304" s="301">
        <v>0.0</v>
      </c>
      <c r="N304" s="301">
        <v>0.0</v>
      </c>
      <c r="O304" s="301">
        <v>0.0</v>
      </c>
      <c r="P304" s="301">
        <v>0.0</v>
      </c>
      <c r="Q304" s="301">
        <v>0.0</v>
      </c>
      <c r="R304" s="301">
        <v>0.0</v>
      </c>
      <c r="S304" s="877">
        <v>2.0</v>
      </c>
      <c r="T304" s="301">
        <v>0.0</v>
      </c>
      <c r="U304" s="301">
        <v>0.0</v>
      </c>
      <c r="V304" s="301">
        <v>0.0</v>
      </c>
      <c r="W304" s="877">
        <v>0.0</v>
      </c>
      <c r="X304" s="877">
        <v>0.0</v>
      </c>
      <c r="Y304" s="301">
        <v>0.0</v>
      </c>
      <c r="Z304" s="301">
        <v>0.0</v>
      </c>
      <c r="AA304" s="301">
        <v>0.0</v>
      </c>
      <c r="AB304" s="301">
        <v>0.0</v>
      </c>
      <c r="AC304" s="301">
        <v>0.0</v>
      </c>
      <c r="AD304" s="301">
        <v>0.0</v>
      </c>
      <c r="AE304" s="301">
        <v>1.0</v>
      </c>
      <c r="AF304" s="301">
        <v>0.0</v>
      </c>
      <c r="AG304" s="768">
        <f t="shared" ref="AG304:AG309" si="99">SUM(B304:AF304)</f>
        <v>3</v>
      </c>
    </row>
    <row r="305">
      <c r="A305" s="897" t="s">
        <v>769</v>
      </c>
      <c r="B305" s="301">
        <v>0.0</v>
      </c>
      <c r="C305" s="301">
        <v>0.0</v>
      </c>
      <c r="D305" s="301">
        <v>0.0</v>
      </c>
      <c r="E305" s="301">
        <v>0.0</v>
      </c>
      <c r="F305" s="301">
        <v>0.0</v>
      </c>
      <c r="G305" s="301">
        <v>0.0</v>
      </c>
      <c r="H305" s="301">
        <v>0.0</v>
      </c>
      <c r="I305" s="301">
        <v>0.0</v>
      </c>
      <c r="J305" s="301">
        <v>0.0</v>
      </c>
      <c r="K305" s="301">
        <v>0.0</v>
      </c>
      <c r="L305" s="301">
        <v>0.0</v>
      </c>
      <c r="M305" s="301">
        <v>0.0</v>
      </c>
      <c r="N305" s="301">
        <v>0.0</v>
      </c>
      <c r="O305" s="301">
        <v>0.0</v>
      </c>
      <c r="P305" s="301">
        <v>0.0</v>
      </c>
      <c r="Q305" s="301">
        <v>0.0</v>
      </c>
      <c r="R305" s="301">
        <v>0.0</v>
      </c>
      <c r="S305" s="877">
        <v>0.0</v>
      </c>
      <c r="T305" s="301">
        <v>0.0</v>
      </c>
      <c r="U305" s="301">
        <v>0.0</v>
      </c>
      <c r="V305" s="301">
        <v>0.0</v>
      </c>
      <c r="W305" s="877">
        <v>0.0</v>
      </c>
      <c r="X305" s="877">
        <v>0.0</v>
      </c>
      <c r="Y305" s="301">
        <v>0.0</v>
      </c>
      <c r="Z305" s="301">
        <v>0.0</v>
      </c>
      <c r="AA305" s="301">
        <v>0.0</v>
      </c>
      <c r="AB305" s="301">
        <v>0.0</v>
      </c>
      <c r="AC305" s="301">
        <v>0.0</v>
      </c>
      <c r="AD305" s="301">
        <v>0.0</v>
      </c>
      <c r="AE305" s="301">
        <v>0.0</v>
      </c>
      <c r="AF305" s="301">
        <v>0.0</v>
      </c>
      <c r="AG305" s="768">
        <f t="shared" si="99"/>
        <v>0</v>
      </c>
    </row>
    <row r="306">
      <c r="A306" s="897" t="s">
        <v>770</v>
      </c>
      <c r="B306" s="301">
        <v>0.0</v>
      </c>
      <c r="C306" s="301">
        <v>0.0</v>
      </c>
      <c r="D306" s="301">
        <v>0.0</v>
      </c>
      <c r="E306" s="301">
        <v>0.0</v>
      </c>
      <c r="F306" s="301">
        <v>0.0</v>
      </c>
      <c r="G306" s="301">
        <v>0.0</v>
      </c>
      <c r="H306" s="301">
        <v>0.0</v>
      </c>
      <c r="I306" s="301">
        <v>0.0</v>
      </c>
      <c r="J306" s="301">
        <v>0.0</v>
      </c>
      <c r="K306" s="301">
        <v>0.0</v>
      </c>
      <c r="L306" s="301">
        <v>0.0</v>
      </c>
      <c r="M306" s="301">
        <v>0.0</v>
      </c>
      <c r="N306" s="301">
        <v>0.0</v>
      </c>
      <c r="O306" s="301">
        <v>0.0</v>
      </c>
      <c r="P306" s="301">
        <v>0.0</v>
      </c>
      <c r="Q306" s="301">
        <v>0.0</v>
      </c>
      <c r="R306" s="301">
        <v>0.0</v>
      </c>
      <c r="S306" s="877">
        <v>0.0</v>
      </c>
      <c r="T306" s="301">
        <v>0.0</v>
      </c>
      <c r="U306" s="301">
        <v>0.0</v>
      </c>
      <c r="V306" s="301">
        <v>0.0</v>
      </c>
      <c r="W306" s="877">
        <v>0.0</v>
      </c>
      <c r="X306" s="877">
        <v>0.0</v>
      </c>
      <c r="Y306" s="301">
        <v>0.0</v>
      </c>
      <c r="Z306" s="301">
        <v>0.0</v>
      </c>
      <c r="AA306" s="301">
        <v>0.0</v>
      </c>
      <c r="AB306" s="301">
        <v>0.0</v>
      </c>
      <c r="AC306" s="301">
        <v>0.0</v>
      </c>
      <c r="AD306" s="301">
        <v>0.0</v>
      </c>
      <c r="AE306" s="301">
        <v>0.0</v>
      </c>
      <c r="AF306" s="301">
        <v>0.0</v>
      </c>
      <c r="AG306" s="768">
        <f t="shared" si="99"/>
        <v>0</v>
      </c>
    </row>
    <row r="307">
      <c r="A307" s="897" t="s">
        <v>771</v>
      </c>
      <c r="B307" s="301">
        <v>0.0</v>
      </c>
      <c r="C307" s="301">
        <v>0.0</v>
      </c>
      <c r="D307" s="301">
        <v>0.0</v>
      </c>
      <c r="E307" s="301">
        <v>0.0</v>
      </c>
      <c r="F307" s="301">
        <v>0.0</v>
      </c>
      <c r="G307" s="301">
        <v>0.0</v>
      </c>
      <c r="H307" s="301">
        <v>0.0</v>
      </c>
      <c r="I307" s="301">
        <v>0.0</v>
      </c>
      <c r="J307" s="301">
        <v>0.0</v>
      </c>
      <c r="K307" s="301">
        <v>0.0</v>
      </c>
      <c r="L307" s="301">
        <v>0.0</v>
      </c>
      <c r="M307" s="301">
        <v>0.0</v>
      </c>
      <c r="N307" s="301">
        <v>0.0</v>
      </c>
      <c r="O307" s="301">
        <v>0.0</v>
      </c>
      <c r="P307" s="301">
        <v>0.0</v>
      </c>
      <c r="Q307" s="301">
        <v>0.0</v>
      </c>
      <c r="R307" s="301">
        <v>0.0</v>
      </c>
      <c r="S307" s="877">
        <v>0.0</v>
      </c>
      <c r="T307" s="301">
        <v>0.0</v>
      </c>
      <c r="U307" s="301">
        <v>0.0</v>
      </c>
      <c r="V307" s="301">
        <v>0.0</v>
      </c>
      <c r="W307" s="877">
        <v>0.0</v>
      </c>
      <c r="X307" s="877">
        <v>0.0</v>
      </c>
      <c r="Y307" s="301">
        <v>0.0</v>
      </c>
      <c r="Z307" s="301">
        <v>0.0</v>
      </c>
      <c r="AA307" s="301">
        <v>0.0</v>
      </c>
      <c r="AB307" s="301">
        <v>0.0</v>
      </c>
      <c r="AC307" s="301">
        <v>0.0</v>
      </c>
      <c r="AD307" s="301">
        <v>0.0</v>
      </c>
      <c r="AE307" s="301">
        <v>1.0</v>
      </c>
      <c r="AF307" s="301">
        <v>0.0</v>
      </c>
      <c r="AG307" s="768">
        <f t="shared" si="99"/>
        <v>1</v>
      </c>
    </row>
    <row r="308">
      <c r="A308" s="897" t="s">
        <v>772</v>
      </c>
      <c r="B308" s="301">
        <v>0.0</v>
      </c>
      <c r="C308" s="301">
        <v>0.0</v>
      </c>
      <c r="D308" s="301">
        <v>0.0</v>
      </c>
      <c r="E308" s="301">
        <v>0.0</v>
      </c>
      <c r="F308" s="301">
        <v>0.0</v>
      </c>
      <c r="G308" s="301">
        <v>0.0</v>
      </c>
      <c r="H308" s="301">
        <v>0.0</v>
      </c>
      <c r="I308" s="301">
        <v>0.0</v>
      </c>
      <c r="J308" s="301">
        <v>0.0</v>
      </c>
      <c r="K308" s="301">
        <v>0.0</v>
      </c>
      <c r="L308" s="301">
        <v>0.0</v>
      </c>
      <c r="M308" s="301">
        <v>0.0</v>
      </c>
      <c r="N308" s="301">
        <v>0.0</v>
      </c>
      <c r="O308" s="301">
        <v>0.0</v>
      </c>
      <c r="P308" s="301">
        <v>0.0</v>
      </c>
      <c r="Q308" s="301">
        <v>0.0</v>
      </c>
      <c r="R308" s="301">
        <v>0.0</v>
      </c>
      <c r="S308" s="877">
        <v>0.0</v>
      </c>
      <c r="T308" s="301">
        <v>0.0</v>
      </c>
      <c r="U308" s="301">
        <v>0.0</v>
      </c>
      <c r="V308" s="301">
        <v>0.0</v>
      </c>
      <c r="W308" s="877">
        <v>0.0</v>
      </c>
      <c r="X308" s="877">
        <v>0.0</v>
      </c>
      <c r="Y308" s="301">
        <v>0.0</v>
      </c>
      <c r="Z308" s="301">
        <v>0.0</v>
      </c>
      <c r="AA308" s="301">
        <v>0.0</v>
      </c>
      <c r="AB308" s="301">
        <v>0.0</v>
      </c>
      <c r="AC308" s="301">
        <v>0.0</v>
      </c>
      <c r="AD308" s="301">
        <v>0.0</v>
      </c>
      <c r="AE308" s="301">
        <v>0.0</v>
      </c>
      <c r="AF308" s="301">
        <v>0.0</v>
      </c>
      <c r="AG308" s="768">
        <f t="shared" si="99"/>
        <v>0</v>
      </c>
    </row>
    <row r="309">
      <c r="A309" s="907" t="s">
        <v>773</v>
      </c>
      <c r="B309" s="901">
        <f t="shared" ref="B309:AF309" si="100">SUM(B304:B308)</f>
        <v>0</v>
      </c>
      <c r="C309" s="901">
        <f t="shared" si="100"/>
        <v>0</v>
      </c>
      <c r="D309" s="901">
        <f t="shared" si="100"/>
        <v>0</v>
      </c>
      <c r="E309" s="901">
        <f t="shared" si="100"/>
        <v>0</v>
      </c>
      <c r="F309" s="901">
        <f t="shared" si="100"/>
        <v>0</v>
      </c>
      <c r="G309" s="901">
        <f t="shared" si="100"/>
        <v>0</v>
      </c>
      <c r="H309" s="901">
        <f t="shared" si="100"/>
        <v>0</v>
      </c>
      <c r="I309" s="901">
        <f t="shared" si="100"/>
        <v>0</v>
      </c>
      <c r="J309" s="901">
        <f t="shared" si="100"/>
        <v>0</v>
      </c>
      <c r="K309" s="901">
        <f t="shared" si="100"/>
        <v>0</v>
      </c>
      <c r="L309" s="901">
        <f t="shared" si="100"/>
        <v>0</v>
      </c>
      <c r="M309" s="901">
        <f t="shared" si="100"/>
        <v>0</v>
      </c>
      <c r="N309" s="901">
        <f t="shared" si="100"/>
        <v>0</v>
      </c>
      <c r="O309" s="901">
        <f t="shared" si="100"/>
        <v>0</v>
      </c>
      <c r="P309" s="901">
        <f t="shared" si="100"/>
        <v>0</v>
      </c>
      <c r="Q309" s="901">
        <f t="shared" si="100"/>
        <v>0</v>
      </c>
      <c r="R309" s="901">
        <f t="shared" si="100"/>
        <v>0</v>
      </c>
      <c r="S309" s="901">
        <f t="shared" si="100"/>
        <v>2</v>
      </c>
      <c r="T309" s="901">
        <f t="shared" si="100"/>
        <v>0</v>
      </c>
      <c r="U309" s="901">
        <f t="shared" si="100"/>
        <v>0</v>
      </c>
      <c r="V309" s="901">
        <f t="shared" si="100"/>
        <v>0</v>
      </c>
      <c r="W309" s="901">
        <f t="shared" si="100"/>
        <v>0</v>
      </c>
      <c r="X309" s="901">
        <f t="shared" si="100"/>
        <v>0</v>
      </c>
      <c r="Y309" s="901">
        <f t="shared" si="100"/>
        <v>0</v>
      </c>
      <c r="Z309" s="901">
        <f t="shared" si="100"/>
        <v>0</v>
      </c>
      <c r="AA309" s="901">
        <f t="shared" si="100"/>
        <v>0</v>
      </c>
      <c r="AB309" s="901">
        <f t="shared" si="100"/>
        <v>0</v>
      </c>
      <c r="AC309" s="901">
        <f t="shared" si="100"/>
        <v>0</v>
      </c>
      <c r="AD309" s="901">
        <f t="shared" si="100"/>
        <v>0</v>
      </c>
      <c r="AE309" s="901">
        <f t="shared" si="100"/>
        <v>2</v>
      </c>
      <c r="AF309" s="901">
        <f t="shared" si="100"/>
        <v>0</v>
      </c>
      <c r="AG309" s="768">
        <f t="shared" si="99"/>
        <v>4</v>
      </c>
    </row>
    <row r="310">
      <c r="A310" s="42"/>
      <c r="B310" s="542"/>
      <c r="C310" s="542"/>
      <c r="D310" s="542"/>
      <c r="E310" s="542"/>
      <c r="F310" s="542"/>
      <c r="G310" s="542"/>
      <c r="H310" s="542"/>
      <c r="I310" s="327"/>
      <c r="J310" s="327"/>
      <c r="K310" s="327"/>
      <c r="L310" s="327"/>
      <c r="M310" s="327"/>
      <c r="N310" s="327"/>
      <c r="O310" s="327"/>
      <c r="P310" s="327"/>
      <c r="Q310" s="327"/>
      <c r="R310" s="327"/>
      <c r="S310" s="327"/>
      <c r="T310" s="327"/>
      <c r="U310" s="327"/>
      <c r="V310" s="327"/>
      <c r="W310" s="327"/>
      <c r="X310" s="327"/>
      <c r="Y310" s="327"/>
      <c r="Z310" s="327"/>
      <c r="AA310" s="327"/>
      <c r="AB310" s="327"/>
      <c r="AC310" s="327"/>
      <c r="AD310" s="327"/>
      <c r="AE310" s="327"/>
      <c r="AF310" s="327"/>
      <c r="AG310" s="768"/>
    </row>
    <row r="311">
      <c r="A311" s="897" t="s">
        <v>774</v>
      </c>
      <c r="B311" s="54"/>
      <c r="C311" s="54"/>
      <c r="D311" s="54"/>
      <c r="E311" s="54"/>
      <c r="F311" s="884"/>
      <c r="G311" s="884"/>
      <c r="H311" s="884"/>
      <c r="I311" s="884"/>
      <c r="J311" s="884"/>
      <c r="K311" s="884"/>
      <c r="L311" s="884"/>
      <c r="M311" s="884"/>
      <c r="N311" s="884"/>
      <c r="O311" s="884"/>
      <c r="P311" s="54"/>
      <c r="Q311" s="884"/>
      <c r="R311" s="884"/>
      <c r="S311" s="884"/>
      <c r="T311" s="54"/>
      <c r="U311" s="884"/>
      <c r="V311" s="884"/>
      <c r="W311" s="884"/>
      <c r="X311" s="884"/>
      <c r="Y311" s="884"/>
      <c r="Z311" s="884"/>
      <c r="AA311" s="884"/>
      <c r="AB311" s="884"/>
      <c r="AC311" s="884"/>
      <c r="AD311" s="884"/>
      <c r="AE311" s="884"/>
      <c r="AF311" s="884"/>
      <c r="AG311" s="768">
        <f t="shared" ref="AG311:AG316" si="101">SUM(B311:AF311)</f>
        <v>0</v>
      </c>
    </row>
    <row r="312">
      <c r="A312" s="897" t="s">
        <v>775</v>
      </c>
      <c r="B312" s="54"/>
      <c r="C312" s="54"/>
      <c r="D312" s="54"/>
      <c r="E312" s="54"/>
      <c r="F312" s="54"/>
      <c r="G312" s="55"/>
      <c r="H312" s="54"/>
      <c r="I312" s="54"/>
      <c r="J312" s="55"/>
      <c r="K312" s="55"/>
      <c r="L312" s="910"/>
      <c r="M312" s="910"/>
      <c r="N312" s="910"/>
      <c r="O312" s="884"/>
      <c r="P312" s="54"/>
      <c r="Q312" s="884"/>
      <c r="R312" s="884"/>
      <c r="S312" s="54"/>
      <c r="T312" s="884"/>
      <c r="U312" s="884"/>
      <c r="V312" s="884"/>
      <c r="W312" s="884"/>
      <c r="X312" s="884"/>
      <c r="Y312" s="884"/>
      <c r="Z312" s="884"/>
      <c r="AA312" s="884"/>
      <c r="AB312" s="884"/>
      <c r="AC312" s="884"/>
      <c r="AD312" s="884"/>
      <c r="AE312" s="884"/>
      <c r="AF312" s="884"/>
      <c r="AG312" s="768">
        <f t="shared" si="101"/>
        <v>0</v>
      </c>
    </row>
    <row r="313">
      <c r="A313" s="897" t="s">
        <v>776</v>
      </c>
      <c r="B313" s="55"/>
      <c r="C313" s="55"/>
      <c r="D313" s="55"/>
      <c r="E313" s="55"/>
      <c r="F313" s="910"/>
      <c r="G313" s="910"/>
      <c r="H313" s="910"/>
      <c r="I313" s="910"/>
      <c r="J313" s="55"/>
      <c r="K313" s="910"/>
      <c r="L313" s="55"/>
      <c r="M313" s="55"/>
      <c r="N313" s="55"/>
      <c r="O313" s="884"/>
      <c r="P313" s="884"/>
      <c r="Q313" s="884"/>
      <c r="R313" s="884"/>
      <c r="S313" s="884"/>
      <c r="T313" s="884"/>
      <c r="U313" s="884"/>
      <c r="V313" s="884"/>
      <c r="W313" s="884"/>
      <c r="X313" s="884"/>
      <c r="Y313" s="884"/>
      <c r="Z313" s="884"/>
      <c r="AA313" s="884"/>
      <c r="AB313" s="884"/>
      <c r="AC313" s="884"/>
      <c r="AD313" s="884"/>
      <c r="AE313" s="884"/>
      <c r="AF313" s="884"/>
      <c r="AG313" s="768">
        <f t="shared" si="101"/>
        <v>0</v>
      </c>
    </row>
    <row r="314">
      <c r="A314" s="897" t="s">
        <v>777</v>
      </c>
      <c r="B314" s="55"/>
      <c r="C314" s="55"/>
      <c r="D314" s="55"/>
      <c r="E314" s="55"/>
      <c r="F314" s="910"/>
      <c r="G314" s="910"/>
      <c r="H314" s="910"/>
      <c r="I314" s="910"/>
      <c r="J314" s="910"/>
      <c r="K314" s="910"/>
      <c r="L314" s="910"/>
      <c r="M314" s="910"/>
      <c r="N314" s="910"/>
      <c r="O314" s="884"/>
      <c r="P314" s="884"/>
      <c r="Q314" s="884"/>
      <c r="R314" s="884"/>
      <c r="S314" s="884"/>
      <c r="T314" s="884"/>
      <c r="U314" s="884"/>
      <c r="V314" s="884"/>
      <c r="W314" s="884"/>
      <c r="X314" s="884"/>
      <c r="Y314" s="884"/>
      <c r="Z314" s="884"/>
      <c r="AA314" s="884"/>
      <c r="AB314" s="884"/>
      <c r="AC314" s="884"/>
      <c r="AD314" s="884"/>
      <c r="AE314" s="884"/>
      <c r="AF314" s="884"/>
      <c r="AG314" s="768">
        <f t="shared" si="101"/>
        <v>0</v>
      </c>
    </row>
    <row r="315">
      <c r="A315" s="897" t="s">
        <v>778</v>
      </c>
      <c r="B315" s="54"/>
      <c r="C315" s="54"/>
      <c r="D315" s="54"/>
      <c r="E315" s="54"/>
      <c r="F315" s="884"/>
      <c r="G315" s="884"/>
      <c r="H315" s="884"/>
      <c r="I315" s="884"/>
      <c r="J315" s="884"/>
      <c r="K315" s="884"/>
      <c r="L315" s="884"/>
      <c r="M315" s="884"/>
      <c r="N315" s="884"/>
      <c r="O315" s="884"/>
      <c r="P315" s="884"/>
      <c r="Q315" s="884"/>
      <c r="R315" s="884"/>
      <c r="S315" s="884"/>
      <c r="T315" s="884"/>
      <c r="U315" s="884"/>
      <c r="V315" s="884"/>
      <c r="W315" s="884"/>
      <c r="X315" s="884"/>
      <c r="Y315" s="884"/>
      <c r="Z315" s="884"/>
      <c r="AA315" s="884"/>
      <c r="AB315" s="884"/>
      <c r="AC315" s="884"/>
      <c r="AD315" s="884"/>
      <c r="AE315" s="884"/>
      <c r="AF315" s="884"/>
      <c r="AG315" s="768">
        <f t="shared" si="101"/>
        <v>0</v>
      </c>
    </row>
    <row r="316">
      <c r="A316" s="907" t="s">
        <v>779</v>
      </c>
      <c r="B316" s="901">
        <f t="shared" ref="B316:AF316" si="102">SUM(B311:B315)</f>
        <v>0</v>
      </c>
      <c r="C316" s="901">
        <f t="shared" si="102"/>
        <v>0</v>
      </c>
      <c r="D316" s="901">
        <f t="shared" si="102"/>
        <v>0</v>
      </c>
      <c r="E316" s="901">
        <f t="shared" si="102"/>
        <v>0</v>
      </c>
      <c r="F316" s="901">
        <f t="shared" si="102"/>
        <v>0</v>
      </c>
      <c r="G316" s="901">
        <f t="shared" si="102"/>
        <v>0</v>
      </c>
      <c r="H316" s="901">
        <f t="shared" si="102"/>
        <v>0</v>
      </c>
      <c r="I316" s="901">
        <f t="shared" si="102"/>
        <v>0</v>
      </c>
      <c r="J316" s="901">
        <f t="shared" si="102"/>
        <v>0</v>
      </c>
      <c r="K316" s="901">
        <f t="shared" si="102"/>
        <v>0</v>
      </c>
      <c r="L316" s="901">
        <f t="shared" si="102"/>
        <v>0</v>
      </c>
      <c r="M316" s="901">
        <f t="shared" si="102"/>
        <v>0</v>
      </c>
      <c r="N316" s="901">
        <f t="shared" si="102"/>
        <v>0</v>
      </c>
      <c r="O316" s="901">
        <f t="shared" si="102"/>
        <v>0</v>
      </c>
      <c r="P316" s="901">
        <f t="shared" si="102"/>
        <v>0</v>
      </c>
      <c r="Q316" s="901">
        <f t="shared" si="102"/>
        <v>0</v>
      </c>
      <c r="R316" s="901">
        <f t="shared" si="102"/>
        <v>0</v>
      </c>
      <c r="S316" s="901">
        <f t="shared" si="102"/>
        <v>0</v>
      </c>
      <c r="T316" s="901">
        <f t="shared" si="102"/>
        <v>0</v>
      </c>
      <c r="U316" s="901">
        <f t="shared" si="102"/>
        <v>0</v>
      </c>
      <c r="V316" s="901">
        <f t="shared" si="102"/>
        <v>0</v>
      </c>
      <c r="W316" s="901">
        <f t="shared" si="102"/>
        <v>0</v>
      </c>
      <c r="X316" s="901">
        <f t="shared" si="102"/>
        <v>0</v>
      </c>
      <c r="Y316" s="901">
        <f t="shared" si="102"/>
        <v>0</v>
      </c>
      <c r="Z316" s="901">
        <f t="shared" si="102"/>
        <v>0</v>
      </c>
      <c r="AA316" s="901">
        <f t="shared" si="102"/>
        <v>0</v>
      </c>
      <c r="AB316" s="901">
        <f t="shared" si="102"/>
        <v>0</v>
      </c>
      <c r="AC316" s="901">
        <f t="shared" si="102"/>
        <v>0</v>
      </c>
      <c r="AD316" s="901">
        <f t="shared" si="102"/>
        <v>0</v>
      </c>
      <c r="AE316" s="901">
        <f t="shared" si="102"/>
        <v>0</v>
      </c>
      <c r="AF316" s="901">
        <f t="shared" si="102"/>
        <v>0</v>
      </c>
      <c r="AG316" s="768">
        <f t="shared" si="101"/>
        <v>0</v>
      </c>
    </row>
    <row r="317">
      <c r="A317" s="835"/>
      <c r="B317" s="911"/>
      <c r="AG317" s="768"/>
    </row>
    <row r="318">
      <c r="A318" s="897" t="s">
        <v>782</v>
      </c>
      <c r="B318" s="54">
        <v>0.0</v>
      </c>
      <c r="C318" s="54">
        <v>0.0</v>
      </c>
      <c r="D318" s="54">
        <v>0.0</v>
      </c>
      <c r="E318" s="54">
        <v>0.0</v>
      </c>
      <c r="F318" s="884"/>
      <c r="G318" s="55"/>
      <c r="H318" s="910"/>
      <c r="I318" s="55"/>
      <c r="J318" s="910"/>
      <c r="K318" s="910"/>
      <c r="L318" s="910"/>
      <c r="M318" s="910"/>
      <c r="N318" s="55"/>
      <c r="O318" s="884"/>
      <c r="P318" s="884"/>
      <c r="Q318" s="884"/>
      <c r="R318" s="884"/>
      <c r="S318" s="884"/>
      <c r="T318" s="884"/>
      <c r="U318" s="884"/>
      <c r="V318" s="884"/>
      <c r="W318" s="884"/>
      <c r="X318" s="884"/>
      <c r="Y318" s="884"/>
      <c r="Z318" s="884"/>
      <c r="AA318" s="884"/>
      <c r="AB318" s="884"/>
      <c r="AC318" s="884"/>
      <c r="AD318" s="884"/>
      <c r="AE318" s="884"/>
      <c r="AF318" s="884"/>
      <c r="AG318" s="768">
        <f t="shared" ref="AG318:AG320" si="103">SUM(B318:AF318)</f>
        <v>0</v>
      </c>
    </row>
    <row r="319">
      <c r="A319" s="897" t="s">
        <v>783</v>
      </c>
      <c r="B319" s="54">
        <v>0.0</v>
      </c>
      <c r="C319" s="54">
        <v>0.0</v>
      </c>
      <c r="D319" s="54">
        <v>0.0</v>
      </c>
      <c r="E319" s="54">
        <v>0.0</v>
      </c>
      <c r="F319" s="884"/>
      <c r="G319" s="910"/>
      <c r="H319" s="910"/>
      <c r="I319" s="910"/>
      <c r="J319" s="910"/>
      <c r="K319" s="910"/>
      <c r="L319" s="910"/>
      <c r="M319" s="910"/>
      <c r="N319" s="910"/>
      <c r="O319" s="884"/>
      <c r="P319" s="884"/>
      <c r="Q319" s="884"/>
      <c r="R319" s="884"/>
      <c r="S319" s="884"/>
      <c r="T319" s="884"/>
      <c r="U319" s="884"/>
      <c r="V319" s="884"/>
      <c r="W319" s="884"/>
      <c r="X319" s="884"/>
      <c r="Y319" s="884"/>
      <c r="Z319" s="884"/>
      <c r="AA319" s="884"/>
      <c r="AB319" s="884"/>
      <c r="AC319" s="884"/>
      <c r="AD319" s="884"/>
      <c r="AE319" s="884"/>
      <c r="AF319" s="884"/>
      <c r="AG319" s="768">
        <f t="shared" si="103"/>
        <v>0</v>
      </c>
    </row>
    <row r="320">
      <c r="A320" s="907" t="s">
        <v>151</v>
      </c>
      <c r="B320" s="912">
        <f t="shared" ref="B320:AF320" si="104">SUM(B318:B319)</f>
        <v>0</v>
      </c>
      <c r="C320" s="901">
        <f t="shared" si="104"/>
        <v>0</v>
      </c>
      <c r="D320" s="901">
        <f t="shared" si="104"/>
        <v>0</v>
      </c>
      <c r="E320" s="901">
        <f t="shared" si="104"/>
        <v>0</v>
      </c>
      <c r="F320" s="901">
        <f t="shared" si="104"/>
        <v>0</v>
      </c>
      <c r="G320" s="901">
        <f t="shared" si="104"/>
        <v>0</v>
      </c>
      <c r="H320" s="901">
        <f t="shared" si="104"/>
        <v>0</v>
      </c>
      <c r="I320" s="901">
        <f t="shared" si="104"/>
        <v>0</v>
      </c>
      <c r="J320" s="901">
        <f t="shared" si="104"/>
        <v>0</v>
      </c>
      <c r="K320" s="901">
        <f t="shared" si="104"/>
        <v>0</v>
      </c>
      <c r="L320" s="901">
        <f t="shared" si="104"/>
        <v>0</v>
      </c>
      <c r="M320" s="901">
        <f t="shared" si="104"/>
        <v>0</v>
      </c>
      <c r="N320" s="901">
        <f t="shared" si="104"/>
        <v>0</v>
      </c>
      <c r="O320" s="901">
        <f t="shared" si="104"/>
        <v>0</v>
      </c>
      <c r="P320" s="901">
        <f t="shared" si="104"/>
        <v>0</v>
      </c>
      <c r="Q320" s="901">
        <f t="shared" si="104"/>
        <v>0</v>
      </c>
      <c r="R320" s="901">
        <f t="shared" si="104"/>
        <v>0</v>
      </c>
      <c r="S320" s="901">
        <f t="shared" si="104"/>
        <v>0</v>
      </c>
      <c r="T320" s="901">
        <f t="shared" si="104"/>
        <v>0</v>
      </c>
      <c r="U320" s="901">
        <f t="shared" si="104"/>
        <v>0</v>
      </c>
      <c r="V320" s="901">
        <f t="shared" si="104"/>
        <v>0</v>
      </c>
      <c r="W320" s="901">
        <f t="shared" si="104"/>
        <v>0</v>
      </c>
      <c r="X320" s="901">
        <f t="shared" si="104"/>
        <v>0</v>
      </c>
      <c r="Y320" s="901">
        <f t="shared" si="104"/>
        <v>0</v>
      </c>
      <c r="Z320" s="901">
        <f t="shared" si="104"/>
        <v>0</v>
      </c>
      <c r="AA320" s="901">
        <f t="shared" si="104"/>
        <v>0</v>
      </c>
      <c r="AB320" s="901">
        <f t="shared" si="104"/>
        <v>0</v>
      </c>
      <c r="AC320" s="901">
        <f t="shared" si="104"/>
        <v>0</v>
      </c>
      <c r="AD320" s="901">
        <f t="shared" si="104"/>
        <v>0</v>
      </c>
      <c r="AE320" s="901">
        <f t="shared" si="104"/>
        <v>0</v>
      </c>
      <c r="AF320" s="901">
        <f t="shared" si="104"/>
        <v>0</v>
      </c>
      <c r="AG320" s="768">
        <f t="shared" si="103"/>
        <v>0</v>
      </c>
    </row>
    <row r="321">
      <c r="A321" s="835"/>
      <c r="B321" s="911"/>
      <c r="AG321" s="11"/>
    </row>
    <row r="322">
      <c r="A322" s="897" t="s">
        <v>730</v>
      </c>
      <c r="B322" s="54">
        <v>0.0</v>
      </c>
      <c r="C322" s="54">
        <v>0.0</v>
      </c>
      <c r="D322" s="54">
        <v>0.0</v>
      </c>
      <c r="E322" s="54">
        <v>0.0</v>
      </c>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768">
        <f t="shared" ref="AG322:AG324" si="105">SUM(B322:AF322)</f>
        <v>0</v>
      </c>
    </row>
    <row r="323">
      <c r="A323" s="897" t="s">
        <v>732</v>
      </c>
      <c r="B323" s="54">
        <v>0.0</v>
      </c>
      <c r="C323" s="54">
        <v>0.0</v>
      </c>
      <c r="D323" s="54">
        <v>0.0</v>
      </c>
      <c r="E323" s="54">
        <v>0.0</v>
      </c>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768">
        <f t="shared" si="105"/>
        <v>0</v>
      </c>
    </row>
    <row r="324">
      <c r="A324" s="907" t="s">
        <v>151</v>
      </c>
      <c r="B324" s="901">
        <f t="shared" ref="B324:AF324" si="106">SUM(B322:B323)</f>
        <v>0</v>
      </c>
      <c r="C324" s="901">
        <f t="shared" si="106"/>
        <v>0</v>
      </c>
      <c r="D324" s="901">
        <f t="shared" si="106"/>
        <v>0</v>
      </c>
      <c r="E324" s="901">
        <f t="shared" si="106"/>
        <v>0</v>
      </c>
      <c r="F324" s="901">
        <f t="shared" si="106"/>
        <v>0</v>
      </c>
      <c r="G324" s="901">
        <f t="shared" si="106"/>
        <v>0</v>
      </c>
      <c r="H324" s="901">
        <f t="shared" si="106"/>
        <v>0</v>
      </c>
      <c r="I324" s="901">
        <f t="shared" si="106"/>
        <v>0</v>
      </c>
      <c r="J324" s="901">
        <f t="shared" si="106"/>
        <v>0</v>
      </c>
      <c r="K324" s="901">
        <f t="shared" si="106"/>
        <v>0</v>
      </c>
      <c r="L324" s="901">
        <f t="shared" si="106"/>
        <v>0</v>
      </c>
      <c r="M324" s="901">
        <f t="shared" si="106"/>
        <v>0</v>
      </c>
      <c r="N324" s="901">
        <f t="shared" si="106"/>
        <v>0</v>
      </c>
      <c r="O324" s="901">
        <f t="shared" si="106"/>
        <v>0</v>
      </c>
      <c r="P324" s="901">
        <f t="shared" si="106"/>
        <v>0</v>
      </c>
      <c r="Q324" s="901">
        <f t="shared" si="106"/>
        <v>0</v>
      </c>
      <c r="R324" s="901">
        <f t="shared" si="106"/>
        <v>0</v>
      </c>
      <c r="S324" s="901">
        <f t="shared" si="106"/>
        <v>0</v>
      </c>
      <c r="T324" s="901">
        <f t="shared" si="106"/>
        <v>0</v>
      </c>
      <c r="U324" s="901">
        <f t="shared" si="106"/>
        <v>0</v>
      </c>
      <c r="V324" s="901">
        <f t="shared" si="106"/>
        <v>0</v>
      </c>
      <c r="W324" s="901">
        <f t="shared" si="106"/>
        <v>0</v>
      </c>
      <c r="X324" s="901">
        <f t="shared" si="106"/>
        <v>0</v>
      </c>
      <c r="Y324" s="901">
        <f t="shared" si="106"/>
        <v>0</v>
      </c>
      <c r="Z324" s="901">
        <f t="shared" si="106"/>
        <v>0</v>
      </c>
      <c r="AA324" s="901">
        <f t="shared" si="106"/>
        <v>0</v>
      </c>
      <c r="AB324" s="901">
        <f t="shared" si="106"/>
        <v>0</v>
      </c>
      <c r="AC324" s="901">
        <f t="shared" si="106"/>
        <v>0</v>
      </c>
      <c r="AD324" s="901">
        <f t="shared" si="106"/>
        <v>0</v>
      </c>
      <c r="AE324" s="901">
        <f t="shared" si="106"/>
        <v>0</v>
      </c>
      <c r="AF324" s="901">
        <f t="shared" si="106"/>
        <v>0</v>
      </c>
      <c r="AG324" s="768">
        <f t="shared" si="105"/>
        <v>0</v>
      </c>
    </row>
    <row r="325">
      <c r="A325" s="835"/>
      <c r="AG325" s="11"/>
    </row>
    <row r="326">
      <c r="A326" s="897" t="s">
        <v>785</v>
      </c>
      <c r="B326" s="301">
        <v>0.0</v>
      </c>
      <c r="C326" s="301">
        <v>0.0</v>
      </c>
      <c r="D326" s="301">
        <v>0.0</v>
      </c>
      <c r="E326" s="301">
        <v>0.0</v>
      </c>
      <c r="F326" s="877">
        <v>0.0</v>
      </c>
      <c r="G326" s="301">
        <v>0.0</v>
      </c>
      <c r="H326" s="301">
        <v>0.0</v>
      </c>
      <c r="I326" s="301">
        <v>0.0</v>
      </c>
      <c r="J326" s="301">
        <v>0.0</v>
      </c>
      <c r="K326" s="301">
        <v>0.0</v>
      </c>
      <c r="L326" s="301">
        <v>0.0</v>
      </c>
      <c r="M326" s="301">
        <v>0.0</v>
      </c>
      <c r="N326" s="301">
        <v>0.0</v>
      </c>
      <c r="O326" s="301">
        <v>0.0</v>
      </c>
      <c r="P326" s="301">
        <v>0.0</v>
      </c>
      <c r="Q326" s="301">
        <v>0.0</v>
      </c>
      <c r="R326" s="301">
        <v>0.0</v>
      </c>
      <c r="S326" s="877">
        <v>0.0</v>
      </c>
      <c r="T326" s="877">
        <v>0.0</v>
      </c>
      <c r="U326" s="877"/>
      <c r="V326" s="301"/>
      <c r="W326" s="877"/>
      <c r="X326" s="877"/>
      <c r="Y326" s="301"/>
      <c r="Z326" s="301"/>
      <c r="AA326" s="301"/>
      <c r="AB326" s="301"/>
      <c r="AC326" s="301"/>
      <c r="AD326" s="301"/>
      <c r="AE326" s="301"/>
      <c r="AF326" s="301"/>
      <c r="AG326" s="768"/>
    </row>
    <row r="327">
      <c r="A327" s="907" t="s">
        <v>786</v>
      </c>
      <c r="B327" s="901">
        <f t="shared" ref="B327:AF327" si="107">B326</f>
        <v>0</v>
      </c>
      <c r="C327" s="901">
        <f t="shared" si="107"/>
        <v>0</v>
      </c>
      <c r="D327" s="901">
        <f t="shared" si="107"/>
        <v>0</v>
      </c>
      <c r="E327" s="901">
        <f t="shared" si="107"/>
        <v>0</v>
      </c>
      <c r="F327" s="901">
        <f t="shared" si="107"/>
        <v>0</v>
      </c>
      <c r="G327" s="901">
        <f t="shared" si="107"/>
        <v>0</v>
      </c>
      <c r="H327" s="901">
        <f t="shared" si="107"/>
        <v>0</v>
      </c>
      <c r="I327" s="901">
        <f t="shared" si="107"/>
        <v>0</v>
      </c>
      <c r="J327" s="901">
        <f t="shared" si="107"/>
        <v>0</v>
      </c>
      <c r="K327" s="901">
        <f t="shared" si="107"/>
        <v>0</v>
      </c>
      <c r="L327" s="901">
        <f t="shared" si="107"/>
        <v>0</v>
      </c>
      <c r="M327" s="901">
        <f t="shared" si="107"/>
        <v>0</v>
      </c>
      <c r="N327" s="901">
        <f t="shared" si="107"/>
        <v>0</v>
      </c>
      <c r="O327" s="901">
        <f t="shared" si="107"/>
        <v>0</v>
      </c>
      <c r="P327" s="901">
        <f t="shared" si="107"/>
        <v>0</v>
      </c>
      <c r="Q327" s="901">
        <f t="shared" si="107"/>
        <v>0</v>
      </c>
      <c r="R327" s="901">
        <f t="shared" si="107"/>
        <v>0</v>
      </c>
      <c r="S327" s="901">
        <f t="shared" si="107"/>
        <v>0</v>
      </c>
      <c r="T327" s="901">
        <f t="shared" si="107"/>
        <v>0</v>
      </c>
      <c r="U327" s="901" t="str">
        <f t="shared" si="107"/>
        <v/>
      </c>
      <c r="V327" s="901" t="str">
        <f t="shared" si="107"/>
        <v/>
      </c>
      <c r="W327" s="901" t="str">
        <f t="shared" si="107"/>
        <v/>
      </c>
      <c r="X327" s="901" t="str">
        <f t="shared" si="107"/>
        <v/>
      </c>
      <c r="Y327" s="901" t="str">
        <f t="shared" si="107"/>
        <v/>
      </c>
      <c r="Z327" s="901" t="str">
        <f t="shared" si="107"/>
        <v/>
      </c>
      <c r="AA327" s="901" t="str">
        <f t="shared" si="107"/>
        <v/>
      </c>
      <c r="AB327" s="901" t="str">
        <f t="shared" si="107"/>
        <v/>
      </c>
      <c r="AC327" s="901" t="str">
        <f t="shared" si="107"/>
        <v/>
      </c>
      <c r="AD327" s="901" t="str">
        <f t="shared" si="107"/>
        <v/>
      </c>
      <c r="AE327" s="901" t="str">
        <f t="shared" si="107"/>
        <v/>
      </c>
      <c r="AF327" s="901" t="str">
        <f t="shared" si="107"/>
        <v/>
      </c>
      <c r="AG327" s="768">
        <f>SUM(B327:AF327)</f>
        <v>0</v>
      </c>
    </row>
    <row r="328">
      <c r="A328" s="835"/>
      <c r="AG328" s="11"/>
    </row>
    <row r="329">
      <c r="A329" s="648" t="s">
        <v>823</v>
      </c>
      <c r="AG329" s="11"/>
    </row>
    <row r="330">
      <c r="A330" s="897" t="s">
        <v>752</v>
      </c>
      <c r="B330" s="301">
        <v>0.0</v>
      </c>
      <c r="C330" s="301">
        <v>0.0</v>
      </c>
      <c r="D330" s="301">
        <v>0.0</v>
      </c>
      <c r="E330" s="301">
        <v>1.0</v>
      </c>
      <c r="F330" s="877">
        <v>0.0</v>
      </c>
      <c r="G330" s="877">
        <v>0.0</v>
      </c>
      <c r="H330" s="301">
        <v>1.0</v>
      </c>
      <c r="I330" s="301">
        <v>0.0</v>
      </c>
      <c r="J330" s="301">
        <v>0.0</v>
      </c>
      <c r="K330" s="301">
        <v>1.0</v>
      </c>
      <c r="L330" s="301">
        <v>2.0</v>
      </c>
      <c r="M330" s="301">
        <v>0.0</v>
      </c>
      <c r="N330" s="301">
        <v>1.0</v>
      </c>
      <c r="O330" s="301">
        <v>3.0</v>
      </c>
      <c r="P330" s="301">
        <v>0.0</v>
      </c>
      <c r="Q330" s="301">
        <v>1.0</v>
      </c>
      <c r="R330" s="301">
        <v>2.0</v>
      </c>
      <c r="S330" s="877">
        <v>1.0</v>
      </c>
      <c r="T330" s="301">
        <v>0.0</v>
      </c>
      <c r="U330" s="301">
        <v>1.0</v>
      </c>
      <c r="V330" s="301">
        <v>0.0</v>
      </c>
      <c r="W330" s="877">
        <v>0.0</v>
      </c>
      <c r="X330" s="877">
        <v>0.0</v>
      </c>
      <c r="Y330" s="301">
        <v>3.0</v>
      </c>
      <c r="Z330" s="301">
        <v>1.0</v>
      </c>
      <c r="AA330" s="301">
        <v>23.0</v>
      </c>
      <c r="AB330" s="301">
        <v>9.0</v>
      </c>
      <c r="AC330" s="301">
        <v>20.0</v>
      </c>
      <c r="AD330" s="301">
        <v>12.0</v>
      </c>
      <c r="AE330" s="301">
        <v>12.0</v>
      </c>
      <c r="AF330" s="301">
        <v>9.0</v>
      </c>
      <c r="AG330" s="768">
        <f t="shared" ref="AG330:AG337" si="108">SUM(B330:AF330)</f>
        <v>103</v>
      </c>
    </row>
    <row r="331">
      <c r="A331" s="897" t="s">
        <v>753</v>
      </c>
      <c r="B331" s="301">
        <v>0.0</v>
      </c>
      <c r="C331" s="301">
        <v>0.0</v>
      </c>
      <c r="D331" s="301">
        <v>0.0</v>
      </c>
      <c r="E331" s="301">
        <v>0.0</v>
      </c>
      <c r="F331" s="877">
        <v>0.0</v>
      </c>
      <c r="G331" s="877">
        <v>0.0</v>
      </c>
      <c r="H331" s="301">
        <v>0.0</v>
      </c>
      <c r="I331" s="301">
        <v>0.0</v>
      </c>
      <c r="J331" s="301">
        <v>0.0</v>
      </c>
      <c r="K331" s="301">
        <v>0.0</v>
      </c>
      <c r="L331" s="301">
        <v>0.0</v>
      </c>
      <c r="M331" s="301">
        <v>0.0</v>
      </c>
      <c r="N331" s="301">
        <v>0.0</v>
      </c>
      <c r="O331" s="301">
        <v>3.0</v>
      </c>
      <c r="P331" s="301">
        <v>0.0</v>
      </c>
      <c r="Q331" s="301">
        <v>0.0</v>
      </c>
      <c r="R331" s="301">
        <v>0.0</v>
      </c>
      <c r="S331" s="877">
        <v>0.0</v>
      </c>
      <c r="T331" s="301">
        <v>1.0</v>
      </c>
      <c r="U331" s="301">
        <v>0.0</v>
      </c>
      <c r="V331" s="301">
        <v>0.0</v>
      </c>
      <c r="W331" s="301">
        <v>0.0</v>
      </c>
      <c r="X331" s="301">
        <v>0.0</v>
      </c>
      <c r="Y331" s="301">
        <v>4.0</v>
      </c>
      <c r="Z331" s="301">
        <v>0.0</v>
      </c>
      <c r="AA331" s="301">
        <v>22.0</v>
      </c>
      <c r="AB331" s="301">
        <v>8.0</v>
      </c>
      <c r="AC331" s="301">
        <v>38.0</v>
      </c>
      <c r="AD331" s="301">
        <v>14.0</v>
      </c>
      <c r="AE331" s="301">
        <v>18.0</v>
      </c>
      <c r="AF331" s="301">
        <v>7.0</v>
      </c>
      <c r="AG331" s="768">
        <f t="shared" si="108"/>
        <v>115</v>
      </c>
    </row>
    <row r="332">
      <c r="A332" s="897" t="s">
        <v>754</v>
      </c>
      <c r="B332" s="301">
        <v>0.0</v>
      </c>
      <c r="C332" s="301">
        <v>0.0</v>
      </c>
      <c r="D332" s="301">
        <v>0.0</v>
      </c>
      <c r="E332" s="301">
        <v>0.0</v>
      </c>
      <c r="F332" s="877">
        <v>0.0</v>
      </c>
      <c r="G332" s="877">
        <v>0.0</v>
      </c>
      <c r="H332" s="301">
        <v>0.0</v>
      </c>
      <c r="I332" s="301">
        <v>0.0</v>
      </c>
      <c r="J332" s="301">
        <v>0.0</v>
      </c>
      <c r="K332" s="301">
        <v>0.0</v>
      </c>
      <c r="L332" s="301">
        <v>0.0</v>
      </c>
      <c r="M332" s="301">
        <v>0.0</v>
      </c>
      <c r="N332" s="301">
        <v>0.0</v>
      </c>
      <c r="O332" s="301">
        <v>0.0</v>
      </c>
      <c r="P332" s="301">
        <v>0.0</v>
      </c>
      <c r="Q332" s="301">
        <v>0.0</v>
      </c>
      <c r="R332" s="301">
        <v>1.0</v>
      </c>
      <c r="S332" s="877">
        <v>1.0</v>
      </c>
      <c r="T332" s="301">
        <v>0.0</v>
      </c>
      <c r="U332" s="301">
        <v>0.0</v>
      </c>
      <c r="V332" s="301">
        <v>0.0</v>
      </c>
      <c r="W332" s="301">
        <v>0.0</v>
      </c>
      <c r="X332" s="301">
        <v>0.0</v>
      </c>
      <c r="Y332" s="301">
        <v>1.0</v>
      </c>
      <c r="Z332" s="301">
        <v>0.0</v>
      </c>
      <c r="AA332" s="301">
        <v>0.0</v>
      </c>
      <c r="AB332" s="301">
        <v>0.0</v>
      </c>
      <c r="AC332" s="301">
        <v>0.0</v>
      </c>
      <c r="AD332" s="301">
        <v>0.0</v>
      </c>
      <c r="AE332" s="301">
        <v>0.0</v>
      </c>
      <c r="AF332" s="301">
        <v>1.0</v>
      </c>
      <c r="AG332" s="768">
        <f t="shared" si="108"/>
        <v>4</v>
      </c>
    </row>
    <row r="333">
      <c r="A333" s="897" t="s">
        <v>755</v>
      </c>
      <c r="B333" s="301">
        <v>0.0</v>
      </c>
      <c r="C333" s="301">
        <v>0.0</v>
      </c>
      <c r="D333" s="301">
        <v>0.0</v>
      </c>
      <c r="E333" s="301">
        <v>0.0</v>
      </c>
      <c r="F333" s="877">
        <v>0.0</v>
      </c>
      <c r="G333" s="877">
        <v>0.0</v>
      </c>
      <c r="H333" s="301">
        <v>0.0</v>
      </c>
      <c r="I333" s="301">
        <v>0.0</v>
      </c>
      <c r="J333" s="301">
        <v>0.0</v>
      </c>
      <c r="K333" s="301">
        <v>0.0</v>
      </c>
      <c r="L333" s="301">
        <v>0.0</v>
      </c>
      <c r="M333" s="301">
        <v>0.0</v>
      </c>
      <c r="N333" s="301">
        <v>0.0</v>
      </c>
      <c r="O333" s="301">
        <v>0.0</v>
      </c>
      <c r="P333" s="301">
        <v>0.0</v>
      </c>
      <c r="Q333" s="301">
        <v>0.0</v>
      </c>
      <c r="R333" s="301">
        <v>0.0</v>
      </c>
      <c r="S333" s="877">
        <v>0.0</v>
      </c>
      <c r="T333" s="301">
        <v>0.0</v>
      </c>
      <c r="U333" s="301">
        <v>0.0</v>
      </c>
      <c r="V333" s="301">
        <v>0.0</v>
      </c>
      <c r="W333" s="301">
        <v>0.0</v>
      </c>
      <c r="X333" s="301">
        <v>0.0</v>
      </c>
      <c r="Y333" s="301">
        <v>0.0</v>
      </c>
      <c r="Z333" s="301">
        <v>0.0</v>
      </c>
      <c r="AA333" s="301">
        <v>0.0</v>
      </c>
      <c r="AB333" s="301">
        <v>0.0</v>
      </c>
      <c r="AC333" s="301">
        <v>0.0</v>
      </c>
      <c r="AD333" s="301">
        <v>0.0</v>
      </c>
      <c r="AE333" s="301">
        <v>0.0</v>
      </c>
      <c r="AF333" s="301">
        <v>0.0</v>
      </c>
      <c r="AG333" s="768">
        <f t="shared" si="108"/>
        <v>0</v>
      </c>
    </row>
    <row r="334">
      <c r="A334" s="897" t="s">
        <v>756</v>
      </c>
      <c r="B334" s="301">
        <v>0.0</v>
      </c>
      <c r="C334" s="301">
        <v>0.0</v>
      </c>
      <c r="D334" s="301">
        <v>0.0</v>
      </c>
      <c r="E334" s="301">
        <v>0.0</v>
      </c>
      <c r="F334" s="877">
        <v>0.0</v>
      </c>
      <c r="G334" s="877">
        <v>0.0</v>
      </c>
      <c r="H334" s="301">
        <v>0.0</v>
      </c>
      <c r="I334" s="301">
        <v>0.0</v>
      </c>
      <c r="J334" s="301">
        <v>0.0</v>
      </c>
      <c r="K334" s="301">
        <v>0.0</v>
      </c>
      <c r="L334" s="301">
        <v>0.0</v>
      </c>
      <c r="M334" s="301">
        <v>0.0</v>
      </c>
      <c r="N334" s="301">
        <v>0.0</v>
      </c>
      <c r="O334" s="301">
        <v>0.0</v>
      </c>
      <c r="P334" s="301">
        <v>0.0</v>
      </c>
      <c r="Q334" s="301">
        <v>0.0</v>
      </c>
      <c r="R334" s="301">
        <v>0.0</v>
      </c>
      <c r="S334" s="877">
        <v>0.0</v>
      </c>
      <c r="T334" s="301">
        <v>0.0</v>
      </c>
      <c r="U334" s="301">
        <v>0.0</v>
      </c>
      <c r="V334" s="301">
        <v>0.0</v>
      </c>
      <c r="W334" s="301">
        <v>0.0</v>
      </c>
      <c r="X334" s="301">
        <v>0.0</v>
      </c>
      <c r="Y334" s="301">
        <v>0.0</v>
      </c>
      <c r="Z334" s="301">
        <v>0.0</v>
      </c>
      <c r="AA334" s="301">
        <v>0.0</v>
      </c>
      <c r="AB334" s="301">
        <v>0.0</v>
      </c>
      <c r="AC334" s="301">
        <v>0.0</v>
      </c>
      <c r="AD334" s="301">
        <v>0.0</v>
      </c>
      <c r="AE334" s="301">
        <v>0.0</v>
      </c>
      <c r="AF334" s="301">
        <v>0.0</v>
      </c>
      <c r="AG334" s="768">
        <f t="shared" si="108"/>
        <v>0</v>
      </c>
    </row>
    <row r="335">
      <c r="A335" s="897" t="s">
        <v>757</v>
      </c>
      <c r="B335" s="301">
        <v>0.0</v>
      </c>
      <c r="C335" s="301">
        <v>0.0</v>
      </c>
      <c r="D335" s="301">
        <v>0.0</v>
      </c>
      <c r="E335" s="301">
        <v>0.0</v>
      </c>
      <c r="F335" s="877">
        <v>0.0</v>
      </c>
      <c r="G335" s="877">
        <v>0.0</v>
      </c>
      <c r="H335" s="301">
        <v>0.0</v>
      </c>
      <c r="I335" s="301">
        <v>0.0</v>
      </c>
      <c r="J335" s="301">
        <v>0.0</v>
      </c>
      <c r="K335" s="301">
        <v>0.0</v>
      </c>
      <c r="L335" s="301">
        <v>0.0</v>
      </c>
      <c r="M335" s="301">
        <v>0.0</v>
      </c>
      <c r="N335" s="301">
        <v>0.0</v>
      </c>
      <c r="O335" s="301">
        <v>0.0</v>
      </c>
      <c r="P335" s="301">
        <v>0.0</v>
      </c>
      <c r="Q335" s="301">
        <v>0.0</v>
      </c>
      <c r="R335" s="301">
        <v>0.0</v>
      </c>
      <c r="S335" s="877">
        <v>0.0</v>
      </c>
      <c r="T335" s="301">
        <v>0.0</v>
      </c>
      <c r="U335" s="301">
        <v>0.0</v>
      </c>
      <c r="V335" s="301">
        <v>0.0</v>
      </c>
      <c r="W335" s="301">
        <v>0.0</v>
      </c>
      <c r="X335" s="301">
        <v>0.0</v>
      </c>
      <c r="Y335" s="301">
        <v>0.0</v>
      </c>
      <c r="Z335" s="301">
        <v>0.0</v>
      </c>
      <c r="AA335" s="301">
        <v>0.0</v>
      </c>
      <c r="AB335" s="301">
        <v>0.0</v>
      </c>
      <c r="AC335" s="301">
        <v>0.0</v>
      </c>
      <c r="AD335" s="301">
        <v>0.0</v>
      </c>
      <c r="AE335" s="301">
        <v>0.0</v>
      </c>
      <c r="AF335" s="301">
        <v>0.0</v>
      </c>
      <c r="AG335" s="768">
        <f t="shared" si="108"/>
        <v>0</v>
      </c>
    </row>
    <row r="336">
      <c r="A336" s="900" t="s">
        <v>725</v>
      </c>
      <c r="B336" s="901">
        <f t="shared" ref="B336:V336" si="109">B330+B332+B334</f>
        <v>0</v>
      </c>
      <c r="C336" s="901">
        <f t="shared" si="109"/>
        <v>0</v>
      </c>
      <c r="D336" s="901">
        <f t="shared" si="109"/>
        <v>0</v>
      </c>
      <c r="E336" s="901">
        <f t="shared" si="109"/>
        <v>1</v>
      </c>
      <c r="F336" s="901">
        <f t="shared" si="109"/>
        <v>0</v>
      </c>
      <c r="G336" s="901">
        <f t="shared" si="109"/>
        <v>0</v>
      </c>
      <c r="H336" s="901">
        <f t="shared" si="109"/>
        <v>1</v>
      </c>
      <c r="I336" s="901">
        <f t="shared" si="109"/>
        <v>0</v>
      </c>
      <c r="J336" s="901">
        <f t="shared" si="109"/>
        <v>0</v>
      </c>
      <c r="K336" s="901">
        <f t="shared" si="109"/>
        <v>1</v>
      </c>
      <c r="L336" s="901">
        <f t="shared" si="109"/>
        <v>2</v>
      </c>
      <c r="M336" s="901">
        <f t="shared" si="109"/>
        <v>0</v>
      </c>
      <c r="N336" s="901">
        <f t="shared" si="109"/>
        <v>1</v>
      </c>
      <c r="O336" s="901">
        <f t="shared" si="109"/>
        <v>3</v>
      </c>
      <c r="P336" s="901">
        <f t="shared" si="109"/>
        <v>0</v>
      </c>
      <c r="Q336" s="901">
        <f t="shared" si="109"/>
        <v>1</v>
      </c>
      <c r="R336" s="901">
        <f t="shared" si="109"/>
        <v>3</v>
      </c>
      <c r="S336" s="901">
        <f t="shared" si="109"/>
        <v>2</v>
      </c>
      <c r="T336" s="901">
        <f t="shared" si="109"/>
        <v>0</v>
      </c>
      <c r="U336" s="901">
        <f t="shared" si="109"/>
        <v>1</v>
      </c>
      <c r="V336" s="901">
        <f t="shared" si="109"/>
        <v>0</v>
      </c>
      <c r="W336" s="901">
        <f>W330+W331+W334</f>
        <v>0</v>
      </c>
      <c r="X336" s="901">
        <f t="shared" ref="X336:AF336" si="110">X330+X332+X334</f>
        <v>0</v>
      </c>
      <c r="Y336" s="901">
        <f t="shared" si="110"/>
        <v>4</v>
      </c>
      <c r="Z336" s="901">
        <f t="shared" si="110"/>
        <v>1</v>
      </c>
      <c r="AA336" s="901">
        <f t="shared" si="110"/>
        <v>23</v>
      </c>
      <c r="AB336" s="901">
        <f t="shared" si="110"/>
        <v>9</v>
      </c>
      <c r="AC336" s="901">
        <f t="shared" si="110"/>
        <v>20</v>
      </c>
      <c r="AD336" s="901">
        <f t="shared" si="110"/>
        <v>12</v>
      </c>
      <c r="AE336" s="901">
        <f t="shared" si="110"/>
        <v>12</v>
      </c>
      <c r="AF336" s="901">
        <f t="shared" si="110"/>
        <v>10</v>
      </c>
      <c r="AG336" s="768">
        <f t="shared" si="108"/>
        <v>107</v>
      </c>
    </row>
    <row r="337">
      <c r="A337" s="900" t="s">
        <v>758</v>
      </c>
      <c r="B337" s="901">
        <f t="shared" ref="B337:AF337" si="111">B331+B333+B335</f>
        <v>0</v>
      </c>
      <c r="C337" s="901">
        <f t="shared" si="111"/>
        <v>0</v>
      </c>
      <c r="D337" s="901">
        <f t="shared" si="111"/>
        <v>0</v>
      </c>
      <c r="E337" s="901">
        <f t="shared" si="111"/>
        <v>0</v>
      </c>
      <c r="F337" s="901">
        <f t="shared" si="111"/>
        <v>0</v>
      </c>
      <c r="G337" s="901">
        <f t="shared" si="111"/>
        <v>0</v>
      </c>
      <c r="H337" s="901">
        <f t="shared" si="111"/>
        <v>0</v>
      </c>
      <c r="I337" s="901">
        <f t="shared" si="111"/>
        <v>0</v>
      </c>
      <c r="J337" s="901">
        <f t="shared" si="111"/>
        <v>0</v>
      </c>
      <c r="K337" s="901">
        <f t="shared" si="111"/>
        <v>0</v>
      </c>
      <c r="L337" s="901">
        <f t="shared" si="111"/>
        <v>0</v>
      </c>
      <c r="M337" s="901">
        <f t="shared" si="111"/>
        <v>0</v>
      </c>
      <c r="N337" s="901">
        <f t="shared" si="111"/>
        <v>0</v>
      </c>
      <c r="O337" s="901">
        <f t="shared" si="111"/>
        <v>3</v>
      </c>
      <c r="P337" s="901">
        <f t="shared" si="111"/>
        <v>0</v>
      </c>
      <c r="Q337" s="901">
        <f t="shared" si="111"/>
        <v>0</v>
      </c>
      <c r="R337" s="901">
        <f t="shared" si="111"/>
        <v>0</v>
      </c>
      <c r="S337" s="901">
        <f t="shared" si="111"/>
        <v>0</v>
      </c>
      <c r="T337" s="901">
        <f t="shared" si="111"/>
        <v>1</v>
      </c>
      <c r="U337" s="901">
        <f t="shared" si="111"/>
        <v>0</v>
      </c>
      <c r="V337" s="901">
        <f t="shared" si="111"/>
        <v>0</v>
      </c>
      <c r="W337" s="901">
        <f t="shared" si="111"/>
        <v>0</v>
      </c>
      <c r="X337" s="901">
        <f t="shared" si="111"/>
        <v>0</v>
      </c>
      <c r="Y337" s="901">
        <f t="shared" si="111"/>
        <v>4</v>
      </c>
      <c r="Z337" s="901">
        <f t="shared" si="111"/>
        <v>0</v>
      </c>
      <c r="AA337" s="901">
        <f t="shared" si="111"/>
        <v>22</v>
      </c>
      <c r="AB337" s="901">
        <f t="shared" si="111"/>
        <v>8</v>
      </c>
      <c r="AC337" s="901">
        <f t="shared" si="111"/>
        <v>38</v>
      </c>
      <c r="AD337" s="901">
        <f t="shared" si="111"/>
        <v>14</v>
      </c>
      <c r="AE337" s="901">
        <f t="shared" si="111"/>
        <v>18</v>
      </c>
      <c r="AF337" s="901">
        <f t="shared" si="111"/>
        <v>7</v>
      </c>
      <c r="AG337" s="768">
        <f t="shared" si="108"/>
        <v>115</v>
      </c>
    </row>
    <row r="338">
      <c r="A338" s="42"/>
      <c r="AG338" s="11"/>
    </row>
    <row r="339">
      <c r="A339" s="897" t="s">
        <v>760</v>
      </c>
      <c r="B339" s="301">
        <v>0.0</v>
      </c>
      <c r="C339" s="301">
        <v>0.0</v>
      </c>
      <c r="D339" s="301">
        <v>0.0</v>
      </c>
      <c r="E339" s="301">
        <v>0.0</v>
      </c>
      <c r="F339" s="301">
        <v>0.0</v>
      </c>
      <c r="G339" s="301">
        <v>0.0</v>
      </c>
      <c r="H339" s="301">
        <v>0.0</v>
      </c>
      <c r="I339" s="301">
        <v>0.0</v>
      </c>
      <c r="J339" s="301">
        <v>0.0</v>
      </c>
      <c r="K339" s="301">
        <v>0.0</v>
      </c>
      <c r="L339" s="301">
        <v>0.0</v>
      </c>
      <c r="M339" s="301">
        <v>0.0</v>
      </c>
      <c r="N339" s="301">
        <v>0.0</v>
      </c>
      <c r="O339" s="301">
        <v>3.0</v>
      </c>
      <c r="P339" s="301">
        <v>0.0</v>
      </c>
      <c r="Q339" s="301">
        <v>0.0</v>
      </c>
      <c r="R339" s="301">
        <v>1.0</v>
      </c>
      <c r="S339" s="877">
        <v>0.0</v>
      </c>
      <c r="T339" s="301">
        <v>1.0</v>
      </c>
      <c r="U339" s="301">
        <v>1.0</v>
      </c>
      <c r="V339" s="301">
        <v>0.0</v>
      </c>
      <c r="W339" s="301">
        <v>0.0</v>
      </c>
      <c r="X339" s="877">
        <v>0.0</v>
      </c>
      <c r="Y339" s="301">
        <v>6.0</v>
      </c>
      <c r="Z339" s="301">
        <v>0.0</v>
      </c>
      <c r="AA339" s="301">
        <v>19.0</v>
      </c>
      <c r="AB339" s="301">
        <v>7.0</v>
      </c>
      <c r="AC339" s="301">
        <v>25.0</v>
      </c>
      <c r="AD339" s="301">
        <v>11.0</v>
      </c>
      <c r="AE339" s="301">
        <v>12.0</v>
      </c>
      <c r="AF339" s="301">
        <v>3.0</v>
      </c>
      <c r="AG339" s="768">
        <f t="shared" ref="AG339:AG344" si="112">SUM(B339:AF339)</f>
        <v>89</v>
      </c>
    </row>
    <row r="340">
      <c r="A340" s="897" t="s">
        <v>761</v>
      </c>
      <c r="B340" s="301">
        <v>0.0</v>
      </c>
      <c r="C340" s="301">
        <v>0.0</v>
      </c>
      <c r="D340" s="301">
        <v>0.0</v>
      </c>
      <c r="E340" s="301">
        <v>0.0</v>
      </c>
      <c r="F340" s="301">
        <v>0.0</v>
      </c>
      <c r="G340" s="301">
        <v>0.0</v>
      </c>
      <c r="H340" s="301">
        <v>0.0</v>
      </c>
      <c r="I340" s="301">
        <v>0.0</v>
      </c>
      <c r="J340" s="301">
        <v>0.0</v>
      </c>
      <c r="K340" s="301">
        <v>0.0</v>
      </c>
      <c r="L340" s="301">
        <v>0.0</v>
      </c>
      <c r="M340" s="301">
        <v>0.0</v>
      </c>
      <c r="N340" s="301">
        <v>0.0</v>
      </c>
      <c r="O340" s="301">
        <v>0.0</v>
      </c>
      <c r="P340" s="301">
        <v>0.0</v>
      </c>
      <c r="Q340" s="301">
        <v>0.0</v>
      </c>
      <c r="R340" s="301">
        <v>1.0</v>
      </c>
      <c r="S340" s="877">
        <v>1.0</v>
      </c>
      <c r="T340" s="301">
        <v>0.0</v>
      </c>
      <c r="U340" s="301">
        <v>0.0</v>
      </c>
      <c r="V340" s="301">
        <v>0.0</v>
      </c>
      <c r="W340" s="301">
        <v>0.0</v>
      </c>
      <c r="X340" s="877">
        <v>0.0</v>
      </c>
      <c r="Y340" s="301">
        <v>0.0</v>
      </c>
      <c r="Z340" s="301">
        <v>0.0</v>
      </c>
      <c r="AA340" s="301">
        <v>0.0</v>
      </c>
      <c r="AB340" s="301">
        <v>0.0</v>
      </c>
      <c r="AC340" s="301">
        <v>1.0</v>
      </c>
      <c r="AD340" s="301">
        <v>0.0</v>
      </c>
      <c r="AE340" s="301">
        <v>0.0</v>
      </c>
      <c r="AF340" s="301">
        <v>0.0</v>
      </c>
      <c r="AG340" s="768">
        <f t="shared" si="112"/>
        <v>3</v>
      </c>
    </row>
    <row r="341">
      <c r="A341" s="897" t="s">
        <v>762</v>
      </c>
      <c r="B341" s="301">
        <v>0.0</v>
      </c>
      <c r="C341" s="301">
        <v>0.0</v>
      </c>
      <c r="D341" s="301">
        <v>0.0</v>
      </c>
      <c r="E341" s="301">
        <v>0.0</v>
      </c>
      <c r="F341" s="301">
        <v>0.0</v>
      </c>
      <c r="G341" s="301">
        <v>0.0</v>
      </c>
      <c r="H341" s="301">
        <v>0.0</v>
      </c>
      <c r="I341" s="301">
        <v>0.0</v>
      </c>
      <c r="J341" s="301">
        <v>0.0</v>
      </c>
      <c r="K341" s="301">
        <v>0.0</v>
      </c>
      <c r="L341" s="301">
        <v>1.0</v>
      </c>
      <c r="M341" s="301">
        <v>0.0</v>
      </c>
      <c r="N341" s="301">
        <v>0.0</v>
      </c>
      <c r="O341" s="301">
        <v>0.0</v>
      </c>
      <c r="P341" s="301">
        <v>0.0</v>
      </c>
      <c r="Q341" s="301">
        <v>1.0</v>
      </c>
      <c r="R341" s="301">
        <v>0.0</v>
      </c>
      <c r="S341" s="877">
        <v>0.0</v>
      </c>
      <c r="T341" s="301">
        <v>1.0</v>
      </c>
      <c r="U341" s="301">
        <v>1.0</v>
      </c>
      <c r="V341" s="301">
        <v>0.0</v>
      </c>
      <c r="W341" s="301">
        <v>0.0</v>
      </c>
      <c r="X341" s="877">
        <v>0.0</v>
      </c>
      <c r="Y341" s="301">
        <v>3.0</v>
      </c>
      <c r="Z341" s="301">
        <v>0.0</v>
      </c>
      <c r="AA341" s="301">
        <v>22.0</v>
      </c>
      <c r="AB341" s="301">
        <v>9.0</v>
      </c>
      <c r="AC341" s="301">
        <v>24.0</v>
      </c>
      <c r="AD341" s="301">
        <v>7.0</v>
      </c>
      <c r="AE341" s="301">
        <v>10.0</v>
      </c>
      <c r="AF341" s="301">
        <v>3.0</v>
      </c>
      <c r="AG341" s="768">
        <f t="shared" si="112"/>
        <v>82</v>
      </c>
    </row>
    <row r="342">
      <c r="A342" s="897" t="s">
        <v>763</v>
      </c>
      <c r="B342" s="301">
        <v>0.0</v>
      </c>
      <c r="C342" s="301">
        <v>0.0</v>
      </c>
      <c r="D342" s="301">
        <v>0.0</v>
      </c>
      <c r="E342" s="301">
        <v>0.0</v>
      </c>
      <c r="F342" s="301">
        <v>0.0</v>
      </c>
      <c r="G342" s="301">
        <v>0.0</v>
      </c>
      <c r="H342" s="301">
        <v>0.0</v>
      </c>
      <c r="I342" s="301">
        <v>0.0</v>
      </c>
      <c r="J342" s="301">
        <v>0.0</v>
      </c>
      <c r="K342" s="301">
        <v>0.0</v>
      </c>
      <c r="L342" s="301">
        <v>0.0</v>
      </c>
      <c r="M342" s="301">
        <v>0.0</v>
      </c>
      <c r="N342" s="301">
        <v>0.0</v>
      </c>
      <c r="O342" s="301">
        <v>0.0</v>
      </c>
      <c r="P342" s="301">
        <v>0.0</v>
      </c>
      <c r="Q342" s="301">
        <v>0.0</v>
      </c>
      <c r="R342" s="301">
        <v>0.0</v>
      </c>
      <c r="S342" s="877">
        <v>0.0</v>
      </c>
      <c r="T342" s="301">
        <v>0.0</v>
      </c>
      <c r="U342" s="301">
        <v>0.0</v>
      </c>
      <c r="V342" s="301">
        <v>0.0</v>
      </c>
      <c r="W342" s="301">
        <v>0.0</v>
      </c>
      <c r="X342" s="877">
        <v>0.0</v>
      </c>
      <c r="Y342" s="301">
        <v>0.0</v>
      </c>
      <c r="Z342" s="301">
        <v>0.0</v>
      </c>
      <c r="AA342" s="301">
        <v>9.0</v>
      </c>
      <c r="AB342" s="301">
        <v>5.0</v>
      </c>
      <c r="AC342" s="301">
        <v>9.0</v>
      </c>
      <c r="AD342" s="301">
        <v>3.0</v>
      </c>
      <c r="AE342" s="301">
        <v>8.0</v>
      </c>
      <c r="AF342" s="301">
        <v>1.0</v>
      </c>
      <c r="AG342" s="768">
        <f t="shared" si="112"/>
        <v>35</v>
      </c>
    </row>
    <row r="343">
      <c r="A343" s="897" t="s">
        <v>764</v>
      </c>
      <c r="B343" s="301">
        <v>0.0</v>
      </c>
      <c r="C343" s="301">
        <v>0.0</v>
      </c>
      <c r="D343" s="301">
        <v>0.0</v>
      </c>
      <c r="E343" s="301">
        <v>0.0</v>
      </c>
      <c r="F343" s="301">
        <v>0.0</v>
      </c>
      <c r="G343" s="301">
        <v>0.0</v>
      </c>
      <c r="H343" s="301">
        <v>0.0</v>
      </c>
      <c r="I343" s="301">
        <v>0.0</v>
      </c>
      <c r="J343" s="301">
        <v>0.0</v>
      </c>
      <c r="K343" s="301">
        <v>0.0</v>
      </c>
      <c r="L343" s="301">
        <v>0.0</v>
      </c>
      <c r="M343" s="301">
        <v>0.0</v>
      </c>
      <c r="N343" s="301">
        <v>0.0</v>
      </c>
      <c r="O343" s="301">
        <v>0.0</v>
      </c>
      <c r="P343" s="301">
        <v>0.0</v>
      </c>
      <c r="Q343" s="301">
        <v>0.0</v>
      </c>
      <c r="R343" s="301">
        <v>0.0</v>
      </c>
      <c r="S343" s="877">
        <v>0.0</v>
      </c>
      <c r="T343" s="301">
        <v>0.0</v>
      </c>
      <c r="U343" s="301">
        <v>1.0</v>
      </c>
      <c r="V343" s="301">
        <v>0.0</v>
      </c>
      <c r="W343" s="301">
        <v>0.0</v>
      </c>
      <c r="X343" s="877">
        <v>0.0</v>
      </c>
      <c r="Y343" s="301">
        <v>2.0</v>
      </c>
      <c r="Z343" s="301">
        <v>0.0</v>
      </c>
      <c r="AA343" s="301">
        <v>4.0</v>
      </c>
      <c r="AB343" s="301">
        <v>0.0</v>
      </c>
      <c r="AC343" s="301">
        <v>13.0</v>
      </c>
      <c r="AD343" s="301">
        <v>3.0</v>
      </c>
      <c r="AE343" s="301">
        <v>5.0</v>
      </c>
      <c r="AF343" s="301">
        <v>2.0</v>
      </c>
      <c r="AG343" s="768">
        <f t="shared" si="112"/>
        <v>30</v>
      </c>
    </row>
    <row r="344">
      <c r="A344" s="907" t="s">
        <v>765</v>
      </c>
      <c r="B344" s="901">
        <f t="shared" ref="B344:G344" si="113">SUM(B339:B343)</f>
        <v>0</v>
      </c>
      <c r="C344" s="901">
        <f t="shared" si="113"/>
        <v>0</v>
      </c>
      <c r="D344" s="901">
        <f t="shared" si="113"/>
        <v>0</v>
      </c>
      <c r="E344" s="901">
        <f t="shared" si="113"/>
        <v>0</v>
      </c>
      <c r="F344" s="901">
        <f t="shared" si="113"/>
        <v>0</v>
      </c>
      <c r="G344" s="901">
        <f t="shared" si="113"/>
        <v>0</v>
      </c>
      <c r="H344" s="908">
        <v>0.0</v>
      </c>
      <c r="I344" s="901">
        <f t="shared" ref="I344:AF344" si="114">SUM(I339:I343)</f>
        <v>0</v>
      </c>
      <c r="J344" s="901">
        <f t="shared" si="114"/>
        <v>0</v>
      </c>
      <c r="K344" s="901">
        <f t="shared" si="114"/>
        <v>0</v>
      </c>
      <c r="L344" s="901">
        <f t="shared" si="114"/>
        <v>1</v>
      </c>
      <c r="M344" s="901">
        <f t="shared" si="114"/>
        <v>0</v>
      </c>
      <c r="N344" s="901">
        <f t="shared" si="114"/>
        <v>0</v>
      </c>
      <c r="O344" s="901">
        <f t="shared" si="114"/>
        <v>3</v>
      </c>
      <c r="P344" s="901">
        <f t="shared" si="114"/>
        <v>0</v>
      </c>
      <c r="Q344" s="901">
        <f t="shared" si="114"/>
        <v>1</v>
      </c>
      <c r="R344" s="901">
        <f t="shared" si="114"/>
        <v>2</v>
      </c>
      <c r="S344" s="901">
        <f t="shared" si="114"/>
        <v>1</v>
      </c>
      <c r="T344" s="901">
        <f t="shared" si="114"/>
        <v>2</v>
      </c>
      <c r="U344" s="901">
        <f t="shared" si="114"/>
        <v>3</v>
      </c>
      <c r="V344" s="901">
        <f t="shared" si="114"/>
        <v>0</v>
      </c>
      <c r="W344" s="901">
        <f t="shared" si="114"/>
        <v>0</v>
      </c>
      <c r="X344" s="901">
        <f t="shared" si="114"/>
        <v>0</v>
      </c>
      <c r="Y344" s="901">
        <f t="shared" si="114"/>
        <v>11</v>
      </c>
      <c r="Z344" s="901">
        <f t="shared" si="114"/>
        <v>0</v>
      </c>
      <c r="AA344" s="901">
        <f t="shared" si="114"/>
        <v>54</v>
      </c>
      <c r="AB344" s="901">
        <f t="shared" si="114"/>
        <v>21</v>
      </c>
      <c r="AC344" s="901">
        <f t="shared" si="114"/>
        <v>72</v>
      </c>
      <c r="AD344" s="901">
        <f t="shared" si="114"/>
        <v>24</v>
      </c>
      <c r="AE344" s="901">
        <f t="shared" si="114"/>
        <v>35</v>
      </c>
      <c r="AF344" s="901">
        <f t="shared" si="114"/>
        <v>9</v>
      </c>
      <c r="AG344" s="768">
        <f t="shared" si="112"/>
        <v>239</v>
      </c>
    </row>
    <row r="345">
      <c r="A345" s="42"/>
      <c r="AG345" s="11"/>
    </row>
    <row r="346">
      <c r="A346" s="897" t="s">
        <v>767</v>
      </c>
      <c r="B346" s="301">
        <v>0.0</v>
      </c>
      <c r="C346" s="301">
        <v>0.0</v>
      </c>
      <c r="D346" s="301">
        <v>0.0</v>
      </c>
      <c r="E346" s="301">
        <v>0.0</v>
      </c>
      <c r="F346" s="301">
        <v>0.0</v>
      </c>
      <c r="G346" s="301">
        <v>0.0</v>
      </c>
      <c r="H346" s="301">
        <v>0.0</v>
      </c>
      <c r="I346" s="301">
        <v>0.0</v>
      </c>
      <c r="J346" s="301">
        <v>0.0</v>
      </c>
      <c r="K346" s="301">
        <v>0.0</v>
      </c>
      <c r="L346" s="301">
        <v>0.0</v>
      </c>
      <c r="M346" s="301">
        <v>0.0</v>
      </c>
      <c r="N346" s="301">
        <v>0.0</v>
      </c>
      <c r="O346" s="301">
        <v>0.0</v>
      </c>
      <c r="P346" s="301">
        <v>0.0</v>
      </c>
      <c r="Q346" s="301">
        <v>0.0</v>
      </c>
      <c r="R346" s="301">
        <v>1.0</v>
      </c>
      <c r="S346" s="877">
        <v>1.0</v>
      </c>
      <c r="T346" s="301">
        <v>0.0</v>
      </c>
      <c r="U346" s="301">
        <v>0.0</v>
      </c>
      <c r="V346" s="301">
        <v>0.0</v>
      </c>
      <c r="W346" s="301">
        <v>0.0</v>
      </c>
      <c r="X346" s="301">
        <v>0.0</v>
      </c>
      <c r="Y346" s="301">
        <v>1.0</v>
      </c>
      <c r="Z346" s="301">
        <v>0.0</v>
      </c>
      <c r="AA346" s="301">
        <v>0.0</v>
      </c>
      <c r="AB346" s="301">
        <v>0.0</v>
      </c>
      <c r="AC346" s="301">
        <v>0.0</v>
      </c>
      <c r="AD346" s="301">
        <v>0.0</v>
      </c>
      <c r="AE346" s="301">
        <v>0.0</v>
      </c>
      <c r="AF346" s="301">
        <v>4.0</v>
      </c>
      <c r="AG346" s="768">
        <f t="shared" ref="AG346:AG351" si="115">SUM(B346:AF346)</f>
        <v>7</v>
      </c>
    </row>
    <row r="347">
      <c r="A347" s="897" t="s">
        <v>769</v>
      </c>
      <c r="B347" s="301">
        <v>0.0</v>
      </c>
      <c r="C347" s="301">
        <v>0.0</v>
      </c>
      <c r="D347" s="301">
        <v>0.0</v>
      </c>
      <c r="E347" s="301">
        <v>0.0</v>
      </c>
      <c r="F347" s="301">
        <v>0.0</v>
      </c>
      <c r="G347" s="301">
        <v>0.0</v>
      </c>
      <c r="H347" s="301">
        <v>0.0</v>
      </c>
      <c r="I347" s="301">
        <v>0.0</v>
      </c>
      <c r="J347" s="301">
        <v>0.0</v>
      </c>
      <c r="K347" s="301">
        <v>0.0</v>
      </c>
      <c r="L347" s="301">
        <v>0.0</v>
      </c>
      <c r="M347" s="301">
        <v>0.0</v>
      </c>
      <c r="N347" s="301">
        <v>0.0</v>
      </c>
      <c r="O347" s="301">
        <v>0.0</v>
      </c>
      <c r="P347" s="301">
        <v>0.0</v>
      </c>
      <c r="Q347" s="301">
        <v>0.0</v>
      </c>
      <c r="R347" s="301">
        <v>0.0</v>
      </c>
      <c r="S347" s="877">
        <v>0.0</v>
      </c>
      <c r="T347" s="301">
        <v>0.0</v>
      </c>
      <c r="U347" s="301">
        <v>0.0</v>
      </c>
      <c r="V347" s="301">
        <v>0.0</v>
      </c>
      <c r="W347" s="301">
        <v>0.0</v>
      </c>
      <c r="X347" s="301">
        <v>0.0</v>
      </c>
      <c r="Y347" s="301">
        <v>0.0</v>
      </c>
      <c r="Z347" s="301">
        <v>0.0</v>
      </c>
      <c r="AA347" s="301">
        <v>0.0</v>
      </c>
      <c r="AB347" s="301">
        <v>0.0</v>
      </c>
      <c r="AC347" s="301">
        <v>0.0</v>
      </c>
      <c r="AD347" s="301">
        <v>0.0</v>
      </c>
      <c r="AE347" s="301">
        <v>0.0</v>
      </c>
      <c r="AF347" s="301">
        <v>0.0</v>
      </c>
      <c r="AG347" s="768">
        <f t="shared" si="115"/>
        <v>0</v>
      </c>
    </row>
    <row r="348">
      <c r="A348" s="897" t="s">
        <v>770</v>
      </c>
      <c r="B348" s="301">
        <v>0.0</v>
      </c>
      <c r="C348" s="301">
        <v>0.0</v>
      </c>
      <c r="D348" s="301">
        <v>0.0</v>
      </c>
      <c r="E348" s="301">
        <v>0.0</v>
      </c>
      <c r="F348" s="301">
        <v>0.0</v>
      </c>
      <c r="G348" s="301">
        <v>0.0</v>
      </c>
      <c r="H348" s="301">
        <v>0.0</v>
      </c>
      <c r="I348" s="301">
        <v>0.0</v>
      </c>
      <c r="J348" s="301">
        <v>0.0</v>
      </c>
      <c r="K348" s="301">
        <v>0.0</v>
      </c>
      <c r="L348" s="301">
        <v>0.0</v>
      </c>
      <c r="M348" s="301">
        <v>0.0</v>
      </c>
      <c r="N348" s="301">
        <v>0.0</v>
      </c>
      <c r="O348" s="301">
        <v>0.0</v>
      </c>
      <c r="P348" s="301">
        <v>0.0</v>
      </c>
      <c r="Q348" s="301">
        <v>0.0</v>
      </c>
      <c r="R348" s="301">
        <v>1.0</v>
      </c>
      <c r="S348" s="877">
        <v>0.0</v>
      </c>
      <c r="T348" s="301">
        <v>0.0</v>
      </c>
      <c r="U348" s="301">
        <v>0.0</v>
      </c>
      <c r="V348" s="301">
        <v>0.0</v>
      </c>
      <c r="W348" s="301">
        <v>0.0</v>
      </c>
      <c r="X348" s="301">
        <v>0.0</v>
      </c>
      <c r="Y348" s="301">
        <v>1.0</v>
      </c>
      <c r="Z348" s="301">
        <v>0.0</v>
      </c>
      <c r="AA348" s="301">
        <v>0.0</v>
      </c>
      <c r="AB348" s="301">
        <v>0.0</v>
      </c>
      <c r="AC348" s="301">
        <v>0.0</v>
      </c>
      <c r="AD348" s="301">
        <v>0.0</v>
      </c>
      <c r="AE348" s="301">
        <v>0.0</v>
      </c>
      <c r="AF348" s="301">
        <v>0.0</v>
      </c>
      <c r="AG348" s="768">
        <f t="shared" si="115"/>
        <v>2</v>
      </c>
    </row>
    <row r="349">
      <c r="A349" s="897" t="s">
        <v>771</v>
      </c>
      <c r="B349" s="301">
        <v>0.0</v>
      </c>
      <c r="C349" s="301">
        <v>0.0</v>
      </c>
      <c r="D349" s="301">
        <v>0.0</v>
      </c>
      <c r="E349" s="301">
        <v>0.0</v>
      </c>
      <c r="F349" s="301">
        <v>0.0</v>
      </c>
      <c r="G349" s="301">
        <v>0.0</v>
      </c>
      <c r="H349" s="301">
        <v>0.0</v>
      </c>
      <c r="I349" s="301">
        <v>0.0</v>
      </c>
      <c r="J349" s="301">
        <v>0.0</v>
      </c>
      <c r="K349" s="301">
        <v>0.0</v>
      </c>
      <c r="L349" s="301">
        <v>0.0</v>
      </c>
      <c r="M349" s="301">
        <v>0.0</v>
      </c>
      <c r="N349" s="301">
        <v>0.0</v>
      </c>
      <c r="O349" s="301">
        <v>0.0</v>
      </c>
      <c r="P349" s="301">
        <v>0.0</v>
      </c>
      <c r="Q349" s="301">
        <v>0.0</v>
      </c>
      <c r="R349" s="301">
        <v>0.0</v>
      </c>
      <c r="S349" s="877">
        <v>0.0</v>
      </c>
      <c r="T349" s="301">
        <v>0.0</v>
      </c>
      <c r="U349" s="301">
        <v>0.0</v>
      </c>
      <c r="V349" s="301">
        <v>0.0</v>
      </c>
      <c r="W349" s="301">
        <v>0.0</v>
      </c>
      <c r="X349" s="301">
        <v>0.0</v>
      </c>
      <c r="Y349" s="301">
        <v>1.0</v>
      </c>
      <c r="Z349" s="301">
        <v>0.0</v>
      </c>
      <c r="AA349" s="301">
        <v>0.0</v>
      </c>
      <c r="AB349" s="301">
        <v>0.0</v>
      </c>
      <c r="AC349" s="301">
        <v>0.0</v>
      </c>
      <c r="AD349" s="301">
        <v>0.0</v>
      </c>
      <c r="AE349" s="301">
        <v>0.0</v>
      </c>
      <c r="AF349" s="301">
        <v>0.0</v>
      </c>
      <c r="AG349" s="768">
        <f t="shared" si="115"/>
        <v>1</v>
      </c>
    </row>
    <row r="350">
      <c r="A350" s="897" t="s">
        <v>772</v>
      </c>
      <c r="B350" s="301">
        <v>0.0</v>
      </c>
      <c r="C350" s="301">
        <v>0.0</v>
      </c>
      <c r="D350" s="301">
        <v>0.0</v>
      </c>
      <c r="E350" s="301">
        <v>0.0</v>
      </c>
      <c r="F350" s="301">
        <v>0.0</v>
      </c>
      <c r="G350" s="301">
        <v>0.0</v>
      </c>
      <c r="H350" s="301">
        <v>0.0</v>
      </c>
      <c r="I350" s="301">
        <v>0.0</v>
      </c>
      <c r="J350" s="301">
        <v>0.0</v>
      </c>
      <c r="K350" s="301">
        <v>0.0</v>
      </c>
      <c r="L350" s="301">
        <v>0.0</v>
      </c>
      <c r="M350" s="301">
        <v>0.0</v>
      </c>
      <c r="N350" s="301">
        <v>0.0</v>
      </c>
      <c r="O350" s="301">
        <v>0.0</v>
      </c>
      <c r="P350" s="301">
        <v>0.0</v>
      </c>
      <c r="Q350" s="301">
        <v>0.0</v>
      </c>
      <c r="R350" s="301">
        <v>0.0</v>
      </c>
      <c r="S350" s="877">
        <v>0.0</v>
      </c>
      <c r="T350" s="301">
        <v>0.0</v>
      </c>
      <c r="U350" s="301">
        <v>0.0</v>
      </c>
      <c r="V350" s="301">
        <v>0.0</v>
      </c>
      <c r="W350" s="301">
        <v>0.0</v>
      </c>
      <c r="X350" s="301">
        <v>0.0</v>
      </c>
      <c r="Y350" s="301">
        <v>0.0</v>
      </c>
      <c r="Z350" s="301">
        <v>0.0</v>
      </c>
      <c r="AA350" s="301">
        <v>0.0</v>
      </c>
      <c r="AB350" s="301">
        <v>0.0</v>
      </c>
      <c r="AC350" s="301">
        <v>0.0</v>
      </c>
      <c r="AD350" s="301">
        <v>0.0</v>
      </c>
      <c r="AE350" s="301">
        <v>0.0</v>
      </c>
      <c r="AF350" s="301">
        <v>0.0</v>
      </c>
      <c r="AG350" s="768">
        <f t="shared" si="115"/>
        <v>0</v>
      </c>
    </row>
    <row r="351">
      <c r="A351" s="907" t="s">
        <v>773</v>
      </c>
      <c r="B351" s="901">
        <f t="shared" ref="B351:R351" si="116">SUM(B346:B350)</f>
        <v>0</v>
      </c>
      <c r="C351" s="901">
        <f t="shared" si="116"/>
        <v>0</v>
      </c>
      <c r="D351" s="901">
        <f t="shared" si="116"/>
        <v>0</v>
      </c>
      <c r="E351" s="901">
        <f t="shared" si="116"/>
        <v>0</v>
      </c>
      <c r="F351" s="901">
        <f t="shared" si="116"/>
        <v>0</v>
      </c>
      <c r="G351" s="901">
        <f t="shared" si="116"/>
        <v>0</v>
      </c>
      <c r="H351" s="901">
        <f t="shared" si="116"/>
        <v>0</v>
      </c>
      <c r="I351" s="901">
        <f t="shared" si="116"/>
        <v>0</v>
      </c>
      <c r="J351" s="901">
        <f t="shared" si="116"/>
        <v>0</v>
      </c>
      <c r="K351" s="901">
        <f t="shared" si="116"/>
        <v>0</v>
      </c>
      <c r="L351" s="901">
        <f t="shared" si="116"/>
        <v>0</v>
      </c>
      <c r="M351" s="901">
        <f t="shared" si="116"/>
        <v>0</v>
      </c>
      <c r="N351" s="901">
        <f t="shared" si="116"/>
        <v>0</v>
      </c>
      <c r="O351" s="901">
        <f t="shared" si="116"/>
        <v>0</v>
      </c>
      <c r="P351" s="901">
        <f t="shared" si="116"/>
        <v>0</v>
      </c>
      <c r="Q351" s="901">
        <f t="shared" si="116"/>
        <v>0</v>
      </c>
      <c r="R351" s="901">
        <f t="shared" si="116"/>
        <v>2</v>
      </c>
      <c r="S351" s="908">
        <v>0.0</v>
      </c>
      <c r="T351" s="901">
        <f t="shared" ref="T351:AF351" si="117">SUM(T346:T350)</f>
        <v>0</v>
      </c>
      <c r="U351" s="901">
        <f t="shared" si="117"/>
        <v>0</v>
      </c>
      <c r="V351" s="901">
        <f t="shared" si="117"/>
        <v>0</v>
      </c>
      <c r="W351" s="901">
        <f t="shared" si="117"/>
        <v>0</v>
      </c>
      <c r="X351" s="901">
        <f t="shared" si="117"/>
        <v>0</v>
      </c>
      <c r="Y351" s="901">
        <f t="shared" si="117"/>
        <v>3</v>
      </c>
      <c r="Z351" s="901">
        <f t="shared" si="117"/>
        <v>0</v>
      </c>
      <c r="AA351" s="901">
        <f t="shared" si="117"/>
        <v>0</v>
      </c>
      <c r="AB351" s="901">
        <f t="shared" si="117"/>
        <v>0</v>
      </c>
      <c r="AC351" s="901">
        <f t="shared" si="117"/>
        <v>0</v>
      </c>
      <c r="AD351" s="901">
        <f t="shared" si="117"/>
        <v>0</v>
      </c>
      <c r="AE351" s="901">
        <f t="shared" si="117"/>
        <v>0</v>
      </c>
      <c r="AF351" s="901">
        <f t="shared" si="117"/>
        <v>4</v>
      </c>
      <c r="AG351" s="768">
        <f t="shared" si="115"/>
        <v>9</v>
      </c>
    </row>
    <row r="352">
      <c r="A352" s="42"/>
      <c r="S352" s="808"/>
      <c r="AG352" s="11"/>
    </row>
    <row r="353">
      <c r="A353" s="897" t="s">
        <v>774</v>
      </c>
      <c r="B353" s="301">
        <v>0.0</v>
      </c>
      <c r="C353" s="301">
        <v>0.0</v>
      </c>
      <c r="D353" s="301">
        <v>0.0</v>
      </c>
      <c r="E353" s="301">
        <v>0.0</v>
      </c>
      <c r="F353" s="301">
        <v>0.0</v>
      </c>
      <c r="G353" s="301">
        <v>0.0</v>
      </c>
      <c r="H353" s="301">
        <v>0.0</v>
      </c>
      <c r="I353" s="301">
        <v>0.0</v>
      </c>
      <c r="J353" s="301">
        <v>0.0</v>
      </c>
      <c r="K353" s="301">
        <v>0.0</v>
      </c>
      <c r="L353" s="301">
        <v>0.0</v>
      </c>
      <c r="M353" s="301">
        <v>0.0</v>
      </c>
      <c r="N353" s="301">
        <v>0.0</v>
      </c>
      <c r="O353" s="301">
        <v>0.0</v>
      </c>
      <c r="P353" s="301">
        <v>0.0</v>
      </c>
      <c r="Q353" s="301">
        <v>0.0</v>
      </c>
      <c r="R353" s="301">
        <v>0.0</v>
      </c>
      <c r="S353" s="877">
        <v>0.0</v>
      </c>
      <c r="T353" s="301">
        <v>0.0</v>
      </c>
      <c r="U353" s="301">
        <v>0.0</v>
      </c>
      <c r="V353" s="301">
        <v>0.0</v>
      </c>
      <c r="W353" s="301">
        <v>0.0</v>
      </c>
      <c r="X353" s="301">
        <v>0.0</v>
      </c>
      <c r="Y353" s="301">
        <v>0.0</v>
      </c>
      <c r="Z353" s="301">
        <v>0.0</v>
      </c>
      <c r="AA353" s="301">
        <v>0.0</v>
      </c>
      <c r="AB353" s="301">
        <v>0.0</v>
      </c>
      <c r="AC353" s="301">
        <v>0.0</v>
      </c>
      <c r="AD353" s="301">
        <v>0.0</v>
      </c>
      <c r="AE353" s="301">
        <v>0.0</v>
      </c>
      <c r="AF353" s="301">
        <v>0.0</v>
      </c>
      <c r="AG353" s="768">
        <f t="shared" ref="AG353:AG358" si="118">SUM(B353:AF353)</f>
        <v>0</v>
      </c>
    </row>
    <row r="354">
      <c r="A354" s="897" t="s">
        <v>775</v>
      </c>
      <c r="B354" s="301">
        <v>0.0</v>
      </c>
      <c r="C354" s="301">
        <v>0.0</v>
      </c>
      <c r="D354" s="301">
        <v>0.0</v>
      </c>
      <c r="E354" s="301">
        <v>0.0</v>
      </c>
      <c r="F354" s="301">
        <v>0.0</v>
      </c>
      <c r="G354" s="301">
        <v>0.0</v>
      </c>
      <c r="H354" s="301">
        <v>0.0</v>
      </c>
      <c r="I354" s="301">
        <v>0.0</v>
      </c>
      <c r="J354" s="301">
        <v>0.0</v>
      </c>
      <c r="K354" s="301">
        <v>0.0</v>
      </c>
      <c r="L354" s="301">
        <v>0.0</v>
      </c>
      <c r="M354" s="301">
        <v>0.0</v>
      </c>
      <c r="N354" s="301">
        <v>0.0</v>
      </c>
      <c r="O354" s="301">
        <v>0.0</v>
      </c>
      <c r="P354" s="301">
        <v>0.0</v>
      </c>
      <c r="Q354" s="301">
        <v>0.0</v>
      </c>
      <c r="R354" s="301">
        <v>0.0</v>
      </c>
      <c r="S354" s="877">
        <v>0.0</v>
      </c>
      <c r="T354" s="301">
        <v>0.0</v>
      </c>
      <c r="U354" s="301">
        <v>0.0</v>
      </c>
      <c r="V354" s="301">
        <v>0.0</v>
      </c>
      <c r="W354" s="301">
        <v>0.0</v>
      </c>
      <c r="X354" s="301">
        <v>0.0</v>
      </c>
      <c r="Y354" s="301">
        <v>0.0</v>
      </c>
      <c r="Z354" s="301">
        <v>0.0</v>
      </c>
      <c r="AA354" s="301">
        <v>0.0</v>
      </c>
      <c r="AB354" s="301">
        <v>0.0</v>
      </c>
      <c r="AC354" s="301">
        <v>0.0</v>
      </c>
      <c r="AD354" s="301">
        <v>0.0</v>
      </c>
      <c r="AE354" s="301">
        <v>0.0</v>
      </c>
      <c r="AF354" s="301">
        <v>0.0</v>
      </c>
      <c r="AG354" s="768">
        <f t="shared" si="118"/>
        <v>0</v>
      </c>
    </row>
    <row r="355">
      <c r="A355" s="897" t="s">
        <v>776</v>
      </c>
      <c r="B355" s="301">
        <v>0.0</v>
      </c>
      <c r="C355" s="301">
        <v>0.0</v>
      </c>
      <c r="D355" s="301">
        <v>0.0</v>
      </c>
      <c r="E355" s="301">
        <v>0.0</v>
      </c>
      <c r="F355" s="301">
        <v>0.0</v>
      </c>
      <c r="G355" s="301">
        <v>0.0</v>
      </c>
      <c r="H355" s="301">
        <v>0.0</v>
      </c>
      <c r="I355" s="301">
        <v>0.0</v>
      </c>
      <c r="J355" s="301">
        <v>0.0</v>
      </c>
      <c r="K355" s="301">
        <v>0.0</v>
      </c>
      <c r="L355" s="301">
        <v>0.0</v>
      </c>
      <c r="M355" s="301">
        <v>0.0</v>
      </c>
      <c r="N355" s="301">
        <v>0.0</v>
      </c>
      <c r="O355" s="301">
        <v>0.0</v>
      </c>
      <c r="P355" s="301">
        <v>0.0</v>
      </c>
      <c r="Q355" s="301">
        <v>0.0</v>
      </c>
      <c r="R355" s="301">
        <v>0.0</v>
      </c>
      <c r="S355" s="877">
        <v>0.0</v>
      </c>
      <c r="T355" s="301">
        <v>0.0</v>
      </c>
      <c r="U355" s="301">
        <v>0.0</v>
      </c>
      <c r="V355" s="301">
        <v>0.0</v>
      </c>
      <c r="W355" s="301">
        <v>0.0</v>
      </c>
      <c r="X355" s="301">
        <v>0.0</v>
      </c>
      <c r="Y355" s="301">
        <v>0.0</v>
      </c>
      <c r="Z355" s="301">
        <v>0.0</v>
      </c>
      <c r="AA355" s="301">
        <v>0.0</v>
      </c>
      <c r="AB355" s="301">
        <v>0.0</v>
      </c>
      <c r="AC355" s="301">
        <v>0.0</v>
      </c>
      <c r="AD355" s="301">
        <v>0.0</v>
      </c>
      <c r="AE355" s="301">
        <v>0.0</v>
      </c>
      <c r="AF355" s="301">
        <v>0.0</v>
      </c>
      <c r="AG355" s="768">
        <f t="shared" si="118"/>
        <v>0</v>
      </c>
    </row>
    <row r="356">
      <c r="A356" s="897" t="s">
        <v>777</v>
      </c>
      <c r="B356" s="301">
        <v>0.0</v>
      </c>
      <c r="C356" s="301">
        <v>0.0</v>
      </c>
      <c r="D356" s="301">
        <v>0.0</v>
      </c>
      <c r="E356" s="301">
        <v>0.0</v>
      </c>
      <c r="F356" s="301">
        <v>0.0</v>
      </c>
      <c r="G356" s="301">
        <v>0.0</v>
      </c>
      <c r="H356" s="301">
        <v>0.0</v>
      </c>
      <c r="I356" s="301">
        <v>0.0</v>
      </c>
      <c r="J356" s="301">
        <v>0.0</v>
      </c>
      <c r="K356" s="301">
        <v>0.0</v>
      </c>
      <c r="L356" s="301">
        <v>0.0</v>
      </c>
      <c r="M356" s="301">
        <v>0.0</v>
      </c>
      <c r="N356" s="301">
        <v>0.0</v>
      </c>
      <c r="O356" s="301">
        <v>0.0</v>
      </c>
      <c r="P356" s="301">
        <v>0.0</v>
      </c>
      <c r="Q356" s="301">
        <v>0.0</v>
      </c>
      <c r="R356" s="301">
        <v>0.0</v>
      </c>
      <c r="S356" s="877">
        <v>0.0</v>
      </c>
      <c r="T356" s="301">
        <v>0.0</v>
      </c>
      <c r="U356" s="301">
        <v>0.0</v>
      </c>
      <c r="V356" s="301">
        <v>0.0</v>
      </c>
      <c r="W356" s="301">
        <v>0.0</v>
      </c>
      <c r="X356" s="301">
        <v>0.0</v>
      </c>
      <c r="Y356" s="301">
        <v>0.0</v>
      </c>
      <c r="Z356" s="301">
        <v>0.0</v>
      </c>
      <c r="AA356" s="301">
        <v>0.0</v>
      </c>
      <c r="AB356" s="301">
        <v>0.0</v>
      </c>
      <c r="AC356" s="301">
        <v>0.0</v>
      </c>
      <c r="AD356" s="301">
        <v>0.0</v>
      </c>
      <c r="AE356" s="301">
        <v>0.0</v>
      </c>
      <c r="AF356" s="301">
        <v>0.0</v>
      </c>
      <c r="AG356" s="768">
        <f t="shared" si="118"/>
        <v>0</v>
      </c>
    </row>
    <row r="357">
      <c r="A357" s="897" t="s">
        <v>778</v>
      </c>
      <c r="B357" s="301">
        <v>0.0</v>
      </c>
      <c r="C357" s="301">
        <v>0.0</v>
      </c>
      <c r="D357" s="301">
        <v>0.0</v>
      </c>
      <c r="E357" s="301">
        <v>0.0</v>
      </c>
      <c r="F357" s="301">
        <v>0.0</v>
      </c>
      <c r="G357" s="301">
        <v>0.0</v>
      </c>
      <c r="H357" s="301">
        <v>0.0</v>
      </c>
      <c r="I357" s="301">
        <v>0.0</v>
      </c>
      <c r="J357" s="301">
        <v>0.0</v>
      </c>
      <c r="K357" s="301">
        <v>0.0</v>
      </c>
      <c r="L357" s="301">
        <v>0.0</v>
      </c>
      <c r="M357" s="301">
        <v>0.0</v>
      </c>
      <c r="N357" s="301">
        <v>0.0</v>
      </c>
      <c r="O357" s="301">
        <v>0.0</v>
      </c>
      <c r="P357" s="301">
        <v>0.0</v>
      </c>
      <c r="Q357" s="301">
        <v>0.0</v>
      </c>
      <c r="R357" s="301">
        <v>0.0</v>
      </c>
      <c r="S357" s="877">
        <v>0.0</v>
      </c>
      <c r="T357" s="301">
        <v>0.0</v>
      </c>
      <c r="U357" s="301">
        <v>0.0</v>
      </c>
      <c r="V357" s="301">
        <v>0.0</v>
      </c>
      <c r="W357" s="301">
        <v>0.0</v>
      </c>
      <c r="X357" s="301">
        <v>0.0</v>
      </c>
      <c r="Y357" s="301">
        <v>0.0</v>
      </c>
      <c r="Z357" s="301">
        <v>0.0</v>
      </c>
      <c r="AA357" s="301">
        <v>0.0</v>
      </c>
      <c r="AB357" s="301">
        <v>0.0</v>
      </c>
      <c r="AC357" s="301">
        <v>0.0</v>
      </c>
      <c r="AD357" s="301">
        <v>0.0</v>
      </c>
      <c r="AE357" s="301">
        <v>0.0</v>
      </c>
      <c r="AF357" s="301">
        <v>0.0</v>
      </c>
      <c r="AG357" s="768">
        <f t="shared" si="118"/>
        <v>0</v>
      </c>
    </row>
    <row r="358">
      <c r="A358" s="907" t="s">
        <v>779</v>
      </c>
      <c r="B358" s="901">
        <f t="shared" ref="B358:AF358" si="119">SUM(B353:B357)</f>
        <v>0</v>
      </c>
      <c r="C358" s="901">
        <f t="shared" si="119"/>
        <v>0</v>
      </c>
      <c r="D358" s="901">
        <f t="shared" si="119"/>
        <v>0</v>
      </c>
      <c r="E358" s="901">
        <f t="shared" si="119"/>
        <v>0</v>
      </c>
      <c r="F358" s="901">
        <f t="shared" si="119"/>
        <v>0</v>
      </c>
      <c r="G358" s="901">
        <f t="shared" si="119"/>
        <v>0</v>
      </c>
      <c r="H358" s="901">
        <f t="shared" si="119"/>
        <v>0</v>
      </c>
      <c r="I358" s="901">
        <f t="shared" si="119"/>
        <v>0</v>
      </c>
      <c r="J358" s="901">
        <f t="shared" si="119"/>
        <v>0</v>
      </c>
      <c r="K358" s="901">
        <f t="shared" si="119"/>
        <v>0</v>
      </c>
      <c r="L358" s="901">
        <f t="shared" si="119"/>
        <v>0</v>
      </c>
      <c r="M358" s="901">
        <f t="shared" si="119"/>
        <v>0</v>
      </c>
      <c r="N358" s="901">
        <f t="shared" si="119"/>
        <v>0</v>
      </c>
      <c r="O358" s="901">
        <f t="shared" si="119"/>
        <v>0</v>
      </c>
      <c r="P358" s="901">
        <f t="shared" si="119"/>
        <v>0</v>
      </c>
      <c r="Q358" s="901">
        <f t="shared" si="119"/>
        <v>0</v>
      </c>
      <c r="R358" s="901">
        <f t="shared" si="119"/>
        <v>0</v>
      </c>
      <c r="S358" s="901">
        <f t="shared" si="119"/>
        <v>0</v>
      </c>
      <c r="T358" s="901">
        <f t="shared" si="119"/>
        <v>0</v>
      </c>
      <c r="U358" s="901">
        <f t="shared" si="119"/>
        <v>0</v>
      </c>
      <c r="V358" s="901">
        <f t="shared" si="119"/>
        <v>0</v>
      </c>
      <c r="W358" s="901">
        <f t="shared" si="119"/>
        <v>0</v>
      </c>
      <c r="X358" s="901">
        <f t="shared" si="119"/>
        <v>0</v>
      </c>
      <c r="Y358" s="901">
        <f t="shared" si="119"/>
        <v>0</v>
      </c>
      <c r="Z358" s="901">
        <f t="shared" si="119"/>
        <v>0</v>
      </c>
      <c r="AA358" s="901">
        <f t="shared" si="119"/>
        <v>0</v>
      </c>
      <c r="AB358" s="901">
        <f t="shared" si="119"/>
        <v>0</v>
      </c>
      <c r="AC358" s="901">
        <f t="shared" si="119"/>
        <v>0</v>
      </c>
      <c r="AD358" s="901">
        <f t="shared" si="119"/>
        <v>0</v>
      </c>
      <c r="AE358" s="901">
        <f t="shared" si="119"/>
        <v>0</v>
      </c>
      <c r="AF358" s="901">
        <f t="shared" si="119"/>
        <v>0</v>
      </c>
      <c r="AG358" s="768">
        <f t="shared" si="118"/>
        <v>0</v>
      </c>
    </row>
    <row r="359">
      <c r="A359" s="835"/>
      <c r="AG359" s="11"/>
    </row>
    <row r="360">
      <c r="A360" s="897" t="s">
        <v>782</v>
      </c>
      <c r="B360" s="301">
        <v>0.0</v>
      </c>
      <c r="C360" s="301">
        <v>0.0</v>
      </c>
      <c r="D360" s="301">
        <v>0.0</v>
      </c>
      <c r="E360" s="301">
        <v>0.0</v>
      </c>
      <c r="F360" s="301">
        <v>0.0</v>
      </c>
      <c r="G360" s="301">
        <v>0.0</v>
      </c>
      <c r="H360" s="301">
        <v>0.0</v>
      </c>
      <c r="I360" s="301">
        <v>0.0</v>
      </c>
      <c r="J360" s="301">
        <v>0.0</v>
      </c>
      <c r="K360" s="301">
        <v>0.0</v>
      </c>
      <c r="L360" s="301">
        <v>0.0</v>
      </c>
      <c r="M360" s="301">
        <v>0.0</v>
      </c>
      <c r="N360" s="301">
        <v>0.0</v>
      </c>
      <c r="O360" s="301">
        <v>0.0</v>
      </c>
      <c r="P360" s="301">
        <v>0.0</v>
      </c>
      <c r="Q360" s="301">
        <v>0.0</v>
      </c>
      <c r="R360" s="301">
        <v>0.0</v>
      </c>
      <c r="S360" s="877">
        <v>0.0</v>
      </c>
      <c r="T360" s="301">
        <v>0.0</v>
      </c>
      <c r="U360" s="877">
        <v>0.0</v>
      </c>
      <c r="V360" s="301">
        <v>0.0</v>
      </c>
      <c r="W360" s="877">
        <v>0.0</v>
      </c>
      <c r="X360" s="301">
        <v>0.0</v>
      </c>
      <c r="Y360" s="877">
        <v>0.0</v>
      </c>
      <c r="Z360" s="301">
        <v>0.0</v>
      </c>
      <c r="AA360" s="301">
        <v>0.0</v>
      </c>
      <c r="AB360" s="301">
        <v>0.0</v>
      </c>
      <c r="AC360" s="301">
        <v>0.0</v>
      </c>
      <c r="AD360" s="301">
        <v>0.0</v>
      </c>
      <c r="AE360" s="301">
        <v>0.0</v>
      </c>
      <c r="AF360" s="301">
        <v>0.0</v>
      </c>
      <c r="AG360" s="768">
        <f t="shared" ref="AG360:AG362" si="120">SUM(B360:AF360)</f>
        <v>0</v>
      </c>
    </row>
    <row r="361">
      <c r="A361" s="897" t="s">
        <v>783</v>
      </c>
      <c r="B361" s="301">
        <v>0.0</v>
      </c>
      <c r="C361" s="301">
        <v>0.0</v>
      </c>
      <c r="D361" s="301">
        <v>0.0</v>
      </c>
      <c r="E361" s="301">
        <v>0.0</v>
      </c>
      <c r="F361" s="301">
        <v>0.0</v>
      </c>
      <c r="G361" s="301">
        <v>0.0</v>
      </c>
      <c r="H361" s="301">
        <v>0.0</v>
      </c>
      <c r="I361" s="301">
        <v>0.0</v>
      </c>
      <c r="J361" s="301">
        <v>0.0</v>
      </c>
      <c r="K361" s="301">
        <v>0.0</v>
      </c>
      <c r="L361" s="301">
        <v>0.0</v>
      </c>
      <c r="M361" s="301">
        <v>0.0</v>
      </c>
      <c r="N361" s="301">
        <v>0.0</v>
      </c>
      <c r="O361" s="301">
        <v>0.0</v>
      </c>
      <c r="P361" s="301">
        <v>0.0</v>
      </c>
      <c r="Q361" s="301">
        <v>0.0</v>
      </c>
      <c r="R361" s="301">
        <v>0.0</v>
      </c>
      <c r="S361" s="877">
        <v>0.0</v>
      </c>
      <c r="T361" s="301">
        <v>0.0</v>
      </c>
      <c r="U361" s="877">
        <v>0.0</v>
      </c>
      <c r="V361" s="301">
        <v>0.0</v>
      </c>
      <c r="W361" s="877">
        <v>0.0</v>
      </c>
      <c r="X361" s="301">
        <v>0.0</v>
      </c>
      <c r="Y361" s="877">
        <v>0.0</v>
      </c>
      <c r="Z361" s="301">
        <v>0.0</v>
      </c>
      <c r="AA361" s="301">
        <v>0.0</v>
      </c>
      <c r="AB361" s="301">
        <v>0.0</v>
      </c>
      <c r="AC361" s="301">
        <v>0.0</v>
      </c>
      <c r="AD361" s="301">
        <v>0.0</v>
      </c>
      <c r="AE361" s="301">
        <v>0.0</v>
      </c>
      <c r="AF361" s="301">
        <v>0.0</v>
      </c>
      <c r="AG361" s="768">
        <f t="shared" si="120"/>
        <v>0</v>
      </c>
    </row>
    <row r="362">
      <c r="A362" s="907" t="s">
        <v>151</v>
      </c>
      <c r="B362" s="901">
        <f t="shared" ref="B362:AF362" si="121">SUM(B360:B361)</f>
        <v>0</v>
      </c>
      <c r="C362" s="901">
        <f t="shared" si="121"/>
        <v>0</v>
      </c>
      <c r="D362" s="901">
        <f t="shared" si="121"/>
        <v>0</v>
      </c>
      <c r="E362" s="901">
        <f t="shared" si="121"/>
        <v>0</v>
      </c>
      <c r="F362" s="901">
        <f t="shared" si="121"/>
        <v>0</v>
      </c>
      <c r="G362" s="901">
        <f t="shared" si="121"/>
        <v>0</v>
      </c>
      <c r="H362" s="901">
        <f t="shared" si="121"/>
        <v>0</v>
      </c>
      <c r="I362" s="901">
        <f t="shared" si="121"/>
        <v>0</v>
      </c>
      <c r="J362" s="901">
        <f t="shared" si="121"/>
        <v>0</v>
      </c>
      <c r="K362" s="901">
        <f t="shared" si="121"/>
        <v>0</v>
      </c>
      <c r="L362" s="901">
        <f t="shared" si="121"/>
        <v>0</v>
      </c>
      <c r="M362" s="901">
        <f t="shared" si="121"/>
        <v>0</v>
      </c>
      <c r="N362" s="901">
        <f t="shared" si="121"/>
        <v>0</v>
      </c>
      <c r="O362" s="901">
        <f t="shared" si="121"/>
        <v>0</v>
      </c>
      <c r="P362" s="901">
        <f t="shared" si="121"/>
        <v>0</v>
      </c>
      <c r="Q362" s="901">
        <f t="shared" si="121"/>
        <v>0</v>
      </c>
      <c r="R362" s="901">
        <f t="shared" si="121"/>
        <v>0</v>
      </c>
      <c r="S362" s="901">
        <f t="shared" si="121"/>
        <v>0</v>
      </c>
      <c r="T362" s="901">
        <f t="shared" si="121"/>
        <v>0</v>
      </c>
      <c r="U362" s="901">
        <f t="shared" si="121"/>
        <v>0</v>
      </c>
      <c r="V362" s="901">
        <f t="shared" si="121"/>
        <v>0</v>
      </c>
      <c r="W362" s="901">
        <f t="shared" si="121"/>
        <v>0</v>
      </c>
      <c r="X362" s="901">
        <f t="shared" si="121"/>
        <v>0</v>
      </c>
      <c r="Y362" s="901">
        <f t="shared" si="121"/>
        <v>0</v>
      </c>
      <c r="Z362" s="901">
        <f t="shared" si="121"/>
        <v>0</v>
      </c>
      <c r="AA362" s="901">
        <f t="shared" si="121"/>
        <v>0</v>
      </c>
      <c r="AB362" s="901">
        <f t="shared" si="121"/>
        <v>0</v>
      </c>
      <c r="AC362" s="901">
        <f t="shared" si="121"/>
        <v>0</v>
      </c>
      <c r="AD362" s="901">
        <f t="shared" si="121"/>
        <v>0</v>
      </c>
      <c r="AE362" s="901">
        <f t="shared" si="121"/>
        <v>0</v>
      </c>
      <c r="AF362" s="901">
        <f t="shared" si="121"/>
        <v>0</v>
      </c>
      <c r="AG362" s="768">
        <f t="shared" si="120"/>
        <v>0</v>
      </c>
    </row>
    <row r="363">
      <c r="A363" s="835"/>
      <c r="AG363" s="11"/>
    </row>
    <row r="364">
      <c r="A364" s="897" t="s">
        <v>730</v>
      </c>
      <c r="B364" s="301">
        <v>0.0</v>
      </c>
      <c r="C364" s="301">
        <v>0.0</v>
      </c>
      <c r="D364" s="301">
        <v>0.0</v>
      </c>
      <c r="E364" s="301">
        <v>0.0</v>
      </c>
      <c r="F364" s="301">
        <v>0.0</v>
      </c>
      <c r="G364" s="301">
        <v>0.0</v>
      </c>
      <c r="H364" s="301">
        <v>0.0</v>
      </c>
      <c r="I364" s="301">
        <v>0.0</v>
      </c>
      <c r="J364" s="301">
        <v>0.0</v>
      </c>
      <c r="K364" s="301">
        <v>0.0</v>
      </c>
      <c r="L364" s="301">
        <v>0.0</v>
      </c>
      <c r="M364" s="301">
        <v>0.0</v>
      </c>
      <c r="N364" s="301">
        <v>0.0</v>
      </c>
      <c r="O364" s="301">
        <v>0.0</v>
      </c>
      <c r="P364" s="301">
        <v>0.0</v>
      </c>
      <c r="Q364" s="301">
        <v>0.0</v>
      </c>
      <c r="R364" s="301">
        <v>0.0</v>
      </c>
      <c r="S364" s="877">
        <v>0.0</v>
      </c>
      <c r="T364" s="301">
        <v>0.0</v>
      </c>
      <c r="U364" s="877">
        <v>0.0</v>
      </c>
      <c r="V364" s="301">
        <v>0.0</v>
      </c>
      <c r="W364" s="877">
        <v>0.0</v>
      </c>
      <c r="X364" s="301">
        <v>0.0</v>
      </c>
      <c r="Y364" s="877">
        <v>0.0</v>
      </c>
      <c r="Z364" s="301">
        <v>0.0</v>
      </c>
      <c r="AA364" s="877">
        <v>0.0</v>
      </c>
      <c r="AB364" s="301">
        <v>0.0</v>
      </c>
      <c r="AC364" s="301">
        <v>0.0</v>
      </c>
      <c r="AD364" s="301">
        <v>0.0</v>
      </c>
      <c r="AE364" s="301">
        <v>0.0</v>
      </c>
      <c r="AF364" s="301">
        <v>0.0</v>
      </c>
      <c r="AG364" s="768">
        <f t="shared" ref="AG364:AG366" si="122">SUM(B364:AF364)</f>
        <v>0</v>
      </c>
    </row>
    <row r="365">
      <c r="A365" s="897" t="s">
        <v>732</v>
      </c>
      <c r="B365" s="301">
        <v>0.0</v>
      </c>
      <c r="C365" s="301">
        <v>0.0</v>
      </c>
      <c r="D365" s="301">
        <v>0.0</v>
      </c>
      <c r="E365" s="301">
        <v>0.0</v>
      </c>
      <c r="F365" s="301">
        <v>0.0</v>
      </c>
      <c r="G365" s="301">
        <v>0.0</v>
      </c>
      <c r="H365" s="301">
        <v>0.0</v>
      </c>
      <c r="I365" s="301">
        <v>0.0</v>
      </c>
      <c r="J365" s="301">
        <v>0.0</v>
      </c>
      <c r="K365" s="301">
        <v>0.0</v>
      </c>
      <c r="L365" s="301">
        <v>0.0</v>
      </c>
      <c r="M365" s="301">
        <v>0.0</v>
      </c>
      <c r="N365" s="301">
        <v>0.0</v>
      </c>
      <c r="O365" s="301">
        <v>0.0</v>
      </c>
      <c r="P365" s="301">
        <v>0.0</v>
      </c>
      <c r="Q365" s="301">
        <v>0.0</v>
      </c>
      <c r="R365" s="301">
        <v>0.0</v>
      </c>
      <c r="S365" s="877">
        <v>0.0</v>
      </c>
      <c r="T365" s="301">
        <v>0.0</v>
      </c>
      <c r="U365" s="877">
        <v>0.0</v>
      </c>
      <c r="V365" s="301">
        <v>0.0</v>
      </c>
      <c r="W365" s="877">
        <v>0.0</v>
      </c>
      <c r="X365" s="301">
        <v>0.0</v>
      </c>
      <c r="Y365" s="877">
        <v>0.0</v>
      </c>
      <c r="Z365" s="301">
        <v>0.0</v>
      </c>
      <c r="AA365" s="877">
        <v>0.0</v>
      </c>
      <c r="AB365" s="301">
        <v>0.0</v>
      </c>
      <c r="AC365" s="301">
        <v>0.0</v>
      </c>
      <c r="AD365" s="301">
        <v>0.0</v>
      </c>
      <c r="AE365" s="301">
        <v>0.0</v>
      </c>
      <c r="AF365" s="301">
        <v>0.0</v>
      </c>
      <c r="AG365" s="768">
        <f t="shared" si="122"/>
        <v>0</v>
      </c>
    </row>
    <row r="366">
      <c r="A366" s="907" t="s">
        <v>151</v>
      </c>
      <c r="B366" s="901">
        <f t="shared" ref="B366:AF366" si="123">SUM(B364:B365)</f>
        <v>0</v>
      </c>
      <c r="C366" s="901">
        <f t="shared" si="123"/>
        <v>0</v>
      </c>
      <c r="D366" s="901">
        <f t="shared" si="123"/>
        <v>0</v>
      </c>
      <c r="E366" s="901">
        <f t="shared" si="123"/>
        <v>0</v>
      </c>
      <c r="F366" s="901">
        <f t="shared" si="123"/>
        <v>0</v>
      </c>
      <c r="G366" s="901">
        <f t="shared" si="123"/>
        <v>0</v>
      </c>
      <c r="H366" s="901">
        <f t="shared" si="123"/>
        <v>0</v>
      </c>
      <c r="I366" s="901">
        <f t="shared" si="123"/>
        <v>0</v>
      </c>
      <c r="J366" s="901">
        <f t="shared" si="123"/>
        <v>0</v>
      </c>
      <c r="K366" s="901">
        <f t="shared" si="123"/>
        <v>0</v>
      </c>
      <c r="L366" s="901">
        <f t="shared" si="123"/>
        <v>0</v>
      </c>
      <c r="M366" s="901">
        <f t="shared" si="123"/>
        <v>0</v>
      </c>
      <c r="N366" s="901">
        <f t="shared" si="123"/>
        <v>0</v>
      </c>
      <c r="O366" s="901">
        <f t="shared" si="123"/>
        <v>0</v>
      </c>
      <c r="P366" s="901">
        <f t="shared" si="123"/>
        <v>0</v>
      </c>
      <c r="Q366" s="901">
        <f t="shared" si="123"/>
        <v>0</v>
      </c>
      <c r="R366" s="901">
        <f t="shared" si="123"/>
        <v>0</v>
      </c>
      <c r="S366" s="901">
        <f t="shared" si="123"/>
        <v>0</v>
      </c>
      <c r="T366" s="901">
        <f t="shared" si="123"/>
        <v>0</v>
      </c>
      <c r="U366" s="901">
        <f t="shared" si="123"/>
        <v>0</v>
      </c>
      <c r="V366" s="901">
        <f t="shared" si="123"/>
        <v>0</v>
      </c>
      <c r="W366" s="901">
        <f t="shared" si="123"/>
        <v>0</v>
      </c>
      <c r="X366" s="901">
        <f t="shared" si="123"/>
        <v>0</v>
      </c>
      <c r="Y366" s="901">
        <f t="shared" si="123"/>
        <v>0</v>
      </c>
      <c r="Z366" s="901">
        <f t="shared" si="123"/>
        <v>0</v>
      </c>
      <c r="AA366" s="901">
        <f t="shared" si="123"/>
        <v>0</v>
      </c>
      <c r="AB366" s="901">
        <f t="shared" si="123"/>
        <v>0</v>
      </c>
      <c r="AC366" s="901">
        <f t="shared" si="123"/>
        <v>0</v>
      </c>
      <c r="AD366" s="901">
        <f t="shared" si="123"/>
        <v>0</v>
      </c>
      <c r="AE366" s="901">
        <f t="shared" si="123"/>
        <v>0</v>
      </c>
      <c r="AF366" s="901">
        <f t="shared" si="123"/>
        <v>0</v>
      </c>
      <c r="AG366" s="768">
        <f t="shared" si="122"/>
        <v>0</v>
      </c>
    </row>
    <row r="367">
      <c r="A367" s="835"/>
      <c r="AG367" s="11"/>
    </row>
    <row r="368">
      <c r="A368" s="897" t="s">
        <v>785</v>
      </c>
      <c r="B368" s="301">
        <v>0.0</v>
      </c>
      <c r="C368" s="301">
        <v>0.0</v>
      </c>
      <c r="D368" s="301">
        <v>0.0</v>
      </c>
      <c r="E368" s="301">
        <v>0.0</v>
      </c>
      <c r="F368" s="301">
        <v>0.0</v>
      </c>
      <c r="G368" s="301">
        <v>0.0</v>
      </c>
      <c r="H368" s="301">
        <v>0.0</v>
      </c>
      <c r="I368" s="301">
        <v>0.0</v>
      </c>
      <c r="J368" s="301">
        <v>0.0</v>
      </c>
      <c r="K368" s="301">
        <v>0.0</v>
      </c>
      <c r="L368" s="301">
        <v>0.0</v>
      </c>
      <c r="M368" s="301">
        <v>0.0</v>
      </c>
      <c r="N368" s="301">
        <v>0.0</v>
      </c>
      <c r="O368" s="301">
        <v>0.0</v>
      </c>
      <c r="P368" s="301">
        <v>0.0</v>
      </c>
      <c r="Q368" s="301">
        <v>0.0</v>
      </c>
      <c r="R368" s="301">
        <v>0.0</v>
      </c>
      <c r="S368" s="877">
        <v>0.0</v>
      </c>
      <c r="T368" s="301">
        <v>0.0</v>
      </c>
      <c r="U368" s="301">
        <v>0.0</v>
      </c>
      <c r="V368" s="301">
        <v>0.0</v>
      </c>
      <c r="W368" s="301">
        <v>0.0</v>
      </c>
      <c r="X368" s="301">
        <v>0.0</v>
      </c>
      <c r="Y368" s="301">
        <v>0.0</v>
      </c>
      <c r="Z368" s="301">
        <v>0.0</v>
      </c>
      <c r="AA368" s="301">
        <v>0.0</v>
      </c>
      <c r="AB368" s="301">
        <v>0.0</v>
      </c>
      <c r="AC368" s="301">
        <v>0.0</v>
      </c>
      <c r="AD368" s="301">
        <v>0.0</v>
      </c>
      <c r="AE368" s="301">
        <v>0.0</v>
      </c>
      <c r="AF368" s="301">
        <v>0.0</v>
      </c>
      <c r="AG368" s="768"/>
    </row>
    <row r="369">
      <c r="A369" s="907" t="s">
        <v>786</v>
      </c>
      <c r="B369" s="901">
        <f t="shared" ref="B369:AE369" si="124">B368</f>
        <v>0</v>
      </c>
      <c r="C369" s="901">
        <f t="shared" si="124"/>
        <v>0</v>
      </c>
      <c r="D369" s="901">
        <f t="shared" si="124"/>
        <v>0</v>
      </c>
      <c r="E369" s="901">
        <f t="shared" si="124"/>
        <v>0</v>
      </c>
      <c r="F369" s="901">
        <f t="shared" si="124"/>
        <v>0</v>
      </c>
      <c r="G369" s="901">
        <f t="shared" si="124"/>
        <v>0</v>
      </c>
      <c r="H369" s="901">
        <f t="shared" si="124"/>
        <v>0</v>
      </c>
      <c r="I369" s="901">
        <f t="shared" si="124"/>
        <v>0</v>
      </c>
      <c r="J369" s="901">
        <f t="shared" si="124"/>
        <v>0</v>
      </c>
      <c r="K369" s="901">
        <f t="shared" si="124"/>
        <v>0</v>
      </c>
      <c r="L369" s="901">
        <f t="shared" si="124"/>
        <v>0</v>
      </c>
      <c r="M369" s="901">
        <f t="shared" si="124"/>
        <v>0</v>
      </c>
      <c r="N369" s="901">
        <f t="shared" si="124"/>
        <v>0</v>
      </c>
      <c r="O369" s="901">
        <f t="shared" si="124"/>
        <v>0</v>
      </c>
      <c r="P369" s="901">
        <f t="shared" si="124"/>
        <v>0</v>
      </c>
      <c r="Q369" s="901">
        <f t="shared" si="124"/>
        <v>0</v>
      </c>
      <c r="R369" s="901">
        <f t="shared" si="124"/>
        <v>0</v>
      </c>
      <c r="S369" s="901">
        <f t="shared" si="124"/>
        <v>0</v>
      </c>
      <c r="T369" s="901">
        <f t="shared" si="124"/>
        <v>0</v>
      </c>
      <c r="U369" s="901">
        <f t="shared" si="124"/>
        <v>0</v>
      </c>
      <c r="V369" s="901">
        <f t="shared" si="124"/>
        <v>0</v>
      </c>
      <c r="W369" s="901">
        <f t="shared" si="124"/>
        <v>0</v>
      </c>
      <c r="X369" s="901">
        <f t="shared" si="124"/>
        <v>0</v>
      </c>
      <c r="Y369" s="901">
        <f t="shared" si="124"/>
        <v>0</v>
      </c>
      <c r="Z369" s="901">
        <f t="shared" si="124"/>
        <v>0</v>
      </c>
      <c r="AA369" s="901">
        <f t="shared" si="124"/>
        <v>0</v>
      </c>
      <c r="AB369" s="901">
        <f t="shared" si="124"/>
        <v>0</v>
      </c>
      <c r="AC369" s="901">
        <f t="shared" si="124"/>
        <v>0</v>
      </c>
      <c r="AD369" s="901">
        <f t="shared" si="124"/>
        <v>0</v>
      </c>
      <c r="AE369" s="901">
        <f t="shared" si="124"/>
        <v>0</v>
      </c>
      <c r="AF369" s="901"/>
      <c r="AG369" s="768">
        <f>SUM(B369:AF369)</f>
        <v>0</v>
      </c>
    </row>
    <row r="370">
      <c r="A370" s="835"/>
      <c r="AG370" s="11"/>
    </row>
    <row r="371">
      <c r="A371" s="897" t="s">
        <v>830</v>
      </c>
      <c r="B371" s="301">
        <v>0.0</v>
      </c>
      <c r="C371" s="301">
        <v>0.0</v>
      </c>
      <c r="D371" s="301">
        <v>0.0</v>
      </c>
      <c r="E371" s="301">
        <v>1.0</v>
      </c>
      <c r="F371" s="877">
        <v>0.0</v>
      </c>
      <c r="G371" s="877">
        <v>0.0</v>
      </c>
      <c r="H371" s="301">
        <v>1.0</v>
      </c>
      <c r="I371" s="301">
        <v>0.0</v>
      </c>
      <c r="J371" s="301">
        <v>0.0</v>
      </c>
      <c r="K371" s="301">
        <v>1.0</v>
      </c>
      <c r="L371" s="301">
        <v>2.0</v>
      </c>
      <c r="M371" s="301">
        <v>0.0</v>
      </c>
      <c r="N371" s="301">
        <v>1.0</v>
      </c>
      <c r="O371" s="301">
        <v>6.0</v>
      </c>
      <c r="P371" s="301">
        <v>0.0</v>
      </c>
      <c r="Q371" s="301">
        <v>1.0</v>
      </c>
      <c r="R371" s="301">
        <v>4.0</v>
      </c>
      <c r="S371" s="877">
        <v>1.0</v>
      </c>
      <c r="T371" s="301">
        <v>1.0</v>
      </c>
      <c r="U371" s="301">
        <v>1.0</v>
      </c>
      <c r="V371" s="301">
        <v>0.0</v>
      </c>
      <c r="W371" s="301">
        <v>0.0</v>
      </c>
      <c r="X371" s="877">
        <v>0.0</v>
      </c>
      <c r="Y371" s="301">
        <v>9.0</v>
      </c>
      <c r="Z371" s="301">
        <v>1.0</v>
      </c>
      <c r="AA371" s="301">
        <v>46.0</v>
      </c>
      <c r="AB371" s="301">
        <v>17.0</v>
      </c>
      <c r="AC371" s="301">
        <v>69.0</v>
      </c>
      <c r="AD371" s="301">
        <v>30.0</v>
      </c>
      <c r="AE371" s="301">
        <v>34.0</v>
      </c>
      <c r="AF371" s="301">
        <v>16.0</v>
      </c>
      <c r="AG371" s="768">
        <f t="shared" ref="AG371:AG374" si="125">SUM(B371:AF371)</f>
        <v>242</v>
      </c>
    </row>
    <row r="372">
      <c r="A372" s="897" t="s">
        <v>831</v>
      </c>
      <c r="B372" s="301">
        <v>0.0</v>
      </c>
      <c r="C372" s="301">
        <v>0.0</v>
      </c>
      <c r="D372" s="301">
        <v>0.0</v>
      </c>
      <c r="E372" s="301">
        <v>0.0</v>
      </c>
      <c r="F372" s="877">
        <v>0.0</v>
      </c>
      <c r="G372" s="877">
        <v>0.0</v>
      </c>
      <c r="H372" s="301">
        <v>0.0</v>
      </c>
      <c r="I372" s="301">
        <v>0.0</v>
      </c>
      <c r="J372" s="301">
        <v>0.0</v>
      </c>
      <c r="K372" s="301">
        <v>0.0</v>
      </c>
      <c r="L372" s="301">
        <v>0.0</v>
      </c>
      <c r="M372" s="301">
        <v>0.0</v>
      </c>
      <c r="N372" s="301">
        <v>0.0</v>
      </c>
      <c r="O372" s="301">
        <v>0.0</v>
      </c>
      <c r="P372" s="301">
        <v>0.0</v>
      </c>
      <c r="Q372" s="301">
        <v>0.0</v>
      </c>
      <c r="R372" s="301">
        <v>1.0</v>
      </c>
      <c r="S372" s="877">
        <v>1.0</v>
      </c>
      <c r="T372" s="301">
        <v>0.0</v>
      </c>
      <c r="U372" s="301">
        <v>0.0</v>
      </c>
      <c r="V372" s="301">
        <v>0.0</v>
      </c>
      <c r="W372" s="301">
        <v>0.0</v>
      </c>
      <c r="X372" s="877">
        <v>0.0</v>
      </c>
      <c r="Y372" s="301">
        <v>1.0</v>
      </c>
      <c r="Z372" s="301">
        <v>0.0</v>
      </c>
      <c r="AA372" s="301">
        <v>0.0</v>
      </c>
      <c r="AB372" s="301">
        <v>0.0</v>
      </c>
      <c r="AC372" s="301">
        <v>0.0</v>
      </c>
      <c r="AD372" s="301">
        <v>0.0</v>
      </c>
      <c r="AE372" s="301">
        <v>0.0</v>
      </c>
      <c r="AF372" s="301">
        <v>3.0</v>
      </c>
      <c r="AG372" s="768">
        <f t="shared" si="125"/>
        <v>6</v>
      </c>
    </row>
    <row r="373">
      <c r="A373" s="897" t="s">
        <v>832</v>
      </c>
      <c r="B373" s="301">
        <v>0.0</v>
      </c>
      <c r="C373" s="301">
        <v>0.0</v>
      </c>
      <c r="D373" s="301">
        <v>0.0</v>
      </c>
      <c r="E373" s="301">
        <v>0.0</v>
      </c>
      <c r="F373" s="877">
        <v>0.0</v>
      </c>
      <c r="G373" s="877">
        <v>0.0</v>
      </c>
      <c r="H373" s="301">
        <v>0.0</v>
      </c>
      <c r="I373" s="301">
        <v>0.0</v>
      </c>
      <c r="J373" s="301">
        <v>0.0</v>
      </c>
      <c r="K373" s="301">
        <v>0.0</v>
      </c>
      <c r="L373" s="301">
        <v>0.0</v>
      </c>
      <c r="M373" s="301">
        <v>0.0</v>
      </c>
      <c r="N373" s="301">
        <v>0.0</v>
      </c>
      <c r="O373" s="301">
        <v>0.0</v>
      </c>
      <c r="P373" s="301">
        <v>0.0</v>
      </c>
      <c r="Q373" s="301">
        <v>0.0</v>
      </c>
      <c r="R373" s="301">
        <v>0.0</v>
      </c>
      <c r="S373" s="877">
        <v>0.0</v>
      </c>
      <c r="T373" s="301">
        <v>0.0</v>
      </c>
      <c r="U373" s="301">
        <v>0.0</v>
      </c>
      <c r="V373" s="301">
        <v>0.0</v>
      </c>
      <c r="W373" s="301">
        <v>0.0</v>
      </c>
      <c r="X373" s="877">
        <v>0.0</v>
      </c>
      <c r="Y373" s="301">
        <v>0.0</v>
      </c>
      <c r="Z373" s="301">
        <v>0.0</v>
      </c>
      <c r="AA373" s="301">
        <v>0.0</v>
      </c>
      <c r="AB373" s="301">
        <v>0.0</v>
      </c>
      <c r="AC373" s="301">
        <v>0.0</v>
      </c>
      <c r="AD373" s="301">
        <v>0.0</v>
      </c>
      <c r="AE373" s="301">
        <v>0.0</v>
      </c>
      <c r="AF373" s="301">
        <v>0.0</v>
      </c>
      <c r="AG373" s="768">
        <f t="shared" si="125"/>
        <v>0</v>
      </c>
    </row>
    <row r="374">
      <c r="A374" s="907" t="s">
        <v>786</v>
      </c>
      <c r="B374" s="901">
        <f t="shared" ref="B374:AF374" si="126">SUM(B371:B373)</f>
        <v>0</v>
      </c>
      <c r="C374" s="901">
        <f t="shared" si="126"/>
        <v>0</v>
      </c>
      <c r="D374" s="901">
        <f t="shared" si="126"/>
        <v>0</v>
      </c>
      <c r="E374" s="901">
        <f t="shared" si="126"/>
        <v>1</v>
      </c>
      <c r="F374" s="901">
        <f t="shared" si="126"/>
        <v>0</v>
      </c>
      <c r="G374" s="901">
        <f t="shared" si="126"/>
        <v>0</v>
      </c>
      <c r="H374" s="901">
        <f t="shared" si="126"/>
        <v>1</v>
      </c>
      <c r="I374" s="901">
        <f t="shared" si="126"/>
        <v>0</v>
      </c>
      <c r="J374" s="901">
        <f t="shared" si="126"/>
        <v>0</v>
      </c>
      <c r="K374" s="901">
        <f t="shared" si="126"/>
        <v>1</v>
      </c>
      <c r="L374" s="901">
        <f t="shared" si="126"/>
        <v>2</v>
      </c>
      <c r="M374" s="901">
        <f t="shared" si="126"/>
        <v>0</v>
      </c>
      <c r="N374" s="901">
        <f t="shared" si="126"/>
        <v>1</v>
      </c>
      <c r="O374" s="901">
        <f t="shared" si="126"/>
        <v>6</v>
      </c>
      <c r="P374" s="901">
        <f t="shared" si="126"/>
        <v>0</v>
      </c>
      <c r="Q374" s="901">
        <f t="shared" si="126"/>
        <v>1</v>
      </c>
      <c r="R374" s="901">
        <f t="shared" si="126"/>
        <v>5</v>
      </c>
      <c r="S374" s="901">
        <f t="shared" si="126"/>
        <v>2</v>
      </c>
      <c r="T374" s="901">
        <f t="shared" si="126"/>
        <v>1</v>
      </c>
      <c r="U374" s="901">
        <f t="shared" si="126"/>
        <v>1</v>
      </c>
      <c r="V374" s="901">
        <f t="shared" si="126"/>
        <v>0</v>
      </c>
      <c r="W374" s="901">
        <f t="shared" si="126"/>
        <v>0</v>
      </c>
      <c r="X374" s="901">
        <f t="shared" si="126"/>
        <v>0</v>
      </c>
      <c r="Y374" s="901">
        <f t="shared" si="126"/>
        <v>10</v>
      </c>
      <c r="Z374" s="901">
        <f t="shared" si="126"/>
        <v>1</v>
      </c>
      <c r="AA374" s="901">
        <f t="shared" si="126"/>
        <v>46</v>
      </c>
      <c r="AB374" s="901">
        <f t="shared" si="126"/>
        <v>17</v>
      </c>
      <c r="AC374" s="901">
        <f t="shared" si="126"/>
        <v>69</v>
      </c>
      <c r="AD374" s="901">
        <f t="shared" si="126"/>
        <v>30</v>
      </c>
      <c r="AE374" s="901">
        <f t="shared" si="126"/>
        <v>34</v>
      </c>
      <c r="AF374" s="901">
        <f t="shared" si="126"/>
        <v>19</v>
      </c>
      <c r="AG374" s="768">
        <f t="shared" si="125"/>
        <v>248</v>
      </c>
    </row>
    <row r="375">
      <c r="A375" s="835"/>
      <c r="B375" s="911"/>
      <c r="AG375" s="11"/>
    </row>
    <row r="376">
      <c r="A376" s="648" t="s">
        <v>833</v>
      </c>
      <c r="B376" s="542"/>
      <c r="C376" s="542"/>
      <c r="D376" s="542"/>
      <c r="E376" s="542"/>
      <c r="F376" s="542"/>
      <c r="G376" s="885"/>
      <c r="H376" s="542"/>
      <c r="I376" s="327"/>
      <c r="J376" s="327"/>
      <c r="K376" s="327"/>
      <c r="L376" s="327"/>
      <c r="M376" s="327"/>
      <c r="N376" s="327"/>
      <c r="O376" s="327"/>
      <c r="P376" s="327"/>
      <c r="Q376" s="327"/>
      <c r="R376" s="327"/>
      <c r="S376" s="327"/>
      <c r="T376" s="327"/>
      <c r="U376" s="327"/>
      <c r="V376" s="327"/>
      <c r="W376" s="327"/>
      <c r="X376" s="327"/>
      <c r="Y376" s="327"/>
      <c r="Z376" s="327"/>
      <c r="AA376" s="327"/>
      <c r="AB376" s="327"/>
      <c r="AC376" s="327"/>
      <c r="AD376" s="327"/>
      <c r="AE376" s="327"/>
      <c r="AF376" s="327"/>
      <c r="AG376" s="11"/>
    </row>
    <row r="377">
      <c r="A377" s="897" t="s">
        <v>809</v>
      </c>
      <c r="B377" s="311">
        <v>0.0</v>
      </c>
      <c r="C377" s="311">
        <v>0.0</v>
      </c>
      <c r="D377" s="311">
        <v>0.0</v>
      </c>
      <c r="E377" s="311">
        <v>0.0</v>
      </c>
      <c r="F377" s="311">
        <v>1342.0</v>
      </c>
      <c r="G377" s="885">
        <v>562.0</v>
      </c>
      <c r="H377" s="311">
        <v>0.0</v>
      </c>
      <c r="I377" s="311">
        <v>0.0</v>
      </c>
      <c r="J377" s="311">
        <v>0.0</v>
      </c>
      <c r="K377" s="311">
        <v>482.0</v>
      </c>
      <c r="L377" s="311">
        <v>199.0</v>
      </c>
      <c r="M377" s="311">
        <v>0.0</v>
      </c>
      <c r="N377" s="311">
        <v>0.0</v>
      </c>
      <c r="O377" s="311">
        <v>0.0</v>
      </c>
      <c r="P377" s="311">
        <v>0.0</v>
      </c>
      <c r="Q377" s="311">
        <v>0.0</v>
      </c>
      <c r="R377" s="311">
        <v>448.1</v>
      </c>
      <c r="S377" s="311">
        <v>336.0</v>
      </c>
      <c r="T377" s="311">
        <v>24.0</v>
      </c>
      <c r="U377" s="311">
        <v>269.0</v>
      </c>
      <c r="V377" s="311">
        <v>336.0</v>
      </c>
      <c r="W377" s="311">
        <v>22.0</v>
      </c>
      <c r="X377" s="311">
        <v>269.0</v>
      </c>
      <c r="Y377" s="311">
        <v>1512.0</v>
      </c>
      <c r="Z377" s="311">
        <v>441.0</v>
      </c>
      <c r="AA377" s="311">
        <v>375.0</v>
      </c>
      <c r="AB377" s="311">
        <v>259.0</v>
      </c>
      <c r="AC377" s="311">
        <v>1199.91</v>
      </c>
      <c r="AD377" s="311">
        <v>177.29</v>
      </c>
      <c r="AE377" s="311">
        <v>979.0</v>
      </c>
      <c r="AF377" s="311">
        <v>1716.8</v>
      </c>
      <c r="AG377" s="350">
        <f t="shared" ref="AG377:AG380" si="127">SUM(B377:AF377)</f>
        <v>10949.1</v>
      </c>
    </row>
    <row r="378">
      <c r="A378" s="897" t="s">
        <v>811</v>
      </c>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350">
        <f t="shared" si="127"/>
        <v>0</v>
      </c>
    </row>
    <row r="379">
      <c r="A379" s="897" t="s">
        <v>812</v>
      </c>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350">
        <f t="shared" si="127"/>
        <v>0</v>
      </c>
    </row>
    <row r="380">
      <c r="A380" s="914" t="s">
        <v>765</v>
      </c>
      <c r="B380" s="915"/>
      <c r="C380" s="915"/>
      <c r="D380" s="915"/>
      <c r="E380" s="915"/>
      <c r="F380" s="915"/>
      <c r="G380" s="915"/>
      <c r="H380" s="915"/>
      <c r="I380" s="915"/>
      <c r="J380" s="915"/>
      <c r="K380" s="915"/>
      <c r="L380" s="915"/>
      <c r="M380" s="915"/>
      <c r="N380" s="915"/>
      <c r="O380" s="915"/>
      <c r="P380" s="915"/>
      <c r="Q380" s="915"/>
      <c r="R380" s="915"/>
      <c r="S380" s="915"/>
      <c r="T380" s="915"/>
      <c r="U380" s="915"/>
      <c r="V380" s="915"/>
      <c r="W380" s="915"/>
      <c r="X380" s="915"/>
      <c r="Y380" s="915"/>
      <c r="Z380" s="915"/>
      <c r="AA380" s="915"/>
      <c r="AB380" s="915"/>
      <c r="AC380" s="915"/>
      <c r="AD380" s="915"/>
      <c r="AE380" s="915"/>
      <c r="AF380" s="915"/>
      <c r="AG380" s="350">
        <f t="shared" si="127"/>
        <v>0</v>
      </c>
    </row>
    <row r="381">
      <c r="A381" s="835"/>
      <c r="AG381" s="350"/>
    </row>
    <row r="382">
      <c r="A382" s="897" t="s">
        <v>374</v>
      </c>
      <c r="B382" s="311">
        <v>0.0</v>
      </c>
      <c r="C382" s="311">
        <v>0.0</v>
      </c>
      <c r="D382" s="311">
        <v>0.0</v>
      </c>
      <c r="E382" s="311">
        <v>0.0</v>
      </c>
      <c r="F382" s="885">
        <v>0.0</v>
      </c>
      <c r="G382" s="311">
        <v>382.9</v>
      </c>
      <c r="H382" s="311">
        <v>0.0</v>
      </c>
      <c r="I382" s="311">
        <v>0.0</v>
      </c>
      <c r="J382" s="311">
        <v>0.0</v>
      </c>
      <c r="K382" s="311">
        <v>0.0</v>
      </c>
      <c r="L382" s="311">
        <v>0.0</v>
      </c>
      <c r="M382" s="311">
        <v>0.0</v>
      </c>
      <c r="N382" s="311">
        <v>0.0</v>
      </c>
      <c r="O382" s="311">
        <v>0.0</v>
      </c>
      <c r="P382" s="311">
        <v>0.0</v>
      </c>
      <c r="Q382" s="311">
        <v>0.0</v>
      </c>
      <c r="R382" s="311">
        <v>0.0</v>
      </c>
      <c r="S382" s="311">
        <v>284.1</v>
      </c>
      <c r="T382" s="311">
        <v>0.0</v>
      </c>
      <c r="U382" s="311">
        <v>0.0</v>
      </c>
      <c r="V382" s="311">
        <v>0.0</v>
      </c>
      <c r="W382" s="311">
        <v>0.0</v>
      </c>
      <c r="X382" s="311">
        <v>0.0</v>
      </c>
      <c r="Y382" s="311">
        <v>0.0</v>
      </c>
      <c r="Z382" s="311">
        <v>0.0</v>
      </c>
      <c r="AA382" s="311">
        <v>0.0</v>
      </c>
      <c r="AB382" s="311">
        <v>0.0</v>
      </c>
      <c r="AC382" s="311">
        <v>0.0</v>
      </c>
      <c r="AD382" s="311">
        <v>0.0</v>
      </c>
      <c r="AE382" s="311">
        <v>0.0</v>
      </c>
      <c r="AF382" s="311">
        <v>0.0</v>
      </c>
      <c r="AG382" s="350">
        <f t="shared" ref="AG382:AG385" si="128">SUM(B382:AF382)</f>
        <v>667</v>
      </c>
    </row>
    <row r="383">
      <c r="A383" s="897" t="s">
        <v>375</v>
      </c>
      <c r="B383" s="311">
        <v>0.0</v>
      </c>
      <c r="C383" s="311">
        <v>0.0</v>
      </c>
      <c r="D383" s="311">
        <v>0.0</v>
      </c>
      <c r="E383" s="311">
        <v>0.0</v>
      </c>
      <c r="F383" s="885">
        <v>0.0</v>
      </c>
      <c r="G383" s="311">
        <v>46.9</v>
      </c>
      <c r="H383" s="311">
        <v>0.0</v>
      </c>
      <c r="I383" s="311">
        <v>0.0</v>
      </c>
      <c r="J383" s="311">
        <v>0.0</v>
      </c>
      <c r="K383" s="311">
        <v>0.0</v>
      </c>
      <c r="L383" s="311">
        <v>0.0</v>
      </c>
      <c r="M383" s="311">
        <v>0.0</v>
      </c>
      <c r="N383" s="311">
        <v>0.0</v>
      </c>
      <c r="O383" s="311">
        <v>0.0</v>
      </c>
      <c r="P383" s="311">
        <v>0.0</v>
      </c>
      <c r="Q383" s="311">
        <v>0.0</v>
      </c>
      <c r="R383" s="311">
        <v>0.0</v>
      </c>
      <c r="S383" s="311">
        <v>67.0</v>
      </c>
      <c r="T383" s="311">
        <v>0.0</v>
      </c>
      <c r="U383" s="311">
        <v>0.0</v>
      </c>
      <c r="V383" s="311">
        <v>0.0</v>
      </c>
      <c r="W383" s="885">
        <v>0.0</v>
      </c>
      <c r="X383" s="885">
        <v>0.0</v>
      </c>
      <c r="Y383" s="311">
        <v>0.0</v>
      </c>
      <c r="Z383" s="311">
        <v>0.0</v>
      </c>
      <c r="AA383" s="311">
        <v>0.0</v>
      </c>
      <c r="AB383" s="311">
        <v>0.0</v>
      </c>
      <c r="AC383" s="311">
        <v>0.0</v>
      </c>
      <c r="AD383" s="311">
        <v>0.0</v>
      </c>
      <c r="AE383" s="311">
        <v>0.0</v>
      </c>
      <c r="AF383" s="311">
        <v>0.0</v>
      </c>
      <c r="AG383" s="350">
        <f t="shared" si="128"/>
        <v>113.9</v>
      </c>
    </row>
    <row r="384">
      <c r="A384" s="897" t="s">
        <v>376</v>
      </c>
      <c r="B384" s="311">
        <f t="shared" ref="B384:AF384" si="129">B382*0.22</f>
        <v>0</v>
      </c>
      <c r="C384" s="311">
        <f t="shared" si="129"/>
        <v>0</v>
      </c>
      <c r="D384" s="311">
        <f t="shared" si="129"/>
        <v>0</v>
      </c>
      <c r="E384" s="311">
        <f t="shared" si="129"/>
        <v>0</v>
      </c>
      <c r="F384" s="311">
        <f t="shared" si="129"/>
        <v>0</v>
      </c>
      <c r="G384" s="311">
        <f t="shared" si="129"/>
        <v>84.238</v>
      </c>
      <c r="H384" s="311">
        <f t="shared" si="129"/>
        <v>0</v>
      </c>
      <c r="I384" s="311">
        <f t="shared" si="129"/>
        <v>0</v>
      </c>
      <c r="J384" s="311">
        <f t="shared" si="129"/>
        <v>0</v>
      </c>
      <c r="K384" s="311">
        <f t="shared" si="129"/>
        <v>0</v>
      </c>
      <c r="L384" s="311">
        <f t="shared" si="129"/>
        <v>0</v>
      </c>
      <c r="M384" s="311">
        <f t="shared" si="129"/>
        <v>0</v>
      </c>
      <c r="N384" s="311">
        <f t="shared" si="129"/>
        <v>0</v>
      </c>
      <c r="O384" s="311">
        <f t="shared" si="129"/>
        <v>0</v>
      </c>
      <c r="P384" s="311">
        <f t="shared" si="129"/>
        <v>0</v>
      </c>
      <c r="Q384" s="311">
        <f t="shared" si="129"/>
        <v>0</v>
      </c>
      <c r="R384" s="311">
        <f t="shared" si="129"/>
        <v>0</v>
      </c>
      <c r="S384" s="311">
        <f t="shared" si="129"/>
        <v>62.502</v>
      </c>
      <c r="T384" s="311">
        <f t="shared" si="129"/>
        <v>0</v>
      </c>
      <c r="U384" s="311">
        <f t="shared" si="129"/>
        <v>0</v>
      </c>
      <c r="V384" s="311">
        <f t="shared" si="129"/>
        <v>0</v>
      </c>
      <c r="W384" s="311">
        <f t="shared" si="129"/>
        <v>0</v>
      </c>
      <c r="X384" s="311">
        <f t="shared" si="129"/>
        <v>0</v>
      </c>
      <c r="Y384" s="311">
        <f t="shared" si="129"/>
        <v>0</v>
      </c>
      <c r="Z384" s="311">
        <f t="shared" si="129"/>
        <v>0</v>
      </c>
      <c r="AA384" s="311">
        <f t="shared" si="129"/>
        <v>0</v>
      </c>
      <c r="AB384" s="311">
        <f t="shared" si="129"/>
        <v>0</v>
      </c>
      <c r="AC384" s="311">
        <f t="shared" si="129"/>
        <v>0</v>
      </c>
      <c r="AD384" s="311">
        <f t="shared" si="129"/>
        <v>0</v>
      </c>
      <c r="AE384" s="311">
        <f t="shared" si="129"/>
        <v>0</v>
      </c>
      <c r="AF384" s="311">
        <f t="shared" si="129"/>
        <v>0</v>
      </c>
      <c r="AG384" s="350">
        <f t="shared" si="128"/>
        <v>146.74</v>
      </c>
    </row>
    <row r="385">
      <c r="A385" s="914" t="s">
        <v>773</v>
      </c>
      <c r="B385" s="915">
        <f t="shared" ref="B385:AF385" si="130">B382+B383</f>
        <v>0</v>
      </c>
      <c r="C385" s="915">
        <f t="shared" si="130"/>
        <v>0</v>
      </c>
      <c r="D385" s="915">
        <f t="shared" si="130"/>
        <v>0</v>
      </c>
      <c r="E385" s="915">
        <f t="shared" si="130"/>
        <v>0</v>
      </c>
      <c r="F385" s="915">
        <f t="shared" si="130"/>
        <v>0</v>
      </c>
      <c r="G385" s="915">
        <f t="shared" si="130"/>
        <v>429.8</v>
      </c>
      <c r="H385" s="915">
        <f t="shared" si="130"/>
        <v>0</v>
      </c>
      <c r="I385" s="915">
        <f t="shared" si="130"/>
        <v>0</v>
      </c>
      <c r="J385" s="915">
        <f t="shared" si="130"/>
        <v>0</v>
      </c>
      <c r="K385" s="915">
        <f t="shared" si="130"/>
        <v>0</v>
      </c>
      <c r="L385" s="915">
        <f t="shared" si="130"/>
        <v>0</v>
      </c>
      <c r="M385" s="915">
        <f t="shared" si="130"/>
        <v>0</v>
      </c>
      <c r="N385" s="915">
        <f t="shared" si="130"/>
        <v>0</v>
      </c>
      <c r="O385" s="915">
        <f t="shared" si="130"/>
        <v>0</v>
      </c>
      <c r="P385" s="915">
        <f t="shared" si="130"/>
        <v>0</v>
      </c>
      <c r="Q385" s="915">
        <f t="shared" si="130"/>
        <v>0</v>
      </c>
      <c r="R385" s="915">
        <f t="shared" si="130"/>
        <v>0</v>
      </c>
      <c r="S385" s="915">
        <f t="shared" si="130"/>
        <v>351.1</v>
      </c>
      <c r="T385" s="915">
        <f t="shared" si="130"/>
        <v>0</v>
      </c>
      <c r="U385" s="915">
        <f t="shared" si="130"/>
        <v>0</v>
      </c>
      <c r="V385" s="915">
        <f t="shared" si="130"/>
        <v>0</v>
      </c>
      <c r="W385" s="915">
        <f t="shared" si="130"/>
        <v>0</v>
      </c>
      <c r="X385" s="915">
        <f t="shared" si="130"/>
        <v>0</v>
      </c>
      <c r="Y385" s="915">
        <f t="shared" si="130"/>
        <v>0</v>
      </c>
      <c r="Z385" s="915">
        <f t="shared" si="130"/>
        <v>0</v>
      </c>
      <c r="AA385" s="915">
        <f t="shared" si="130"/>
        <v>0</v>
      </c>
      <c r="AB385" s="915">
        <f t="shared" si="130"/>
        <v>0</v>
      </c>
      <c r="AC385" s="915">
        <f t="shared" si="130"/>
        <v>0</v>
      </c>
      <c r="AD385" s="915">
        <f t="shared" si="130"/>
        <v>0</v>
      </c>
      <c r="AE385" s="915">
        <f t="shared" si="130"/>
        <v>0</v>
      </c>
      <c r="AF385" s="915">
        <f t="shared" si="130"/>
        <v>0</v>
      </c>
      <c r="AG385" s="350">
        <f t="shared" si="128"/>
        <v>780.9</v>
      </c>
    </row>
    <row r="386">
      <c r="A386" s="835"/>
      <c r="B386" s="301"/>
      <c r="C386" s="301"/>
      <c r="D386" s="301"/>
      <c r="E386" s="301"/>
      <c r="F386" s="301"/>
      <c r="G386" s="301"/>
      <c r="H386" s="301"/>
      <c r="I386" s="301"/>
      <c r="J386" s="301"/>
      <c r="K386" s="301"/>
      <c r="L386" s="301"/>
      <c r="M386" s="301"/>
      <c r="N386" s="301"/>
      <c r="O386" s="823"/>
      <c r="P386" s="823"/>
      <c r="Q386" s="823"/>
      <c r="R386" s="823"/>
      <c r="S386" s="823"/>
      <c r="T386" s="823"/>
      <c r="U386" s="823"/>
      <c r="V386" s="823"/>
      <c r="W386" s="823"/>
      <c r="X386" s="823"/>
      <c r="Y386" s="823"/>
      <c r="Z386" s="823"/>
      <c r="AA386" s="823"/>
      <c r="AB386" s="823"/>
      <c r="AC386" s="823"/>
      <c r="AD386" s="823"/>
      <c r="AE386" s="823"/>
      <c r="AF386" s="823"/>
      <c r="AG386" s="350"/>
    </row>
    <row r="387">
      <c r="A387" s="897" t="s">
        <v>813</v>
      </c>
      <c r="B387" s="138"/>
      <c r="C387" s="138"/>
      <c r="D387" s="138"/>
      <c r="E387" s="916"/>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v>53.0</v>
      </c>
      <c r="AF387" s="138"/>
      <c r="AG387" s="350">
        <f t="shared" ref="AG387:AG390" si="131">SUM(B387:AF387)</f>
        <v>53</v>
      </c>
    </row>
    <row r="388">
      <c r="A388" s="897" t="s">
        <v>814</v>
      </c>
      <c r="B388" s="138"/>
      <c r="C388" s="138"/>
      <c r="D388" s="138"/>
      <c r="E388" s="916"/>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v>10.0</v>
      </c>
      <c r="AF388" s="138"/>
      <c r="AG388" s="350">
        <f t="shared" si="131"/>
        <v>10</v>
      </c>
    </row>
    <row r="389">
      <c r="A389" s="897" t="s">
        <v>816</v>
      </c>
      <c r="B389" s="138"/>
      <c r="C389" s="138"/>
      <c r="D389" s="138"/>
      <c r="E389" s="916"/>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350">
        <f t="shared" si="131"/>
        <v>0</v>
      </c>
    </row>
    <row r="390">
      <c r="A390" s="914" t="s">
        <v>779</v>
      </c>
      <c r="B390" s="915">
        <f t="shared" ref="B390:AE390" si="132">B387+B388</f>
        <v>0</v>
      </c>
      <c r="C390" s="915">
        <f t="shared" si="132"/>
        <v>0</v>
      </c>
      <c r="D390" s="915">
        <f t="shared" si="132"/>
        <v>0</v>
      </c>
      <c r="E390" s="915">
        <f t="shared" si="132"/>
        <v>0</v>
      </c>
      <c r="F390" s="915">
        <f t="shared" si="132"/>
        <v>0</v>
      </c>
      <c r="G390" s="915">
        <f t="shared" si="132"/>
        <v>0</v>
      </c>
      <c r="H390" s="915">
        <f t="shared" si="132"/>
        <v>0</v>
      </c>
      <c r="I390" s="915">
        <f t="shared" si="132"/>
        <v>0</v>
      </c>
      <c r="J390" s="915">
        <f t="shared" si="132"/>
        <v>0</v>
      </c>
      <c r="K390" s="915">
        <f t="shared" si="132"/>
        <v>0</v>
      </c>
      <c r="L390" s="915">
        <f t="shared" si="132"/>
        <v>0</v>
      </c>
      <c r="M390" s="915">
        <f t="shared" si="132"/>
        <v>0</v>
      </c>
      <c r="N390" s="915">
        <f t="shared" si="132"/>
        <v>0</v>
      </c>
      <c r="O390" s="915">
        <f t="shared" si="132"/>
        <v>0</v>
      </c>
      <c r="P390" s="915">
        <f t="shared" si="132"/>
        <v>0</v>
      </c>
      <c r="Q390" s="915">
        <f t="shared" si="132"/>
        <v>0</v>
      </c>
      <c r="R390" s="915">
        <f t="shared" si="132"/>
        <v>0</v>
      </c>
      <c r="S390" s="915">
        <f t="shared" si="132"/>
        <v>0</v>
      </c>
      <c r="T390" s="915">
        <f t="shared" si="132"/>
        <v>0</v>
      </c>
      <c r="U390" s="915">
        <f t="shared" si="132"/>
        <v>0</v>
      </c>
      <c r="V390" s="915">
        <f t="shared" si="132"/>
        <v>0</v>
      </c>
      <c r="W390" s="915">
        <f t="shared" si="132"/>
        <v>0</v>
      </c>
      <c r="X390" s="915">
        <f t="shared" si="132"/>
        <v>0</v>
      </c>
      <c r="Y390" s="915">
        <f t="shared" si="132"/>
        <v>0</v>
      </c>
      <c r="Z390" s="915">
        <f t="shared" si="132"/>
        <v>0</v>
      </c>
      <c r="AA390" s="915">
        <f t="shared" si="132"/>
        <v>0</v>
      </c>
      <c r="AB390" s="915">
        <f t="shared" si="132"/>
        <v>0</v>
      </c>
      <c r="AC390" s="915">
        <f t="shared" si="132"/>
        <v>0</v>
      </c>
      <c r="AD390" s="915">
        <f t="shared" si="132"/>
        <v>0</v>
      </c>
      <c r="AE390" s="915">
        <f t="shared" si="132"/>
        <v>63</v>
      </c>
      <c r="AF390" s="915"/>
      <c r="AG390" s="350">
        <f t="shared" si="131"/>
        <v>63</v>
      </c>
    </row>
    <row r="391">
      <c r="A391" s="835"/>
      <c r="AG391" s="11"/>
    </row>
    <row r="392">
      <c r="A392" s="648" t="s">
        <v>835</v>
      </c>
      <c r="AG392" s="11"/>
    </row>
    <row r="393">
      <c r="A393" s="897" t="s">
        <v>809</v>
      </c>
      <c r="B393" s="311">
        <v>0.0</v>
      </c>
      <c r="C393" s="311">
        <v>0.0</v>
      </c>
      <c r="D393" s="311">
        <v>0.0</v>
      </c>
      <c r="E393" s="917">
        <v>169.5</v>
      </c>
      <c r="F393" s="930">
        <v>0.0</v>
      </c>
      <c r="G393" s="930">
        <v>0.0</v>
      </c>
      <c r="H393" s="917">
        <v>210.94</v>
      </c>
      <c r="I393" s="917">
        <v>0.0</v>
      </c>
      <c r="J393" s="917">
        <v>0.0</v>
      </c>
      <c r="K393" s="917">
        <v>199.0</v>
      </c>
      <c r="L393" s="917">
        <v>199.0</v>
      </c>
      <c r="M393" s="917">
        <v>0.0</v>
      </c>
      <c r="N393" s="917">
        <v>199.0</v>
      </c>
      <c r="O393" s="917">
        <v>1466.0</v>
      </c>
      <c r="P393" s="917">
        <v>0.0</v>
      </c>
      <c r="Q393" s="917">
        <v>199.0</v>
      </c>
      <c r="R393" s="917">
        <v>430.0</v>
      </c>
      <c r="S393" s="917">
        <v>207.0</v>
      </c>
      <c r="T393" s="917">
        <v>293.0</v>
      </c>
      <c r="U393" s="917">
        <v>293.0</v>
      </c>
      <c r="V393" s="917">
        <v>0.0</v>
      </c>
      <c r="W393" s="930">
        <v>0.0</v>
      </c>
      <c r="X393" s="311">
        <v>0.0</v>
      </c>
      <c r="Y393" s="917">
        <v>2216.0</v>
      </c>
      <c r="Z393" s="917">
        <v>199.0</v>
      </c>
      <c r="AA393" s="917">
        <v>11334.44</v>
      </c>
      <c r="AB393" s="917">
        <v>4263.0</v>
      </c>
      <c r="AC393" s="917">
        <v>17723.99</v>
      </c>
      <c r="AD393" s="917">
        <v>7410.87</v>
      </c>
      <c r="AE393" s="917">
        <v>7870.6</v>
      </c>
      <c r="AF393" s="917">
        <v>3487.64</v>
      </c>
      <c r="AG393" s="350">
        <f t="shared" ref="AG393:AG396" si="133">SUM(B393:AF393)</f>
        <v>58370.98</v>
      </c>
    </row>
    <row r="394">
      <c r="A394" s="897" t="s">
        <v>811</v>
      </c>
      <c r="B394" s="750"/>
      <c r="C394" s="918"/>
      <c r="D394" s="918"/>
      <c r="E394" s="918"/>
      <c r="F394" s="918"/>
      <c r="G394" s="918"/>
      <c r="H394" s="918"/>
      <c r="I394" s="918"/>
      <c r="J394" s="918"/>
      <c r="K394" s="918"/>
      <c r="L394" s="918"/>
      <c r="M394" s="918"/>
      <c r="N394" s="918"/>
      <c r="O394" s="918"/>
      <c r="P394" s="918"/>
      <c r="Q394" s="918"/>
      <c r="R394" s="918"/>
      <c r="S394" s="918"/>
      <c r="T394" s="918"/>
      <c r="U394" s="918"/>
      <c r="V394" s="918"/>
      <c r="W394" s="918"/>
      <c r="X394" s="918"/>
      <c r="Y394" s="918"/>
      <c r="Z394" s="918"/>
      <c r="AA394" s="918"/>
      <c r="AB394" s="918"/>
      <c r="AC394" s="918"/>
      <c r="AD394" s="918"/>
      <c r="AE394" s="918"/>
      <c r="AF394" s="918"/>
      <c r="AG394" s="350">
        <f t="shared" si="133"/>
        <v>0</v>
      </c>
    </row>
    <row r="395">
      <c r="A395" s="897" t="s">
        <v>812</v>
      </c>
      <c r="B395" s="750"/>
      <c r="C395" s="918"/>
      <c r="D395" s="918"/>
      <c r="E395" s="918"/>
      <c r="F395" s="918"/>
      <c r="G395" s="918"/>
      <c r="H395" s="918"/>
      <c r="I395" s="918"/>
      <c r="J395" s="918"/>
      <c r="K395" s="918"/>
      <c r="L395" s="918"/>
      <c r="M395" s="918"/>
      <c r="N395" s="918"/>
      <c r="O395" s="918"/>
      <c r="P395" s="918"/>
      <c r="Q395" s="918"/>
      <c r="R395" s="918"/>
      <c r="S395" s="918"/>
      <c r="T395" s="918"/>
      <c r="U395" s="918"/>
      <c r="V395" s="918"/>
      <c r="W395" s="918"/>
      <c r="X395" s="918"/>
      <c r="Y395" s="918"/>
      <c r="Z395" s="918"/>
      <c r="AA395" s="918"/>
      <c r="AB395" s="918"/>
      <c r="AC395" s="918"/>
      <c r="AD395" s="918"/>
      <c r="AE395" s="918"/>
      <c r="AF395" s="918"/>
      <c r="AG395" s="350">
        <f t="shared" si="133"/>
        <v>0</v>
      </c>
    </row>
    <row r="396">
      <c r="A396" s="914" t="s">
        <v>765</v>
      </c>
      <c r="B396" s="919">
        <f t="shared" ref="B396:AF396" si="134">sum(B393:B395)</f>
        <v>0</v>
      </c>
      <c r="C396" s="919">
        <f t="shared" si="134"/>
        <v>0</v>
      </c>
      <c r="D396" s="919">
        <f t="shared" si="134"/>
        <v>0</v>
      </c>
      <c r="E396" s="919">
        <f t="shared" si="134"/>
        <v>169.5</v>
      </c>
      <c r="F396" s="919">
        <f t="shared" si="134"/>
        <v>0</v>
      </c>
      <c r="G396" s="919">
        <f t="shared" si="134"/>
        <v>0</v>
      </c>
      <c r="H396" s="919">
        <f t="shared" si="134"/>
        <v>210.94</v>
      </c>
      <c r="I396" s="919">
        <f t="shared" si="134"/>
        <v>0</v>
      </c>
      <c r="J396" s="919">
        <f t="shared" si="134"/>
        <v>0</v>
      </c>
      <c r="K396" s="919">
        <f t="shared" si="134"/>
        <v>199</v>
      </c>
      <c r="L396" s="919">
        <f t="shared" si="134"/>
        <v>199</v>
      </c>
      <c r="M396" s="919">
        <f t="shared" si="134"/>
        <v>0</v>
      </c>
      <c r="N396" s="919">
        <f t="shared" si="134"/>
        <v>199</v>
      </c>
      <c r="O396" s="919">
        <f t="shared" si="134"/>
        <v>1466</v>
      </c>
      <c r="P396" s="919">
        <f t="shared" si="134"/>
        <v>0</v>
      </c>
      <c r="Q396" s="919">
        <f t="shared" si="134"/>
        <v>199</v>
      </c>
      <c r="R396" s="919">
        <f t="shared" si="134"/>
        <v>430</v>
      </c>
      <c r="S396" s="919">
        <f t="shared" si="134"/>
        <v>207</v>
      </c>
      <c r="T396" s="919">
        <f t="shared" si="134"/>
        <v>293</v>
      </c>
      <c r="U396" s="919">
        <f t="shared" si="134"/>
        <v>293</v>
      </c>
      <c r="V396" s="919">
        <f t="shared" si="134"/>
        <v>0</v>
      </c>
      <c r="W396" s="919">
        <f t="shared" si="134"/>
        <v>0</v>
      </c>
      <c r="X396" s="919">
        <f t="shared" si="134"/>
        <v>0</v>
      </c>
      <c r="Y396" s="919">
        <f t="shared" si="134"/>
        <v>2216</v>
      </c>
      <c r="Z396" s="919">
        <f t="shared" si="134"/>
        <v>199</v>
      </c>
      <c r="AA396" s="919">
        <f t="shared" si="134"/>
        <v>11334.44</v>
      </c>
      <c r="AB396" s="919">
        <f t="shared" si="134"/>
        <v>4263</v>
      </c>
      <c r="AC396" s="919">
        <f t="shared" si="134"/>
        <v>17723.99</v>
      </c>
      <c r="AD396" s="919">
        <f t="shared" si="134"/>
        <v>7410.87</v>
      </c>
      <c r="AE396" s="919">
        <f t="shared" si="134"/>
        <v>7870.6</v>
      </c>
      <c r="AF396" s="919">
        <f t="shared" si="134"/>
        <v>3487.64</v>
      </c>
      <c r="AG396" s="350">
        <f t="shared" si="133"/>
        <v>58370.98</v>
      </c>
    </row>
    <row r="397">
      <c r="A397" s="835"/>
      <c r="B397" s="894"/>
      <c r="C397" s="894"/>
      <c r="D397" s="894"/>
      <c r="E397" s="894"/>
      <c r="F397" s="894"/>
      <c r="G397" s="894"/>
      <c r="H397" s="894"/>
      <c r="I397" s="894"/>
      <c r="J397" s="894"/>
      <c r="K397" s="894"/>
      <c r="L397" s="894"/>
      <c r="M397" s="894"/>
      <c r="N397" s="894"/>
      <c r="O397" s="894"/>
      <c r="P397" s="894"/>
      <c r="Q397" s="894"/>
      <c r="R397" s="894"/>
      <c r="S397" s="894"/>
      <c r="T397" s="894"/>
      <c r="U397" s="894"/>
      <c r="V397" s="894"/>
      <c r="W397" s="894"/>
      <c r="X397" s="894"/>
      <c r="Y397" s="894"/>
      <c r="Z397" s="894"/>
      <c r="AA397" s="894"/>
      <c r="AB397" s="894"/>
      <c r="AC397" s="894"/>
      <c r="AD397" s="894"/>
      <c r="AE397" s="894"/>
      <c r="AF397" s="894"/>
      <c r="AG397" s="11"/>
    </row>
    <row r="398">
      <c r="A398" s="897" t="s">
        <v>374</v>
      </c>
      <c r="B398" s="311">
        <v>0.0</v>
      </c>
      <c r="C398" s="311">
        <v>0.0</v>
      </c>
      <c r="D398" s="311">
        <v>0.0</v>
      </c>
      <c r="E398" s="917">
        <v>0.0</v>
      </c>
      <c r="F398" s="885">
        <v>0.0</v>
      </c>
      <c r="G398" s="885">
        <v>0.0</v>
      </c>
      <c r="H398" s="917">
        <v>0.0</v>
      </c>
      <c r="I398" s="917">
        <v>0.0</v>
      </c>
      <c r="J398" s="917">
        <v>0.0</v>
      </c>
      <c r="K398" s="917">
        <v>0.0</v>
      </c>
      <c r="L398" s="917">
        <v>0.0</v>
      </c>
      <c r="M398" s="917">
        <v>0.0</v>
      </c>
      <c r="N398" s="917">
        <v>0.0</v>
      </c>
      <c r="O398" s="917">
        <v>0.0</v>
      </c>
      <c r="P398" s="917">
        <v>0.0</v>
      </c>
      <c r="Q398" s="917">
        <v>0.0</v>
      </c>
      <c r="R398" s="311">
        <v>246.6</v>
      </c>
      <c r="S398" s="917">
        <v>207.0</v>
      </c>
      <c r="T398" s="917">
        <v>0.0</v>
      </c>
      <c r="U398" s="917">
        <v>0.0</v>
      </c>
      <c r="V398" s="917">
        <v>0.0</v>
      </c>
      <c r="W398" s="917">
        <v>0.0</v>
      </c>
      <c r="X398" s="930">
        <v>0.0</v>
      </c>
      <c r="Y398" s="917">
        <v>245.0</v>
      </c>
      <c r="Z398" s="917">
        <v>0.0</v>
      </c>
      <c r="AA398" s="917">
        <v>0.0</v>
      </c>
      <c r="AB398" s="917">
        <v>0.0</v>
      </c>
      <c r="AC398" s="917">
        <v>0.0</v>
      </c>
      <c r="AD398" s="917">
        <v>0.0</v>
      </c>
      <c r="AE398" s="917">
        <v>0.0</v>
      </c>
      <c r="AF398" s="917">
        <v>258.0</v>
      </c>
      <c r="AG398" s="350">
        <f t="shared" ref="AG398:AG401" si="135">SUM(B398:AF398)</f>
        <v>956.6</v>
      </c>
    </row>
    <row r="399">
      <c r="A399" s="897" t="s">
        <v>375</v>
      </c>
      <c r="B399" s="311">
        <v>0.0</v>
      </c>
      <c r="C399" s="311">
        <v>0.0</v>
      </c>
      <c r="D399" s="311">
        <v>0.0</v>
      </c>
      <c r="E399" s="917">
        <v>0.0</v>
      </c>
      <c r="F399" s="885">
        <v>0.0</v>
      </c>
      <c r="G399" s="885">
        <v>0.0</v>
      </c>
      <c r="H399" s="917">
        <v>0.0</v>
      </c>
      <c r="I399" s="917">
        <v>0.0</v>
      </c>
      <c r="J399" s="917">
        <v>0.0</v>
      </c>
      <c r="K399" s="917">
        <v>0.0</v>
      </c>
      <c r="L399" s="917">
        <v>0.0</v>
      </c>
      <c r="M399" s="917">
        <v>0.0</v>
      </c>
      <c r="N399" s="917">
        <v>0.0</v>
      </c>
      <c r="O399" s="917">
        <v>0.0</v>
      </c>
      <c r="P399" s="917">
        <v>0.0</v>
      </c>
      <c r="Q399" s="917">
        <v>0.0</v>
      </c>
      <c r="R399" s="311">
        <v>13.4</v>
      </c>
      <c r="S399" s="917">
        <v>13.0</v>
      </c>
      <c r="T399" s="917">
        <v>0.0</v>
      </c>
      <c r="U399" s="917">
        <v>0.0</v>
      </c>
      <c r="V399" s="917">
        <v>0.0</v>
      </c>
      <c r="W399" s="917">
        <v>0.0</v>
      </c>
      <c r="X399" s="930">
        <v>0.0</v>
      </c>
      <c r="Y399" s="917">
        <v>35.0</v>
      </c>
      <c r="Z399" s="917">
        <v>0.0</v>
      </c>
      <c r="AA399" s="917">
        <v>0.0</v>
      </c>
      <c r="AB399" s="917">
        <v>0.0</v>
      </c>
      <c r="AC399" s="917">
        <v>0.0</v>
      </c>
      <c r="AD399" s="917">
        <v>0.0</v>
      </c>
      <c r="AE399" s="917">
        <v>0.0</v>
      </c>
      <c r="AF399" s="917">
        <v>43.3</v>
      </c>
      <c r="AG399" s="350">
        <f t="shared" si="135"/>
        <v>104.7</v>
      </c>
    </row>
    <row r="400">
      <c r="A400" s="897" t="s">
        <v>376</v>
      </c>
      <c r="B400" s="311">
        <v>0.0</v>
      </c>
      <c r="C400" s="311">
        <v>0.0</v>
      </c>
      <c r="D400" s="311">
        <v>0.0</v>
      </c>
      <c r="E400" s="311">
        <v>0.0</v>
      </c>
      <c r="F400" s="311">
        <v>0.0</v>
      </c>
      <c r="G400" s="311">
        <v>0.0</v>
      </c>
      <c r="H400" s="311">
        <v>0.0</v>
      </c>
      <c r="I400" s="311">
        <v>0.0</v>
      </c>
      <c r="J400" s="311">
        <v>0.0</v>
      </c>
      <c r="K400" s="311">
        <v>0.0</v>
      </c>
      <c r="L400" s="311">
        <v>0.0</v>
      </c>
      <c r="M400" s="311">
        <v>0.0</v>
      </c>
      <c r="N400" s="311">
        <v>0.0</v>
      </c>
      <c r="O400" s="311">
        <v>0.0</v>
      </c>
      <c r="P400" s="311">
        <v>0.0</v>
      </c>
      <c r="Q400" s="311">
        <v>0.0</v>
      </c>
      <c r="R400" s="311">
        <v>54.252</v>
      </c>
      <c r="S400" s="311">
        <v>45.54</v>
      </c>
      <c r="T400" s="311">
        <v>0.0</v>
      </c>
      <c r="U400" s="311">
        <v>0.0</v>
      </c>
      <c r="V400" s="311">
        <v>0.0</v>
      </c>
      <c r="W400" s="311">
        <v>0.0</v>
      </c>
      <c r="X400" s="311">
        <v>0.0</v>
      </c>
      <c r="Y400" s="311">
        <v>53.9</v>
      </c>
      <c r="Z400" s="311">
        <v>0.0</v>
      </c>
      <c r="AA400" s="311">
        <v>0.0</v>
      </c>
      <c r="AB400" s="311">
        <v>0.0</v>
      </c>
      <c r="AC400" s="311">
        <v>0.0</v>
      </c>
      <c r="AD400" s="311">
        <v>0.0</v>
      </c>
      <c r="AE400" s="311">
        <v>0.0</v>
      </c>
      <c r="AF400" s="311">
        <v>56.76</v>
      </c>
      <c r="AG400" s="350">
        <f t="shared" si="135"/>
        <v>210.452</v>
      </c>
    </row>
    <row r="401">
      <c r="A401" s="907" t="s">
        <v>773</v>
      </c>
      <c r="B401" s="915">
        <f t="shared" ref="B401:AF401" si="136">SUM(B398:B400)</f>
        <v>0</v>
      </c>
      <c r="C401" s="915">
        <f t="shared" si="136"/>
        <v>0</v>
      </c>
      <c r="D401" s="915">
        <f t="shared" si="136"/>
        <v>0</v>
      </c>
      <c r="E401" s="915">
        <f t="shared" si="136"/>
        <v>0</v>
      </c>
      <c r="F401" s="915">
        <f t="shared" si="136"/>
        <v>0</v>
      </c>
      <c r="G401" s="915">
        <f t="shared" si="136"/>
        <v>0</v>
      </c>
      <c r="H401" s="915">
        <f t="shared" si="136"/>
        <v>0</v>
      </c>
      <c r="I401" s="915">
        <f t="shared" si="136"/>
        <v>0</v>
      </c>
      <c r="J401" s="915">
        <f t="shared" si="136"/>
        <v>0</v>
      </c>
      <c r="K401" s="915">
        <f t="shared" si="136"/>
        <v>0</v>
      </c>
      <c r="L401" s="915">
        <f t="shared" si="136"/>
        <v>0</v>
      </c>
      <c r="M401" s="915">
        <f t="shared" si="136"/>
        <v>0</v>
      </c>
      <c r="N401" s="915">
        <f t="shared" si="136"/>
        <v>0</v>
      </c>
      <c r="O401" s="915">
        <f t="shared" si="136"/>
        <v>0</v>
      </c>
      <c r="P401" s="915">
        <f t="shared" si="136"/>
        <v>0</v>
      </c>
      <c r="Q401" s="915">
        <f t="shared" si="136"/>
        <v>0</v>
      </c>
      <c r="R401" s="915">
        <f t="shared" si="136"/>
        <v>314.252</v>
      </c>
      <c r="S401" s="915">
        <f t="shared" si="136"/>
        <v>265.54</v>
      </c>
      <c r="T401" s="915">
        <f t="shared" si="136"/>
        <v>0</v>
      </c>
      <c r="U401" s="915">
        <f t="shared" si="136"/>
        <v>0</v>
      </c>
      <c r="V401" s="915">
        <f t="shared" si="136"/>
        <v>0</v>
      </c>
      <c r="W401" s="915">
        <f t="shared" si="136"/>
        <v>0</v>
      </c>
      <c r="X401" s="915">
        <f t="shared" si="136"/>
        <v>0</v>
      </c>
      <c r="Y401" s="915">
        <f t="shared" si="136"/>
        <v>333.9</v>
      </c>
      <c r="Z401" s="915">
        <f t="shared" si="136"/>
        <v>0</v>
      </c>
      <c r="AA401" s="915">
        <f t="shared" si="136"/>
        <v>0</v>
      </c>
      <c r="AB401" s="915">
        <f t="shared" si="136"/>
        <v>0</v>
      </c>
      <c r="AC401" s="915">
        <f t="shared" si="136"/>
        <v>0</v>
      </c>
      <c r="AD401" s="915">
        <f t="shared" si="136"/>
        <v>0</v>
      </c>
      <c r="AE401" s="915">
        <f t="shared" si="136"/>
        <v>0</v>
      </c>
      <c r="AF401" s="915">
        <f t="shared" si="136"/>
        <v>358.06</v>
      </c>
      <c r="AG401" s="350">
        <f t="shared" si="135"/>
        <v>1271.752</v>
      </c>
    </row>
    <row r="402">
      <c r="A402" s="835"/>
      <c r="B402" s="894"/>
      <c r="C402" s="894"/>
      <c r="D402" s="894"/>
      <c r="E402" s="894"/>
      <c r="F402" s="894"/>
      <c r="G402" s="894"/>
      <c r="H402" s="894"/>
      <c r="I402" s="894"/>
      <c r="J402" s="894"/>
      <c r="K402" s="894"/>
      <c r="L402" s="894"/>
      <c r="M402" s="894"/>
      <c r="N402" s="894"/>
      <c r="O402" s="894"/>
      <c r="P402" s="894"/>
      <c r="Q402" s="894"/>
      <c r="R402" s="894"/>
      <c r="S402" s="894"/>
      <c r="T402" s="894"/>
      <c r="U402" s="894"/>
      <c r="V402" s="894"/>
      <c r="W402" s="894"/>
      <c r="X402" s="894"/>
      <c r="Y402" s="894"/>
      <c r="Z402" s="894"/>
      <c r="AA402" s="894"/>
      <c r="AB402" s="894"/>
      <c r="AC402" s="894"/>
      <c r="AD402" s="894"/>
      <c r="AE402" s="894"/>
      <c r="AF402" s="894"/>
      <c r="AG402" s="11"/>
    </row>
    <row r="403">
      <c r="A403" s="897" t="s">
        <v>813</v>
      </c>
      <c r="B403" s="920"/>
      <c r="C403" s="921"/>
      <c r="D403" s="921"/>
      <c r="E403" s="921"/>
      <c r="F403" s="921"/>
      <c r="G403" s="921"/>
      <c r="H403" s="921"/>
      <c r="I403" s="921"/>
      <c r="J403" s="921"/>
      <c r="K403" s="921"/>
      <c r="L403" s="921"/>
      <c r="M403" s="921"/>
      <c r="N403" s="921"/>
      <c r="O403" s="921"/>
      <c r="P403" s="921"/>
      <c r="Q403" s="921"/>
      <c r="R403" s="921"/>
      <c r="S403" s="921"/>
      <c r="T403" s="921"/>
      <c r="U403" s="921"/>
      <c r="V403" s="921"/>
      <c r="W403" s="921"/>
      <c r="X403" s="921"/>
      <c r="Y403" s="921"/>
      <c r="Z403" s="921"/>
      <c r="AA403" s="921"/>
      <c r="AB403" s="921"/>
      <c r="AC403" s="921"/>
      <c r="AD403" s="921"/>
      <c r="AE403" s="921"/>
      <c r="AF403" s="921"/>
      <c r="AG403" s="350">
        <f t="shared" ref="AG403:AG406" si="137">SUM(B403:AF403)</f>
        <v>0</v>
      </c>
    </row>
    <row r="404">
      <c r="A404" s="897" t="s">
        <v>814</v>
      </c>
      <c r="B404" s="920"/>
      <c r="C404" s="921"/>
      <c r="D404" s="921"/>
      <c r="E404" s="921"/>
      <c r="F404" s="921"/>
      <c r="G404" s="921"/>
      <c r="H404" s="921"/>
      <c r="I404" s="921"/>
      <c r="J404" s="921"/>
      <c r="K404" s="921"/>
      <c r="L404" s="921"/>
      <c r="M404" s="921"/>
      <c r="N404" s="921"/>
      <c r="O404" s="921"/>
      <c r="P404" s="921"/>
      <c r="Q404" s="921"/>
      <c r="R404" s="921"/>
      <c r="S404" s="921"/>
      <c r="T404" s="921"/>
      <c r="U404" s="921"/>
      <c r="V404" s="921"/>
      <c r="W404" s="921"/>
      <c r="X404" s="921"/>
      <c r="Y404" s="921"/>
      <c r="Z404" s="921"/>
      <c r="AA404" s="921"/>
      <c r="AB404" s="921"/>
      <c r="AC404" s="921"/>
      <c r="AD404" s="921"/>
      <c r="AE404" s="921"/>
      <c r="AF404" s="921"/>
      <c r="AG404" s="350">
        <f t="shared" si="137"/>
        <v>0</v>
      </c>
    </row>
    <row r="405">
      <c r="A405" s="897" t="s">
        <v>816</v>
      </c>
      <c r="B405" s="920"/>
      <c r="C405" s="921"/>
      <c r="D405" s="921"/>
      <c r="E405" s="921"/>
      <c r="F405" s="921"/>
      <c r="G405" s="921"/>
      <c r="H405" s="921"/>
      <c r="I405" s="921"/>
      <c r="J405" s="921"/>
      <c r="K405" s="921"/>
      <c r="L405" s="921"/>
      <c r="M405" s="921"/>
      <c r="N405" s="921"/>
      <c r="O405" s="921"/>
      <c r="P405" s="921"/>
      <c r="Q405" s="921"/>
      <c r="R405" s="921"/>
      <c r="S405" s="921"/>
      <c r="T405" s="921"/>
      <c r="U405" s="921"/>
      <c r="V405" s="921"/>
      <c r="W405" s="921"/>
      <c r="X405" s="921"/>
      <c r="Y405" s="921"/>
      <c r="Z405" s="921"/>
      <c r="AA405" s="921"/>
      <c r="AB405" s="921"/>
      <c r="AC405" s="921"/>
      <c r="AD405" s="921"/>
      <c r="AE405" s="921"/>
      <c r="AF405" s="921"/>
      <c r="AG405" s="350">
        <f t="shared" si="137"/>
        <v>0</v>
      </c>
    </row>
    <row r="406">
      <c r="A406" s="914" t="s">
        <v>779</v>
      </c>
      <c r="B406" s="915">
        <f t="shared" ref="B406:AF406" si="138">SUM(B403:B405)</f>
        <v>0</v>
      </c>
      <c r="C406" s="915">
        <f t="shared" si="138"/>
        <v>0</v>
      </c>
      <c r="D406" s="915">
        <f t="shared" si="138"/>
        <v>0</v>
      </c>
      <c r="E406" s="915">
        <f t="shared" si="138"/>
        <v>0</v>
      </c>
      <c r="F406" s="915">
        <f t="shared" si="138"/>
        <v>0</v>
      </c>
      <c r="G406" s="915">
        <f t="shared" si="138"/>
        <v>0</v>
      </c>
      <c r="H406" s="915">
        <f t="shared" si="138"/>
        <v>0</v>
      </c>
      <c r="I406" s="915">
        <f t="shared" si="138"/>
        <v>0</v>
      </c>
      <c r="J406" s="915">
        <f t="shared" si="138"/>
        <v>0</v>
      </c>
      <c r="K406" s="915">
        <f t="shared" si="138"/>
        <v>0</v>
      </c>
      <c r="L406" s="915">
        <f t="shared" si="138"/>
        <v>0</v>
      </c>
      <c r="M406" s="915">
        <f t="shared" si="138"/>
        <v>0</v>
      </c>
      <c r="N406" s="915">
        <f t="shared" si="138"/>
        <v>0</v>
      </c>
      <c r="O406" s="915">
        <f t="shared" si="138"/>
        <v>0</v>
      </c>
      <c r="P406" s="915">
        <f t="shared" si="138"/>
        <v>0</v>
      </c>
      <c r="Q406" s="915">
        <f t="shared" si="138"/>
        <v>0</v>
      </c>
      <c r="R406" s="915">
        <f t="shared" si="138"/>
        <v>0</v>
      </c>
      <c r="S406" s="915">
        <f t="shared" si="138"/>
        <v>0</v>
      </c>
      <c r="T406" s="915">
        <f t="shared" si="138"/>
        <v>0</v>
      </c>
      <c r="U406" s="915">
        <f t="shared" si="138"/>
        <v>0</v>
      </c>
      <c r="V406" s="915">
        <f t="shared" si="138"/>
        <v>0</v>
      </c>
      <c r="W406" s="915">
        <f t="shared" si="138"/>
        <v>0</v>
      </c>
      <c r="X406" s="915">
        <f t="shared" si="138"/>
        <v>0</v>
      </c>
      <c r="Y406" s="915">
        <f t="shared" si="138"/>
        <v>0</v>
      </c>
      <c r="Z406" s="915">
        <f t="shared" si="138"/>
        <v>0</v>
      </c>
      <c r="AA406" s="915">
        <f t="shared" si="138"/>
        <v>0</v>
      </c>
      <c r="AB406" s="915">
        <f t="shared" si="138"/>
        <v>0</v>
      </c>
      <c r="AC406" s="915">
        <f t="shared" si="138"/>
        <v>0</v>
      </c>
      <c r="AD406" s="915">
        <f t="shared" si="138"/>
        <v>0</v>
      </c>
      <c r="AE406" s="915">
        <f t="shared" si="138"/>
        <v>0</v>
      </c>
      <c r="AF406" s="915">
        <f t="shared" si="138"/>
        <v>0</v>
      </c>
      <c r="AG406" s="350">
        <f t="shared" si="137"/>
        <v>0</v>
      </c>
    </row>
    <row r="407">
      <c r="A407" s="835"/>
      <c r="AG407" s="11"/>
    </row>
    <row r="408">
      <c r="A408" s="648" t="s">
        <v>836</v>
      </c>
      <c r="AG408" s="11"/>
    </row>
    <row r="409">
      <c r="A409" s="897" t="s">
        <v>752</v>
      </c>
      <c r="B409" s="301">
        <v>0.0</v>
      </c>
      <c r="C409" s="301">
        <v>0.0</v>
      </c>
      <c r="D409" s="301">
        <v>0.0</v>
      </c>
      <c r="E409" s="301">
        <v>0.0</v>
      </c>
      <c r="F409" s="301">
        <v>0.0</v>
      </c>
      <c r="G409" s="301">
        <v>0.0</v>
      </c>
      <c r="H409" s="301">
        <v>0.0</v>
      </c>
      <c r="I409" s="301">
        <v>0.0</v>
      </c>
      <c r="J409" s="301">
        <v>0.0</v>
      </c>
      <c r="K409" s="301">
        <v>0.0</v>
      </c>
      <c r="L409" s="301">
        <v>0.0</v>
      </c>
      <c r="M409" s="301">
        <v>0.0</v>
      </c>
      <c r="N409" s="301">
        <v>0.0</v>
      </c>
      <c r="O409" s="301">
        <v>0.0</v>
      </c>
      <c r="P409" s="301">
        <v>0.0</v>
      </c>
      <c r="Q409" s="301">
        <v>0.0</v>
      </c>
      <c r="R409" s="301">
        <v>0.0</v>
      </c>
      <c r="S409" s="301">
        <v>0.0</v>
      </c>
      <c r="T409" s="301">
        <v>0.0</v>
      </c>
      <c r="U409" s="301">
        <v>0.0</v>
      </c>
      <c r="V409" s="301">
        <v>0.0</v>
      </c>
      <c r="W409" s="301">
        <v>0.0</v>
      </c>
      <c r="X409" s="301">
        <v>0.0</v>
      </c>
      <c r="Y409" s="301">
        <v>0.0</v>
      </c>
      <c r="Z409" s="301">
        <v>0.0</v>
      </c>
      <c r="AA409" s="301">
        <v>0.0</v>
      </c>
      <c r="AB409" s="301">
        <v>0.0</v>
      </c>
      <c r="AC409" s="301">
        <v>0.0</v>
      </c>
      <c r="AD409" s="301">
        <v>0.0</v>
      </c>
      <c r="AE409" s="301">
        <v>0.0</v>
      </c>
      <c r="AF409" s="301">
        <v>0.0</v>
      </c>
      <c r="AG409" s="768">
        <f t="shared" ref="AG409:AG416" si="139">SUM(B409:AF409)</f>
        <v>0</v>
      </c>
    </row>
    <row r="410">
      <c r="A410" s="897" t="s">
        <v>753</v>
      </c>
      <c r="B410" s="301">
        <v>0.0</v>
      </c>
      <c r="C410" s="301">
        <v>0.0</v>
      </c>
      <c r="D410" s="301">
        <v>0.0</v>
      </c>
      <c r="E410" s="301">
        <v>0.0</v>
      </c>
      <c r="F410" s="301">
        <v>0.0</v>
      </c>
      <c r="G410" s="301">
        <v>0.0</v>
      </c>
      <c r="H410" s="301">
        <v>0.0</v>
      </c>
      <c r="I410" s="301">
        <v>0.0</v>
      </c>
      <c r="J410" s="301">
        <v>0.0</v>
      </c>
      <c r="K410" s="301">
        <v>0.0</v>
      </c>
      <c r="L410" s="301">
        <v>0.0</v>
      </c>
      <c r="M410" s="301">
        <v>0.0</v>
      </c>
      <c r="N410" s="301">
        <v>0.0</v>
      </c>
      <c r="O410" s="301">
        <v>0.0</v>
      </c>
      <c r="P410" s="301">
        <v>0.0</v>
      </c>
      <c r="Q410" s="301">
        <v>0.0</v>
      </c>
      <c r="R410" s="301">
        <v>0.0</v>
      </c>
      <c r="S410" s="301">
        <v>0.0</v>
      </c>
      <c r="T410" s="301">
        <v>0.0</v>
      </c>
      <c r="U410" s="301">
        <v>0.0</v>
      </c>
      <c r="V410" s="301">
        <v>0.0</v>
      </c>
      <c r="W410" s="301">
        <v>0.0</v>
      </c>
      <c r="X410" s="301">
        <v>0.0</v>
      </c>
      <c r="Y410" s="301">
        <v>0.0</v>
      </c>
      <c r="Z410" s="301">
        <v>0.0</v>
      </c>
      <c r="AA410" s="301">
        <v>0.0</v>
      </c>
      <c r="AB410" s="301">
        <v>0.0</v>
      </c>
      <c r="AC410" s="301">
        <v>0.0</v>
      </c>
      <c r="AD410" s="301">
        <v>0.0</v>
      </c>
      <c r="AE410" s="301">
        <v>0.0</v>
      </c>
      <c r="AF410" s="301">
        <v>0.0</v>
      </c>
      <c r="AG410" s="768">
        <f t="shared" si="139"/>
        <v>0</v>
      </c>
    </row>
    <row r="411">
      <c r="A411" s="897" t="s">
        <v>754</v>
      </c>
      <c r="B411" s="301">
        <v>0.0</v>
      </c>
      <c r="C411" s="301">
        <v>0.0</v>
      </c>
      <c r="D411" s="301">
        <v>0.0</v>
      </c>
      <c r="E411" s="301">
        <v>0.0</v>
      </c>
      <c r="F411" s="301">
        <v>0.0</v>
      </c>
      <c r="G411" s="301">
        <v>0.0</v>
      </c>
      <c r="H411" s="301">
        <v>0.0</v>
      </c>
      <c r="I411" s="301">
        <v>0.0</v>
      </c>
      <c r="J411" s="301">
        <v>0.0</v>
      </c>
      <c r="K411" s="301">
        <v>0.0</v>
      </c>
      <c r="L411" s="301">
        <v>0.0</v>
      </c>
      <c r="M411" s="301">
        <v>0.0</v>
      </c>
      <c r="N411" s="301">
        <v>0.0</v>
      </c>
      <c r="O411" s="301">
        <v>0.0</v>
      </c>
      <c r="P411" s="301">
        <v>0.0</v>
      </c>
      <c r="Q411" s="301">
        <v>0.0</v>
      </c>
      <c r="R411" s="301">
        <v>0.0</v>
      </c>
      <c r="S411" s="301">
        <v>0.0</v>
      </c>
      <c r="T411" s="301">
        <v>0.0</v>
      </c>
      <c r="U411" s="301">
        <v>0.0</v>
      </c>
      <c r="V411" s="301">
        <v>0.0</v>
      </c>
      <c r="W411" s="301">
        <v>0.0</v>
      </c>
      <c r="X411" s="301">
        <v>0.0</v>
      </c>
      <c r="Y411" s="301">
        <v>0.0</v>
      </c>
      <c r="Z411" s="301">
        <v>0.0</v>
      </c>
      <c r="AA411" s="301">
        <v>0.0</v>
      </c>
      <c r="AB411" s="301">
        <v>0.0</v>
      </c>
      <c r="AC411" s="301">
        <v>0.0</v>
      </c>
      <c r="AD411" s="301">
        <v>0.0</v>
      </c>
      <c r="AE411" s="301">
        <v>0.0</v>
      </c>
      <c r="AF411" s="301">
        <v>0.0</v>
      </c>
      <c r="AG411" s="768">
        <f t="shared" si="139"/>
        <v>0</v>
      </c>
    </row>
    <row r="412">
      <c r="A412" s="897" t="s">
        <v>755</v>
      </c>
      <c r="B412" s="301">
        <v>0.0</v>
      </c>
      <c r="C412" s="301">
        <v>0.0</v>
      </c>
      <c r="D412" s="301">
        <v>0.0</v>
      </c>
      <c r="E412" s="301">
        <v>0.0</v>
      </c>
      <c r="F412" s="301">
        <v>0.0</v>
      </c>
      <c r="G412" s="301">
        <v>0.0</v>
      </c>
      <c r="H412" s="301">
        <v>0.0</v>
      </c>
      <c r="I412" s="301">
        <v>0.0</v>
      </c>
      <c r="J412" s="301">
        <v>0.0</v>
      </c>
      <c r="K412" s="301">
        <v>0.0</v>
      </c>
      <c r="L412" s="301">
        <v>0.0</v>
      </c>
      <c r="M412" s="301">
        <v>0.0</v>
      </c>
      <c r="N412" s="301">
        <v>0.0</v>
      </c>
      <c r="O412" s="301">
        <v>0.0</v>
      </c>
      <c r="P412" s="301">
        <v>0.0</v>
      </c>
      <c r="Q412" s="301">
        <v>0.0</v>
      </c>
      <c r="R412" s="301">
        <v>0.0</v>
      </c>
      <c r="S412" s="301">
        <v>0.0</v>
      </c>
      <c r="T412" s="301">
        <v>0.0</v>
      </c>
      <c r="U412" s="301">
        <v>0.0</v>
      </c>
      <c r="V412" s="301">
        <v>0.0</v>
      </c>
      <c r="W412" s="301">
        <v>0.0</v>
      </c>
      <c r="X412" s="301">
        <v>0.0</v>
      </c>
      <c r="Y412" s="301">
        <v>0.0</v>
      </c>
      <c r="Z412" s="301">
        <v>0.0</v>
      </c>
      <c r="AA412" s="301">
        <v>0.0</v>
      </c>
      <c r="AB412" s="301">
        <v>0.0</v>
      </c>
      <c r="AC412" s="301">
        <v>0.0</v>
      </c>
      <c r="AD412" s="301">
        <v>0.0</v>
      </c>
      <c r="AE412" s="301">
        <v>0.0</v>
      </c>
      <c r="AF412" s="301">
        <v>0.0</v>
      </c>
      <c r="AG412" s="768">
        <f t="shared" si="139"/>
        <v>0</v>
      </c>
    </row>
    <row r="413">
      <c r="A413" s="897" t="s">
        <v>756</v>
      </c>
      <c r="B413" s="301">
        <v>0.0</v>
      </c>
      <c r="C413" s="301">
        <v>0.0</v>
      </c>
      <c r="D413" s="301">
        <v>0.0</v>
      </c>
      <c r="E413" s="301">
        <v>0.0</v>
      </c>
      <c r="F413" s="301">
        <v>0.0</v>
      </c>
      <c r="G413" s="301">
        <v>0.0</v>
      </c>
      <c r="H413" s="301">
        <v>0.0</v>
      </c>
      <c r="I413" s="301">
        <v>0.0</v>
      </c>
      <c r="J413" s="301">
        <v>0.0</v>
      </c>
      <c r="K413" s="301">
        <v>0.0</v>
      </c>
      <c r="L413" s="301">
        <v>0.0</v>
      </c>
      <c r="M413" s="301">
        <v>0.0</v>
      </c>
      <c r="N413" s="301">
        <v>0.0</v>
      </c>
      <c r="O413" s="301">
        <v>0.0</v>
      </c>
      <c r="P413" s="301">
        <v>0.0</v>
      </c>
      <c r="Q413" s="301">
        <v>0.0</v>
      </c>
      <c r="R413" s="301">
        <v>0.0</v>
      </c>
      <c r="S413" s="301">
        <v>0.0</v>
      </c>
      <c r="T413" s="301">
        <v>0.0</v>
      </c>
      <c r="U413" s="301">
        <v>0.0</v>
      </c>
      <c r="V413" s="301">
        <v>0.0</v>
      </c>
      <c r="W413" s="301">
        <v>0.0</v>
      </c>
      <c r="X413" s="301">
        <v>0.0</v>
      </c>
      <c r="Y413" s="301">
        <v>0.0</v>
      </c>
      <c r="Z413" s="301">
        <v>0.0</v>
      </c>
      <c r="AA413" s="301">
        <v>0.0</v>
      </c>
      <c r="AB413" s="301">
        <v>0.0</v>
      </c>
      <c r="AC413" s="301">
        <v>0.0</v>
      </c>
      <c r="AD413" s="301">
        <v>0.0</v>
      </c>
      <c r="AE413" s="301">
        <v>0.0</v>
      </c>
      <c r="AF413" s="301">
        <v>0.0</v>
      </c>
      <c r="AG413" s="768">
        <f t="shared" si="139"/>
        <v>0</v>
      </c>
    </row>
    <row r="414">
      <c r="A414" s="897" t="s">
        <v>757</v>
      </c>
      <c r="B414" s="301">
        <v>0.0</v>
      </c>
      <c r="C414" s="301">
        <v>0.0</v>
      </c>
      <c r="D414" s="301">
        <v>0.0</v>
      </c>
      <c r="E414" s="301">
        <v>0.0</v>
      </c>
      <c r="F414" s="301">
        <v>0.0</v>
      </c>
      <c r="G414" s="301">
        <v>0.0</v>
      </c>
      <c r="H414" s="301">
        <v>0.0</v>
      </c>
      <c r="I414" s="301">
        <v>0.0</v>
      </c>
      <c r="J414" s="301">
        <v>0.0</v>
      </c>
      <c r="K414" s="301">
        <v>0.0</v>
      </c>
      <c r="L414" s="301">
        <v>0.0</v>
      </c>
      <c r="M414" s="301">
        <v>0.0</v>
      </c>
      <c r="N414" s="301">
        <v>0.0</v>
      </c>
      <c r="O414" s="301">
        <v>0.0</v>
      </c>
      <c r="P414" s="301">
        <v>0.0</v>
      </c>
      <c r="Q414" s="301">
        <v>0.0</v>
      </c>
      <c r="R414" s="301">
        <v>0.0</v>
      </c>
      <c r="S414" s="301">
        <v>0.0</v>
      </c>
      <c r="T414" s="301">
        <v>0.0</v>
      </c>
      <c r="U414" s="301">
        <v>0.0</v>
      </c>
      <c r="V414" s="301">
        <v>0.0</v>
      </c>
      <c r="W414" s="301">
        <v>0.0</v>
      </c>
      <c r="X414" s="301">
        <v>0.0</v>
      </c>
      <c r="Y414" s="301">
        <v>0.0</v>
      </c>
      <c r="Z414" s="301">
        <v>0.0</v>
      </c>
      <c r="AA414" s="301">
        <v>0.0</v>
      </c>
      <c r="AB414" s="301">
        <v>0.0</v>
      </c>
      <c r="AC414" s="301">
        <v>0.0</v>
      </c>
      <c r="AD414" s="301">
        <v>0.0</v>
      </c>
      <c r="AE414" s="301">
        <v>0.0</v>
      </c>
      <c r="AF414" s="301">
        <v>0.0</v>
      </c>
      <c r="AG414" s="768">
        <f t="shared" si="139"/>
        <v>0</v>
      </c>
    </row>
    <row r="415">
      <c r="A415" s="369" t="s">
        <v>725</v>
      </c>
      <c r="B415" s="922">
        <f t="shared" ref="B415:AF415" si="140">B409+B411+B413</f>
        <v>0</v>
      </c>
      <c r="C415" s="365">
        <f t="shared" si="140"/>
        <v>0</v>
      </c>
      <c r="D415" s="365">
        <f t="shared" si="140"/>
        <v>0</v>
      </c>
      <c r="E415" s="365">
        <f t="shared" si="140"/>
        <v>0</v>
      </c>
      <c r="F415" s="365">
        <f t="shared" si="140"/>
        <v>0</v>
      </c>
      <c r="G415" s="365">
        <f t="shared" si="140"/>
        <v>0</v>
      </c>
      <c r="H415" s="365">
        <f t="shared" si="140"/>
        <v>0</v>
      </c>
      <c r="I415" s="365">
        <f t="shared" si="140"/>
        <v>0</v>
      </c>
      <c r="J415" s="365">
        <f t="shared" si="140"/>
        <v>0</v>
      </c>
      <c r="K415" s="365">
        <f t="shared" si="140"/>
        <v>0</v>
      </c>
      <c r="L415" s="365">
        <f t="shared" si="140"/>
        <v>0</v>
      </c>
      <c r="M415" s="365">
        <f t="shared" si="140"/>
        <v>0</v>
      </c>
      <c r="N415" s="365">
        <f t="shared" si="140"/>
        <v>0</v>
      </c>
      <c r="O415" s="365">
        <f t="shared" si="140"/>
        <v>0</v>
      </c>
      <c r="P415" s="365">
        <f t="shared" si="140"/>
        <v>0</v>
      </c>
      <c r="Q415" s="365">
        <f t="shared" si="140"/>
        <v>0</v>
      </c>
      <c r="R415" s="365">
        <f t="shared" si="140"/>
        <v>0</v>
      </c>
      <c r="S415" s="365">
        <f t="shared" si="140"/>
        <v>0</v>
      </c>
      <c r="T415" s="365">
        <f t="shared" si="140"/>
        <v>0</v>
      </c>
      <c r="U415" s="365">
        <f t="shared" si="140"/>
        <v>0</v>
      </c>
      <c r="V415" s="365">
        <f t="shared" si="140"/>
        <v>0</v>
      </c>
      <c r="W415" s="365">
        <f t="shared" si="140"/>
        <v>0</v>
      </c>
      <c r="X415" s="365">
        <f t="shared" si="140"/>
        <v>0</v>
      </c>
      <c r="Y415" s="365">
        <f t="shared" si="140"/>
        <v>0</v>
      </c>
      <c r="Z415" s="365">
        <f t="shared" si="140"/>
        <v>0</v>
      </c>
      <c r="AA415" s="365">
        <f t="shared" si="140"/>
        <v>0</v>
      </c>
      <c r="AB415" s="365">
        <f t="shared" si="140"/>
        <v>0</v>
      </c>
      <c r="AC415" s="365">
        <f t="shared" si="140"/>
        <v>0</v>
      </c>
      <c r="AD415" s="365">
        <f t="shared" si="140"/>
        <v>0</v>
      </c>
      <c r="AE415" s="365">
        <f t="shared" si="140"/>
        <v>0</v>
      </c>
      <c r="AF415" s="365">
        <f t="shared" si="140"/>
        <v>0</v>
      </c>
      <c r="AG415" s="768">
        <f t="shared" si="139"/>
        <v>0</v>
      </c>
    </row>
    <row r="416">
      <c r="A416" s="369" t="s">
        <v>758</v>
      </c>
      <c r="B416" s="922">
        <f t="shared" ref="B416:AF416" si="141">B410+B412+B414</f>
        <v>0</v>
      </c>
      <c r="C416" s="365">
        <f t="shared" si="141"/>
        <v>0</v>
      </c>
      <c r="D416" s="365">
        <f t="shared" si="141"/>
        <v>0</v>
      </c>
      <c r="E416" s="365">
        <f t="shared" si="141"/>
        <v>0</v>
      </c>
      <c r="F416" s="365">
        <f t="shared" si="141"/>
        <v>0</v>
      </c>
      <c r="G416" s="365">
        <f t="shared" si="141"/>
        <v>0</v>
      </c>
      <c r="H416" s="365">
        <f t="shared" si="141"/>
        <v>0</v>
      </c>
      <c r="I416" s="365">
        <f t="shared" si="141"/>
        <v>0</v>
      </c>
      <c r="J416" s="365">
        <f t="shared" si="141"/>
        <v>0</v>
      </c>
      <c r="K416" s="365">
        <f t="shared" si="141"/>
        <v>0</v>
      </c>
      <c r="L416" s="365">
        <f t="shared" si="141"/>
        <v>0</v>
      </c>
      <c r="M416" s="365">
        <f t="shared" si="141"/>
        <v>0</v>
      </c>
      <c r="N416" s="365">
        <f t="shared" si="141"/>
        <v>0</v>
      </c>
      <c r="O416" s="365">
        <f t="shared" si="141"/>
        <v>0</v>
      </c>
      <c r="P416" s="365">
        <f t="shared" si="141"/>
        <v>0</v>
      </c>
      <c r="Q416" s="365">
        <f t="shared" si="141"/>
        <v>0</v>
      </c>
      <c r="R416" s="365">
        <f t="shared" si="141"/>
        <v>0</v>
      </c>
      <c r="S416" s="365">
        <f t="shared" si="141"/>
        <v>0</v>
      </c>
      <c r="T416" s="365">
        <f t="shared" si="141"/>
        <v>0</v>
      </c>
      <c r="U416" s="365">
        <f t="shared" si="141"/>
        <v>0</v>
      </c>
      <c r="V416" s="365">
        <f t="shared" si="141"/>
        <v>0</v>
      </c>
      <c r="W416" s="365">
        <f t="shared" si="141"/>
        <v>0</v>
      </c>
      <c r="X416" s="365">
        <f t="shared" si="141"/>
        <v>0</v>
      </c>
      <c r="Y416" s="365">
        <f t="shared" si="141"/>
        <v>0</v>
      </c>
      <c r="Z416" s="365">
        <f t="shared" si="141"/>
        <v>0</v>
      </c>
      <c r="AA416" s="365">
        <f t="shared" si="141"/>
        <v>0</v>
      </c>
      <c r="AB416" s="365">
        <f t="shared" si="141"/>
        <v>0</v>
      </c>
      <c r="AC416" s="365">
        <f t="shared" si="141"/>
        <v>0</v>
      </c>
      <c r="AD416" s="365">
        <f t="shared" si="141"/>
        <v>0</v>
      </c>
      <c r="AE416" s="365">
        <f t="shared" si="141"/>
        <v>0</v>
      </c>
      <c r="AF416" s="365">
        <f t="shared" si="141"/>
        <v>0</v>
      </c>
      <c r="AG416" s="768">
        <f t="shared" si="139"/>
        <v>0</v>
      </c>
    </row>
    <row r="417">
      <c r="A417" s="42"/>
      <c r="B417" s="923"/>
      <c r="C417" s="923"/>
      <c r="D417" s="923"/>
      <c r="E417" s="923"/>
      <c r="F417" s="923"/>
      <c r="G417" s="923"/>
      <c r="H417" s="923"/>
      <c r="I417" s="923"/>
      <c r="J417" s="923"/>
      <c r="K417" s="923"/>
      <c r="L417" s="923"/>
      <c r="M417" s="923"/>
      <c r="N417" s="923"/>
      <c r="O417" s="923"/>
      <c r="P417" s="923"/>
      <c r="Q417" s="923"/>
      <c r="R417" s="923"/>
      <c r="S417" s="923"/>
      <c r="T417" s="923"/>
      <c r="U417" s="923"/>
      <c r="V417" s="923"/>
      <c r="W417" s="923"/>
      <c r="X417" s="923"/>
      <c r="Y417" s="923"/>
      <c r="Z417" s="923"/>
      <c r="AA417" s="923"/>
      <c r="AB417" s="923"/>
      <c r="AC417" s="923"/>
      <c r="AD417" s="923"/>
      <c r="AE417" s="923"/>
      <c r="AF417" s="923"/>
      <c r="AG417" s="11"/>
    </row>
    <row r="418">
      <c r="A418" s="897" t="s">
        <v>760</v>
      </c>
      <c r="B418" s="301">
        <v>0.0</v>
      </c>
      <c r="C418" s="301">
        <v>0.0</v>
      </c>
      <c r="D418" s="301">
        <v>0.0</v>
      </c>
      <c r="E418" s="301">
        <v>0.0</v>
      </c>
      <c r="F418" s="301">
        <v>0.0</v>
      </c>
      <c r="G418" s="301">
        <v>0.0</v>
      </c>
      <c r="H418" s="301">
        <v>0.0</v>
      </c>
      <c r="I418" s="301">
        <v>0.0</v>
      </c>
      <c r="J418" s="301">
        <v>0.0</v>
      </c>
      <c r="K418" s="301">
        <v>0.0</v>
      </c>
      <c r="L418" s="301">
        <v>0.0</v>
      </c>
      <c r="M418" s="301">
        <v>0.0</v>
      </c>
      <c r="N418" s="301">
        <v>0.0</v>
      </c>
      <c r="O418" s="301">
        <v>0.0</v>
      </c>
      <c r="P418" s="301">
        <v>0.0</v>
      </c>
      <c r="Q418" s="301">
        <v>0.0</v>
      </c>
      <c r="R418" s="301">
        <v>0.0</v>
      </c>
      <c r="S418" s="301">
        <v>0.0</v>
      </c>
      <c r="T418" s="301">
        <v>0.0</v>
      </c>
      <c r="U418" s="301">
        <v>0.0</v>
      </c>
      <c r="V418" s="301">
        <v>0.0</v>
      </c>
      <c r="W418" s="301">
        <v>0.0</v>
      </c>
      <c r="X418" s="301">
        <v>0.0</v>
      </c>
      <c r="Y418" s="301">
        <v>0.0</v>
      </c>
      <c r="Z418" s="301">
        <v>0.0</v>
      </c>
      <c r="AA418" s="301">
        <v>0.0</v>
      </c>
      <c r="AB418" s="301">
        <v>0.0</v>
      </c>
      <c r="AC418" s="301">
        <v>0.0</v>
      </c>
      <c r="AD418" s="301">
        <v>0.0</v>
      </c>
      <c r="AE418" s="301">
        <v>0.0</v>
      </c>
      <c r="AF418" s="808">
        <v>0.0</v>
      </c>
      <c r="AG418" s="768">
        <f t="shared" ref="AG418:AG423" si="142">SUM(B418:AF418)</f>
        <v>0</v>
      </c>
    </row>
    <row r="419">
      <c r="A419" s="897" t="s">
        <v>761</v>
      </c>
      <c r="B419" s="301">
        <v>0.0</v>
      </c>
      <c r="C419" s="301">
        <v>0.0</v>
      </c>
      <c r="D419" s="301">
        <v>0.0</v>
      </c>
      <c r="E419" s="301">
        <v>0.0</v>
      </c>
      <c r="F419" s="301">
        <v>0.0</v>
      </c>
      <c r="G419" s="301">
        <v>0.0</v>
      </c>
      <c r="H419" s="301">
        <v>0.0</v>
      </c>
      <c r="I419" s="301">
        <v>0.0</v>
      </c>
      <c r="J419" s="301">
        <v>0.0</v>
      </c>
      <c r="K419" s="301">
        <v>0.0</v>
      </c>
      <c r="L419" s="301">
        <v>0.0</v>
      </c>
      <c r="M419" s="301">
        <v>0.0</v>
      </c>
      <c r="N419" s="301">
        <v>0.0</v>
      </c>
      <c r="O419" s="301">
        <v>0.0</v>
      </c>
      <c r="P419" s="301">
        <v>0.0</v>
      </c>
      <c r="Q419" s="301">
        <v>0.0</v>
      </c>
      <c r="R419" s="301">
        <v>0.0</v>
      </c>
      <c r="S419" s="301">
        <v>0.0</v>
      </c>
      <c r="T419" s="301">
        <v>0.0</v>
      </c>
      <c r="U419" s="301">
        <v>0.0</v>
      </c>
      <c r="V419" s="301">
        <v>0.0</v>
      </c>
      <c r="W419" s="301">
        <v>0.0</v>
      </c>
      <c r="X419" s="301">
        <v>0.0</v>
      </c>
      <c r="Y419" s="301">
        <v>0.0</v>
      </c>
      <c r="Z419" s="301">
        <v>0.0</v>
      </c>
      <c r="AA419" s="301">
        <v>0.0</v>
      </c>
      <c r="AB419" s="301">
        <v>0.0</v>
      </c>
      <c r="AC419" s="301">
        <v>0.0</v>
      </c>
      <c r="AD419" s="301">
        <v>0.0</v>
      </c>
      <c r="AE419" s="301">
        <v>0.0</v>
      </c>
      <c r="AF419" s="808">
        <v>0.0</v>
      </c>
      <c r="AG419" s="768">
        <f t="shared" si="142"/>
        <v>0</v>
      </c>
    </row>
    <row r="420">
      <c r="A420" s="897" t="s">
        <v>762</v>
      </c>
      <c r="B420" s="301">
        <v>0.0</v>
      </c>
      <c r="C420" s="301">
        <v>0.0</v>
      </c>
      <c r="D420" s="301">
        <v>0.0</v>
      </c>
      <c r="E420" s="301">
        <v>0.0</v>
      </c>
      <c r="F420" s="301">
        <v>0.0</v>
      </c>
      <c r="G420" s="301">
        <v>0.0</v>
      </c>
      <c r="H420" s="301">
        <v>0.0</v>
      </c>
      <c r="I420" s="301">
        <v>0.0</v>
      </c>
      <c r="J420" s="301">
        <v>0.0</v>
      </c>
      <c r="K420" s="301">
        <v>0.0</v>
      </c>
      <c r="L420" s="301">
        <v>0.0</v>
      </c>
      <c r="M420" s="301">
        <v>0.0</v>
      </c>
      <c r="N420" s="301">
        <v>0.0</v>
      </c>
      <c r="O420" s="301">
        <v>0.0</v>
      </c>
      <c r="P420" s="301">
        <v>0.0</v>
      </c>
      <c r="Q420" s="301">
        <v>0.0</v>
      </c>
      <c r="R420" s="301">
        <v>0.0</v>
      </c>
      <c r="S420" s="301">
        <v>0.0</v>
      </c>
      <c r="T420" s="301">
        <v>0.0</v>
      </c>
      <c r="U420" s="301">
        <v>0.0</v>
      </c>
      <c r="V420" s="301">
        <v>0.0</v>
      </c>
      <c r="W420" s="301">
        <v>0.0</v>
      </c>
      <c r="X420" s="301">
        <v>0.0</v>
      </c>
      <c r="Y420" s="301">
        <v>0.0</v>
      </c>
      <c r="Z420" s="301">
        <v>0.0</v>
      </c>
      <c r="AA420" s="301">
        <v>0.0</v>
      </c>
      <c r="AB420" s="301">
        <v>0.0</v>
      </c>
      <c r="AC420" s="301">
        <v>0.0</v>
      </c>
      <c r="AD420" s="301">
        <v>0.0</v>
      </c>
      <c r="AE420" s="301">
        <v>0.0</v>
      </c>
      <c r="AF420" s="808">
        <v>0.0</v>
      </c>
      <c r="AG420" s="768">
        <f t="shared" si="142"/>
        <v>0</v>
      </c>
    </row>
    <row r="421">
      <c r="A421" s="897" t="s">
        <v>763</v>
      </c>
      <c r="B421" s="301">
        <v>0.0</v>
      </c>
      <c r="C421" s="301">
        <v>0.0</v>
      </c>
      <c r="D421" s="301">
        <v>0.0</v>
      </c>
      <c r="E421" s="301">
        <v>0.0</v>
      </c>
      <c r="F421" s="301">
        <v>0.0</v>
      </c>
      <c r="G421" s="301">
        <v>0.0</v>
      </c>
      <c r="H421" s="301">
        <v>0.0</v>
      </c>
      <c r="I421" s="301">
        <v>0.0</v>
      </c>
      <c r="J421" s="301">
        <v>0.0</v>
      </c>
      <c r="K421" s="301">
        <v>0.0</v>
      </c>
      <c r="L421" s="301">
        <v>0.0</v>
      </c>
      <c r="M421" s="301">
        <v>0.0</v>
      </c>
      <c r="N421" s="301">
        <v>0.0</v>
      </c>
      <c r="O421" s="301">
        <v>0.0</v>
      </c>
      <c r="P421" s="301">
        <v>0.0</v>
      </c>
      <c r="Q421" s="301">
        <v>0.0</v>
      </c>
      <c r="R421" s="301">
        <v>0.0</v>
      </c>
      <c r="S421" s="301">
        <v>0.0</v>
      </c>
      <c r="T421" s="301">
        <v>0.0</v>
      </c>
      <c r="U421" s="301">
        <v>0.0</v>
      </c>
      <c r="V421" s="301">
        <v>0.0</v>
      </c>
      <c r="W421" s="301">
        <v>0.0</v>
      </c>
      <c r="X421" s="301">
        <v>0.0</v>
      </c>
      <c r="Y421" s="301">
        <v>0.0</v>
      </c>
      <c r="Z421" s="301">
        <v>0.0</v>
      </c>
      <c r="AA421" s="301">
        <v>0.0</v>
      </c>
      <c r="AB421" s="301">
        <v>0.0</v>
      </c>
      <c r="AC421" s="301">
        <v>0.0</v>
      </c>
      <c r="AD421" s="301">
        <v>0.0</v>
      </c>
      <c r="AE421" s="301">
        <v>0.0</v>
      </c>
      <c r="AF421" s="808">
        <v>0.0</v>
      </c>
      <c r="AG421" s="768">
        <f t="shared" si="142"/>
        <v>0</v>
      </c>
    </row>
    <row r="422">
      <c r="A422" s="897" t="s">
        <v>764</v>
      </c>
      <c r="B422" s="301">
        <v>0.0</v>
      </c>
      <c r="C422" s="301">
        <v>0.0</v>
      </c>
      <c r="D422" s="301">
        <v>0.0</v>
      </c>
      <c r="E422" s="301">
        <v>0.0</v>
      </c>
      <c r="F422" s="301">
        <v>0.0</v>
      </c>
      <c r="G422" s="301">
        <v>0.0</v>
      </c>
      <c r="H422" s="301">
        <v>0.0</v>
      </c>
      <c r="I422" s="301">
        <v>0.0</v>
      </c>
      <c r="J422" s="301">
        <v>0.0</v>
      </c>
      <c r="K422" s="301">
        <v>0.0</v>
      </c>
      <c r="L422" s="301">
        <v>0.0</v>
      </c>
      <c r="M422" s="301">
        <v>0.0</v>
      </c>
      <c r="N422" s="301">
        <v>0.0</v>
      </c>
      <c r="O422" s="301">
        <v>0.0</v>
      </c>
      <c r="P422" s="301">
        <v>0.0</v>
      </c>
      <c r="Q422" s="301">
        <v>0.0</v>
      </c>
      <c r="R422" s="301">
        <v>0.0</v>
      </c>
      <c r="S422" s="301">
        <v>0.0</v>
      </c>
      <c r="T422" s="301">
        <v>0.0</v>
      </c>
      <c r="U422" s="301">
        <v>0.0</v>
      </c>
      <c r="V422" s="301">
        <v>0.0</v>
      </c>
      <c r="W422" s="301">
        <v>0.0</v>
      </c>
      <c r="X422" s="301">
        <v>0.0</v>
      </c>
      <c r="Y422" s="301">
        <v>0.0</v>
      </c>
      <c r="Z422" s="301">
        <v>0.0</v>
      </c>
      <c r="AA422" s="301">
        <v>0.0</v>
      </c>
      <c r="AB422" s="301">
        <v>0.0</v>
      </c>
      <c r="AC422" s="301">
        <v>0.0</v>
      </c>
      <c r="AD422" s="301">
        <v>0.0</v>
      </c>
      <c r="AE422" s="301">
        <v>0.0</v>
      </c>
      <c r="AF422" s="808">
        <v>0.0</v>
      </c>
      <c r="AG422" s="768">
        <f t="shared" si="142"/>
        <v>0</v>
      </c>
    </row>
    <row r="423">
      <c r="A423" s="907" t="s">
        <v>765</v>
      </c>
      <c r="B423" s="365">
        <f t="shared" ref="B423:AF423" si="143">SUM(B418:B422)</f>
        <v>0</v>
      </c>
      <c r="C423" s="365">
        <f t="shared" si="143"/>
        <v>0</v>
      </c>
      <c r="D423" s="365">
        <f t="shared" si="143"/>
        <v>0</v>
      </c>
      <c r="E423" s="365">
        <f t="shared" si="143"/>
        <v>0</v>
      </c>
      <c r="F423" s="365">
        <f t="shared" si="143"/>
        <v>0</v>
      </c>
      <c r="G423" s="365">
        <f t="shared" si="143"/>
        <v>0</v>
      </c>
      <c r="H423" s="365">
        <f t="shared" si="143"/>
        <v>0</v>
      </c>
      <c r="I423" s="365">
        <f t="shared" si="143"/>
        <v>0</v>
      </c>
      <c r="J423" s="365">
        <f t="shared" si="143"/>
        <v>0</v>
      </c>
      <c r="K423" s="365">
        <f t="shared" si="143"/>
        <v>0</v>
      </c>
      <c r="L423" s="365">
        <f t="shared" si="143"/>
        <v>0</v>
      </c>
      <c r="M423" s="365">
        <f t="shared" si="143"/>
        <v>0</v>
      </c>
      <c r="N423" s="365">
        <f t="shared" si="143"/>
        <v>0</v>
      </c>
      <c r="O423" s="365">
        <f t="shared" si="143"/>
        <v>0</v>
      </c>
      <c r="P423" s="365">
        <f t="shared" si="143"/>
        <v>0</v>
      </c>
      <c r="Q423" s="365">
        <f t="shared" si="143"/>
        <v>0</v>
      </c>
      <c r="R423" s="365">
        <f t="shared" si="143"/>
        <v>0</v>
      </c>
      <c r="S423" s="365">
        <f t="shared" si="143"/>
        <v>0</v>
      </c>
      <c r="T423" s="365">
        <f t="shared" si="143"/>
        <v>0</v>
      </c>
      <c r="U423" s="365">
        <f t="shared" si="143"/>
        <v>0</v>
      </c>
      <c r="V423" s="365">
        <f t="shared" si="143"/>
        <v>0</v>
      </c>
      <c r="W423" s="365">
        <f t="shared" si="143"/>
        <v>0</v>
      </c>
      <c r="X423" s="365">
        <f t="shared" si="143"/>
        <v>0</v>
      </c>
      <c r="Y423" s="365">
        <f t="shared" si="143"/>
        <v>0</v>
      </c>
      <c r="Z423" s="365">
        <f t="shared" si="143"/>
        <v>0</v>
      </c>
      <c r="AA423" s="365">
        <f t="shared" si="143"/>
        <v>0</v>
      </c>
      <c r="AB423" s="365">
        <f t="shared" si="143"/>
        <v>0</v>
      </c>
      <c r="AC423" s="365">
        <f t="shared" si="143"/>
        <v>0</v>
      </c>
      <c r="AD423" s="365">
        <f t="shared" si="143"/>
        <v>0</v>
      </c>
      <c r="AE423" s="365">
        <f t="shared" si="143"/>
        <v>0</v>
      </c>
      <c r="AF423" s="365">
        <f t="shared" si="143"/>
        <v>0</v>
      </c>
      <c r="AG423" s="768">
        <f t="shared" si="142"/>
        <v>0</v>
      </c>
    </row>
    <row r="424">
      <c r="A424" s="42"/>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c r="AA424" s="301"/>
      <c r="AB424" s="301"/>
      <c r="AC424" s="301"/>
      <c r="AD424" s="301"/>
      <c r="AE424" s="301"/>
      <c r="AF424" s="301"/>
      <c r="AG424" s="768"/>
    </row>
    <row r="425">
      <c r="A425" s="897" t="s">
        <v>767</v>
      </c>
      <c r="B425" s="301">
        <v>0.0</v>
      </c>
      <c r="C425" s="301">
        <v>0.0</v>
      </c>
      <c r="D425" s="301">
        <v>0.0</v>
      </c>
      <c r="E425" s="301">
        <v>0.0</v>
      </c>
      <c r="F425" s="301">
        <v>0.0</v>
      </c>
      <c r="G425" s="301">
        <v>0.0</v>
      </c>
      <c r="H425" s="301">
        <v>0.0</v>
      </c>
      <c r="I425" s="301">
        <v>0.0</v>
      </c>
      <c r="J425" s="301">
        <v>0.0</v>
      </c>
      <c r="K425" s="301">
        <v>0.0</v>
      </c>
      <c r="L425" s="301">
        <v>0.0</v>
      </c>
      <c r="M425" s="301">
        <v>0.0</v>
      </c>
      <c r="N425" s="301">
        <v>0.0</v>
      </c>
      <c r="O425" s="301">
        <v>0.0</v>
      </c>
      <c r="P425" s="301">
        <v>0.0</v>
      </c>
      <c r="Q425" s="301">
        <v>0.0</v>
      </c>
      <c r="R425" s="301">
        <v>0.0</v>
      </c>
      <c r="S425" s="301">
        <v>0.0</v>
      </c>
      <c r="T425" s="301">
        <v>0.0</v>
      </c>
      <c r="U425" s="301">
        <v>0.0</v>
      </c>
      <c r="V425" s="301">
        <v>0.0</v>
      </c>
      <c r="W425" s="301">
        <v>0.0</v>
      </c>
      <c r="X425" s="301">
        <v>0.0</v>
      </c>
      <c r="Y425" s="301">
        <v>0.0</v>
      </c>
      <c r="Z425" s="301">
        <v>0.0</v>
      </c>
      <c r="AA425" s="301">
        <v>0.0</v>
      </c>
      <c r="AB425" s="301">
        <v>0.0</v>
      </c>
      <c r="AC425" s="301">
        <v>0.0</v>
      </c>
      <c r="AD425" s="301">
        <v>0.0</v>
      </c>
      <c r="AE425" s="301">
        <v>0.0</v>
      </c>
      <c r="AF425" s="301">
        <v>0.0</v>
      </c>
      <c r="AG425" s="768">
        <f t="shared" ref="AG425:AG430" si="144">SUM(B425:AF425)</f>
        <v>0</v>
      </c>
    </row>
    <row r="426">
      <c r="A426" s="897" t="s">
        <v>769</v>
      </c>
      <c r="B426" s="301">
        <v>0.0</v>
      </c>
      <c r="C426" s="301">
        <v>0.0</v>
      </c>
      <c r="D426" s="301">
        <v>0.0</v>
      </c>
      <c r="E426" s="301">
        <v>0.0</v>
      </c>
      <c r="F426" s="301">
        <v>0.0</v>
      </c>
      <c r="G426" s="301">
        <v>0.0</v>
      </c>
      <c r="H426" s="301">
        <v>0.0</v>
      </c>
      <c r="I426" s="301">
        <v>0.0</v>
      </c>
      <c r="J426" s="301">
        <v>0.0</v>
      </c>
      <c r="K426" s="301">
        <v>0.0</v>
      </c>
      <c r="L426" s="301">
        <v>0.0</v>
      </c>
      <c r="M426" s="301">
        <v>0.0</v>
      </c>
      <c r="N426" s="301">
        <v>0.0</v>
      </c>
      <c r="O426" s="301">
        <v>0.0</v>
      </c>
      <c r="P426" s="301">
        <v>0.0</v>
      </c>
      <c r="Q426" s="301">
        <v>0.0</v>
      </c>
      <c r="R426" s="301">
        <v>0.0</v>
      </c>
      <c r="S426" s="301">
        <v>0.0</v>
      </c>
      <c r="T426" s="301">
        <v>0.0</v>
      </c>
      <c r="U426" s="301">
        <v>0.0</v>
      </c>
      <c r="V426" s="301">
        <v>0.0</v>
      </c>
      <c r="W426" s="301">
        <v>0.0</v>
      </c>
      <c r="X426" s="301">
        <v>0.0</v>
      </c>
      <c r="Y426" s="301">
        <v>0.0</v>
      </c>
      <c r="Z426" s="301">
        <v>0.0</v>
      </c>
      <c r="AA426" s="301">
        <v>0.0</v>
      </c>
      <c r="AB426" s="301">
        <v>0.0</v>
      </c>
      <c r="AC426" s="301">
        <v>0.0</v>
      </c>
      <c r="AD426" s="301">
        <v>0.0</v>
      </c>
      <c r="AE426" s="301">
        <v>0.0</v>
      </c>
      <c r="AF426" s="301">
        <v>0.0</v>
      </c>
      <c r="AG426" s="768">
        <f t="shared" si="144"/>
        <v>0</v>
      </c>
    </row>
    <row r="427">
      <c r="A427" s="897" t="s">
        <v>770</v>
      </c>
      <c r="B427" s="301">
        <v>0.0</v>
      </c>
      <c r="C427" s="301">
        <v>0.0</v>
      </c>
      <c r="D427" s="301">
        <v>0.0</v>
      </c>
      <c r="E427" s="301">
        <v>0.0</v>
      </c>
      <c r="F427" s="301">
        <v>0.0</v>
      </c>
      <c r="G427" s="301">
        <v>0.0</v>
      </c>
      <c r="H427" s="301">
        <v>0.0</v>
      </c>
      <c r="I427" s="301">
        <v>0.0</v>
      </c>
      <c r="J427" s="301">
        <v>0.0</v>
      </c>
      <c r="K427" s="301">
        <v>0.0</v>
      </c>
      <c r="L427" s="301">
        <v>0.0</v>
      </c>
      <c r="M427" s="301">
        <v>0.0</v>
      </c>
      <c r="N427" s="301">
        <v>0.0</v>
      </c>
      <c r="O427" s="301">
        <v>0.0</v>
      </c>
      <c r="P427" s="301">
        <v>0.0</v>
      </c>
      <c r="Q427" s="301">
        <v>0.0</v>
      </c>
      <c r="R427" s="301">
        <v>0.0</v>
      </c>
      <c r="S427" s="301">
        <v>0.0</v>
      </c>
      <c r="T427" s="301">
        <v>0.0</v>
      </c>
      <c r="U427" s="301">
        <v>0.0</v>
      </c>
      <c r="V427" s="301">
        <v>0.0</v>
      </c>
      <c r="W427" s="301">
        <v>0.0</v>
      </c>
      <c r="X427" s="301">
        <v>0.0</v>
      </c>
      <c r="Y427" s="301">
        <v>0.0</v>
      </c>
      <c r="Z427" s="301">
        <v>0.0</v>
      </c>
      <c r="AA427" s="301">
        <v>0.0</v>
      </c>
      <c r="AB427" s="301">
        <v>0.0</v>
      </c>
      <c r="AC427" s="301">
        <v>0.0</v>
      </c>
      <c r="AD427" s="301">
        <v>0.0</v>
      </c>
      <c r="AE427" s="301">
        <v>0.0</v>
      </c>
      <c r="AF427" s="301">
        <v>0.0</v>
      </c>
      <c r="AG427" s="768">
        <f t="shared" si="144"/>
        <v>0</v>
      </c>
    </row>
    <row r="428">
      <c r="A428" s="897" t="s">
        <v>771</v>
      </c>
      <c r="B428" s="301">
        <v>0.0</v>
      </c>
      <c r="C428" s="301">
        <v>0.0</v>
      </c>
      <c r="D428" s="301">
        <v>0.0</v>
      </c>
      <c r="E428" s="301">
        <v>0.0</v>
      </c>
      <c r="F428" s="301">
        <v>0.0</v>
      </c>
      <c r="G428" s="301">
        <v>0.0</v>
      </c>
      <c r="H428" s="301">
        <v>0.0</v>
      </c>
      <c r="I428" s="301">
        <v>0.0</v>
      </c>
      <c r="J428" s="301">
        <v>0.0</v>
      </c>
      <c r="K428" s="301">
        <v>0.0</v>
      </c>
      <c r="L428" s="301">
        <v>0.0</v>
      </c>
      <c r="M428" s="301">
        <v>0.0</v>
      </c>
      <c r="N428" s="301">
        <v>0.0</v>
      </c>
      <c r="O428" s="301">
        <v>0.0</v>
      </c>
      <c r="P428" s="301">
        <v>0.0</v>
      </c>
      <c r="Q428" s="301">
        <v>0.0</v>
      </c>
      <c r="R428" s="301">
        <v>0.0</v>
      </c>
      <c r="S428" s="301">
        <v>0.0</v>
      </c>
      <c r="T428" s="301">
        <v>0.0</v>
      </c>
      <c r="U428" s="301">
        <v>0.0</v>
      </c>
      <c r="V428" s="301">
        <v>0.0</v>
      </c>
      <c r="W428" s="301">
        <v>0.0</v>
      </c>
      <c r="X428" s="301">
        <v>0.0</v>
      </c>
      <c r="Y428" s="301">
        <v>0.0</v>
      </c>
      <c r="Z428" s="301">
        <v>0.0</v>
      </c>
      <c r="AA428" s="301">
        <v>0.0</v>
      </c>
      <c r="AB428" s="301">
        <v>0.0</v>
      </c>
      <c r="AC428" s="301">
        <v>0.0</v>
      </c>
      <c r="AD428" s="301">
        <v>0.0</v>
      </c>
      <c r="AE428" s="301">
        <v>0.0</v>
      </c>
      <c r="AF428" s="301">
        <v>0.0</v>
      </c>
      <c r="AG428" s="768">
        <f t="shared" si="144"/>
        <v>0</v>
      </c>
    </row>
    <row r="429">
      <c r="A429" s="897" t="s">
        <v>772</v>
      </c>
      <c r="B429" s="301">
        <v>0.0</v>
      </c>
      <c r="C429" s="301">
        <v>0.0</v>
      </c>
      <c r="D429" s="301">
        <v>0.0</v>
      </c>
      <c r="E429" s="301">
        <v>0.0</v>
      </c>
      <c r="F429" s="301">
        <v>0.0</v>
      </c>
      <c r="G429" s="301">
        <v>0.0</v>
      </c>
      <c r="H429" s="301">
        <v>0.0</v>
      </c>
      <c r="I429" s="301">
        <v>0.0</v>
      </c>
      <c r="J429" s="301">
        <v>0.0</v>
      </c>
      <c r="K429" s="301">
        <v>0.0</v>
      </c>
      <c r="L429" s="301">
        <v>0.0</v>
      </c>
      <c r="M429" s="301">
        <v>0.0</v>
      </c>
      <c r="N429" s="301">
        <v>0.0</v>
      </c>
      <c r="O429" s="301">
        <v>0.0</v>
      </c>
      <c r="P429" s="301">
        <v>0.0</v>
      </c>
      <c r="Q429" s="301">
        <v>0.0</v>
      </c>
      <c r="R429" s="301">
        <v>0.0</v>
      </c>
      <c r="S429" s="301">
        <v>0.0</v>
      </c>
      <c r="T429" s="301">
        <v>0.0</v>
      </c>
      <c r="U429" s="301">
        <v>0.0</v>
      </c>
      <c r="V429" s="301">
        <v>0.0</v>
      </c>
      <c r="W429" s="301">
        <v>0.0</v>
      </c>
      <c r="X429" s="301">
        <v>0.0</v>
      </c>
      <c r="Y429" s="301">
        <v>0.0</v>
      </c>
      <c r="Z429" s="301">
        <v>0.0</v>
      </c>
      <c r="AA429" s="301">
        <v>0.0</v>
      </c>
      <c r="AB429" s="301">
        <v>0.0</v>
      </c>
      <c r="AC429" s="301">
        <v>0.0</v>
      </c>
      <c r="AD429" s="301">
        <v>0.0</v>
      </c>
      <c r="AE429" s="301">
        <v>0.0</v>
      </c>
      <c r="AF429" s="301">
        <v>0.0</v>
      </c>
      <c r="AG429" s="768">
        <f t="shared" si="144"/>
        <v>0</v>
      </c>
    </row>
    <row r="430">
      <c r="A430" s="907" t="s">
        <v>773</v>
      </c>
      <c r="B430" s="365">
        <f t="shared" ref="B430:AF430" si="145">SUM(B425:B429)</f>
        <v>0</v>
      </c>
      <c r="C430" s="365">
        <f t="shared" si="145"/>
        <v>0</v>
      </c>
      <c r="D430" s="365">
        <f t="shared" si="145"/>
        <v>0</v>
      </c>
      <c r="E430" s="365">
        <f t="shared" si="145"/>
        <v>0</v>
      </c>
      <c r="F430" s="365">
        <f t="shared" si="145"/>
        <v>0</v>
      </c>
      <c r="G430" s="365">
        <f t="shared" si="145"/>
        <v>0</v>
      </c>
      <c r="H430" s="365">
        <f t="shared" si="145"/>
        <v>0</v>
      </c>
      <c r="I430" s="365">
        <f t="shared" si="145"/>
        <v>0</v>
      </c>
      <c r="J430" s="365">
        <f t="shared" si="145"/>
        <v>0</v>
      </c>
      <c r="K430" s="365">
        <f t="shared" si="145"/>
        <v>0</v>
      </c>
      <c r="L430" s="365">
        <f t="shared" si="145"/>
        <v>0</v>
      </c>
      <c r="M430" s="365">
        <f t="shared" si="145"/>
        <v>0</v>
      </c>
      <c r="N430" s="365">
        <f t="shared" si="145"/>
        <v>0</v>
      </c>
      <c r="O430" s="365">
        <f t="shared" si="145"/>
        <v>0</v>
      </c>
      <c r="P430" s="365">
        <f t="shared" si="145"/>
        <v>0</v>
      </c>
      <c r="Q430" s="365">
        <f t="shared" si="145"/>
        <v>0</v>
      </c>
      <c r="R430" s="365">
        <f t="shared" si="145"/>
        <v>0</v>
      </c>
      <c r="S430" s="365">
        <f t="shared" si="145"/>
        <v>0</v>
      </c>
      <c r="T430" s="365">
        <f t="shared" si="145"/>
        <v>0</v>
      </c>
      <c r="U430" s="365">
        <f t="shared" si="145"/>
        <v>0</v>
      </c>
      <c r="V430" s="365">
        <f t="shared" si="145"/>
        <v>0</v>
      </c>
      <c r="W430" s="365">
        <f t="shared" si="145"/>
        <v>0</v>
      </c>
      <c r="X430" s="365">
        <f t="shared" si="145"/>
        <v>0</v>
      </c>
      <c r="Y430" s="365">
        <f t="shared" si="145"/>
        <v>0</v>
      </c>
      <c r="Z430" s="365">
        <f t="shared" si="145"/>
        <v>0</v>
      </c>
      <c r="AA430" s="365">
        <f t="shared" si="145"/>
        <v>0</v>
      </c>
      <c r="AB430" s="365">
        <f t="shared" si="145"/>
        <v>0</v>
      </c>
      <c r="AC430" s="365">
        <f t="shared" si="145"/>
        <v>0</v>
      </c>
      <c r="AD430" s="365">
        <f t="shared" si="145"/>
        <v>0</v>
      </c>
      <c r="AE430" s="365">
        <f t="shared" si="145"/>
        <v>0</v>
      </c>
      <c r="AF430" s="365">
        <f t="shared" si="145"/>
        <v>0</v>
      </c>
      <c r="AG430" s="768">
        <f t="shared" si="144"/>
        <v>0</v>
      </c>
    </row>
    <row r="431">
      <c r="A431" s="42"/>
      <c r="B431" s="923"/>
      <c r="C431" s="923"/>
      <c r="D431" s="923"/>
      <c r="E431" s="923"/>
      <c r="F431" s="923"/>
      <c r="G431" s="923"/>
      <c r="H431" s="923"/>
      <c r="I431" s="923"/>
      <c r="J431" s="923"/>
      <c r="K431" s="923"/>
      <c r="L431" s="923"/>
      <c r="M431" s="923"/>
      <c r="N431" s="923"/>
      <c r="O431" s="923"/>
      <c r="P431" s="923"/>
      <c r="Q431" s="923"/>
      <c r="R431" s="923"/>
      <c r="S431" s="923"/>
      <c r="T431" s="923"/>
      <c r="U431" s="923"/>
      <c r="V431" s="923"/>
      <c r="W431" s="923"/>
      <c r="X431" s="923"/>
      <c r="Y431" s="923"/>
      <c r="Z431" s="923"/>
      <c r="AA431" s="923"/>
      <c r="AB431" s="923"/>
      <c r="AC431" s="923"/>
      <c r="AD431" s="923"/>
      <c r="AE431" s="923"/>
      <c r="AF431" s="923"/>
      <c r="AG431" s="11"/>
    </row>
    <row r="432">
      <c r="A432" s="897" t="s">
        <v>774</v>
      </c>
      <c r="B432" s="301">
        <v>0.0</v>
      </c>
      <c r="C432" s="301">
        <v>0.0</v>
      </c>
      <c r="D432" s="301">
        <v>0.0</v>
      </c>
      <c r="E432" s="301">
        <v>0.0</v>
      </c>
      <c r="F432" s="301">
        <v>0.0</v>
      </c>
      <c r="G432" s="301">
        <v>0.0</v>
      </c>
      <c r="H432" s="301">
        <v>0.0</v>
      </c>
      <c r="I432" s="301">
        <v>0.0</v>
      </c>
      <c r="J432" s="301">
        <v>0.0</v>
      </c>
      <c r="K432" s="301">
        <v>0.0</v>
      </c>
      <c r="L432" s="301">
        <v>0.0</v>
      </c>
      <c r="M432" s="301">
        <v>0.0</v>
      </c>
      <c r="N432" s="301">
        <v>0.0</v>
      </c>
      <c r="O432" s="301">
        <v>0.0</v>
      </c>
      <c r="P432" s="301">
        <v>0.0</v>
      </c>
      <c r="Q432" s="301">
        <v>0.0</v>
      </c>
      <c r="R432" s="301">
        <v>0.0</v>
      </c>
      <c r="S432" s="301">
        <v>0.0</v>
      </c>
      <c r="T432" s="301">
        <v>0.0</v>
      </c>
      <c r="U432" s="301">
        <v>0.0</v>
      </c>
      <c r="V432" s="301">
        <v>0.0</v>
      </c>
      <c r="W432" s="301">
        <v>0.0</v>
      </c>
      <c r="X432" s="301">
        <v>0.0</v>
      </c>
      <c r="Y432" s="301">
        <v>0.0</v>
      </c>
      <c r="Z432" s="301">
        <v>0.0</v>
      </c>
      <c r="AA432" s="301">
        <v>0.0</v>
      </c>
      <c r="AB432" s="301">
        <v>0.0</v>
      </c>
      <c r="AC432" s="301">
        <v>0.0</v>
      </c>
      <c r="AD432" s="301">
        <v>0.0</v>
      </c>
      <c r="AE432" s="301">
        <v>0.0</v>
      </c>
      <c r="AF432" s="808">
        <v>0.0</v>
      </c>
      <c r="AG432" s="768">
        <f t="shared" ref="AG432:AG437" si="146">SUM(B432:AF432)</f>
        <v>0</v>
      </c>
    </row>
    <row r="433">
      <c r="A433" s="897" t="s">
        <v>775</v>
      </c>
      <c r="B433" s="301">
        <v>0.0</v>
      </c>
      <c r="C433" s="301">
        <v>0.0</v>
      </c>
      <c r="D433" s="301">
        <v>0.0</v>
      </c>
      <c r="E433" s="301">
        <v>0.0</v>
      </c>
      <c r="F433" s="301">
        <v>0.0</v>
      </c>
      <c r="G433" s="301">
        <v>0.0</v>
      </c>
      <c r="H433" s="301">
        <v>0.0</v>
      </c>
      <c r="I433" s="301">
        <v>0.0</v>
      </c>
      <c r="J433" s="301">
        <v>0.0</v>
      </c>
      <c r="K433" s="301">
        <v>0.0</v>
      </c>
      <c r="L433" s="301">
        <v>0.0</v>
      </c>
      <c r="M433" s="301">
        <v>0.0</v>
      </c>
      <c r="N433" s="301">
        <v>0.0</v>
      </c>
      <c r="O433" s="301">
        <v>0.0</v>
      </c>
      <c r="P433" s="301">
        <v>0.0</v>
      </c>
      <c r="Q433" s="301">
        <v>0.0</v>
      </c>
      <c r="R433" s="301">
        <v>0.0</v>
      </c>
      <c r="S433" s="301">
        <v>0.0</v>
      </c>
      <c r="T433" s="301">
        <v>0.0</v>
      </c>
      <c r="U433" s="301">
        <v>0.0</v>
      </c>
      <c r="V433" s="301">
        <v>0.0</v>
      </c>
      <c r="W433" s="301">
        <v>0.0</v>
      </c>
      <c r="X433" s="301">
        <v>0.0</v>
      </c>
      <c r="Y433" s="301">
        <v>0.0</v>
      </c>
      <c r="Z433" s="301">
        <v>0.0</v>
      </c>
      <c r="AA433" s="301">
        <v>0.0</v>
      </c>
      <c r="AB433" s="301">
        <v>0.0</v>
      </c>
      <c r="AC433" s="301">
        <v>0.0</v>
      </c>
      <c r="AD433" s="301">
        <v>0.0</v>
      </c>
      <c r="AE433" s="301">
        <v>0.0</v>
      </c>
      <c r="AF433" s="808">
        <v>0.0</v>
      </c>
      <c r="AG433" s="768">
        <f t="shared" si="146"/>
        <v>0</v>
      </c>
    </row>
    <row r="434">
      <c r="A434" s="897" t="s">
        <v>776</v>
      </c>
      <c r="B434" s="301">
        <v>0.0</v>
      </c>
      <c r="C434" s="301">
        <v>0.0</v>
      </c>
      <c r="D434" s="301">
        <v>0.0</v>
      </c>
      <c r="E434" s="301">
        <v>0.0</v>
      </c>
      <c r="F434" s="301">
        <v>0.0</v>
      </c>
      <c r="G434" s="301">
        <v>0.0</v>
      </c>
      <c r="H434" s="301">
        <v>0.0</v>
      </c>
      <c r="I434" s="301">
        <v>0.0</v>
      </c>
      <c r="J434" s="301">
        <v>0.0</v>
      </c>
      <c r="K434" s="301">
        <v>0.0</v>
      </c>
      <c r="L434" s="301">
        <v>0.0</v>
      </c>
      <c r="M434" s="301">
        <v>0.0</v>
      </c>
      <c r="N434" s="301">
        <v>0.0</v>
      </c>
      <c r="O434" s="301">
        <v>0.0</v>
      </c>
      <c r="P434" s="301">
        <v>0.0</v>
      </c>
      <c r="Q434" s="301">
        <v>0.0</v>
      </c>
      <c r="R434" s="301">
        <v>0.0</v>
      </c>
      <c r="S434" s="301">
        <v>0.0</v>
      </c>
      <c r="T434" s="301">
        <v>0.0</v>
      </c>
      <c r="U434" s="301">
        <v>0.0</v>
      </c>
      <c r="V434" s="301">
        <v>0.0</v>
      </c>
      <c r="W434" s="301">
        <v>0.0</v>
      </c>
      <c r="X434" s="301">
        <v>0.0</v>
      </c>
      <c r="Y434" s="301">
        <v>0.0</v>
      </c>
      <c r="Z434" s="301">
        <v>0.0</v>
      </c>
      <c r="AA434" s="301">
        <v>0.0</v>
      </c>
      <c r="AB434" s="301">
        <v>0.0</v>
      </c>
      <c r="AC434" s="301">
        <v>0.0</v>
      </c>
      <c r="AD434" s="301">
        <v>0.0</v>
      </c>
      <c r="AE434" s="301">
        <v>0.0</v>
      </c>
      <c r="AF434" s="808">
        <v>0.0</v>
      </c>
      <c r="AG434" s="768">
        <f t="shared" si="146"/>
        <v>0</v>
      </c>
    </row>
    <row r="435">
      <c r="A435" s="897" t="s">
        <v>777</v>
      </c>
      <c r="B435" s="301">
        <v>0.0</v>
      </c>
      <c r="C435" s="301">
        <v>0.0</v>
      </c>
      <c r="D435" s="301">
        <v>0.0</v>
      </c>
      <c r="E435" s="301">
        <v>0.0</v>
      </c>
      <c r="F435" s="301">
        <v>0.0</v>
      </c>
      <c r="G435" s="301">
        <v>0.0</v>
      </c>
      <c r="H435" s="301">
        <v>0.0</v>
      </c>
      <c r="I435" s="301">
        <v>0.0</v>
      </c>
      <c r="J435" s="301">
        <v>0.0</v>
      </c>
      <c r="K435" s="301">
        <v>0.0</v>
      </c>
      <c r="L435" s="301">
        <v>0.0</v>
      </c>
      <c r="M435" s="301">
        <v>0.0</v>
      </c>
      <c r="N435" s="301">
        <v>0.0</v>
      </c>
      <c r="O435" s="301">
        <v>0.0</v>
      </c>
      <c r="P435" s="301">
        <v>0.0</v>
      </c>
      <c r="Q435" s="301">
        <v>0.0</v>
      </c>
      <c r="R435" s="301">
        <v>0.0</v>
      </c>
      <c r="S435" s="301">
        <v>0.0</v>
      </c>
      <c r="T435" s="301">
        <v>0.0</v>
      </c>
      <c r="U435" s="301">
        <v>0.0</v>
      </c>
      <c r="V435" s="301">
        <v>0.0</v>
      </c>
      <c r="W435" s="301">
        <v>0.0</v>
      </c>
      <c r="X435" s="301">
        <v>0.0</v>
      </c>
      <c r="Y435" s="301">
        <v>0.0</v>
      </c>
      <c r="Z435" s="301">
        <v>0.0</v>
      </c>
      <c r="AA435" s="301">
        <v>0.0</v>
      </c>
      <c r="AB435" s="301">
        <v>0.0</v>
      </c>
      <c r="AC435" s="301">
        <v>0.0</v>
      </c>
      <c r="AD435" s="301">
        <v>0.0</v>
      </c>
      <c r="AE435" s="301">
        <v>0.0</v>
      </c>
      <c r="AF435" s="808">
        <v>0.0</v>
      </c>
      <c r="AG435" s="768">
        <f t="shared" si="146"/>
        <v>0</v>
      </c>
    </row>
    <row r="436">
      <c r="A436" s="897" t="s">
        <v>778</v>
      </c>
      <c r="B436" s="301">
        <v>0.0</v>
      </c>
      <c r="C436" s="301">
        <v>0.0</v>
      </c>
      <c r="D436" s="301">
        <v>0.0</v>
      </c>
      <c r="E436" s="301">
        <v>0.0</v>
      </c>
      <c r="F436" s="301">
        <v>0.0</v>
      </c>
      <c r="G436" s="301">
        <v>0.0</v>
      </c>
      <c r="H436" s="301">
        <v>0.0</v>
      </c>
      <c r="I436" s="301">
        <v>0.0</v>
      </c>
      <c r="J436" s="301">
        <v>0.0</v>
      </c>
      <c r="K436" s="301">
        <v>0.0</v>
      </c>
      <c r="L436" s="301">
        <v>0.0</v>
      </c>
      <c r="M436" s="301">
        <v>0.0</v>
      </c>
      <c r="N436" s="301">
        <v>0.0</v>
      </c>
      <c r="O436" s="301">
        <v>0.0</v>
      </c>
      <c r="P436" s="301">
        <v>0.0</v>
      </c>
      <c r="Q436" s="301">
        <v>0.0</v>
      </c>
      <c r="R436" s="301">
        <v>0.0</v>
      </c>
      <c r="S436" s="301">
        <v>0.0</v>
      </c>
      <c r="T436" s="301">
        <v>0.0</v>
      </c>
      <c r="U436" s="301">
        <v>0.0</v>
      </c>
      <c r="V436" s="301">
        <v>0.0</v>
      </c>
      <c r="W436" s="301">
        <v>0.0</v>
      </c>
      <c r="X436" s="301">
        <v>0.0</v>
      </c>
      <c r="Y436" s="301">
        <v>0.0</v>
      </c>
      <c r="Z436" s="301">
        <v>0.0</v>
      </c>
      <c r="AA436" s="301">
        <v>0.0</v>
      </c>
      <c r="AB436" s="301">
        <v>0.0</v>
      </c>
      <c r="AC436" s="301">
        <v>0.0</v>
      </c>
      <c r="AD436" s="301">
        <v>0.0</v>
      </c>
      <c r="AE436" s="301">
        <v>0.0</v>
      </c>
      <c r="AF436" s="808">
        <v>0.0</v>
      </c>
      <c r="AG436" s="768">
        <f t="shared" si="146"/>
        <v>0</v>
      </c>
    </row>
    <row r="437">
      <c r="A437" s="907" t="s">
        <v>779</v>
      </c>
      <c r="B437" s="365">
        <f t="shared" ref="B437:AF437" si="147">SUM(B432:B436)</f>
        <v>0</v>
      </c>
      <c r="C437" s="365">
        <f t="shared" si="147"/>
        <v>0</v>
      </c>
      <c r="D437" s="365">
        <f t="shared" si="147"/>
        <v>0</v>
      </c>
      <c r="E437" s="365">
        <f t="shared" si="147"/>
        <v>0</v>
      </c>
      <c r="F437" s="365">
        <f t="shared" si="147"/>
        <v>0</v>
      </c>
      <c r="G437" s="365">
        <f t="shared" si="147"/>
        <v>0</v>
      </c>
      <c r="H437" s="365">
        <f t="shared" si="147"/>
        <v>0</v>
      </c>
      <c r="I437" s="365">
        <f t="shared" si="147"/>
        <v>0</v>
      </c>
      <c r="J437" s="365">
        <f t="shared" si="147"/>
        <v>0</v>
      </c>
      <c r="K437" s="365">
        <f t="shared" si="147"/>
        <v>0</v>
      </c>
      <c r="L437" s="365">
        <f t="shared" si="147"/>
        <v>0</v>
      </c>
      <c r="M437" s="365">
        <f t="shared" si="147"/>
        <v>0</v>
      </c>
      <c r="N437" s="365">
        <f t="shared" si="147"/>
        <v>0</v>
      </c>
      <c r="O437" s="365">
        <f t="shared" si="147"/>
        <v>0</v>
      </c>
      <c r="P437" s="365">
        <f t="shared" si="147"/>
        <v>0</v>
      </c>
      <c r="Q437" s="365">
        <f t="shared" si="147"/>
        <v>0</v>
      </c>
      <c r="R437" s="365">
        <f t="shared" si="147"/>
        <v>0</v>
      </c>
      <c r="S437" s="365">
        <f t="shared" si="147"/>
        <v>0</v>
      </c>
      <c r="T437" s="365">
        <f t="shared" si="147"/>
        <v>0</v>
      </c>
      <c r="U437" s="365">
        <f t="shared" si="147"/>
        <v>0</v>
      </c>
      <c r="V437" s="365">
        <f t="shared" si="147"/>
        <v>0</v>
      </c>
      <c r="W437" s="365">
        <f t="shared" si="147"/>
        <v>0</v>
      </c>
      <c r="X437" s="365">
        <f t="shared" si="147"/>
        <v>0</v>
      </c>
      <c r="Y437" s="365">
        <f t="shared" si="147"/>
        <v>0</v>
      </c>
      <c r="Z437" s="365">
        <f t="shared" si="147"/>
        <v>0</v>
      </c>
      <c r="AA437" s="365">
        <f t="shared" si="147"/>
        <v>0</v>
      </c>
      <c r="AB437" s="365">
        <f t="shared" si="147"/>
        <v>0</v>
      </c>
      <c r="AC437" s="365">
        <f t="shared" si="147"/>
        <v>0</v>
      </c>
      <c r="AD437" s="365">
        <f t="shared" si="147"/>
        <v>0</v>
      </c>
      <c r="AE437" s="365">
        <f t="shared" si="147"/>
        <v>0</v>
      </c>
      <c r="AF437" s="365">
        <f t="shared" si="147"/>
        <v>0</v>
      </c>
      <c r="AG437" s="768">
        <f t="shared" si="146"/>
        <v>0</v>
      </c>
    </row>
    <row r="438">
      <c r="A438" s="835"/>
      <c r="AG438" s="11"/>
    </row>
    <row r="439">
      <c r="A439" s="897" t="s">
        <v>785</v>
      </c>
      <c r="B439" s="301">
        <v>0.0</v>
      </c>
      <c r="C439" s="301">
        <v>0.0</v>
      </c>
      <c r="D439" s="301">
        <v>0.0</v>
      </c>
      <c r="E439" s="877">
        <v>0.0</v>
      </c>
      <c r="F439" s="877">
        <v>0.0</v>
      </c>
      <c r="G439" s="877">
        <v>0.0</v>
      </c>
      <c r="H439" s="301">
        <v>0.0</v>
      </c>
      <c r="I439" s="301">
        <v>0.0</v>
      </c>
      <c r="J439" s="301">
        <v>0.0</v>
      </c>
      <c r="K439" s="301">
        <v>0.0</v>
      </c>
      <c r="L439" s="301">
        <v>0.0</v>
      </c>
      <c r="M439" s="301">
        <v>0.0</v>
      </c>
      <c r="N439" s="301">
        <v>0.0</v>
      </c>
      <c r="O439" s="301">
        <v>0.0</v>
      </c>
      <c r="P439" s="301">
        <v>0.0</v>
      </c>
      <c r="Q439" s="301">
        <v>0.0</v>
      </c>
      <c r="R439" s="301">
        <v>0.0</v>
      </c>
      <c r="S439" s="301">
        <v>0.0</v>
      </c>
      <c r="T439" s="301">
        <v>0.0</v>
      </c>
      <c r="U439" s="301"/>
      <c r="V439" s="301"/>
      <c r="W439" s="301"/>
      <c r="X439" s="877"/>
      <c r="Y439" s="877"/>
      <c r="Z439" s="877"/>
      <c r="AA439" s="877"/>
      <c r="AB439" s="877"/>
      <c r="AC439" s="877"/>
      <c r="AD439" s="877"/>
      <c r="AE439" s="923"/>
      <c r="AF439" s="923"/>
      <c r="AG439" s="11"/>
    </row>
    <row r="440">
      <c r="A440" s="900" t="s">
        <v>151</v>
      </c>
      <c r="B440" s="924"/>
      <c r="C440" s="924"/>
      <c r="D440" s="924"/>
      <c r="E440" s="924"/>
      <c r="F440" s="924"/>
      <c r="G440" s="924"/>
      <c r="H440" s="924"/>
      <c r="I440" s="924"/>
      <c r="J440" s="924"/>
      <c r="K440" s="924"/>
      <c r="L440" s="924"/>
      <c r="M440" s="924"/>
      <c r="N440" s="924"/>
      <c r="O440" s="924"/>
      <c r="P440" s="924"/>
      <c r="Q440" s="924"/>
      <c r="R440" s="924"/>
      <c r="S440" s="924"/>
      <c r="T440" s="924"/>
      <c r="U440" s="924"/>
      <c r="V440" s="924"/>
      <c r="W440" s="924"/>
      <c r="X440" s="924"/>
      <c r="Y440" s="924"/>
      <c r="Z440" s="924"/>
      <c r="AA440" s="924"/>
      <c r="AB440" s="924"/>
      <c r="AC440" s="924"/>
      <c r="AD440" s="924"/>
      <c r="AE440" s="924"/>
      <c r="AF440" s="924"/>
      <c r="AG440" s="11"/>
    </row>
    <row r="441">
      <c r="A441" s="835"/>
      <c r="AG441" s="11"/>
    </row>
    <row r="442">
      <c r="A442" s="925" t="s">
        <v>826</v>
      </c>
      <c r="B442" s="926">
        <f t="shared" ref="B442:AF442" si="148">B523</f>
        <v>0</v>
      </c>
      <c r="C442" s="926">
        <f t="shared" si="148"/>
        <v>0</v>
      </c>
      <c r="D442" s="926" t="str">
        <f t="shared" si="148"/>
        <v> </v>
      </c>
      <c r="E442" s="926">
        <f t="shared" si="148"/>
        <v>169.5</v>
      </c>
      <c r="F442" s="926">
        <f t="shared" si="148"/>
        <v>0</v>
      </c>
      <c r="G442" s="926">
        <f t="shared" si="148"/>
        <v>0</v>
      </c>
      <c r="H442" s="926">
        <f t="shared" si="148"/>
        <v>210.94</v>
      </c>
      <c r="I442" s="926">
        <f t="shared" si="148"/>
        <v>0</v>
      </c>
      <c r="J442" s="926">
        <f t="shared" si="148"/>
        <v>0</v>
      </c>
      <c r="K442" s="926">
        <f t="shared" si="148"/>
        <v>199</v>
      </c>
      <c r="L442" s="926">
        <f t="shared" si="148"/>
        <v>199</v>
      </c>
      <c r="M442" s="926">
        <f t="shared" si="148"/>
        <v>0</v>
      </c>
      <c r="N442" s="926">
        <f t="shared" si="148"/>
        <v>199</v>
      </c>
      <c r="O442" s="926">
        <f t="shared" si="148"/>
        <v>1466</v>
      </c>
      <c r="P442" s="926">
        <f t="shared" si="148"/>
        <v>0</v>
      </c>
      <c r="Q442" s="926">
        <f t="shared" si="148"/>
        <v>199</v>
      </c>
      <c r="R442" s="926">
        <f t="shared" si="148"/>
        <v>744.252</v>
      </c>
      <c r="S442" s="926">
        <f t="shared" si="148"/>
        <v>472.54</v>
      </c>
      <c r="T442" s="926">
        <f t="shared" si="148"/>
        <v>293</v>
      </c>
      <c r="U442" s="926" t="str">
        <f t="shared" si="148"/>
        <v/>
      </c>
      <c r="V442" s="926">
        <f t="shared" si="148"/>
        <v>0</v>
      </c>
      <c r="W442" s="926">
        <f t="shared" si="148"/>
        <v>0</v>
      </c>
      <c r="X442" s="926">
        <f t="shared" si="148"/>
        <v>0</v>
      </c>
      <c r="Y442" s="926">
        <f t="shared" si="148"/>
        <v>2549.9</v>
      </c>
      <c r="Z442" s="926">
        <f t="shared" si="148"/>
        <v>199</v>
      </c>
      <c r="AA442" s="926">
        <f t="shared" si="148"/>
        <v>11334.44</v>
      </c>
      <c r="AB442" s="926">
        <f t="shared" si="148"/>
        <v>4263</v>
      </c>
      <c r="AC442" s="926">
        <f t="shared" si="148"/>
        <v>17723.99</v>
      </c>
      <c r="AD442" s="926">
        <f t="shared" si="148"/>
        <v>7410.87</v>
      </c>
      <c r="AE442" s="926">
        <f t="shared" si="148"/>
        <v>7870.6</v>
      </c>
      <c r="AF442" s="926">
        <f t="shared" si="148"/>
        <v>3845.7</v>
      </c>
      <c r="AG442" s="11"/>
    </row>
    <row r="443">
      <c r="A443" s="925" t="s">
        <v>839</v>
      </c>
      <c r="B443" s="597">
        <f t="shared" ref="B443:I443" si="149">B522</f>
        <v>0</v>
      </c>
      <c r="C443" s="597">
        <f t="shared" si="149"/>
        <v>0</v>
      </c>
      <c r="D443" s="597">
        <f t="shared" si="149"/>
        <v>0</v>
      </c>
      <c r="E443" s="597">
        <f t="shared" si="149"/>
        <v>0</v>
      </c>
      <c r="F443" s="597">
        <f t="shared" si="149"/>
        <v>1447.4</v>
      </c>
      <c r="G443" s="597">
        <f t="shared" si="149"/>
        <v>950.7</v>
      </c>
      <c r="H443" s="597">
        <f t="shared" si="149"/>
        <v>0</v>
      </c>
      <c r="I443" s="446">
        <f t="shared" si="149"/>
        <v>0</v>
      </c>
      <c r="J443" s="1">
        <v>0.0</v>
      </c>
      <c r="K443" s="439">
        <v>1496.82</v>
      </c>
      <c r="L443" s="597">
        <f t="shared" ref="L443:AE443" si="150">L522</f>
        <v>220.94</v>
      </c>
      <c r="M443" s="597">
        <f t="shared" si="150"/>
        <v>0</v>
      </c>
      <c r="N443" s="597">
        <f t="shared" si="150"/>
        <v>0</v>
      </c>
      <c r="O443" s="597">
        <f t="shared" si="150"/>
        <v>0</v>
      </c>
      <c r="P443" s="597">
        <f t="shared" si="150"/>
        <v>0</v>
      </c>
      <c r="Q443" s="597">
        <f t="shared" si="150"/>
        <v>0</v>
      </c>
      <c r="R443" s="597">
        <f t="shared" si="150"/>
        <v>494.2</v>
      </c>
      <c r="S443" s="597">
        <f t="shared" si="150"/>
        <v>703.26</v>
      </c>
      <c r="T443" s="597">
        <f t="shared" si="150"/>
        <v>35.98</v>
      </c>
      <c r="U443" s="597" t="str">
        <f t="shared" si="150"/>
        <v/>
      </c>
      <c r="V443" s="597" t="str">
        <f t="shared" si="150"/>
        <v/>
      </c>
      <c r="W443" s="597" t="str">
        <f t="shared" si="150"/>
        <v/>
      </c>
      <c r="X443" s="597" t="str">
        <f t="shared" si="150"/>
        <v/>
      </c>
      <c r="Y443" s="597" t="str">
        <f t="shared" si="150"/>
        <v/>
      </c>
      <c r="Z443" s="597" t="str">
        <f t="shared" si="150"/>
        <v/>
      </c>
      <c r="AA443" s="597" t="str">
        <f t="shared" si="150"/>
        <v/>
      </c>
      <c r="AB443" s="597" t="str">
        <f t="shared" si="150"/>
        <v/>
      </c>
      <c r="AC443" s="597" t="str">
        <f t="shared" si="150"/>
        <v/>
      </c>
      <c r="AD443" s="597" t="str">
        <f t="shared" si="150"/>
        <v/>
      </c>
      <c r="AE443" s="597" t="str">
        <f t="shared" si="150"/>
        <v/>
      </c>
      <c r="AG443" s="11"/>
    </row>
    <row r="444">
      <c r="A444" s="925" t="s">
        <v>827</v>
      </c>
      <c r="B444" s="430">
        <f t="shared" ref="B444:AF444" si="151">B586</f>
        <v>0.2031134086</v>
      </c>
      <c r="C444" s="430">
        <f t="shared" si="151"/>
        <v>0.1804543006</v>
      </c>
      <c r="D444" s="430">
        <f t="shared" si="151"/>
        <v>0.07477667908</v>
      </c>
      <c r="E444" s="430">
        <f t="shared" si="151"/>
        <v>0.05104035916</v>
      </c>
      <c r="F444" s="430">
        <f t="shared" si="151"/>
        <v>0.01530252307</v>
      </c>
      <c r="G444" s="430">
        <f t="shared" si="151"/>
        <v>0.06982715195</v>
      </c>
      <c r="H444" s="430">
        <f t="shared" si="151"/>
        <v>0.07085446381</v>
      </c>
      <c r="I444" s="430">
        <f t="shared" si="151"/>
        <v>0.1361726019</v>
      </c>
      <c r="J444" s="430">
        <f t="shared" si="151"/>
        <v>0.0580660615</v>
      </c>
      <c r="K444" s="430">
        <f t="shared" si="151"/>
        <v>0.038912734</v>
      </c>
      <c r="L444" s="430">
        <f t="shared" si="151"/>
        <v>0.05001108876</v>
      </c>
      <c r="M444" s="430">
        <f t="shared" si="151"/>
        <v>0.1689982508</v>
      </c>
      <c r="N444" s="430">
        <f t="shared" si="151"/>
        <v>0.2582834596</v>
      </c>
      <c r="O444" s="430">
        <f t="shared" si="151"/>
        <v>0.1552386776</v>
      </c>
      <c r="P444" s="430">
        <f t="shared" si="151"/>
        <v>0.06176621091</v>
      </c>
      <c r="Q444" s="430">
        <f t="shared" si="151"/>
        <v>-0.00448672452</v>
      </c>
      <c r="R444" s="430">
        <f t="shared" si="151"/>
        <v>-0.1849939962</v>
      </c>
      <c r="S444" s="430">
        <f t="shared" si="151"/>
        <v>0.07107150725</v>
      </c>
      <c r="T444" s="430">
        <f t="shared" si="151"/>
        <v>-0.03696253179</v>
      </c>
      <c r="U444" s="430">
        <f t="shared" si="151"/>
        <v>0.04437184024</v>
      </c>
      <c r="V444" s="430">
        <f t="shared" si="151"/>
        <v>-0.02185640839</v>
      </c>
      <c r="W444" s="430">
        <f t="shared" si="151"/>
        <v>-0.04293797328</v>
      </c>
      <c r="X444" s="430">
        <f t="shared" si="151"/>
        <v>-0.1664110378</v>
      </c>
      <c r="Y444" s="430">
        <f t="shared" si="151"/>
        <v>-0.2009805317</v>
      </c>
      <c r="Z444" s="430">
        <f t="shared" si="151"/>
        <v>-0.03449641859</v>
      </c>
      <c r="AA444" s="430">
        <f t="shared" si="151"/>
        <v>-0.4256198824</v>
      </c>
      <c r="AB444" s="430">
        <f t="shared" si="151"/>
        <v>-0.06706643663</v>
      </c>
      <c r="AC444" s="430">
        <f t="shared" si="151"/>
        <v>-0.5480345961</v>
      </c>
      <c r="AD444" s="430">
        <f t="shared" si="151"/>
        <v>-0.203935093</v>
      </c>
      <c r="AE444" s="430">
        <f t="shared" si="151"/>
        <v>-0.1647088957</v>
      </c>
      <c r="AF444" s="430" t="str">
        <f t="shared" si="151"/>
        <v/>
      </c>
      <c r="AG444" s="11"/>
    </row>
    <row r="445">
      <c r="A445" s="835"/>
      <c r="AG445" s="11"/>
    </row>
    <row r="446">
      <c r="A446" s="648" t="s">
        <v>828</v>
      </c>
      <c r="B446" s="542"/>
      <c r="C446" s="542"/>
      <c r="D446" s="542"/>
      <c r="E446" s="542"/>
      <c r="F446" s="542"/>
      <c r="G446" s="542"/>
      <c r="H446" s="542"/>
      <c r="I446" s="327"/>
      <c r="J446" s="327"/>
      <c r="K446" s="327"/>
      <c r="L446" s="327"/>
      <c r="M446" s="327"/>
      <c r="N446" s="327"/>
      <c r="O446" s="327"/>
      <c r="P446" s="327"/>
      <c r="Q446" s="327"/>
      <c r="R446" s="327"/>
      <c r="S446" s="327"/>
      <c r="T446" s="327"/>
      <c r="U446" s="327"/>
      <c r="V446" s="327"/>
      <c r="W446" s="327"/>
      <c r="X446" s="327"/>
      <c r="Y446" s="327"/>
      <c r="Z446" s="327"/>
      <c r="AA446" s="327"/>
      <c r="AB446" s="327"/>
      <c r="AC446" s="327"/>
      <c r="AD446" s="327"/>
      <c r="AE446" s="327"/>
      <c r="AF446" s="327"/>
      <c r="AG446" s="11"/>
    </row>
    <row r="447">
      <c r="A447" s="927" t="s">
        <v>752</v>
      </c>
      <c r="B447" s="301">
        <f t="shared" ref="B447:AF447" si="152">B215-B288</f>
        <v>35</v>
      </c>
      <c r="C447" s="301">
        <f t="shared" si="152"/>
        <v>53</v>
      </c>
      <c r="D447" s="301">
        <f t="shared" si="152"/>
        <v>40</v>
      </c>
      <c r="E447" s="301">
        <f t="shared" si="152"/>
        <v>36</v>
      </c>
      <c r="F447" s="301">
        <f t="shared" si="152"/>
        <v>42</v>
      </c>
      <c r="G447" s="301">
        <f t="shared" si="152"/>
        <v>45</v>
      </c>
      <c r="H447" s="301">
        <f t="shared" si="152"/>
        <v>61</v>
      </c>
      <c r="I447" s="301">
        <f t="shared" si="152"/>
        <v>50</v>
      </c>
      <c r="J447" s="301">
        <f t="shared" si="152"/>
        <v>48</v>
      </c>
      <c r="K447" s="301">
        <f t="shared" si="152"/>
        <v>59</v>
      </c>
      <c r="L447" s="301">
        <f t="shared" si="152"/>
        <v>53</v>
      </c>
      <c r="M447" s="301">
        <f t="shared" si="152"/>
        <v>55</v>
      </c>
      <c r="N447" s="301">
        <f t="shared" si="152"/>
        <v>57</v>
      </c>
      <c r="O447" s="301">
        <f t="shared" si="152"/>
        <v>64</v>
      </c>
      <c r="P447" s="301">
        <f t="shared" si="152"/>
        <v>61</v>
      </c>
      <c r="Q447" s="301">
        <f t="shared" si="152"/>
        <v>68</v>
      </c>
      <c r="R447" s="301">
        <f t="shared" si="152"/>
        <v>27</v>
      </c>
      <c r="S447" s="301">
        <f t="shared" si="152"/>
        <v>57</v>
      </c>
      <c r="T447" s="301">
        <f t="shared" si="152"/>
        <v>43</v>
      </c>
      <c r="U447" s="301">
        <f t="shared" si="152"/>
        <v>44</v>
      </c>
      <c r="V447" s="301">
        <f t="shared" si="152"/>
        <v>45</v>
      </c>
      <c r="W447" s="301">
        <f t="shared" si="152"/>
        <v>29</v>
      </c>
      <c r="X447" s="301">
        <f t="shared" si="152"/>
        <v>26</v>
      </c>
      <c r="Y447" s="301">
        <f t="shared" si="152"/>
        <v>16</v>
      </c>
      <c r="Z447" s="301">
        <f t="shared" si="152"/>
        <v>23</v>
      </c>
      <c r="AA447" s="301">
        <f t="shared" si="152"/>
        <v>19</v>
      </c>
      <c r="AB447" s="301">
        <f t="shared" si="152"/>
        <v>33</v>
      </c>
      <c r="AC447" s="301">
        <f t="shared" si="152"/>
        <v>23</v>
      </c>
      <c r="AD447" s="301">
        <f t="shared" si="152"/>
        <v>17</v>
      </c>
      <c r="AE447" s="301">
        <f t="shared" si="152"/>
        <v>27</v>
      </c>
      <c r="AF447" s="301">
        <f t="shared" si="152"/>
        <v>20</v>
      </c>
      <c r="AG447" s="768">
        <f t="shared" ref="AG447:AG454" si="154">SUM(B447:AF447)</f>
        <v>1276</v>
      </c>
    </row>
    <row r="448">
      <c r="A448" s="927" t="s">
        <v>753</v>
      </c>
      <c r="B448" s="301">
        <f t="shared" ref="B448:AF448" si="153">B216-B289</f>
        <v>85</v>
      </c>
      <c r="C448" s="301">
        <f t="shared" si="153"/>
        <v>89</v>
      </c>
      <c r="D448" s="301">
        <f t="shared" si="153"/>
        <v>85</v>
      </c>
      <c r="E448" s="301">
        <f t="shared" si="153"/>
        <v>101</v>
      </c>
      <c r="F448" s="301">
        <f t="shared" si="153"/>
        <v>90</v>
      </c>
      <c r="G448" s="301">
        <f t="shared" si="153"/>
        <v>99</v>
      </c>
      <c r="H448" s="301">
        <f t="shared" si="153"/>
        <v>97</v>
      </c>
      <c r="I448" s="301">
        <f t="shared" si="153"/>
        <v>128</v>
      </c>
      <c r="J448" s="301">
        <f t="shared" si="153"/>
        <v>119</v>
      </c>
      <c r="K448" s="301">
        <f t="shared" si="153"/>
        <v>100</v>
      </c>
      <c r="L448" s="301">
        <f t="shared" si="153"/>
        <v>117</v>
      </c>
      <c r="M448" s="301">
        <f t="shared" si="153"/>
        <v>115</v>
      </c>
      <c r="N448" s="301">
        <f t="shared" si="153"/>
        <v>215</v>
      </c>
      <c r="O448" s="301">
        <f t="shared" si="153"/>
        <v>181</v>
      </c>
      <c r="P448" s="301">
        <f t="shared" si="153"/>
        <v>147</v>
      </c>
      <c r="Q448" s="301">
        <f t="shared" si="153"/>
        <v>136</v>
      </c>
      <c r="R448" s="301">
        <f t="shared" si="153"/>
        <v>82</v>
      </c>
      <c r="S448" s="301">
        <f t="shared" si="153"/>
        <v>143</v>
      </c>
      <c r="T448" s="301">
        <f t="shared" si="153"/>
        <v>103</v>
      </c>
      <c r="U448" s="301">
        <f t="shared" si="153"/>
        <v>116</v>
      </c>
      <c r="V448" s="301">
        <f t="shared" si="153"/>
        <v>98</v>
      </c>
      <c r="W448" s="301">
        <f t="shared" si="153"/>
        <v>109</v>
      </c>
      <c r="X448" s="301">
        <f t="shared" si="153"/>
        <v>92</v>
      </c>
      <c r="Y448" s="301">
        <f t="shared" si="153"/>
        <v>70</v>
      </c>
      <c r="Z448" s="301">
        <f t="shared" si="153"/>
        <v>74</v>
      </c>
      <c r="AA448" s="301">
        <f t="shared" si="153"/>
        <v>75</v>
      </c>
      <c r="AB448" s="301">
        <f t="shared" si="153"/>
        <v>79</v>
      </c>
      <c r="AC448" s="301">
        <f t="shared" si="153"/>
        <v>68</v>
      </c>
      <c r="AD448" s="301">
        <f t="shared" si="153"/>
        <v>75</v>
      </c>
      <c r="AE448" s="301">
        <f t="shared" si="153"/>
        <v>71</v>
      </c>
      <c r="AF448" s="301">
        <f t="shared" si="153"/>
        <v>83</v>
      </c>
      <c r="AG448" s="768">
        <f t="shared" si="154"/>
        <v>3242</v>
      </c>
    </row>
    <row r="449">
      <c r="A449" s="927" t="s">
        <v>754</v>
      </c>
      <c r="B449" s="301">
        <f t="shared" ref="B449:M449" si="155">B217-B290</f>
        <v>2</v>
      </c>
      <c r="C449" s="301">
        <f t="shared" si="155"/>
        <v>3</v>
      </c>
      <c r="D449" s="301">
        <f t="shared" si="155"/>
        <v>5</v>
      </c>
      <c r="E449" s="301">
        <f t="shared" si="155"/>
        <v>2</v>
      </c>
      <c r="F449" s="301">
        <f t="shared" si="155"/>
        <v>3</v>
      </c>
      <c r="G449" s="301">
        <f t="shared" si="155"/>
        <v>2</v>
      </c>
      <c r="H449" s="301">
        <f t="shared" si="155"/>
        <v>2</v>
      </c>
      <c r="I449" s="301">
        <f t="shared" si="155"/>
        <v>3</v>
      </c>
      <c r="J449" s="301">
        <f t="shared" si="155"/>
        <v>3</v>
      </c>
      <c r="K449" s="301">
        <f t="shared" si="155"/>
        <v>2</v>
      </c>
      <c r="L449" s="301">
        <f t="shared" si="155"/>
        <v>1</v>
      </c>
      <c r="M449" s="301">
        <f t="shared" si="155"/>
        <v>1</v>
      </c>
      <c r="N449" s="301">
        <f>N217-N288</f>
        <v>3</v>
      </c>
      <c r="O449" s="301">
        <f t="shared" ref="O449:AF449" si="156">O217-O290</f>
        <v>6</v>
      </c>
      <c r="P449" s="301">
        <f t="shared" si="156"/>
        <v>1</v>
      </c>
      <c r="Q449" s="301">
        <f t="shared" si="156"/>
        <v>4</v>
      </c>
      <c r="R449" s="301">
        <f t="shared" si="156"/>
        <v>1</v>
      </c>
      <c r="S449" s="301">
        <f t="shared" si="156"/>
        <v>0</v>
      </c>
      <c r="T449" s="301">
        <f t="shared" si="156"/>
        <v>0</v>
      </c>
      <c r="U449" s="301">
        <f t="shared" si="156"/>
        <v>3</v>
      </c>
      <c r="V449" s="301">
        <f t="shared" si="156"/>
        <v>3</v>
      </c>
      <c r="W449" s="301">
        <f t="shared" si="156"/>
        <v>0</v>
      </c>
      <c r="X449" s="301">
        <f t="shared" si="156"/>
        <v>1</v>
      </c>
      <c r="Y449" s="301">
        <f t="shared" si="156"/>
        <v>1</v>
      </c>
      <c r="Z449" s="301">
        <f t="shared" si="156"/>
        <v>1</v>
      </c>
      <c r="AA449" s="301">
        <f t="shared" si="156"/>
        <v>3</v>
      </c>
      <c r="AB449" s="301">
        <f t="shared" si="156"/>
        <v>2</v>
      </c>
      <c r="AC449" s="301">
        <f t="shared" si="156"/>
        <v>9</v>
      </c>
      <c r="AD449" s="301">
        <f t="shared" si="156"/>
        <v>0</v>
      </c>
      <c r="AE449" s="301">
        <f t="shared" si="156"/>
        <v>1</v>
      </c>
      <c r="AF449" s="301">
        <f t="shared" si="156"/>
        <v>1</v>
      </c>
      <c r="AG449" s="768">
        <f t="shared" si="154"/>
        <v>69</v>
      </c>
    </row>
    <row r="450">
      <c r="A450" s="927" t="s">
        <v>755</v>
      </c>
      <c r="B450" s="301">
        <f t="shared" ref="B450:AF450" si="157">B218-B291</f>
        <v>4</v>
      </c>
      <c r="C450" s="301">
        <f t="shared" si="157"/>
        <v>2</v>
      </c>
      <c r="D450" s="301">
        <f t="shared" si="157"/>
        <v>4</v>
      </c>
      <c r="E450" s="301">
        <f t="shared" si="157"/>
        <v>4</v>
      </c>
      <c r="F450" s="301">
        <f t="shared" si="157"/>
        <v>3</v>
      </c>
      <c r="G450" s="301">
        <f t="shared" si="157"/>
        <v>4</v>
      </c>
      <c r="H450" s="301">
        <f t="shared" si="157"/>
        <v>4</v>
      </c>
      <c r="I450" s="301">
        <f t="shared" si="157"/>
        <v>3</v>
      </c>
      <c r="J450" s="301">
        <f t="shared" si="157"/>
        <v>3</v>
      </c>
      <c r="K450" s="301">
        <f t="shared" si="157"/>
        <v>5</v>
      </c>
      <c r="L450" s="301">
        <f t="shared" si="157"/>
        <v>3</v>
      </c>
      <c r="M450" s="301">
        <f t="shared" si="157"/>
        <v>7</v>
      </c>
      <c r="N450" s="301">
        <f t="shared" si="157"/>
        <v>5</v>
      </c>
      <c r="O450" s="301">
        <f t="shared" si="157"/>
        <v>6</v>
      </c>
      <c r="P450" s="301">
        <f t="shared" si="157"/>
        <v>5</v>
      </c>
      <c r="Q450" s="301">
        <f t="shared" si="157"/>
        <v>7</v>
      </c>
      <c r="R450" s="301">
        <f t="shared" si="157"/>
        <v>2</v>
      </c>
      <c r="S450" s="301">
        <f t="shared" si="157"/>
        <v>5</v>
      </c>
      <c r="T450" s="301">
        <f t="shared" si="157"/>
        <v>2</v>
      </c>
      <c r="U450" s="301">
        <f t="shared" si="157"/>
        <v>5</v>
      </c>
      <c r="V450" s="301">
        <f t="shared" si="157"/>
        <v>3</v>
      </c>
      <c r="W450" s="301">
        <f t="shared" si="157"/>
        <v>3</v>
      </c>
      <c r="X450" s="301">
        <f t="shared" si="157"/>
        <v>3</v>
      </c>
      <c r="Y450" s="301">
        <f t="shared" si="157"/>
        <v>4</v>
      </c>
      <c r="Z450" s="301">
        <f t="shared" si="157"/>
        <v>5</v>
      </c>
      <c r="AA450" s="301">
        <f t="shared" si="157"/>
        <v>1</v>
      </c>
      <c r="AB450" s="301">
        <f t="shared" si="157"/>
        <v>3</v>
      </c>
      <c r="AC450" s="301">
        <f t="shared" si="157"/>
        <v>4</v>
      </c>
      <c r="AD450" s="301">
        <f t="shared" si="157"/>
        <v>5</v>
      </c>
      <c r="AE450" s="301">
        <f t="shared" si="157"/>
        <v>1</v>
      </c>
      <c r="AF450" s="301">
        <f t="shared" si="157"/>
        <v>4</v>
      </c>
      <c r="AG450" s="768">
        <f t="shared" si="154"/>
        <v>119</v>
      </c>
    </row>
    <row r="451">
      <c r="A451" s="927" t="s">
        <v>756</v>
      </c>
      <c r="B451" s="823">
        <f t="shared" ref="B451:AF451" si="158">B219-B292</f>
        <v>0</v>
      </c>
      <c r="C451" s="823">
        <f t="shared" si="158"/>
        <v>0</v>
      </c>
      <c r="D451" s="823">
        <f t="shared" si="158"/>
        <v>0</v>
      </c>
      <c r="E451" s="823">
        <f t="shared" si="158"/>
        <v>0</v>
      </c>
      <c r="F451" s="823">
        <f t="shared" si="158"/>
        <v>0</v>
      </c>
      <c r="G451" s="823">
        <f t="shared" si="158"/>
        <v>0</v>
      </c>
      <c r="H451" s="823">
        <f t="shared" si="158"/>
        <v>0</v>
      </c>
      <c r="I451" s="823">
        <f t="shared" si="158"/>
        <v>0</v>
      </c>
      <c r="J451" s="823">
        <f t="shared" si="158"/>
        <v>0</v>
      </c>
      <c r="K451" s="823">
        <f t="shared" si="158"/>
        <v>0</v>
      </c>
      <c r="L451" s="823">
        <f t="shared" si="158"/>
        <v>0</v>
      </c>
      <c r="M451" s="823">
        <f t="shared" si="158"/>
        <v>0</v>
      </c>
      <c r="N451" s="823">
        <f t="shared" si="158"/>
        <v>0</v>
      </c>
      <c r="O451" s="823">
        <f t="shared" si="158"/>
        <v>0</v>
      </c>
      <c r="P451" s="823">
        <f t="shared" si="158"/>
        <v>0</v>
      </c>
      <c r="Q451" s="823">
        <f t="shared" si="158"/>
        <v>0</v>
      </c>
      <c r="R451" s="823">
        <f t="shared" si="158"/>
        <v>0</v>
      </c>
      <c r="S451" s="823">
        <f t="shared" si="158"/>
        <v>0</v>
      </c>
      <c r="T451" s="823">
        <f t="shared" si="158"/>
        <v>0</v>
      </c>
      <c r="U451" s="823">
        <f t="shared" si="158"/>
        <v>0</v>
      </c>
      <c r="V451" s="823">
        <f t="shared" si="158"/>
        <v>0</v>
      </c>
      <c r="W451" s="823">
        <f t="shared" si="158"/>
        <v>0</v>
      </c>
      <c r="X451" s="823">
        <f t="shared" si="158"/>
        <v>0</v>
      </c>
      <c r="Y451" s="823">
        <f t="shared" si="158"/>
        <v>0</v>
      </c>
      <c r="Z451" s="823">
        <f t="shared" si="158"/>
        <v>0</v>
      </c>
      <c r="AA451" s="823">
        <f t="shared" si="158"/>
        <v>0</v>
      </c>
      <c r="AB451" s="823">
        <f t="shared" si="158"/>
        <v>0</v>
      </c>
      <c r="AC451" s="823">
        <f t="shared" si="158"/>
        <v>0</v>
      </c>
      <c r="AD451" s="823">
        <f t="shared" si="158"/>
        <v>0</v>
      </c>
      <c r="AE451" s="823">
        <f t="shared" si="158"/>
        <v>0</v>
      </c>
      <c r="AF451" s="823">
        <f t="shared" si="158"/>
        <v>0</v>
      </c>
      <c r="AG451" s="768">
        <f t="shared" si="154"/>
        <v>0</v>
      </c>
    </row>
    <row r="452">
      <c r="A452" s="927" t="s">
        <v>757</v>
      </c>
      <c r="B452" s="823">
        <f t="shared" ref="B452:AF452" si="159">B220-B293</f>
        <v>0</v>
      </c>
      <c r="C452" s="823">
        <f t="shared" si="159"/>
        <v>1</v>
      </c>
      <c r="D452" s="823">
        <f t="shared" si="159"/>
        <v>0</v>
      </c>
      <c r="E452" s="823">
        <f t="shared" si="159"/>
        <v>0</v>
      </c>
      <c r="F452" s="823">
        <f t="shared" si="159"/>
        <v>0</v>
      </c>
      <c r="G452" s="823">
        <f t="shared" si="159"/>
        <v>0</v>
      </c>
      <c r="H452" s="823">
        <f t="shared" si="159"/>
        <v>0</v>
      </c>
      <c r="I452" s="823">
        <f t="shared" si="159"/>
        <v>0</v>
      </c>
      <c r="J452" s="823">
        <f t="shared" si="159"/>
        <v>0</v>
      </c>
      <c r="K452" s="823">
        <f t="shared" si="159"/>
        <v>0</v>
      </c>
      <c r="L452" s="823">
        <f t="shared" si="159"/>
        <v>0</v>
      </c>
      <c r="M452" s="823">
        <f t="shared" si="159"/>
        <v>0</v>
      </c>
      <c r="N452" s="823">
        <f t="shared" si="159"/>
        <v>0</v>
      </c>
      <c r="O452" s="823">
        <f t="shared" si="159"/>
        <v>0</v>
      </c>
      <c r="P452" s="823">
        <f t="shared" si="159"/>
        <v>0</v>
      </c>
      <c r="Q452" s="823">
        <f t="shared" si="159"/>
        <v>0</v>
      </c>
      <c r="R452" s="823">
        <f t="shared" si="159"/>
        <v>0</v>
      </c>
      <c r="S452" s="823">
        <f t="shared" si="159"/>
        <v>0</v>
      </c>
      <c r="T452" s="823">
        <f t="shared" si="159"/>
        <v>0</v>
      </c>
      <c r="U452" s="823">
        <f t="shared" si="159"/>
        <v>0</v>
      </c>
      <c r="V452" s="823">
        <f t="shared" si="159"/>
        <v>0</v>
      </c>
      <c r="W452" s="823">
        <f t="shared" si="159"/>
        <v>0</v>
      </c>
      <c r="X452" s="823">
        <f t="shared" si="159"/>
        <v>0</v>
      </c>
      <c r="Y452" s="823">
        <f t="shared" si="159"/>
        <v>0</v>
      </c>
      <c r="Z452" s="823">
        <f t="shared" si="159"/>
        <v>0</v>
      </c>
      <c r="AA452" s="823">
        <f t="shared" si="159"/>
        <v>0</v>
      </c>
      <c r="AB452" s="823">
        <f t="shared" si="159"/>
        <v>0</v>
      </c>
      <c r="AC452" s="823">
        <f t="shared" si="159"/>
        <v>0</v>
      </c>
      <c r="AD452" s="823">
        <f t="shared" si="159"/>
        <v>0</v>
      </c>
      <c r="AE452" s="823">
        <f t="shared" si="159"/>
        <v>0</v>
      </c>
      <c r="AF452" s="823">
        <f t="shared" si="159"/>
        <v>0</v>
      </c>
      <c r="AG452" s="768">
        <f t="shared" si="154"/>
        <v>1</v>
      </c>
    </row>
    <row r="453">
      <c r="A453" s="928" t="s">
        <v>725</v>
      </c>
      <c r="B453" s="929">
        <f t="shared" ref="B453:AF453" si="160">B447+B449+B451</f>
        <v>37</v>
      </c>
      <c r="C453" s="929">
        <f t="shared" si="160"/>
        <v>56</v>
      </c>
      <c r="D453" s="929">
        <f t="shared" si="160"/>
        <v>45</v>
      </c>
      <c r="E453" s="929">
        <f t="shared" si="160"/>
        <v>38</v>
      </c>
      <c r="F453" s="929">
        <f t="shared" si="160"/>
        <v>45</v>
      </c>
      <c r="G453" s="929">
        <f t="shared" si="160"/>
        <v>47</v>
      </c>
      <c r="H453" s="929">
        <f t="shared" si="160"/>
        <v>63</v>
      </c>
      <c r="I453" s="929">
        <f t="shared" si="160"/>
        <v>53</v>
      </c>
      <c r="J453" s="929">
        <f t="shared" si="160"/>
        <v>51</v>
      </c>
      <c r="K453" s="929">
        <f t="shared" si="160"/>
        <v>61</v>
      </c>
      <c r="L453" s="929">
        <f t="shared" si="160"/>
        <v>54</v>
      </c>
      <c r="M453" s="929">
        <f t="shared" si="160"/>
        <v>56</v>
      </c>
      <c r="N453" s="929">
        <f t="shared" si="160"/>
        <v>60</v>
      </c>
      <c r="O453" s="929">
        <f t="shared" si="160"/>
        <v>70</v>
      </c>
      <c r="P453" s="929">
        <f t="shared" si="160"/>
        <v>62</v>
      </c>
      <c r="Q453" s="929">
        <f t="shared" si="160"/>
        <v>72</v>
      </c>
      <c r="R453" s="929">
        <f t="shared" si="160"/>
        <v>28</v>
      </c>
      <c r="S453" s="929">
        <f t="shared" si="160"/>
        <v>57</v>
      </c>
      <c r="T453" s="929">
        <f t="shared" si="160"/>
        <v>43</v>
      </c>
      <c r="U453" s="929">
        <f t="shared" si="160"/>
        <v>47</v>
      </c>
      <c r="V453" s="929">
        <f t="shared" si="160"/>
        <v>48</v>
      </c>
      <c r="W453" s="929">
        <f t="shared" si="160"/>
        <v>29</v>
      </c>
      <c r="X453" s="929">
        <f t="shared" si="160"/>
        <v>27</v>
      </c>
      <c r="Y453" s="929">
        <f t="shared" si="160"/>
        <v>17</v>
      </c>
      <c r="Z453" s="929">
        <f t="shared" si="160"/>
        <v>24</v>
      </c>
      <c r="AA453" s="929">
        <f t="shared" si="160"/>
        <v>22</v>
      </c>
      <c r="AB453" s="929">
        <f t="shared" si="160"/>
        <v>35</v>
      </c>
      <c r="AC453" s="929">
        <f t="shared" si="160"/>
        <v>32</v>
      </c>
      <c r="AD453" s="929">
        <f t="shared" si="160"/>
        <v>17</v>
      </c>
      <c r="AE453" s="929">
        <f t="shared" si="160"/>
        <v>28</v>
      </c>
      <c r="AF453" s="929">
        <f t="shared" si="160"/>
        <v>21</v>
      </c>
      <c r="AG453" s="768">
        <f t="shared" si="154"/>
        <v>1345</v>
      </c>
    </row>
    <row r="454">
      <c r="A454" s="928" t="s">
        <v>781</v>
      </c>
      <c r="B454" s="929">
        <f t="shared" ref="B454:AF454" si="161">B448+B450+B452</f>
        <v>89</v>
      </c>
      <c r="C454" s="929">
        <f t="shared" si="161"/>
        <v>92</v>
      </c>
      <c r="D454" s="929">
        <f t="shared" si="161"/>
        <v>89</v>
      </c>
      <c r="E454" s="929">
        <f t="shared" si="161"/>
        <v>105</v>
      </c>
      <c r="F454" s="929">
        <f t="shared" si="161"/>
        <v>93</v>
      </c>
      <c r="G454" s="929">
        <f t="shared" si="161"/>
        <v>103</v>
      </c>
      <c r="H454" s="929">
        <f t="shared" si="161"/>
        <v>101</v>
      </c>
      <c r="I454" s="929">
        <f t="shared" si="161"/>
        <v>131</v>
      </c>
      <c r="J454" s="929">
        <f t="shared" si="161"/>
        <v>122</v>
      </c>
      <c r="K454" s="929">
        <f t="shared" si="161"/>
        <v>105</v>
      </c>
      <c r="L454" s="929">
        <f t="shared" si="161"/>
        <v>120</v>
      </c>
      <c r="M454" s="929">
        <f t="shared" si="161"/>
        <v>122</v>
      </c>
      <c r="N454" s="929">
        <f t="shared" si="161"/>
        <v>220</v>
      </c>
      <c r="O454" s="929">
        <f t="shared" si="161"/>
        <v>187</v>
      </c>
      <c r="P454" s="929">
        <f t="shared" si="161"/>
        <v>152</v>
      </c>
      <c r="Q454" s="929">
        <f t="shared" si="161"/>
        <v>143</v>
      </c>
      <c r="R454" s="929">
        <f t="shared" si="161"/>
        <v>84</v>
      </c>
      <c r="S454" s="929">
        <f t="shared" si="161"/>
        <v>148</v>
      </c>
      <c r="T454" s="929">
        <f t="shared" si="161"/>
        <v>105</v>
      </c>
      <c r="U454" s="929">
        <f t="shared" si="161"/>
        <v>121</v>
      </c>
      <c r="V454" s="929">
        <f t="shared" si="161"/>
        <v>101</v>
      </c>
      <c r="W454" s="929">
        <f t="shared" si="161"/>
        <v>112</v>
      </c>
      <c r="X454" s="929">
        <f t="shared" si="161"/>
        <v>95</v>
      </c>
      <c r="Y454" s="929">
        <f t="shared" si="161"/>
        <v>74</v>
      </c>
      <c r="Z454" s="929">
        <f t="shared" si="161"/>
        <v>79</v>
      </c>
      <c r="AA454" s="929">
        <f t="shared" si="161"/>
        <v>76</v>
      </c>
      <c r="AB454" s="929">
        <f t="shared" si="161"/>
        <v>82</v>
      </c>
      <c r="AC454" s="929">
        <f t="shared" si="161"/>
        <v>72</v>
      </c>
      <c r="AD454" s="929">
        <f t="shared" si="161"/>
        <v>80</v>
      </c>
      <c r="AE454" s="929">
        <f t="shared" si="161"/>
        <v>72</v>
      </c>
      <c r="AF454" s="929">
        <f t="shared" si="161"/>
        <v>87</v>
      </c>
      <c r="AG454" s="768">
        <f t="shared" si="154"/>
        <v>3362</v>
      </c>
    </row>
    <row r="455">
      <c r="A455" s="42"/>
      <c r="B455" s="542"/>
      <c r="C455" s="542"/>
      <c r="D455" s="542"/>
      <c r="E455" s="542"/>
      <c r="F455" s="542"/>
      <c r="G455" s="542"/>
      <c r="H455" s="542"/>
      <c r="I455" s="542"/>
      <c r="J455" s="542"/>
      <c r="K455" s="542"/>
      <c r="L455" s="542"/>
      <c r="M455" s="542"/>
      <c r="N455" s="542"/>
      <c r="O455" s="542"/>
      <c r="P455" s="542"/>
      <c r="Q455" s="542"/>
      <c r="R455" s="542"/>
      <c r="S455" s="542"/>
      <c r="T455" s="542"/>
      <c r="U455" s="542"/>
      <c r="V455" s="542"/>
      <c r="W455" s="542"/>
      <c r="X455" s="542"/>
      <c r="Y455" s="542"/>
      <c r="Z455" s="542"/>
      <c r="AA455" s="542"/>
      <c r="AB455" s="542"/>
      <c r="AC455" s="542"/>
      <c r="AD455" s="542"/>
      <c r="AE455" s="542"/>
      <c r="AF455" s="542"/>
      <c r="AG455" s="768"/>
    </row>
    <row r="456">
      <c r="A456" s="927" t="s">
        <v>760</v>
      </c>
      <c r="B456" s="301">
        <f t="shared" ref="B456:AF456" si="162">B224-B297</f>
        <v>47</v>
      </c>
      <c r="C456" s="301">
        <f t="shared" si="162"/>
        <v>51</v>
      </c>
      <c r="D456" s="301">
        <f t="shared" si="162"/>
        <v>31</v>
      </c>
      <c r="E456" s="301">
        <f t="shared" si="162"/>
        <v>36</v>
      </c>
      <c r="F456" s="301">
        <f t="shared" si="162"/>
        <v>38</v>
      </c>
      <c r="G456" s="301">
        <f t="shared" si="162"/>
        <v>35</v>
      </c>
      <c r="H456" s="301">
        <f t="shared" si="162"/>
        <v>48</v>
      </c>
      <c r="I456" s="301">
        <f t="shared" si="162"/>
        <v>66</v>
      </c>
      <c r="J456" s="301">
        <f t="shared" si="162"/>
        <v>71</v>
      </c>
      <c r="K456" s="301">
        <f t="shared" si="162"/>
        <v>58</v>
      </c>
      <c r="L456" s="301">
        <f t="shared" si="162"/>
        <v>53</v>
      </c>
      <c r="M456" s="301">
        <f t="shared" si="162"/>
        <v>39</v>
      </c>
      <c r="N456" s="301">
        <f t="shared" si="162"/>
        <v>81</v>
      </c>
      <c r="O456" s="301">
        <f t="shared" si="162"/>
        <v>58</v>
      </c>
      <c r="P456" s="301">
        <f t="shared" si="162"/>
        <v>83</v>
      </c>
      <c r="Q456" s="301">
        <f t="shared" si="162"/>
        <v>72</v>
      </c>
      <c r="R456" s="301">
        <f t="shared" si="162"/>
        <v>31</v>
      </c>
      <c r="S456" s="301">
        <f t="shared" si="162"/>
        <v>72</v>
      </c>
      <c r="T456" s="301">
        <f t="shared" si="162"/>
        <v>44</v>
      </c>
      <c r="U456" s="301">
        <f t="shared" si="162"/>
        <v>53</v>
      </c>
      <c r="V456" s="301">
        <f t="shared" si="162"/>
        <v>42</v>
      </c>
      <c r="W456" s="301">
        <f t="shared" si="162"/>
        <v>53</v>
      </c>
      <c r="X456" s="301">
        <f t="shared" si="162"/>
        <v>54</v>
      </c>
      <c r="Y456" s="301">
        <f t="shared" si="162"/>
        <v>33</v>
      </c>
      <c r="Z456" s="301">
        <f t="shared" si="162"/>
        <v>35</v>
      </c>
      <c r="AA456" s="301">
        <f t="shared" si="162"/>
        <v>20</v>
      </c>
      <c r="AB456" s="301">
        <f t="shared" si="162"/>
        <v>37</v>
      </c>
      <c r="AC456" s="301">
        <f t="shared" si="162"/>
        <v>24</v>
      </c>
      <c r="AD456" s="301">
        <f t="shared" si="162"/>
        <v>34</v>
      </c>
      <c r="AE456" s="301">
        <f t="shared" si="162"/>
        <v>32</v>
      </c>
      <c r="AF456" s="301">
        <f t="shared" si="162"/>
        <v>28</v>
      </c>
      <c r="AG456" s="768">
        <f t="shared" ref="AG456:AG461" si="164">SUM(B456:AF456)</f>
        <v>1459</v>
      </c>
    </row>
    <row r="457">
      <c r="A457" s="927" t="s">
        <v>761</v>
      </c>
      <c r="B457" s="301">
        <f t="shared" ref="B457:AF457" si="163">B225-B298</f>
        <v>0</v>
      </c>
      <c r="C457" s="301">
        <f t="shared" si="163"/>
        <v>0</v>
      </c>
      <c r="D457" s="301">
        <f t="shared" si="163"/>
        <v>0</v>
      </c>
      <c r="E457" s="301">
        <f t="shared" si="163"/>
        <v>0</v>
      </c>
      <c r="F457" s="301">
        <f t="shared" si="163"/>
        <v>0</v>
      </c>
      <c r="G457" s="301">
        <f t="shared" si="163"/>
        <v>0</v>
      </c>
      <c r="H457" s="301">
        <f t="shared" si="163"/>
        <v>0</v>
      </c>
      <c r="I457" s="301">
        <f t="shared" si="163"/>
        <v>0</v>
      </c>
      <c r="J457" s="301">
        <f t="shared" si="163"/>
        <v>0</v>
      </c>
      <c r="K457" s="301">
        <f t="shared" si="163"/>
        <v>0</v>
      </c>
      <c r="L457" s="301">
        <f t="shared" si="163"/>
        <v>0</v>
      </c>
      <c r="M457" s="301">
        <f t="shared" si="163"/>
        <v>0</v>
      </c>
      <c r="N457" s="301">
        <f t="shared" si="163"/>
        <v>0</v>
      </c>
      <c r="O457" s="301">
        <f t="shared" si="163"/>
        <v>0</v>
      </c>
      <c r="P457" s="301">
        <f t="shared" si="163"/>
        <v>0</v>
      </c>
      <c r="Q457" s="301">
        <f t="shared" si="163"/>
        <v>0</v>
      </c>
      <c r="R457" s="301">
        <f t="shared" si="163"/>
        <v>0</v>
      </c>
      <c r="S457" s="301">
        <f t="shared" si="163"/>
        <v>0</v>
      </c>
      <c r="T457" s="301">
        <f t="shared" si="163"/>
        <v>0</v>
      </c>
      <c r="U457" s="301">
        <f t="shared" si="163"/>
        <v>0</v>
      </c>
      <c r="V457" s="301">
        <f t="shared" si="163"/>
        <v>0</v>
      </c>
      <c r="W457" s="301">
        <f t="shared" si="163"/>
        <v>0</v>
      </c>
      <c r="X457" s="301">
        <f t="shared" si="163"/>
        <v>0</v>
      </c>
      <c r="Y457" s="301">
        <f t="shared" si="163"/>
        <v>0</v>
      </c>
      <c r="Z457" s="301">
        <f t="shared" si="163"/>
        <v>0</v>
      </c>
      <c r="AA457" s="301">
        <f t="shared" si="163"/>
        <v>0</v>
      </c>
      <c r="AB457" s="301">
        <f t="shared" si="163"/>
        <v>0</v>
      </c>
      <c r="AC457" s="301">
        <f t="shared" si="163"/>
        <v>0</v>
      </c>
      <c r="AD457" s="301">
        <f t="shared" si="163"/>
        <v>-1</v>
      </c>
      <c r="AE457" s="301">
        <f t="shared" si="163"/>
        <v>-1</v>
      </c>
      <c r="AF457" s="301">
        <f t="shared" si="163"/>
        <v>0</v>
      </c>
      <c r="AG457" s="768">
        <f t="shared" si="164"/>
        <v>-2</v>
      </c>
    </row>
    <row r="458">
      <c r="A458" s="927" t="s">
        <v>762</v>
      </c>
      <c r="B458" s="301">
        <f t="shared" ref="B458:AF458" si="165">B226-B299</f>
        <v>22</v>
      </c>
      <c r="C458" s="301">
        <f t="shared" si="165"/>
        <v>37</v>
      </c>
      <c r="D458" s="301">
        <f t="shared" si="165"/>
        <v>21</v>
      </c>
      <c r="E458" s="301">
        <f t="shared" si="165"/>
        <v>26</v>
      </c>
      <c r="F458" s="301">
        <f t="shared" si="165"/>
        <v>22</v>
      </c>
      <c r="G458" s="301">
        <f t="shared" si="165"/>
        <v>14</v>
      </c>
      <c r="H458" s="301">
        <f t="shared" si="165"/>
        <v>16</v>
      </c>
      <c r="I458" s="301">
        <f t="shared" si="165"/>
        <v>29</v>
      </c>
      <c r="J458" s="301">
        <f t="shared" si="165"/>
        <v>25</v>
      </c>
      <c r="K458" s="301">
        <f t="shared" si="165"/>
        <v>26</v>
      </c>
      <c r="L458" s="301">
        <f t="shared" si="165"/>
        <v>22</v>
      </c>
      <c r="M458" s="301">
        <f t="shared" si="165"/>
        <v>24</v>
      </c>
      <c r="N458" s="301">
        <f t="shared" si="165"/>
        <v>47</v>
      </c>
      <c r="O458" s="301">
        <f t="shared" si="165"/>
        <v>37</v>
      </c>
      <c r="P458" s="301">
        <f t="shared" si="165"/>
        <v>36</v>
      </c>
      <c r="Q458" s="301">
        <f t="shared" si="165"/>
        <v>35</v>
      </c>
      <c r="R458" s="301">
        <f t="shared" si="165"/>
        <v>23</v>
      </c>
      <c r="S458" s="301">
        <f t="shared" si="165"/>
        <v>33</v>
      </c>
      <c r="T458" s="301">
        <f t="shared" si="165"/>
        <v>32</v>
      </c>
      <c r="U458" s="301">
        <f t="shared" si="165"/>
        <v>31</v>
      </c>
      <c r="V458" s="301">
        <f t="shared" si="165"/>
        <v>23</v>
      </c>
      <c r="W458" s="301">
        <f t="shared" si="165"/>
        <v>26</v>
      </c>
      <c r="X458" s="301">
        <f t="shared" si="165"/>
        <v>23</v>
      </c>
      <c r="Y458" s="301">
        <f t="shared" si="165"/>
        <v>22</v>
      </c>
      <c r="Z458" s="301">
        <f t="shared" si="165"/>
        <v>15</v>
      </c>
      <c r="AA458" s="301">
        <f t="shared" si="165"/>
        <v>17</v>
      </c>
      <c r="AB458" s="301">
        <f t="shared" si="165"/>
        <v>14</v>
      </c>
      <c r="AC458" s="301">
        <f t="shared" si="165"/>
        <v>14</v>
      </c>
      <c r="AD458" s="301">
        <f t="shared" si="165"/>
        <v>15</v>
      </c>
      <c r="AE458" s="301">
        <f t="shared" si="165"/>
        <v>22</v>
      </c>
      <c r="AF458" s="301">
        <f t="shared" si="165"/>
        <v>13</v>
      </c>
      <c r="AG458" s="768">
        <f t="shared" si="164"/>
        <v>762</v>
      </c>
    </row>
    <row r="459">
      <c r="A459" s="927" t="s">
        <v>763</v>
      </c>
      <c r="B459" s="301">
        <f t="shared" ref="B459:AF459" si="166">B227-B300</f>
        <v>31</v>
      </c>
      <c r="C459" s="301">
        <f t="shared" si="166"/>
        <v>41</v>
      </c>
      <c r="D459" s="301">
        <f t="shared" si="166"/>
        <v>22</v>
      </c>
      <c r="E459" s="301">
        <f t="shared" si="166"/>
        <v>31</v>
      </c>
      <c r="F459" s="301">
        <f t="shared" si="166"/>
        <v>18</v>
      </c>
      <c r="G459" s="301">
        <f t="shared" si="166"/>
        <v>23</v>
      </c>
      <c r="H459" s="301">
        <f t="shared" si="166"/>
        <v>18</v>
      </c>
      <c r="I459" s="301">
        <f t="shared" si="166"/>
        <v>36</v>
      </c>
      <c r="J459" s="301">
        <f t="shared" si="166"/>
        <v>38</v>
      </c>
      <c r="K459" s="301">
        <f t="shared" si="166"/>
        <v>33</v>
      </c>
      <c r="L459" s="301">
        <f t="shared" si="166"/>
        <v>23</v>
      </c>
      <c r="M459" s="301">
        <f t="shared" si="166"/>
        <v>22</v>
      </c>
      <c r="N459" s="301">
        <f t="shared" si="166"/>
        <v>55</v>
      </c>
      <c r="O459" s="301">
        <f t="shared" si="166"/>
        <v>46</v>
      </c>
      <c r="P459" s="301">
        <f t="shared" si="166"/>
        <v>45</v>
      </c>
      <c r="Q459" s="301">
        <f t="shared" si="166"/>
        <v>33</v>
      </c>
      <c r="R459" s="301">
        <f t="shared" si="166"/>
        <v>17</v>
      </c>
      <c r="S459" s="301">
        <f t="shared" si="166"/>
        <v>32</v>
      </c>
      <c r="T459" s="301">
        <f t="shared" si="166"/>
        <v>30</v>
      </c>
      <c r="U459" s="301">
        <f t="shared" si="166"/>
        <v>32</v>
      </c>
      <c r="V459" s="301">
        <f t="shared" si="166"/>
        <v>32</v>
      </c>
      <c r="W459" s="301">
        <f t="shared" si="166"/>
        <v>27</v>
      </c>
      <c r="X459" s="301">
        <f t="shared" si="166"/>
        <v>35</v>
      </c>
      <c r="Y459" s="301">
        <f t="shared" si="166"/>
        <v>19</v>
      </c>
      <c r="Z459" s="301">
        <f t="shared" si="166"/>
        <v>12</v>
      </c>
      <c r="AA459" s="301">
        <f t="shared" si="166"/>
        <v>20</v>
      </c>
      <c r="AB459" s="301">
        <f t="shared" si="166"/>
        <v>14</v>
      </c>
      <c r="AC459" s="301">
        <f t="shared" si="166"/>
        <v>13</v>
      </c>
      <c r="AD459" s="301">
        <f t="shared" si="166"/>
        <v>10</v>
      </c>
      <c r="AE459" s="301">
        <f t="shared" si="166"/>
        <v>22</v>
      </c>
      <c r="AF459" s="301">
        <f t="shared" si="166"/>
        <v>15</v>
      </c>
      <c r="AG459" s="768">
        <f t="shared" si="164"/>
        <v>845</v>
      </c>
    </row>
    <row r="460">
      <c r="A460" s="927" t="s">
        <v>764</v>
      </c>
      <c r="B460" s="301">
        <f t="shared" ref="B460:AF460" si="167">B228-B301</f>
        <v>17</v>
      </c>
      <c r="C460" s="301">
        <f t="shared" si="167"/>
        <v>17</v>
      </c>
      <c r="D460" s="301">
        <f t="shared" si="167"/>
        <v>14</v>
      </c>
      <c r="E460" s="301">
        <f t="shared" si="167"/>
        <v>17</v>
      </c>
      <c r="F460" s="301">
        <f t="shared" si="167"/>
        <v>11</v>
      </c>
      <c r="G460" s="301">
        <f t="shared" si="167"/>
        <v>18</v>
      </c>
      <c r="H460" s="301">
        <f t="shared" si="167"/>
        <v>17</v>
      </c>
      <c r="I460" s="301">
        <f t="shared" si="167"/>
        <v>18</v>
      </c>
      <c r="J460" s="301">
        <f t="shared" si="167"/>
        <v>22</v>
      </c>
      <c r="K460" s="301">
        <f t="shared" si="167"/>
        <v>25</v>
      </c>
      <c r="L460" s="301">
        <f t="shared" si="167"/>
        <v>10</v>
      </c>
      <c r="M460" s="301">
        <f t="shared" si="167"/>
        <v>9</v>
      </c>
      <c r="N460" s="301">
        <f t="shared" si="167"/>
        <v>35</v>
      </c>
      <c r="O460" s="301">
        <f t="shared" si="167"/>
        <v>23</v>
      </c>
      <c r="P460" s="301">
        <f t="shared" si="167"/>
        <v>21</v>
      </c>
      <c r="Q460" s="301">
        <f t="shared" si="167"/>
        <v>16</v>
      </c>
      <c r="R460" s="301">
        <f t="shared" si="167"/>
        <v>16</v>
      </c>
      <c r="S460" s="301">
        <f t="shared" si="167"/>
        <v>18</v>
      </c>
      <c r="T460" s="301">
        <f t="shared" si="167"/>
        <v>9</v>
      </c>
      <c r="U460" s="301">
        <f t="shared" si="167"/>
        <v>18</v>
      </c>
      <c r="V460" s="301">
        <f t="shared" si="167"/>
        <v>15</v>
      </c>
      <c r="W460" s="301">
        <f t="shared" si="167"/>
        <v>14</v>
      </c>
      <c r="X460" s="301">
        <f t="shared" si="167"/>
        <v>20</v>
      </c>
      <c r="Y460" s="301">
        <f t="shared" si="167"/>
        <v>10</v>
      </c>
      <c r="Z460" s="301">
        <f t="shared" si="167"/>
        <v>13</v>
      </c>
      <c r="AA460" s="301">
        <f t="shared" si="167"/>
        <v>11</v>
      </c>
      <c r="AB460" s="301">
        <f t="shared" si="167"/>
        <v>10</v>
      </c>
      <c r="AC460" s="301">
        <f t="shared" si="167"/>
        <v>8</v>
      </c>
      <c r="AD460" s="301">
        <f t="shared" si="167"/>
        <v>16</v>
      </c>
      <c r="AE460" s="301">
        <f t="shared" si="167"/>
        <v>13</v>
      </c>
      <c r="AF460" s="301">
        <f t="shared" si="167"/>
        <v>8</v>
      </c>
      <c r="AG460" s="768">
        <f t="shared" si="164"/>
        <v>489</v>
      </c>
    </row>
    <row r="461">
      <c r="A461" s="931" t="s">
        <v>765</v>
      </c>
      <c r="B461" s="929">
        <f t="shared" ref="B461:AF461" si="168">SUM(B456:B460)</f>
        <v>117</v>
      </c>
      <c r="C461" s="929">
        <f t="shared" si="168"/>
        <v>146</v>
      </c>
      <c r="D461" s="929">
        <f t="shared" si="168"/>
        <v>88</v>
      </c>
      <c r="E461" s="929">
        <f t="shared" si="168"/>
        <v>110</v>
      </c>
      <c r="F461" s="929">
        <f t="shared" si="168"/>
        <v>89</v>
      </c>
      <c r="G461" s="929">
        <f t="shared" si="168"/>
        <v>90</v>
      </c>
      <c r="H461" s="929">
        <f t="shared" si="168"/>
        <v>99</v>
      </c>
      <c r="I461" s="929">
        <f t="shared" si="168"/>
        <v>149</v>
      </c>
      <c r="J461" s="929">
        <f t="shared" si="168"/>
        <v>156</v>
      </c>
      <c r="K461" s="929">
        <f t="shared" si="168"/>
        <v>142</v>
      </c>
      <c r="L461" s="929">
        <f t="shared" si="168"/>
        <v>108</v>
      </c>
      <c r="M461" s="929">
        <f t="shared" si="168"/>
        <v>94</v>
      </c>
      <c r="N461" s="929">
        <f t="shared" si="168"/>
        <v>218</v>
      </c>
      <c r="O461" s="929">
        <f t="shared" si="168"/>
        <v>164</v>
      </c>
      <c r="P461" s="929">
        <f t="shared" si="168"/>
        <v>185</v>
      </c>
      <c r="Q461" s="929">
        <f t="shared" si="168"/>
        <v>156</v>
      </c>
      <c r="R461" s="929">
        <f t="shared" si="168"/>
        <v>87</v>
      </c>
      <c r="S461" s="929">
        <f t="shared" si="168"/>
        <v>155</v>
      </c>
      <c r="T461" s="929">
        <f t="shared" si="168"/>
        <v>115</v>
      </c>
      <c r="U461" s="929">
        <f t="shared" si="168"/>
        <v>134</v>
      </c>
      <c r="V461" s="929">
        <f t="shared" si="168"/>
        <v>112</v>
      </c>
      <c r="W461" s="929">
        <f t="shared" si="168"/>
        <v>120</v>
      </c>
      <c r="X461" s="929">
        <f t="shared" si="168"/>
        <v>132</v>
      </c>
      <c r="Y461" s="929">
        <f t="shared" si="168"/>
        <v>84</v>
      </c>
      <c r="Z461" s="929">
        <f t="shared" si="168"/>
        <v>75</v>
      </c>
      <c r="AA461" s="929">
        <f t="shared" si="168"/>
        <v>68</v>
      </c>
      <c r="AB461" s="929">
        <f t="shared" si="168"/>
        <v>75</v>
      </c>
      <c r="AC461" s="929">
        <f t="shared" si="168"/>
        <v>59</v>
      </c>
      <c r="AD461" s="929">
        <f t="shared" si="168"/>
        <v>74</v>
      </c>
      <c r="AE461" s="929">
        <f t="shared" si="168"/>
        <v>88</v>
      </c>
      <c r="AF461" s="929">
        <f t="shared" si="168"/>
        <v>64</v>
      </c>
      <c r="AG461" s="768">
        <f t="shared" si="164"/>
        <v>3553</v>
      </c>
    </row>
    <row r="462">
      <c r="A462" s="42"/>
      <c r="B462" s="542"/>
      <c r="C462" s="542"/>
      <c r="D462" s="542"/>
      <c r="E462" s="542"/>
      <c r="F462" s="542"/>
      <c r="G462" s="542"/>
      <c r="H462" s="542"/>
      <c r="I462" s="542"/>
      <c r="J462" s="542"/>
      <c r="K462" s="542"/>
      <c r="L462" s="542"/>
      <c r="M462" s="542"/>
      <c r="N462" s="542"/>
      <c r="O462" s="542"/>
      <c r="P462" s="542"/>
      <c r="Q462" s="542"/>
      <c r="R462" s="542"/>
      <c r="S462" s="542"/>
      <c r="T462" s="542"/>
      <c r="U462" s="542"/>
      <c r="V462" s="542"/>
      <c r="W462" s="542"/>
      <c r="X462" s="542"/>
      <c r="Y462" s="542"/>
      <c r="Z462" s="542"/>
      <c r="AA462" s="542"/>
      <c r="AB462" s="542"/>
      <c r="AC462" s="542"/>
      <c r="AD462" s="542"/>
      <c r="AE462" s="542"/>
      <c r="AF462" s="542"/>
      <c r="AG462" s="768"/>
    </row>
    <row r="463">
      <c r="A463" s="927" t="s">
        <v>767</v>
      </c>
      <c r="B463" s="301">
        <f t="shared" ref="B463:AF463" si="169">B231-B304</f>
        <v>3</v>
      </c>
      <c r="C463" s="301">
        <f t="shared" si="169"/>
        <v>1</v>
      </c>
      <c r="D463" s="301">
        <f t="shared" si="169"/>
        <v>1</v>
      </c>
      <c r="E463" s="301">
        <f t="shared" si="169"/>
        <v>1</v>
      </c>
      <c r="F463" s="301">
        <f t="shared" si="169"/>
        <v>4</v>
      </c>
      <c r="G463" s="301">
        <f t="shared" si="169"/>
        <v>6</v>
      </c>
      <c r="H463" s="301">
        <f t="shared" si="169"/>
        <v>0</v>
      </c>
      <c r="I463" s="301">
        <f t="shared" si="169"/>
        <v>4</v>
      </c>
      <c r="J463" s="301">
        <f t="shared" si="169"/>
        <v>1</v>
      </c>
      <c r="K463" s="301">
        <f t="shared" si="169"/>
        <v>4</v>
      </c>
      <c r="L463" s="301">
        <f t="shared" si="169"/>
        <v>2</v>
      </c>
      <c r="M463" s="301">
        <f t="shared" si="169"/>
        <v>6</v>
      </c>
      <c r="N463" s="301">
        <f t="shared" si="169"/>
        <v>2</v>
      </c>
      <c r="O463" s="301">
        <f t="shared" si="169"/>
        <v>8</v>
      </c>
      <c r="P463" s="301">
        <f t="shared" si="169"/>
        <v>2</v>
      </c>
      <c r="Q463" s="301">
        <f t="shared" si="169"/>
        <v>7</v>
      </c>
      <c r="R463" s="301">
        <f t="shared" si="169"/>
        <v>1</v>
      </c>
      <c r="S463" s="301">
        <f t="shared" si="169"/>
        <v>2</v>
      </c>
      <c r="T463" s="301">
        <f t="shared" si="169"/>
        <v>1</v>
      </c>
      <c r="U463" s="301">
        <f t="shared" si="169"/>
        <v>5</v>
      </c>
      <c r="V463" s="301">
        <f t="shared" si="169"/>
        <v>5</v>
      </c>
      <c r="W463" s="301">
        <f t="shared" si="169"/>
        <v>4</v>
      </c>
      <c r="X463" s="301">
        <f t="shared" si="169"/>
        <v>1</v>
      </c>
      <c r="Y463" s="301">
        <f t="shared" si="169"/>
        <v>3</v>
      </c>
      <c r="Z463" s="301">
        <f t="shared" si="169"/>
        <v>2</v>
      </c>
      <c r="AA463" s="301">
        <f t="shared" si="169"/>
        <v>3</v>
      </c>
      <c r="AB463" s="301">
        <f t="shared" si="169"/>
        <v>3</v>
      </c>
      <c r="AC463" s="301">
        <f t="shared" si="169"/>
        <v>4</v>
      </c>
      <c r="AD463" s="301">
        <f t="shared" si="169"/>
        <v>3</v>
      </c>
      <c r="AE463" s="301">
        <f t="shared" si="169"/>
        <v>-1</v>
      </c>
      <c r="AF463" s="301">
        <f t="shared" si="169"/>
        <v>4</v>
      </c>
      <c r="AG463" s="768">
        <f t="shared" ref="AG463:AG468" si="171">SUM(B463:AF463)</f>
        <v>92</v>
      </c>
    </row>
    <row r="464">
      <c r="A464" s="927" t="s">
        <v>769</v>
      </c>
      <c r="B464" s="301">
        <f t="shared" ref="B464:AF464" si="170">B232-B305</f>
        <v>0</v>
      </c>
      <c r="C464" s="301">
        <f t="shared" si="170"/>
        <v>0</v>
      </c>
      <c r="D464" s="301">
        <f t="shared" si="170"/>
        <v>0</v>
      </c>
      <c r="E464" s="301">
        <f t="shared" si="170"/>
        <v>0</v>
      </c>
      <c r="F464" s="301">
        <f t="shared" si="170"/>
        <v>0</v>
      </c>
      <c r="G464" s="301">
        <f t="shared" si="170"/>
        <v>0</v>
      </c>
      <c r="H464" s="301">
        <f t="shared" si="170"/>
        <v>0</v>
      </c>
      <c r="I464" s="301">
        <f t="shared" si="170"/>
        <v>0</v>
      </c>
      <c r="J464" s="301">
        <f t="shared" si="170"/>
        <v>0</v>
      </c>
      <c r="K464" s="301">
        <f t="shared" si="170"/>
        <v>0</v>
      </c>
      <c r="L464" s="301">
        <f t="shared" si="170"/>
        <v>0</v>
      </c>
      <c r="M464" s="301">
        <f t="shared" si="170"/>
        <v>0</v>
      </c>
      <c r="N464" s="301">
        <f t="shared" si="170"/>
        <v>0</v>
      </c>
      <c r="O464" s="301">
        <f t="shared" si="170"/>
        <v>0</v>
      </c>
      <c r="P464" s="301">
        <f t="shared" si="170"/>
        <v>0</v>
      </c>
      <c r="Q464" s="301">
        <f t="shared" si="170"/>
        <v>0</v>
      </c>
      <c r="R464" s="301">
        <f t="shared" si="170"/>
        <v>0</v>
      </c>
      <c r="S464" s="301">
        <f t="shared" si="170"/>
        <v>0</v>
      </c>
      <c r="T464" s="301">
        <f t="shared" si="170"/>
        <v>0</v>
      </c>
      <c r="U464" s="301">
        <f t="shared" si="170"/>
        <v>0</v>
      </c>
      <c r="V464" s="301">
        <f t="shared" si="170"/>
        <v>0</v>
      </c>
      <c r="W464" s="301">
        <f t="shared" si="170"/>
        <v>0</v>
      </c>
      <c r="X464" s="301">
        <f t="shared" si="170"/>
        <v>0</v>
      </c>
      <c r="Y464" s="301">
        <f t="shared" si="170"/>
        <v>0</v>
      </c>
      <c r="Z464" s="301">
        <f t="shared" si="170"/>
        <v>0</v>
      </c>
      <c r="AA464" s="301">
        <f t="shared" si="170"/>
        <v>0</v>
      </c>
      <c r="AB464" s="301">
        <f t="shared" si="170"/>
        <v>0</v>
      </c>
      <c r="AC464" s="301">
        <f t="shared" si="170"/>
        <v>0</v>
      </c>
      <c r="AD464" s="301">
        <f t="shared" si="170"/>
        <v>0</v>
      </c>
      <c r="AE464" s="301">
        <f t="shared" si="170"/>
        <v>0</v>
      </c>
      <c r="AF464" s="301">
        <f t="shared" si="170"/>
        <v>0</v>
      </c>
      <c r="AG464" s="768">
        <f t="shared" si="171"/>
        <v>0</v>
      </c>
    </row>
    <row r="465">
      <c r="A465" s="927" t="s">
        <v>770</v>
      </c>
      <c r="B465" s="301">
        <f t="shared" ref="B465:AF465" si="172">B233-B306</f>
        <v>2</v>
      </c>
      <c r="C465" s="301">
        <f t="shared" si="172"/>
        <v>0</v>
      </c>
      <c r="D465" s="301">
        <f t="shared" si="172"/>
        <v>1</v>
      </c>
      <c r="E465" s="301">
        <f t="shared" si="172"/>
        <v>2</v>
      </c>
      <c r="F465" s="301">
        <f t="shared" si="172"/>
        <v>2</v>
      </c>
      <c r="G465" s="301">
        <f t="shared" si="172"/>
        <v>4</v>
      </c>
      <c r="H465" s="301">
        <f t="shared" si="172"/>
        <v>0</v>
      </c>
      <c r="I465" s="301">
        <f t="shared" si="172"/>
        <v>2</v>
      </c>
      <c r="J465" s="301">
        <f t="shared" si="172"/>
        <v>0</v>
      </c>
      <c r="K465" s="301">
        <f t="shared" si="172"/>
        <v>2</v>
      </c>
      <c r="L465" s="301">
        <f t="shared" si="172"/>
        <v>1</v>
      </c>
      <c r="M465" s="301">
        <f t="shared" si="172"/>
        <v>0</v>
      </c>
      <c r="N465" s="301">
        <f t="shared" si="172"/>
        <v>1</v>
      </c>
      <c r="O465" s="301">
        <f t="shared" si="172"/>
        <v>1</v>
      </c>
      <c r="P465" s="301">
        <f t="shared" si="172"/>
        <v>3</v>
      </c>
      <c r="Q465" s="301">
        <f t="shared" si="172"/>
        <v>2</v>
      </c>
      <c r="R465" s="301">
        <f t="shared" si="172"/>
        <v>1</v>
      </c>
      <c r="S465" s="301">
        <f t="shared" si="172"/>
        <v>1</v>
      </c>
      <c r="T465" s="301">
        <f t="shared" si="172"/>
        <v>1</v>
      </c>
      <c r="U465" s="301">
        <f t="shared" si="172"/>
        <v>1</v>
      </c>
      <c r="V465" s="301">
        <f t="shared" si="172"/>
        <v>2</v>
      </c>
      <c r="W465" s="301">
        <f t="shared" si="172"/>
        <v>1</v>
      </c>
      <c r="X465" s="301">
        <f t="shared" si="172"/>
        <v>3</v>
      </c>
      <c r="Y465" s="301">
        <f t="shared" si="172"/>
        <v>1</v>
      </c>
      <c r="Z465" s="301">
        <f t="shared" si="172"/>
        <v>1</v>
      </c>
      <c r="AA465" s="301">
        <f t="shared" si="172"/>
        <v>14</v>
      </c>
      <c r="AB465" s="301">
        <f t="shared" si="172"/>
        <v>1</v>
      </c>
      <c r="AC465" s="301">
        <f t="shared" si="172"/>
        <v>1</v>
      </c>
      <c r="AD465" s="301">
        <f t="shared" si="172"/>
        <v>1</v>
      </c>
      <c r="AE465" s="301">
        <f t="shared" si="172"/>
        <v>1</v>
      </c>
      <c r="AF465" s="301">
        <f t="shared" si="172"/>
        <v>1</v>
      </c>
      <c r="AG465" s="768">
        <f t="shared" si="171"/>
        <v>54</v>
      </c>
    </row>
    <row r="466">
      <c r="A466" s="927" t="s">
        <v>771</v>
      </c>
      <c r="B466" s="301">
        <f t="shared" ref="B466:AF466" si="173">B234-B307</f>
        <v>2</v>
      </c>
      <c r="C466" s="301">
        <f t="shared" si="173"/>
        <v>2</v>
      </c>
      <c r="D466" s="301">
        <f t="shared" si="173"/>
        <v>0</v>
      </c>
      <c r="E466" s="301">
        <f t="shared" si="173"/>
        <v>3</v>
      </c>
      <c r="F466" s="301">
        <f t="shared" si="173"/>
        <v>4</v>
      </c>
      <c r="G466" s="301">
        <f t="shared" si="173"/>
        <v>4</v>
      </c>
      <c r="H466" s="301">
        <f t="shared" si="173"/>
        <v>1</v>
      </c>
      <c r="I466" s="301">
        <f t="shared" si="173"/>
        <v>2</v>
      </c>
      <c r="J466" s="301">
        <f t="shared" si="173"/>
        <v>0</v>
      </c>
      <c r="K466" s="301">
        <f t="shared" si="173"/>
        <v>3</v>
      </c>
      <c r="L466" s="301">
        <f t="shared" si="173"/>
        <v>2</v>
      </c>
      <c r="M466" s="301">
        <f t="shared" si="173"/>
        <v>3</v>
      </c>
      <c r="N466" s="301">
        <f t="shared" si="173"/>
        <v>0</v>
      </c>
      <c r="O466" s="301">
        <f t="shared" si="173"/>
        <v>1</v>
      </c>
      <c r="P466" s="301">
        <f t="shared" si="173"/>
        <v>3</v>
      </c>
      <c r="Q466" s="301">
        <f t="shared" si="173"/>
        <v>3</v>
      </c>
      <c r="R466" s="301">
        <f t="shared" si="173"/>
        <v>1</v>
      </c>
      <c r="S466" s="301">
        <f t="shared" si="173"/>
        <v>0</v>
      </c>
      <c r="T466" s="301">
        <f t="shared" si="173"/>
        <v>0</v>
      </c>
      <c r="U466" s="301">
        <f t="shared" si="173"/>
        <v>1</v>
      </c>
      <c r="V466" s="301">
        <f t="shared" si="173"/>
        <v>3</v>
      </c>
      <c r="W466" s="301">
        <f t="shared" si="173"/>
        <v>1</v>
      </c>
      <c r="X466" s="301">
        <f t="shared" si="173"/>
        <v>1</v>
      </c>
      <c r="Y466" s="301">
        <f t="shared" si="173"/>
        <v>1</v>
      </c>
      <c r="Z466" s="301">
        <f t="shared" si="173"/>
        <v>1</v>
      </c>
      <c r="AA466" s="301">
        <f t="shared" si="173"/>
        <v>1</v>
      </c>
      <c r="AB466" s="301">
        <f t="shared" si="173"/>
        <v>0</v>
      </c>
      <c r="AC466" s="301">
        <f t="shared" si="173"/>
        <v>2</v>
      </c>
      <c r="AD466" s="301">
        <f t="shared" si="173"/>
        <v>0</v>
      </c>
      <c r="AE466" s="301">
        <f t="shared" si="173"/>
        <v>-1</v>
      </c>
      <c r="AF466" s="301">
        <f t="shared" si="173"/>
        <v>0</v>
      </c>
      <c r="AG466" s="768">
        <f t="shared" si="171"/>
        <v>44</v>
      </c>
    </row>
    <row r="467">
      <c r="A467" s="927" t="s">
        <v>772</v>
      </c>
      <c r="B467" s="301">
        <f t="shared" ref="B467:AF467" si="174">B235-B308</f>
        <v>0</v>
      </c>
      <c r="C467" s="301">
        <f t="shared" si="174"/>
        <v>1</v>
      </c>
      <c r="D467" s="301">
        <f t="shared" si="174"/>
        <v>3</v>
      </c>
      <c r="E467" s="301">
        <f t="shared" si="174"/>
        <v>3</v>
      </c>
      <c r="F467" s="301">
        <f t="shared" si="174"/>
        <v>0</v>
      </c>
      <c r="G467" s="301">
        <f t="shared" si="174"/>
        <v>0</v>
      </c>
      <c r="H467" s="301">
        <f t="shared" si="174"/>
        <v>1</v>
      </c>
      <c r="I467" s="301">
        <f t="shared" si="174"/>
        <v>5</v>
      </c>
      <c r="J467" s="301">
        <f t="shared" si="174"/>
        <v>3</v>
      </c>
      <c r="K467" s="301">
        <f t="shared" si="174"/>
        <v>2</v>
      </c>
      <c r="L467" s="301">
        <f t="shared" si="174"/>
        <v>2</v>
      </c>
      <c r="M467" s="301">
        <f t="shared" si="174"/>
        <v>5</v>
      </c>
      <c r="N467" s="301">
        <f t="shared" si="174"/>
        <v>0</v>
      </c>
      <c r="O467" s="301">
        <f t="shared" si="174"/>
        <v>1</v>
      </c>
      <c r="P467" s="301">
        <f t="shared" si="174"/>
        <v>1</v>
      </c>
      <c r="Q467" s="301">
        <f t="shared" si="174"/>
        <v>1</v>
      </c>
      <c r="R467" s="301">
        <f t="shared" si="174"/>
        <v>0</v>
      </c>
      <c r="S467" s="301">
        <f t="shared" si="174"/>
        <v>1</v>
      </c>
      <c r="T467" s="301">
        <f t="shared" si="174"/>
        <v>1</v>
      </c>
      <c r="U467" s="301">
        <f t="shared" si="174"/>
        <v>3</v>
      </c>
      <c r="V467" s="301">
        <f t="shared" si="174"/>
        <v>1</v>
      </c>
      <c r="W467" s="301">
        <f t="shared" si="174"/>
        <v>2</v>
      </c>
      <c r="X467" s="301">
        <f t="shared" si="174"/>
        <v>0</v>
      </c>
      <c r="Y467" s="301">
        <f t="shared" si="174"/>
        <v>0</v>
      </c>
      <c r="Z467" s="301">
        <f t="shared" si="174"/>
        <v>4</v>
      </c>
      <c r="AA467" s="301">
        <f t="shared" si="174"/>
        <v>0</v>
      </c>
      <c r="AB467" s="301">
        <f t="shared" si="174"/>
        <v>0</v>
      </c>
      <c r="AC467" s="301">
        <f t="shared" si="174"/>
        <v>2</v>
      </c>
      <c r="AD467" s="301">
        <f t="shared" si="174"/>
        <v>4</v>
      </c>
      <c r="AE467" s="301">
        <f t="shared" si="174"/>
        <v>1</v>
      </c>
      <c r="AF467" s="301">
        <f t="shared" si="174"/>
        <v>1</v>
      </c>
      <c r="AG467" s="768">
        <f t="shared" si="171"/>
        <v>48</v>
      </c>
    </row>
    <row r="468">
      <c r="A468" s="931" t="s">
        <v>773</v>
      </c>
      <c r="B468" s="932">
        <f t="shared" ref="B468:AF468" si="175">SUM(B463:B467)</f>
        <v>7</v>
      </c>
      <c r="C468" s="929">
        <f t="shared" si="175"/>
        <v>4</v>
      </c>
      <c r="D468" s="929">
        <f t="shared" si="175"/>
        <v>5</v>
      </c>
      <c r="E468" s="929">
        <f t="shared" si="175"/>
        <v>9</v>
      </c>
      <c r="F468" s="929">
        <f t="shared" si="175"/>
        <v>10</v>
      </c>
      <c r="G468" s="929">
        <f t="shared" si="175"/>
        <v>14</v>
      </c>
      <c r="H468" s="929">
        <f t="shared" si="175"/>
        <v>2</v>
      </c>
      <c r="I468" s="929">
        <f t="shared" si="175"/>
        <v>13</v>
      </c>
      <c r="J468" s="929">
        <f t="shared" si="175"/>
        <v>4</v>
      </c>
      <c r="K468" s="929">
        <f t="shared" si="175"/>
        <v>11</v>
      </c>
      <c r="L468" s="929">
        <f t="shared" si="175"/>
        <v>7</v>
      </c>
      <c r="M468" s="929">
        <f t="shared" si="175"/>
        <v>14</v>
      </c>
      <c r="N468" s="929">
        <f t="shared" si="175"/>
        <v>3</v>
      </c>
      <c r="O468" s="929">
        <f t="shared" si="175"/>
        <v>11</v>
      </c>
      <c r="P468" s="929">
        <f t="shared" si="175"/>
        <v>9</v>
      </c>
      <c r="Q468" s="929">
        <f t="shared" si="175"/>
        <v>13</v>
      </c>
      <c r="R468" s="929">
        <f t="shared" si="175"/>
        <v>3</v>
      </c>
      <c r="S468" s="929">
        <f t="shared" si="175"/>
        <v>4</v>
      </c>
      <c r="T468" s="929">
        <f t="shared" si="175"/>
        <v>3</v>
      </c>
      <c r="U468" s="929">
        <f t="shared" si="175"/>
        <v>10</v>
      </c>
      <c r="V468" s="929">
        <f t="shared" si="175"/>
        <v>11</v>
      </c>
      <c r="W468" s="929">
        <f t="shared" si="175"/>
        <v>8</v>
      </c>
      <c r="X468" s="929">
        <f t="shared" si="175"/>
        <v>5</v>
      </c>
      <c r="Y468" s="929">
        <f t="shared" si="175"/>
        <v>5</v>
      </c>
      <c r="Z468" s="929">
        <f t="shared" si="175"/>
        <v>8</v>
      </c>
      <c r="AA468" s="929">
        <f t="shared" si="175"/>
        <v>18</v>
      </c>
      <c r="AB468" s="929">
        <f t="shared" si="175"/>
        <v>4</v>
      </c>
      <c r="AC468" s="929">
        <f t="shared" si="175"/>
        <v>9</v>
      </c>
      <c r="AD468" s="929">
        <f t="shared" si="175"/>
        <v>8</v>
      </c>
      <c r="AE468" s="929">
        <f t="shared" si="175"/>
        <v>0</v>
      </c>
      <c r="AF468" s="929">
        <f t="shared" si="175"/>
        <v>6</v>
      </c>
      <c r="AG468" s="768">
        <f t="shared" si="171"/>
        <v>238</v>
      </c>
    </row>
    <row r="469">
      <c r="A469" s="42"/>
      <c r="B469" s="542"/>
      <c r="C469" s="542"/>
      <c r="D469" s="542"/>
      <c r="E469" s="542"/>
      <c r="F469" s="542"/>
      <c r="G469" s="542"/>
      <c r="H469" s="542"/>
      <c r="I469" s="542"/>
      <c r="J469" s="542"/>
      <c r="K469" s="542"/>
      <c r="L469" s="542"/>
      <c r="M469" s="542"/>
      <c r="N469" s="542"/>
      <c r="O469" s="542"/>
      <c r="P469" s="542"/>
      <c r="Q469" s="542"/>
      <c r="R469" s="542"/>
      <c r="S469" s="542"/>
      <c r="T469" s="542"/>
      <c r="U469" s="542"/>
      <c r="V469" s="542"/>
      <c r="W469" s="542"/>
      <c r="X469" s="542"/>
      <c r="Y469" s="542"/>
      <c r="Z469" s="542"/>
      <c r="AA469" s="542"/>
      <c r="AB469" s="542"/>
      <c r="AC469" s="542"/>
      <c r="AD469" s="542"/>
      <c r="AE469" s="542"/>
      <c r="AF469" s="542"/>
      <c r="AG469" s="768"/>
    </row>
    <row r="470">
      <c r="A470" s="927" t="s">
        <v>774</v>
      </c>
      <c r="B470" s="884">
        <f t="shared" ref="B470:AF470" si="176">B238-B311</f>
        <v>0</v>
      </c>
      <c r="C470" s="884">
        <f t="shared" si="176"/>
        <v>0</v>
      </c>
      <c r="D470" s="884">
        <f t="shared" si="176"/>
        <v>0</v>
      </c>
      <c r="E470" s="884">
        <f t="shared" si="176"/>
        <v>0</v>
      </c>
      <c r="F470" s="884">
        <f t="shared" si="176"/>
        <v>0</v>
      </c>
      <c r="G470" s="884">
        <f t="shared" si="176"/>
        <v>0</v>
      </c>
      <c r="H470" s="884">
        <f t="shared" si="176"/>
        <v>0</v>
      </c>
      <c r="I470" s="884">
        <f t="shared" si="176"/>
        <v>0</v>
      </c>
      <c r="J470" s="884">
        <f t="shared" si="176"/>
        <v>0</v>
      </c>
      <c r="K470" s="884">
        <f t="shared" si="176"/>
        <v>0</v>
      </c>
      <c r="L470" s="884">
        <f t="shared" si="176"/>
        <v>0</v>
      </c>
      <c r="M470" s="884">
        <f t="shared" si="176"/>
        <v>0</v>
      </c>
      <c r="N470" s="884">
        <f t="shared" si="176"/>
        <v>0</v>
      </c>
      <c r="O470" s="884">
        <f t="shared" si="176"/>
        <v>0</v>
      </c>
      <c r="P470" s="884">
        <f t="shared" si="176"/>
        <v>0</v>
      </c>
      <c r="Q470" s="884">
        <f t="shared" si="176"/>
        <v>0</v>
      </c>
      <c r="R470" s="884">
        <f t="shared" si="176"/>
        <v>0</v>
      </c>
      <c r="S470" s="884">
        <f t="shared" si="176"/>
        <v>0</v>
      </c>
      <c r="T470" s="884">
        <f t="shared" si="176"/>
        <v>0</v>
      </c>
      <c r="U470" s="884">
        <f t="shared" si="176"/>
        <v>0</v>
      </c>
      <c r="V470" s="884">
        <f t="shared" si="176"/>
        <v>0</v>
      </c>
      <c r="W470" s="884">
        <f t="shared" si="176"/>
        <v>0</v>
      </c>
      <c r="X470" s="884">
        <f t="shared" si="176"/>
        <v>0</v>
      </c>
      <c r="Y470" s="884">
        <f t="shared" si="176"/>
        <v>0</v>
      </c>
      <c r="Z470" s="884">
        <f t="shared" si="176"/>
        <v>0</v>
      </c>
      <c r="AA470" s="884">
        <f t="shared" si="176"/>
        <v>0</v>
      </c>
      <c r="AB470" s="884">
        <f t="shared" si="176"/>
        <v>0</v>
      </c>
      <c r="AC470" s="884">
        <f t="shared" si="176"/>
        <v>0</v>
      </c>
      <c r="AD470" s="884">
        <f t="shared" si="176"/>
        <v>0</v>
      </c>
      <c r="AE470" s="884">
        <f t="shared" si="176"/>
        <v>0</v>
      </c>
      <c r="AF470" s="884">
        <f t="shared" si="176"/>
        <v>0</v>
      </c>
      <c r="AG470" s="768">
        <f t="shared" ref="AG470:AG475" si="178">SUM(B470:AF470)</f>
        <v>0</v>
      </c>
    </row>
    <row r="471">
      <c r="A471" s="927" t="s">
        <v>775</v>
      </c>
      <c r="B471" s="884">
        <f t="shared" ref="B471:AF471" si="177">B239-B312</f>
        <v>0</v>
      </c>
      <c r="C471" s="884">
        <f t="shared" si="177"/>
        <v>0</v>
      </c>
      <c r="D471" s="884">
        <f t="shared" si="177"/>
        <v>0</v>
      </c>
      <c r="E471" s="884">
        <f t="shared" si="177"/>
        <v>0</v>
      </c>
      <c r="F471" s="884">
        <f t="shared" si="177"/>
        <v>0</v>
      </c>
      <c r="G471" s="884">
        <f t="shared" si="177"/>
        <v>0</v>
      </c>
      <c r="H471" s="884">
        <f t="shared" si="177"/>
        <v>0</v>
      </c>
      <c r="I471" s="884">
        <f t="shared" si="177"/>
        <v>0</v>
      </c>
      <c r="J471" s="884">
        <f t="shared" si="177"/>
        <v>0</v>
      </c>
      <c r="K471" s="884">
        <f t="shared" si="177"/>
        <v>0</v>
      </c>
      <c r="L471" s="884">
        <f t="shared" si="177"/>
        <v>0</v>
      </c>
      <c r="M471" s="884">
        <f t="shared" si="177"/>
        <v>0</v>
      </c>
      <c r="N471" s="884">
        <f t="shared" si="177"/>
        <v>0</v>
      </c>
      <c r="O471" s="884">
        <f t="shared" si="177"/>
        <v>0</v>
      </c>
      <c r="P471" s="884">
        <f t="shared" si="177"/>
        <v>0</v>
      </c>
      <c r="Q471" s="884">
        <f t="shared" si="177"/>
        <v>0</v>
      </c>
      <c r="R471" s="884">
        <f t="shared" si="177"/>
        <v>0</v>
      </c>
      <c r="S471" s="884">
        <f t="shared" si="177"/>
        <v>0</v>
      </c>
      <c r="T471" s="884">
        <f t="shared" si="177"/>
        <v>0</v>
      </c>
      <c r="U471" s="884">
        <f t="shared" si="177"/>
        <v>0</v>
      </c>
      <c r="V471" s="884">
        <f t="shared" si="177"/>
        <v>0</v>
      </c>
      <c r="W471" s="884">
        <f t="shared" si="177"/>
        <v>0</v>
      </c>
      <c r="X471" s="884">
        <f t="shared" si="177"/>
        <v>0</v>
      </c>
      <c r="Y471" s="884">
        <f t="shared" si="177"/>
        <v>0</v>
      </c>
      <c r="Z471" s="884">
        <f t="shared" si="177"/>
        <v>0</v>
      </c>
      <c r="AA471" s="884">
        <f t="shared" si="177"/>
        <v>0</v>
      </c>
      <c r="AB471" s="884">
        <f t="shared" si="177"/>
        <v>0</v>
      </c>
      <c r="AC471" s="884">
        <f t="shared" si="177"/>
        <v>0</v>
      </c>
      <c r="AD471" s="884">
        <f t="shared" si="177"/>
        <v>0</v>
      </c>
      <c r="AE471" s="884">
        <f t="shared" si="177"/>
        <v>0</v>
      </c>
      <c r="AF471" s="884">
        <f t="shared" si="177"/>
        <v>0</v>
      </c>
      <c r="AG471" s="768">
        <f t="shared" si="178"/>
        <v>0</v>
      </c>
    </row>
    <row r="472">
      <c r="A472" s="927" t="s">
        <v>776</v>
      </c>
      <c r="B472" s="884">
        <f t="shared" ref="B472:AF472" si="179">B240-B313</f>
        <v>0</v>
      </c>
      <c r="C472" s="884">
        <f t="shared" si="179"/>
        <v>0</v>
      </c>
      <c r="D472" s="884">
        <f t="shared" si="179"/>
        <v>0</v>
      </c>
      <c r="E472" s="884">
        <f t="shared" si="179"/>
        <v>0</v>
      </c>
      <c r="F472" s="884">
        <f t="shared" si="179"/>
        <v>0</v>
      </c>
      <c r="G472" s="884">
        <f t="shared" si="179"/>
        <v>0</v>
      </c>
      <c r="H472" s="884">
        <f t="shared" si="179"/>
        <v>0</v>
      </c>
      <c r="I472" s="884">
        <f t="shared" si="179"/>
        <v>0</v>
      </c>
      <c r="J472" s="884">
        <f t="shared" si="179"/>
        <v>0</v>
      </c>
      <c r="K472" s="884">
        <f t="shared" si="179"/>
        <v>0</v>
      </c>
      <c r="L472" s="884">
        <f t="shared" si="179"/>
        <v>0</v>
      </c>
      <c r="M472" s="884">
        <f t="shared" si="179"/>
        <v>0</v>
      </c>
      <c r="N472" s="884">
        <f t="shared" si="179"/>
        <v>0</v>
      </c>
      <c r="O472" s="884">
        <f t="shared" si="179"/>
        <v>0</v>
      </c>
      <c r="P472" s="884">
        <f t="shared" si="179"/>
        <v>0</v>
      </c>
      <c r="Q472" s="884">
        <f t="shared" si="179"/>
        <v>0</v>
      </c>
      <c r="R472" s="884">
        <f t="shared" si="179"/>
        <v>0</v>
      </c>
      <c r="S472" s="884">
        <f t="shared" si="179"/>
        <v>0</v>
      </c>
      <c r="T472" s="884">
        <f t="shared" si="179"/>
        <v>0</v>
      </c>
      <c r="U472" s="884">
        <f t="shared" si="179"/>
        <v>0</v>
      </c>
      <c r="V472" s="884">
        <f t="shared" si="179"/>
        <v>0</v>
      </c>
      <c r="W472" s="884">
        <f t="shared" si="179"/>
        <v>0</v>
      </c>
      <c r="X472" s="884">
        <f t="shared" si="179"/>
        <v>0</v>
      </c>
      <c r="Y472" s="884">
        <f t="shared" si="179"/>
        <v>0</v>
      </c>
      <c r="Z472" s="884">
        <f t="shared" si="179"/>
        <v>0</v>
      </c>
      <c r="AA472" s="884">
        <f t="shared" si="179"/>
        <v>0</v>
      </c>
      <c r="AB472" s="884">
        <f t="shared" si="179"/>
        <v>0</v>
      </c>
      <c r="AC472" s="884">
        <f t="shared" si="179"/>
        <v>0</v>
      </c>
      <c r="AD472" s="884">
        <f t="shared" si="179"/>
        <v>0</v>
      </c>
      <c r="AE472" s="884">
        <f t="shared" si="179"/>
        <v>0</v>
      </c>
      <c r="AF472" s="884">
        <f t="shared" si="179"/>
        <v>0</v>
      </c>
      <c r="AG472" s="768">
        <f t="shared" si="178"/>
        <v>0</v>
      </c>
    </row>
    <row r="473">
      <c r="A473" s="927" t="s">
        <v>777</v>
      </c>
      <c r="B473" s="884">
        <f t="shared" ref="B473:AF473" si="180">B241-B314</f>
        <v>0</v>
      </c>
      <c r="C473" s="884">
        <f t="shared" si="180"/>
        <v>0</v>
      </c>
      <c r="D473" s="884">
        <f t="shared" si="180"/>
        <v>0</v>
      </c>
      <c r="E473" s="884">
        <f t="shared" si="180"/>
        <v>0</v>
      </c>
      <c r="F473" s="884">
        <f t="shared" si="180"/>
        <v>0</v>
      </c>
      <c r="G473" s="884">
        <f t="shared" si="180"/>
        <v>0</v>
      </c>
      <c r="H473" s="884">
        <f t="shared" si="180"/>
        <v>0</v>
      </c>
      <c r="I473" s="884">
        <f t="shared" si="180"/>
        <v>0</v>
      </c>
      <c r="J473" s="884">
        <f t="shared" si="180"/>
        <v>0</v>
      </c>
      <c r="K473" s="884">
        <f t="shared" si="180"/>
        <v>0</v>
      </c>
      <c r="L473" s="884">
        <f t="shared" si="180"/>
        <v>0</v>
      </c>
      <c r="M473" s="884">
        <f t="shared" si="180"/>
        <v>0</v>
      </c>
      <c r="N473" s="884">
        <f t="shared" si="180"/>
        <v>0</v>
      </c>
      <c r="O473" s="884">
        <f t="shared" si="180"/>
        <v>0</v>
      </c>
      <c r="P473" s="884">
        <f t="shared" si="180"/>
        <v>0</v>
      </c>
      <c r="Q473" s="884">
        <f t="shared" si="180"/>
        <v>0</v>
      </c>
      <c r="R473" s="884">
        <f t="shared" si="180"/>
        <v>0</v>
      </c>
      <c r="S473" s="884">
        <f t="shared" si="180"/>
        <v>0</v>
      </c>
      <c r="T473" s="884">
        <f t="shared" si="180"/>
        <v>0</v>
      </c>
      <c r="U473" s="884">
        <f t="shared" si="180"/>
        <v>0</v>
      </c>
      <c r="V473" s="884">
        <f t="shared" si="180"/>
        <v>0</v>
      </c>
      <c r="W473" s="884">
        <f t="shared" si="180"/>
        <v>0</v>
      </c>
      <c r="X473" s="884">
        <f t="shared" si="180"/>
        <v>0</v>
      </c>
      <c r="Y473" s="884">
        <f t="shared" si="180"/>
        <v>0</v>
      </c>
      <c r="Z473" s="884">
        <f t="shared" si="180"/>
        <v>0</v>
      </c>
      <c r="AA473" s="884">
        <f t="shared" si="180"/>
        <v>0</v>
      </c>
      <c r="AB473" s="884">
        <f t="shared" si="180"/>
        <v>0</v>
      </c>
      <c r="AC473" s="884">
        <f t="shared" si="180"/>
        <v>0</v>
      </c>
      <c r="AD473" s="884">
        <f t="shared" si="180"/>
        <v>0</v>
      </c>
      <c r="AE473" s="884">
        <f t="shared" si="180"/>
        <v>0</v>
      </c>
      <c r="AF473" s="884">
        <f t="shared" si="180"/>
        <v>0</v>
      </c>
      <c r="AG473" s="768">
        <f t="shared" si="178"/>
        <v>0</v>
      </c>
    </row>
    <row r="474">
      <c r="A474" s="927" t="s">
        <v>778</v>
      </c>
      <c r="B474" s="884">
        <f t="shared" ref="B474:AF474" si="181">B242-B315</f>
        <v>1</v>
      </c>
      <c r="C474" s="884">
        <f t="shared" si="181"/>
        <v>0</v>
      </c>
      <c r="D474" s="884">
        <f t="shared" si="181"/>
        <v>0</v>
      </c>
      <c r="E474" s="884">
        <f t="shared" si="181"/>
        <v>0</v>
      </c>
      <c r="F474" s="884">
        <f t="shared" si="181"/>
        <v>0</v>
      </c>
      <c r="G474" s="884">
        <f t="shared" si="181"/>
        <v>0</v>
      </c>
      <c r="H474" s="884">
        <f t="shared" si="181"/>
        <v>0</v>
      </c>
      <c r="I474" s="884">
        <f t="shared" si="181"/>
        <v>0</v>
      </c>
      <c r="J474" s="884">
        <f t="shared" si="181"/>
        <v>0</v>
      </c>
      <c r="K474" s="884">
        <f t="shared" si="181"/>
        <v>0</v>
      </c>
      <c r="L474" s="884">
        <f t="shared" si="181"/>
        <v>0</v>
      </c>
      <c r="M474" s="884">
        <f t="shared" si="181"/>
        <v>0</v>
      </c>
      <c r="N474" s="884">
        <f t="shared" si="181"/>
        <v>0</v>
      </c>
      <c r="O474" s="884">
        <f t="shared" si="181"/>
        <v>0</v>
      </c>
      <c r="P474" s="884">
        <f t="shared" si="181"/>
        <v>0</v>
      </c>
      <c r="Q474" s="884">
        <f t="shared" si="181"/>
        <v>0</v>
      </c>
      <c r="R474" s="884">
        <f t="shared" si="181"/>
        <v>0</v>
      </c>
      <c r="S474" s="884">
        <f t="shared" si="181"/>
        <v>0</v>
      </c>
      <c r="T474" s="884">
        <f t="shared" si="181"/>
        <v>0</v>
      </c>
      <c r="U474" s="884">
        <f t="shared" si="181"/>
        <v>0</v>
      </c>
      <c r="V474" s="884">
        <f t="shared" si="181"/>
        <v>0</v>
      </c>
      <c r="W474" s="884">
        <f t="shared" si="181"/>
        <v>0</v>
      </c>
      <c r="X474" s="884">
        <f t="shared" si="181"/>
        <v>0</v>
      </c>
      <c r="Y474" s="884">
        <f t="shared" si="181"/>
        <v>0</v>
      </c>
      <c r="Z474" s="884">
        <f t="shared" si="181"/>
        <v>0</v>
      </c>
      <c r="AA474" s="884">
        <f t="shared" si="181"/>
        <v>0</v>
      </c>
      <c r="AB474" s="884">
        <f t="shared" si="181"/>
        <v>0</v>
      </c>
      <c r="AC474" s="884">
        <f t="shared" si="181"/>
        <v>0</v>
      </c>
      <c r="AD474" s="884">
        <f t="shared" si="181"/>
        <v>0</v>
      </c>
      <c r="AE474" s="884">
        <f t="shared" si="181"/>
        <v>0</v>
      </c>
      <c r="AF474" s="884">
        <f t="shared" si="181"/>
        <v>0</v>
      </c>
      <c r="AG474" s="768">
        <f t="shared" si="178"/>
        <v>1</v>
      </c>
    </row>
    <row r="475">
      <c r="A475" s="931" t="s">
        <v>779</v>
      </c>
      <c r="B475" s="932">
        <f t="shared" ref="B475:AF475" si="182">SUM(B470:B474)</f>
        <v>1</v>
      </c>
      <c r="C475" s="929">
        <f t="shared" si="182"/>
        <v>0</v>
      </c>
      <c r="D475" s="929">
        <f t="shared" si="182"/>
        <v>0</v>
      </c>
      <c r="E475" s="929">
        <f t="shared" si="182"/>
        <v>0</v>
      </c>
      <c r="F475" s="929">
        <f t="shared" si="182"/>
        <v>0</v>
      </c>
      <c r="G475" s="929">
        <f t="shared" si="182"/>
        <v>0</v>
      </c>
      <c r="H475" s="929">
        <f t="shared" si="182"/>
        <v>0</v>
      </c>
      <c r="I475" s="929">
        <f t="shared" si="182"/>
        <v>0</v>
      </c>
      <c r="J475" s="929">
        <f t="shared" si="182"/>
        <v>0</v>
      </c>
      <c r="K475" s="929">
        <f t="shared" si="182"/>
        <v>0</v>
      </c>
      <c r="L475" s="929">
        <f t="shared" si="182"/>
        <v>0</v>
      </c>
      <c r="M475" s="929">
        <f t="shared" si="182"/>
        <v>0</v>
      </c>
      <c r="N475" s="929">
        <f t="shared" si="182"/>
        <v>0</v>
      </c>
      <c r="O475" s="929">
        <f t="shared" si="182"/>
        <v>0</v>
      </c>
      <c r="P475" s="929">
        <f t="shared" si="182"/>
        <v>0</v>
      </c>
      <c r="Q475" s="929">
        <f t="shared" si="182"/>
        <v>0</v>
      </c>
      <c r="R475" s="929">
        <f t="shared" si="182"/>
        <v>0</v>
      </c>
      <c r="S475" s="929">
        <f t="shared" si="182"/>
        <v>0</v>
      </c>
      <c r="T475" s="929">
        <f t="shared" si="182"/>
        <v>0</v>
      </c>
      <c r="U475" s="929">
        <f t="shared" si="182"/>
        <v>0</v>
      </c>
      <c r="V475" s="929">
        <f t="shared" si="182"/>
        <v>0</v>
      </c>
      <c r="W475" s="929">
        <f t="shared" si="182"/>
        <v>0</v>
      </c>
      <c r="X475" s="929">
        <f t="shared" si="182"/>
        <v>0</v>
      </c>
      <c r="Y475" s="929">
        <f t="shared" si="182"/>
        <v>0</v>
      </c>
      <c r="Z475" s="929">
        <f t="shared" si="182"/>
        <v>0</v>
      </c>
      <c r="AA475" s="929">
        <f t="shared" si="182"/>
        <v>0</v>
      </c>
      <c r="AB475" s="929">
        <f t="shared" si="182"/>
        <v>0</v>
      </c>
      <c r="AC475" s="929">
        <f t="shared" si="182"/>
        <v>0</v>
      </c>
      <c r="AD475" s="929">
        <f t="shared" si="182"/>
        <v>0</v>
      </c>
      <c r="AE475" s="929">
        <f t="shared" si="182"/>
        <v>0</v>
      </c>
      <c r="AF475" s="929">
        <f t="shared" si="182"/>
        <v>0</v>
      </c>
      <c r="AG475" s="768">
        <f t="shared" si="178"/>
        <v>1</v>
      </c>
    </row>
    <row r="476">
      <c r="A476" s="835"/>
      <c r="B476" s="911"/>
      <c r="AG476" s="768"/>
    </row>
    <row r="477">
      <c r="A477" s="927" t="s">
        <v>782</v>
      </c>
      <c r="B477" s="54">
        <f t="shared" ref="B477:AF477" si="183">B156-B318</f>
        <v>0</v>
      </c>
      <c r="C477" s="54">
        <f t="shared" si="183"/>
        <v>0</v>
      </c>
      <c r="D477" s="54">
        <f t="shared" si="183"/>
        <v>0</v>
      </c>
      <c r="E477" s="54">
        <f t="shared" si="183"/>
        <v>0</v>
      </c>
      <c r="F477" s="54">
        <f t="shared" si="183"/>
        <v>0</v>
      </c>
      <c r="G477" s="54">
        <f t="shared" si="183"/>
        <v>0</v>
      </c>
      <c r="H477" s="54">
        <f t="shared" si="183"/>
        <v>0</v>
      </c>
      <c r="I477" s="54">
        <f t="shared" si="183"/>
        <v>0</v>
      </c>
      <c r="J477" s="54">
        <f t="shared" si="183"/>
        <v>0</v>
      </c>
      <c r="K477" s="54">
        <f t="shared" si="183"/>
        <v>0</v>
      </c>
      <c r="L477" s="54">
        <f t="shared" si="183"/>
        <v>0</v>
      </c>
      <c r="M477" s="54">
        <f t="shared" si="183"/>
        <v>0</v>
      </c>
      <c r="N477" s="54">
        <f t="shared" si="183"/>
        <v>0</v>
      </c>
      <c r="O477" s="54">
        <f t="shared" si="183"/>
        <v>0</v>
      </c>
      <c r="P477" s="54">
        <f t="shared" si="183"/>
        <v>0</v>
      </c>
      <c r="Q477" s="54">
        <f t="shared" si="183"/>
        <v>0</v>
      </c>
      <c r="R477" s="54">
        <f t="shared" si="183"/>
        <v>0</v>
      </c>
      <c r="S477" s="54">
        <f t="shared" si="183"/>
        <v>0</v>
      </c>
      <c r="T477" s="54">
        <f t="shared" si="183"/>
        <v>0</v>
      </c>
      <c r="U477" s="54">
        <f t="shared" si="183"/>
        <v>0</v>
      </c>
      <c r="V477" s="54">
        <f t="shared" si="183"/>
        <v>0</v>
      </c>
      <c r="W477" s="54">
        <f t="shared" si="183"/>
        <v>0</v>
      </c>
      <c r="X477" s="54">
        <f t="shared" si="183"/>
        <v>0</v>
      </c>
      <c r="Y477" s="54">
        <f t="shared" si="183"/>
        <v>0</v>
      </c>
      <c r="Z477" s="54">
        <f t="shared" si="183"/>
        <v>0</v>
      </c>
      <c r="AA477" s="54">
        <f t="shared" si="183"/>
        <v>0</v>
      </c>
      <c r="AB477" s="54">
        <f t="shared" si="183"/>
        <v>0</v>
      </c>
      <c r="AC477" s="54">
        <f t="shared" si="183"/>
        <v>0</v>
      </c>
      <c r="AD477" s="54">
        <f t="shared" si="183"/>
        <v>0</v>
      </c>
      <c r="AE477" s="54">
        <f t="shared" si="183"/>
        <v>0</v>
      </c>
      <c r="AF477" s="54">
        <f t="shared" si="183"/>
        <v>0</v>
      </c>
      <c r="AG477" s="768">
        <f t="shared" ref="AG477:AG479" si="185">SUM(B477:AF477)</f>
        <v>0</v>
      </c>
    </row>
    <row r="478">
      <c r="A478" s="927" t="s">
        <v>783</v>
      </c>
      <c r="B478" s="54">
        <f t="shared" ref="B478:AF478" si="184">B157-B319</f>
        <v>0</v>
      </c>
      <c r="C478" s="54">
        <f t="shared" si="184"/>
        <v>0</v>
      </c>
      <c r="D478" s="54">
        <f t="shared" si="184"/>
        <v>0</v>
      </c>
      <c r="E478" s="54">
        <f t="shared" si="184"/>
        <v>0</v>
      </c>
      <c r="F478" s="54">
        <f t="shared" si="184"/>
        <v>0</v>
      </c>
      <c r="G478" s="54">
        <f t="shared" si="184"/>
        <v>0</v>
      </c>
      <c r="H478" s="54">
        <f t="shared" si="184"/>
        <v>0</v>
      </c>
      <c r="I478" s="54">
        <f t="shared" si="184"/>
        <v>0</v>
      </c>
      <c r="J478" s="54">
        <f t="shared" si="184"/>
        <v>0</v>
      </c>
      <c r="K478" s="54">
        <f t="shared" si="184"/>
        <v>0</v>
      </c>
      <c r="L478" s="54">
        <f t="shared" si="184"/>
        <v>0</v>
      </c>
      <c r="M478" s="54">
        <f t="shared" si="184"/>
        <v>0</v>
      </c>
      <c r="N478" s="54">
        <f t="shared" si="184"/>
        <v>0</v>
      </c>
      <c r="O478" s="54">
        <f t="shared" si="184"/>
        <v>0</v>
      </c>
      <c r="P478" s="54">
        <f t="shared" si="184"/>
        <v>0</v>
      </c>
      <c r="Q478" s="54">
        <f t="shared" si="184"/>
        <v>0</v>
      </c>
      <c r="R478" s="54">
        <f t="shared" si="184"/>
        <v>0</v>
      </c>
      <c r="S478" s="54">
        <f t="shared" si="184"/>
        <v>0</v>
      </c>
      <c r="T478" s="54">
        <f t="shared" si="184"/>
        <v>0</v>
      </c>
      <c r="U478" s="54">
        <f t="shared" si="184"/>
        <v>0</v>
      </c>
      <c r="V478" s="54">
        <f t="shared" si="184"/>
        <v>0</v>
      </c>
      <c r="W478" s="54">
        <f t="shared" si="184"/>
        <v>0</v>
      </c>
      <c r="X478" s="54">
        <f t="shared" si="184"/>
        <v>0</v>
      </c>
      <c r="Y478" s="54">
        <f t="shared" si="184"/>
        <v>0</v>
      </c>
      <c r="Z478" s="54">
        <f t="shared" si="184"/>
        <v>0</v>
      </c>
      <c r="AA478" s="54">
        <f t="shared" si="184"/>
        <v>0</v>
      </c>
      <c r="AB478" s="54">
        <f t="shared" si="184"/>
        <v>0</v>
      </c>
      <c r="AC478" s="54">
        <f t="shared" si="184"/>
        <v>0</v>
      </c>
      <c r="AD478" s="54">
        <f t="shared" si="184"/>
        <v>0</v>
      </c>
      <c r="AE478" s="54">
        <f t="shared" si="184"/>
        <v>0</v>
      </c>
      <c r="AF478" s="54">
        <f t="shared" si="184"/>
        <v>0</v>
      </c>
      <c r="AG478" s="768">
        <f t="shared" si="185"/>
        <v>0</v>
      </c>
    </row>
    <row r="479">
      <c r="A479" s="931" t="s">
        <v>151</v>
      </c>
      <c r="B479" s="929">
        <f t="shared" ref="B479:AF479" si="186">SUM(B477:B478)</f>
        <v>0</v>
      </c>
      <c r="C479" s="929">
        <f t="shared" si="186"/>
        <v>0</v>
      </c>
      <c r="D479" s="929">
        <f t="shared" si="186"/>
        <v>0</v>
      </c>
      <c r="E479" s="929">
        <f t="shared" si="186"/>
        <v>0</v>
      </c>
      <c r="F479" s="929">
        <f t="shared" si="186"/>
        <v>0</v>
      </c>
      <c r="G479" s="929">
        <f t="shared" si="186"/>
        <v>0</v>
      </c>
      <c r="H479" s="929">
        <f t="shared" si="186"/>
        <v>0</v>
      </c>
      <c r="I479" s="929">
        <f t="shared" si="186"/>
        <v>0</v>
      </c>
      <c r="J479" s="929">
        <f t="shared" si="186"/>
        <v>0</v>
      </c>
      <c r="K479" s="929">
        <f t="shared" si="186"/>
        <v>0</v>
      </c>
      <c r="L479" s="929">
        <f t="shared" si="186"/>
        <v>0</v>
      </c>
      <c r="M479" s="929">
        <f t="shared" si="186"/>
        <v>0</v>
      </c>
      <c r="N479" s="929">
        <f t="shared" si="186"/>
        <v>0</v>
      </c>
      <c r="O479" s="929">
        <f t="shared" si="186"/>
        <v>0</v>
      </c>
      <c r="P479" s="929">
        <f t="shared" si="186"/>
        <v>0</v>
      </c>
      <c r="Q479" s="929">
        <f t="shared" si="186"/>
        <v>0</v>
      </c>
      <c r="R479" s="929">
        <f t="shared" si="186"/>
        <v>0</v>
      </c>
      <c r="S479" s="929">
        <f t="shared" si="186"/>
        <v>0</v>
      </c>
      <c r="T479" s="929">
        <f t="shared" si="186"/>
        <v>0</v>
      </c>
      <c r="U479" s="929">
        <f t="shared" si="186"/>
        <v>0</v>
      </c>
      <c r="V479" s="929">
        <f t="shared" si="186"/>
        <v>0</v>
      </c>
      <c r="W479" s="929">
        <f t="shared" si="186"/>
        <v>0</v>
      </c>
      <c r="X479" s="929">
        <f t="shared" si="186"/>
        <v>0</v>
      </c>
      <c r="Y479" s="929">
        <f t="shared" si="186"/>
        <v>0</v>
      </c>
      <c r="Z479" s="929">
        <f t="shared" si="186"/>
        <v>0</v>
      </c>
      <c r="AA479" s="929">
        <f t="shared" si="186"/>
        <v>0</v>
      </c>
      <c r="AB479" s="929">
        <f t="shared" si="186"/>
        <v>0</v>
      </c>
      <c r="AC479" s="929">
        <f t="shared" si="186"/>
        <v>0</v>
      </c>
      <c r="AD479" s="929">
        <f t="shared" si="186"/>
        <v>0</v>
      </c>
      <c r="AE479" s="929">
        <f t="shared" si="186"/>
        <v>0</v>
      </c>
      <c r="AF479" s="929">
        <f t="shared" si="186"/>
        <v>0</v>
      </c>
      <c r="AG479" s="768">
        <f t="shared" si="185"/>
        <v>0</v>
      </c>
    </row>
    <row r="480">
      <c r="A480" s="835"/>
      <c r="AG480" s="11"/>
    </row>
    <row r="481">
      <c r="A481" s="927" t="s">
        <v>730</v>
      </c>
      <c r="B481" s="54">
        <f t="shared" ref="B481:AF481" si="187">B160-B322</f>
        <v>0</v>
      </c>
      <c r="C481" s="54">
        <f t="shared" si="187"/>
        <v>0</v>
      </c>
      <c r="D481" s="54">
        <f t="shared" si="187"/>
        <v>0</v>
      </c>
      <c r="E481" s="54">
        <f t="shared" si="187"/>
        <v>0</v>
      </c>
      <c r="F481" s="54">
        <f t="shared" si="187"/>
        <v>0</v>
      </c>
      <c r="G481" s="54">
        <f t="shared" si="187"/>
        <v>0</v>
      </c>
      <c r="H481" s="54">
        <f t="shared" si="187"/>
        <v>0</v>
      </c>
      <c r="I481" s="54">
        <f t="shared" si="187"/>
        <v>0</v>
      </c>
      <c r="J481" s="54">
        <f t="shared" si="187"/>
        <v>0</v>
      </c>
      <c r="K481" s="54">
        <f t="shared" si="187"/>
        <v>0</v>
      </c>
      <c r="L481" s="54">
        <f t="shared" si="187"/>
        <v>0</v>
      </c>
      <c r="M481" s="54">
        <f t="shared" si="187"/>
        <v>0</v>
      </c>
      <c r="N481" s="54">
        <f t="shared" si="187"/>
        <v>0</v>
      </c>
      <c r="O481" s="54">
        <f t="shared" si="187"/>
        <v>0</v>
      </c>
      <c r="P481" s="54">
        <f t="shared" si="187"/>
        <v>0</v>
      </c>
      <c r="Q481" s="54">
        <f t="shared" si="187"/>
        <v>0</v>
      </c>
      <c r="R481" s="54">
        <f t="shared" si="187"/>
        <v>0</v>
      </c>
      <c r="S481" s="54">
        <f t="shared" si="187"/>
        <v>0</v>
      </c>
      <c r="T481" s="54">
        <f t="shared" si="187"/>
        <v>0</v>
      </c>
      <c r="U481" s="54">
        <f t="shared" si="187"/>
        <v>0</v>
      </c>
      <c r="V481" s="54">
        <f t="shared" si="187"/>
        <v>0</v>
      </c>
      <c r="W481" s="54">
        <f t="shared" si="187"/>
        <v>0</v>
      </c>
      <c r="X481" s="54">
        <f t="shared" si="187"/>
        <v>0</v>
      </c>
      <c r="Y481" s="54">
        <f t="shared" si="187"/>
        <v>0</v>
      </c>
      <c r="Z481" s="54">
        <f t="shared" si="187"/>
        <v>0</v>
      </c>
      <c r="AA481" s="54">
        <f t="shared" si="187"/>
        <v>0</v>
      </c>
      <c r="AB481" s="54">
        <f t="shared" si="187"/>
        <v>0</v>
      </c>
      <c r="AC481" s="54">
        <f t="shared" si="187"/>
        <v>0</v>
      </c>
      <c r="AD481" s="54">
        <f t="shared" si="187"/>
        <v>0</v>
      </c>
      <c r="AE481" s="54">
        <f t="shared" si="187"/>
        <v>0</v>
      </c>
      <c r="AF481" s="54">
        <f t="shared" si="187"/>
        <v>0</v>
      </c>
      <c r="AG481" s="768">
        <f t="shared" ref="AG481:AG483" si="189">SUM(B481:AF481)</f>
        <v>0</v>
      </c>
    </row>
    <row r="482">
      <c r="A482" s="927" t="s">
        <v>732</v>
      </c>
      <c r="B482" s="54">
        <f t="shared" ref="B482:AF482" si="188">B161-B323</f>
        <v>0</v>
      </c>
      <c r="C482" s="54">
        <f t="shared" si="188"/>
        <v>0</v>
      </c>
      <c r="D482" s="54">
        <f t="shared" si="188"/>
        <v>0</v>
      </c>
      <c r="E482" s="54">
        <f t="shared" si="188"/>
        <v>0</v>
      </c>
      <c r="F482" s="54">
        <f t="shared" si="188"/>
        <v>0</v>
      </c>
      <c r="G482" s="54">
        <f t="shared" si="188"/>
        <v>0</v>
      </c>
      <c r="H482" s="54">
        <f t="shared" si="188"/>
        <v>0</v>
      </c>
      <c r="I482" s="54">
        <f t="shared" si="188"/>
        <v>0</v>
      </c>
      <c r="J482" s="54">
        <f t="shared" si="188"/>
        <v>0</v>
      </c>
      <c r="K482" s="54">
        <f t="shared" si="188"/>
        <v>0</v>
      </c>
      <c r="L482" s="54">
        <f t="shared" si="188"/>
        <v>0</v>
      </c>
      <c r="M482" s="54">
        <f t="shared" si="188"/>
        <v>0</v>
      </c>
      <c r="N482" s="54">
        <f t="shared" si="188"/>
        <v>0</v>
      </c>
      <c r="O482" s="54">
        <f t="shared" si="188"/>
        <v>0</v>
      </c>
      <c r="P482" s="54">
        <f t="shared" si="188"/>
        <v>0</v>
      </c>
      <c r="Q482" s="54">
        <f t="shared" si="188"/>
        <v>0</v>
      </c>
      <c r="R482" s="54">
        <f t="shared" si="188"/>
        <v>0</v>
      </c>
      <c r="S482" s="54">
        <f t="shared" si="188"/>
        <v>0</v>
      </c>
      <c r="T482" s="54">
        <f t="shared" si="188"/>
        <v>0</v>
      </c>
      <c r="U482" s="54">
        <f t="shared" si="188"/>
        <v>0</v>
      </c>
      <c r="V482" s="54">
        <f t="shared" si="188"/>
        <v>0</v>
      </c>
      <c r="W482" s="54">
        <f t="shared" si="188"/>
        <v>0</v>
      </c>
      <c r="X482" s="54">
        <f t="shared" si="188"/>
        <v>0</v>
      </c>
      <c r="Y482" s="54">
        <f t="shared" si="188"/>
        <v>0</v>
      </c>
      <c r="Z482" s="54">
        <f t="shared" si="188"/>
        <v>0</v>
      </c>
      <c r="AA482" s="54">
        <f t="shared" si="188"/>
        <v>0</v>
      </c>
      <c r="AB482" s="54">
        <f t="shared" si="188"/>
        <v>0</v>
      </c>
      <c r="AC482" s="54">
        <f t="shared" si="188"/>
        <v>0</v>
      </c>
      <c r="AD482" s="54">
        <f t="shared" si="188"/>
        <v>0</v>
      </c>
      <c r="AE482" s="54">
        <f t="shared" si="188"/>
        <v>0</v>
      </c>
      <c r="AF482" s="54">
        <f t="shared" si="188"/>
        <v>0</v>
      </c>
      <c r="AG482" s="768">
        <f t="shared" si="189"/>
        <v>0</v>
      </c>
    </row>
    <row r="483">
      <c r="A483" s="931" t="s">
        <v>151</v>
      </c>
      <c r="B483" s="929">
        <f t="shared" ref="B483:AF483" si="190">SUM(B481:B482)</f>
        <v>0</v>
      </c>
      <c r="C483" s="929">
        <f t="shared" si="190"/>
        <v>0</v>
      </c>
      <c r="D483" s="929">
        <f t="shared" si="190"/>
        <v>0</v>
      </c>
      <c r="E483" s="929">
        <f t="shared" si="190"/>
        <v>0</v>
      </c>
      <c r="F483" s="929">
        <f t="shared" si="190"/>
        <v>0</v>
      </c>
      <c r="G483" s="929">
        <f t="shared" si="190"/>
        <v>0</v>
      </c>
      <c r="H483" s="929">
        <f t="shared" si="190"/>
        <v>0</v>
      </c>
      <c r="I483" s="929">
        <f t="shared" si="190"/>
        <v>0</v>
      </c>
      <c r="J483" s="929">
        <f t="shared" si="190"/>
        <v>0</v>
      </c>
      <c r="K483" s="929">
        <f t="shared" si="190"/>
        <v>0</v>
      </c>
      <c r="L483" s="929">
        <f t="shared" si="190"/>
        <v>0</v>
      </c>
      <c r="M483" s="929">
        <f t="shared" si="190"/>
        <v>0</v>
      </c>
      <c r="N483" s="929">
        <f t="shared" si="190"/>
        <v>0</v>
      </c>
      <c r="O483" s="929">
        <f t="shared" si="190"/>
        <v>0</v>
      </c>
      <c r="P483" s="929">
        <f t="shared" si="190"/>
        <v>0</v>
      </c>
      <c r="Q483" s="929">
        <f t="shared" si="190"/>
        <v>0</v>
      </c>
      <c r="R483" s="929">
        <f t="shared" si="190"/>
        <v>0</v>
      </c>
      <c r="S483" s="929">
        <f t="shared" si="190"/>
        <v>0</v>
      </c>
      <c r="T483" s="929">
        <f t="shared" si="190"/>
        <v>0</v>
      </c>
      <c r="U483" s="929">
        <f t="shared" si="190"/>
        <v>0</v>
      </c>
      <c r="V483" s="929">
        <f t="shared" si="190"/>
        <v>0</v>
      </c>
      <c r="W483" s="929">
        <f t="shared" si="190"/>
        <v>0</v>
      </c>
      <c r="X483" s="929">
        <f t="shared" si="190"/>
        <v>0</v>
      </c>
      <c r="Y483" s="929">
        <f t="shared" si="190"/>
        <v>0</v>
      </c>
      <c r="Z483" s="929">
        <f t="shared" si="190"/>
        <v>0</v>
      </c>
      <c r="AA483" s="929">
        <f t="shared" si="190"/>
        <v>0</v>
      </c>
      <c r="AB483" s="929">
        <f t="shared" si="190"/>
        <v>0</v>
      </c>
      <c r="AC483" s="929">
        <f t="shared" si="190"/>
        <v>0</v>
      </c>
      <c r="AD483" s="929">
        <f t="shared" si="190"/>
        <v>0</v>
      </c>
      <c r="AE483" s="929">
        <f t="shared" si="190"/>
        <v>0</v>
      </c>
      <c r="AF483" s="929">
        <f t="shared" si="190"/>
        <v>0</v>
      </c>
      <c r="AG483" s="768">
        <f t="shared" si="189"/>
        <v>0</v>
      </c>
    </row>
    <row r="484">
      <c r="A484" s="835"/>
      <c r="AG484" s="11"/>
    </row>
    <row r="485">
      <c r="A485" s="927" t="s">
        <v>785</v>
      </c>
      <c r="B485" s="301">
        <f t="shared" ref="B485:AF485" si="191">B164-B326</f>
        <v>0</v>
      </c>
      <c r="C485" s="301">
        <f t="shared" si="191"/>
        <v>0</v>
      </c>
      <c r="D485" s="301">
        <f t="shared" si="191"/>
        <v>0</v>
      </c>
      <c r="E485" s="301">
        <f t="shared" si="191"/>
        <v>0</v>
      </c>
      <c r="F485" s="301">
        <f t="shared" si="191"/>
        <v>0</v>
      </c>
      <c r="G485" s="301">
        <f t="shared" si="191"/>
        <v>0</v>
      </c>
      <c r="H485" s="301">
        <f t="shared" si="191"/>
        <v>0</v>
      </c>
      <c r="I485" s="301">
        <f t="shared" si="191"/>
        <v>0</v>
      </c>
      <c r="J485" s="301">
        <f t="shared" si="191"/>
        <v>0</v>
      </c>
      <c r="K485" s="301">
        <f t="shared" si="191"/>
        <v>0</v>
      </c>
      <c r="L485" s="301">
        <f t="shared" si="191"/>
        <v>0</v>
      </c>
      <c r="M485" s="301">
        <f t="shared" si="191"/>
        <v>0</v>
      </c>
      <c r="N485" s="301">
        <f t="shared" si="191"/>
        <v>0</v>
      </c>
      <c r="O485" s="301">
        <f t="shared" si="191"/>
        <v>0</v>
      </c>
      <c r="P485" s="301">
        <f t="shared" si="191"/>
        <v>0</v>
      </c>
      <c r="Q485" s="301">
        <f t="shared" si="191"/>
        <v>0</v>
      </c>
      <c r="R485" s="301">
        <f t="shared" si="191"/>
        <v>0</v>
      </c>
      <c r="S485" s="301">
        <f t="shared" si="191"/>
        <v>0</v>
      </c>
      <c r="T485" s="301">
        <f t="shared" si="191"/>
        <v>0</v>
      </c>
      <c r="U485" s="301">
        <f t="shared" si="191"/>
        <v>0</v>
      </c>
      <c r="V485" s="301">
        <f t="shared" si="191"/>
        <v>0</v>
      </c>
      <c r="W485" s="301">
        <f t="shared" si="191"/>
        <v>0</v>
      </c>
      <c r="X485" s="301">
        <f t="shared" si="191"/>
        <v>0</v>
      </c>
      <c r="Y485" s="301">
        <f t="shared" si="191"/>
        <v>0</v>
      </c>
      <c r="Z485" s="301">
        <f t="shared" si="191"/>
        <v>0</v>
      </c>
      <c r="AA485" s="301">
        <f t="shared" si="191"/>
        <v>0</v>
      </c>
      <c r="AB485" s="301">
        <f t="shared" si="191"/>
        <v>0</v>
      </c>
      <c r="AC485" s="301">
        <f t="shared" si="191"/>
        <v>0</v>
      </c>
      <c r="AD485" s="301">
        <f t="shared" si="191"/>
        <v>0</v>
      </c>
      <c r="AE485" s="301">
        <f t="shared" si="191"/>
        <v>0</v>
      </c>
      <c r="AF485" s="301">
        <f t="shared" si="191"/>
        <v>0</v>
      </c>
      <c r="AG485" s="768">
        <f t="shared" ref="AG485:AG486" si="193">SUM(B485:AF485)</f>
        <v>0</v>
      </c>
    </row>
    <row r="486">
      <c r="A486" s="931" t="s">
        <v>786</v>
      </c>
      <c r="B486" s="929">
        <f t="shared" ref="B486:AF486" si="192">B165-B327</f>
        <v>0</v>
      </c>
      <c r="C486" s="929">
        <f t="shared" si="192"/>
        <v>0</v>
      </c>
      <c r="D486" s="929">
        <f t="shared" si="192"/>
        <v>0</v>
      </c>
      <c r="E486" s="929">
        <f t="shared" si="192"/>
        <v>0</v>
      </c>
      <c r="F486" s="929">
        <f t="shared" si="192"/>
        <v>0</v>
      </c>
      <c r="G486" s="929">
        <f t="shared" si="192"/>
        <v>0</v>
      </c>
      <c r="H486" s="929">
        <f t="shared" si="192"/>
        <v>0</v>
      </c>
      <c r="I486" s="929">
        <f t="shared" si="192"/>
        <v>0</v>
      </c>
      <c r="J486" s="929">
        <f t="shared" si="192"/>
        <v>0</v>
      </c>
      <c r="K486" s="929">
        <f t="shared" si="192"/>
        <v>0</v>
      </c>
      <c r="L486" s="929">
        <f t="shared" si="192"/>
        <v>0</v>
      </c>
      <c r="M486" s="929">
        <f t="shared" si="192"/>
        <v>0</v>
      </c>
      <c r="N486" s="929">
        <f t="shared" si="192"/>
        <v>0</v>
      </c>
      <c r="O486" s="929">
        <f t="shared" si="192"/>
        <v>0</v>
      </c>
      <c r="P486" s="929">
        <f t="shared" si="192"/>
        <v>0</v>
      </c>
      <c r="Q486" s="929">
        <f t="shared" si="192"/>
        <v>0</v>
      </c>
      <c r="R486" s="929">
        <f t="shared" si="192"/>
        <v>0</v>
      </c>
      <c r="S486" s="929">
        <f t="shared" si="192"/>
        <v>0</v>
      </c>
      <c r="T486" s="929">
        <f t="shared" si="192"/>
        <v>0</v>
      </c>
      <c r="U486" s="929">
        <f t="shared" si="192"/>
        <v>0</v>
      </c>
      <c r="V486" s="929">
        <f t="shared" si="192"/>
        <v>0</v>
      </c>
      <c r="W486" s="929">
        <f t="shared" si="192"/>
        <v>0</v>
      </c>
      <c r="X486" s="929">
        <f t="shared" si="192"/>
        <v>0</v>
      </c>
      <c r="Y486" s="929">
        <f t="shared" si="192"/>
        <v>0</v>
      </c>
      <c r="Z486" s="929">
        <f t="shared" si="192"/>
        <v>0</v>
      </c>
      <c r="AA486" s="929">
        <f t="shared" si="192"/>
        <v>0</v>
      </c>
      <c r="AB486" s="929">
        <f t="shared" si="192"/>
        <v>0</v>
      </c>
      <c r="AC486" s="929">
        <f t="shared" si="192"/>
        <v>0</v>
      </c>
      <c r="AD486" s="929">
        <f t="shared" si="192"/>
        <v>0</v>
      </c>
      <c r="AE486" s="929">
        <f t="shared" si="192"/>
        <v>0</v>
      </c>
      <c r="AF486" s="929">
        <f t="shared" si="192"/>
        <v>0</v>
      </c>
      <c r="AG486" s="768">
        <f t="shared" si="193"/>
        <v>0</v>
      </c>
    </row>
    <row r="487">
      <c r="A487" s="835"/>
      <c r="AG487" s="11"/>
    </row>
    <row r="488">
      <c r="A488" s="361" t="s">
        <v>455</v>
      </c>
      <c r="B488" s="327"/>
      <c r="C488" s="327"/>
      <c r="D488" s="327"/>
      <c r="E488" s="327"/>
      <c r="F488" s="327"/>
      <c r="G488" s="327"/>
      <c r="H488" s="327"/>
      <c r="I488" s="327"/>
      <c r="J488" s="327"/>
      <c r="K488" s="327"/>
      <c r="L488" s="327"/>
      <c r="M488" s="327"/>
      <c r="N488" s="327"/>
      <c r="O488" s="327"/>
      <c r="P488" s="327"/>
      <c r="Q488" s="327"/>
      <c r="R488" s="327"/>
      <c r="S488" s="327"/>
      <c r="T488" s="327"/>
      <c r="U488" s="327"/>
      <c r="V488" s="327"/>
      <c r="W488" s="327"/>
      <c r="X488" s="327"/>
      <c r="Y488" s="327"/>
      <c r="Z488" s="327"/>
      <c r="AA488" s="327"/>
      <c r="AB488" s="327"/>
      <c r="AC488" s="327"/>
      <c r="AD488" s="327"/>
      <c r="AE488" s="327"/>
      <c r="AF488" s="327"/>
      <c r="AG488" s="11"/>
    </row>
    <row r="489">
      <c r="A489" s="337" t="s">
        <v>447</v>
      </c>
      <c r="B489" s="933">
        <f t="shared" ref="B489:AF489" si="194">B32+B38+B35+B40+B31+B33+B41+B34+B42</f>
        <v>11327.86</v>
      </c>
      <c r="C489" s="934">
        <f t="shared" si="194"/>
        <v>13517.97</v>
      </c>
      <c r="D489" s="935">
        <f t="shared" si="194"/>
        <v>15222.62</v>
      </c>
      <c r="E489" s="936">
        <f t="shared" si="194"/>
        <v>17391.59</v>
      </c>
      <c r="F489" s="937">
        <f t="shared" si="194"/>
        <v>16628.56</v>
      </c>
      <c r="G489" s="938">
        <f t="shared" si="194"/>
        <v>16709.03</v>
      </c>
      <c r="H489" s="939">
        <f t="shared" si="194"/>
        <v>17024.02</v>
      </c>
      <c r="I489" s="940">
        <f t="shared" si="194"/>
        <v>17663.92</v>
      </c>
      <c r="J489" s="941">
        <f t="shared" si="194"/>
        <v>20961.74</v>
      </c>
      <c r="K489" s="942">
        <f t="shared" si="194"/>
        <v>19992.76</v>
      </c>
      <c r="L489" s="943">
        <f t="shared" si="194"/>
        <v>18412</v>
      </c>
      <c r="M489" s="944">
        <f t="shared" si="194"/>
        <v>13259.68</v>
      </c>
      <c r="N489" s="945">
        <f t="shared" si="194"/>
        <v>13518.4</v>
      </c>
      <c r="O489" s="946">
        <f t="shared" si="194"/>
        <v>17427.33</v>
      </c>
      <c r="P489" s="947">
        <f t="shared" si="194"/>
        <v>22526.89</v>
      </c>
      <c r="Q489" s="948">
        <f t="shared" si="194"/>
        <v>25721.72</v>
      </c>
      <c r="R489" s="949">
        <f t="shared" si="194"/>
        <v>19138.35</v>
      </c>
      <c r="S489" s="950">
        <f t="shared" si="194"/>
        <v>20518.41</v>
      </c>
      <c r="T489" s="950">
        <f t="shared" si="194"/>
        <v>20068.8</v>
      </c>
      <c r="U489" s="950">
        <f t="shared" si="194"/>
        <v>20186.07</v>
      </c>
      <c r="V489" s="950">
        <f t="shared" si="194"/>
        <v>21186.34</v>
      </c>
      <c r="W489" s="950">
        <f t="shared" si="194"/>
        <v>23288.08</v>
      </c>
      <c r="X489" s="950">
        <f t="shared" si="194"/>
        <v>25686.76</v>
      </c>
      <c r="Y489" s="950">
        <f t="shared" si="194"/>
        <v>18464.63</v>
      </c>
      <c r="Z489" s="950">
        <f t="shared" si="194"/>
        <v>16482.95</v>
      </c>
      <c r="AA489" s="950">
        <f t="shared" si="194"/>
        <v>15759.19</v>
      </c>
      <c r="AB489" s="950">
        <f t="shared" si="194"/>
        <v>14062.17</v>
      </c>
      <c r="AC489" s="950">
        <f t="shared" si="194"/>
        <v>13651.87</v>
      </c>
      <c r="AD489" s="950">
        <f t="shared" si="194"/>
        <v>12603.61</v>
      </c>
      <c r="AE489" s="950">
        <f t="shared" si="194"/>
        <v>12030.08</v>
      </c>
      <c r="AF489" s="950">
        <f t="shared" si="194"/>
        <v>10237.46</v>
      </c>
      <c r="AG489" s="360">
        <f t="shared" ref="AG489:AG510" si="196">SUM(B489:AF489)</f>
        <v>540670.86</v>
      </c>
    </row>
    <row r="490">
      <c r="A490" s="337" t="s">
        <v>450</v>
      </c>
      <c r="B490" s="276">
        <f t="shared" ref="B490:AF490" si="195">B37+B39+B36+B45</f>
        <v>0</v>
      </c>
      <c r="C490" s="276">
        <f t="shared" si="195"/>
        <v>0</v>
      </c>
      <c r="D490" s="276">
        <f t="shared" si="195"/>
        <v>0</v>
      </c>
      <c r="E490" s="276">
        <f t="shared" si="195"/>
        <v>0</v>
      </c>
      <c r="F490" s="276">
        <f t="shared" si="195"/>
        <v>0</v>
      </c>
      <c r="G490" s="276">
        <f t="shared" si="195"/>
        <v>0</v>
      </c>
      <c r="H490" s="276">
        <f t="shared" si="195"/>
        <v>0</v>
      </c>
      <c r="I490" s="276">
        <f t="shared" si="195"/>
        <v>0</v>
      </c>
      <c r="J490" s="276">
        <f t="shared" si="195"/>
        <v>0</v>
      </c>
      <c r="K490" s="276">
        <f t="shared" si="195"/>
        <v>0</v>
      </c>
      <c r="L490" s="276">
        <f t="shared" si="195"/>
        <v>0</v>
      </c>
      <c r="M490" s="276">
        <f t="shared" si="195"/>
        <v>0</v>
      </c>
      <c r="N490" s="276">
        <f t="shared" si="195"/>
        <v>0</v>
      </c>
      <c r="O490" s="276">
        <f t="shared" si="195"/>
        <v>0</v>
      </c>
      <c r="P490" s="276">
        <f t="shared" si="195"/>
        <v>0</v>
      </c>
      <c r="Q490" s="276">
        <f t="shared" si="195"/>
        <v>0</v>
      </c>
      <c r="R490" s="276">
        <f t="shared" si="195"/>
        <v>0</v>
      </c>
      <c r="S490" s="276">
        <f t="shared" si="195"/>
        <v>156.16</v>
      </c>
      <c r="T490" s="276">
        <f t="shared" si="195"/>
        <v>131.12</v>
      </c>
      <c r="U490" s="276">
        <f t="shared" si="195"/>
        <v>215.27</v>
      </c>
      <c r="V490" s="276">
        <f t="shared" si="195"/>
        <v>264.81</v>
      </c>
      <c r="W490" s="276">
        <f t="shared" si="195"/>
        <v>122.94</v>
      </c>
      <c r="X490" s="276">
        <f t="shared" si="195"/>
        <v>187.67</v>
      </c>
      <c r="Y490" s="276">
        <f t="shared" si="195"/>
        <v>229.7</v>
      </c>
      <c r="Z490" s="276">
        <f t="shared" si="195"/>
        <v>157.02</v>
      </c>
      <c r="AA490" s="276">
        <f t="shared" si="195"/>
        <v>108.61</v>
      </c>
      <c r="AB490" s="276">
        <f t="shared" si="195"/>
        <v>196.05</v>
      </c>
      <c r="AC490" s="276">
        <f t="shared" si="195"/>
        <v>49.05</v>
      </c>
      <c r="AD490" s="276">
        <f t="shared" si="195"/>
        <v>0</v>
      </c>
      <c r="AE490" s="276">
        <f t="shared" si="195"/>
        <v>136.42</v>
      </c>
      <c r="AF490" s="276">
        <f t="shared" si="195"/>
        <v>0</v>
      </c>
      <c r="AG490" s="360">
        <f t="shared" si="196"/>
        <v>1954.82</v>
      </c>
    </row>
    <row r="491">
      <c r="A491" s="979" t="s">
        <v>866</v>
      </c>
      <c r="B491" s="276">
        <f>B192*'ECOMMERCE Formulas'!$C$3</f>
        <v>3005.14</v>
      </c>
      <c r="C491" s="276">
        <f>C192*'ECOMMERCE Formulas'!$C$3</f>
        <v>4629.54</v>
      </c>
      <c r="D491" s="276">
        <f>D192*'ECOMMERCE Formulas'!$C$3</f>
        <v>3654.9</v>
      </c>
      <c r="E491" s="276">
        <f>E192*'ECOMMERCE Formulas'!$C$3</f>
        <v>3086.36</v>
      </c>
      <c r="F491" s="276">
        <f>F192*'ECOMMERCE Formulas'!$C$3</f>
        <v>3492.46</v>
      </c>
      <c r="G491" s="276">
        <f>G192*'ECOMMERCE Formulas'!$C$3</f>
        <v>3817.34</v>
      </c>
      <c r="H491" s="276">
        <f>H192*'ECOMMERCE Formulas'!$C$3</f>
        <v>5116.86</v>
      </c>
      <c r="I491" s="276">
        <f>I192*'ECOMMERCE Formulas'!$C$3</f>
        <v>4304.66</v>
      </c>
      <c r="J491" s="276">
        <f>J192*'ECOMMERCE Formulas'!$C$3</f>
        <v>4142.22</v>
      </c>
      <c r="K491" s="276">
        <f>K192*'ECOMMERCE Formulas'!$C$3</f>
        <v>4873.2</v>
      </c>
      <c r="L491" s="276">
        <f>L192*'ECOMMERCE Formulas'!$C$3</f>
        <v>4385.88</v>
      </c>
      <c r="M491" s="276">
        <f>M192*'ECOMMERCE Formulas'!$C$3</f>
        <v>4629.54</v>
      </c>
      <c r="N491" s="276">
        <f>N192*'ECOMMERCE Formulas'!$C$3</f>
        <v>4873.2</v>
      </c>
      <c r="O491" s="276">
        <f>O192*'ECOMMERCE Formulas'!$C$3</f>
        <v>5685.4</v>
      </c>
      <c r="P491" s="276">
        <f>P192*'ECOMMERCE Formulas'!$C$3</f>
        <v>5035.64</v>
      </c>
      <c r="Q491" s="276">
        <f>Q192*'ECOMMERCE Formulas'!$C$3</f>
        <v>5847.84</v>
      </c>
      <c r="R491" s="276">
        <f>R192*'ECOMMERCE Formulas'!$C$3</f>
        <v>2192.94</v>
      </c>
      <c r="S491" s="276">
        <f>S192*'ECOMMERCE Formulas'!$C$3</f>
        <v>4467.1</v>
      </c>
      <c r="T491" s="276">
        <f>T192*'ECOMMERCE Formulas'!$C$3</f>
        <v>3492.46</v>
      </c>
      <c r="U491" s="276">
        <f>U192*'ECOMMERCE Formulas'!$C$3</f>
        <v>3736.12</v>
      </c>
      <c r="V491" s="276">
        <f>V192*'ECOMMERCE Formulas'!$C$3</f>
        <v>3817.34</v>
      </c>
      <c r="W491" s="276">
        <f>W192*'ECOMMERCE Formulas'!$C$3</f>
        <v>2355.38</v>
      </c>
      <c r="X491" s="276">
        <f>X192*'ECOMMERCE Formulas'!$C$3</f>
        <v>2111.72</v>
      </c>
      <c r="Y491" s="276">
        <f>Y192*'ECOMMERCE Formulas'!$C$3</f>
        <v>1055.86</v>
      </c>
      <c r="Z491" s="276">
        <f>Z192*'ECOMMERCE Formulas'!$C$3</f>
        <v>1949.28</v>
      </c>
      <c r="AA491" s="276">
        <f>AA192*'ECOMMERCE Formulas'!$C$3</f>
        <v>1868.06</v>
      </c>
      <c r="AB491" s="276">
        <f>AB192*'ECOMMERCE Formulas'!$C$3</f>
        <v>2761.48</v>
      </c>
      <c r="AC491" s="276">
        <f>AC192*'ECOMMERCE Formulas'!$C$3</f>
        <v>2436.6</v>
      </c>
      <c r="AD491" s="276">
        <f>AD192*'ECOMMERCE Formulas'!$C$3</f>
        <v>1380.74</v>
      </c>
      <c r="AE491" s="276">
        <f>AE192*'ECOMMERCE Formulas'!$C$3</f>
        <v>2111.72</v>
      </c>
      <c r="AF491" s="276">
        <f>AF192*'ECOMMERCE Formulas'!$C$3</f>
        <v>1380.74</v>
      </c>
      <c r="AG491" s="360">
        <f t="shared" si="196"/>
        <v>107697.72</v>
      </c>
    </row>
    <row r="492">
      <c r="A492" s="982" t="s">
        <v>843</v>
      </c>
      <c r="B492" s="276">
        <f>(B491)*'ECOMMERCE Formulas'!$L$5</f>
        <v>225.3855</v>
      </c>
      <c r="C492" s="276">
        <f>(C491)*'ECOMMERCE Formulas'!$L$5</f>
        <v>347.2155</v>
      </c>
      <c r="D492" s="276">
        <f>(D491)*'ECOMMERCE Formulas'!$L$5</f>
        <v>274.1175</v>
      </c>
      <c r="E492" s="276">
        <f>(E491)*'ECOMMERCE Formulas'!$L$5</f>
        <v>231.477</v>
      </c>
      <c r="F492" s="276">
        <f>(F491)*'ECOMMERCE Formulas'!$L$5</f>
        <v>261.9345</v>
      </c>
      <c r="G492" s="276">
        <f>(G491)*'ECOMMERCE Formulas'!$L$5</f>
        <v>286.3005</v>
      </c>
      <c r="H492" s="276">
        <f>(H491)*'ECOMMERCE Formulas'!$L$5</f>
        <v>383.7645</v>
      </c>
      <c r="I492" s="276">
        <f>(I491)*'ECOMMERCE Formulas'!$L$5</f>
        <v>322.8495</v>
      </c>
      <c r="J492" s="276">
        <f>(J491)*'ECOMMERCE Formulas'!$L$5</f>
        <v>310.6665</v>
      </c>
      <c r="K492" s="276">
        <f>(K491)*'ECOMMERCE Formulas'!$L$5</f>
        <v>365.49</v>
      </c>
      <c r="L492" s="276">
        <f>(L491)*'ECOMMERCE Formulas'!$L$5</f>
        <v>328.941</v>
      </c>
      <c r="M492" s="276">
        <f>(M491)*'ECOMMERCE Formulas'!$L$5</f>
        <v>347.2155</v>
      </c>
      <c r="N492" s="276">
        <f>(N491)*'ECOMMERCE Formulas'!$L$5</f>
        <v>365.49</v>
      </c>
      <c r="O492" s="276">
        <f>(O491)*'ECOMMERCE Formulas'!$L$5</f>
        <v>426.405</v>
      </c>
      <c r="P492" s="276">
        <f>(P491)*'ECOMMERCE Formulas'!$L$5</f>
        <v>377.673</v>
      </c>
      <c r="Q492" s="276">
        <f>(Q491)*'ECOMMERCE Formulas'!$L$5</f>
        <v>438.588</v>
      </c>
      <c r="R492" s="276">
        <f>(R491)*'ECOMMERCE Formulas'!$L$5</f>
        <v>164.4705</v>
      </c>
      <c r="S492" s="276">
        <f>(S491)*'ECOMMERCE Formulas'!$L$5</f>
        <v>335.0325</v>
      </c>
      <c r="T492" s="276">
        <f>(T491)*'ECOMMERCE Formulas'!$L$5</f>
        <v>261.9345</v>
      </c>
      <c r="U492" s="276">
        <f>(U491)*'ECOMMERCE Formulas'!$L$5</f>
        <v>280.209</v>
      </c>
      <c r="V492" s="276">
        <f>(V491)*'ECOMMERCE Formulas'!$L$5</f>
        <v>286.3005</v>
      </c>
      <c r="W492" s="276">
        <f>(W491)*'ECOMMERCE Formulas'!$L$5</f>
        <v>176.6535</v>
      </c>
      <c r="X492" s="276">
        <f>(X491)*'ECOMMERCE Formulas'!$L$5</f>
        <v>158.379</v>
      </c>
      <c r="Y492" s="276">
        <f>(Y491)*'ECOMMERCE Formulas'!$L$5</f>
        <v>79.1895</v>
      </c>
      <c r="Z492" s="276">
        <f>(Z491)*'ECOMMERCE Formulas'!$L$5</f>
        <v>146.196</v>
      </c>
      <c r="AA492" s="276">
        <f>(AA491)*'ECOMMERCE Formulas'!$L$5</f>
        <v>140.1045</v>
      </c>
      <c r="AB492" s="276">
        <f>(AB491)*'ECOMMERCE Formulas'!$L$5</f>
        <v>207.111</v>
      </c>
      <c r="AC492" s="276">
        <f>(AC491)*'ECOMMERCE Formulas'!$L$5</f>
        <v>182.745</v>
      </c>
      <c r="AD492" s="276">
        <f>(AD491)*'ECOMMERCE Formulas'!$L$5</f>
        <v>103.5555</v>
      </c>
      <c r="AE492" s="276">
        <f>(AE491)*'ECOMMERCE Formulas'!$L$5</f>
        <v>158.379</v>
      </c>
      <c r="AF492" s="276">
        <f>(AF491)*'ECOMMERCE Formulas'!$L$5</f>
        <v>103.5555</v>
      </c>
      <c r="AG492" s="360">
        <f t="shared" si="196"/>
        <v>8077.329</v>
      </c>
    </row>
    <row r="493">
      <c r="A493" s="979" t="s">
        <v>873</v>
      </c>
      <c r="B493" s="276">
        <f>B193*'ECOMMERCE Formulas'!$C$4</f>
        <v>8202.6</v>
      </c>
      <c r="C493" s="276">
        <f>C193*'ECOMMERCE Formulas'!$C$4</f>
        <v>8384.88</v>
      </c>
      <c r="D493" s="276">
        <f>D193*'ECOMMERCE Formulas'!$C$4</f>
        <v>8111.46</v>
      </c>
      <c r="E493" s="276">
        <f>E193*'ECOMMERCE Formulas'!$C$4</f>
        <v>9569.7</v>
      </c>
      <c r="F493" s="276">
        <f>F193*'ECOMMERCE Formulas'!$C$4</f>
        <v>8567.16</v>
      </c>
      <c r="G493" s="276">
        <f>G193*'ECOMMERCE Formulas'!$C$4</f>
        <v>9387.42</v>
      </c>
      <c r="H493" s="276">
        <f>H193*'ECOMMERCE Formulas'!$C$4</f>
        <v>9387.42</v>
      </c>
      <c r="I493" s="276">
        <f>I193*'ECOMMERCE Formulas'!$C$4</f>
        <v>12121.62</v>
      </c>
      <c r="J493" s="276">
        <f>J193*'ECOMMERCE Formulas'!$C$4</f>
        <v>11119.08</v>
      </c>
      <c r="K493" s="276">
        <f>K193*'ECOMMERCE Formulas'!$C$4</f>
        <v>9660.84</v>
      </c>
      <c r="L493" s="276">
        <f>L193*'ECOMMERCE Formulas'!$C$4</f>
        <v>10936.8</v>
      </c>
      <c r="M493" s="276">
        <f>M193*'ECOMMERCE Formulas'!$C$4</f>
        <v>11119.08</v>
      </c>
      <c r="N493" s="276">
        <f>N193*'ECOMMERCE Formulas'!$C$4</f>
        <v>20141.94</v>
      </c>
      <c r="O493" s="276">
        <f>O193*'ECOMMERCE Formulas'!$C$4</f>
        <v>17043.18</v>
      </c>
      <c r="P493" s="276">
        <f>P193*'ECOMMERCE Formulas'!$C$4</f>
        <v>13853.28</v>
      </c>
      <c r="Q493" s="276">
        <f>Q193*'ECOMMERCE Formulas'!$C$4</f>
        <v>13033.02</v>
      </c>
      <c r="R493" s="276">
        <f>R193*'ECOMMERCE Formulas'!$C$4</f>
        <v>7746.9</v>
      </c>
      <c r="S493" s="276">
        <f>S193*'ECOMMERCE Formulas'!$C$4</f>
        <v>13397.58</v>
      </c>
      <c r="T493" s="276">
        <f>T193*'ECOMMERCE Formulas'!$C$4</f>
        <v>9660.84</v>
      </c>
      <c r="U493" s="276">
        <f>U193*'ECOMMERCE Formulas'!$C$4</f>
        <v>10936.8</v>
      </c>
      <c r="V493" s="276">
        <f>V193*'ECOMMERCE Formulas'!$C$4</f>
        <v>9114</v>
      </c>
      <c r="W493" s="276">
        <f>W193*'ECOMMERCE Formulas'!$C$4</f>
        <v>10207.68</v>
      </c>
      <c r="X493" s="276">
        <f>X193*'ECOMMERCE Formulas'!$C$4</f>
        <v>8658.3</v>
      </c>
      <c r="Y493" s="276">
        <f>Y193*'ECOMMERCE Formulas'!$C$4</f>
        <v>6744.36</v>
      </c>
      <c r="Z493" s="276">
        <f>Z193*'ECOMMERCE Formulas'!$C$4</f>
        <v>7382.34</v>
      </c>
      <c r="AA493" s="276">
        <f>AA193*'ECOMMERCE Formulas'!$C$4</f>
        <v>7017.78</v>
      </c>
      <c r="AB493" s="276">
        <f>AB193*'ECOMMERCE Formulas'!$C$4</f>
        <v>7382.34</v>
      </c>
      <c r="AC493" s="276">
        <f>AC193*'ECOMMERCE Formulas'!$C$4</f>
        <v>6562.08</v>
      </c>
      <c r="AD493" s="276">
        <f>AD193*'ECOMMERCE Formulas'!$C$4</f>
        <v>7291.2</v>
      </c>
      <c r="AE493" s="276">
        <f>AE193*'ECOMMERCE Formulas'!$C$4</f>
        <v>6470.94</v>
      </c>
      <c r="AF493" s="276">
        <f>AF193*'ECOMMERCE Formulas'!$C$4</f>
        <v>7838.04</v>
      </c>
      <c r="AG493" s="360">
        <f t="shared" si="196"/>
        <v>307050.66</v>
      </c>
    </row>
    <row r="494">
      <c r="A494" s="982" t="s">
        <v>864</v>
      </c>
      <c r="B494" s="276">
        <f>(B493)*'ECOMMERCE Formulas'!$L$5</f>
        <v>615.195</v>
      </c>
      <c r="C494" s="276">
        <f>(C493)*'ECOMMERCE Formulas'!$L$5</f>
        <v>628.866</v>
      </c>
      <c r="D494" s="276">
        <f>(D493)*'ECOMMERCE Formulas'!$L$5</f>
        <v>608.3595</v>
      </c>
      <c r="E494" s="276">
        <f>(E493)*'ECOMMERCE Formulas'!$L$5</f>
        <v>717.7275</v>
      </c>
      <c r="F494" s="276">
        <f>(F493)*'ECOMMERCE Formulas'!$L$5</f>
        <v>642.537</v>
      </c>
      <c r="G494" s="276">
        <f>(G493)*'ECOMMERCE Formulas'!$L$5</f>
        <v>704.0565</v>
      </c>
      <c r="H494" s="276">
        <f>(H493)*'ECOMMERCE Formulas'!$L$5</f>
        <v>704.0565</v>
      </c>
      <c r="I494" s="276">
        <f>(I493)*'ECOMMERCE Formulas'!$L$5</f>
        <v>909.1215</v>
      </c>
      <c r="J494" s="276">
        <f>(J493)*'ECOMMERCE Formulas'!$L$5</f>
        <v>833.931</v>
      </c>
      <c r="K494" s="276">
        <f>(K493)*'ECOMMERCE Formulas'!$L$5</f>
        <v>724.563</v>
      </c>
      <c r="L494" s="276">
        <f>(L493)*'ECOMMERCE Formulas'!$L$5</f>
        <v>820.26</v>
      </c>
      <c r="M494" s="276">
        <f>(M493)*'ECOMMERCE Formulas'!$L$5</f>
        <v>833.931</v>
      </c>
      <c r="N494" s="276">
        <f>(N493)*'ECOMMERCE Formulas'!$L$5</f>
        <v>1510.6455</v>
      </c>
      <c r="O494" s="276">
        <f>(O493)*'ECOMMERCE Formulas'!$L$5</f>
        <v>1278.2385</v>
      </c>
      <c r="P494" s="276">
        <f>(P493)*'ECOMMERCE Formulas'!$L$5</f>
        <v>1038.996</v>
      </c>
      <c r="Q494" s="276">
        <f>(Q493)*'ECOMMERCE Formulas'!$L$5</f>
        <v>977.4765</v>
      </c>
      <c r="R494" s="276">
        <f>(R493)*'ECOMMERCE Formulas'!$L$5</f>
        <v>581.0175</v>
      </c>
      <c r="S494" s="276">
        <f>(S493)*'ECOMMERCE Formulas'!$L$5</f>
        <v>1004.8185</v>
      </c>
      <c r="T494" s="276">
        <f>(T493)*'ECOMMERCE Formulas'!$L$5</f>
        <v>724.563</v>
      </c>
      <c r="U494" s="276">
        <f>(U493)*'ECOMMERCE Formulas'!$L$5</f>
        <v>820.26</v>
      </c>
      <c r="V494" s="276">
        <f>(V493)*'ECOMMERCE Formulas'!$L$5</f>
        <v>683.55</v>
      </c>
      <c r="W494" s="276">
        <f>(W493)*'ECOMMERCE Formulas'!$L$5</f>
        <v>765.576</v>
      </c>
      <c r="X494" s="276">
        <f>(X493)*'ECOMMERCE Formulas'!$L$5</f>
        <v>649.3725</v>
      </c>
      <c r="Y494" s="276">
        <f>(Y493)*'ECOMMERCE Formulas'!$L$5</f>
        <v>505.827</v>
      </c>
      <c r="Z494" s="276">
        <f>(Z493)*'ECOMMERCE Formulas'!$L$5</f>
        <v>553.6755</v>
      </c>
      <c r="AA494" s="276">
        <f>(AA493)*'ECOMMERCE Formulas'!$L$5</f>
        <v>526.3335</v>
      </c>
      <c r="AB494" s="276">
        <f>(AB493)*'ECOMMERCE Formulas'!$L$5</f>
        <v>553.6755</v>
      </c>
      <c r="AC494" s="276">
        <f>(AC493)*'ECOMMERCE Formulas'!$L$5</f>
        <v>492.156</v>
      </c>
      <c r="AD494" s="276">
        <f>(AD493)*'ECOMMERCE Formulas'!$L$5</f>
        <v>546.84</v>
      </c>
      <c r="AE494" s="276">
        <f>(AE493)*'ECOMMERCE Formulas'!$L$5</f>
        <v>485.3205</v>
      </c>
      <c r="AF494" s="276">
        <f>(AF493)*'ECOMMERCE Formulas'!$L$5</f>
        <v>587.853</v>
      </c>
      <c r="AG494" s="360">
        <f t="shared" si="196"/>
        <v>23028.7995</v>
      </c>
    </row>
    <row r="495">
      <c r="A495" s="979" t="s">
        <v>871</v>
      </c>
      <c r="B495" s="276">
        <f>B197*'ECOMMERCE Formulas'!$C$7</f>
        <v>0</v>
      </c>
      <c r="C495" s="276">
        <f>C197*'ECOMMERCE Formulas'!$C$7</f>
        <v>0</v>
      </c>
      <c r="D495" s="276">
        <f>D197*'ECOMMERCE Formulas'!$C$7</f>
        <v>0</v>
      </c>
      <c r="E495" s="276">
        <f>E197*'ECOMMERCE Formulas'!$C$7</f>
        <v>0</v>
      </c>
      <c r="F495" s="276">
        <f>F197*'ECOMMERCE Formulas'!$C$7</f>
        <v>0</v>
      </c>
      <c r="G495" s="276">
        <f>G197*'ECOMMERCE Formulas'!$C$7</f>
        <v>0</v>
      </c>
      <c r="H495" s="276">
        <f>H197*'ECOMMERCE Formulas'!$C$7</f>
        <v>0</v>
      </c>
      <c r="I495" s="276">
        <f>I197*'ECOMMERCE Formulas'!$C$7</f>
        <v>0</v>
      </c>
      <c r="J495" s="276">
        <f>J197*'ECOMMERCE Formulas'!$C$7</f>
        <v>0</v>
      </c>
      <c r="K495" s="276">
        <f>K197*'ECOMMERCE Formulas'!$C$7</f>
        <v>0</v>
      </c>
      <c r="L495" s="276">
        <f>L197*'ECOMMERCE Formulas'!$C$7</f>
        <v>0</v>
      </c>
      <c r="M495" s="276">
        <f>M197*'ECOMMERCE Formulas'!$C$7</f>
        <v>0</v>
      </c>
      <c r="N495" s="276">
        <f>N197*'ECOMMERCE Formulas'!$C$7</f>
        <v>0</v>
      </c>
      <c r="O495" s="276">
        <f>O197*'ECOMMERCE Formulas'!$C$7</f>
        <v>0</v>
      </c>
      <c r="P495" s="276">
        <f>P197*'ECOMMERCE Formulas'!$C$7</f>
        <v>0</v>
      </c>
      <c r="Q495" s="276">
        <f>Q197*'ECOMMERCE Formulas'!$C$7</f>
        <v>0</v>
      </c>
      <c r="R495" s="276">
        <f>R197*'ECOMMERCE Formulas'!$C$7</f>
        <v>0</v>
      </c>
      <c r="S495" s="276">
        <f>S197*'ECOMMERCE Formulas'!$C$7</f>
        <v>0</v>
      </c>
      <c r="T495" s="276">
        <f>T197*'ECOMMERCE Formulas'!$C$7</f>
        <v>0</v>
      </c>
      <c r="U495" s="276">
        <f>U197*'ECOMMERCE Formulas'!$C$7</f>
        <v>0</v>
      </c>
      <c r="V495" s="276">
        <f>V197*'ECOMMERCE Formulas'!$C$7</f>
        <v>0</v>
      </c>
      <c r="W495" s="276">
        <f>W197*'ECOMMERCE Formulas'!$C$7</f>
        <v>0</v>
      </c>
      <c r="X495" s="276">
        <f>X197*'ECOMMERCE Formulas'!$C$7</f>
        <v>0</v>
      </c>
      <c r="Y495" s="276">
        <f>Y197*'ECOMMERCE Formulas'!$C$7</f>
        <v>0</v>
      </c>
      <c r="Z495" s="276">
        <f>Z197*'ECOMMERCE Formulas'!$C$7</f>
        <v>0</v>
      </c>
      <c r="AA495" s="276">
        <f>AA197*'ECOMMERCE Formulas'!$C$7</f>
        <v>0</v>
      </c>
      <c r="AB495" s="276">
        <f>AB197*'ECOMMERCE Formulas'!$C$7</f>
        <v>0</v>
      </c>
      <c r="AC495" s="276">
        <f>AC197*'ECOMMERCE Formulas'!$C$7</f>
        <v>0</v>
      </c>
      <c r="AD495" s="276">
        <f>AD197*'ECOMMERCE Formulas'!$C$7</f>
        <v>-6.37</v>
      </c>
      <c r="AE495" s="276">
        <f>AE197*'ECOMMERCE Formulas'!$C$7</f>
        <v>-6.37</v>
      </c>
      <c r="AF495" s="276">
        <f>AF197*'ECOMMERCE Formulas'!$C$7</f>
        <v>0</v>
      </c>
      <c r="AG495" s="360">
        <f t="shared" si="196"/>
        <v>-12.74</v>
      </c>
    </row>
    <row r="496">
      <c r="A496" s="982" t="s">
        <v>875</v>
      </c>
      <c r="B496" s="276">
        <f>B495*'ECOMMERCE Formulas'!$L$5</f>
        <v>0</v>
      </c>
      <c r="C496" s="276">
        <f>C495*'ECOMMERCE Formulas'!$L$5</f>
        <v>0</v>
      </c>
      <c r="D496" s="276">
        <f>D495*'ECOMMERCE Formulas'!$L$5</f>
        <v>0</v>
      </c>
      <c r="E496" s="276">
        <f>E495*'ECOMMERCE Formulas'!$L$5</f>
        <v>0</v>
      </c>
      <c r="F496" s="276">
        <f>F495*'ECOMMERCE Formulas'!$L$5</f>
        <v>0</v>
      </c>
      <c r="G496" s="276">
        <f>G495*'ECOMMERCE Formulas'!$L$5</f>
        <v>0</v>
      </c>
      <c r="H496" s="276">
        <f>H495*'ECOMMERCE Formulas'!$L$5</f>
        <v>0</v>
      </c>
      <c r="I496" s="276">
        <f>I495*'ECOMMERCE Formulas'!$L$5</f>
        <v>0</v>
      </c>
      <c r="J496" s="276">
        <f>J495*'ECOMMERCE Formulas'!$L$5</f>
        <v>0</v>
      </c>
      <c r="K496" s="276">
        <f>K495*'ECOMMERCE Formulas'!$L$5</f>
        <v>0</v>
      </c>
      <c r="L496" s="276">
        <f>L495*'ECOMMERCE Formulas'!$L$5</f>
        <v>0</v>
      </c>
      <c r="M496" s="276">
        <f>M495*'ECOMMERCE Formulas'!$L$5</f>
        <v>0</v>
      </c>
      <c r="N496" s="276">
        <f>N495*'ECOMMERCE Formulas'!$L$5</f>
        <v>0</v>
      </c>
      <c r="O496" s="276">
        <f>O495*'ECOMMERCE Formulas'!$L$5</f>
        <v>0</v>
      </c>
      <c r="P496" s="276">
        <f>P495*'ECOMMERCE Formulas'!$L$5</f>
        <v>0</v>
      </c>
      <c r="Q496" s="276">
        <f>Q495*'ECOMMERCE Formulas'!$L$5</f>
        <v>0</v>
      </c>
      <c r="R496" s="276">
        <f>R495*'ECOMMERCE Formulas'!$L$5</f>
        <v>0</v>
      </c>
      <c r="S496" s="276">
        <f>S495*'ECOMMERCE Formulas'!$L$5</f>
        <v>0</v>
      </c>
      <c r="T496" s="276">
        <f>T495*'ECOMMERCE Formulas'!$L$5</f>
        <v>0</v>
      </c>
      <c r="U496" s="276">
        <f>U495*'ECOMMERCE Formulas'!$L$5</f>
        <v>0</v>
      </c>
      <c r="V496" s="276">
        <f>V495*'ECOMMERCE Formulas'!$L$5</f>
        <v>0</v>
      </c>
      <c r="W496" s="276">
        <f>W495*'ECOMMERCE Formulas'!$L$5</f>
        <v>0</v>
      </c>
      <c r="X496" s="276">
        <f>X495*'ECOMMERCE Formulas'!$L$5</f>
        <v>0</v>
      </c>
      <c r="Y496" s="276">
        <f>Y495*'ECOMMERCE Formulas'!$L$5</f>
        <v>0</v>
      </c>
      <c r="Z496" s="276">
        <f>Z495*'ECOMMERCE Formulas'!$L$5</f>
        <v>0</v>
      </c>
      <c r="AA496" s="276">
        <f>AA495*'ECOMMERCE Formulas'!$L$5</f>
        <v>0</v>
      </c>
      <c r="AB496" s="276">
        <f>AB495*'ECOMMERCE Formulas'!$L$5</f>
        <v>0</v>
      </c>
      <c r="AC496" s="276">
        <f>AC495*'ECOMMERCE Formulas'!$L$5</f>
        <v>0</v>
      </c>
      <c r="AD496" s="276">
        <f>AD495*'ECOMMERCE Formulas'!$L$5</f>
        <v>-0.47775</v>
      </c>
      <c r="AE496" s="276">
        <f>AE495*'ECOMMERCE Formulas'!$L$5</f>
        <v>-0.47775</v>
      </c>
      <c r="AF496" s="276">
        <f>AF495*'ECOMMERCE Formulas'!$L$5</f>
        <v>0</v>
      </c>
      <c r="AG496" s="360">
        <f t="shared" si="196"/>
        <v>-0.9555</v>
      </c>
    </row>
    <row r="497">
      <c r="A497" s="982" t="s">
        <v>881</v>
      </c>
      <c r="B497" s="276">
        <f>B495*'ECOMMERCE Formulas'!$L$4</f>
        <v>0</v>
      </c>
      <c r="C497" s="276">
        <f>C495*'ECOMMERCE Formulas'!$L$4</f>
        <v>0</v>
      </c>
      <c r="D497" s="276">
        <f>D495*'ECOMMERCE Formulas'!$L$4</f>
        <v>0</v>
      </c>
      <c r="E497" s="276">
        <f>E495*'ECOMMERCE Formulas'!$L$4</f>
        <v>0</v>
      </c>
      <c r="F497" s="276">
        <f>F495*'ECOMMERCE Formulas'!$L$4</f>
        <v>0</v>
      </c>
      <c r="G497" s="276">
        <f>G495*'ECOMMERCE Formulas'!$L$4</f>
        <v>0</v>
      </c>
      <c r="H497" s="276">
        <f>H495*'ECOMMERCE Formulas'!$L$4</f>
        <v>0</v>
      </c>
      <c r="I497" s="276">
        <f>I495*'ECOMMERCE Formulas'!$L$4</f>
        <v>0</v>
      </c>
      <c r="J497" s="276">
        <f>J495*'ECOMMERCE Formulas'!$L$4</f>
        <v>0</v>
      </c>
      <c r="K497" s="276">
        <f>K495*'ECOMMERCE Formulas'!$L$4</f>
        <v>0</v>
      </c>
      <c r="L497" s="276">
        <f>L495*'ECOMMERCE Formulas'!$L$4</f>
        <v>0</v>
      </c>
      <c r="M497" s="276">
        <f>M495*'ECOMMERCE Formulas'!$L$4</f>
        <v>0</v>
      </c>
      <c r="N497" s="276">
        <f>N495*'ECOMMERCE Formulas'!$L$4</f>
        <v>0</v>
      </c>
      <c r="O497" s="276">
        <f>O495*'ECOMMERCE Formulas'!$L$4</f>
        <v>0</v>
      </c>
      <c r="P497" s="276">
        <f>P495*'ECOMMERCE Formulas'!$L$4</f>
        <v>0</v>
      </c>
      <c r="Q497" s="276">
        <f>Q495*'ECOMMERCE Formulas'!$L$4</f>
        <v>0</v>
      </c>
      <c r="R497" s="276">
        <f>R495*'ECOMMERCE Formulas'!$L$4</f>
        <v>0</v>
      </c>
      <c r="S497" s="276">
        <f>S495*'ECOMMERCE Formulas'!$L$4</f>
        <v>0</v>
      </c>
      <c r="T497" s="276">
        <f>T495*'ECOMMERCE Formulas'!$L$4</f>
        <v>0</v>
      </c>
      <c r="U497" s="276">
        <f>U495*'ECOMMERCE Formulas'!$L$4</f>
        <v>0</v>
      </c>
      <c r="V497" s="276">
        <f>V495*'ECOMMERCE Formulas'!$L$4</f>
        <v>0</v>
      </c>
      <c r="W497" s="276">
        <f>W495*'ECOMMERCE Formulas'!$L$4</f>
        <v>0</v>
      </c>
      <c r="X497" s="276">
        <f>X495*'ECOMMERCE Formulas'!$L$4</f>
        <v>0</v>
      </c>
      <c r="Y497" s="276">
        <f>Y495*'ECOMMERCE Formulas'!$L$4</f>
        <v>0</v>
      </c>
      <c r="Z497" s="276">
        <f>Z495*'ECOMMERCE Formulas'!$L$4</f>
        <v>0</v>
      </c>
      <c r="AA497" s="276">
        <f>AA495*'ECOMMERCE Formulas'!$L$4</f>
        <v>0</v>
      </c>
      <c r="AB497" s="276">
        <f>AB495*'ECOMMERCE Formulas'!$L$4</f>
        <v>0</v>
      </c>
      <c r="AC497" s="276">
        <f>AC495*'ECOMMERCE Formulas'!$L$4</f>
        <v>0</v>
      </c>
      <c r="AD497" s="276">
        <f>AD495*'ECOMMERCE Formulas'!$L$4</f>
        <v>-0.21658</v>
      </c>
      <c r="AE497" s="276">
        <f>AE495*'ECOMMERCE Formulas'!$L$4</f>
        <v>-0.21658</v>
      </c>
      <c r="AF497" s="276">
        <f>AF495*'ECOMMERCE Formulas'!$L$4</f>
        <v>0</v>
      </c>
      <c r="AG497" s="360">
        <f t="shared" si="196"/>
        <v>-0.43316</v>
      </c>
    </row>
    <row r="498">
      <c r="A498" s="979" t="s">
        <v>884</v>
      </c>
      <c r="B498" s="276">
        <f>B196*'ECOMMERCE Formulas'!$C$6</f>
        <v>246.5</v>
      </c>
      <c r="C498" s="276">
        <f>C196*'ECOMMERCE Formulas'!$C$6</f>
        <v>256.36</v>
      </c>
      <c r="D498" s="276">
        <f>D196*'ECOMMERCE Formulas'!$C$6</f>
        <v>157.76</v>
      </c>
      <c r="E498" s="276">
        <f>E196*'ECOMMERCE Formulas'!$C$6</f>
        <v>182.41</v>
      </c>
      <c r="F498" s="276">
        <f>F196*'ECOMMERCE Formulas'!$C$6</f>
        <v>211.99</v>
      </c>
      <c r="G498" s="276">
        <f>G196*'ECOMMERCE Formulas'!$C$6</f>
        <v>202.13</v>
      </c>
      <c r="H498" s="276">
        <f>H196*'ECOMMERCE Formulas'!$C$6</f>
        <v>236.64</v>
      </c>
      <c r="I498" s="276">
        <f>I196*'ECOMMERCE Formulas'!$C$6</f>
        <v>345.1</v>
      </c>
      <c r="J498" s="276">
        <f>J196*'ECOMMERCE Formulas'!$C$6</f>
        <v>354.96</v>
      </c>
      <c r="K498" s="276">
        <f>K196*'ECOMMERCE Formulas'!$C$6</f>
        <v>305.66</v>
      </c>
      <c r="L498" s="276">
        <f>L196*'ECOMMERCE Formulas'!$C$6</f>
        <v>271.15</v>
      </c>
      <c r="M498" s="276">
        <f>M196*'ECOMMERCE Formulas'!$C$6</f>
        <v>221.85</v>
      </c>
      <c r="N498" s="276">
        <f>N196*'ECOMMERCE Formulas'!$C$6</f>
        <v>409.19</v>
      </c>
      <c r="O498" s="276">
        <f>O196*'ECOMMERCE Formulas'!$C$6</f>
        <v>325.38</v>
      </c>
      <c r="P498" s="276">
        <f>P196*'ECOMMERCE Formulas'!$C$6</f>
        <v>419.05</v>
      </c>
      <c r="Q498" s="276">
        <f>Q196*'ECOMMERCE Formulas'!$C$6</f>
        <v>389.47</v>
      </c>
      <c r="R498" s="276">
        <f>R196*'ECOMMERCE Formulas'!$C$6</f>
        <v>157.76</v>
      </c>
      <c r="S498" s="276">
        <f>S196*'ECOMMERCE Formulas'!$C$6</f>
        <v>359.89</v>
      </c>
      <c r="T498" s="276">
        <f>T196*'ECOMMERCE Formulas'!$C$6</f>
        <v>211.99</v>
      </c>
      <c r="U498" s="276">
        <f>U196*'ECOMMERCE Formulas'!$C$6</f>
        <v>285.94</v>
      </c>
      <c r="V498" s="276">
        <f>V196*'ECOMMERCE Formulas'!$C$6</f>
        <v>226.78</v>
      </c>
      <c r="W498" s="276">
        <f>W196*'ECOMMERCE Formulas'!$C$6</f>
        <v>281.01</v>
      </c>
      <c r="X498" s="276">
        <f>X196*'ECOMMERCE Formulas'!$C$6</f>
        <v>271.15</v>
      </c>
      <c r="Y498" s="276">
        <f>Y196*'ECOMMERCE Formulas'!$C$6</f>
        <v>167.62</v>
      </c>
      <c r="Z498" s="276">
        <f>Z196*'ECOMMERCE Formulas'!$C$6</f>
        <v>182.41</v>
      </c>
      <c r="AA498" s="276">
        <f>AA196*'ECOMMERCE Formulas'!$C$6</f>
        <v>118.32</v>
      </c>
      <c r="AB498" s="276">
        <f>AB196*'ECOMMERCE Formulas'!$C$6</f>
        <v>192.27</v>
      </c>
      <c r="AC498" s="276">
        <f>AC196*'ECOMMERCE Formulas'!$C$6</f>
        <v>138.04</v>
      </c>
      <c r="AD498" s="276">
        <f>AD196*'ECOMMERCE Formulas'!$C$6</f>
        <v>182.41</v>
      </c>
      <c r="AE498" s="276">
        <f>AE196*'ECOMMERCE Formulas'!$C$6</f>
        <v>142.97</v>
      </c>
      <c r="AF498" s="276">
        <f>AF196*'ECOMMERCE Formulas'!$C$6</f>
        <v>152.83</v>
      </c>
      <c r="AG498" s="360">
        <f t="shared" si="196"/>
        <v>7606.99</v>
      </c>
    </row>
    <row r="499">
      <c r="A499" s="982" t="s">
        <v>888</v>
      </c>
      <c r="B499" s="276">
        <f>B498*'ECOMMERCE Formulas'!$L$5</f>
        <v>18.4875</v>
      </c>
      <c r="C499" s="276">
        <f>C498*'ECOMMERCE Formulas'!$L$5</f>
        <v>19.227</v>
      </c>
      <c r="D499" s="276">
        <f>D498*'ECOMMERCE Formulas'!$L$5</f>
        <v>11.832</v>
      </c>
      <c r="E499" s="276">
        <f>E498*'ECOMMERCE Formulas'!$L$5</f>
        <v>13.68075</v>
      </c>
      <c r="F499" s="276">
        <f>F498*'ECOMMERCE Formulas'!$L$5</f>
        <v>15.89925</v>
      </c>
      <c r="G499" s="276">
        <f>G498*'ECOMMERCE Formulas'!$L$5</f>
        <v>15.15975</v>
      </c>
      <c r="H499" s="276">
        <f>H498*'ECOMMERCE Formulas'!$L$5</f>
        <v>17.748</v>
      </c>
      <c r="I499" s="276">
        <f>I498*'ECOMMERCE Formulas'!$L$5</f>
        <v>25.8825</v>
      </c>
      <c r="J499" s="276">
        <f>J498*'ECOMMERCE Formulas'!$L$5</f>
        <v>26.622</v>
      </c>
      <c r="K499" s="276">
        <f>K498*'ECOMMERCE Formulas'!$L$5</f>
        <v>22.9245</v>
      </c>
      <c r="L499" s="276">
        <f>L498*'ECOMMERCE Formulas'!$L$5</f>
        <v>20.33625</v>
      </c>
      <c r="M499" s="276">
        <f>M498*'ECOMMERCE Formulas'!$L$5</f>
        <v>16.63875</v>
      </c>
      <c r="N499" s="276">
        <f>N498*'ECOMMERCE Formulas'!$L$5</f>
        <v>30.68925</v>
      </c>
      <c r="O499" s="276">
        <f>O498*'ECOMMERCE Formulas'!$L$5</f>
        <v>24.4035</v>
      </c>
      <c r="P499" s="276">
        <f>P498*'ECOMMERCE Formulas'!$L$5</f>
        <v>31.42875</v>
      </c>
      <c r="Q499" s="276">
        <f>Q498*'ECOMMERCE Formulas'!$L$5</f>
        <v>29.21025</v>
      </c>
      <c r="R499" s="276">
        <f>R498*'ECOMMERCE Formulas'!$L$5</f>
        <v>11.832</v>
      </c>
      <c r="S499" s="276">
        <f>S498*'ECOMMERCE Formulas'!$L$5</f>
        <v>26.99175</v>
      </c>
      <c r="T499" s="276">
        <f>T498*'ECOMMERCE Formulas'!$L$5</f>
        <v>15.89925</v>
      </c>
      <c r="U499" s="276">
        <f>U498*'ECOMMERCE Formulas'!$L$5</f>
        <v>21.4455</v>
      </c>
      <c r="V499" s="276">
        <f>V498*'ECOMMERCE Formulas'!$L$5</f>
        <v>17.0085</v>
      </c>
      <c r="W499" s="276">
        <f>W498*'ECOMMERCE Formulas'!$L$5</f>
        <v>21.07575</v>
      </c>
      <c r="X499" s="276">
        <f>X498*'ECOMMERCE Formulas'!$L$5</f>
        <v>20.33625</v>
      </c>
      <c r="Y499" s="276">
        <f>Y498*'ECOMMERCE Formulas'!$L$5</f>
        <v>12.5715</v>
      </c>
      <c r="Z499" s="276">
        <f>Z498*'ECOMMERCE Formulas'!$L$5</f>
        <v>13.68075</v>
      </c>
      <c r="AA499" s="276">
        <f>AA498*'ECOMMERCE Formulas'!$L$5</f>
        <v>8.874</v>
      </c>
      <c r="AB499" s="276">
        <f>AB498*'ECOMMERCE Formulas'!$L$5</f>
        <v>14.42025</v>
      </c>
      <c r="AC499" s="276">
        <f>AC498*'ECOMMERCE Formulas'!$L$5</f>
        <v>10.353</v>
      </c>
      <c r="AD499" s="276">
        <f>AD498*'ECOMMERCE Formulas'!$L$5</f>
        <v>13.68075</v>
      </c>
      <c r="AE499" s="276">
        <f>AE498*'ECOMMERCE Formulas'!$L$5</f>
        <v>10.72275</v>
      </c>
      <c r="AF499" s="276">
        <f>AF498*'ECOMMERCE Formulas'!$L$5</f>
        <v>11.46225</v>
      </c>
      <c r="AG499" s="360">
        <f t="shared" si="196"/>
        <v>570.52425</v>
      </c>
    </row>
    <row r="500">
      <c r="A500" s="982" t="s">
        <v>889</v>
      </c>
      <c r="B500" s="276">
        <f>B498*'ECOMMERCE Formulas'!$L$4</f>
        <v>8.381</v>
      </c>
      <c r="C500" s="276">
        <f>C498*'ECOMMERCE Formulas'!$L$4</f>
        <v>8.71624</v>
      </c>
      <c r="D500" s="276">
        <f>D498*'ECOMMERCE Formulas'!$L$4</f>
        <v>5.36384</v>
      </c>
      <c r="E500" s="276">
        <f>E498*'ECOMMERCE Formulas'!$L$4</f>
        <v>6.20194</v>
      </c>
      <c r="F500" s="276">
        <f>F498*'ECOMMERCE Formulas'!$L$4</f>
        <v>7.20766</v>
      </c>
      <c r="G500" s="276">
        <f>G498*'ECOMMERCE Formulas'!$L$4</f>
        <v>6.87242</v>
      </c>
      <c r="H500" s="276">
        <f>H498*'ECOMMERCE Formulas'!$L$4</f>
        <v>8.04576</v>
      </c>
      <c r="I500" s="276">
        <f>I498*'ECOMMERCE Formulas'!$L$4</f>
        <v>11.7334</v>
      </c>
      <c r="J500" s="276">
        <f>J498*'ECOMMERCE Formulas'!$L$4</f>
        <v>12.06864</v>
      </c>
      <c r="K500" s="276">
        <f>K498*'ECOMMERCE Formulas'!$L$4</f>
        <v>10.39244</v>
      </c>
      <c r="L500" s="276">
        <f>L498*'ECOMMERCE Formulas'!$L$4</f>
        <v>9.2191</v>
      </c>
      <c r="M500" s="276">
        <f>M498*'ECOMMERCE Formulas'!$L$4</f>
        <v>7.5429</v>
      </c>
      <c r="N500" s="276">
        <f>N498*'ECOMMERCE Formulas'!$L$4</f>
        <v>13.91246</v>
      </c>
      <c r="O500" s="276">
        <f>O498*'ECOMMERCE Formulas'!$L$4</f>
        <v>11.06292</v>
      </c>
      <c r="P500" s="276">
        <f>P498*'ECOMMERCE Formulas'!$L$4</f>
        <v>14.2477</v>
      </c>
      <c r="Q500" s="276">
        <f>Q498*'ECOMMERCE Formulas'!$L$4</f>
        <v>13.24198</v>
      </c>
      <c r="R500" s="276">
        <f>R498*'ECOMMERCE Formulas'!$L$4</f>
        <v>5.36384</v>
      </c>
      <c r="S500" s="276">
        <f>S498*'ECOMMERCE Formulas'!$L$4</f>
        <v>12.23626</v>
      </c>
      <c r="T500" s="276">
        <f>T498*'ECOMMERCE Formulas'!$L$4</f>
        <v>7.20766</v>
      </c>
      <c r="U500" s="276">
        <f>U498*'ECOMMERCE Formulas'!$L$4</f>
        <v>9.72196</v>
      </c>
      <c r="V500" s="276">
        <f>V498*'ECOMMERCE Formulas'!$L$4</f>
        <v>7.71052</v>
      </c>
      <c r="W500" s="276">
        <f>W498*'ECOMMERCE Formulas'!$L$4</f>
        <v>9.55434</v>
      </c>
      <c r="X500" s="276">
        <f>X498*'ECOMMERCE Formulas'!$L$4</f>
        <v>9.2191</v>
      </c>
      <c r="Y500" s="276">
        <f>Y498*'ECOMMERCE Formulas'!$L$4</f>
        <v>5.69908</v>
      </c>
      <c r="Z500" s="276">
        <f>Z498*'ECOMMERCE Formulas'!$L$4</f>
        <v>6.20194</v>
      </c>
      <c r="AA500" s="276">
        <f>AA498*'ECOMMERCE Formulas'!$L$4</f>
        <v>4.02288</v>
      </c>
      <c r="AB500" s="276">
        <f>AB498*'ECOMMERCE Formulas'!$L$4</f>
        <v>6.53718</v>
      </c>
      <c r="AC500" s="276">
        <f>AC498*'ECOMMERCE Formulas'!$L$4</f>
        <v>4.69336</v>
      </c>
      <c r="AD500" s="276">
        <f>AD498*'ECOMMERCE Formulas'!$L$4</f>
        <v>6.20194</v>
      </c>
      <c r="AE500" s="276">
        <f>AE498*'ECOMMERCE Formulas'!$L$4</f>
        <v>4.86098</v>
      </c>
      <c r="AF500" s="276">
        <f>AF498*'ECOMMERCE Formulas'!$L$4</f>
        <v>5.19622</v>
      </c>
      <c r="AG500" s="360">
        <f t="shared" si="196"/>
        <v>258.63766</v>
      </c>
    </row>
    <row r="501">
      <c r="A501" s="979" t="s">
        <v>891</v>
      </c>
      <c r="B501" s="276">
        <f>B198*'ECOMMERCE Formulas'!$C$8</f>
        <v>25.68</v>
      </c>
      <c r="C501" s="276">
        <f>C198*'ECOMMERCE Formulas'!$C$8</f>
        <v>39.59</v>
      </c>
      <c r="D501" s="276">
        <f>D198*'ECOMMERCE Formulas'!$C$8</f>
        <v>23.54</v>
      </c>
      <c r="E501" s="276">
        <f>E198*'ECOMMERCE Formulas'!$C$8</f>
        <v>29.96</v>
      </c>
      <c r="F501" s="276">
        <f>F198*'ECOMMERCE Formulas'!$C$8</f>
        <v>26.75</v>
      </c>
      <c r="G501" s="276">
        <f>G198*'ECOMMERCE Formulas'!$C$8</f>
        <v>19.26</v>
      </c>
      <c r="H501" s="276">
        <f>H198*'ECOMMERCE Formulas'!$C$8</f>
        <v>17.12</v>
      </c>
      <c r="I501" s="276">
        <f>I198*'ECOMMERCE Formulas'!$C$8</f>
        <v>33.17</v>
      </c>
      <c r="J501" s="276">
        <f>J198*'ECOMMERCE Formulas'!$C$8</f>
        <v>26.75</v>
      </c>
      <c r="K501" s="276">
        <f>K198*'ECOMMERCE Formulas'!$C$8</f>
        <v>29.96</v>
      </c>
      <c r="L501" s="276">
        <f>L198*'ECOMMERCE Formulas'!$C$8</f>
        <v>24.61</v>
      </c>
      <c r="M501" s="276">
        <f>M198*'ECOMMERCE Formulas'!$C$8</f>
        <v>25.68</v>
      </c>
      <c r="N501" s="276">
        <f>N198*'ECOMMERCE Formulas'!$C$8</f>
        <v>51.36</v>
      </c>
      <c r="O501" s="276">
        <f>O198*'ECOMMERCE Formulas'!$C$8</f>
        <v>40.66</v>
      </c>
      <c r="P501" s="276">
        <f>P198*'ECOMMERCE Formulas'!$C$8</f>
        <v>41.73</v>
      </c>
      <c r="Q501" s="276">
        <f>Q198*'ECOMMERCE Formulas'!$C$8</f>
        <v>39.59</v>
      </c>
      <c r="R501" s="276">
        <f>R198*'ECOMMERCE Formulas'!$C$8</f>
        <v>25.68</v>
      </c>
      <c r="S501" s="276">
        <f>S198*'ECOMMERCE Formulas'!$C$8</f>
        <v>36.38</v>
      </c>
      <c r="T501" s="276">
        <f>T198*'ECOMMERCE Formulas'!$C$8</f>
        <v>35.31</v>
      </c>
      <c r="U501" s="276">
        <f>U198*'ECOMMERCE Formulas'!$C$8</f>
        <v>34.24</v>
      </c>
      <c r="V501" s="276">
        <f>V198*'ECOMMERCE Formulas'!$C$8</f>
        <v>25.68</v>
      </c>
      <c r="W501" s="276">
        <f>W198*'ECOMMERCE Formulas'!$C$8</f>
        <v>28.89</v>
      </c>
      <c r="X501" s="276">
        <f>X198*'ECOMMERCE Formulas'!$C$8</f>
        <v>27.82</v>
      </c>
      <c r="Y501" s="276">
        <f>Y198*'ECOMMERCE Formulas'!$C$8</f>
        <v>23.54</v>
      </c>
      <c r="Z501" s="276">
        <f>Z198*'ECOMMERCE Formulas'!$C$8</f>
        <v>17.12</v>
      </c>
      <c r="AA501" s="276">
        <f>AA198*'ECOMMERCE Formulas'!$C$8</f>
        <v>21.4</v>
      </c>
      <c r="AB501" s="276">
        <f>AB198*'ECOMMERCE Formulas'!$C$8</f>
        <v>14.98</v>
      </c>
      <c r="AC501" s="276">
        <f>AC198*'ECOMMERCE Formulas'!$C$8</f>
        <v>16.05</v>
      </c>
      <c r="AD501" s="276">
        <f>AD198*'ECOMMERCE Formulas'!$C$8</f>
        <v>17.12</v>
      </c>
      <c r="AE501" s="276">
        <f>AE198*'ECOMMERCE Formulas'!$C$8</f>
        <v>24.61</v>
      </c>
      <c r="AF501" s="276">
        <f>AF198*'ECOMMERCE Formulas'!$C$8</f>
        <v>13.91</v>
      </c>
      <c r="AG501" s="360">
        <f t="shared" si="196"/>
        <v>858.14</v>
      </c>
    </row>
    <row r="502">
      <c r="A502" s="982" t="s">
        <v>892</v>
      </c>
      <c r="B502" s="276">
        <f>B501*'ECOMMERCE Formulas'!$L$5</f>
        <v>1.926</v>
      </c>
      <c r="C502" s="276">
        <f>C501*'ECOMMERCE Formulas'!$L$5</f>
        <v>2.96925</v>
      </c>
      <c r="D502" s="276">
        <f>D501*'ECOMMERCE Formulas'!$L$5</f>
        <v>1.7655</v>
      </c>
      <c r="E502" s="276">
        <f>E501*'ECOMMERCE Formulas'!$L$5</f>
        <v>2.247</v>
      </c>
      <c r="F502" s="276">
        <f>F501*'ECOMMERCE Formulas'!$L$5</f>
        <v>2.00625</v>
      </c>
      <c r="G502" s="276">
        <f>G501*'ECOMMERCE Formulas'!$L$5</f>
        <v>1.4445</v>
      </c>
      <c r="H502" s="276">
        <f>H501*'ECOMMERCE Formulas'!$L$5</f>
        <v>1.284</v>
      </c>
      <c r="I502" s="276">
        <f>I501*'ECOMMERCE Formulas'!$L$5</f>
        <v>2.48775</v>
      </c>
      <c r="J502" s="276">
        <f>J501*'ECOMMERCE Formulas'!$L$5</f>
        <v>2.00625</v>
      </c>
      <c r="K502" s="276">
        <f>K501*'ECOMMERCE Formulas'!$L$5</f>
        <v>2.247</v>
      </c>
      <c r="L502" s="276">
        <f>L501*'ECOMMERCE Formulas'!$L$5</f>
        <v>1.84575</v>
      </c>
      <c r="M502" s="276">
        <f>M501*'ECOMMERCE Formulas'!$L$5</f>
        <v>1.926</v>
      </c>
      <c r="N502" s="276">
        <f>N501*'ECOMMERCE Formulas'!$L$5</f>
        <v>3.852</v>
      </c>
      <c r="O502" s="276">
        <f>O501*'ECOMMERCE Formulas'!$L$5</f>
        <v>3.0495</v>
      </c>
      <c r="P502" s="276">
        <f>P501*'ECOMMERCE Formulas'!$L$5</f>
        <v>3.12975</v>
      </c>
      <c r="Q502" s="276">
        <f>Q501*'ECOMMERCE Formulas'!$L$5</f>
        <v>2.96925</v>
      </c>
      <c r="R502" s="276">
        <f>R501*'ECOMMERCE Formulas'!$L$5</f>
        <v>1.926</v>
      </c>
      <c r="S502" s="276">
        <f>S501*'ECOMMERCE Formulas'!$L$5</f>
        <v>2.7285</v>
      </c>
      <c r="T502" s="276">
        <f>T501*'ECOMMERCE Formulas'!$L$5</f>
        <v>2.64825</v>
      </c>
      <c r="U502" s="276">
        <f>U501*'ECOMMERCE Formulas'!$L$5</f>
        <v>2.568</v>
      </c>
      <c r="V502" s="276">
        <f>V501*'ECOMMERCE Formulas'!$L$5</f>
        <v>1.926</v>
      </c>
      <c r="W502" s="276">
        <f>W501*'ECOMMERCE Formulas'!$L$5</f>
        <v>2.16675</v>
      </c>
      <c r="X502" s="276">
        <f>X501*'ECOMMERCE Formulas'!$L$5</f>
        <v>2.0865</v>
      </c>
      <c r="Y502" s="276">
        <f>Y501*'ECOMMERCE Formulas'!$L$5</f>
        <v>1.7655</v>
      </c>
      <c r="Z502" s="276">
        <f>Z501*'ECOMMERCE Formulas'!$L$5</f>
        <v>1.284</v>
      </c>
      <c r="AA502" s="276">
        <f>AA501*'ECOMMERCE Formulas'!$L$5</f>
        <v>1.605</v>
      </c>
      <c r="AB502" s="276">
        <f>AB501*'ECOMMERCE Formulas'!$L$5</f>
        <v>1.1235</v>
      </c>
      <c r="AC502" s="276">
        <f>AC501*'ECOMMERCE Formulas'!$L$5</f>
        <v>1.20375</v>
      </c>
      <c r="AD502" s="276">
        <f>AD501*'ECOMMERCE Formulas'!$L$5</f>
        <v>1.284</v>
      </c>
      <c r="AE502" s="276">
        <f>AE501*'ECOMMERCE Formulas'!$L$5</f>
        <v>1.84575</v>
      </c>
      <c r="AF502" s="276">
        <f>AF501*'ECOMMERCE Formulas'!$L$5</f>
        <v>1.04325</v>
      </c>
      <c r="AG502" s="360">
        <f t="shared" si="196"/>
        <v>64.3605</v>
      </c>
    </row>
    <row r="503">
      <c r="A503" s="982" t="s">
        <v>894</v>
      </c>
      <c r="B503" s="276">
        <f>B501*'ECOMMERCE Formulas'!$L$4</f>
        <v>0.87312</v>
      </c>
      <c r="C503" s="276">
        <f>C501*'ECOMMERCE Formulas'!$L$4</f>
        <v>1.34606</v>
      </c>
      <c r="D503" s="276">
        <f>D501*'ECOMMERCE Formulas'!$L$4</f>
        <v>0.80036</v>
      </c>
      <c r="E503" s="276">
        <f>E501*'ECOMMERCE Formulas'!$L$4</f>
        <v>1.01864</v>
      </c>
      <c r="F503" s="276">
        <f>F501*'ECOMMERCE Formulas'!$L$4</f>
        <v>0.9095</v>
      </c>
      <c r="G503" s="276">
        <f>G501*'ECOMMERCE Formulas'!$L$4</f>
        <v>0.65484</v>
      </c>
      <c r="H503" s="276">
        <f>H501*'ECOMMERCE Formulas'!$L$4</f>
        <v>0.58208</v>
      </c>
      <c r="I503" s="276">
        <f>I501*'ECOMMERCE Formulas'!$L$4</f>
        <v>1.12778</v>
      </c>
      <c r="J503" s="276">
        <f>J501*'ECOMMERCE Formulas'!$L$4</f>
        <v>0.9095</v>
      </c>
      <c r="K503" s="276">
        <f>K501*'ECOMMERCE Formulas'!$L$4</f>
        <v>1.01864</v>
      </c>
      <c r="L503" s="276">
        <f>L501*'ECOMMERCE Formulas'!$L$4</f>
        <v>0.83674</v>
      </c>
      <c r="M503" s="276">
        <f>M501*'ECOMMERCE Formulas'!$L$4</f>
        <v>0.87312</v>
      </c>
      <c r="N503" s="276">
        <f>N501*'ECOMMERCE Formulas'!$L$4</f>
        <v>1.74624</v>
      </c>
      <c r="O503" s="276">
        <f>O501*'ECOMMERCE Formulas'!$L$4</f>
        <v>1.38244</v>
      </c>
      <c r="P503" s="276">
        <f>P501*'ECOMMERCE Formulas'!$L$4</f>
        <v>1.41882</v>
      </c>
      <c r="Q503" s="276">
        <f>Q501*'ECOMMERCE Formulas'!$L$4</f>
        <v>1.34606</v>
      </c>
      <c r="R503" s="276">
        <f>R501*'ECOMMERCE Formulas'!$L$4</f>
        <v>0.87312</v>
      </c>
      <c r="S503" s="276">
        <f>S501*'ECOMMERCE Formulas'!$L$4</f>
        <v>1.23692</v>
      </c>
      <c r="T503" s="276">
        <f>T501*'ECOMMERCE Formulas'!$L$4</f>
        <v>1.20054</v>
      </c>
      <c r="U503" s="276">
        <f>U501*'ECOMMERCE Formulas'!$L$4</f>
        <v>1.16416</v>
      </c>
      <c r="V503" s="276">
        <f>V501*'ECOMMERCE Formulas'!$L$4</f>
        <v>0.87312</v>
      </c>
      <c r="W503" s="276">
        <f>W501*'ECOMMERCE Formulas'!$L$4</f>
        <v>0.98226</v>
      </c>
      <c r="X503" s="276">
        <f>X501*'ECOMMERCE Formulas'!$L$4</f>
        <v>0.94588</v>
      </c>
      <c r="Y503" s="276">
        <f>Y501*'ECOMMERCE Formulas'!$L$4</f>
        <v>0.80036</v>
      </c>
      <c r="Z503" s="276">
        <f>Z501*'ECOMMERCE Formulas'!$L$4</f>
        <v>0.58208</v>
      </c>
      <c r="AA503" s="276">
        <f>AA501*'ECOMMERCE Formulas'!$L$4</f>
        <v>0.7276</v>
      </c>
      <c r="AB503" s="276">
        <f>AB501*'ECOMMERCE Formulas'!$L$4</f>
        <v>0.50932</v>
      </c>
      <c r="AC503" s="276">
        <f>AC501*'ECOMMERCE Formulas'!$L$4</f>
        <v>0.5457</v>
      </c>
      <c r="AD503" s="276">
        <f>AD501*'ECOMMERCE Formulas'!$L$4</f>
        <v>0.58208</v>
      </c>
      <c r="AE503" s="276">
        <f>AE501*'ECOMMERCE Formulas'!$L$4</f>
        <v>0.83674</v>
      </c>
      <c r="AF503" s="276">
        <f>AF501*'ECOMMERCE Formulas'!$L$4</f>
        <v>0.47294</v>
      </c>
      <c r="AG503" s="360">
        <f t="shared" si="196"/>
        <v>29.17676</v>
      </c>
    </row>
    <row r="504">
      <c r="A504" s="979" t="s">
        <v>897</v>
      </c>
      <c r="B504" s="276">
        <f>B199*'ECOMMERCE Formulas'!$C$9</f>
        <v>197.34</v>
      </c>
      <c r="C504" s="276">
        <f>C199*'ECOMMERCE Formulas'!$C$9</f>
        <v>257.14</v>
      </c>
      <c r="D504" s="276">
        <f>D199*'ECOMMERCE Formulas'!$C$9</f>
        <v>131.56</v>
      </c>
      <c r="E504" s="276">
        <f>E199*'ECOMMERCE Formulas'!$C$9</f>
        <v>203.32</v>
      </c>
      <c r="F504" s="276">
        <f>F199*'ECOMMERCE Formulas'!$C$9</f>
        <v>125.58</v>
      </c>
      <c r="G504" s="276">
        <f>G199*'ECOMMERCE Formulas'!$C$9</f>
        <v>161.46</v>
      </c>
      <c r="H504" s="276">
        <f>H199*'ECOMMERCE Formulas'!$C$9</f>
        <v>113.62</v>
      </c>
      <c r="I504" s="276">
        <f>I199*'ECOMMERCE Formulas'!$C$9</f>
        <v>227.24</v>
      </c>
      <c r="J504" s="276">
        <f>J199*'ECOMMERCE Formulas'!$C$9</f>
        <v>227.24</v>
      </c>
      <c r="K504" s="276">
        <f>K199*'ECOMMERCE Formulas'!$C$9</f>
        <v>215.28</v>
      </c>
      <c r="L504" s="276">
        <f>L199*'ECOMMERCE Formulas'!$C$9</f>
        <v>149.5</v>
      </c>
      <c r="M504" s="276">
        <f>M199*'ECOMMERCE Formulas'!$C$9</f>
        <v>149.5</v>
      </c>
      <c r="N504" s="276">
        <f>N199*'ECOMMERCE Formulas'!$C$9</f>
        <v>328.9</v>
      </c>
      <c r="O504" s="276">
        <f>O199*'ECOMMERCE Formulas'!$C$9</f>
        <v>281.06</v>
      </c>
      <c r="P504" s="276">
        <f>P199*'ECOMMERCE Formulas'!$C$9</f>
        <v>287.04</v>
      </c>
      <c r="Q504" s="276">
        <f>Q199*'ECOMMERCE Formulas'!$C$9</f>
        <v>215.28</v>
      </c>
      <c r="R504" s="276">
        <f>R199*'ECOMMERCE Formulas'!$C$9</f>
        <v>107.64</v>
      </c>
      <c r="S504" s="276">
        <f>S199*'ECOMMERCE Formulas'!$C$9</f>
        <v>191.36</v>
      </c>
      <c r="T504" s="276">
        <f>T199*'ECOMMERCE Formulas'!$C$9</f>
        <v>179.4</v>
      </c>
      <c r="U504" s="276">
        <f>U199*'ECOMMERCE Formulas'!$C$9</f>
        <v>197.34</v>
      </c>
      <c r="V504" s="276">
        <f>V199*'ECOMMERCE Formulas'!$C$9</f>
        <v>203.32</v>
      </c>
      <c r="W504" s="276">
        <f>W199*'ECOMMERCE Formulas'!$C$9</f>
        <v>167.44</v>
      </c>
      <c r="X504" s="276">
        <f>X199*'ECOMMERCE Formulas'!$C$9</f>
        <v>209.3</v>
      </c>
      <c r="Y504" s="276">
        <f>Y199*'ECOMMERCE Formulas'!$C$9</f>
        <v>119.6</v>
      </c>
      <c r="Z504" s="276">
        <f>Z199*'ECOMMERCE Formulas'!$C$9</f>
        <v>77.74</v>
      </c>
      <c r="AA504" s="276">
        <f>AA199*'ECOMMERCE Formulas'!$C$9</f>
        <v>131.56</v>
      </c>
      <c r="AB504" s="276">
        <f>AB199*'ECOMMERCE Formulas'!$C$9</f>
        <v>83.72</v>
      </c>
      <c r="AC504" s="276">
        <f>AC199*'ECOMMERCE Formulas'!$C$9</f>
        <v>89.7</v>
      </c>
      <c r="AD504" s="276">
        <f>AD199*'ECOMMERCE Formulas'!$C$9</f>
        <v>59.8</v>
      </c>
      <c r="AE504" s="276">
        <f>AE199*'ECOMMERCE Formulas'!$C$9</f>
        <v>125.58</v>
      </c>
      <c r="AF504" s="276">
        <f>AF199*'ECOMMERCE Formulas'!$C$9</f>
        <v>83.72</v>
      </c>
      <c r="AG504" s="360">
        <f t="shared" si="196"/>
        <v>5298.28</v>
      </c>
    </row>
    <row r="505">
      <c r="A505" s="982" t="s">
        <v>903</v>
      </c>
      <c r="B505" s="276">
        <f>B504*'ECOMMERCE Formulas'!$L$5</f>
        <v>14.8005</v>
      </c>
      <c r="C505" s="276">
        <f>C504*'ECOMMERCE Formulas'!$L$5</f>
        <v>19.2855</v>
      </c>
      <c r="D505" s="276">
        <f>D504*'ECOMMERCE Formulas'!$L$5</f>
        <v>9.867</v>
      </c>
      <c r="E505" s="276">
        <f>E504*'ECOMMERCE Formulas'!$L$5</f>
        <v>15.249</v>
      </c>
      <c r="F505" s="276">
        <f>F504*'ECOMMERCE Formulas'!$L$5</f>
        <v>9.4185</v>
      </c>
      <c r="G505" s="276">
        <f>G504*'ECOMMERCE Formulas'!$L$5</f>
        <v>12.1095</v>
      </c>
      <c r="H505" s="276">
        <f>H504*'ECOMMERCE Formulas'!$L$5</f>
        <v>8.5215</v>
      </c>
      <c r="I505" s="276">
        <f>I504*'ECOMMERCE Formulas'!$L$5</f>
        <v>17.043</v>
      </c>
      <c r="J505" s="276">
        <f>J504*'ECOMMERCE Formulas'!$L$5</f>
        <v>17.043</v>
      </c>
      <c r="K505" s="276">
        <f>K504*'ECOMMERCE Formulas'!$L$5</f>
        <v>16.146</v>
      </c>
      <c r="L505" s="276">
        <f>L504*'ECOMMERCE Formulas'!$L$5</f>
        <v>11.2125</v>
      </c>
      <c r="M505" s="276">
        <f>M504*'ECOMMERCE Formulas'!$L$5</f>
        <v>11.2125</v>
      </c>
      <c r="N505" s="276">
        <f>N504*'ECOMMERCE Formulas'!$L$5</f>
        <v>24.6675</v>
      </c>
      <c r="O505" s="276">
        <f>O504*'ECOMMERCE Formulas'!$L$5</f>
        <v>21.0795</v>
      </c>
      <c r="P505" s="276">
        <f>P504*'ECOMMERCE Formulas'!$L$5</f>
        <v>21.528</v>
      </c>
      <c r="Q505" s="276">
        <f>Q504*'ECOMMERCE Formulas'!$L$5</f>
        <v>16.146</v>
      </c>
      <c r="R505" s="276">
        <f>R504*'ECOMMERCE Formulas'!$L$5</f>
        <v>8.073</v>
      </c>
      <c r="S505" s="276">
        <f>S504*'ECOMMERCE Formulas'!$L$5</f>
        <v>14.352</v>
      </c>
      <c r="T505" s="276">
        <f>T504*'ECOMMERCE Formulas'!$L$5</f>
        <v>13.455</v>
      </c>
      <c r="U505" s="276">
        <f>U504*'ECOMMERCE Formulas'!$L$5</f>
        <v>14.8005</v>
      </c>
      <c r="V505" s="276">
        <f>V504*'ECOMMERCE Formulas'!$L$5</f>
        <v>15.249</v>
      </c>
      <c r="W505" s="276">
        <f>W504*'ECOMMERCE Formulas'!$L$5</f>
        <v>12.558</v>
      </c>
      <c r="X505" s="276">
        <f>X504*'ECOMMERCE Formulas'!$L$5</f>
        <v>15.6975</v>
      </c>
      <c r="Y505" s="276">
        <f>Y504*'ECOMMERCE Formulas'!$L$5</f>
        <v>8.97</v>
      </c>
      <c r="Z505" s="276">
        <f>Z504*'ECOMMERCE Formulas'!$L$5</f>
        <v>5.8305</v>
      </c>
      <c r="AA505" s="276">
        <f>AA504*'ECOMMERCE Formulas'!$L$5</f>
        <v>9.867</v>
      </c>
      <c r="AB505" s="276">
        <f>AB504*'ECOMMERCE Formulas'!$L$5</f>
        <v>6.279</v>
      </c>
      <c r="AC505" s="276">
        <f>AC504*'ECOMMERCE Formulas'!$L$5</f>
        <v>6.7275</v>
      </c>
      <c r="AD505" s="276">
        <f>AD504*'ECOMMERCE Formulas'!$L$5</f>
        <v>4.485</v>
      </c>
      <c r="AE505" s="276">
        <f>AE504*'ECOMMERCE Formulas'!$L$5</f>
        <v>9.4185</v>
      </c>
      <c r="AF505" s="276">
        <f>AF504*'ECOMMERCE Formulas'!$L$5</f>
        <v>6.279</v>
      </c>
      <c r="AG505" s="360">
        <f t="shared" si="196"/>
        <v>397.371</v>
      </c>
    </row>
    <row r="506">
      <c r="A506" s="982" t="s">
        <v>907</v>
      </c>
      <c r="B506" s="276">
        <f>B504*'ECOMMERCE Formulas'!$L$4</f>
        <v>6.70956</v>
      </c>
      <c r="C506" s="276">
        <f>C504*'ECOMMERCE Formulas'!$L$4</f>
        <v>8.74276</v>
      </c>
      <c r="D506" s="276">
        <f>D504*'ECOMMERCE Formulas'!$L$4</f>
        <v>4.47304</v>
      </c>
      <c r="E506" s="276">
        <f>E504*'ECOMMERCE Formulas'!$L$4</f>
        <v>6.91288</v>
      </c>
      <c r="F506" s="276">
        <f>F504*'ECOMMERCE Formulas'!$L$4</f>
        <v>4.26972</v>
      </c>
      <c r="G506" s="276">
        <f>G504*'ECOMMERCE Formulas'!$L$4</f>
        <v>5.48964</v>
      </c>
      <c r="H506" s="276">
        <f>H504*'ECOMMERCE Formulas'!$L$4</f>
        <v>3.86308</v>
      </c>
      <c r="I506" s="276">
        <f>I504*'ECOMMERCE Formulas'!$L$4</f>
        <v>7.72616</v>
      </c>
      <c r="J506" s="276">
        <f>J504*'ECOMMERCE Formulas'!$L$4</f>
        <v>7.72616</v>
      </c>
      <c r="K506" s="276">
        <f>K504*'ECOMMERCE Formulas'!$L$4</f>
        <v>7.31952</v>
      </c>
      <c r="L506" s="276">
        <f>L504*'ECOMMERCE Formulas'!$L$4</f>
        <v>5.083</v>
      </c>
      <c r="M506" s="276">
        <f>M504*'ECOMMERCE Formulas'!$L$4</f>
        <v>5.083</v>
      </c>
      <c r="N506" s="276">
        <f>N504*'ECOMMERCE Formulas'!$L$4</f>
        <v>11.1826</v>
      </c>
      <c r="O506" s="276">
        <f>O504*'ECOMMERCE Formulas'!$L$4</f>
        <v>9.55604</v>
      </c>
      <c r="P506" s="276">
        <f>P504*'ECOMMERCE Formulas'!$L$4</f>
        <v>9.75936</v>
      </c>
      <c r="Q506" s="276">
        <f>Q504*'ECOMMERCE Formulas'!$L$4</f>
        <v>7.31952</v>
      </c>
      <c r="R506" s="276">
        <f>R504*'ECOMMERCE Formulas'!$L$4</f>
        <v>3.65976</v>
      </c>
      <c r="S506" s="276">
        <f>S504*'ECOMMERCE Formulas'!$L$4</f>
        <v>6.50624</v>
      </c>
      <c r="T506" s="276">
        <f>T504*'ECOMMERCE Formulas'!$L$4</f>
        <v>6.0996</v>
      </c>
      <c r="U506" s="276">
        <f>U504*'ECOMMERCE Formulas'!$L$4</f>
        <v>6.70956</v>
      </c>
      <c r="V506" s="276">
        <f>V504*'ECOMMERCE Formulas'!$L$4</f>
        <v>6.91288</v>
      </c>
      <c r="W506" s="276">
        <f>W504*'ECOMMERCE Formulas'!$L$4</f>
        <v>5.69296</v>
      </c>
      <c r="X506" s="276">
        <f>X504*'ECOMMERCE Formulas'!$L$4</f>
        <v>7.1162</v>
      </c>
      <c r="Y506" s="276">
        <f>Y504*'ECOMMERCE Formulas'!$L$4</f>
        <v>4.0664</v>
      </c>
      <c r="Z506" s="276">
        <f>Z504*'ECOMMERCE Formulas'!$L$4</f>
        <v>2.64316</v>
      </c>
      <c r="AA506" s="276">
        <f>AA504*'ECOMMERCE Formulas'!$L$4</f>
        <v>4.47304</v>
      </c>
      <c r="AB506" s="276">
        <f>AB504*'ECOMMERCE Formulas'!$L$4</f>
        <v>2.84648</v>
      </c>
      <c r="AC506" s="276">
        <f>AC504*'ECOMMERCE Formulas'!$L$4</f>
        <v>3.0498</v>
      </c>
      <c r="AD506" s="276">
        <f>AD504*'ECOMMERCE Formulas'!$L$4</f>
        <v>2.0332</v>
      </c>
      <c r="AE506" s="276">
        <f>AE504*'ECOMMERCE Formulas'!$L$4</f>
        <v>4.26972</v>
      </c>
      <c r="AF506" s="276">
        <f>AF504*'ECOMMERCE Formulas'!$L$4</f>
        <v>2.84648</v>
      </c>
      <c r="AG506" s="360">
        <f t="shared" si="196"/>
        <v>180.14152</v>
      </c>
    </row>
    <row r="507">
      <c r="A507" s="979" t="s">
        <v>951</v>
      </c>
      <c r="B507" s="276">
        <f>B200*'ECOMMERCE Formulas'!$C$5</f>
        <v>189</v>
      </c>
      <c r="C507" s="276">
        <f>C200*'ECOMMERCE Formulas'!$C$5</f>
        <v>199.5</v>
      </c>
      <c r="D507" s="276">
        <f>D200*'ECOMMERCE Formulas'!$C$5</f>
        <v>189</v>
      </c>
      <c r="E507" s="276">
        <f>E200*'ECOMMERCE Formulas'!$C$5</f>
        <v>241.5</v>
      </c>
      <c r="F507" s="276">
        <f>F200*'ECOMMERCE Formulas'!$C$5</f>
        <v>115.5</v>
      </c>
      <c r="G507" s="276">
        <f>G200*'ECOMMERCE Formulas'!$C$5</f>
        <v>178.5</v>
      </c>
      <c r="H507" s="276">
        <f>H200*'ECOMMERCE Formulas'!$C$5</f>
        <v>189</v>
      </c>
      <c r="I507" s="276">
        <f>I200*'ECOMMERCE Formulas'!$C$5</f>
        <v>241.5</v>
      </c>
      <c r="J507" s="276">
        <f>J200*'ECOMMERCE Formulas'!$C$5</f>
        <v>262.5</v>
      </c>
      <c r="K507" s="276">
        <f>K200*'ECOMMERCE Formulas'!$C$5</f>
        <v>283.5</v>
      </c>
      <c r="L507" s="276">
        <f>L200*'ECOMMERCE Formulas'!$C$5</f>
        <v>126</v>
      </c>
      <c r="M507" s="276">
        <f>M200*'ECOMMERCE Formulas'!$C$5</f>
        <v>147</v>
      </c>
      <c r="N507" s="276">
        <f>N200*'ECOMMERCE Formulas'!$C$5</f>
        <v>367.5</v>
      </c>
      <c r="O507" s="276">
        <f>O200*'ECOMMERCE Formulas'!$C$5</f>
        <v>252</v>
      </c>
      <c r="P507" s="276">
        <f>P200*'ECOMMERCE Formulas'!$C$5</f>
        <v>231</v>
      </c>
      <c r="Q507" s="276">
        <f>Q200*'ECOMMERCE Formulas'!$C$5</f>
        <v>178.5</v>
      </c>
      <c r="R507" s="276">
        <f>R200*'ECOMMERCE Formulas'!$C$5</f>
        <v>157.5</v>
      </c>
      <c r="S507" s="276">
        <f>S200*'ECOMMERCE Formulas'!$C$5</f>
        <v>199.5</v>
      </c>
      <c r="T507" s="276">
        <f>T200*'ECOMMERCE Formulas'!$C$5</f>
        <v>105</v>
      </c>
      <c r="U507" s="276">
        <f>U200*'ECOMMERCE Formulas'!$C$5</f>
        <v>220.5</v>
      </c>
      <c r="V507" s="276">
        <f>V200*'ECOMMERCE Formulas'!$C$5</f>
        <v>168</v>
      </c>
      <c r="W507" s="276">
        <f>W200*'ECOMMERCE Formulas'!$C$5</f>
        <v>168</v>
      </c>
      <c r="X507" s="276">
        <f>X200*'ECOMMERCE Formulas'!$C$5</f>
        <v>210</v>
      </c>
      <c r="Y507" s="276">
        <f>Y200*'ECOMMERCE Formulas'!$C$5</f>
        <v>94.5</v>
      </c>
      <c r="Z507" s="276">
        <f>Z200*'ECOMMERCE Formulas'!$C$5</f>
        <v>178.5</v>
      </c>
      <c r="AA507" s="276">
        <f>AA200*'ECOMMERCE Formulas'!$C$5</f>
        <v>115.5</v>
      </c>
      <c r="AB507" s="276">
        <f>AB200*'ECOMMERCE Formulas'!$C$5</f>
        <v>105</v>
      </c>
      <c r="AC507" s="276">
        <f>AC200*'ECOMMERCE Formulas'!$C$5</f>
        <v>105</v>
      </c>
      <c r="AD507" s="276">
        <f>AD200*'ECOMMERCE Formulas'!$C$5</f>
        <v>210</v>
      </c>
      <c r="AE507" s="276">
        <f>AE200*'ECOMMERCE Formulas'!$C$5</f>
        <v>147</v>
      </c>
      <c r="AF507" s="276">
        <f>AF200*'ECOMMERCE Formulas'!$C$5</f>
        <v>94.5</v>
      </c>
      <c r="AG507" s="360">
        <f t="shared" si="196"/>
        <v>5670</v>
      </c>
    </row>
    <row r="508">
      <c r="A508" s="982" t="s">
        <v>957</v>
      </c>
      <c r="B508" s="276">
        <f>B507*'ECOMMERCE Formulas'!$L$8</f>
        <v>14.175</v>
      </c>
      <c r="C508" s="276">
        <f>C507*'ECOMMERCE Formulas'!$L$8</f>
        <v>14.9625</v>
      </c>
      <c r="D508" s="276">
        <f>D507*'ECOMMERCE Formulas'!$L$8</f>
        <v>14.175</v>
      </c>
      <c r="E508" s="276">
        <f>E507*'ECOMMERCE Formulas'!$L$8</f>
        <v>18.1125</v>
      </c>
      <c r="F508" s="276">
        <f>F507*'ECOMMERCE Formulas'!$L$8</f>
        <v>8.6625</v>
      </c>
      <c r="G508" s="276">
        <f>G507*'ECOMMERCE Formulas'!$L$8</f>
        <v>13.3875</v>
      </c>
      <c r="H508" s="276">
        <f>H507*'ECOMMERCE Formulas'!$L$8</f>
        <v>14.175</v>
      </c>
      <c r="I508" s="276">
        <f>I507*'ECOMMERCE Formulas'!$L$8</f>
        <v>18.1125</v>
      </c>
      <c r="J508" s="276">
        <f>J507*'ECOMMERCE Formulas'!$L$8</f>
        <v>19.6875</v>
      </c>
      <c r="K508" s="276">
        <f>K507*'ECOMMERCE Formulas'!$L$8</f>
        <v>21.2625</v>
      </c>
      <c r="L508" s="276">
        <f>L507*'ECOMMERCE Formulas'!$L$8</f>
        <v>9.45</v>
      </c>
      <c r="M508" s="276">
        <f>M507*'ECOMMERCE Formulas'!$L$8</f>
        <v>11.025</v>
      </c>
      <c r="N508" s="276">
        <f>N507*'ECOMMERCE Formulas'!$L$8</f>
        <v>27.5625</v>
      </c>
      <c r="O508" s="276">
        <f>O507*'ECOMMERCE Formulas'!$L$8</f>
        <v>18.9</v>
      </c>
      <c r="P508" s="276">
        <f>P507*'ECOMMERCE Formulas'!$L$8</f>
        <v>17.325</v>
      </c>
      <c r="Q508" s="276">
        <f>Q507*'ECOMMERCE Formulas'!$L$8</f>
        <v>13.3875</v>
      </c>
      <c r="R508" s="276">
        <f>R507*'ECOMMERCE Formulas'!$L$8</f>
        <v>11.8125</v>
      </c>
      <c r="S508" s="276">
        <f>S507*'ECOMMERCE Formulas'!$L$8</f>
        <v>14.9625</v>
      </c>
      <c r="T508" s="276">
        <f>T507*'ECOMMERCE Formulas'!$L$8</f>
        <v>7.875</v>
      </c>
      <c r="U508" s="276">
        <f>U507*'ECOMMERCE Formulas'!$L$8</f>
        <v>16.5375</v>
      </c>
      <c r="V508" s="276">
        <f>V507*'ECOMMERCE Formulas'!$L$8</f>
        <v>12.6</v>
      </c>
      <c r="W508" s="276">
        <f>W507*'ECOMMERCE Formulas'!$L$8</f>
        <v>12.6</v>
      </c>
      <c r="X508" s="276">
        <f>X507*'ECOMMERCE Formulas'!$L$8</f>
        <v>15.75</v>
      </c>
      <c r="Y508" s="276">
        <f>Y507*'ECOMMERCE Formulas'!$L$8</f>
        <v>7.0875</v>
      </c>
      <c r="Z508" s="276">
        <f>Z507*'ECOMMERCE Formulas'!$L$8</f>
        <v>13.3875</v>
      </c>
      <c r="AA508" s="276">
        <f>AA507*'ECOMMERCE Formulas'!$L$8</f>
        <v>8.6625</v>
      </c>
      <c r="AB508" s="276">
        <f>AB507*'ECOMMERCE Formulas'!$L$8</f>
        <v>7.875</v>
      </c>
      <c r="AC508" s="276">
        <f>AC507*'ECOMMERCE Formulas'!$L$8</f>
        <v>7.875</v>
      </c>
      <c r="AD508" s="276">
        <f>AD507*'ECOMMERCE Formulas'!$L$8</f>
        <v>15.75</v>
      </c>
      <c r="AE508" s="276">
        <f>AE507*'ECOMMERCE Formulas'!$L$8</f>
        <v>11.025</v>
      </c>
      <c r="AF508" s="276">
        <f>AF507*'ECOMMERCE Formulas'!$L$8</f>
        <v>7.0875</v>
      </c>
      <c r="AG508" s="360">
        <f t="shared" si="196"/>
        <v>425.25</v>
      </c>
    </row>
    <row r="509">
      <c r="A509" s="982" t="s">
        <v>963</v>
      </c>
      <c r="B509" s="276">
        <f>B507*'ECOMMERCE Formulas'!$L$9</f>
        <v>4.725</v>
      </c>
      <c r="C509" s="276">
        <f>C507*'ECOMMERCE Formulas'!$L$9</f>
        <v>4.9875</v>
      </c>
      <c r="D509" s="276">
        <f>D507*'ECOMMERCE Formulas'!$L$9</f>
        <v>4.725</v>
      </c>
      <c r="E509" s="276">
        <f>E507*'ECOMMERCE Formulas'!$L$9</f>
        <v>6.0375</v>
      </c>
      <c r="F509" s="276">
        <f>F507*'ECOMMERCE Formulas'!$L$9</f>
        <v>2.8875</v>
      </c>
      <c r="G509" s="276">
        <f>G507*'ECOMMERCE Formulas'!$L$9</f>
        <v>4.4625</v>
      </c>
      <c r="H509" s="276">
        <f>H507*'ECOMMERCE Formulas'!$L$9</f>
        <v>4.725</v>
      </c>
      <c r="I509" s="276">
        <f>I507*'ECOMMERCE Formulas'!$L$9</f>
        <v>6.0375</v>
      </c>
      <c r="J509" s="276">
        <f>J507*'ECOMMERCE Formulas'!$L$9</f>
        <v>6.5625</v>
      </c>
      <c r="K509" s="276">
        <f>K507*'ECOMMERCE Formulas'!$L$9</f>
        <v>7.0875</v>
      </c>
      <c r="L509" s="276">
        <f>L507*'ECOMMERCE Formulas'!$L$9</f>
        <v>3.15</v>
      </c>
      <c r="M509" s="276">
        <f>M507*'ECOMMERCE Formulas'!$L$9</f>
        <v>3.675</v>
      </c>
      <c r="N509" s="276">
        <f>N507*'ECOMMERCE Formulas'!$L$9</f>
        <v>9.1875</v>
      </c>
      <c r="O509" s="276">
        <f>O507*'ECOMMERCE Formulas'!$L$9</f>
        <v>6.3</v>
      </c>
      <c r="P509" s="276">
        <f>P507*'ECOMMERCE Formulas'!$L$9</f>
        <v>5.775</v>
      </c>
      <c r="Q509" s="276">
        <f>Q507*'ECOMMERCE Formulas'!$L$9</f>
        <v>4.4625</v>
      </c>
      <c r="R509" s="276">
        <f>R507*'ECOMMERCE Formulas'!$L$9</f>
        <v>3.9375</v>
      </c>
      <c r="S509" s="276">
        <f>S507*'ECOMMERCE Formulas'!$L$9</f>
        <v>4.9875</v>
      </c>
      <c r="T509" s="276">
        <f>T507*'ECOMMERCE Formulas'!$L$9</f>
        <v>2.625</v>
      </c>
      <c r="U509" s="276">
        <f>U507*'ECOMMERCE Formulas'!$L$9</f>
        <v>5.5125</v>
      </c>
      <c r="V509" s="276">
        <f>V507*'ECOMMERCE Formulas'!$L$9</f>
        <v>4.2</v>
      </c>
      <c r="W509" s="276">
        <f>W507*'ECOMMERCE Formulas'!$L$9</f>
        <v>4.2</v>
      </c>
      <c r="X509" s="276">
        <f>X507*'ECOMMERCE Formulas'!$L$9</f>
        <v>5.25</v>
      </c>
      <c r="Y509" s="276">
        <f>Y507*'ECOMMERCE Formulas'!$L$9</f>
        <v>2.3625</v>
      </c>
      <c r="Z509" s="276">
        <f>Z507*'ECOMMERCE Formulas'!$L$9</f>
        <v>4.4625</v>
      </c>
      <c r="AA509" s="276">
        <f>AA507*'ECOMMERCE Formulas'!$L$9</f>
        <v>2.8875</v>
      </c>
      <c r="AB509" s="276">
        <f>AB507*'ECOMMERCE Formulas'!$L$9</f>
        <v>2.625</v>
      </c>
      <c r="AC509" s="276">
        <f>AC507*'ECOMMERCE Formulas'!$L$9</f>
        <v>2.625</v>
      </c>
      <c r="AD509" s="276">
        <f>AD507*'ECOMMERCE Formulas'!$L$9</f>
        <v>5.25</v>
      </c>
      <c r="AE509" s="276">
        <f>AE507*'ECOMMERCE Formulas'!$L$9</f>
        <v>3.675</v>
      </c>
      <c r="AF509" s="276">
        <f>AF507*'ECOMMERCE Formulas'!$L$9</f>
        <v>2.3625</v>
      </c>
      <c r="AG509" s="360">
        <f t="shared" si="196"/>
        <v>141.75</v>
      </c>
    </row>
    <row r="510">
      <c r="A510" s="982" t="s">
        <v>966</v>
      </c>
      <c r="B510" s="1038">
        <f>(B491+B493+B495+B498+B501+B504+B507)*'ECOMMERCE Formulas'!$L$6</f>
        <v>14.832825</v>
      </c>
      <c r="C510" s="1038">
        <f>(C491+C493+C495+C498+C501+C504+C507)*'ECOMMERCE Formulas'!$L$6</f>
        <v>17.2087625</v>
      </c>
      <c r="D510" s="1038">
        <f>(D491+D493+D495+D498+D501+D504+D507)*'ECOMMERCE Formulas'!$L$6</f>
        <v>15.335275</v>
      </c>
      <c r="E510" s="1038">
        <f>(E491+E493+E495+E498+E501+E504+E507)*'ECOMMERCE Formulas'!$L$6</f>
        <v>16.6415625</v>
      </c>
      <c r="F510" s="1038">
        <f>(F491+F493+F495+F498+F501+F504+F507)*'ECOMMERCE Formulas'!$L$6</f>
        <v>15.6743</v>
      </c>
      <c r="G510" s="1038">
        <f>(G491+G493+G495+G498+G501+G504+G507)*'ECOMMERCE Formulas'!$L$6</f>
        <v>17.2076375</v>
      </c>
      <c r="H510" s="1038">
        <f>(H491+H493+H495+H498+H501+H504+H507)*'ECOMMERCE Formulas'!$L$6</f>
        <v>18.825825</v>
      </c>
      <c r="I510" s="1038">
        <f>(I491+I493+I495+I498+I501+I504+I507)*'ECOMMERCE Formulas'!$L$6</f>
        <v>21.5916125</v>
      </c>
      <c r="J510" s="1038">
        <f>(J491+J493+J495+J498+J501+J504+J507)*'ECOMMERCE Formulas'!$L$6</f>
        <v>20.1659375</v>
      </c>
      <c r="K510" s="1038">
        <f>(K491+K493+K495+K498+K501+K504+K507)*'ECOMMERCE Formulas'!$L$6</f>
        <v>19.21055</v>
      </c>
      <c r="L510" s="1038">
        <f>(L491+L493+L495+L498+L501+L504+L507)*'ECOMMERCE Formulas'!$L$6</f>
        <v>19.867425</v>
      </c>
      <c r="M510" s="1038">
        <f>(M491+M493+M495+M498+M501+M504+M507)*'ECOMMERCE Formulas'!$L$6</f>
        <v>20.3658125</v>
      </c>
      <c r="N510" s="1038">
        <f>(N491+N493+N495+N498+N501+N504+N507)*'ECOMMERCE Formulas'!$L$6</f>
        <v>32.7151125</v>
      </c>
      <c r="O510" s="1038">
        <f>(O491+O493+O495+O498+O501+O504+O507)*'ECOMMERCE Formulas'!$L$6</f>
        <v>29.5346</v>
      </c>
      <c r="P510" s="1038">
        <f>(P491+P493+P495+P498+P501+P504+P507)*'ECOMMERCE Formulas'!$L$6</f>
        <v>24.834675</v>
      </c>
      <c r="Q510" s="1038">
        <f>(Q491+Q493+Q495+Q498+Q501+Q504+Q507)*'ECOMMERCE Formulas'!$L$6</f>
        <v>24.629625</v>
      </c>
      <c r="R510" s="1038">
        <f>(R491+R493+R495+R498+R501+R504+R507)*'ECOMMERCE Formulas'!$L$6</f>
        <v>12.985525</v>
      </c>
      <c r="S510" s="1038">
        <f>(S491+S493+S495+S498+S501+S504+S507)*'ECOMMERCE Formulas'!$L$6</f>
        <v>23.3147625</v>
      </c>
      <c r="T510" s="1038">
        <f>(T491+T493+T495+T498+T501+T504+T507)*'ECOMMERCE Formulas'!$L$6</f>
        <v>17.10625</v>
      </c>
      <c r="U510" s="1038">
        <f>(U491+U493+U495+U498+U501+U504+U507)*'ECOMMERCE Formulas'!$L$6</f>
        <v>19.263675</v>
      </c>
      <c r="V510" s="1038">
        <f>(V491+V493+V495+V498+V501+V504+V507)*'ECOMMERCE Formulas'!$L$6</f>
        <v>16.9439</v>
      </c>
      <c r="W510" s="1038">
        <f>(W491+W493+W495+W498+W501+W504+W507)*'ECOMMERCE Formulas'!$L$6</f>
        <v>16.5105</v>
      </c>
      <c r="X510" s="1038">
        <f>(X491+X493+X495+X498+X501+X504+X507)*'ECOMMERCE Formulas'!$L$6</f>
        <v>14.3603625</v>
      </c>
      <c r="Y510" s="1038">
        <f>(Y491+Y493+Y495+Y498+Y501+Y504+Y507)*'ECOMMERCE Formulas'!$L$6</f>
        <v>10.25685</v>
      </c>
      <c r="Z510" s="1038">
        <f>(Z491+Z493+Z495+Z498+Z501+Z504+Z507)*'ECOMMERCE Formulas'!$L$6</f>
        <v>12.2342375</v>
      </c>
      <c r="AA510" s="1038">
        <f>(AA491+AA493+AA495+AA498+AA501+AA504+AA507)*'ECOMMERCE Formulas'!$L$6</f>
        <v>11.590775</v>
      </c>
      <c r="AB510" s="1038">
        <f>(AB491+AB493+AB495+AB498+AB501+AB504+AB507)*'ECOMMERCE Formulas'!$L$6</f>
        <v>13.1747375</v>
      </c>
      <c r="AC510" s="1038">
        <f>(AC491+AC493+AC495+AC498+AC501+AC504+AC507)*'ECOMMERCE Formulas'!$L$6</f>
        <v>11.6843375</v>
      </c>
      <c r="AD510" s="1038">
        <f>(AD491+AD493+AD495+AD498+AD501+AD504+AD507)*'ECOMMERCE Formulas'!$L$6</f>
        <v>11.418625</v>
      </c>
      <c r="AE510" s="1038">
        <f>(AE491+AE493+AE495+AE498+AE501+AE504+AE507)*'ECOMMERCE Formulas'!$L$6</f>
        <v>11.2705625</v>
      </c>
      <c r="AF510" s="1038">
        <f>(AF491+AF493+AF495+AF498+AF501+AF504+AF507)*'ECOMMERCE Formulas'!$L$6</f>
        <v>11.954675</v>
      </c>
      <c r="AG510" s="360">
        <f t="shared" si="196"/>
        <v>542.7113125</v>
      </c>
    </row>
    <row r="511">
      <c r="A511" s="982" t="s">
        <v>969</v>
      </c>
      <c r="B511" s="1038">
        <f t="shared" ref="B511:AF511" si="197">$AG511/31</f>
        <v>17.36774194</v>
      </c>
      <c r="C511" s="1038">
        <f t="shared" si="197"/>
        <v>17.36774194</v>
      </c>
      <c r="D511" s="1038">
        <f t="shared" si="197"/>
        <v>17.36774194</v>
      </c>
      <c r="E511" s="1038">
        <f t="shared" si="197"/>
        <v>17.36774194</v>
      </c>
      <c r="F511" s="1038">
        <f t="shared" si="197"/>
        <v>17.36774194</v>
      </c>
      <c r="G511" s="1038">
        <f t="shared" si="197"/>
        <v>17.36774194</v>
      </c>
      <c r="H511" s="1038">
        <f t="shared" si="197"/>
        <v>17.36774194</v>
      </c>
      <c r="I511" s="1038">
        <f t="shared" si="197"/>
        <v>17.36774194</v>
      </c>
      <c r="J511" s="1038">
        <f t="shared" si="197"/>
        <v>17.36774194</v>
      </c>
      <c r="K511" s="1038">
        <f t="shared" si="197"/>
        <v>17.36774194</v>
      </c>
      <c r="L511" s="1038">
        <f t="shared" si="197"/>
        <v>17.36774194</v>
      </c>
      <c r="M511" s="1038">
        <f t="shared" si="197"/>
        <v>17.36774194</v>
      </c>
      <c r="N511" s="1038">
        <f t="shared" si="197"/>
        <v>17.36774194</v>
      </c>
      <c r="O511" s="1038">
        <f t="shared" si="197"/>
        <v>17.36774194</v>
      </c>
      <c r="P511" s="1038">
        <f t="shared" si="197"/>
        <v>17.36774194</v>
      </c>
      <c r="Q511" s="1038">
        <f t="shared" si="197"/>
        <v>17.36774194</v>
      </c>
      <c r="R511" s="1038">
        <f t="shared" si="197"/>
        <v>17.36774194</v>
      </c>
      <c r="S511" s="1038">
        <f t="shared" si="197"/>
        <v>17.36774194</v>
      </c>
      <c r="T511" s="1038">
        <f t="shared" si="197"/>
        <v>17.36774194</v>
      </c>
      <c r="U511" s="1038">
        <f t="shared" si="197"/>
        <v>17.36774194</v>
      </c>
      <c r="V511" s="1038">
        <f t="shared" si="197"/>
        <v>17.36774194</v>
      </c>
      <c r="W511" s="1038">
        <f t="shared" si="197"/>
        <v>17.36774194</v>
      </c>
      <c r="X511" s="1038">
        <f t="shared" si="197"/>
        <v>17.36774194</v>
      </c>
      <c r="Y511" s="1038">
        <f t="shared" si="197"/>
        <v>17.36774194</v>
      </c>
      <c r="Z511" s="1038">
        <f t="shared" si="197"/>
        <v>17.36774194</v>
      </c>
      <c r="AA511" s="1038">
        <f t="shared" si="197"/>
        <v>17.36774194</v>
      </c>
      <c r="AB511" s="1038">
        <f t="shared" si="197"/>
        <v>17.36774194</v>
      </c>
      <c r="AC511" s="1038">
        <f t="shared" si="197"/>
        <v>17.36774194</v>
      </c>
      <c r="AD511" s="1038">
        <f t="shared" si="197"/>
        <v>17.36774194</v>
      </c>
      <c r="AE511" s="1038">
        <f t="shared" si="197"/>
        <v>17.36774194</v>
      </c>
      <c r="AF511" s="1038">
        <f t="shared" si="197"/>
        <v>17.36774194</v>
      </c>
      <c r="AG511" s="1041">
        <v>538.4</v>
      </c>
    </row>
    <row r="512">
      <c r="A512" s="1042" t="s">
        <v>970</v>
      </c>
      <c r="B512" s="276">
        <f>(B138*'ECOMMERCE Formulas'!$L$12*'ECOMMERCE Formulas'!$L$3)+(B138*'ECOMMERCE Formulas'!$L$13*'ECOMMERCE Formulas'!$L$14)</f>
        <v>1093.512121</v>
      </c>
      <c r="C512" s="276">
        <f>(C138*'ECOMMERCE Formulas'!$L$12*'ECOMMERCE Formulas'!$L$3)+(C138*'ECOMMERCE Formulas'!$L$13*'ECOMMERCE Formulas'!$L$14)</f>
        <v>1244.495212</v>
      </c>
      <c r="D512" s="276">
        <f>(D138*'ECOMMERCE Formulas'!$L$12*'ECOMMERCE Formulas'!$L$3)+(D138*'ECOMMERCE Formulas'!$L$13*'ECOMMERCE Formulas'!$L$14)</f>
        <v>1072.481553</v>
      </c>
      <c r="E512" s="276">
        <f>(E138*'ECOMMERCE Formulas'!$L$12*'ECOMMERCE Formulas'!$L$3)+(E138*'ECOMMERCE Formulas'!$L$13*'ECOMMERCE Formulas'!$L$14)</f>
        <v>1155.812038</v>
      </c>
      <c r="F512" s="276">
        <f>(F138*'ECOMMERCE Formulas'!$L$12*'ECOMMERCE Formulas'!$L$3)+(F138*'ECOMMERCE Formulas'!$L$13*'ECOMMERCE Formulas'!$L$14)</f>
        <v>1105.054193</v>
      </c>
      <c r="G512" s="276">
        <f>(G138*'ECOMMERCE Formulas'!$L$12*'ECOMMERCE Formulas'!$L$3)+(G138*'ECOMMERCE Formulas'!$L$13*'ECOMMERCE Formulas'!$L$14)</f>
        <v>1215.996666</v>
      </c>
      <c r="H512" s="276">
        <f>(H138*'ECOMMERCE Formulas'!$L$12*'ECOMMERCE Formulas'!$L$3)+(H138*'ECOMMERCE Formulas'!$L$13*'ECOMMERCE Formulas'!$L$14)</f>
        <v>1250.746583</v>
      </c>
      <c r="I512" s="276">
        <f>(I138*'ECOMMERCE Formulas'!$L$12*'ECOMMERCE Formulas'!$L$3)+(I138*'ECOMMERCE Formulas'!$L$13*'ECOMMERCE Formulas'!$L$14)</f>
        <v>1486.163261</v>
      </c>
      <c r="J512" s="276">
        <f>(J138*'ECOMMERCE Formulas'!$L$12*'ECOMMERCE Formulas'!$L$3)+(J138*'ECOMMERCE Formulas'!$L$13*'ECOMMERCE Formulas'!$L$14)</f>
        <v>1402.247614</v>
      </c>
      <c r="K512" s="276">
        <f>(K138*'ECOMMERCE Formulas'!$L$12*'ECOMMERCE Formulas'!$L$3)+(K138*'ECOMMERCE Formulas'!$L$13*'ECOMMERCE Formulas'!$L$14)</f>
        <v>1335.813544</v>
      </c>
      <c r="L512" s="276">
        <f>(L138*'ECOMMERCE Formulas'!$L$12*'ECOMMERCE Formulas'!$L$3)+(L138*'ECOMMERCE Formulas'!$L$13*'ECOMMERCE Formulas'!$L$14)</f>
        <v>1316.055786</v>
      </c>
      <c r="M512" s="276">
        <f>(M138*'ECOMMERCE Formulas'!$L$12*'ECOMMERCE Formulas'!$L$3)+(M138*'ECOMMERCE Formulas'!$L$13*'ECOMMERCE Formulas'!$L$14)</f>
        <v>1342.516184</v>
      </c>
      <c r="N512" s="276">
        <f>(N138*'ECOMMERCE Formulas'!$L$12*'ECOMMERCE Formulas'!$L$3)+(N138*'ECOMMERCE Formulas'!$L$13*'ECOMMERCE Formulas'!$L$14)</f>
        <v>2115.157587</v>
      </c>
      <c r="O512" s="276">
        <f>(O138*'ECOMMERCE Formulas'!$L$12*'ECOMMERCE Formulas'!$L$3)+(O138*'ECOMMERCE Formulas'!$L$13*'ECOMMERCE Formulas'!$L$14)</f>
        <v>1895.503641</v>
      </c>
      <c r="P512" s="276">
        <f>(P138*'ECOMMERCE Formulas'!$L$12*'ECOMMERCE Formulas'!$L$3)+(P138*'ECOMMERCE Formulas'!$L$13*'ECOMMERCE Formulas'!$L$14)</f>
        <v>1632.759842</v>
      </c>
      <c r="Q512" s="276">
        <f>(Q138*'ECOMMERCE Formulas'!$L$12*'ECOMMERCE Formulas'!$L$3)+(Q138*'ECOMMERCE Formulas'!$L$13*'ECOMMERCE Formulas'!$L$14)</f>
        <v>1617.543701</v>
      </c>
      <c r="R512" s="276">
        <f>(R138*'ECOMMERCE Formulas'!$L$12*'ECOMMERCE Formulas'!$L$3)+(R138*'ECOMMERCE Formulas'!$L$13*'ECOMMERCE Formulas'!$L$14)</f>
        <v>884.5784305</v>
      </c>
      <c r="S512" s="276">
        <f>(S138*'ECOMMERCE Formulas'!$L$12*'ECOMMERCE Formulas'!$L$3)+(S138*'ECOMMERCE Formulas'!$L$13*'ECOMMERCE Formulas'!$L$14)</f>
        <v>1592.187232</v>
      </c>
      <c r="T512" s="276">
        <f>(T138*'ECOMMERCE Formulas'!$L$12*'ECOMMERCE Formulas'!$L$3)+(T138*'ECOMMERCE Formulas'!$L$13*'ECOMMERCE Formulas'!$L$14)</f>
        <v>1155.985878</v>
      </c>
      <c r="U512" s="276">
        <f>(U138*'ECOMMERCE Formulas'!$L$12*'ECOMMERCE Formulas'!$L$3)+(U138*'ECOMMERCE Formulas'!$L$13*'ECOMMERCE Formulas'!$L$14)</f>
        <v>1348.152363</v>
      </c>
      <c r="V512" s="276">
        <f>(V138*'ECOMMERCE Formulas'!$L$12*'ECOMMERCE Formulas'!$L$3)+(V138*'ECOMMERCE Formulas'!$L$13*'ECOMMERCE Formulas'!$L$14)</f>
        <v>1209.994347</v>
      </c>
      <c r="W512" s="276">
        <f>(W138*'ECOMMERCE Formulas'!$L$12*'ECOMMERCE Formulas'!$L$3)+(W138*'ECOMMERCE Formulas'!$L$13*'ECOMMERCE Formulas'!$L$14)</f>
        <v>1208.228943</v>
      </c>
      <c r="X512" s="276">
        <f>(X138*'ECOMMERCE Formulas'!$L$12*'ECOMMERCE Formulas'!$L$3)+(X138*'ECOMMERCE Formulas'!$L$13*'ECOMMERCE Formulas'!$L$14)</f>
        <v>1075.726667</v>
      </c>
      <c r="Y512" s="276">
        <f>(Y138*'ECOMMERCE Formulas'!$L$12*'ECOMMERCE Formulas'!$L$3)+(Y138*'ECOMMERCE Formulas'!$L$13*'ECOMMERCE Formulas'!$L$14)</f>
        <v>861.73094</v>
      </c>
      <c r="Z512" s="276">
        <f>(Z138*'ECOMMERCE Formulas'!$L$12*'ECOMMERCE Formulas'!$L$3)+(Z138*'ECOMMERCE Formulas'!$L$13*'ECOMMERCE Formulas'!$L$14)</f>
        <v>893.114798</v>
      </c>
      <c r="AA512" s="276">
        <f>(AA138*'ECOMMERCE Formulas'!$L$12*'ECOMMERCE Formulas'!$L$3)+(AA138*'ECOMMERCE Formulas'!$L$13*'ECOMMERCE Formulas'!$L$14)</f>
        <v>837.4514005</v>
      </c>
      <c r="AB512" s="276">
        <f>(AB138*'ECOMMERCE Formulas'!$L$12*'ECOMMERCE Formulas'!$L$3)+(AB138*'ECOMMERCE Formulas'!$L$13*'ECOMMERCE Formulas'!$L$14)</f>
        <v>949.7143445</v>
      </c>
      <c r="AC512" s="276">
        <f>(AC138*'ECOMMERCE Formulas'!$L$12*'ECOMMERCE Formulas'!$L$3)+(AC138*'ECOMMERCE Formulas'!$L$13*'ECOMMERCE Formulas'!$L$14)</f>
        <v>871.6877855</v>
      </c>
      <c r="AD512" s="276">
        <f>(AD138*'ECOMMERCE Formulas'!$L$12*'ECOMMERCE Formulas'!$L$3)+(AD138*'ECOMMERCE Formulas'!$L$13*'ECOMMERCE Formulas'!$L$14)</f>
        <v>824.6197125</v>
      </c>
      <c r="AE512" s="276">
        <f>(AE138*'ECOMMERCE Formulas'!$L$12*'ECOMMERCE Formulas'!$L$3)+(AE138*'ECOMMERCE Formulas'!$L$13*'ECOMMERCE Formulas'!$L$14)</f>
        <v>857.3281745</v>
      </c>
      <c r="AF512" s="276">
        <f>(AF138*'ECOMMERCE Formulas'!$L$12*'ECOMMERCE Formulas'!$L$3)+(AF138*'ECOMMERCE Formulas'!$L$13*'ECOMMERCE Formulas'!$L$14)</f>
        <v>937.3295175</v>
      </c>
      <c r="AG512" s="360">
        <f t="shared" ref="AG512:AG540" si="198">SUM(B512:AF512)</f>
        <v>37789.69005</v>
      </c>
    </row>
    <row r="513">
      <c r="A513" s="1042" t="s">
        <v>975</v>
      </c>
      <c r="B513" s="276">
        <f>(B131*'ECOMMERCE Formulas'!$L$12*'ECOMMERCE Formulas'!$I$10)+(B131*'ECOMMERCE Formulas'!$L$13*'ECOMMERCE Formulas'!$L$15)</f>
        <v>49.305</v>
      </c>
      <c r="C513" s="276">
        <f>(C131*'ECOMMERCE Formulas'!$L$12*'ECOMMERCE Formulas'!$I$10)+(C131*'ECOMMERCE Formulas'!$L$13*'ECOMMERCE Formulas'!$L$15)</f>
        <v>51.585</v>
      </c>
      <c r="D513" s="276">
        <f>(D131*'ECOMMERCE Formulas'!$L$12*'ECOMMERCE Formulas'!$I$10)+(D131*'ECOMMERCE Formulas'!$L$13*'ECOMMERCE Formulas'!$L$15)</f>
        <v>45.315</v>
      </c>
      <c r="E513" s="276">
        <f>(E131*'ECOMMERCE Formulas'!$L$12*'ECOMMERCE Formulas'!$I$10)+(E131*'ECOMMERCE Formulas'!$L$13*'ECOMMERCE Formulas'!$L$15)</f>
        <v>52.44</v>
      </c>
      <c r="F513" s="276">
        <f>(F131*'ECOMMERCE Formulas'!$L$12*'ECOMMERCE Formulas'!$I$10)+(F131*'ECOMMERCE Formulas'!$L$13*'ECOMMERCE Formulas'!$L$15)</f>
        <v>48.735</v>
      </c>
      <c r="G513" s="276">
        <f>(G131*'ECOMMERCE Formulas'!$L$12*'ECOMMERCE Formulas'!$I$10)+(G131*'ECOMMERCE Formulas'!$L$13*'ECOMMERCE Formulas'!$L$15)</f>
        <v>53.295</v>
      </c>
      <c r="H513" s="276">
        <f>(H131*'ECOMMERCE Formulas'!$L$12*'ECOMMERCE Formulas'!$I$10)+(H131*'ECOMMERCE Formulas'!$L$13*'ECOMMERCE Formulas'!$L$15)</f>
        <v>55.005</v>
      </c>
      <c r="I513" s="276">
        <f>(I131*'ECOMMERCE Formulas'!$L$12*'ECOMMERCE Formulas'!$I$10)+(I131*'ECOMMERCE Formulas'!$L$13*'ECOMMERCE Formulas'!$L$15)</f>
        <v>67.26</v>
      </c>
      <c r="J513" s="276">
        <f>(J131*'ECOMMERCE Formulas'!$L$12*'ECOMMERCE Formulas'!$I$10)+(J131*'ECOMMERCE Formulas'!$L$13*'ECOMMERCE Formulas'!$L$15)</f>
        <v>61.56</v>
      </c>
      <c r="K513" s="276">
        <f>(K131*'ECOMMERCE Formulas'!$L$12*'ECOMMERCE Formulas'!$I$10)+(K131*'ECOMMERCE Formulas'!$L$13*'ECOMMERCE Formulas'!$L$15)</f>
        <v>60.99</v>
      </c>
      <c r="L513" s="276">
        <f>(L131*'ECOMMERCE Formulas'!$L$12*'ECOMMERCE Formulas'!$I$10)+(L131*'ECOMMERCE Formulas'!$L$13*'ECOMMERCE Formulas'!$L$15)</f>
        <v>58.14</v>
      </c>
      <c r="M513" s="276">
        <f>(M131*'ECOMMERCE Formulas'!$L$12*'ECOMMERCE Formulas'!$I$10)+(M131*'ECOMMERCE Formulas'!$L$13*'ECOMMERCE Formulas'!$L$15)</f>
        <v>56.43</v>
      </c>
      <c r="N513" s="276">
        <f>(N131*'ECOMMERCE Formulas'!$L$12*'ECOMMERCE Formulas'!$I$10)+(N131*'ECOMMERCE Formulas'!$L$13*'ECOMMERCE Formulas'!$L$15)</f>
        <v>92.91</v>
      </c>
      <c r="O513" s="276">
        <f>(O131*'ECOMMERCE Formulas'!$L$12*'ECOMMERCE Formulas'!$I$10)+(O131*'ECOMMERCE Formulas'!$L$13*'ECOMMERCE Formulas'!$L$15)</f>
        <v>82.08</v>
      </c>
      <c r="P513" s="276">
        <f>(P131*'ECOMMERCE Formulas'!$L$12*'ECOMMERCE Formulas'!$I$10)+(P131*'ECOMMERCE Formulas'!$L$13*'ECOMMERCE Formulas'!$L$15)</f>
        <v>71.82</v>
      </c>
      <c r="Q513" s="276">
        <f>(Q131*'ECOMMERCE Formulas'!$L$12*'ECOMMERCE Formulas'!$I$10)+(Q131*'ECOMMERCE Formulas'!$L$13*'ECOMMERCE Formulas'!$L$15)</f>
        <v>70.965</v>
      </c>
      <c r="R513" s="276">
        <f>(R131*'ECOMMERCE Formulas'!$L$12*'ECOMMERCE Formulas'!$I$10)+(R131*'ECOMMERCE Formulas'!$L$13*'ECOMMERCE Formulas'!$L$15)</f>
        <v>41.895</v>
      </c>
      <c r="S513" s="276">
        <f>(S131*'ECOMMERCE Formulas'!$L$12*'ECOMMERCE Formulas'!$I$10)+(S131*'ECOMMERCE Formulas'!$L$13*'ECOMMERCE Formulas'!$L$15)</f>
        <v>66.69</v>
      </c>
      <c r="T513" s="276">
        <f>(T131*'ECOMMERCE Formulas'!$L$12*'ECOMMERCE Formulas'!$I$10)+(T131*'ECOMMERCE Formulas'!$L$13*'ECOMMERCE Formulas'!$L$15)</f>
        <v>49.02</v>
      </c>
      <c r="U513" s="276">
        <f>(U131*'ECOMMERCE Formulas'!$L$12*'ECOMMERCE Formulas'!$I$10)+(U131*'ECOMMERCE Formulas'!$L$13*'ECOMMERCE Formulas'!$L$15)</f>
        <v>56.43</v>
      </c>
      <c r="V513" s="276">
        <f>(V131*'ECOMMERCE Formulas'!$L$12*'ECOMMERCE Formulas'!$I$10)+(V131*'ECOMMERCE Formulas'!$L$13*'ECOMMERCE Formulas'!$L$15)</f>
        <v>53.58</v>
      </c>
      <c r="W513" s="276">
        <f>(W131*'ECOMMERCE Formulas'!$L$12*'ECOMMERCE Formulas'!$I$10)+(W131*'ECOMMERCE Formulas'!$L$13*'ECOMMERCE Formulas'!$L$15)</f>
        <v>53.295</v>
      </c>
      <c r="X513" s="276">
        <f>(X131*'ECOMMERCE Formulas'!$L$12*'ECOMMERCE Formulas'!$I$10)+(X131*'ECOMMERCE Formulas'!$L$13*'ECOMMERCE Formulas'!$L$15)</f>
        <v>48.735</v>
      </c>
      <c r="Y513" s="276">
        <f>(Y131*'ECOMMERCE Formulas'!$L$12*'ECOMMERCE Formulas'!$I$10)+(Y131*'ECOMMERCE Formulas'!$L$13*'ECOMMERCE Formulas'!$L$15)</f>
        <v>35.91</v>
      </c>
      <c r="Z513" s="276">
        <f>(Z131*'ECOMMERCE Formulas'!$L$12*'ECOMMERCE Formulas'!$I$10)+(Z131*'ECOMMERCE Formulas'!$L$13*'ECOMMERCE Formulas'!$L$15)</f>
        <v>36.765</v>
      </c>
      <c r="AA513" s="276">
        <f>(AA131*'ECOMMERCE Formulas'!$L$12*'ECOMMERCE Formulas'!$I$10)+(AA131*'ECOMMERCE Formulas'!$L$13*'ECOMMERCE Formulas'!$L$15)</f>
        <v>32.49</v>
      </c>
      <c r="AB513" s="276">
        <f>(AB131*'ECOMMERCE Formulas'!$L$12*'ECOMMERCE Formulas'!$I$10)+(AB131*'ECOMMERCE Formulas'!$L$13*'ECOMMERCE Formulas'!$L$15)</f>
        <v>36.48</v>
      </c>
      <c r="AC513" s="276">
        <f>(AC131*'ECOMMERCE Formulas'!$L$12*'ECOMMERCE Formulas'!$I$10)+(AC131*'ECOMMERCE Formulas'!$L$13*'ECOMMERCE Formulas'!$L$15)</f>
        <v>37.05</v>
      </c>
      <c r="AD513" s="276">
        <f>(AD131*'ECOMMERCE Formulas'!$L$12*'ECOMMERCE Formulas'!$I$10)+(AD131*'ECOMMERCE Formulas'!$L$13*'ECOMMERCE Formulas'!$L$15)</f>
        <v>35.91</v>
      </c>
      <c r="AE513" s="276">
        <f>(AE131*'ECOMMERCE Formulas'!$L$12*'ECOMMERCE Formulas'!$I$10)+(AE131*'ECOMMERCE Formulas'!$L$13*'ECOMMERCE Formulas'!$L$15)</f>
        <v>36.48</v>
      </c>
      <c r="AF513" s="276">
        <f>(AF131*'ECOMMERCE Formulas'!$L$12*'ECOMMERCE Formulas'!$I$10)+(AF131*'ECOMMERCE Formulas'!$L$13*'ECOMMERCE Formulas'!$L$15)</f>
        <v>37.335</v>
      </c>
      <c r="AG513" s="360">
        <f t="shared" si="198"/>
        <v>1635.9</v>
      </c>
    </row>
    <row r="514">
      <c r="A514" s="1077" t="s">
        <v>978</v>
      </c>
      <c r="B514" s="276">
        <f>((B447+B448)*'ECOMMERCE Formulas'!$C$32)+((B449+B450)*'ECOMMERCE Formulas'!$C$33)+((B451+B452)*'ECOMMERCE Formulas'!$C$34)</f>
        <v>1504.44</v>
      </c>
      <c r="C514" s="276">
        <f>((C447+C448)*'ECOMMERCE Formulas'!$C$32)+((C449+C450)*'ECOMMERCE Formulas'!$C$33)+((C451+C452)*'ECOMMERCE Formulas'!$C$34)</f>
        <v>1767.12</v>
      </c>
      <c r="D514" s="276">
        <f>((D447+D448)*'ECOMMERCE Formulas'!$C$32)+((D449+D450)*'ECOMMERCE Formulas'!$C$33)+((D451+D452)*'ECOMMERCE Formulas'!$C$34)</f>
        <v>1599.96</v>
      </c>
      <c r="E514" s="276">
        <f>((E447+E448)*'ECOMMERCE Formulas'!$C$32)+((E449+E450)*'ECOMMERCE Formulas'!$C$33)+((E451+E452)*'ECOMMERCE Formulas'!$C$34)</f>
        <v>1707.42</v>
      </c>
      <c r="F514" s="276">
        <f>((F447+F448)*'ECOMMERCE Formulas'!$C$32)+((F449+F450)*'ECOMMERCE Formulas'!$C$33)+((F451+F452)*'ECOMMERCE Formulas'!$C$34)</f>
        <v>1647.72</v>
      </c>
      <c r="G514" s="276">
        <f>((G447+G448)*'ECOMMERCE Formulas'!$C$32)+((G449+G450)*'ECOMMERCE Formulas'!$C$33)+((G451+G452)*'ECOMMERCE Formulas'!$C$34)</f>
        <v>1791</v>
      </c>
      <c r="H514" s="276">
        <f>((H447+H448)*'ECOMMERCE Formulas'!$C$32)+((H449+H450)*'ECOMMERCE Formulas'!$C$33)+((H451+H452)*'ECOMMERCE Formulas'!$C$34)</f>
        <v>1958.16</v>
      </c>
      <c r="I514" s="276">
        <f>((I447+I448)*'ECOMMERCE Formulas'!$C$32)+((I449+I450)*'ECOMMERCE Formulas'!$C$33)+((I451+I452)*'ECOMMERCE Formulas'!$C$34)</f>
        <v>2196.96</v>
      </c>
      <c r="J514" s="276">
        <f>((J447+J448)*'ECOMMERCE Formulas'!$C$32)+((J449+J450)*'ECOMMERCE Formulas'!$C$33)+((J451+J452)*'ECOMMERCE Formulas'!$C$34)</f>
        <v>2065.62</v>
      </c>
      <c r="K514" s="276">
        <f>((K447+K448)*'ECOMMERCE Formulas'!$C$32)+((K449+K450)*'ECOMMERCE Formulas'!$C$33)+((K451+K452)*'ECOMMERCE Formulas'!$C$34)</f>
        <v>1982.04</v>
      </c>
      <c r="L514" s="276">
        <f>((L447+L448)*'ECOMMERCE Formulas'!$C$32)+((L449+L450)*'ECOMMERCE Formulas'!$C$33)+((L451+L452)*'ECOMMERCE Formulas'!$C$34)</f>
        <v>2077.56</v>
      </c>
      <c r="M514" s="276">
        <f>((M447+M448)*'ECOMMERCE Formulas'!$C$32)+((M449+M450)*'ECOMMERCE Formulas'!$C$33)+((M451+M452)*'ECOMMERCE Formulas'!$C$34)</f>
        <v>2125.32</v>
      </c>
      <c r="N514" s="276">
        <f>((N447+N448)*'ECOMMERCE Formulas'!$C$32)+((N449+N450)*'ECOMMERCE Formulas'!$C$33)+((N451+N452)*'ECOMMERCE Formulas'!$C$34)</f>
        <v>3343.2</v>
      </c>
      <c r="O514" s="276">
        <f>((O447+O448)*'ECOMMERCE Formulas'!$C$32)+((O449+O450)*'ECOMMERCE Formulas'!$C$33)+((O451+O452)*'ECOMMERCE Formulas'!$C$34)</f>
        <v>3068.58</v>
      </c>
      <c r="P514" s="276">
        <f>((P447+P448)*'ECOMMERCE Formulas'!$C$32)+((P449+P450)*'ECOMMERCE Formulas'!$C$33)+((P451+P452)*'ECOMMERCE Formulas'!$C$34)</f>
        <v>2555.16</v>
      </c>
      <c r="Q514" s="276">
        <f>((Q447+Q448)*'ECOMMERCE Formulas'!$C$32)+((Q449+Q450)*'ECOMMERCE Formulas'!$C$33)+((Q451+Q452)*'ECOMMERCE Formulas'!$C$34)</f>
        <v>2567.1</v>
      </c>
      <c r="R514" s="276">
        <f>((R447+R448)*'ECOMMERCE Formulas'!$C$32)+((R449+R450)*'ECOMMERCE Formulas'!$C$33)+((R451+R452)*'ECOMMERCE Formulas'!$C$34)</f>
        <v>1337.28</v>
      </c>
      <c r="S514" s="276">
        <f>((S447+S448)*'ECOMMERCE Formulas'!$C$32)+((S449+S450)*'ECOMMERCE Formulas'!$C$33)+((S451+S452)*'ECOMMERCE Formulas'!$C$34)</f>
        <v>2447.7</v>
      </c>
      <c r="T514" s="276">
        <f>((T447+T448)*'ECOMMERCE Formulas'!$C$32)+((T449+T450)*'ECOMMERCE Formulas'!$C$33)+((T451+T452)*'ECOMMERCE Formulas'!$C$34)</f>
        <v>1767.12</v>
      </c>
      <c r="U514" s="276">
        <f>((U447+U448)*'ECOMMERCE Formulas'!$C$32)+((U449+U450)*'ECOMMERCE Formulas'!$C$33)+((U451+U452)*'ECOMMERCE Formulas'!$C$34)</f>
        <v>2005.92</v>
      </c>
      <c r="V514" s="276">
        <f>((V447+V448)*'ECOMMERCE Formulas'!$C$32)+((V449+V450)*'ECOMMERCE Formulas'!$C$33)+((V451+V452)*'ECOMMERCE Formulas'!$C$34)</f>
        <v>1779.06</v>
      </c>
      <c r="W514" s="276">
        <f>((W447+W448)*'ECOMMERCE Formulas'!$C$32)+((W449+W450)*'ECOMMERCE Formulas'!$C$33)+((W451+W452)*'ECOMMERCE Formulas'!$C$34)</f>
        <v>1683.54</v>
      </c>
      <c r="X514" s="276">
        <f>((X447+X448)*'ECOMMERCE Formulas'!$C$32)+((X449+X450)*'ECOMMERCE Formulas'!$C$33)+((X451+X452)*'ECOMMERCE Formulas'!$C$34)</f>
        <v>1456.68</v>
      </c>
      <c r="Y514" s="276">
        <f>((Y447+Y448)*'ECOMMERCE Formulas'!$C$32)+((Y449+Y450)*'ECOMMERCE Formulas'!$C$33)+((Y451+Y452)*'ECOMMERCE Formulas'!$C$34)</f>
        <v>1086.54</v>
      </c>
      <c r="Z514" s="276">
        <f>((Z447+Z448)*'ECOMMERCE Formulas'!$C$32)+((Z449+Z450)*'ECOMMERCE Formulas'!$C$33)+((Z451+Z452)*'ECOMMERCE Formulas'!$C$34)</f>
        <v>1229.82</v>
      </c>
      <c r="AA514" s="276">
        <f>((AA447+AA448)*'ECOMMERCE Formulas'!$C$32)+((AA449+AA450)*'ECOMMERCE Formulas'!$C$33)+((AA451+AA452)*'ECOMMERCE Formulas'!$C$34)</f>
        <v>1170.12</v>
      </c>
      <c r="AB514" s="276">
        <f>((AB447+AB448)*'ECOMMERCE Formulas'!$C$32)+((AB449+AB450)*'ECOMMERCE Formulas'!$C$33)+((AB451+AB452)*'ECOMMERCE Formulas'!$C$34)</f>
        <v>1396.98</v>
      </c>
      <c r="AC514" s="276">
        <f>((AC447+AC448)*'ECOMMERCE Formulas'!$C$32)+((AC449+AC450)*'ECOMMERCE Formulas'!$C$33)+((AC451+AC452)*'ECOMMERCE Formulas'!$C$34)</f>
        <v>1241.76</v>
      </c>
      <c r="AD514" s="276">
        <f>((AD447+AD448)*'ECOMMERCE Formulas'!$C$32)+((AD449+AD450)*'ECOMMERCE Formulas'!$C$33)+((AD451+AD452)*'ECOMMERCE Formulas'!$C$34)</f>
        <v>1158.18</v>
      </c>
      <c r="AE514" s="276">
        <f>((AE447+AE448)*'ECOMMERCE Formulas'!$C$32)+((AE449+AE450)*'ECOMMERCE Formulas'!$C$33)+((AE451+AE452)*'ECOMMERCE Formulas'!$C$34)</f>
        <v>1194</v>
      </c>
      <c r="AF514" s="276">
        <f>((AF447+AF448)*'ECOMMERCE Formulas'!$C$32)+((AF449+AF450)*'ECOMMERCE Formulas'!$C$33)+((AF451+AF452)*'ECOMMERCE Formulas'!$C$34)</f>
        <v>1289.52</v>
      </c>
      <c r="AG514" s="360">
        <f t="shared" si="198"/>
        <v>56201.58</v>
      </c>
    </row>
    <row r="515">
      <c r="A515" s="1093" t="s">
        <v>980</v>
      </c>
      <c r="B515" s="1038">
        <f>((B447+B448)*'ECOMMERCE Formulas'!$C$28)+((B449+B450)*'ECOMMERCE Formulas'!$C$29)+((B451+B452)*'ECOMMERCE Formulas'!$C$30)</f>
        <v>1897.56</v>
      </c>
      <c r="C515" s="1038">
        <f>((C447+C448)*'ECOMMERCE Formulas'!$C$28)+((C449+C450)*'ECOMMERCE Formulas'!$C$29)+((C451+C452)*'ECOMMERCE Formulas'!$C$30)</f>
        <v>2233.82</v>
      </c>
      <c r="D515" s="1038">
        <f>((D447+D448)*'ECOMMERCE Formulas'!$C$28)+((D449+D450)*'ECOMMERCE Formulas'!$C$29)+((D451+D452)*'ECOMMERCE Formulas'!$C$30)</f>
        <v>2018.04</v>
      </c>
      <c r="E515" s="1038">
        <f>((E447+E448)*'ECOMMERCE Formulas'!$C$28)+((E449+E450)*'ECOMMERCE Formulas'!$C$29)+((E451+E452)*'ECOMMERCE Formulas'!$C$30)</f>
        <v>2153.58</v>
      </c>
      <c r="F515" s="1038">
        <f>((F447+F448)*'ECOMMERCE Formulas'!$C$28)+((F449+F450)*'ECOMMERCE Formulas'!$C$29)+((F451+F452)*'ECOMMERCE Formulas'!$C$30)</f>
        <v>2078.28</v>
      </c>
      <c r="G515" s="1038">
        <f>((G447+G448)*'ECOMMERCE Formulas'!$C$28)+((G449+G450)*'ECOMMERCE Formulas'!$C$29)+((G451+G452)*'ECOMMERCE Formulas'!$C$30)</f>
        <v>2259</v>
      </c>
      <c r="H515" s="1038">
        <f>((H447+H448)*'ECOMMERCE Formulas'!$C$28)+((H449+H450)*'ECOMMERCE Formulas'!$C$29)+((H451+H452)*'ECOMMERCE Formulas'!$C$30)</f>
        <v>2469.84</v>
      </c>
      <c r="I515" s="1038">
        <f>((I447+I448)*'ECOMMERCE Formulas'!$C$28)+((I449+I450)*'ECOMMERCE Formulas'!$C$29)+((I451+I452)*'ECOMMERCE Formulas'!$C$30)</f>
        <v>2771.04</v>
      </c>
      <c r="J515" s="1038">
        <f>((J447+J448)*'ECOMMERCE Formulas'!$C$28)+((J449+J450)*'ECOMMERCE Formulas'!$C$29)+((J451+J452)*'ECOMMERCE Formulas'!$C$30)</f>
        <v>2605.38</v>
      </c>
      <c r="K515" s="1038">
        <f>((K447+K448)*'ECOMMERCE Formulas'!$C$28)+((K449+K450)*'ECOMMERCE Formulas'!$C$29)+((K451+K452)*'ECOMMERCE Formulas'!$C$30)</f>
        <v>2499.96</v>
      </c>
      <c r="L515" s="1038">
        <f>((L447+L448)*'ECOMMERCE Formulas'!$C$28)+((L449+L450)*'ECOMMERCE Formulas'!$C$29)+((L451+L452)*'ECOMMERCE Formulas'!$C$30)</f>
        <v>2620.44</v>
      </c>
      <c r="M515" s="1038">
        <f>((M447+M448)*'ECOMMERCE Formulas'!$C$28)+((M449+M450)*'ECOMMERCE Formulas'!$C$29)+((M451+M452)*'ECOMMERCE Formulas'!$C$30)</f>
        <v>2680.68</v>
      </c>
      <c r="N515" s="1038">
        <f>((N447+N448)*'ECOMMERCE Formulas'!$C$28)+((N449+N450)*'ECOMMERCE Formulas'!$C$29)+((N451+N452)*'ECOMMERCE Formulas'!$C$30)</f>
        <v>4216.8</v>
      </c>
      <c r="O515" s="1038">
        <f>((O447+O448)*'ECOMMERCE Formulas'!$C$28)+((O449+O450)*'ECOMMERCE Formulas'!$C$29)+((O451+O452)*'ECOMMERCE Formulas'!$C$30)</f>
        <v>3870.42</v>
      </c>
      <c r="P515" s="1038">
        <f>((P447+P448)*'ECOMMERCE Formulas'!$C$28)+((P449+P450)*'ECOMMERCE Formulas'!$C$29)+((P451+P452)*'ECOMMERCE Formulas'!$C$30)</f>
        <v>3222.84</v>
      </c>
      <c r="Q515" s="1038">
        <f>((Q447+Q448)*'ECOMMERCE Formulas'!$C$28)+((Q449+Q450)*'ECOMMERCE Formulas'!$C$29)+((Q451+Q452)*'ECOMMERCE Formulas'!$C$30)</f>
        <v>3237.9</v>
      </c>
      <c r="R515" s="1038">
        <f>((R447+R448)*'ECOMMERCE Formulas'!$C$28)+((R449+R450)*'ECOMMERCE Formulas'!$C$29)+((R451+R452)*'ECOMMERCE Formulas'!$C$30)</f>
        <v>1686.72</v>
      </c>
      <c r="S515" s="1038">
        <f>((S447+S448)*'ECOMMERCE Formulas'!$C$28)+((S449+S450)*'ECOMMERCE Formulas'!$C$29)+((S451+S452)*'ECOMMERCE Formulas'!$C$30)</f>
        <v>3087.3</v>
      </c>
      <c r="T515" s="1038">
        <f>((T447+T448)*'ECOMMERCE Formulas'!$C$28)+((T449+T450)*'ECOMMERCE Formulas'!$C$29)+((T451+T452)*'ECOMMERCE Formulas'!$C$30)</f>
        <v>2228.88</v>
      </c>
      <c r="U515" s="1038">
        <f>((U447+U448)*'ECOMMERCE Formulas'!$C$28)+((U449+U450)*'ECOMMERCE Formulas'!$C$29)+((U451+U452)*'ECOMMERCE Formulas'!$C$30)</f>
        <v>2530.08</v>
      </c>
      <c r="V515" s="1038">
        <f>((V447+V448)*'ECOMMERCE Formulas'!$C$28)+((V449+V450)*'ECOMMERCE Formulas'!$C$29)+((V451+V452)*'ECOMMERCE Formulas'!$C$30)</f>
        <v>2243.94</v>
      </c>
      <c r="W515" s="1038">
        <f>((W447+W448)*'ECOMMERCE Formulas'!$C$28)+((W449+W450)*'ECOMMERCE Formulas'!$C$29)+((W451+W452)*'ECOMMERCE Formulas'!$C$30)</f>
        <v>2123.46</v>
      </c>
      <c r="X515" s="1038">
        <f>((X447+X448)*'ECOMMERCE Formulas'!$C$28)+((X449+X450)*'ECOMMERCE Formulas'!$C$29)+((X451+X452)*'ECOMMERCE Formulas'!$C$30)</f>
        <v>1837.32</v>
      </c>
      <c r="Y515" s="1038">
        <f>((Y447+Y448)*'ECOMMERCE Formulas'!$C$28)+((Y449+Y450)*'ECOMMERCE Formulas'!$C$29)+((Y451+Y452)*'ECOMMERCE Formulas'!$C$30)</f>
        <v>1370.46</v>
      </c>
      <c r="Z515" s="1038">
        <f>((Z447+Z448)*'ECOMMERCE Formulas'!$C$28)+((Z449+Z450)*'ECOMMERCE Formulas'!$C$29)+((Z451+Z452)*'ECOMMERCE Formulas'!$C$30)</f>
        <v>1551.18</v>
      </c>
      <c r="AA515" s="1038">
        <f>((AA447+AA448)*'ECOMMERCE Formulas'!$C$28)+((AA449+AA450)*'ECOMMERCE Formulas'!$C$29)+((AA451+AA452)*'ECOMMERCE Formulas'!$C$30)</f>
        <v>1475.88</v>
      </c>
      <c r="AB515" s="1038">
        <f>((AB447+AB448)*'ECOMMERCE Formulas'!$C$28)+((AB449+AB450)*'ECOMMERCE Formulas'!$C$29)+((AB451+AB452)*'ECOMMERCE Formulas'!$C$30)</f>
        <v>1762.02</v>
      </c>
      <c r="AC515" s="1038">
        <f>((AC447+AC448)*'ECOMMERCE Formulas'!$C$28)+((AC449+AC450)*'ECOMMERCE Formulas'!$C$29)+((AC451+AC452)*'ECOMMERCE Formulas'!$C$30)</f>
        <v>1566.24</v>
      </c>
      <c r="AD515" s="1038">
        <f>((AD447+AD448)*'ECOMMERCE Formulas'!$C$28)+((AD449+AD450)*'ECOMMERCE Formulas'!$C$29)+((AD451+AD452)*'ECOMMERCE Formulas'!$C$30)</f>
        <v>1460.82</v>
      </c>
      <c r="AE515" s="1038">
        <f>((AE447+AE448)*'ECOMMERCE Formulas'!$C$28)+((AE449+AE450)*'ECOMMERCE Formulas'!$C$29)+((AE451+AE452)*'ECOMMERCE Formulas'!$C$30)</f>
        <v>1506</v>
      </c>
      <c r="AF515" s="1038">
        <f>((AF447+AF448)*'ECOMMERCE Formulas'!$C$28)+((AF449+AF450)*'ECOMMERCE Formulas'!$C$29)+((AF451+AF452)*'ECOMMERCE Formulas'!$C$30)</f>
        <v>1626.48</v>
      </c>
      <c r="AG515" s="360">
        <f t="shared" si="198"/>
        <v>70892.36</v>
      </c>
    </row>
    <row r="516">
      <c r="A516" s="1093" t="s">
        <v>982</v>
      </c>
      <c r="B516" s="465">
        <f>(B461*'ECOMMERCE Formulas'!$D$32)+(B468*'ECOMMERCE Formulas'!$D$33)+(B475*'ECOMMERCE Formulas'!$D$34)</f>
        <v>179.415</v>
      </c>
      <c r="C516" s="465">
        <f>(C461*'ECOMMERCE Formulas'!$D$32)+(C468*'ECOMMERCE Formulas'!$D$33)+(C475*'ECOMMERCE Formulas'!$D$34)</f>
        <v>215.27</v>
      </c>
      <c r="D516" s="465">
        <f>(D461*'ECOMMERCE Formulas'!$D$32)+(D468*'ECOMMERCE Formulas'!$D$33)+(D475*'ECOMMERCE Formulas'!$D$34)</f>
        <v>133.48</v>
      </c>
      <c r="E516" s="465">
        <f>(E461*'ECOMMERCE Formulas'!$D$32)+(E468*'ECOMMERCE Formulas'!$D$33)+(E475*'ECOMMERCE Formulas'!$D$34)</f>
        <v>170.81</v>
      </c>
      <c r="F516" s="465">
        <f>(F461*'ECOMMERCE Formulas'!$D$32)+(F468*'ECOMMERCE Formulas'!$D$33)+(F475*'ECOMMERCE Formulas'!$D$34)</f>
        <v>142.115</v>
      </c>
      <c r="G516" s="465">
        <f>(G461*'ECOMMERCE Formulas'!$D$32)+(G468*'ECOMMERCE Formulas'!$D$33)+(G475*'ECOMMERCE Formulas'!$D$34)</f>
        <v>149.31</v>
      </c>
      <c r="H516" s="465">
        <f>(H461*'ECOMMERCE Formulas'!$D$32)+(H468*'ECOMMERCE Formulas'!$D$33)+(H475*'ECOMMERCE Formulas'!$D$34)</f>
        <v>144.945</v>
      </c>
      <c r="I516" s="465">
        <f>(I461*'ECOMMERCE Formulas'!$D$32)+(I468*'ECOMMERCE Formulas'!$D$33)+(I475*'ECOMMERCE Formulas'!$D$34)</f>
        <v>232.535</v>
      </c>
      <c r="J516" s="465">
        <f>(J461*'ECOMMERCE Formulas'!$D$32)+(J468*'ECOMMERCE Formulas'!$D$33)+(J475*'ECOMMERCE Formulas'!$D$34)</f>
        <v>229.62</v>
      </c>
      <c r="K516" s="465">
        <f>(K461*'ECOMMERCE Formulas'!$D$32)+(K468*'ECOMMERCE Formulas'!$D$33)+(K475*'ECOMMERCE Formulas'!$D$34)</f>
        <v>219.61</v>
      </c>
      <c r="L516" s="465">
        <f>(L461*'ECOMMERCE Formulas'!$D$32)+(L468*'ECOMMERCE Formulas'!$D$33)+(L475*'ECOMMERCE Formulas'!$D$34)</f>
        <v>165.06</v>
      </c>
      <c r="M516" s="465">
        <f>(M461*'ECOMMERCE Formulas'!$D$32)+(M468*'ECOMMERCE Formulas'!$D$33)+(M475*'ECOMMERCE Formulas'!$D$34)</f>
        <v>155.05</v>
      </c>
      <c r="N516" s="465">
        <f>(N461*'ECOMMERCE Formulas'!$D$32)+(N468*'ECOMMERCE Formulas'!$D$33)+(N475*'ECOMMERCE Formulas'!$D$34)</f>
        <v>317.15</v>
      </c>
      <c r="O516" s="465">
        <f>(O461*'ECOMMERCE Formulas'!$D$32)+(O468*'ECOMMERCE Formulas'!$D$33)+(O475*'ECOMMERCE Formulas'!$D$34)</f>
        <v>251.18</v>
      </c>
      <c r="P516" s="465">
        <f>(P461*'ECOMMERCE Formulas'!$D$32)+(P468*'ECOMMERCE Formulas'!$D$33)+(P475*'ECOMMERCE Formulas'!$D$34)</f>
        <v>278.435</v>
      </c>
      <c r="Q516" s="465">
        <f>(Q461*'ECOMMERCE Formulas'!$D$32)+(Q468*'ECOMMERCE Formulas'!$D$33)+(Q475*'ECOMMERCE Formulas'!$D$34)</f>
        <v>242.58</v>
      </c>
      <c r="R516" s="465">
        <f>(R461*'ECOMMERCE Formulas'!$D$32)+(R468*'ECOMMERCE Formulas'!$D$33)+(R475*'ECOMMERCE Formulas'!$D$34)</f>
        <v>129.165</v>
      </c>
      <c r="S516" s="465">
        <f>(S461*'ECOMMERCE Formulas'!$D$32)+(S468*'ECOMMERCE Formulas'!$D$33)+(S475*'ECOMMERCE Formulas'!$D$34)</f>
        <v>228.185</v>
      </c>
      <c r="T516" s="465">
        <f>(T461*'ECOMMERCE Formulas'!$D$32)+(T468*'ECOMMERCE Formulas'!$D$33)+(T475*'ECOMMERCE Formulas'!$D$34)</f>
        <v>169.345</v>
      </c>
      <c r="U516" s="465">
        <f>(U461*'ECOMMERCE Formulas'!$D$32)+(U468*'ECOMMERCE Formulas'!$D$33)+(U475*'ECOMMERCE Formulas'!$D$34)</f>
        <v>206.69</v>
      </c>
      <c r="V516" s="465">
        <f>(V461*'ECOMMERCE Formulas'!$D$32)+(V468*'ECOMMERCE Formulas'!$D$33)+(V475*'ECOMMERCE Formulas'!$D$34)</f>
        <v>176.56</v>
      </c>
      <c r="W516" s="465">
        <f>(W461*'ECOMMERCE Formulas'!$D$32)+(W468*'ECOMMERCE Formulas'!$D$33)+(W475*'ECOMMERCE Formulas'!$D$34)</f>
        <v>183.72</v>
      </c>
      <c r="X516" s="465">
        <f>(X461*'ECOMMERCE Formulas'!$D$32)+(X468*'ECOMMERCE Formulas'!$D$33)+(X475*'ECOMMERCE Formulas'!$D$34)</f>
        <v>196.62</v>
      </c>
      <c r="Y516" s="465">
        <f>(Y461*'ECOMMERCE Formulas'!$D$32)+(Y468*'ECOMMERCE Formulas'!$D$33)+(Y475*'ECOMMERCE Formulas'!$D$34)</f>
        <v>127.74</v>
      </c>
      <c r="Z516" s="465">
        <f>(Z461*'ECOMMERCE Formulas'!$D$32)+(Z468*'ECOMMERCE Formulas'!$D$33)+(Z475*'ECOMMERCE Formulas'!$D$34)</f>
        <v>119.145</v>
      </c>
      <c r="AA516" s="465">
        <f>(AA461*'ECOMMERCE Formulas'!$D$32)+(AA468*'ECOMMERCE Formulas'!$D$33)+(AA475*'ECOMMERCE Formulas'!$D$34)</f>
        <v>123.5</v>
      </c>
      <c r="AB516" s="465">
        <f>(AB461*'ECOMMERCE Formulas'!$D$32)+(AB468*'ECOMMERCE Formulas'!$D$33)+(AB475*'ECOMMERCE Formulas'!$D$34)</f>
        <v>113.385</v>
      </c>
      <c r="AC516" s="465">
        <f>(AC461*'ECOMMERCE Formulas'!$D$32)+(AC468*'ECOMMERCE Formulas'!$D$33)+(AC475*'ECOMMERCE Formulas'!$D$34)</f>
        <v>97.625</v>
      </c>
      <c r="AD516" s="465">
        <f>(AD461*'ECOMMERCE Formulas'!$D$32)+(AD468*'ECOMMERCE Formulas'!$D$33)+(AD475*'ECOMMERCE Formulas'!$D$34)</f>
        <v>117.71</v>
      </c>
      <c r="AE516" s="465">
        <f>(AE461*'ECOMMERCE Formulas'!$D$32)+(AE468*'ECOMMERCE Formulas'!$D$33)+(AE475*'ECOMMERCE Formulas'!$D$34)</f>
        <v>126.28</v>
      </c>
      <c r="AF516" s="465">
        <f>(AF461*'ECOMMERCE Formulas'!$D$32)+(AF468*'ECOMMERCE Formulas'!$D$33)+(AF475*'ECOMMERCE Formulas'!$D$34)</f>
        <v>100.48</v>
      </c>
      <c r="AG516" s="360">
        <f t="shared" si="198"/>
        <v>5442.715</v>
      </c>
    </row>
    <row r="517">
      <c r="A517" s="1093" t="s">
        <v>985</v>
      </c>
      <c r="B517" s="465">
        <f>(B189*'ECOMMERCE Formulas'!$D$28)</f>
        <v>0</v>
      </c>
      <c r="C517" s="465">
        <f>(C189*'ECOMMERCE Formulas'!$D$28)</f>
        <v>0</v>
      </c>
      <c r="D517" s="465">
        <f>(D189*'ECOMMERCE Formulas'!$D$28)</f>
        <v>16.93</v>
      </c>
      <c r="E517" s="465">
        <f>(E189*'ECOMMERCE Formulas'!$D$28)</f>
        <v>42.325</v>
      </c>
      <c r="F517" s="465">
        <f>(F189*'ECOMMERCE Formulas'!$D$28)</f>
        <v>42.325</v>
      </c>
      <c r="G517" s="465">
        <f>(G189*'ECOMMERCE Formulas'!$D$28)</f>
        <v>0</v>
      </c>
      <c r="H517" s="465">
        <f>(H189*'ECOMMERCE Formulas'!$D$28)</f>
        <v>0</v>
      </c>
      <c r="I517" s="465">
        <f>(I189*'ECOMMERCE Formulas'!$D$28)</f>
        <v>0</v>
      </c>
      <c r="J517" s="465">
        <f>(J189*'ECOMMERCE Formulas'!$D$28)</f>
        <v>8.465</v>
      </c>
      <c r="K517" s="465">
        <f>(K189*'ECOMMERCE Formulas'!$D$28)</f>
        <v>50.79</v>
      </c>
      <c r="L517" s="465">
        <f>(L189*'ECOMMERCE Formulas'!$D$28)</f>
        <v>25.395</v>
      </c>
      <c r="M517" s="465">
        <f>(M189*'ECOMMERCE Formulas'!$D$28)</f>
        <v>16.93</v>
      </c>
      <c r="N517" s="465">
        <f>(N189*'ECOMMERCE Formulas'!$D$28)</f>
        <v>42.325</v>
      </c>
      <c r="O517" s="465">
        <f>(O189*'ECOMMERCE Formulas'!$D$28)</f>
        <v>59.255</v>
      </c>
      <c r="P517" s="465">
        <f>(P189*'ECOMMERCE Formulas'!$D$28)</f>
        <v>84.65</v>
      </c>
      <c r="Q517" s="465">
        <f>(Q189*'ECOMMERCE Formulas'!$D$28)</f>
        <v>110.045</v>
      </c>
      <c r="R517" s="465">
        <f>(R189*'ECOMMERCE Formulas'!$D$28)</f>
        <v>50.79</v>
      </c>
      <c r="S517" s="465">
        <f>(S189*'ECOMMERCE Formulas'!$D$28)</f>
        <v>33.86</v>
      </c>
      <c r="T517" s="465">
        <f>(T189*'ECOMMERCE Formulas'!$D$28)</f>
        <v>101.58</v>
      </c>
      <c r="U517" s="465">
        <f>(U189*'ECOMMERCE Formulas'!$D$28)</f>
        <v>25.395</v>
      </c>
      <c r="V517" s="465">
        <f>(V189*'ECOMMERCE Formulas'!$D$28)</f>
        <v>76.185</v>
      </c>
      <c r="W517" s="465">
        <f>(W189*'ECOMMERCE Formulas'!$D$28)</f>
        <v>33.86</v>
      </c>
      <c r="X517" s="465">
        <f>(X189*'ECOMMERCE Formulas'!$D$28)</f>
        <v>50.79</v>
      </c>
      <c r="Y517" s="465">
        <f>(Y189*'ECOMMERCE Formulas'!$D$28)</f>
        <v>152.37</v>
      </c>
      <c r="Z517" s="465">
        <f>(Z189*'ECOMMERCE Formulas'!$D$28)</f>
        <v>8.465</v>
      </c>
      <c r="AA517" s="465">
        <f>(AA189*'ECOMMERCE Formulas'!$D$28)</f>
        <v>16.93</v>
      </c>
      <c r="AB517" s="465">
        <f>(AB189*'ECOMMERCE Formulas'!$D$28)</f>
        <v>25.395</v>
      </c>
      <c r="AC517" s="465">
        <f>(AC189*'ECOMMERCE Formulas'!$D$28)</f>
        <v>0</v>
      </c>
      <c r="AD517" s="465">
        <f>(AD189*'ECOMMERCE Formulas'!$D$28)</f>
        <v>0</v>
      </c>
      <c r="AE517" s="465">
        <f>(AE189*'ECOMMERCE Formulas'!$D$28)</f>
        <v>59.255</v>
      </c>
      <c r="AF517" s="465">
        <f>(AF189*'ECOMMERCE Formulas'!$D$28)</f>
        <v>50.79</v>
      </c>
      <c r="AG517" s="360">
        <f t="shared" si="198"/>
        <v>1185.1</v>
      </c>
    </row>
    <row r="518">
      <c r="A518" s="1095" t="s">
        <v>987</v>
      </c>
      <c r="B518" s="465">
        <f t="shared" ref="B518:AF518" si="199">B137</f>
        <v>2405</v>
      </c>
      <c r="C518" s="465">
        <f t="shared" si="199"/>
        <v>2823.24</v>
      </c>
      <c r="D518" s="465">
        <f t="shared" si="199"/>
        <v>2179.75</v>
      </c>
      <c r="E518" s="465">
        <f t="shared" si="199"/>
        <v>2224.15</v>
      </c>
      <c r="F518" s="465">
        <f t="shared" si="199"/>
        <v>2263.06</v>
      </c>
      <c r="G518" s="465">
        <f t="shared" si="199"/>
        <v>2560.91</v>
      </c>
      <c r="H518" s="465">
        <f t="shared" si="199"/>
        <v>2475</v>
      </c>
      <c r="I518" s="465">
        <f t="shared" si="199"/>
        <v>3139.62</v>
      </c>
      <c r="J518" s="465">
        <f t="shared" si="199"/>
        <v>2878.18</v>
      </c>
      <c r="K518" s="465">
        <f t="shared" si="199"/>
        <v>2687.08</v>
      </c>
      <c r="L518" s="465">
        <f t="shared" si="199"/>
        <v>2857.92</v>
      </c>
      <c r="M518" s="465">
        <f t="shared" si="199"/>
        <v>2742.77</v>
      </c>
      <c r="N518" s="465">
        <f t="shared" si="199"/>
        <v>4420.83</v>
      </c>
      <c r="O518" s="465">
        <f t="shared" si="199"/>
        <v>4041.71</v>
      </c>
      <c r="P518" s="465">
        <f t="shared" si="199"/>
        <v>3417.03</v>
      </c>
      <c r="Q518" s="465">
        <f t="shared" si="199"/>
        <v>3275.52</v>
      </c>
      <c r="R518" s="465">
        <f t="shared" si="199"/>
        <v>1843.91</v>
      </c>
      <c r="S518" s="465">
        <f t="shared" si="199"/>
        <v>3460.94</v>
      </c>
      <c r="T518" s="465">
        <f t="shared" si="199"/>
        <v>2473.56</v>
      </c>
      <c r="U518" s="465">
        <f t="shared" si="199"/>
        <v>2781.55</v>
      </c>
      <c r="V518" s="465">
        <f t="shared" si="199"/>
        <v>2567.44</v>
      </c>
      <c r="W518" s="465">
        <f t="shared" si="199"/>
        <v>2549.56</v>
      </c>
      <c r="X518" s="465">
        <f t="shared" si="199"/>
        <v>2241.14</v>
      </c>
      <c r="Y518" s="465">
        <f t="shared" si="199"/>
        <v>1706.5</v>
      </c>
      <c r="Z518" s="465">
        <f t="shared" si="199"/>
        <v>1795.56</v>
      </c>
      <c r="AA518" s="465">
        <f t="shared" si="199"/>
        <v>1705.31</v>
      </c>
      <c r="AB518" s="465">
        <f t="shared" si="199"/>
        <v>1833.59</v>
      </c>
      <c r="AC518" s="465">
        <f t="shared" si="199"/>
        <v>1625.61</v>
      </c>
      <c r="AD518" s="465">
        <f t="shared" si="199"/>
        <v>1729.55</v>
      </c>
      <c r="AE518" s="465">
        <f t="shared" si="199"/>
        <v>1831.39</v>
      </c>
      <c r="AF518" s="465">
        <f t="shared" si="199"/>
        <v>1827.95</v>
      </c>
      <c r="AG518" s="360">
        <f t="shared" si="198"/>
        <v>78365.33</v>
      </c>
    </row>
    <row r="519">
      <c r="A519" s="1095" t="s">
        <v>989</v>
      </c>
      <c r="B519" s="1008">
        <f>(((B248+B249)+(B267))-B384)*'ECOMMERCE Formulas'!$O$3</f>
        <v>354.64</v>
      </c>
      <c r="C519" s="1008">
        <f>(((C248+C249)+(C267))-C384)*'ECOMMERCE Formulas'!$O$3</f>
        <v>274.34</v>
      </c>
      <c r="D519" s="1008">
        <f>(((D248+D249)+(D267))-D384)*'ECOMMERCE Formulas'!$O$3</f>
        <v>492.624</v>
      </c>
      <c r="E519" s="1008">
        <f>(((E248+E249)+(E267))-E384)*'ECOMMERCE Formulas'!$O$3</f>
        <v>368.39</v>
      </c>
      <c r="F519" s="1008">
        <f>(((F248+F249)+(F267))-F384)*'ECOMMERCE Formulas'!$O$3</f>
        <v>341.088</v>
      </c>
      <c r="G519" s="1008">
        <f>(((G248+G249)+(G267))-G384)*'ECOMMERCE Formulas'!$O$3</f>
        <v>450.81564</v>
      </c>
      <c r="H519" s="1008">
        <f>(((H248+H249)+(H267))-H384)*'ECOMMERCE Formulas'!$O$3</f>
        <v>340.142</v>
      </c>
      <c r="I519" s="1008">
        <f>(((I248+I249)+(I267))-I384)*'ECOMMERCE Formulas'!$O$3</f>
        <v>406.626</v>
      </c>
      <c r="J519" s="1008">
        <f>(((J248+J249)+(J267))-J384)*'ECOMMERCE Formulas'!$O$3</f>
        <v>322.498</v>
      </c>
      <c r="K519" s="1008">
        <f>(((K248+K249)+(K267))-K384)*'ECOMMERCE Formulas'!$O$3</f>
        <v>434.17</v>
      </c>
      <c r="L519" s="1008">
        <f>(((L248+L249)+(L267))-L384)*'ECOMMERCE Formulas'!$O$3</f>
        <v>266.684</v>
      </c>
      <c r="M519" s="1008">
        <f>(((M248+M249)+(M267))-M384)*'ECOMMERCE Formulas'!$O$3</f>
        <v>545.974</v>
      </c>
      <c r="N519" s="1008">
        <f>(((N248+N249)+(N267))-N384)*'ECOMMERCE Formulas'!$O$3</f>
        <v>404.074</v>
      </c>
      <c r="O519" s="1008">
        <f>(((O248+O249)+(O267))-O384)*'ECOMMERCE Formulas'!$O$3</f>
        <v>424.512</v>
      </c>
      <c r="P519" s="1008">
        <f>(((P248+P249)+(P267))-P384)*'ECOMMERCE Formulas'!$O$3</f>
        <v>358.688</v>
      </c>
      <c r="Q519" s="1008">
        <f>(((Q248+Q249)+(Q267))-Q384)*'ECOMMERCE Formulas'!$O$3</f>
        <v>630.234</v>
      </c>
      <c r="R519" s="1008">
        <f>(((R248+R249)+(R267))-R384)*'ECOMMERCE Formulas'!$O$3</f>
        <v>160.666</v>
      </c>
      <c r="S519" s="1008">
        <f>(((S248+S249)+(S267))-S384)*'ECOMMERCE Formulas'!$O$3</f>
        <v>357.25756</v>
      </c>
      <c r="T519" s="1008">
        <f>(((T248+T249)+(T267))-T384)*'ECOMMERCE Formulas'!$O$3</f>
        <v>130.284</v>
      </c>
      <c r="U519" s="1008">
        <f>(((U248+U249)+(U267))-U384)*'ECOMMERCE Formulas'!$O$3</f>
        <v>463.254</v>
      </c>
      <c r="V519" s="1008">
        <f>(((V248+V249)+(V267))-V384)*'ECOMMERCE Formulas'!$O$3</f>
        <v>329.252</v>
      </c>
      <c r="W519" s="1008">
        <f>(((W248+W249)+(W267))-W384)*'ECOMMERCE Formulas'!$O$3</f>
        <v>238.92</v>
      </c>
      <c r="X519" s="1008">
        <f>(((X248+X249)+(X267))-X384)*'ECOMMERCE Formulas'!$O$3</f>
        <v>231.902</v>
      </c>
      <c r="Y519" s="1008">
        <f>(((Y248+Y249)+(Y267))-Y384)*'ECOMMERCE Formulas'!$O$3</f>
        <v>458.92</v>
      </c>
      <c r="Z519" s="1008">
        <f>(((Z248+Z249)+(Z267))-Z384)*'ECOMMERCE Formulas'!$O$3</f>
        <v>419.1</v>
      </c>
      <c r="AA519" s="1008">
        <f>(((AA248+AA249)+(AA267))-AA384)*'ECOMMERCE Formulas'!$O$3</f>
        <v>216.7</v>
      </c>
      <c r="AB519" s="1008">
        <f>(((AB248+AB249)+(AB267))-AB384)*'ECOMMERCE Formulas'!$O$3</f>
        <v>287.32</v>
      </c>
      <c r="AC519" s="1008">
        <f>(((AC248+AC249)+(AC267))-AC384)*'ECOMMERCE Formulas'!$O$3</f>
        <v>892.32</v>
      </c>
      <c r="AD519" s="1008">
        <f>(((AD248+AD249)+(AD267))-AD384)*'ECOMMERCE Formulas'!$O$3</f>
        <v>531.96</v>
      </c>
      <c r="AE519" s="1008">
        <f>(((AE248+AE249)+(AE267))-AE384)*'ECOMMERCE Formulas'!$O$3</f>
        <v>121.44</v>
      </c>
      <c r="AF519" s="1008">
        <f>(((AF248+AF249)+(AF267))-AF384)*'ECOMMERCE Formulas'!$O$3</f>
        <v>288.354</v>
      </c>
      <c r="AG519" s="360">
        <f t="shared" si="198"/>
        <v>11543.1492</v>
      </c>
    </row>
    <row r="520">
      <c r="A520" s="1095" t="s">
        <v>991</v>
      </c>
      <c r="B520" s="1096">
        <f>(((B250+B251)+(B274))-B389)*'ECOMMERCE Formulas'!$O$4</f>
        <v>9.1</v>
      </c>
      <c r="C520" s="1096">
        <f>(((C250+C251)+(C274))-C389)*'ECOMMERCE Formulas'!$O$4</f>
        <v>34.97</v>
      </c>
      <c r="D520" s="1096">
        <f>(((D250+D251)+(D274))-D389)*'ECOMMERCE Formulas'!$O$4</f>
        <v>0</v>
      </c>
      <c r="E520" s="1096">
        <f>(((E250+E251)+(E274))-E389)*'ECOMMERCE Formulas'!$O$4</f>
        <v>0</v>
      </c>
      <c r="F520" s="1096">
        <f>(((F250+F251)+(F274))-F389)*'ECOMMERCE Formulas'!$O$4</f>
        <v>0</v>
      </c>
      <c r="G520" s="1096">
        <f>(((G250+G251)+(G274))-G389)*'ECOMMERCE Formulas'!$O$4</f>
        <v>0</v>
      </c>
      <c r="H520" s="1096">
        <f>(((H250+H251)+(H274))-H389)*'ECOMMERCE Formulas'!$O$4</f>
        <v>0</v>
      </c>
      <c r="I520" s="1096">
        <f>(((I250+I251)+(I274))-I389)*'ECOMMERCE Formulas'!$O$4</f>
        <v>0</v>
      </c>
      <c r="J520" s="1096">
        <f>(((J250+J251)+(J274))-J389)*'ECOMMERCE Formulas'!$O$4</f>
        <v>0</v>
      </c>
      <c r="K520" s="1096">
        <f>(((K250+K251)+(K274))-K389)*'ECOMMERCE Formulas'!$O$4</f>
        <v>0</v>
      </c>
      <c r="L520" s="1096">
        <f>(((L250+L251)+(L274))-L389)*'ECOMMERCE Formulas'!$O$4</f>
        <v>0</v>
      </c>
      <c r="M520" s="1096">
        <f>(((M250+M251)+(M274))-M389)*'ECOMMERCE Formulas'!$O$4</f>
        <v>0</v>
      </c>
      <c r="N520" s="1096">
        <f>(((N250+N251)+(N274))-N389)*'ECOMMERCE Formulas'!$O$4</f>
        <v>0</v>
      </c>
      <c r="O520" s="1096">
        <f>(((O250+O251)+(O274))-O389)*'ECOMMERCE Formulas'!$O$4</f>
        <v>0</v>
      </c>
      <c r="P520" s="1096">
        <f>(((P250+P251)+(P274))-P389)*'ECOMMERCE Formulas'!$O$4</f>
        <v>0</v>
      </c>
      <c r="Q520" s="1096">
        <f>(((Q250+Q251)+(Q274))-Q389)*'ECOMMERCE Formulas'!$O$4</f>
        <v>0</v>
      </c>
      <c r="R520" s="1096">
        <f>(((R250+R251)+(R274))-R389)*'ECOMMERCE Formulas'!$O$4</f>
        <v>0</v>
      </c>
      <c r="S520" s="1096">
        <f>(((S250+S251)+(S274))-S389)*'ECOMMERCE Formulas'!$O$4</f>
        <v>0</v>
      </c>
      <c r="T520" s="1096">
        <f>(((T250+T251)+(T274))-T389)*'ECOMMERCE Formulas'!$O$4</f>
        <v>0</v>
      </c>
      <c r="U520" s="1096">
        <f>(((U250+U251)+(U274))-U389)*'ECOMMERCE Formulas'!$O$4</f>
        <v>0</v>
      </c>
      <c r="V520" s="1096">
        <f>(((V250+V251)+(V274))-V389)*'ECOMMERCE Formulas'!$O$4</f>
        <v>0</v>
      </c>
      <c r="W520" s="1096">
        <f>(((W250+W251)+(W274))-W389)*'ECOMMERCE Formulas'!$O$4</f>
        <v>0</v>
      </c>
      <c r="X520" s="1096">
        <f>(((X250+X251)+(X274))-X389)*'ECOMMERCE Formulas'!$O$4</f>
        <v>0</v>
      </c>
      <c r="Y520" s="1096">
        <f>(((Y250+Y251)+(Y274))-Y389)*'ECOMMERCE Formulas'!$O$4</f>
        <v>0</v>
      </c>
      <c r="Z520" s="1096">
        <f>(((Z250+Z251)+(Z274))-Z389)*'ECOMMERCE Formulas'!$O$4</f>
        <v>0</v>
      </c>
      <c r="AA520" s="1096">
        <f>(((AA250+AA251)+(AA274))-AA389)*'ECOMMERCE Formulas'!$O$4</f>
        <v>0</v>
      </c>
      <c r="AB520" s="1096">
        <f>(((AB250+AB251)+(AB274))-AB389)*'ECOMMERCE Formulas'!$O$4</f>
        <v>0</v>
      </c>
      <c r="AC520" s="1096">
        <f>(((AC250+AC251)+(AC274))-AC389)*'ECOMMERCE Formulas'!$O$4</f>
        <v>0</v>
      </c>
      <c r="AD520" s="1096">
        <f>(((AD250+AD251)+(AD274))-AD389)*'ECOMMERCE Formulas'!$O$4</f>
        <v>0</v>
      </c>
      <c r="AE520" s="1096">
        <f>(((AE250+AE251)+(AE274))-AE389)*'ECOMMERCE Formulas'!$O$4</f>
        <v>0</v>
      </c>
      <c r="AF520" s="1096">
        <f>(((AF250+AF251)+(AF274))-AF389)*'ECOMMERCE Formulas'!$O$4</f>
        <v>0</v>
      </c>
      <c r="AG520" s="360">
        <f t="shared" si="198"/>
        <v>44.07</v>
      </c>
    </row>
    <row r="521">
      <c r="A521" s="1097" t="s">
        <v>993</v>
      </c>
      <c r="B521" s="1098">
        <f t="shared" ref="B521:AF521" si="200">iferror(B522+B523+B524+B525,"")</f>
        <v>0</v>
      </c>
      <c r="C521" s="1098">
        <f t="shared" si="200"/>
        <v>0</v>
      </c>
      <c r="D521" s="1098" t="str">
        <f t="shared" si="200"/>
        <v/>
      </c>
      <c r="E521" s="1098">
        <f t="shared" si="200"/>
        <v>179.5</v>
      </c>
      <c r="F521" s="1098">
        <f t="shared" si="200"/>
        <v>1447.4</v>
      </c>
      <c r="G521" s="1098">
        <f t="shared" si="200"/>
        <v>950.7</v>
      </c>
      <c r="H521" s="1098">
        <f t="shared" si="200"/>
        <v>220.94</v>
      </c>
      <c r="I521" s="1098">
        <f t="shared" si="200"/>
        <v>0</v>
      </c>
      <c r="J521" s="1098">
        <f t="shared" si="200"/>
        <v>0</v>
      </c>
      <c r="K521" s="1098">
        <f t="shared" si="200"/>
        <v>753.44</v>
      </c>
      <c r="L521" s="1098">
        <f t="shared" si="200"/>
        <v>439.94</v>
      </c>
      <c r="M521" s="1098">
        <f t="shared" si="200"/>
        <v>0</v>
      </c>
      <c r="N521" s="1098">
        <f t="shared" si="200"/>
        <v>209</v>
      </c>
      <c r="O521" s="1098">
        <f t="shared" si="200"/>
        <v>1526</v>
      </c>
      <c r="P521" s="1098">
        <f t="shared" si="200"/>
        <v>0</v>
      </c>
      <c r="Q521" s="1098">
        <f t="shared" si="200"/>
        <v>209</v>
      </c>
      <c r="R521" s="1098">
        <f t="shared" si="200"/>
        <v>1298.452</v>
      </c>
      <c r="S521" s="1098">
        <f t="shared" si="200"/>
        <v>1205.8</v>
      </c>
      <c r="T521" s="1098">
        <f t="shared" si="200"/>
        <v>338.98</v>
      </c>
      <c r="U521" s="1098">
        <f t="shared" si="200"/>
        <v>10</v>
      </c>
      <c r="V521" s="1098">
        <f t="shared" si="200"/>
        <v>0</v>
      </c>
      <c r="W521" s="1098">
        <f t="shared" si="200"/>
        <v>0</v>
      </c>
      <c r="X521" s="1098">
        <f t="shared" si="200"/>
        <v>0</v>
      </c>
      <c r="Y521" s="1098">
        <f t="shared" si="200"/>
        <v>2659.9</v>
      </c>
      <c r="Z521" s="1098">
        <f t="shared" si="200"/>
        <v>209</v>
      </c>
      <c r="AA521" s="1098">
        <f t="shared" si="200"/>
        <v>11794.44</v>
      </c>
      <c r="AB521" s="1098">
        <f t="shared" si="200"/>
        <v>4433</v>
      </c>
      <c r="AC521" s="1098">
        <f t="shared" si="200"/>
        <v>18413.99</v>
      </c>
      <c r="AD521" s="1098">
        <f t="shared" si="200"/>
        <v>7710.87</v>
      </c>
      <c r="AE521" s="1098">
        <f t="shared" si="200"/>
        <v>8210.6</v>
      </c>
      <c r="AF521" s="1098">
        <f t="shared" si="200"/>
        <v>4065.7</v>
      </c>
      <c r="AG521" s="360">
        <f t="shared" si="198"/>
        <v>66286.652</v>
      </c>
    </row>
    <row r="522" outlineLevel="1">
      <c r="A522" s="897" t="s">
        <v>994</v>
      </c>
      <c r="B522" s="1008">
        <v>0.0</v>
      </c>
      <c r="C522" s="1008">
        <v>0.0</v>
      </c>
      <c r="D522" s="1099">
        <v>0.0</v>
      </c>
      <c r="E522" s="1008">
        <v>0.0</v>
      </c>
      <c r="F522" s="1099">
        <v>1447.4</v>
      </c>
      <c r="G522" s="1008">
        <v>950.7</v>
      </c>
      <c r="H522" s="1008">
        <v>0.0</v>
      </c>
      <c r="I522" s="311">
        <v>0.0</v>
      </c>
      <c r="J522" s="1008">
        <v>0.0</v>
      </c>
      <c r="K522" s="1008">
        <v>544.44</v>
      </c>
      <c r="L522" s="1008">
        <v>220.94</v>
      </c>
      <c r="M522" s="1008">
        <v>0.0</v>
      </c>
      <c r="N522" s="1008">
        <v>0.0</v>
      </c>
      <c r="O522" s="1008">
        <v>0.0</v>
      </c>
      <c r="P522" s="1008">
        <v>0.0</v>
      </c>
      <c r="Q522" s="1008">
        <v>0.0</v>
      </c>
      <c r="R522" s="1100">
        <v>494.2</v>
      </c>
      <c r="S522" s="1101">
        <v>703.26</v>
      </c>
      <c r="T522" s="1102">
        <v>35.98</v>
      </c>
      <c r="U522" s="1100"/>
      <c r="V522" s="1100"/>
      <c r="W522" s="1102"/>
      <c r="X522" s="1102"/>
      <c r="Y522" s="1100"/>
      <c r="Z522" s="1100"/>
      <c r="AA522" s="1100"/>
      <c r="AB522" s="1100"/>
      <c r="AC522" s="1100"/>
      <c r="AD522" s="1100"/>
      <c r="AE522" s="1100"/>
      <c r="AF522" s="1100"/>
      <c r="AG522" s="360">
        <f t="shared" si="198"/>
        <v>4396.92</v>
      </c>
    </row>
    <row r="523" outlineLevel="1">
      <c r="A523" s="897" t="s">
        <v>995</v>
      </c>
      <c r="B523" s="1038">
        <f t="shared" ref="B523:C523" si="201">(B396+B401+B406)</f>
        <v>0</v>
      </c>
      <c r="C523" s="1038">
        <f t="shared" si="201"/>
        <v>0</v>
      </c>
      <c r="D523" s="1103" t="s">
        <v>236</v>
      </c>
      <c r="E523" s="1038">
        <f t="shared" ref="E523:T523" si="202">(E396+E401+E406)</f>
        <v>169.5</v>
      </c>
      <c r="F523" s="1038">
        <f t="shared" si="202"/>
        <v>0</v>
      </c>
      <c r="G523" s="1038">
        <f t="shared" si="202"/>
        <v>0</v>
      </c>
      <c r="H523" s="1038">
        <f t="shared" si="202"/>
        <v>210.94</v>
      </c>
      <c r="I523" s="1038">
        <f t="shared" si="202"/>
        <v>0</v>
      </c>
      <c r="J523" s="1038">
        <f t="shared" si="202"/>
        <v>0</v>
      </c>
      <c r="K523" s="1038">
        <f t="shared" si="202"/>
        <v>199</v>
      </c>
      <c r="L523" s="1038">
        <f t="shared" si="202"/>
        <v>199</v>
      </c>
      <c r="M523" s="1038">
        <f t="shared" si="202"/>
        <v>0</v>
      </c>
      <c r="N523" s="1038">
        <f t="shared" si="202"/>
        <v>199</v>
      </c>
      <c r="O523" s="1038">
        <f t="shared" si="202"/>
        <v>1466</v>
      </c>
      <c r="P523" s="1038">
        <f t="shared" si="202"/>
        <v>0</v>
      </c>
      <c r="Q523" s="1038">
        <f t="shared" si="202"/>
        <v>199</v>
      </c>
      <c r="R523" s="1038">
        <f t="shared" si="202"/>
        <v>744.252</v>
      </c>
      <c r="S523" s="1038">
        <f t="shared" si="202"/>
        <v>472.54</v>
      </c>
      <c r="T523" s="1038">
        <f t="shared" si="202"/>
        <v>293</v>
      </c>
      <c r="U523" s="1038"/>
      <c r="V523" s="1038">
        <f t="shared" ref="V523:AF523" si="203">(V396+V401+V406)</f>
        <v>0</v>
      </c>
      <c r="W523" s="1038">
        <f t="shared" si="203"/>
        <v>0</v>
      </c>
      <c r="X523" s="1038">
        <f t="shared" si="203"/>
        <v>0</v>
      </c>
      <c r="Y523" s="1038">
        <f t="shared" si="203"/>
        <v>2549.9</v>
      </c>
      <c r="Z523" s="1038">
        <f t="shared" si="203"/>
        <v>199</v>
      </c>
      <c r="AA523" s="1038">
        <f t="shared" si="203"/>
        <v>11334.44</v>
      </c>
      <c r="AB523" s="1038">
        <f t="shared" si="203"/>
        <v>4263</v>
      </c>
      <c r="AC523" s="1038">
        <f t="shared" si="203"/>
        <v>17723.99</v>
      </c>
      <c r="AD523" s="1038">
        <f t="shared" si="203"/>
        <v>7410.87</v>
      </c>
      <c r="AE523" s="1038">
        <f t="shared" si="203"/>
        <v>7870.6</v>
      </c>
      <c r="AF523" s="1038">
        <f t="shared" si="203"/>
        <v>3845.7</v>
      </c>
      <c r="AG523" s="360">
        <f t="shared" si="198"/>
        <v>59349.732</v>
      </c>
    </row>
    <row r="524" outlineLevel="1">
      <c r="A524" s="899" t="s">
        <v>996</v>
      </c>
      <c r="B524" s="1038">
        <f>(B371*'ECOMMERCE Formulas'!$R$3)+(B372*'ECOMMERCE Formulas'!$R$4)+(B373*'ECOMMERCE Formulas'!$R$5)</f>
        <v>0</v>
      </c>
      <c r="C524" s="1038">
        <f>(C371*'ECOMMERCE Formulas'!$R$3)+(C372*'ECOMMERCE Formulas'!$R$4)+(C373*'ECOMMERCE Formulas'!$R$5)</f>
        <v>0</v>
      </c>
      <c r="D524" s="1038">
        <f>(D371*'ECOMMERCE Formulas'!$R$3)+(D372*'ECOMMERCE Formulas'!$R$4)+(D373*'ECOMMERCE Formulas'!$R$5)</f>
        <v>0</v>
      </c>
      <c r="E524" s="1038">
        <f>(E371*'ECOMMERCE Formulas'!$R$3)+(E372*'ECOMMERCE Formulas'!$R$4)+(E373*'ECOMMERCE Formulas'!$R$5)</f>
        <v>10</v>
      </c>
      <c r="F524" s="1038">
        <f>(F371*'ECOMMERCE Formulas'!$R$3)+(F372*'ECOMMERCE Formulas'!$R$4)+(F373*'ECOMMERCE Formulas'!$R$5)</f>
        <v>0</v>
      </c>
      <c r="G524" s="1038">
        <f>(G371*'ECOMMERCE Formulas'!$R$3)+(G372*'ECOMMERCE Formulas'!$R$4)+(G373*'ECOMMERCE Formulas'!$R$5)</f>
        <v>0</v>
      </c>
      <c r="H524" s="1038">
        <f>(H371*'ECOMMERCE Formulas'!$R$3)+(H372*'ECOMMERCE Formulas'!$R$4)+(H373*'ECOMMERCE Formulas'!$R$5)</f>
        <v>10</v>
      </c>
      <c r="I524" s="1038">
        <f>(I371*'ECOMMERCE Formulas'!$R$3)+(I372*'ECOMMERCE Formulas'!$R$4)+(I373*'ECOMMERCE Formulas'!$R$5)</f>
        <v>0</v>
      </c>
      <c r="J524" s="1038">
        <f>(J371*'ECOMMERCE Formulas'!$R$3)+(J372*'ECOMMERCE Formulas'!$R$4)+(J373*'ECOMMERCE Formulas'!$R$5)</f>
        <v>0</v>
      </c>
      <c r="K524" s="1038">
        <f>(K371*'ECOMMERCE Formulas'!$R$3)+(K372*'ECOMMERCE Formulas'!$R$4)+(K373*'ECOMMERCE Formulas'!$R$5)</f>
        <v>10</v>
      </c>
      <c r="L524" s="1038">
        <f>(L371*'ECOMMERCE Formulas'!$R$3)+(L372*'ECOMMERCE Formulas'!$R$4)+(L373*'ECOMMERCE Formulas'!$R$5)</f>
        <v>20</v>
      </c>
      <c r="M524" s="1038">
        <f>(M371*'ECOMMERCE Formulas'!$R$3)+(M372*'ECOMMERCE Formulas'!$R$4)+(M373*'ECOMMERCE Formulas'!$R$5)</f>
        <v>0</v>
      </c>
      <c r="N524" s="1038">
        <f>(N371*'ECOMMERCE Formulas'!$R$3)+(N372*'ECOMMERCE Formulas'!$R$4)+(N373*'ECOMMERCE Formulas'!$R$5)</f>
        <v>10</v>
      </c>
      <c r="O524" s="1038">
        <f>(O371*'ECOMMERCE Formulas'!$R$3)+(O372*'ECOMMERCE Formulas'!$R$4)+(O373*'ECOMMERCE Formulas'!$R$5)</f>
        <v>60</v>
      </c>
      <c r="P524" s="1038">
        <f>(P371*'ECOMMERCE Formulas'!$R$3)+(P372*'ECOMMERCE Formulas'!$R$4)+(P373*'ECOMMERCE Formulas'!$R$5)</f>
        <v>0</v>
      </c>
      <c r="Q524" s="1038">
        <f>(Q371*'ECOMMERCE Formulas'!$R$3)+(Q372*'ECOMMERCE Formulas'!$R$4)+(Q373*'ECOMMERCE Formulas'!$R$5)</f>
        <v>10</v>
      </c>
      <c r="R524" s="1038">
        <f>(R371*'ECOMMERCE Formulas'!$R$3)+(R372*'ECOMMERCE Formulas'!$R$4)+(R373*'ECOMMERCE Formulas'!$R$5)</f>
        <v>60</v>
      </c>
      <c r="S524" s="1038">
        <f>(S371*'ECOMMERCE Formulas'!$R$3)+(S372*'ECOMMERCE Formulas'!$R$4)+(S373*'ECOMMERCE Formulas'!$R$5)</f>
        <v>30</v>
      </c>
      <c r="T524" s="1038">
        <f>(T371*'ECOMMERCE Formulas'!$R$3)+(T372*'ECOMMERCE Formulas'!$R$4)+(T373*'ECOMMERCE Formulas'!$R$5)</f>
        <v>10</v>
      </c>
      <c r="U524" s="1038">
        <f>(U371*'ECOMMERCE Formulas'!$R$3)+(U372*'ECOMMERCE Formulas'!$R$4)+(U373*'ECOMMERCE Formulas'!$R$5)</f>
        <v>10</v>
      </c>
      <c r="V524" s="1038">
        <f>(V371*'ECOMMERCE Formulas'!$R$3)+(V372*'ECOMMERCE Formulas'!$R$4)+(V373*'ECOMMERCE Formulas'!$R$5)</f>
        <v>0</v>
      </c>
      <c r="W524" s="1038">
        <f>(W371*'ECOMMERCE Formulas'!$R$3)+(W372*'ECOMMERCE Formulas'!$R$4)+(W373*'ECOMMERCE Formulas'!$R$5)</f>
        <v>0</v>
      </c>
      <c r="X524" s="1038">
        <f>(X371*'ECOMMERCE Formulas'!$R$3)+(X372*'ECOMMERCE Formulas'!$R$4)+(X373*'ECOMMERCE Formulas'!$R$5)</f>
        <v>0</v>
      </c>
      <c r="Y524" s="1038">
        <f>(Y371*'ECOMMERCE Formulas'!$R$3)+(Y372*'ECOMMERCE Formulas'!$R$4)+(Y373*'ECOMMERCE Formulas'!$R$5)</f>
        <v>110</v>
      </c>
      <c r="Z524" s="1038">
        <f>(Z371*'ECOMMERCE Formulas'!$R$3)+(Z372*'ECOMMERCE Formulas'!$R$4)+(Z373*'ECOMMERCE Formulas'!$R$5)</f>
        <v>10</v>
      </c>
      <c r="AA524" s="1038">
        <f>(AA371*'ECOMMERCE Formulas'!$R$3)+(AA372*'ECOMMERCE Formulas'!$R$4)+(AA373*'ECOMMERCE Formulas'!$R$5)</f>
        <v>460</v>
      </c>
      <c r="AB524" s="1038">
        <f>(AB371*'ECOMMERCE Formulas'!$R$3)+(AB372*'ECOMMERCE Formulas'!$R$4)+(AB373*'ECOMMERCE Formulas'!$R$5)</f>
        <v>170</v>
      </c>
      <c r="AC524" s="1038">
        <f>(AC371*'ECOMMERCE Formulas'!$R$3)+(AC372*'ECOMMERCE Formulas'!$R$4)+(AC373*'ECOMMERCE Formulas'!$R$5)</f>
        <v>690</v>
      </c>
      <c r="AD524" s="1038">
        <f>(AD371*'ECOMMERCE Formulas'!$R$3)+(AD372*'ECOMMERCE Formulas'!$R$4)+(AD373*'ECOMMERCE Formulas'!$R$5)</f>
        <v>300</v>
      </c>
      <c r="AE524" s="1038">
        <f>(AE371*'ECOMMERCE Formulas'!$R$3)+(AE372*'ECOMMERCE Formulas'!$R$4)+(AE373*'ECOMMERCE Formulas'!$R$5)</f>
        <v>340</v>
      </c>
      <c r="AF524" s="1038">
        <f>(AF371*'ECOMMERCE Formulas'!$R$3)+(AF372*'ECOMMERCE Formulas'!$R$4)+(AF373*'ECOMMERCE Formulas'!$R$5)</f>
        <v>220</v>
      </c>
      <c r="AG524" s="360">
        <f t="shared" si="198"/>
        <v>2540</v>
      </c>
    </row>
    <row r="525" outlineLevel="1">
      <c r="A525" s="897" t="s">
        <v>442</v>
      </c>
      <c r="B525" s="1038"/>
      <c r="C525" s="1103"/>
      <c r="D525" s="1103"/>
      <c r="E525" s="1103"/>
      <c r="F525" s="1103"/>
      <c r="G525" s="1103"/>
      <c r="H525" s="1103"/>
      <c r="I525" s="1103"/>
      <c r="J525" s="1103"/>
      <c r="K525" s="1103"/>
      <c r="L525" s="1103"/>
      <c r="M525" s="1103"/>
      <c r="N525" s="1103"/>
      <c r="O525" s="1103"/>
      <c r="P525" s="1103"/>
      <c r="Q525" s="1103"/>
      <c r="R525" s="1103"/>
      <c r="S525" s="1103"/>
      <c r="T525" s="1038"/>
      <c r="U525" s="1038"/>
      <c r="V525" s="1038"/>
      <c r="W525" s="1038"/>
      <c r="X525" s="1038"/>
      <c r="Y525" s="1038"/>
      <c r="Z525" s="1038"/>
      <c r="AA525" s="1038"/>
      <c r="AB525" s="1103"/>
      <c r="AC525" s="1038"/>
      <c r="AD525" s="1038"/>
      <c r="AE525" s="1038"/>
      <c r="AF525" s="1038"/>
      <c r="AG525" s="360">
        <f t="shared" si="198"/>
        <v>0</v>
      </c>
    </row>
    <row r="526">
      <c r="A526" s="899" t="s">
        <v>999</v>
      </c>
      <c r="B526" s="1038">
        <f>B131*'ECOMMERCE Formulas'!$C$21</f>
        <v>0</v>
      </c>
      <c r="C526" s="1038">
        <f>C131*'ECOMMERCE Formulas'!$C$21</f>
        <v>0</v>
      </c>
      <c r="D526" s="1038">
        <f>D131*'ECOMMERCE Formulas'!$C$21</f>
        <v>0</v>
      </c>
      <c r="E526" s="1038">
        <f>E131*'ECOMMERCE Formulas'!$C$21</f>
        <v>0</v>
      </c>
      <c r="F526" s="1038">
        <f>F131*'ECOMMERCE Formulas'!$C$21</f>
        <v>0</v>
      </c>
      <c r="G526" s="1038">
        <f>G131*'ECOMMERCE Formulas'!$C$21</f>
        <v>0</v>
      </c>
      <c r="H526" s="1038">
        <f>H131*'ECOMMERCE Formulas'!$C$21</f>
        <v>0</v>
      </c>
      <c r="I526" s="1038">
        <f>I131*'ECOMMERCE Formulas'!$C$21</f>
        <v>0</v>
      </c>
      <c r="J526" s="1038">
        <f>J131*'ECOMMERCE Formulas'!$C$21</f>
        <v>0</v>
      </c>
      <c r="K526" s="1038">
        <f>K131*'ECOMMERCE Formulas'!$C$21</f>
        <v>0</v>
      </c>
      <c r="L526" s="1038">
        <f>L131*'ECOMMERCE Formulas'!$C$21</f>
        <v>0</v>
      </c>
      <c r="M526" s="1038">
        <f>M131*'ECOMMERCE Formulas'!$C$21</f>
        <v>0</v>
      </c>
      <c r="N526" s="1038">
        <f>N131*'ECOMMERCE Formulas'!$C$21</f>
        <v>0</v>
      </c>
      <c r="O526" s="1038">
        <f>O131*'ECOMMERCE Formulas'!$C$21</f>
        <v>0</v>
      </c>
      <c r="P526" s="1038">
        <f>P131*'ECOMMERCE Formulas'!$C$21</f>
        <v>0</v>
      </c>
      <c r="Q526" s="1038">
        <f>Q131*'ECOMMERCE Formulas'!$C$21</f>
        <v>0</v>
      </c>
      <c r="R526" s="1038">
        <f>R131*'ECOMMERCE Formulas'!$C$21</f>
        <v>0</v>
      </c>
      <c r="S526" s="1038">
        <f>S131*'ECOMMERCE Formulas'!$C$21</f>
        <v>0</v>
      </c>
      <c r="T526" s="1038">
        <f>T131*'ECOMMERCE Formulas'!$C$21</f>
        <v>0</v>
      </c>
      <c r="U526" s="1038">
        <f>U131*'ECOMMERCE Formulas'!$C$21</f>
        <v>0</v>
      </c>
      <c r="V526" s="1038">
        <f>V131*'ECOMMERCE Formulas'!$C$21</f>
        <v>0</v>
      </c>
      <c r="W526" s="1038">
        <f>W131*'ECOMMERCE Formulas'!$C$21</f>
        <v>0</v>
      </c>
      <c r="X526" s="1038">
        <f>X131*'ECOMMERCE Formulas'!$C$21</f>
        <v>0</v>
      </c>
      <c r="Y526" s="1038">
        <f>Y131*'ECOMMERCE Formulas'!$C$21</f>
        <v>0</v>
      </c>
      <c r="Z526" s="1038">
        <f>Z131*'ECOMMERCE Formulas'!$C$21</f>
        <v>0</v>
      </c>
      <c r="AA526" s="1038">
        <f>AA131*'ECOMMERCE Formulas'!$C$21</f>
        <v>0</v>
      </c>
      <c r="AB526" s="1038">
        <f>AB131*'ECOMMERCE Formulas'!$C$21</f>
        <v>0</v>
      </c>
      <c r="AC526" s="1038">
        <f>AC131*'ECOMMERCE Formulas'!$C$21</f>
        <v>0</v>
      </c>
      <c r="AD526" s="1038">
        <f>AD131*'ECOMMERCE Formulas'!$C$21</f>
        <v>0</v>
      </c>
      <c r="AE526" s="1038">
        <f>AE131*'ECOMMERCE Formulas'!$C$21</f>
        <v>0</v>
      </c>
      <c r="AF526" s="1038">
        <f>AF131*'ECOMMERCE Formulas'!$C$21</f>
        <v>0</v>
      </c>
      <c r="AG526" s="865">
        <f t="shared" si="198"/>
        <v>0</v>
      </c>
    </row>
    <row r="527" collapsed="1">
      <c r="A527" s="1104" t="s">
        <v>1000</v>
      </c>
      <c r="B527" s="1038">
        <f t="shared" ref="B527:AF527" si="204">sum(B528:B533)</f>
        <v>393.12</v>
      </c>
      <c r="C527" s="1038">
        <f t="shared" si="204"/>
        <v>461.76</v>
      </c>
      <c r="D527" s="1038">
        <f t="shared" si="204"/>
        <v>418.08</v>
      </c>
      <c r="E527" s="1038">
        <f t="shared" si="204"/>
        <v>446.16</v>
      </c>
      <c r="F527" s="1038">
        <f t="shared" si="204"/>
        <v>430.56</v>
      </c>
      <c r="G527" s="1038">
        <f t="shared" si="204"/>
        <v>468</v>
      </c>
      <c r="H527" s="1038">
        <f t="shared" si="204"/>
        <v>511.68</v>
      </c>
      <c r="I527" s="1038">
        <f t="shared" si="204"/>
        <v>574.08</v>
      </c>
      <c r="J527" s="1038">
        <f t="shared" si="204"/>
        <v>539.76</v>
      </c>
      <c r="K527" s="1038">
        <f t="shared" si="204"/>
        <v>517.92</v>
      </c>
      <c r="L527" s="1038">
        <f t="shared" si="204"/>
        <v>542.88</v>
      </c>
      <c r="M527" s="1038">
        <f t="shared" si="204"/>
        <v>555.36</v>
      </c>
      <c r="N527" s="1038">
        <f t="shared" si="204"/>
        <v>873.6</v>
      </c>
      <c r="O527" s="1038">
        <f t="shared" si="204"/>
        <v>801.84</v>
      </c>
      <c r="P527" s="1038">
        <f t="shared" si="204"/>
        <v>667.68</v>
      </c>
      <c r="Q527" s="1038">
        <f t="shared" si="204"/>
        <v>670.8</v>
      </c>
      <c r="R527" s="1038">
        <f t="shared" si="204"/>
        <v>349.44</v>
      </c>
      <c r="S527" s="1038">
        <f t="shared" si="204"/>
        <v>639.6</v>
      </c>
      <c r="T527" s="1038">
        <f t="shared" si="204"/>
        <v>461.76</v>
      </c>
      <c r="U527" s="1038">
        <f t="shared" si="204"/>
        <v>524.16</v>
      </c>
      <c r="V527" s="1038">
        <f t="shared" si="204"/>
        <v>464.88</v>
      </c>
      <c r="W527" s="1038">
        <f t="shared" si="204"/>
        <v>439.92</v>
      </c>
      <c r="X527" s="1038">
        <f t="shared" si="204"/>
        <v>380.64</v>
      </c>
      <c r="Y527" s="1038">
        <f t="shared" si="204"/>
        <v>283.92</v>
      </c>
      <c r="Z527" s="1038">
        <f t="shared" si="204"/>
        <v>321.36</v>
      </c>
      <c r="AA527" s="1038">
        <f t="shared" si="204"/>
        <v>305.76</v>
      </c>
      <c r="AB527" s="1038">
        <f t="shared" si="204"/>
        <v>365.04</v>
      </c>
      <c r="AC527" s="1038">
        <f t="shared" si="204"/>
        <v>324.48</v>
      </c>
      <c r="AD527" s="1038">
        <f t="shared" si="204"/>
        <v>302.64</v>
      </c>
      <c r="AE527" s="1038">
        <f t="shared" si="204"/>
        <v>312</v>
      </c>
      <c r="AF527" s="1038">
        <f t="shared" si="204"/>
        <v>336.96</v>
      </c>
      <c r="AG527" s="360">
        <f t="shared" si="198"/>
        <v>14685.84</v>
      </c>
    </row>
    <row r="528" hidden="1" outlineLevel="1">
      <c r="A528" s="1104" t="s">
        <v>1001</v>
      </c>
      <c r="B528" s="1038">
        <f>((B453+B454)*'ECOMMERCE Formulas'!$C$22)</f>
        <v>37.8</v>
      </c>
      <c r="C528" s="1038">
        <f>((C453+C454)*'ECOMMERCE Formulas'!$C$22)</f>
        <v>44.4</v>
      </c>
      <c r="D528" s="1038">
        <f>((D453+D454)*'ECOMMERCE Formulas'!$C$22)</f>
        <v>40.2</v>
      </c>
      <c r="E528" s="1038">
        <f>((E453+E454)*'ECOMMERCE Formulas'!$C$22)</f>
        <v>42.9</v>
      </c>
      <c r="F528" s="1038">
        <f>((F453+F454)*'ECOMMERCE Formulas'!$C$22)</f>
        <v>41.4</v>
      </c>
      <c r="G528" s="1038">
        <f>((G453+G454)*'ECOMMERCE Formulas'!$C$22)</f>
        <v>45</v>
      </c>
      <c r="H528" s="1038">
        <f>((H453+H454)*'ECOMMERCE Formulas'!$C$22)</f>
        <v>49.2</v>
      </c>
      <c r="I528" s="1038">
        <f>((I453+I454)*'ECOMMERCE Formulas'!$C$22)</f>
        <v>55.2</v>
      </c>
      <c r="J528" s="1038">
        <f>((J453+J454)*'ECOMMERCE Formulas'!$C$22)</f>
        <v>51.9</v>
      </c>
      <c r="K528" s="1038">
        <f>((K453+K454)*'ECOMMERCE Formulas'!$C$22)</f>
        <v>49.8</v>
      </c>
      <c r="L528" s="1038">
        <f>((L453+L454)*'ECOMMERCE Formulas'!$C$22)</f>
        <v>52.2</v>
      </c>
      <c r="M528" s="1038">
        <f>((M453+M454)*'ECOMMERCE Formulas'!$C$22)</f>
        <v>53.4</v>
      </c>
      <c r="N528" s="1038">
        <f>((N453+N454)*'ECOMMERCE Formulas'!$C$22)</f>
        <v>84</v>
      </c>
      <c r="O528" s="1038">
        <f>((O453+O454)*'ECOMMERCE Formulas'!$C$22)</f>
        <v>77.1</v>
      </c>
      <c r="P528" s="1038">
        <f>((P453+P454)*'ECOMMERCE Formulas'!$C$22)</f>
        <v>64.2</v>
      </c>
      <c r="Q528" s="1038">
        <f>((Q453+Q454)*'ECOMMERCE Formulas'!$C$22)</f>
        <v>64.5</v>
      </c>
      <c r="R528" s="1038">
        <f>((R453+R454)*'ECOMMERCE Formulas'!$C$22)</f>
        <v>33.6</v>
      </c>
      <c r="S528" s="1038">
        <f>((S453+S454)*'ECOMMERCE Formulas'!$C$22)</f>
        <v>61.5</v>
      </c>
      <c r="T528" s="1038">
        <f>((T453+T454)*'ECOMMERCE Formulas'!$C$22)</f>
        <v>44.4</v>
      </c>
      <c r="U528" s="1038">
        <f>((U453+U454)*'ECOMMERCE Formulas'!$C$22)</f>
        <v>50.4</v>
      </c>
      <c r="V528" s="1038">
        <f>((V453+V454)*'ECOMMERCE Formulas'!$C$22)</f>
        <v>44.7</v>
      </c>
      <c r="W528" s="1038">
        <f>((W453+W454)*'ECOMMERCE Formulas'!$C$22)</f>
        <v>42.3</v>
      </c>
      <c r="X528" s="1038">
        <f>((X453+X454)*'ECOMMERCE Formulas'!$C$22)</f>
        <v>36.6</v>
      </c>
      <c r="Y528" s="1038">
        <f>((Y453+Y454)*'ECOMMERCE Formulas'!$C$22)</f>
        <v>27.3</v>
      </c>
      <c r="Z528" s="1038">
        <f>((Z453+Z454)*'ECOMMERCE Formulas'!$C$22)</f>
        <v>30.9</v>
      </c>
      <c r="AA528" s="1038">
        <f>((AA453+AA454)*'ECOMMERCE Formulas'!$C$22)</f>
        <v>29.4</v>
      </c>
      <c r="AB528" s="1038">
        <f>((AB453+AB454)*'ECOMMERCE Formulas'!$C$22)</f>
        <v>35.1</v>
      </c>
      <c r="AC528" s="1038">
        <f>((AC453+AC454)*'ECOMMERCE Formulas'!$C$22)</f>
        <v>31.2</v>
      </c>
      <c r="AD528" s="1038">
        <f>((AD453+AD454)*'ECOMMERCE Formulas'!$C$22)</f>
        <v>29.1</v>
      </c>
      <c r="AE528" s="1038">
        <f>((AE453+AE454)*'ECOMMERCE Formulas'!$C$22)</f>
        <v>30</v>
      </c>
      <c r="AF528" s="1038">
        <f>((AF453+AF454)*'ECOMMERCE Formulas'!$C$22)</f>
        <v>32.4</v>
      </c>
      <c r="AG528" s="360">
        <f t="shared" si="198"/>
        <v>1412.1</v>
      </c>
    </row>
    <row r="529" hidden="1" outlineLevel="1">
      <c r="A529" s="1104" t="s">
        <v>1003</v>
      </c>
      <c r="B529" s="326">
        <f>((B453+B454)*'ECOMMERCE Formulas'!$C$23)</f>
        <v>39.06</v>
      </c>
      <c r="C529" s="326">
        <f>((C453+C454)*'ECOMMERCE Formulas'!$C$23)</f>
        <v>45.88</v>
      </c>
      <c r="D529" s="326">
        <f>((D453+D454)*'ECOMMERCE Formulas'!$C$23)</f>
        <v>41.54</v>
      </c>
      <c r="E529" s="326">
        <f>((E453+E454)*'ECOMMERCE Formulas'!$C$23)</f>
        <v>44.33</v>
      </c>
      <c r="F529" s="326">
        <f>((F453+F454)*'ECOMMERCE Formulas'!$C$23)</f>
        <v>42.78</v>
      </c>
      <c r="G529" s="326">
        <f>((G453+G454)*'ECOMMERCE Formulas'!$C$23)</f>
        <v>46.5</v>
      </c>
      <c r="H529" s="326">
        <f>((H453+H454)*'ECOMMERCE Formulas'!$C$23)</f>
        <v>50.84</v>
      </c>
      <c r="I529" s="326">
        <f>((I453+I454)*'ECOMMERCE Formulas'!$C$23)</f>
        <v>57.04</v>
      </c>
      <c r="J529" s="326">
        <f>((J453+J454)*'ECOMMERCE Formulas'!$C$23)</f>
        <v>53.63</v>
      </c>
      <c r="K529" s="326">
        <f>((K453+K454)*'ECOMMERCE Formulas'!$C$23)</f>
        <v>51.46</v>
      </c>
      <c r="L529" s="326">
        <f>((L453+L454)*'ECOMMERCE Formulas'!$C$23)</f>
        <v>53.94</v>
      </c>
      <c r="M529" s="326">
        <f>((M453+M454)*'ECOMMERCE Formulas'!$C$23)</f>
        <v>55.18</v>
      </c>
      <c r="N529" s="326">
        <f>((N453+N454)*'ECOMMERCE Formulas'!$C$23)</f>
        <v>86.8</v>
      </c>
      <c r="O529" s="326">
        <f>((O453+O454)*'ECOMMERCE Formulas'!$C$23)</f>
        <v>79.67</v>
      </c>
      <c r="P529" s="326">
        <f>((P453+P454)*'ECOMMERCE Formulas'!$C$23)</f>
        <v>66.34</v>
      </c>
      <c r="Q529" s="326">
        <f>((Q453+Q454)*'ECOMMERCE Formulas'!$C$23)</f>
        <v>66.65</v>
      </c>
      <c r="R529" s="326">
        <f>((R453+R454)*'ECOMMERCE Formulas'!$C$23)</f>
        <v>34.72</v>
      </c>
      <c r="S529" s="326">
        <f>((S453+S454)*'ECOMMERCE Formulas'!$C$23)</f>
        <v>63.55</v>
      </c>
      <c r="T529" s="326">
        <f>((T453+T454)*'ECOMMERCE Formulas'!$C$23)</f>
        <v>45.88</v>
      </c>
      <c r="U529" s="326">
        <f>((U453+U454)*'ECOMMERCE Formulas'!$C$23)</f>
        <v>52.08</v>
      </c>
      <c r="V529" s="326">
        <f>((V453+V454)*'ECOMMERCE Formulas'!$C$23)</f>
        <v>46.19</v>
      </c>
      <c r="W529" s="326">
        <f>((W453+W454)*'ECOMMERCE Formulas'!$C$23)</f>
        <v>43.71</v>
      </c>
      <c r="X529" s="326">
        <f>((X453+X454)*'ECOMMERCE Formulas'!$C$23)</f>
        <v>37.82</v>
      </c>
      <c r="Y529" s="326">
        <f>((Y453+Y454)*'ECOMMERCE Formulas'!$C$23)</f>
        <v>28.21</v>
      </c>
      <c r="Z529" s="326">
        <f>((Z453+Z454)*'ECOMMERCE Formulas'!$C$23)</f>
        <v>31.93</v>
      </c>
      <c r="AA529" s="326">
        <f>((AA453+AA454)*'ECOMMERCE Formulas'!$C$23)</f>
        <v>30.38</v>
      </c>
      <c r="AB529" s="326">
        <f>((AB453+AB454)*'ECOMMERCE Formulas'!$C$23)</f>
        <v>36.27</v>
      </c>
      <c r="AC529" s="326">
        <f>((AC453+AC454)*'ECOMMERCE Formulas'!$C$23)</f>
        <v>32.24</v>
      </c>
      <c r="AD529" s="326">
        <f>((AD453+AD454)*'ECOMMERCE Formulas'!$C$23)</f>
        <v>30.07</v>
      </c>
      <c r="AE529" s="326">
        <f>((AE453+AE454)*'ECOMMERCE Formulas'!$C$23)</f>
        <v>31</v>
      </c>
      <c r="AF529" s="326">
        <f>((AF453+AF454)*'ECOMMERCE Formulas'!$C$23)</f>
        <v>33.48</v>
      </c>
      <c r="AG529" s="360">
        <f t="shared" si="198"/>
        <v>1459.17</v>
      </c>
    </row>
    <row r="530" hidden="1" outlineLevel="1">
      <c r="A530" s="1104" t="s">
        <v>1005</v>
      </c>
      <c r="B530" s="326">
        <f>((B453+B454)*'ECOMMERCE Formulas'!$C$24)</f>
        <v>127.26</v>
      </c>
      <c r="C530" s="326">
        <f>((C453+C454)*'ECOMMERCE Formulas'!$C$24)</f>
        <v>149.48</v>
      </c>
      <c r="D530" s="326">
        <f>((D453+D454)*'ECOMMERCE Formulas'!$C$24)</f>
        <v>135.34</v>
      </c>
      <c r="E530" s="326">
        <f>((E453+E454)*'ECOMMERCE Formulas'!$C$24)</f>
        <v>144.43</v>
      </c>
      <c r="F530" s="326">
        <f>((F453+F454)*'ECOMMERCE Formulas'!$C$24)</f>
        <v>139.38</v>
      </c>
      <c r="G530" s="326">
        <f>((G453+G454)*'ECOMMERCE Formulas'!$C$24)</f>
        <v>151.5</v>
      </c>
      <c r="H530" s="326">
        <f>((H453+H454)*'ECOMMERCE Formulas'!$C$24)</f>
        <v>165.64</v>
      </c>
      <c r="I530" s="326">
        <f>((I453+I454)*'ECOMMERCE Formulas'!$C$24)</f>
        <v>185.84</v>
      </c>
      <c r="J530" s="326">
        <f>((J453+J454)*'ECOMMERCE Formulas'!$C$24)</f>
        <v>174.73</v>
      </c>
      <c r="K530" s="326">
        <f>((K453+K454)*'ECOMMERCE Formulas'!$C$24)</f>
        <v>167.66</v>
      </c>
      <c r="L530" s="326">
        <f>((L453+L454)*'ECOMMERCE Formulas'!$C$24)</f>
        <v>175.74</v>
      </c>
      <c r="M530" s="326">
        <f>((M453+M454)*'ECOMMERCE Formulas'!$C$24)</f>
        <v>179.78</v>
      </c>
      <c r="N530" s="326">
        <f>((N453+N454)*'ECOMMERCE Formulas'!$C$24)</f>
        <v>282.8</v>
      </c>
      <c r="O530" s="326">
        <f>((O453+O454)*'ECOMMERCE Formulas'!$C$24)</f>
        <v>259.57</v>
      </c>
      <c r="P530" s="326">
        <f>((P453+P454)*'ECOMMERCE Formulas'!$C$24)</f>
        <v>216.14</v>
      </c>
      <c r="Q530" s="326">
        <f>((Q453+Q454)*'ECOMMERCE Formulas'!$C$24)</f>
        <v>217.15</v>
      </c>
      <c r="R530" s="326">
        <f>((R453+R454)*'ECOMMERCE Formulas'!$C$24)</f>
        <v>113.12</v>
      </c>
      <c r="S530" s="326">
        <f>((S453+S454)*'ECOMMERCE Formulas'!$C$24)</f>
        <v>207.05</v>
      </c>
      <c r="T530" s="326">
        <f>((T453+T454)*'ECOMMERCE Formulas'!$C$24)</f>
        <v>149.48</v>
      </c>
      <c r="U530" s="326">
        <f>((U453+U454)*'ECOMMERCE Formulas'!$C$24)</f>
        <v>169.68</v>
      </c>
      <c r="V530" s="326">
        <f>((V453+V454)*'ECOMMERCE Formulas'!$C$24)</f>
        <v>150.49</v>
      </c>
      <c r="W530" s="326">
        <f>((W453+W454)*'ECOMMERCE Formulas'!$C$24)</f>
        <v>142.41</v>
      </c>
      <c r="X530" s="326">
        <f>((X453+X454)*'ECOMMERCE Formulas'!$C$24)</f>
        <v>123.22</v>
      </c>
      <c r="Y530" s="326">
        <f>((Y453+Y454)*'ECOMMERCE Formulas'!$C$24)</f>
        <v>91.91</v>
      </c>
      <c r="Z530" s="326">
        <f>((Z453+Z454)*'ECOMMERCE Formulas'!$C$24)</f>
        <v>104.03</v>
      </c>
      <c r="AA530" s="326">
        <f>((AA453+AA454)*'ECOMMERCE Formulas'!$C$24)</f>
        <v>98.98</v>
      </c>
      <c r="AB530" s="326">
        <f>((AB453+AB454)*'ECOMMERCE Formulas'!$C$24)</f>
        <v>118.17</v>
      </c>
      <c r="AC530" s="326">
        <f>((AC453+AC454)*'ECOMMERCE Formulas'!$C$24)</f>
        <v>105.04</v>
      </c>
      <c r="AD530" s="326">
        <f>((AD453+AD454)*'ECOMMERCE Formulas'!$C$24)</f>
        <v>97.97</v>
      </c>
      <c r="AE530" s="326">
        <f>((AE453+AE454)*'ECOMMERCE Formulas'!$C$24)</f>
        <v>101</v>
      </c>
      <c r="AF530" s="326">
        <f>((AF453+AF454)*'ECOMMERCE Formulas'!$C$24)</f>
        <v>109.08</v>
      </c>
      <c r="AG530" s="360">
        <f t="shared" si="198"/>
        <v>4754.07</v>
      </c>
    </row>
    <row r="531" hidden="1" outlineLevel="1">
      <c r="A531" s="1104" t="s">
        <v>1006</v>
      </c>
      <c r="B531" s="326">
        <f>((B453+B454)*'ECOMMERCE Formulas'!$C$25)</f>
        <v>37.8</v>
      </c>
      <c r="C531" s="326">
        <f>((C453+C454)*'ECOMMERCE Formulas'!$C$25)</f>
        <v>44.4</v>
      </c>
      <c r="D531" s="326">
        <f>((D453+D454)*'ECOMMERCE Formulas'!$C$25)</f>
        <v>40.2</v>
      </c>
      <c r="E531" s="326">
        <f>((E453+E454)*'ECOMMERCE Formulas'!$C$25)</f>
        <v>42.9</v>
      </c>
      <c r="F531" s="326">
        <f>((F453+F454)*'ECOMMERCE Formulas'!$C$25)</f>
        <v>41.4</v>
      </c>
      <c r="G531" s="326">
        <f>((G453+G454)*'ECOMMERCE Formulas'!$C$25)</f>
        <v>45</v>
      </c>
      <c r="H531" s="326">
        <f>((H453+H454)*'ECOMMERCE Formulas'!$C$25)</f>
        <v>49.2</v>
      </c>
      <c r="I531" s="326">
        <f>((I453+I454)*'ECOMMERCE Formulas'!$C$25)</f>
        <v>55.2</v>
      </c>
      <c r="J531" s="326">
        <f>((J453+J454)*'ECOMMERCE Formulas'!$C$25)</f>
        <v>51.9</v>
      </c>
      <c r="K531" s="326">
        <f>((K453+K454)*'ECOMMERCE Formulas'!$C$25)</f>
        <v>49.8</v>
      </c>
      <c r="L531" s="326">
        <f>((L453+L454)*'ECOMMERCE Formulas'!$C$25)</f>
        <v>52.2</v>
      </c>
      <c r="M531" s="326">
        <f>((M453+M454)*'ECOMMERCE Formulas'!$C$25)</f>
        <v>53.4</v>
      </c>
      <c r="N531" s="326">
        <f>((N453+N454)*'ECOMMERCE Formulas'!$C$25)</f>
        <v>84</v>
      </c>
      <c r="O531" s="326">
        <f>((O453+O454)*'ECOMMERCE Formulas'!$C$25)</f>
        <v>77.1</v>
      </c>
      <c r="P531" s="326">
        <f>((P453+P454)*'ECOMMERCE Formulas'!$C$25)</f>
        <v>64.2</v>
      </c>
      <c r="Q531" s="326">
        <f>((Q453+Q454)*'ECOMMERCE Formulas'!$C$25)</f>
        <v>64.5</v>
      </c>
      <c r="R531" s="326">
        <f>((R453+R454)*'ECOMMERCE Formulas'!$C$25)</f>
        <v>33.6</v>
      </c>
      <c r="S531" s="326">
        <f>((S453+S454)*'ECOMMERCE Formulas'!$C$25)</f>
        <v>61.5</v>
      </c>
      <c r="T531" s="326">
        <f>((T453+T454)*'ECOMMERCE Formulas'!$C$25)</f>
        <v>44.4</v>
      </c>
      <c r="U531" s="326">
        <f>((U453+U454)*'ECOMMERCE Formulas'!$C$25)</f>
        <v>50.4</v>
      </c>
      <c r="V531" s="326">
        <f>((V453+V454)*'ECOMMERCE Formulas'!$C$25)</f>
        <v>44.7</v>
      </c>
      <c r="W531" s="326">
        <f>((W453+W454)*'ECOMMERCE Formulas'!$C$25)</f>
        <v>42.3</v>
      </c>
      <c r="X531" s="326">
        <f>((X453+X454)*'ECOMMERCE Formulas'!$C$25)</f>
        <v>36.6</v>
      </c>
      <c r="Y531" s="326">
        <f>((Y453+Y454)*'ECOMMERCE Formulas'!$C$25)</f>
        <v>27.3</v>
      </c>
      <c r="Z531" s="326">
        <f>((Z453+Z454)*'ECOMMERCE Formulas'!$C$25)</f>
        <v>30.9</v>
      </c>
      <c r="AA531" s="326">
        <f>((AA453+AA454)*'ECOMMERCE Formulas'!$C$25)</f>
        <v>29.4</v>
      </c>
      <c r="AB531" s="326">
        <f>((AB453+AB454)*'ECOMMERCE Formulas'!$C$25)</f>
        <v>35.1</v>
      </c>
      <c r="AC531" s="326">
        <f>((AC453+AC454)*'ECOMMERCE Formulas'!$C$25)</f>
        <v>31.2</v>
      </c>
      <c r="AD531" s="326">
        <f>((AD453+AD454)*'ECOMMERCE Formulas'!$C$25)</f>
        <v>29.1</v>
      </c>
      <c r="AE531" s="326">
        <f>((AE453+AE454)*'ECOMMERCE Formulas'!$C$25)</f>
        <v>30</v>
      </c>
      <c r="AF531" s="326">
        <f>((AF453+AF454)*'ECOMMERCE Formulas'!$C$25)</f>
        <v>32.4</v>
      </c>
      <c r="AG531" s="360">
        <f t="shared" si="198"/>
        <v>1412.1</v>
      </c>
    </row>
    <row r="532" hidden="1" outlineLevel="1">
      <c r="A532" s="1104" t="s">
        <v>1007</v>
      </c>
      <c r="B532" s="326">
        <f>((B453+B454)*'ECOMMERCE Formulas'!$C$26)</f>
        <v>0</v>
      </c>
      <c r="C532" s="326">
        <f>((C453+C454)*'ECOMMERCE Formulas'!$C$26)</f>
        <v>0</v>
      </c>
      <c r="D532" s="326">
        <f>((D453+D454)*'ECOMMERCE Formulas'!$C$26)</f>
        <v>0</v>
      </c>
      <c r="E532" s="326">
        <f>((E453+E454)*'ECOMMERCE Formulas'!$C$26)</f>
        <v>0</v>
      </c>
      <c r="F532" s="326">
        <f>((F453+F454)*'ECOMMERCE Formulas'!$C$26)</f>
        <v>0</v>
      </c>
      <c r="G532" s="326">
        <f>((G453+G454)*'ECOMMERCE Formulas'!$C$26)</f>
        <v>0</v>
      </c>
      <c r="H532" s="326">
        <f>((H453+H454)*'ECOMMERCE Formulas'!$C$26)</f>
        <v>0</v>
      </c>
      <c r="I532" s="326">
        <f>((I453+I454)*'ECOMMERCE Formulas'!$C$26)</f>
        <v>0</v>
      </c>
      <c r="J532" s="326">
        <f>((J453+J454)*'ECOMMERCE Formulas'!$C$26)</f>
        <v>0</v>
      </c>
      <c r="K532" s="326">
        <f>((K453+K454)*'ECOMMERCE Formulas'!$C$26)</f>
        <v>0</v>
      </c>
      <c r="L532" s="326">
        <f>((L453+L454)*'ECOMMERCE Formulas'!$C$26)</f>
        <v>0</v>
      </c>
      <c r="M532" s="326">
        <f>((M453+M454)*'ECOMMERCE Formulas'!$C$26)</f>
        <v>0</v>
      </c>
      <c r="N532" s="326">
        <f>((N453+N454)*'ECOMMERCE Formulas'!$C$26)</f>
        <v>0</v>
      </c>
      <c r="O532" s="326">
        <f>((O453+O454)*'ECOMMERCE Formulas'!$C$26)</f>
        <v>0</v>
      </c>
      <c r="P532" s="326">
        <f>((P453+P454)*'ECOMMERCE Formulas'!$C$26)</f>
        <v>0</v>
      </c>
      <c r="Q532" s="326">
        <f>((Q453+Q454)*'ECOMMERCE Formulas'!$C$26)</f>
        <v>0</v>
      </c>
      <c r="R532" s="326">
        <f>((R453+R454)*'ECOMMERCE Formulas'!$C$26)</f>
        <v>0</v>
      </c>
      <c r="S532" s="326">
        <f>((S453+S454)*'ECOMMERCE Formulas'!$C$26)</f>
        <v>0</v>
      </c>
      <c r="T532" s="326">
        <f>((T453+T454)*'ECOMMERCE Formulas'!$C$26)</f>
        <v>0</v>
      </c>
      <c r="U532" s="326">
        <f>((U453+U454)*'ECOMMERCE Formulas'!$C$26)</f>
        <v>0</v>
      </c>
      <c r="V532" s="326">
        <f>((V453+V454)*'ECOMMERCE Formulas'!$C$26)</f>
        <v>0</v>
      </c>
      <c r="W532" s="326">
        <f>((W453+W454)*'ECOMMERCE Formulas'!$C$26)</f>
        <v>0</v>
      </c>
      <c r="X532" s="326">
        <f>((X453+X454)*'ECOMMERCE Formulas'!$C$26)</f>
        <v>0</v>
      </c>
      <c r="Y532" s="326">
        <f>((Y453+Y454)*'ECOMMERCE Formulas'!$C$26)</f>
        <v>0</v>
      </c>
      <c r="Z532" s="326">
        <f>((Z453+Z454)*'ECOMMERCE Formulas'!$C$26)</f>
        <v>0</v>
      </c>
      <c r="AA532" s="326">
        <f>((AA453+AA454)*'ECOMMERCE Formulas'!$C$26)</f>
        <v>0</v>
      </c>
      <c r="AB532" s="326">
        <f>((AB453+AB454)*'ECOMMERCE Formulas'!$C$26)</f>
        <v>0</v>
      </c>
      <c r="AC532" s="326">
        <f>((AC453+AC454)*'ECOMMERCE Formulas'!$C$26)</f>
        <v>0</v>
      </c>
      <c r="AD532" s="326">
        <f>((AD453+AD454)*'ECOMMERCE Formulas'!$C$26)</f>
        <v>0</v>
      </c>
      <c r="AE532" s="326">
        <f>((AE453+AE454)*'ECOMMERCE Formulas'!$C$26)</f>
        <v>0</v>
      </c>
      <c r="AF532" s="326">
        <f>((AF453+AF454)*'ECOMMERCE Formulas'!$C$26)</f>
        <v>0</v>
      </c>
      <c r="AG532" s="360">
        <f t="shared" si="198"/>
        <v>0</v>
      </c>
    </row>
    <row r="533" hidden="1" outlineLevel="1">
      <c r="A533" s="1104" t="s">
        <v>1008</v>
      </c>
      <c r="B533" s="326">
        <f>((B453+B454)*'ECOMMERCE Formulas'!$C$27)</f>
        <v>151.2</v>
      </c>
      <c r="C533" s="326">
        <f>((C453+C454)*'ECOMMERCE Formulas'!$C$27)</f>
        <v>177.6</v>
      </c>
      <c r="D533" s="326">
        <f>((D453+D454)*'ECOMMERCE Formulas'!$C$27)</f>
        <v>160.8</v>
      </c>
      <c r="E533" s="326">
        <f>((E453+E454)*'ECOMMERCE Formulas'!$C$27)</f>
        <v>171.6</v>
      </c>
      <c r="F533" s="326">
        <f>((F453+F454)*'ECOMMERCE Formulas'!$C$27)</f>
        <v>165.6</v>
      </c>
      <c r="G533" s="326">
        <f>((G453+G454)*'ECOMMERCE Formulas'!$C$27)</f>
        <v>180</v>
      </c>
      <c r="H533" s="326">
        <f>((H453+H454)*'ECOMMERCE Formulas'!$C$27)</f>
        <v>196.8</v>
      </c>
      <c r="I533" s="326">
        <f>((I453+I454)*'ECOMMERCE Formulas'!$C$27)</f>
        <v>220.8</v>
      </c>
      <c r="J533" s="326">
        <f>((J453+J454)*'ECOMMERCE Formulas'!$C$27)</f>
        <v>207.6</v>
      </c>
      <c r="K533" s="326">
        <f>((K453+K454)*'ECOMMERCE Formulas'!$C$27)</f>
        <v>199.2</v>
      </c>
      <c r="L533" s="326">
        <f>((L453+L454)*'ECOMMERCE Formulas'!$C$27)</f>
        <v>208.8</v>
      </c>
      <c r="M533" s="326">
        <f>((M453+M454)*'ECOMMERCE Formulas'!$C$27)</f>
        <v>213.6</v>
      </c>
      <c r="N533" s="326">
        <f>((N453+N454)*'ECOMMERCE Formulas'!$C$27)</f>
        <v>336</v>
      </c>
      <c r="O533" s="326">
        <f>((O453+O454)*'ECOMMERCE Formulas'!$C$27)</f>
        <v>308.4</v>
      </c>
      <c r="P533" s="326">
        <f>((P453+P454)*'ECOMMERCE Formulas'!$C$27)</f>
        <v>256.8</v>
      </c>
      <c r="Q533" s="326">
        <f>((Q453+Q454)*'ECOMMERCE Formulas'!$C$27)</f>
        <v>258</v>
      </c>
      <c r="R533" s="326">
        <f>((R453+R454)*'ECOMMERCE Formulas'!$C$27)</f>
        <v>134.4</v>
      </c>
      <c r="S533" s="326">
        <f>((S453+S454)*'ECOMMERCE Formulas'!$C$27)</f>
        <v>246</v>
      </c>
      <c r="T533" s="326">
        <f>((T453+T454)*'ECOMMERCE Formulas'!$C$27)</f>
        <v>177.6</v>
      </c>
      <c r="U533" s="326">
        <f>((U453+U454)*'ECOMMERCE Formulas'!$C$27)</f>
        <v>201.6</v>
      </c>
      <c r="V533" s="326">
        <f>((V453+V454)*'ECOMMERCE Formulas'!$C$27)</f>
        <v>178.8</v>
      </c>
      <c r="W533" s="326">
        <f>((W453+W454)*'ECOMMERCE Formulas'!$C$27)</f>
        <v>169.2</v>
      </c>
      <c r="X533" s="326">
        <f>((X453+X454)*'ECOMMERCE Formulas'!$C$27)</f>
        <v>146.4</v>
      </c>
      <c r="Y533" s="326">
        <f>((Y453+Y454)*'ECOMMERCE Formulas'!$C$27)</f>
        <v>109.2</v>
      </c>
      <c r="Z533" s="326">
        <f>((Z453+Z454)*'ECOMMERCE Formulas'!$C$27)</f>
        <v>123.6</v>
      </c>
      <c r="AA533" s="326">
        <f>((AA453+AA454)*'ECOMMERCE Formulas'!$C$27)</f>
        <v>117.6</v>
      </c>
      <c r="AB533" s="326">
        <f>((AB453+AB454)*'ECOMMERCE Formulas'!$C$27)</f>
        <v>140.4</v>
      </c>
      <c r="AC533" s="326">
        <f>((AC453+AC454)*'ECOMMERCE Formulas'!$C$27)</f>
        <v>124.8</v>
      </c>
      <c r="AD533" s="326">
        <f>((AD453+AD454)*'ECOMMERCE Formulas'!$C$27)</f>
        <v>116.4</v>
      </c>
      <c r="AE533" s="326">
        <f>((AE453+AE454)*'ECOMMERCE Formulas'!$C$27)</f>
        <v>120</v>
      </c>
      <c r="AF533" s="326">
        <f>((AF453+AF454)*'ECOMMERCE Formulas'!$C$27)</f>
        <v>129.6</v>
      </c>
      <c r="AG533" s="360">
        <f t="shared" si="198"/>
        <v>5648.4</v>
      </c>
    </row>
    <row r="534" collapsed="1">
      <c r="A534" s="1104" t="s">
        <v>1009</v>
      </c>
      <c r="B534" s="326">
        <f t="shared" ref="B534:AF534" si="205">sum(B535:B540)</f>
        <v>288.75</v>
      </c>
      <c r="C534" s="326">
        <f t="shared" si="205"/>
        <v>346.5</v>
      </c>
      <c r="D534" s="326">
        <f t="shared" si="205"/>
        <v>214.83</v>
      </c>
      <c r="E534" s="326">
        <f t="shared" si="205"/>
        <v>274.89</v>
      </c>
      <c r="F534" s="326">
        <f t="shared" si="205"/>
        <v>228.69</v>
      </c>
      <c r="G534" s="326">
        <f t="shared" si="205"/>
        <v>240.24</v>
      </c>
      <c r="H534" s="326">
        <f t="shared" si="205"/>
        <v>233.31</v>
      </c>
      <c r="I534" s="326">
        <f t="shared" si="205"/>
        <v>374.22</v>
      </c>
      <c r="J534" s="326">
        <f t="shared" si="205"/>
        <v>369.6</v>
      </c>
      <c r="K534" s="326">
        <f t="shared" si="205"/>
        <v>353.43</v>
      </c>
      <c r="L534" s="326">
        <f t="shared" si="205"/>
        <v>265.65</v>
      </c>
      <c r="M534" s="326">
        <f t="shared" si="205"/>
        <v>249.48</v>
      </c>
      <c r="N534" s="326">
        <f t="shared" si="205"/>
        <v>510.51</v>
      </c>
      <c r="O534" s="326">
        <f t="shared" si="205"/>
        <v>404.25</v>
      </c>
      <c r="P534" s="326">
        <f t="shared" si="205"/>
        <v>448.14</v>
      </c>
      <c r="Q534" s="326">
        <f t="shared" si="205"/>
        <v>390.39</v>
      </c>
      <c r="R534" s="326">
        <f t="shared" si="205"/>
        <v>207.9</v>
      </c>
      <c r="S534" s="326">
        <f t="shared" si="205"/>
        <v>367.29</v>
      </c>
      <c r="T534" s="326">
        <f t="shared" si="205"/>
        <v>272.58</v>
      </c>
      <c r="U534" s="326">
        <f t="shared" si="205"/>
        <v>332.64</v>
      </c>
      <c r="V534" s="326">
        <f t="shared" si="205"/>
        <v>284.13</v>
      </c>
      <c r="W534" s="326">
        <f t="shared" si="205"/>
        <v>295.68</v>
      </c>
      <c r="X534" s="326">
        <f t="shared" si="205"/>
        <v>316.47</v>
      </c>
      <c r="Y534" s="326">
        <f t="shared" si="205"/>
        <v>205.59</v>
      </c>
      <c r="Z534" s="326">
        <f t="shared" si="205"/>
        <v>191.73</v>
      </c>
      <c r="AA534" s="326">
        <f t="shared" si="205"/>
        <v>198.66</v>
      </c>
      <c r="AB534" s="326">
        <f t="shared" si="205"/>
        <v>182.49</v>
      </c>
      <c r="AC534" s="326">
        <f t="shared" si="205"/>
        <v>157.08</v>
      </c>
      <c r="AD534" s="326">
        <f t="shared" si="205"/>
        <v>189.42</v>
      </c>
      <c r="AE534" s="326">
        <f t="shared" si="205"/>
        <v>203.28</v>
      </c>
      <c r="AF534" s="326">
        <f t="shared" si="205"/>
        <v>161.7</v>
      </c>
      <c r="AG534" s="360">
        <f t="shared" si="198"/>
        <v>8759.52</v>
      </c>
    </row>
    <row r="535" hidden="1" outlineLevel="1">
      <c r="A535" s="1104" t="s">
        <v>1010</v>
      </c>
      <c r="B535" s="326">
        <f>((B461+B468+B475)*'ECOMMERCE Formulas'!$D$22)</f>
        <v>0</v>
      </c>
      <c r="C535" s="326">
        <f>((C461+C468+C475)*'ECOMMERCE Formulas'!$D$22)</f>
        <v>0</v>
      </c>
      <c r="D535" s="326">
        <f>((D461+D468+D475)*'ECOMMERCE Formulas'!$D$22)</f>
        <v>0</v>
      </c>
      <c r="E535" s="326">
        <f>((E461+E468+E475)*'ECOMMERCE Formulas'!$D$22)</f>
        <v>0</v>
      </c>
      <c r="F535" s="326">
        <f>((F461+F468+F475)*'ECOMMERCE Formulas'!$D$22)</f>
        <v>0</v>
      </c>
      <c r="G535" s="326">
        <f>((G461+G468+G475)*'ECOMMERCE Formulas'!$D$22)</f>
        <v>0</v>
      </c>
      <c r="H535" s="326">
        <f>((H461+H468+H475)*'ECOMMERCE Formulas'!$D$22)</f>
        <v>0</v>
      </c>
      <c r="I535" s="326">
        <f>((I461+I468+I475)*'ECOMMERCE Formulas'!$D$22)</f>
        <v>0</v>
      </c>
      <c r="J535" s="326">
        <f>((J461+J468+J475)*'ECOMMERCE Formulas'!$D$22)</f>
        <v>0</v>
      </c>
      <c r="K535" s="326">
        <f>((K461+K468+K475)*'ECOMMERCE Formulas'!$D$22)</f>
        <v>0</v>
      </c>
      <c r="L535" s="326">
        <f>((L461+L468+L475)*'ECOMMERCE Formulas'!$D$22)</f>
        <v>0</v>
      </c>
      <c r="M535" s="326">
        <f>((M461+M468+M475)*'ECOMMERCE Formulas'!$D$22)</f>
        <v>0</v>
      </c>
      <c r="N535" s="326">
        <f>((N461+N468+N475)*'ECOMMERCE Formulas'!$D$22)</f>
        <v>0</v>
      </c>
      <c r="O535" s="326">
        <f>((O461+O468+O475)*'ECOMMERCE Formulas'!$D$22)</f>
        <v>0</v>
      </c>
      <c r="P535" s="326">
        <f>((P461+P468+P475)*'ECOMMERCE Formulas'!$D$22)</f>
        <v>0</v>
      </c>
      <c r="Q535" s="326">
        <f>((Q461+Q468+Q475)*'ECOMMERCE Formulas'!$D$22)</f>
        <v>0</v>
      </c>
      <c r="R535" s="326">
        <f>((R461+R468+R475)*'ECOMMERCE Formulas'!$D$22)</f>
        <v>0</v>
      </c>
      <c r="S535" s="326">
        <f>((S461+S468+S475)*'ECOMMERCE Formulas'!$D$22)</f>
        <v>0</v>
      </c>
      <c r="T535" s="326">
        <f>((T461+T468+T475)*'ECOMMERCE Formulas'!$D$22)</f>
        <v>0</v>
      </c>
      <c r="U535" s="326">
        <f>((U461+U468+U475)*'ECOMMERCE Formulas'!$D$22)</f>
        <v>0</v>
      </c>
      <c r="V535" s="326">
        <f>((V461+V468+V475)*'ECOMMERCE Formulas'!$D$22)</f>
        <v>0</v>
      </c>
      <c r="W535" s="326">
        <f>((W461+W468+W475)*'ECOMMERCE Formulas'!$D$22)</f>
        <v>0</v>
      </c>
      <c r="X535" s="326">
        <f>((X461+X468+X475)*'ECOMMERCE Formulas'!$D$22)</f>
        <v>0</v>
      </c>
      <c r="Y535" s="326">
        <f>((Y461+Y468+Y475)*'ECOMMERCE Formulas'!$D$22)</f>
        <v>0</v>
      </c>
      <c r="Z535" s="326">
        <f>((Z461+Z468+Z475)*'ECOMMERCE Formulas'!$D$22)</f>
        <v>0</v>
      </c>
      <c r="AA535" s="326">
        <f>((AA461+AA468+AA475)*'ECOMMERCE Formulas'!$D$22)</f>
        <v>0</v>
      </c>
      <c r="AB535" s="326">
        <f>((AB461+AB468+AB475)*'ECOMMERCE Formulas'!$D$22)</f>
        <v>0</v>
      </c>
      <c r="AC535" s="326">
        <f>((AC461+AC468+AC475)*'ECOMMERCE Formulas'!$D$22)</f>
        <v>0</v>
      </c>
      <c r="AD535" s="326">
        <f>((AD461+AD468+AD475)*'ECOMMERCE Formulas'!$D$22)</f>
        <v>0</v>
      </c>
      <c r="AE535" s="326">
        <f>((AE461+AE468+AE475)*'ECOMMERCE Formulas'!$D$22)</f>
        <v>0</v>
      </c>
      <c r="AF535" s="326">
        <f>((AF461+AF468+AF475)*'ECOMMERCE Formulas'!$D$22)</f>
        <v>0</v>
      </c>
      <c r="AG535" s="360">
        <f t="shared" si="198"/>
        <v>0</v>
      </c>
    </row>
    <row r="536" hidden="1" outlineLevel="1">
      <c r="A536" s="1104" t="s">
        <v>1011</v>
      </c>
      <c r="B536" s="326">
        <f>((B461+B468+B475)*'ECOMMERCE Formulas'!$D$23)</f>
        <v>38.75</v>
      </c>
      <c r="C536" s="326">
        <f>((C461+C468+C475)*'ECOMMERCE Formulas'!$D$23)</f>
        <v>46.5</v>
      </c>
      <c r="D536" s="326">
        <f>((D461+D468+D475)*'ECOMMERCE Formulas'!$D$23)</f>
        <v>28.83</v>
      </c>
      <c r="E536" s="326">
        <f>((E461+E468+E475)*'ECOMMERCE Formulas'!$D$23)</f>
        <v>36.89</v>
      </c>
      <c r="F536" s="326">
        <f>((F461+F468+F475)*'ECOMMERCE Formulas'!$D$23)</f>
        <v>30.69</v>
      </c>
      <c r="G536" s="326">
        <f>((G461+G468+G475)*'ECOMMERCE Formulas'!$D$23)</f>
        <v>32.24</v>
      </c>
      <c r="H536" s="326">
        <f>((H461+H468+H475)*'ECOMMERCE Formulas'!$D$23)</f>
        <v>31.31</v>
      </c>
      <c r="I536" s="326">
        <f>((I461+I468+I475)*'ECOMMERCE Formulas'!$D$23)</f>
        <v>50.22</v>
      </c>
      <c r="J536" s="326">
        <f>((J461+J468+J475)*'ECOMMERCE Formulas'!$D$23)</f>
        <v>49.6</v>
      </c>
      <c r="K536" s="326">
        <f>((K461+K468+K475)*'ECOMMERCE Formulas'!$D$23)</f>
        <v>47.43</v>
      </c>
      <c r="L536" s="326">
        <f>((L461+L468+L475)*'ECOMMERCE Formulas'!$D$23)</f>
        <v>35.65</v>
      </c>
      <c r="M536" s="326">
        <f>((M461+M468+M475)*'ECOMMERCE Formulas'!$D$23)</f>
        <v>33.48</v>
      </c>
      <c r="N536" s="326">
        <f>((N461+N468+N475)*'ECOMMERCE Formulas'!$D$23)</f>
        <v>68.51</v>
      </c>
      <c r="O536" s="326">
        <f>((O461+O468+O475)*'ECOMMERCE Formulas'!$D$23)</f>
        <v>54.25</v>
      </c>
      <c r="P536" s="326">
        <f>((P461+P468+P475)*'ECOMMERCE Formulas'!$D$23)</f>
        <v>60.14</v>
      </c>
      <c r="Q536" s="326">
        <f>((Q461+Q468+Q475)*'ECOMMERCE Formulas'!$D$23)</f>
        <v>52.39</v>
      </c>
      <c r="R536" s="326">
        <f>((R461+R468+R475)*'ECOMMERCE Formulas'!$D$23)</f>
        <v>27.9</v>
      </c>
      <c r="S536" s="326">
        <f>((S461+S468+S475)*'ECOMMERCE Formulas'!$D$23)</f>
        <v>49.29</v>
      </c>
      <c r="T536" s="326">
        <f>((T461+T468+T475)*'ECOMMERCE Formulas'!$D$23)</f>
        <v>36.58</v>
      </c>
      <c r="U536" s="326">
        <f>((U461+U468+U475)*'ECOMMERCE Formulas'!$D$23)</f>
        <v>44.64</v>
      </c>
      <c r="V536" s="326">
        <f>((V461+V468+V475)*'ECOMMERCE Formulas'!$D$23)</f>
        <v>38.13</v>
      </c>
      <c r="W536" s="326">
        <f>((W461+W468+W475)*'ECOMMERCE Formulas'!$D$23)</f>
        <v>39.68</v>
      </c>
      <c r="X536" s="326">
        <f>((X461+X468+X475)*'ECOMMERCE Formulas'!$D$23)</f>
        <v>42.47</v>
      </c>
      <c r="Y536" s="326">
        <f>((Y461+Y468+Y475)*'ECOMMERCE Formulas'!$D$23)</f>
        <v>27.59</v>
      </c>
      <c r="Z536" s="326">
        <f>((Z461+Z468+Z475)*'ECOMMERCE Formulas'!$D$23)</f>
        <v>25.73</v>
      </c>
      <c r="AA536" s="326">
        <f>((AA461+AA468+AA475)*'ECOMMERCE Formulas'!$D$23)</f>
        <v>26.66</v>
      </c>
      <c r="AB536" s="326">
        <f>((AB461+AB468+AB475)*'ECOMMERCE Formulas'!$D$23)</f>
        <v>24.49</v>
      </c>
      <c r="AC536" s="326">
        <f>((AC461+AC468+AC475)*'ECOMMERCE Formulas'!$D$23)</f>
        <v>21.08</v>
      </c>
      <c r="AD536" s="326">
        <f>((AD461+AD468+AD475)*'ECOMMERCE Formulas'!$D$23)</f>
        <v>25.42</v>
      </c>
      <c r="AE536" s="326">
        <f>((AE461+AE468+AE475)*'ECOMMERCE Formulas'!$D$23)</f>
        <v>27.28</v>
      </c>
      <c r="AF536" s="326">
        <f>((AF461+AF468+AF475)*'ECOMMERCE Formulas'!$D$23)</f>
        <v>21.7</v>
      </c>
      <c r="AG536" s="360">
        <f t="shared" si="198"/>
        <v>1175.52</v>
      </c>
    </row>
    <row r="537" hidden="1" outlineLevel="1">
      <c r="A537" s="1104" t="s">
        <v>1014</v>
      </c>
      <c r="B537" s="326">
        <f>((B461+B468+B475)*'ECOMMERCE Formulas'!$D$24)</f>
        <v>75</v>
      </c>
      <c r="C537" s="326">
        <f>((C461+C468+C475)*'ECOMMERCE Formulas'!$D$24)</f>
        <v>90</v>
      </c>
      <c r="D537" s="326">
        <f>((D461+D468+D475)*'ECOMMERCE Formulas'!$D$24)</f>
        <v>55.8</v>
      </c>
      <c r="E537" s="326">
        <f>((E461+E468+E475)*'ECOMMERCE Formulas'!$D$24)</f>
        <v>71.4</v>
      </c>
      <c r="F537" s="326">
        <f>((F461+F468+F475)*'ECOMMERCE Formulas'!$D$24)</f>
        <v>59.4</v>
      </c>
      <c r="G537" s="326">
        <f>((G461+G468+G475)*'ECOMMERCE Formulas'!$D$24)</f>
        <v>62.4</v>
      </c>
      <c r="H537" s="326">
        <f>((H461+H468+H475)*'ECOMMERCE Formulas'!$D$24)</f>
        <v>60.6</v>
      </c>
      <c r="I537" s="326">
        <f>((I461+I468+I475)*'ECOMMERCE Formulas'!$D$24)</f>
        <v>97.2</v>
      </c>
      <c r="J537" s="326">
        <f>((J461+J468+J475)*'ECOMMERCE Formulas'!$D$24)</f>
        <v>96</v>
      </c>
      <c r="K537" s="326">
        <f>((K461+K468+K475)*'ECOMMERCE Formulas'!$D$24)</f>
        <v>91.8</v>
      </c>
      <c r="L537" s="326">
        <f>((L461+L468+L475)*'ECOMMERCE Formulas'!$D$24)</f>
        <v>69</v>
      </c>
      <c r="M537" s="326">
        <f>((M461+M468+M475)*'ECOMMERCE Formulas'!$D$24)</f>
        <v>64.8</v>
      </c>
      <c r="N537" s="326">
        <f>((N461+N468+N475)*'ECOMMERCE Formulas'!$D$24)</f>
        <v>132.6</v>
      </c>
      <c r="O537" s="326">
        <f>((O461+O468+O475)*'ECOMMERCE Formulas'!$D$24)</f>
        <v>105</v>
      </c>
      <c r="P537" s="326">
        <f>((P461+P468+P475)*'ECOMMERCE Formulas'!$D$24)</f>
        <v>116.4</v>
      </c>
      <c r="Q537" s="326">
        <f>((Q461+Q468+Q475)*'ECOMMERCE Formulas'!$D$24)</f>
        <v>101.4</v>
      </c>
      <c r="R537" s="326">
        <f>((R461+R468+R475)*'ECOMMERCE Formulas'!$D$24)</f>
        <v>54</v>
      </c>
      <c r="S537" s="326">
        <f>((S461+S468+S475)*'ECOMMERCE Formulas'!$D$24)</f>
        <v>95.4</v>
      </c>
      <c r="T537" s="326">
        <f>((T461+T468+T475)*'ECOMMERCE Formulas'!$D$24)</f>
        <v>70.8</v>
      </c>
      <c r="U537" s="326">
        <f>((U461+U468+U475)*'ECOMMERCE Formulas'!$D$24)</f>
        <v>86.4</v>
      </c>
      <c r="V537" s="326">
        <f>((V461+V468+V475)*'ECOMMERCE Formulas'!$D$24)</f>
        <v>73.8</v>
      </c>
      <c r="W537" s="326">
        <f>((W461+W468+W475)*'ECOMMERCE Formulas'!$D$24)</f>
        <v>76.8</v>
      </c>
      <c r="X537" s="326">
        <f>((X461+X468+X475)*'ECOMMERCE Formulas'!$D$24)</f>
        <v>82.2</v>
      </c>
      <c r="Y537" s="326">
        <f>((Y461+Y468+Y475)*'ECOMMERCE Formulas'!$D$24)</f>
        <v>53.4</v>
      </c>
      <c r="Z537" s="326">
        <f>((Z461+Z468+Z475)*'ECOMMERCE Formulas'!$D$24)</f>
        <v>49.8</v>
      </c>
      <c r="AA537" s="326">
        <f>((AA461+AA468+AA475)*'ECOMMERCE Formulas'!$D$24)</f>
        <v>51.6</v>
      </c>
      <c r="AB537" s="326">
        <f>((AB461+AB468+AB475)*'ECOMMERCE Formulas'!$D$24)</f>
        <v>47.4</v>
      </c>
      <c r="AC537" s="326">
        <f>((AC461+AC468+AC475)*'ECOMMERCE Formulas'!$D$24)</f>
        <v>40.8</v>
      </c>
      <c r="AD537" s="326">
        <f>((AD461+AD468+AD475)*'ECOMMERCE Formulas'!$D$24)</f>
        <v>49.2</v>
      </c>
      <c r="AE537" s="326">
        <f>((AE461+AE468+AE475)*'ECOMMERCE Formulas'!$D$24)</f>
        <v>52.8</v>
      </c>
      <c r="AF537" s="326">
        <f>((AF461+AF468+AF475)*'ECOMMERCE Formulas'!$D$24)</f>
        <v>42</v>
      </c>
      <c r="AG537" s="360">
        <f t="shared" si="198"/>
        <v>2275.2</v>
      </c>
    </row>
    <row r="538" hidden="1" outlineLevel="1">
      <c r="A538" s="1104" t="s">
        <v>1015</v>
      </c>
      <c r="B538" s="326">
        <f>((B461+B468+B475)*'ECOMMERCE Formulas'!$D$25)</f>
        <v>37.5</v>
      </c>
      <c r="C538" s="326">
        <f>((C461+C468+C475)*'ECOMMERCE Formulas'!$D$25)</f>
        <v>45</v>
      </c>
      <c r="D538" s="326">
        <f>((D461+D468+D475)*'ECOMMERCE Formulas'!$D$25)</f>
        <v>27.9</v>
      </c>
      <c r="E538" s="326">
        <f>((E461+E468+E475)*'ECOMMERCE Formulas'!$D$25)</f>
        <v>35.7</v>
      </c>
      <c r="F538" s="326">
        <f>((F461+F468+F475)*'ECOMMERCE Formulas'!$D$25)</f>
        <v>29.7</v>
      </c>
      <c r="G538" s="326">
        <f>((G461+G468+G475)*'ECOMMERCE Formulas'!$D$25)</f>
        <v>31.2</v>
      </c>
      <c r="H538" s="326">
        <f>((H461+H468+H475)*'ECOMMERCE Formulas'!$D$25)</f>
        <v>30.3</v>
      </c>
      <c r="I538" s="326">
        <f>((I461+I468+I475)*'ECOMMERCE Formulas'!$D$25)</f>
        <v>48.6</v>
      </c>
      <c r="J538" s="326">
        <f>((J461+J468+J475)*'ECOMMERCE Formulas'!$D$25)</f>
        <v>48</v>
      </c>
      <c r="K538" s="326">
        <f>((K461+K468+K475)*'ECOMMERCE Formulas'!$D$25)</f>
        <v>45.9</v>
      </c>
      <c r="L538" s="326">
        <f>((L461+L468+L475)*'ECOMMERCE Formulas'!$D$25)</f>
        <v>34.5</v>
      </c>
      <c r="M538" s="326">
        <f>((M461+M468+M475)*'ECOMMERCE Formulas'!$D$25)</f>
        <v>32.4</v>
      </c>
      <c r="N538" s="326">
        <f>((N461+N468+N475)*'ECOMMERCE Formulas'!$D$25)</f>
        <v>66.3</v>
      </c>
      <c r="O538" s="326">
        <f>((O461+O468+O475)*'ECOMMERCE Formulas'!$D$25)</f>
        <v>52.5</v>
      </c>
      <c r="P538" s="326">
        <f>((P461+P468+P475)*'ECOMMERCE Formulas'!$D$25)</f>
        <v>58.2</v>
      </c>
      <c r="Q538" s="326">
        <f>((Q461+Q468+Q475)*'ECOMMERCE Formulas'!$D$25)</f>
        <v>50.7</v>
      </c>
      <c r="R538" s="326">
        <f>((R461+R468+R475)*'ECOMMERCE Formulas'!$D$25)</f>
        <v>27</v>
      </c>
      <c r="S538" s="326">
        <f>((S461+S468+S475)*'ECOMMERCE Formulas'!$D$25)</f>
        <v>47.7</v>
      </c>
      <c r="T538" s="326">
        <f>((T461+T468+T475)*'ECOMMERCE Formulas'!$D$25)</f>
        <v>35.4</v>
      </c>
      <c r="U538" s="326">
        <f>((U461+U468+U475)*'ECOMMERCE Formulas'!$D$25)</f>
        <v>43.2</v>
      </c>
      <c r="V538" s="326">
        <f>((V461+V468+V475)*'ECOMMERCE Formulas'!$D$25)</f>
        <v>36.9</v>
      </c>
      <c r="W538" s="326">
        <f>((W461+W468+W475)*'ECOMMERCE Formulas'!$D$25)</f>
        <v>38.4</v>
      </c>
      <c r="X538" s="326">
        <f>((X461+X468+X475)*'ECOMMERCE Formulas'!$D$25)</f>
        <v>41.1</v>
      </c>
      <c r="Y538" s="326">
        <f>((Y461+Y468+Y475)*'ECOMMERCE Formulas'!$D$25)</f>
        <v>26.7</v>
      </c>
      <c r="Z538" s="326">
        <f>((Z461+Z468+Z475)*'ECOMMERCE Formulas'!$D$25)</f>
        <v>24.9</v>
      </c>
      <c r="AA538" s="326">
        <f>((AA461+AA468+AA475)*'ECOMMERCE Formulas'!$D$25)</f>
        <v>25.8</v>
      </c>
      <c r="AB538" s="326">
        <f>((AB461+AB468+AB475)*'ECOMMERCE Formulas'!$D$25)</f>
        <v>23.7</v>
      </c>
      <c r="AC538" s="326">
        <f>((AC461+AC468+AC475)*'ECOMMERCE Formulas'!$D$25)</f>
        <v>20.4</v>
      </c>
      <c r="AD538" s="326">
        <f>((AD461+AD468+AD475)*'ECOMMERCE Formulas'!$D$25)</f>
        <v>24.6</v>
      </c>
      <c r="AE538" s="326">
        <f>((AE461+AE468+AE475)*'ECOMMERCE Formulas'!$D$25)</f>
        <v>26.4</v>
      </c>
      <c r="AF538" s="326">
        <f>((AF461+AF468+AF475)*'ECOMMERCE Formulas'!$D$25)</f>
        <v>21</v>
      </c>
      <c r="AG538" s="360">
        <f t="shared" si="198"/>
        <v>1137.6</v>
      </c>
    </row>
    <row r="539" hidden="1" outlineLevel="1">
      <c r="A539" s="1104" t="s">
        <v>1016</v>
      </c>
      <c r="B539" s="326">
        <f>((B461+B468+B475)*'ECOMMERCE Formulas'!$D$26)</f>
        <v>137.5</v>
      </c>
      <c r="C539" s="326">
        <f>((C461+C468+C475)*'ECOMMERCE Formulas'!$D$26)</f>
        <v>165</v>
      </c>
      <c r="D539" s="326">
        <f>((D461+D468+D475)*'ECOMMERCE Formulas'!$D$26)</f>
        <v>102.3</v>
      </c>
      <c r="E539" s="326">
        <f>((E461+E468+E475)*'ECOMMERCE Formulas'!$D$26)</f>
        <v>130.9</v>
      </c>
      <c r="F539" s="326">
        <f>((F461+F468+F475)*'ECOMMERCE Formulas'!$D$26)</f>
        <v>108.9</v>
      </c>
      <c r="G539" s="326">
        <f>((G461+G468+G475)*'ECOMMERCE Formulas'!$D$26)</f>
        <v>114.4</v>
      </c>
      <c r="H539" s="326">
        <f>((H461+H468+H475)*'ECOMMERCE Formulas'!$D$26)</f>
        <v>111.1</v>
      </c>
      <c r="I539" s="326">
        <f>((I461+I468+I475)*'ECOMMERCE Formulas'!$D$26)</f>
        <v>178.2</v>
      </c>
      <c r="J539" s="326">
        <f>((J461+J468+J475)*'ECOMMERCE Formulas'!$D$26)</f>
        <v>176</v>
      </c>
      <c r="K539" s="326">
        <f>((K461+K468+K475)*'ECOMMERCE Formulas'!$D$26)</f>
        <v>168.3</v>
      </c>
      <c r="L539" s="326">
        <f>((L461+L468+L475)*'ECOMMERCE Formulas'!$D$26)</f>
        <v>126.5</v>
      </c>
      <c r="M539" s="326">
        <f>((M461+M468+M475)*'ECOMMERCE Formulas'!$D$26)</f>
        <v>118.8</v>
      </c>
      <c r="N539" s="326">
        <f>((N461+N468+N475)*'ECOMMERCE Formulas'!$D$26)</f>
        <v>243.1</v>
      </c>
      <c r="O539" s="326">
        <f>((O461+O468+O475)*'ECOMMERCE Formulas'!$D$26)</f>
        <v>192.5</v>
      </c>
      <c r="P539" s="326">
        <f>((P461+P468+P475)*'ECOMMERCE Formulas'!$D$26)</f>
        <v>213.4</v>
      </c>
      <c r="Q539" s="326">
        <f>((Q461+Q468+Q475)*'ECOMMERCE Formulas'!$D$26)</f>
        <v>185.9</v>
      </c>
      <c r="R539" s="326">
        <f>((R461+R468+R475)*'ECOMMERCE Formulas'!$D$26)</f>
        <v>99</v>
      </c>
      <c r="S539" s="326">
        <f>((S461+S468+S475)*'ECOMMERCE Formulas'!$D$26)</f>
        <v>174.9</v>
      </c>
      <c r="T539" s="326">
        <f>((T461+T468+T475)*'ECOMMERCE Formulas'!$D$26)</f>
        <v>129.8</v>
      </c>
      <c r="U539" s="326">
        <f>((U461+U468+U475)*'ECOMMERCE Formulas'!$D$26)</f>
        <v>158.4</v>
      </c>
      <c r="V539" s="326">
        <f>((V461+V468+V475)*'ECOMMERCE Formulas'!$D$26)</f>
        <v>135.3</v>
      </c>
      <c r="W539" s="326">
        <f>((W461+W468+W475)*'ECOMMERCE Formulas'!$D$26)</f>
        <v>140.8</v>
      </c>
      <c r="X539" s="326">
        <f>((X461+X468+X475)*'ECOMMERCE Formulas'!$D$26)</f>
        <v>150.7</v>
      </c>
      <c r="Y539" s="326">
        <f>((Y461+Y468+Y475)*'ECOMMERCE Formulas'!$D$26)</f>
        <v>97.9</v>
      </c>
      <c r="Z539" s="326">
        <f>((Z461+Z468+Z475)*'ECOMMERCE Formulas'!$D$26)</f>
        <v>91.3</v>
      </c>
      <c r="AA539" s="326">
        <f>((AA461+AA468+AA475)*'ECOMMERCE Formulas'!$D$26)</f>
        <v>94.6</v>
      </c>
      <c r="AB539" s="326">
        <f>((AB461+AB468+AB475)*'ECOMMERCE Formulas'!$D$26)</f>
        <v>86.9</v>
      </c>
      <c r="AC539" s="326">
        <f>((AC461+AC468+AC475)*'ECOMMERCE Formulas'!$D$26)</f>
        <v>74.8</v>
      </c>
      <c r="AD539" s="326">
        <f>((AD461+AD468+AD475)*'ECOMMERCE Formulas'!$D$26)</f>
        <v>90.2</v>
      </c>
      <c r="AE539" s="326">
        <f>((AE461+AE468+AE475)*'ECOMMERCE Formulas'!$D$26)</f>
        <v>96.8</v>
      </c>
      <c r="AF539" s="326">
        <f>((AF461+AF468+AF475)*'ECOMMERCE Formulas'!$D$26)</f>
        <v>77</v>
      </c>
      <c r="AG539" s="360">
        <f t="shared" si="198"/>
        <v>4171.2</v>
      </c>
    </row>
    <row r="540" hidden="1" outlineLevel="1">
      <c r="A540" s="1105" t="s">
        <v>1018</v>
      </c>
      <c r="B540" s="1106">
        <f>((B461+B468+B475)*'ECOMMERCE Formulas'!$D$27)</f>
        <v>0</v>
      </c>
      <c r="C540" s="1106">
        <f>((C461+C468+C475)*'ECOMMERCE Formulas'!$D$27)</f>
        <v>0</v>
      </c>
      <c r="D540" s="1106">
        <f>((D461+D468+D475)*'ECOMMERCE Formulas'!$D$27)</f>
        <v>0</v>
      </c>
      <c r="E540" s="1106">
        <f>((E461+E468+E475)*'ECOMMERCE Formulas'!$D$27)</f>
        <v>0</v>
      </c>
      <c r="F540" s="1106">
        <f>((F461+F468+F475)*'ECOMMERCE Formulas'!$D$27)</f>
        <v>0</v>
      </c>
      <c r="G540" s="1106">
        <f>((G461+G468+G475)*'ECOMMERCE Formulas'!$D$27)</f>
        <v>0</v>
      </c>
      <c r="H540" s="1106">
        <f>((H461+H468+H475)*'ECOMMERCE Formulas'!$D$27)</f>
        <v>0</v>
      </c>
      <c r="I540" s="1106">
        <f>((I461+I468+I475)*'ECOMMERCE Formulas'!$D$27)</f>
        <v>0</v>
      </c>
      <c r="J540" s="1106">
        <f>((J461+J468+J475)*'ECOMMERCE Formulas'!$D$27)</f>
        <v>0</v>
      </c>
      <c r="K540" s="1106">
        <f>((K461+K468+K475)*'ECOMMERCE Formulas'!$D$27)</f>
        <v>0</v>
      </c>
      <c r="L540" s="1106">
        <f>((L461+L468+L475)*'ECOMMERCE Formulas'!$D$27)</f>
        <v>0</v>
      </c>
      <c r="M540" s="1106">
        <f>((M461+M468+M475)*'ECOMMERCE Formulas'!$D$27)</f>
        <v>0</v>
      </c>
      <c r="N540" s="1106">
        <f>((N461+N468+N475)*'ECOMMERCE Formulas'!$D$27)</f>
        <v>0</v>
      </c>
      <c r="O540" s="1106">
        <f>((O461+O468+O475)*'ECOMMERCE Formulas'!$D$27)</f>
        <v>0</v>
      </c>
      <c r="P540" s="1106">
        <f>((P461+P468+P475)*'ECOMMERCE Formulas'!$D$27)</f>
        <v>0</v>
      </c>
      <c r="Q540" s="1106">
        <f>((Q461+Q468+Q475)*'ECOMMERCE Formulas'!$D$27)</f>
        <v>0</v>
      </c>
      <c r="R540" s="1106">
        <f>((R461+R468+R475)*'ECOMMERCE Formulas'!$D$27)</f>
        <v>0</v>
      </c>
      <c r="S540" s="1106">
        <f>((S461+S468+S475)*'ECOMMERCE Formulas'!$D$27)</f>
        <v>0</v>
      </c>
      <c r="T540" s="1106">
        <f>((T461+T468+T475)*'ECOMMERCE Formulas'!$D$27)</f>
        <v>0</v>
      </c>
      <c r="U540" s="1106">
        <f>((U461+U468+U475)*'ECOMMERCE Formulas'!$D$27)</f>
        <v>0</v>
      </c>
      <c r="V540" s="1106">
        <f>((V461+V468+V475)*'ECOMMERCE Formulas'!$D$27)</f>
        <v>0</v>
      </c>
      <c r="W540" s="1106">
        <f>((W461+W468+W475)*'ECOMMERCE Formulas'!$D$27)</f>
        <v>0</v>
      </c>
      <c r="X540" s="1106">
        <f>((X461+X468+X475)*'ECOMMERCE Formulas'!$D$27)</f>
        <v>0</v>
      </c>
      <c r="Y540" s="1106">
        <f>((Y461+Y468+Y475)*'ECOMMERCE Formulas'!$D$27)</f>
        <v>0</v>
      </c>
      <c r="Z540" s="1106">
        <f>((Z461+Z468+Z475)*'ECOMMERCE Formulas'!$D$27)</f>
        <v>0</v>
      </c>
      <c r="AA540" s="1106">
        <f>((AA461+AA468+AA475)*'ECOMMERCE Formulas'!$D$27)</f>
        <v>0</v>
      </c>
      <c r="AB540" s="1106">
        <f>((AB461+AB468+AB475)*'ECOMMERCE Formulas'!$D$27)</f>
        <v>0</v>
      </c>
      <c r="AC540" s="1106">
        <f>((AC461+AC468+AC475)*'ECOMMERCE Formulas'!$D$27)</f>
        <v>0</v>
      </c>
      <c r="AD540" s="1106">
        <f>((AD461+AD468+AD475)*'ECOMMERCE Formulas'!$D$27)</f>
        <v>0</v>
      </c>
      <c r="AE540" s="1106">
        <f>((AE461+AE468+AE475)*'ECOMMERCE Formulas'!$D$27)</f>
        <v>0</v>
      </c>
      <c r="AF540" s="1106">
        <f>((AF461+AF468+AF475)*'ECOMMERCE Formulas'!$D$27)</f>
        <v>0</v>
      </c>
      <c r="AG540" s="1107">
        <f t="shared" si="198"/>
        <v>0</v>
      </c>
    </row>
    <row r="541" collapsed="1">
      <c r="A541" s="897" t="s">
        <v>1020</v>
      </c>
      <c r="B541" s="327"/>
      <c r="C541" s="327"/>
      <c r="D541" s="327"/>
      <c r="E541" s="327"/>
      <c r="F541" s="327"/>
      <c r="G541" s="327"/>
      <c r="H541" s="327"/>
      <c r="I541" s="327"/>
      <c r="J541" s="327"/>
      <c r="K541" s="327"/>
      <c r="L541" s="327"/>
      <c r="M541" s="327"/>
      <c r="N541" s="327"/>
      <c r="O541" s="327"/>
      <c r="P541" s="327"/>
      <c r="Q541" s="327"/>
      <c r="R541" s="327"/>
      <c r="S541" s="327"/>
      <c r="T541" s="327"/>
      <c r="U541" s="327"/>
      <c r="V541" s="327"/>
      <c r="W541" s="327"/>
      <c r="X541" s="327"/>
      <c r="Y541" s="327"/>
      <c r="Z541" s="327"/>
      <c r="AA541" s="327"/>
      <c r="AB541" s="327"/>
      <c r="AC541" s="327"/>
      <c r="AD541" s="327"/>
      <c r="AE541" s="1100"/>
      <c r="AF541" s="327"/>
      <c r="AG541" s="11"/>
    </row>
    <row r="542" hidden="1" outlineLevel="1">
      <c r="A542" s="979" t="s">
        <v>866</v>
      </c>
      <c r="B542" s="326">
        <f>B415*'ECOMMERCE Formulas'!$C$3</f>
        <v>0</v>
      </c>
      <c r="C542" s="326">
        <f>C415*'ECOMMERCE Formulas'!$C$3</f>
        <v>0</v>
      </c>
      <c r="D542" s="326">
        <f>D415*'ECOMMERCE Formulas'!$C$3</f>
        <v>0</v>
      </c>
      <c r="E542" s="326">
        <f>E415*'ECOMMERCE Formulas'!$C$3</f>
        <v>0</v>
      </c>
      <c r="F542" s="326">
        <f>F415*'ECOMMERCE Formulas'!$C$3</f>
        <v>0</v>
      </c>
      <c r="G542" s="326">
        <f>G415*'ECOMMERCE Formulas'!$C$3</f>
        <v>0</v>
      </c>
      <c r="H542" s="326">
        <f>H415*'ECOMMERCE Formulas'!$C$3</f>
        <v>0</v>
      </c>
      <c r="I542" s="326">
        <f>I415*'ECOMMERCE Formulas'!$C$3</f>
        <v>0</v>
      </c>
      <c r="J542" s="326">
        <f>J415*'ECOMMERCE Formulas'!$C$3</f>
        <v>0</v>
      </c>
      <c r="K542" s="326">
        <f>K415*'ECOMMERCE Formulas'!$C$3</f>
        <v>0</v>
      </c>
      <c r="L542" s="326">
        <f>L415*'ECOMMERCE Formulas'!$C$3</f>
        <v>0</v>
      </c>
      <c r="M542" s="326">
        <f>M415*'ECOMMERCE Formulas'!$C$3</f>
        <v>0</v>
      </c>
      <c r="N542" s="326">
        <f>N415*'ECOMMERCE Formulas'!$C$3</f>
        <v>0</v>
      </c>
      <c r="O542" s="326">
        <f>O415*'ECOMMERCE Formulas'!$C$3</f>
        <v>0</v>
      </c>
      <c r="P542" s="326">
        <f>P415*'ECOMMERCE Formulas'!$C$3</f>
        <v>0</v>
      </c>
      <c r="Q542" s="326">
        <f>Q415*'ECOMMERCE Formulas'!$C$3</f>
        <v>0</v>
      </c>
      <c r="R542" s="326">
        <f>R415*'ECOMMERCE Formulas'!$C$3</f>
        <v>0</v>
      </c>
      <c r="S542" s="326">
        <f>S415*'ECOMMERCE Formulas'!$C$3</f>
        <v>0</v>
      </c>
      <c r="T542" s="326">
        <f>T415*'ECOMMERCE Formulas'!$C$3</f>
        <v>0</v>
      </c>
      <c r="U542" s="326">
        <f>U415*'ECOMMERCE Formulas'!$C$3</f>
        <v>0</v>
      </c>
      <c r="V542" s="326">
        <f>V415*'ECOMMERCE Formulas'!$C$3</f>
        <v>0</v>
      </c>
      <c r="W542" s="326">
        <f>W415*'ECOMMERCE Formulas'!$C$3</f>
        <v>0</v>
      </c>
      <c r="X542" s="326">
        <f>X415*'ECOMMERCE Formulas'!$C$3</f>
        <v>0</v>
      </c>
      <c r="Y542" s="326">
        <f>Y415*'ECOMMERCE Formulas'!$C$3</f>
        <v>0</v>
      </c>
      <c r="Z542" s="326">
        <f>Z415*'ECOMMERCE Formulas'!$C$3</f>
        <v>0</v>
      </c>
      <c r="AA542" s="326">
        <f>AA415*'ECOMMERCE Formulas'!$C$3</f>
        <v>0</v>
      </c>
      <c r="AB542" s="326">
        <f>AB415*'ECOMMERCE Formulas'!$C$3</f>
        <v>0</v>
      </c>
      <c r="AC542" s="326">
        <f>AC415*'ECOMMERCE Formulas'!$C$3</f>
        <v>0</v>
      </c>
      <c r="AD542" s="326">
        <f>AD415*'ECOMMERCE Formulas'!$C$3</f>
        <v>0</v>
      </c>
      <c r="AE542" s="326">
        <f>AE415*'ECOMMERCE Formulas'!$C$3</f>
        <v>0</v>
      </c>
      <c r="AF542" s="326">
        <f>AF415*'ECOMMERCE Formulas'!$C$3</f>
        <v>0</v>
      </c>
      <c r="AG542" s="1108">
        <f>SUM(C542:AD542)</f>
        <v>0</v>
      </c>
    </row>
    <row r="543" hidden="1" outlineLevel="1">
      <c r="A543" s="982" t="s">
        <v>843</v>
      </c>
      <c r="B543" s="326">
        <f>B542*'ECOMMERCE Formulas'!$L$5</f>
        <v>0</v>
      </c>
      <c r="C543" s="326">
        <f>C542*'ECOMMERCE Formulas'!$L$5</f>
        <v>0</v>
      </c>
      <c r="D543" s="326">
        <f>D542*'ECOMMERCE Formulas'!$L$5</f>
        <v>0</v>
      </c>
      <c r="E543" s="326">
        <f>E542*'ECOMMERCE Formulas'!$L$5</f>
        <v>0</v>
      </c>
      <c r="F543" s="326">
        <f>F542*'ECOMMERCE Formulas'!$L$5</f>
        <v>0</v>
      </c>
      <c r="G543" s="326">
        <f>G542*'ECOMMERCE Formulas'!$L$5</f>
        <v>0</v>
      </c>
      <c r="H543" s="326">
        <f>H542*'ECOMMERCE Formulas'!$L$5</f>
        <v>0</v>
      </c>
      <c r="I543" s="326">
        <f>I542*'ECOMMERCE Formulas'!$L$5</f>
        <v>0</v>
      </c>
      <c r="J543" s="326">
        <f>J542*'ECOMMERCE Formulas'!$L$5</f>
        <v>0</v>
      </c>
      <c r="K543" s="326">
        <f>K542*'ECOMMERCE Formulas'!$L$5</f>
        <v>0</v>
      </c>
      <c r="L543" s="326">
        <f>L542*'ECOMMERCE Formulas'!$L$5</f>
        <v>0</v>
      </c>
      <c r="M543" s="326">
        <f>M542*'ECOMMERCE Formulas'!$L$5</f>
        <v>0</v>
      </c>
      <c r="N543" s="326">
        <f>N542*'ECOMMERCE Formulas'!$L$5</f>
        <v>0</v>
      </c>
      <c r="O543" s="326">
        <f>O542*'ECOMMERCE Formulas'!$L$5</f>
        <v>0</v>
      </c>
      <c r="P543" s="326">
        <f>P542*'ECOMMERCE Formulas'!$L$5</f>
        <v>0</v>
      </c>
      <c r="Q543" s="326">
        <f>Q542*'ECOMMERCE Formulas'!$L$5</f>
        <v>0</v>
      </c>
      <c r="R543" s="326">
        <f>R542*'ECOMMERCE Formulas'!$L$5</f>
        <v>0</v>
      </c>
      <c r="S543" s="326">
        <f>S542*'ECOMMERCE Formulas'!$L$5</f>
        <v>0</v>
      </c>
      <c r="T543" s="326">
        <f>T542*'ECOMMERCE Formulas'!$L$5</f>
        <v>0</v>
      </c>
      <c r="U543" s="326">
        <f>U542*'ECOMMERCE Formulas'!$L$5</f>
        <v>0</v>
      </c>
      <c r="V543" s="326">
        <f>V542*'ECOMMERCE Formulas'!$L$5</f>
        <v>0</v>
      </c>
      <c r="W543" s="326">
        <f>W542*'ECOMMERCE Formulas'!$L$5</f>
        <v>0</v>
      </c>
      <c r="X543" s="326">
        <f>X542*'ECOMMERCE Formulas'!$L$5</f>
        <v>0</v>
      </c>
      <c r="Y543" s="326">
        <f>Y542*'ECOMMERCE Formulas'!$L$5</f>
        <v>0</v>
      </c>
      <c r="Z543" s="326">
        <f>Z542*'ECOMMERCE Formulas'!$L$5</f>
        <v>0</v>
      </c>
      <c r="AA543" s="326">
        <f>AA542*'ECOMMERCE Formulas'!$L$5</f>
        <v>0</v>
      </c>
      <c r="AB543" s="326">
        <f>AB542*'ECOMMERCE Formulas'!$L$5</f>
        <v>0</v>
      </c>
      <c r="AC543" s="326">
        <f>AC542*'ECOMMERCE Formulas'!$L$5</f>
        <v>0</v>
      </c>
      <c r="AD543" s="326">
        <f>AD542*'ECOMMERCE Formulas'!$L$5</f>
        <v>0</v>
      </c>
      <c r="AE543" s="326">
        <f>AE542*'ECOMMERCE Formulas'!$L$5</f>
        <v>0</v>
      </c>
      <c r="AF543" s="326">
        <f>AF542*'ECOMMERCE Formulas'!$L$5</f>
        <v>0</v>
      </c>
      <c r="AG543" s="1108">
        <f t="shared" ref="AG543:AG565" si="206">SUM(C543:AE543)</f>
        <v>0</v>
      </c>
    </row>
    <row r="544" hidden="1" outlineLevel="1">
      <c r="A544" s="979" t="s">
        <v>873</v>
      </c>
      <c r="B544" s="326">
        <f>B416*'ECOMMERCE Formulas'!$C$4</f>
        <v>0</v>
      </c>
      <c r="C544" s="326">
        <f>C416*'ECOMMERCE Formulas'!$C$4</f>
        <v>0</v>
      </c>
      <c r="D544" s="326">
        <f>D416*'ECOMMERCE Formulas'!$C$4</f>
        <v>0</v>
      </c>
      <c r="E544" s="326">
        <f>E416*'ECOMMERCE Formulas'!$C$4</f>
        <v>0</v>
      </c>
      <c r="F544" s="326">
        <f>F416*'ECOMMERCE Formulas'!$C$4</f>
        <v>0</v>
      </c>
      <c r="G544" s="326">
        <f>G416*'ECOMMERCE Formulas'!$C$4</f>
        <v>0</v>
      </c>
      <c r="H544" s="326">
        <f>H416*'ECOMMERCE Formulas'!$C$4</f>
        <v>0</v>
      </c>
      <c r="I544" s="326">
        <f>I416*'ECOMMERCE Formulas'!$C$4</f>
        <v>0</v>
      </c>
      <c r="J544" s="326">
        <f>J416*'ECOMMERCE Formulas'!$C$4</f>
        <v>0</v>
      </c>
      <c r="K544" s="326">
        <f>K416*'ECOMMERCE Formulas'!$C$4</f>
        <v>0</v>
      </c>
      <c r="L544" s="326">
        <f>L416*'ECOMMERCE Formulas'!$C$4</f>
        <v>0</v>
      </c>
      <c r="M544" s="326">
        <f>M416*'ECOMMERCE Formulas'!$C$4</f>
        <v>0</v>
      </c>
      <c r="N544" s="326">
        <f>N416*'ECOMMERCE Formulas'!$C$4</f>
        <v>0</v>
      </c>
      <c r="O544" s="326">
        <f>O416*'ECOMMERCE Formulas'!$C$4</f>
        <v>0</v>
      </c>
      <c r="P544" s="326">
        <f>P416*'ECOMMERCE Formulas'!$C$4</f>
        <v>0</v>
      </c>
      <c r="Q544" s="326">
        <f>Q416*'ECOMMERCE Formulas'!$C$4</f>
        <v>0</v>
      </c>
      <c r="R544" s="326">
        <f>R416*'ECOMMERCE Formulas'!$C$4</f>
        <v>0</v>
      </c>
      <c r="S544" s="326">
        <f>S416*'ECOMMERCE Formulas'!$C$4</f>
        <v>0</v>
      </c>
      <c r="T544" s="326">
        <f>T416*'ECOMMERCE Formulas'!$C$4</f>
        <v>0</v>
      </c>
      <c r="U544" s="326">
        <f>U416*'ECOMMERCE Formulas'!$C$4</f>
        <v>0</v>
      </c>
      <c r="V544" s="326">
        <f>V416*'ECOMMERCE Formulas'!$C$4</f>
        <v>0</v>
      </c>
      <c r="W544" s="326">
        <f>W416*'ECOMMERCE Formulas'!$C$4</f>
        <v>0</v>
      </c>
      <c r="X544" s="326">
        <f>X416*'ECOMMERCE Formulas'!$C$4</f>
        <v>0</v>
      </c>
      <c r="Y544" s="326">
        <f>Y416*'ECOMMERCE Formulas'!$C$4</f>
        <v>0</v>
      </c>
      <c r="Z544" s="326">
        <f>Z416*'ECOMMERCE Formulas'!$C$4</f>
        <v>0</v>
      </c>
      <c r="AA544" s="326">
        <f>AA416*'ECOMMERCE Formulas'!$C$4</f>
        <v>0</v>
      </c>
      <c r="AB544" s="326">
        <f>AB416*'ECOMMERCE Formulas'!$C$4</f>
        <v>0</v>
      </c>
      <c r="AC544" s="326">
        <f>AC416*'ECOMMERCE Formulas'!$C$4</f>
        <v>0</v>
      </c>
      <c r="AD544" s="326">
        <f>AD416*'ECOMMERCE Formulas'!$C$4</f>
        <v>0</v>
      </c>
      <c r="AE544" s="326">
        <f>AE416*'ECOMMERCE Formulas'!$C$4</f>
        <v>0</v>
      </c>
      <c r="AF544" s="326">
        <f>AF416*'ECOMMERCE Formulas'!$C$4</f>
        <v>0</v>
      </c>
      <c r="AG544" s="1108">
        <f t="shared" si="206"/>
        <v>0</v>
      </c>
    </row>
    <row r="545" hidden="1" outlineLevel="1">
      <c r="A545" s="982" t="s">
        <v>864</v>
      </c>
      <c r="B545" s="326">
        <f>B544*'ECOMMERCE Formulas'!$L$5</f>
        <v>0</v>
      </c>
      <c r="C545" s="326">
        <f>C544*'ECOMMERCE Formulas'!$L$5</f>
        <v>0</v>
      </c>
      <c r="D545" s="326">
        <f>D544*'ECOMMERCE Formulas'!$L$5</f>
        <v>0</v>
      </c>
      <c r="E545" s="326">
        <f>E544*'ECOMMERCE Formulas'!$L$5</f>
        <v>0</v>
      </c>
      <c r="F545" s="326">
        <f>F544*'ECOMMERCE Formulas'!$L$5</f>
        <v>0</v>
      </c>
      <c r="G545" s="326">
        <f>G544*'ECOMMERCE Formulas'!$L$5</f>
        <v>0</v>
      </c>
      <c r="H545" s="326">
        <f>H544*'ECOMMERCE Formulas'!$L$5</f>
        <v>0</v>
      </c>
      <c r="I545" s="326">
        <f>I544*'ECOMMERCE Formulas'!$L$5</f>
        <v>0</v>
      </c>
      <c r="J545" s="326">
        <f>J544*'ECOMMERCE Formulas'!$L$5</f>
        <v>0</v>
      </c>
      <c r="K545" s="326">
        <f>K544*'ECOMMERCE Formulas'!$L$5</f>
        <v>0</v>
      </c>
      <c r="L545" s="326">
        <f>L544*'ECOMMERCE Formulas'!$L$5</f>
        <v>0</v>
      </c>
      <c r="M545" s="326">
        <f>M544*'ECOMMERCE Formulas'!$L$5</f>
        <v>0</v>
      </c>
      <c r="N545" s="326">
        <f>N544*'ECOMMERCE Formulas'!$L$5</f>
        <v>0</v>
      </c>
      <c r="O545" s="326">
        <f>O544*'ECOMMERCE Formulas'!$L$5</f>
        <v>0</v>
      </c>
      <c r="P545" s="326">
        <f>P544*'ECOMMERCE Formulas'!$L$5</f>
        <v>0</v>
      </c>
      <c r="Q545" s="326">
        <f>Q544*'ECOMMERCE Formulas'!$L$5</f>
        <v>0</v>
      </c>
      <c r="R545" s="326">
        <f>R544*'ECOMMERCE Formulas'!$L$5</f>
        <v>0</v>
      </c>
      <c r="S545" s="326">
        <f>S544*'ECOMMERCE Formulas'!$L$5</f>
        <v>0</v>
      </c>
      <c r="T545" s="326">
        <f>T544*'ECOMMERCE Formulas'!$L$5</f>
        <v>0</v>
      </c>
      <c r="U545" s="326">
        <f>U544*'ECOMMERCE Formulas'!$L$5</f>
        <v>0</v>
      </c>
      <c r="V545" s="326">
        <f>V544*'ECOMMERCE Formulas'!$L$5</f>
        <v>0</v>
      </c>
      <c r="W545" s="326">
        <f>W544*'ECOMMERCE Formulas'!$L$5</f>
        <v>0</v>
      </c>
      <c r="X545" s="326">
        <f>X544*'ECOMMERCE Formulas'!$L$5</f>
        <v>0</v>
      </c>
      <c r="Y545" s="326">
        <f>Y544*'ECOMMERCE Formulas'!$L$5</f>
        <v>0</v>
      </c>
      <c r="Z545" s="326">
        <f>Z544*'ECOMMERCE Formulas'!$L$5</f>
        <v>0</v>
      </c>
      <c r="AA545" s="326">
        <f>AA544*'ECOMMERCE Formulas'!$L$5</f>
        <v>0</v>
      </c>
      <c r="AB545" s="326">
        <f>AB544*'ECOMMERCE Formulas'!$L$5</f>
        <v>0</v>
      </c>
      <c r="AC545" s="326">
        <f>AC544*'ECOMMERCE Formulas'!$L$5</f>
        <v>0</v>
      </c>
      <c r="AD545" s="326">
        <f>AD544*'ECOMMERCE Formulas'!$L$5</f>
        <v>0</v>
      </c>
      <c r="AE545" s="326">
        <f>AE544*'ECOMMERCE Formulas'!$L$5</f>
        <v>0</v>
      </c>
      <c r="AF545" s="326">
        <f>AF544*'ECOMMERCE Formulas'!$L$5</f>
        <v>0</v>
      </c>
      <c r="AG545" s="1108">
        <f t="shared" si="206"/>
        <v>0</v>
      </c>
    </row>
    <row r="546" hidden="1" outlineLevel="1">
      <c r="A546" s="979" t="s">
        <v>871</v>
      </c>
      <c r="B546" s="326">
        <f>(B419+B426+B433)*'ECOMMERCE Formulas'!$C$7</f>
        <v>0</v>
      </c>
      <c r="C546" s="326">
        <f>(C419+C426+C433)*'ECOMMERCE Formulas'!$C$7</f>
        <v>0</v>
      </c>
      <c r="D546" s="326">
        <f>(D419+D426+D433)*'ECOMMERCE Formulas'!$C$7</f>
        <v>0</v>
      </c>
      <c r="E546" s="326">
        <f>(E419+E426+E433)*'ECOMMERCE Formulas'!$C$7</f>
        <v>0</v>
      </c>
      <c r="F546" s="326">
        <f>(F419+F426+F433)*'ECOMMERCE Formulas'!$C$7</f>
        <v>0</v>
      </c>
      <c r="G546" s="326">
        <f>(G419+G426+G433)*'ECOMMERCE Formulas'!$C$7</f>
        <v>0</v>
      </c>
      <c r="H546" s="326">
        <f>(H419+H426+H433)*'ECOMMERCE Formulas'!$C$7</f>
        <v>0</v>
      </c>
      <c r="I546" s="326">
        <f>(I419+I426+I433)*'ECOMMERCE Formulas'!$C$7</f>
        <v>0</v>
      </c>
      <c r="J546" s="326">
        <f>(J419+J426+J433)*'ECOMMERCE Formulas'!$C$7</f>
        <v>0</v>
      </c>
      <c r="K546" s="326">
        <f>(K419+K426+K433)*'ECOMMERCE Formulas'!$C$7</f>
        <v>0</v>
      </c>
      <c r="L546" s="326">
        <f>(L419+L426+L433)*'ECOMMERCE Formulas'!$C$7</f>
        <v>0</v>
      </c>
      <c r="M546" s="326">
        <f>(M419+M426+M433)*'ECOMMERCE Formulas'!$C$7</f>
        <v>0</v>
      </c>
      <c r="N546" s="326">
        <f>(N419+N426+N433)*'ECOMMERCE Formulas'!$C$7</f>
        <v>0</v>
      </c>
      <c r="O546" s="326">
        <f>(O419+O426+O433)*'ECOMMERCE Formulas'!$C$7</f>
        <v>0</v>
      </c>
      <c r="P546" s="326">
        <f>(P419+P426+P433)*'ECOMMERCE Formulas'!$C$7</f>
        <v>0</v>
      </c>
      <c r="Q546" s="326">
        <f>(Q419+Q426+Q433)*'ECOMMERCE Formulas'!$C$7</f>
        <v>0</v>
      </c>
      <c r="R546" s="326">
        <f>(R419+R426+R433)*'ECOMMERCE Formulas'!$C$7</f>
        <v>0</v>
      </c>
      <c r="S546" s="326">
        <f>(S419+S426+S433)*'ECOMMERCE Formulas'!$C$7</f>
        <v>0</v>
      </c>
      <c r="T546" s="326">
        <f>(T419+T426+T433)*'ECOMMERCE Formulas'!$C$7</f>
        <v>0</v>
      </c>
      <c r="U546" s="326">
        <f>(U419+U426+U433)*'ECOMMERCE Formulas'!$C$7</f>
        <v>0</v>
      </c>
      <c r="V546" s="326">
        <f>(V419+V426+V433)*'ECOMMERCE Formulas'!$C$7</f>
        <v>0</v>
      </c>
      <c r="W546" s="326">
        <f>(W419+W426+W433)*'ECOMMERCE Formulas'!$C$7</f>
        <v>0</v>
      </c>
      <c r="X546" s="326">
        <f>(X419+X426+X433)*'ECOMMERCE Formulas'!$C$7</f>
        <v>0</v>
      </c>
      <c r="Y546" s="326">
        <f>(Y419+Y426+Y433)*'ECOMMERCE Formulas'!$C$7</f>
        <v>0</v>
      </c>
      <c r="Z546" s="326">
        <f>(Z419+Z426+Z433)*'ECOMMERCE Formulas'!$C$7</f>
        <v>0</v>
      </c>
      <c r="AA546" s="326">
        <f>(AA419+AA426+AA433)*'ECOMMERCE Formulas'!$C$7</f>
        <v>0</v>
      </c>
      <c r="AB546" s="326">
        <f>(AB419+AB426+AB433)*'ECOMMERCE Formulas'!$C$7</f>
        <v>0</v>
      </c>
      <c r="AC546" s="326">
        <f>(AC419+AC426+AC433)*'ECOMMERCE Formulas'!$C$7</f>
        <v>0</v>
      </c>
      <c r="AD546" s="326">
        <f>(AD419+AD426+AD433)*'ECOMMERCE Formulas'!$C$7</f>
        <v>0</v>
      </c>
      <c r="AE546" s="326">
        <f>(AE419+AE426+AE433)*'ECOMMERCE Formulas'!$C$7</f>
        <v>0</v>
      </c>
      <c r="AF546" s="326">
        <f>(AF419+AF426+AF433)*'ECOMMERCE Formulas'!$C$7</f>
        <v>0</v>
      </c>
      <c r="AG546" s="1108">
        <f t="shared" si="206"/>
        <v>0</v>
      </c>
    </row>
    <row r="547" hidden="1" outlineLevel="1">
      <c r="A547" s="982" t="s">
        <v>875</v>
      </c>
      <c r="B547" s="326">
        <f>B546*'ECOMMERCE Formulas'!$L$5</f>
        <v>0</v>
      </c>
      <c r="C547" s="326">
        <f>C546*'ECOMMERCE Formulas'!$L$5</f>
        <v>0</v>
      </c>
      <c r="D547" s="326">
        <f>D546*'ECOMMERCE Formulas'!$L$5</f>
        <v>0</v>
      </c>
      <c r="E547" s="326">
        <f>E546*'ECOMMERCE Formulas'!$L$5</f>
        <v>0</v>
      </c>
      <c r="F547" s="326">
        <f>F546*'ECOMMERCE Formulas'!$L$5</f>
        <v>0</v>
      </c>
      <c r="G547" s="326">
        <f>G546*'ECOMMERCE Formulas'!$L$5</f>
        <v>0</v>
      </c>
      <c r="H547" s="326">
        <f>H546*'ECOMMERCE Formulas'!$L$5</f>
        <v>0</v>
      </c>
      <c r="I547" s="326">
        <f>I546*'ECOMMERCE Formulas'!$L$5</f>
        <v>0</v>
      </c>
      <c r="J547" s="326">
        <f>J546*'ECOMMERCE Formulas'!$L$5</f>
        <v>0</v>
      </c>
      <c r="K547" s="326">
        <f>K546*'ECOMMERCE Formulas'!$L$5</f>
        <v>0</v>
      </c>
      <c r="L547" s="326">
        <f>L546*'ECOMMERCE Formulas'!$L$5</f>
        <v>0</v>
      </c>
      <c r="M547" s="326">
        <f>M546*'ECOMMERCE Formulas'!$L$5</f>
        <v>0</v>
      </c>
      <c r="N547" s="326">
        <f>N546*'ECOMMERCE Formulas'!$L$5</f>
        <v>0</v>
      </c>
      <c r="O547" s="326">
        <f>O546*'ECOMMERCE Formulas'!$L$5</f>
        <v>0</v>
      </c>
      <c r="P547" s="326">
        <f>P546*'ECOMMERCE Formulas'!$L$5</f>
        <v>0</v>
      </c>
      <c r="Q547" s="326">
        <f>Q546*'ECOMMERCE Formulas'!$L$5</f>
        <v>0</v>
      </c>
      <c r="R547" s="326">
        <f>R546*'ECOMMERCE Formulas'!$L$5</f>
        <v>0</v>
      </c>
      <c r="S547" s="326">
        <f>S546*'ECOMMERCE Formulas'!$L$5</f>
        <v>0</v>
      </c>
      <c r="T547" s="326">
        <f>T546*'ECOMMERCE Formulas'!$L$5</f>
        <v>0</v>
      </c>
      <c r="U547" s="326">
        <f>U546*'ECOMMERCE Formulas'!$L$5</f>
        <v>0</v>
      </c>
      <c r="V547" s="326">
        <f>V546*'ECOMMERCE Formulas'!$L$5</f>
        <v>0</v>
      </c>
      <c r="W547" s="326">
        <f>W546*'ECOMMERCE Formulas'!$L$5</f>
        <v>0</v>
      </c>
      <c r="X547" s="326">
        <f>X546*'ECOMMERCE Formulas'!$L$5</f>
        <v>0</v>
      </c>
      <c r="Y547" s="326">
        <f>Y546*'ECOMMERCE Formulas'!$L$5</f>
        <v>0</v>
      </c>
      <c r="Z547" s="326">
        <f>Z546*'ECOMMERCE Formulas'!$L$5</f>
        <v>0</v>
      </c>
      <c r="AA547" s="326">
        <f>AA546*'ECOMMERCE Formulas'!$L$5</f>
        <v>0</v>
      </c>
      <c r="AB547" s="326">
        <f>AB546*'ECOMMERCE Formulas'!$L$5</f>
        <v>0</v>
      </c>
      <c r="AC547" s="326">
        <f>AC546*'ECOMMERCE Formulas'!$L$5</f>
        <v>0</v>
      </c>
      <c r="AD547" s="326">
        <f>AD546*'ECOMMERCE Formulas'!$L$5</f>
        <v>0</v>
      </c>
      <c r="AE547" s="326">
        <f>AE546*'ECOMMERCE Formulas'!$L$5</f>
        <v>0</v>
      </c>
      <c r="AF547" s="326">
        <f>AF546*'ECOMMERCE Formulas'!$L$5</f>
        <v>0</v>
      </c>
      <c r="AG547" s="1108">
        <f t="shared" si="206"/>
        <v>0</v>
      </c>
    </row>
    <row r="548" hidden="1" outlineLevel="1">
      <c r="A548" s="982" t="s">
        <v>881</v>
      </c>
      <c r="B548" s="326">
        <f>B546*'ECOMMERCE Formulas'!$L$4</f>
        <v>0</v>
      </c>
      <c r="C548" s="326">
        <f>C546*'ECOMMERCE Formulas'!$L$4</f>
        <v>0</v>
      </c>
      <c r="D548" s="326">
        <f>D546*'ECOMMERCE Formulas'!$L$4</f>
        <v>0</v>
      </c>
      <c r="E548" s="326">
        <f>E546*'ECOMMERCE Formulas'!$L$4</f>
        <v>0</v>
      </c>
      <c r="F548" s="326">
        <f>F546*'ECOMMERCE Formulas'!$L$4</f>
        <v>0</v>
      </c>
      <c r="G548" s="326">
        <f>G546*'ECOMMERCE Formulas'!$L$4</f>
        <v>0</v>
      </c>
      <c r="H548" s="326">
        <f>H546*'ECOMMERCE Formulas'!$L$4</f>
        <v>0</v>
      </c>
      <c r="I548" s="326">
        <f>I546*'ECOMMERCE Formulas'!$L$4</f>
        <v>0</v>
      </c>
      <c r="J548" s="326">
        <f>J546*'ECOMMERCE Formulas'!$L$4</f>
        <v>0</v>
      </c>
      <c r="K548" s="326">
        <f>K546*'ECOMMERCE Formulas'!$L$4</f>
        <v>0</v>
      </c>
      <c r="L548" s="326">
        <f>L546*'ECOMMERCE Formulas'!$L$4</f>
        <v>0</v>
      </c>
      <c r="M548" s="326">
        <f>M546*'ECOMMERCE Formulas'!$L$4</f>
        <v>0</v>
      </c>
      <c r="N548" s="326">
        <f>N546*'ECOMMERCE Formulas'!$L$4</f>
        <v>0</v>
      </c>
      <c r="O548" s="326">
        <f>O546*'ECOMMERCE Formulas'!$L$4</f>
        <v>0</v>
      </c>
      <c r="P548" s="326">
        <f>P546*'ECOMMERCE Formulas'!$L$4</f>
        <v>0</v>
      </c>
      <c r="Q548" s="326">
        <f>Q546*'ECOMMERCE Formulas'!$L$4</f>
        <v>0</v>
      </c>
      <c r="R548" s="326">
        <f>R546*'ECOMMERCE Formulas'!$L$4</f>
        <v>0</v>
      </c>
      <c r="S548" s="326">
        <f>S546*'ECOMMERCE Formulas'!$L$4</f>
        <v>0</v>
      </c>
      <c r="T548" s="326">
        <f>T546*'ECOMMERCE Formulas'!$L$4</f>
        <v>0</v>
      </c>
      <c r="U548" s="326">
        <f>U546*'ECOMMERCE Formulas'!$L$4</f>
        <v>0</v>
      </c>
      <c r="V548" s="326">
        <f>V546*'ECOMMERCE Formulas'!$L$4</f>
        <v>0</v>
      </c>
      <c r="W548" s="326">
        <f>W546*'ECOMMERCE Formulas'!$L$4</f>
        <v>0</v>
      </c>
      <c r="X548" s="326">
        <f>X546*'ECOMMERCE Formulas'!$L$4</f>
        <v>0</v>
      </c>
      <c r="Y548" s="326">
        <f>Y546*'ECOMMERCE Formulas'!$L$4</f>
        <v>0</v>
      </c>
      <c r="Z548" s="326">
        <f>Z546*'ECOMMERCE Formulas'!$L$4</f>
        <v>0</v>
      </c>
      <c r="AA548" s="326">
        <f>AA546*'ECOMMERCE Formulas'!$L$4</f>
        <v>0</v>
      </c>
      <c r="AB548" s="326">
        <f>AB546*'ECOMMERCE Formulas'!$L$4</f>
        <v>0</v>
      </c>
      <c r="AC548" s="326">
        <f>AC546*'ECOMMERCE Formulas'!$L$4</f>
        <v>0</v>
      </c>
      <c r="AD548" s="326">
        <f>AD546*'ECOMMERCE Formulas'!$L$4</f>
        <v>0</v>
      </c>
      <c r="AE548" s="326">
        <f>AE546*'ECOMMERCE Formulas'!$L$4</f>
        <v>0</v>
      </c>
      <c r="AF548" s="326">
        <f>AF546*'ECOMMERCE Formulas'!$L$4</f>
        <v>0</v>
      </c>
      <c r="AG548" s="1108">
        <f t="shared" si="206"/>
        <v>0</v>
      </c>
    </row>
    <row r="549" hidden="1" outlineLevel="1">
      <c r="A549" s="979" t="s">
        <v>884</v>
      </c>
      <c r="B549" s="326">
        <f>(B418+B425+B432)*'ECOMMERCE Formulas'!$C$6</f>
        <v>0</v>
      </c>
      <c r="C549" s="326">
        <f>(C418+C425+C432)*'ECOMMERCE Formulas'!$C$6</f>
        <v>0</v>
      </c>
      <c r="D549" s="326">
        <f>(D418+D425+D432)*'ECOMMERCE Formulas'!$C$6</f>
        <v>0</v>
      </c>
      <c r="E549" s="326">
        <f>(E418+E425+E432)*'ECOMMERCE Formulas'!$C$6</f>
        <v>0</v>
      </c>
      <c r="F549" s="326">
        <f>(F418+F425+F432)*'ECOMMERCE Formulas'!$C$6</f>
        <v>0</v>
      </c>
      <c r="G549" s="326">
        <f>(G418+G425+G432)*'ECOMMERCE Formulas'!$C$6</f>
        <v>0</v>
      </c>
      <c r="H549" s="326">
        <f>(H418+H425+H432)*'ECOMMERCE Formulas'!$C$6</f>
        <v>0</v>
      </c>
      <c r="I549" s="326">
        <f>(I418+I425+I432)*'ECOMMERCE Formulas'!$C$6</f>
        <v>0</v>
      </c>
      <c r="J549" s="326">
        <f>(J418+J425+J432)*'ECOMMERCE Formulas'!$C$6</f>
        <v>0</v>
      </c>
      <c r="K549" s="326">
        <f>(K418+K425+K432)*'ECOMMERCE Formulas'!$C$6</f>
        <v>0</v>
      </c>
      <c r="L549" s="326">
        <f>(L418+L425+L432)*'ECOMMERCE Formulas'!$C$6</f>
        <v>0</v>
      </c>
      <c r="M549" s="326">
        <f>(M418+M425+M432)*'ECOMMERCE Formulas'!$C$6</f>
        <v>0</v>
      </c>
      <c r="N549" s="326">
        <f>(N418+N425+N432)*'ECOMMERCE Formulas'!$C$6</f>
        <v>0</v>
      </c>
      <c r="O549" s="326">
        <f>(O418+O425+O432)*'ECOMMERCE Formulas'!$C$6</f>
        <v>0</v>
      </c>
      <c r="P549" s="326">
        <f>(P418+P425+P432)*'ECOMMERCE Formulas'!$C$6</f>
        <v>0</v>
      </c>
      <c r="Q549" s="326">
        <f>(Q418+Q425+Q432)*'ECOMMERCE Formulas'!$C$6</f>
        <v>0</v>
      </c>
      <c r="R549" s="326">
        <f>(R418+R425+R432)*'ECOMMERCE Formulas'!$C$6</f>
        <v>0</v>
      </c>
      <c r="S549" s="326">
        <f>(S418+S425+S432)*'ECOMMERCE Formulas'!$C$6</f>
        <v>0</v>
      </c>
      <c r="T549" s="326">
        <f>(T418+T425+T432)*'ECOMMERCE Formulas'!$C$6</f>
        <v>0</v>
      </c>
      <c r="U549" s="326">
        <f>(U418+U425+U432)*'ECOMMERCE Formulas'!$C$6</f>
        <v>0</v>
      </c>
      <c r="V549" s="326">
        <f>(V418+V425+V432)*'ECOMMERCE Formulas'!$C$6</f>
        <v>0</v>
      </c>
      <c r="W549" s="326">
        <f>(W418+W425+W432)*'ECOMMERCE Formulas'!$C$6</f>
        <v>0</v>
      </c>
      <c r="X549" s="326">
        <f>(X418+X425+X432)*'ECOMMERCE Formulas'!$C$6</f>
        <v>0</v>
      </c>
      <c r="Y549" s="326">
        <f>(Y418+Y425+Y432)*'ECOMMERCE Formulas'!$C$6</f>
        <v>0</v>
      </c>
      <c r="Z549" s="326">
        <f>(Z418+Z425+Z432)*'ECOMMERCE Formulas'!$C$6</f>
        <v>0</v>
      </c>
      <c r="AA549" s="326">
        <f>(AA418+AA425+AA432)*'ECOMMERCE Formulas'!$C$6</f>
        <v>0</v>
      </c>
      <c r="AB549" s="326">
        <f>(AB418+AB425+AB432)*'ECOMMERCE Formulas'!$C$6</f>
        <v>0</v>
      </c>
      <c r="AC549" s="326">
        <f>(AC418+AC425+AC432)*'ECOMMERCE Formulas'!$C$6</f>
        <v>0</v>
      </c>
      <c r="AD549" s="326">
        <f>(AD418+AD425+AD432)*'ECOMMERCE Formulas'!$C$6</f>
        <v>0</v>
      </c>
      <c r="AE549" s="326">
        <f>(AE418+AE425+AE432)*'ECOMMERCE Formulas'!$C$6</f>
        <v>0</v>
      </c>
      <c r="AF549" s="326">
        <f>(AF418+AF425+AF432)*'ECOMMERCE Formulas'!$C$6</f>
        <v>0</v>
      </c>
      <c r="AG549" s="1108">
        <f t="shared" si="206"/>
        <v>0</v>
      </c>
    </row>
    <row r="550" hidden="1" outlineLevel="1">
      <c r="A550" s="982" t="s">
        <v>888</v>
      </c>
      <c r="B550" s="326">
        <f>B549*'ECOMMERCE Formulas'!$L$5</f>
        <v>0</v>
      </c>
      <c r="C550" s="326">
        <f>C549*'ECOMMERCE Formulas'!$L$5</f>
        <v>0</v>
      </c>
      <c r="D550" s="326">
        <f>D549*'ECOMMERCE Formulas'!$L$5</f>
        <v>0</v>
      </c>
      <c r="E550" s="326">
        <f>E549*'ECOMMERCE Formulas'!$L$5</f>
        <v>0</v>
      </c>
      <c r="F550" s="326">
        <f>F549*'ECOMMERCE Formulas'!$L$5</f>
        <v>0</v>
      </c>
      <c r="G550" s="326">
        <f>G549*'ECOMMERCE Formulas'!$L$5</f>
        <v>0</v>
      </c>
      <c r="H550" s="326">
        <f>H549*'ECOMMERCE Formulas'!$L$5</f>
        <v>0</v>
      </c>
      <c r="I550" s="326">
        <f>I549*'ECOMMERCE Formulas'!$L$5</f>
        <v>0</v>
      </c>
      <c r="J550" s="326">
        <f>J549*'ECOMMERCE Formulas'!$L$5</f>
        <v>0</v>
      </c>
      <c r="K550" s="326">
        <f>K549*'ECOMMERCE Formulas'!$L$5</f>
        <v>0</v>
      </c>
      <c r="L550" s="326">
        <f>L549*'ECOMMERCE Formulas'!$L$5</f>
        <v>0</v>
      </c>
      <c r="M550" s="326">
        <f>M549*'ECOMMERCE Formulas'!$L$5</f>
        <v>0</v>
      </c>
      <c r="N550" s="326">
        <f>N549*'ECOMMERCE Formulas'!$L$5</f>
        <v>0</v>
      </c>
      <c r="O550" s="326">
        <f>O549*'ECOMMERCE Formulas'!$L$5</f>
        <v>0</v>
      </c>
      <c r="P550" s="326">
        <f>P549*'ECOMMERCE Formulas'!$L$5</f>
        <v>0</v>
      </c>
      <c r="Q550" s="326">
        <f>Q549*'ECOMMERCE Formulas'!$L$5</f>
        <v>0</v>
      </c>
      <c r="R550" s="326">
        <f>R549*'ECOMMERCE Formulas'!$L$5</f>
        <v>0</v>
      </c>
      <c r="S550" s="326">
        <f>S549*'ECOMMERCE Formulas'!$L$5</f>
        <v>0</v>
      </c>
      <c r="T550" s="326">
        <f>T549*'ECOMMERCE Formulas'!$L$5</f>
        <v>0</v>
      </c>
      <c r="U550" s="326">
        <f>U549*'ECOMMERCE Formulas'!$L$5</f>
        <v>0</v>
      </c>
      <c r="V550" s="326">
        <f>V549*'ECOMMERCE Formulas'!$L$5</f>
        <v>0</v>
      </c>
      <c r="W550" s="326">
        <f>W549*'ECOMMERCE Formulas'!$L$5</f>
        <v>0</v>
      </c>
      <c r="X550" s="326">
        <f>X549*'ECOMMERCE Formulas'!$L$5</f>
        <v>0</v>
      </c>
      <c r="Y550" s="326">
        <f>Y549*'ECOMMERCE Formulas'!$L$5</f>
        <v>0</v>
      </c>
      <c r="Z550" s="326">
        <f>Z549*'ECOMMERCE Formulas'!$L$5</f>
        <v>0</v>
      </c>
      <c r="AA550" s="326">
        <f>AA549*'ECOMMERCE Formulas'!$L$5</f>
        <v>0</v>
      </c>
      <c r="AB550" s="326">
        <f>AB549*'ECOMMERCE Formulas'!$L$5</f>
        <v>0</v>
      </c>
      <c r="AC550" s="326">
        <f>AC549*'ECOMMERCE Formulas'!$L$5</f>
        <v>0</v>
      </c>
      <c r="AD550" s="326">
        <f>AD549*'ECOMMERCE Formulas'!$L$5</f>
        <v>0</v>
      </c>
      <c r="AE550" s="326">
        <f>AE549*'ECOMMERCE Formulas'!$L$5</f>
        <v>0</v>
      </c>
      <c r="AF550" s="326">
        <f>AF549*'ECOMMERCE Formulas'!$L$5</f>
        <v>0</v>
      </c>
      <c r="AG550" s="1108">
        <f t="shared" si="206"/>
        <v>0</v>
      </c>
    </row>
    <row r="551" hidden="1" outlineLevel="1">
      <c r="A551" s="982" t="s">
        <v>889</v>
      </c>
      <c r="B551" s="326">
        <f>B549*'ECOMMERCE Formulas'!$L$4</f>
        <v>0</v>
      </c>
      <c r="C551" s="326">
        <f>C549*'ECOMMERCE Formulas'!$L$4</f>
        <v>0</v>
      </c>
      <c r="D551" s="326">
        <f>D549*'ECOMMERCE Formulas'!$L$4</f>
        <v>0</v>
      </c>
      <c r="E551" s="326">
        <f>E549*'ECOMMERCE Formulas'!$L$4</f>
        <v>0</v>
      </c>
      <c r="F551" s="326">
        <f>F549*'ECOMMERCE Formulas'!$L$4</f>
        <v>0</v>
      </c>
      <c r="G551" s="326">
        <f>G549*'ECOMMERCE Formulas'!$L$4</f>
        <v>0</v>
      </c>
      <c r="H551" s="326">
        <f>H549*'ECOMMERCE Formulas'!$L$4</f>
        <v>0</v>
      </c>
      <c r="I551" s="326">
        <f>I549*'ECOMMERCE Formulas'!$L$4</f>
        <v>0</v>
      </c>
      <c r="J551" s="326">
        <f>J549*'ECOMMERCE Formulas'!$L$4</f>
        <v>0</v>
      </c>
      <c r="K551" s="326">
        <f>K549*'ECOMMERCE Formulas'!$L$4</f>
        <v>0</v>
      </c>
      <c r="L551" s="326">
        <f>L549*'ECOMMERCE Formulas'!$L$4</f>
        <v>0</v>
      </c>
      <c r="M551" s="326">
        <f>M549*'ECOMMERCE Formulas'!$L$4</f>
        <v>0</v>
      </c>
      <c r="N551" s="326">
        <f>N549*'ECOMMERCE Formulas'!$L$4</f>
        <v>0</v>
      </c>
      <c r="O551" s="326">
        <f>O549*'ECOMMERCE Formulas'!$L$4</f>
        <v>0</v>
      </c>
      <c r="P551" s="326">
        <f>P549*'ECOMMERCE Formulas'!$L$4</f>
        <v>0</v>
      </c>
      <c r="Q551" s="326">
        <f>Q549*'ECOMMERCE Formulas'!$L$4</f>
        <v>0</v>
      </c>
      <c r="R551" s="326">
        <f>R549*'ECOMMERCE Formulas'!$L$4</f>
        <v>0</v>
      </c>
      <c r="S551" s="326">
        <f>S549*'ECOMMERCE Formulas'!$L$4</f>
        <v>0</v>
      </c>
      <c r="T551" s="326">
        <f>T549*'ECOMMERCE Formulas'!$L$4</f>
        <v>0</v>
      </c>
      <c r="U551" s="326">
        <f>U549*'ECOMMERCE Formulas'!$L$4</f>
        <v>0</v>
      </c>
      <c r="V551" s="326">
        <f>V549*'ECOMMERCE Formulas'!$L$4</f>
        <v>0</v>
      </c>
      <c r="W551" s="326">
        <f>W549*'ECOMMERCE Formulas'!$L$4</f>
        <v>0</v>
      </c>
      <c r="X551" s="326">
        <f>X549*'ECOMMERCE Formulas'!$L$4</f>
        <v>0</v>
      </c>
      <c r="Y551" s="326">
        <f>Y549*'ECOMMERCE Formulas'!$L$4</f>
        <v>0</v>
      </c>
      <c r="Z551" s="326">
        <f>Z549*'ECOMMERCE Formulas'!$L$4</f>
        <v>0</v>
      </c>
      <c r="AA551" s="326">
        <f>AA549*'ECOMMERCE Formulas'!$L$4</f>
        <v>0</v>
      </c>
      <c r="AB551" s="326">
        <f>AB549*'ECOMMERCE Formulas'!$L$4</f>
        <v>0</v>
      </c>
      <c r="AC551" s="326">
        <f>AC549*'ECOMMERCE Formulas'!$L$4</f>
        <v>0</v>
      </c>
      <c r="AD551" s="326">
        <f>AD549*'ECOMMERCE Formulas'!$L$4</f>
        <v>0</v>
      </c>
      <c r="AE551" s="326">
        <f>AE549*'ECOMMERCE Formulas'!$L$4</f>
        <v>0</v>
      </c>
      <c r="AF551" s="326">
        <f>AF549*'ECOMMERCE Formulas'!$L$4</f>
        <v>0</v>
      </c>
      <c r="AG551" s="1108">
        <f t="shared" si="206"/>
        <v>0</v>
      </c>
    </row>
    <row r="552" hidden="1" outlineLevel="1">
      <c r="A552" s="979" t="s">
        <v>891</v>
      </c>
      <c r="B552" s="326">
        <f>(B420+B427+B434)*'ECOMMERCE Formulas'!$C$8</f>
        <v>0</v>
      </c>
      <c r="C552" s="326">
        <f>(C420+C427+C434)*'ECOMMERCE Formulas'!$C$8</f>
        <v>0</v>
      </c>
      <c r="D552" s="326">
        <f>(D420+D427+D434)*'ECOMMERCE Formulas'!$C$8</f>
        <v>0</v>
      </c>
      <c r="E552" s="326">
        <f>(E420+E427+E434)*'ECOMMERCE Formulas'!$C$8</f>
        <v>0</v>
      </c>
      <c r="F552" s="326">
        <f>(F420+F427+F434)*'ECOMMERCE Formulas'!$C$8</f>
        <v>0</v>
      </c>
      <c r="G552" s="326">
        <f>(G420+G427+G434)*'ECOMMERCE Formulas'!$C$8</f>
        <v>0</v>
      </c>
      <c r="H552" s="326">
        <f>(H420+H427+H434)*'ECOMMERCE Formulas'!$C$8</f>
        <v>0</v>
      </c>
      <c r="I552" s="326">
        <f>(I420+I427+I434)*'ECOMMERCE Formulas'!$C$8</f>
        <v>0</v>
      </c>
      <c r="J552" s="326">
        <f>(J420+J427+J434)*'ECOMMERCE Formulas'!$C$8</f>
        <v>0</v>
      </c>
      <c r="K552" s="326">
        <f>(K420+K427+K434)*'ECOMMERCE Formulas'!$C$8</f>
        <v>0</v>
      </c>
      <c r="L552" s="326">
        <f>(L420+L427+L434)*'ECOMMERCE Formulas'!$C$8</f>
        <v>0</v>
      </c>
      <c r="M552" s="326">
        <f>(M420+M427+M434)*'ECOMMERCE Formulas'!$C$8</f>
        <v>0</v>
      </c>
      <c r="N552" s="326">
        <f>(N420+N427+N434)*'ECOMMERCE Formulas'!$C$8</f>
        <v>0</v>
      </c>
      <c r="O552" s="326">
        <f>(O420+O427+O434)*'ECOMMERCE Formulas'!$C$8</f>
        <v>0</v>
      </c>
      <c r="P552" s="326">
        <f>(P420+P427+P434)*'ECOMMERCE Formulas'!$C$8</f>
        <v>0</v>
      </c>
      <c r="Q552" s="326">
        <f>(Q420+Q427+Q434)*'ECOMMERCE Formulas'!$C$8</f>
        <v>0</v>
      </c>
      <c r="R552" s="326">
        <f>(R420+R427+R434)*'ECOMMERCE Formulas'!$C$8</f>
        <v>0</v>
      </c>
      <c r="S552" s="326">
        <f>(S420+S427+S434)*'ECOMMERCE Formulas'!$C$8</f>
        <v>0</v>
      </c>
      <c r="T552" s="326">
        <f>(T420+T427+T434)*'ECOMMERCE Formulas'!$C$8</f>
        <v>0</v>
      </c>
      <c r="U552" s="326">
        <f>(U420+U427+U434)*'ECOMMERCE Formulas'!$C$8</f>
        <v>0</v>
      </c>
      <c r="V552" s="326">
        <f>(V420+V427+V434)*'ECOMMERCE Formulas'!$C$8</f>
        <v>0</v>
      </c>
      <c r="W552" s="326">
        <f>(W420+W427+W434)*'ECOMMERCE Formulas'!$C$8</f>
        <v>0</v>
      </c>
      <c r="X552" s="326">
        <f>(X420+X427+X434)*'ECOMMERCE Formulas'!$C$8</f>
        <v>0</v>
      </c>
      <c r="Y552" s="326">
        <f>(Y420+Y427+Y434)*'ECOMMERCE Formulas'!$C$8</f>
        <v>0</v>
      </c>
      <c r="Z552" s="326">
        <f>(Z420+Z427+Z434)*'ECOMMERCE Formulas'!$C$8</f>
        <v>0</v>
      </c>
      <c r="AA552" s="326">
        <f>(AA420+AA427+AA434)*'ECOMMERCE Formulas'!$C$8</f>
        <v>0</v>
      </c>
      <c r="AB552" s="326">
        <f>(AB420+AB427+AB434)*'ECOMMERCE Formulas'!$C$8</f>
        <v>0</v>
      </c>
      <c r="AC552" s="326">
        <f>(AC420+AC427+AC434)*'ECOMMERCE Formulas'!$C$8</f>
        <v>0</v>
      </c>
      <c r="AD552" s="326">
        <f>(AD420+AD427+AD434)*'ECOMMERCE Formulas'!$C$8</f>
        <v>0</v>
      </c>
      <c r="AE552" s="326">
        <f>(AE420+AE427+AE434)*'ECOMMERCE Formulas'!$C$8</f>
        <v>0</v>
      </c>
      <c r="AF552" s="326">
        <f>(AF420+AF427+AF434)*'ECOMMERCE Formulas'!$C$8</f>
        <v>0</v>
      </c>
      <c r="AG552" s="1108">
        <f t="shared" si="206"/>
        <v>0</v>
      </c>
    </row>
    <row r="553" hidden="1" outlineLevel="1">
      <c r="A553" s="982" t="s">
        <v>892</v>
      </c>
      <c r="B553" s="326">
        <f>B552*'ECOMMERCE Formulas'!$L$5</f>
        <v>0</v>
      </c>
      <c r="C553" s="326">
        <f>C552*'ECOMMERCE Formulas'!$L$5</f>
        <v>0</v>
      </c>
      <c r="D553" s="326">
        <f>D552*'ECOMMERCE Formulas'!$L$5</f>
        <v>0</v>
      </c>
      <c r="E553" s="326">
        <f>E552*'ECOMMERCE Formulas'!$L$5</f>
        <v>0</v>
      </c>
      <c r="F553" s="326">
        <f>F552*'ECOMMERCE Formulas'!$L$5</f>
        <v>0</v>
      </c>
      <c r="G553" s="326">
        <f>G552*'ECOMMERCE Formulas'!$L$5</f>
        <v>0</v>
      </c>
      <c r="H553" s="326">
        <f>H552*'ECOMMERCE Formulas'!$L$5</f>
        <v>0</v>
      </c>
      <c r="I553" s="326">
        <f>I552*'ECOMMERCE Formulas'!$L$5</f>
        <v>0</v>
      </c>
      <c r="J553" s="326">
        <f>J552*'ECOMMERCE Formulas'!$L$5</f>
        <v>0</v>
      </c>
      <c r="K553" s="326">
        <f>K552*'ECOMMERCE Formulas'!$L$5</f>
        <v>0</v>
      </c>
      <c r="L553" s="326">
        <f>L552*'ECOMMERCE Formulas'!$L$5</f>
        <v>0</v>
      </c>
      <c r="M553" s="326">
        <f>M552*'ECOMMERCE Formulas'!$L$5</f>
        <v>0</v>
      </c>
      <c r="N553" s="326">
        <f>N552*'ECOMMERCE Formulas'!$L$5</f>
        <v>0</v>
      </c>
      <c r="O553" s="326">
        <f>O552*'ECOMMERCE Formulas'!$L$5</f>
        <v>0</v>
      </c>
      <c r="P553" s="326">
        <f>P552*'ECOMMERCE Formulas'!$L$5</f>
        <v>0</v>
      </c>
      <c r="Q553" s="326">
        <f>Q552*'ECOMMERCE Formulas'!$L$5</f>
        <v>0</v>
      </c>
      <c r="R553" s="326">
        <f>R552*'ECOMMERCE Formulas'!$L$5</f>
        <v>0</v>
      </c>
      <c r="S553" s="326">
        <f>S552*'ECOMMERCE Formulas'!$L$5</f>
        <v>0</v>
      </c>
      <c r="T553" s="326">
        <f>T552*'ECOMMERCE Formulas'!$L$5</f>
        <v>0</v>
      </c>
      <c r="U553" s="326">
        <f>U552*'ECOMMERCE Formulas'!$L$5</f>
        <v>0</v>
      </c>
      <c r="V553" s="326">
        <f>V552*'ECOMMERCE Formulas'!$L$5</f>
        <v>0</v>
      </c>
      <c r="W553" s="326">
        <f>W552*'ECOMMERCE Formulas'!$L$5</f>
        <v>0</v>
      </c>
      <c r="X553" s="326">
        <f>X552*'ECOMMERCE Formulas'!$L$5</f>
        <v>0</v>
      </c>
      <c r="Y553" s="326">
        <f>Y552*'ECOMMERCE Formulas'!$L$5</f>
        <v>0</v>
      </c>
      <c r="Z553" s="326">
        <f>Z552*'ECOMMERCE Formulas'!$L$5</f>
        <v>0</v>
      </c>
      <c r="AA553" s="326">
        <f>AA552*'ECOMMERCE Formulas'!$L$5</f>
        <v>0</v>
      </c>
      <c r="AB553" s="326">
        <f>AB552*'ECOMMERCE Formulas'!$L$5</f>
        <v>0</v>
      </c>
      <c r="AC553" s="326">
        <f>AC552*'ECOMMERCE Formulas'!$L$5</f>
        <v>0</v>
      </c>
      <c r="AD553" s="326">
        <f>AD552*'ECOMMERCE Formulas'!$L$5</f>
        <v>0</v>
      </c>
      <c r="AE553" s="326">
        <f>AE552*'ECOMMERCE Formulas'!$L$5</f>
        <v>0</v>
      </c>
      <c r="AF553" s="326">
        <f>AF552*'ECOMMERCE Formulas'!$L$5</f>
        <v>0</v>
      </c>
      <c r="AG553" s="1108">
        <f t="shared" si="206"/>
        <v>0</v>
      </c>
    </row>
    <row r="554" hidden="1" outlineLevel="1">
      <c r="A554" s="982" t="s">
        <v>894</v>
      </c>
      <c r="B554" s="326">
        <f>B552*'ECOMMERCE Formulas'!$L$4</f>
        <v>0</v>
      </c>
      <c r="C554" s="326">
        <f>C552*'ECOMMERCE Formulas'!$L$4</f>
        <v>0</v>
      </c>
      <c r="D554" s="326">
        <f>D552*'ECOMMERCE Formulas'!$L$4</f>
        <v>0</v>
      </c>
      <c r="E554" s="326">
        <f>E552*'ECOMMERCE Formulas'!$L$4</f>
        <v>0</v>
      </c>
      <c r="F554" s="326">
        <f>F552*'ECOMMERCE Formulas'!$L$4</f>
        <v>0</v>
      </c>
      <c r="G554" s="326">
        <f>G552*'ECOMMERCE Formulas'!$L$4</f>
        <v>0</v>
      </c>
      <c r="H554" s="326">
        <f>H552*'ECOMMERCE Formulas'!$L$4</f>
        <v>0</v>
      </c>
      <c r="I554" s="326">
        <f>I552*'ECOMMERCE Formulas'!$L$4</f>
        <v>0</v>
      </c>
      <c r="J554" s="326">
        <f>J552*'ECOMMERCE Formulas'!$L$4</f>
        <v>0</v>
      </c>
      <c r="K554" s="326">
        <f>K552*'ECOMMERCE Formulas'!$L$4</f>
        <v>0</v>
      </c>
      <c r="L554" s="326">
        <f>L552*'ECOMMERCE Formulas'!$L$4</f>
        <v>0</v>
      </c>
      <c r="M554" s="326">
        <f>M552*'ECOMMERCE Formulas'!$L$4</f>
        <v>0</v>
      </c>
      <c r="N554" s="326">
        <f>N552*'ECOMMERCE Formulas'!$L$4</f>
        <v>0</v>
      </c>
      <c r="O554" s="326">
        <f>O552*'ECOMMERCE Formulas'!$L$4</f>
        <v>0</v>
      </c>
      <c r="P554" s="326">
        <f>P552*'ECOMMERCE Formulas'!$L$4</f>
        <v>0</v>
      </c>
      <c r="Q554" s="326">
        <f>Q552*'ECOMMERCE Formulas'!$L$4</f>
        <v>0</v>
      </c>
      <c r="R554" s="326">
        <f>R552*'ECOMMERCE Formulas'!$L$4</f>
        <v>0</v>
      </c>
      <c r="S554" s="326">
        <f>S552*'ECOMMERCE Formulas'!$L$4</f>
        <v>0</v>
      </c>
      <c r="T554" s="326">
        <f>T552*'ECOMMERCE Formulas'!$L$4</f>
        <v>0</v>
      </c>
      <c r="U554" s="326">
        <f>U552*'ECOMMERCE Formulas'!$L$4</f>
        <v>0</v>
      </c>
      <c r="V554" s="326">
        <f>V552*'ECOMMERCE Formulas'!$L$4</f>
        <v>0</v>
      </c>
      <c r="W554" s="326">
        <f>W552*'ECOMMERCE Formulas'!$L$4</f>
        <v>0</v>
      </c>
      <c r="X554" s="326">
        <f>X552*'ECOMMERCE Formulas'!$L$4</f>
        <v>0</v>
      </c>
      <c r="Y554" s="326">
        <f>Y552*'ECOMMERCE Formulas'!$L$4</f>
        <v>0</v>
      </c>
      <c r="Z554" s="326">
        <f>Z552*'ECOMMERCE Formulas'!$L$4</f>
        <v>0</v>
      </c>
      <c r="AA554" s="326">
        <f>AA552*'ECOMMERCE Formulas'!$L$4</f>
        <v>0</v>
      </c>
      <c r="AB554" s="326">
        <f>AB552*'ECOMMERCE Formulas'!$L$4</f>
        <v>0</v>
      </c>
      <c r="AC554" s="326">
        <f>AC552*'ECOMMERCE Formulas'!$L$4</f>
        <v>0</v>
      </c>
      <c r="AD554" s="326">
        <f>AD552*'ECOMMERCE Formulas'!$L$4</f>
        <v>0</v>
      </c>
      <c r="AE554" s="326">
        <f>AE552*'ECOMMERCE Formulas'!$L$4</f>
        <v>0</v>
      </c>
      <c r="AF554" s="326">
        <f>AF552*'ECOMMERCE Formulas'!$L$4</f>
        <v>0</v>
      </c>
      <c r="AG554" s="1108">
        <f t="shared" si="206"/>
        <v>0</v>
      </c>
    </row>
    <row r="555" hidden="1" outlineLevel="1">
      <c r="A555" s="979" t="s">
        <v>897</v>
      </c>
      <c r="B555" s="326">
        <f>(B421+B428+B435)*'ECOMMERCE Formulas'!$C$9</f>
        <v>0</v>
      </c>
      <c r="C555" s="326">
        <f>(C421+C428+C435)*'ECOMMERCE Formulas'!$C$9</f>
        <v>0</v>
      </c>
      <c r="D555" s="326">
        <f>(D421+D428+D435)*'ECOMMERCE Formulas'!$C$9</f>
        <v>0</v>
      </c>
      <c r="E555" s="326">
        <f>(E421+E428+E435)*'ECOMMERCE Formulas'!$C$9</f>
        <v>0</v>
      </c>
      <c r="F555" s="326">
        <f>(F421+F428+F435)*'ECOMMERCE Formulas'!$C$9</f>
        <v>0</v>
      </c>
      <c r="G555" s="326">
        <f>(G421+G428+G435)*'ECOMMERCE Formulas'!$C$9</f>
        <v>0</v>
      </c>
      <c r="H555" s="326">
        <f>(H421+H428+H435)*'ECOMMERCE Formulas'!$C$9</f>
        <v>0</v>
      </c>
      <c r="I555" s="326">
        <f>(I421+I428+I435)*'ECOMMERCE Formulas'!$C$9</f>
        <v>0</v>
      </c>
      <c r="J555" s="326">
        <f>(J421+J428+J435)*'ECOMMERCE Formulas'!$C$9</f>
        <v>0</v>
      </c>
      <c r="K555" s="326">
        <f>(K421+K428+K435)*'ECOMMERCE Formulas'!$C$9</f>
        <v>0</v>
      </c>
      <c r="L555" s="326">
        <f>(L421+L428+L435)*'ECOMMERCE Formulas'!$C$9</f>
        <v>0</v>
      </c>
      <c r="M555" s="326">
        <f>(M421+M428+M435)*'ECOMMERCE Formulas'!$C$9</f>
        <v>0</v>
      </c>
      <c r="N555" s="326">
        <f>(N421+N428+N435)*'ECOMMERCE Formulas'!$C$9</f>
        <v>0</v>
      </c>
      <c r="O555" s="326">
        <f>(O421+O428+O435)*'ECOMMERCE Formulas'!$C$9</f>
        <v>0</v>
      </c>
      <c r="P555" s="326">
        <f>(P421+P428+P435)*'ECOMMERCE Formulas'!$C$9</f>
        <v>0</v>
      </c>
      <c r="Q555" s="326">
        <f>(Q421+Q428+Q435)*'ECOMMERCE Formulas'!$C$9</f>
        <v>0</v>
      </c>
      <c r="R555" s="326">
        <f>(R421+R428+R435)*'ECOMMERCE Formulas'!$C$9</f>
        <v>0</v>
      </c>
      <c r="S555" s="326">
        <f>(S421+S428+S435)*'ECOMMERCE Formulas'!$C$9</f>
        <v>0</v>
      </c>
      <c r="T555" s="326">
        <f>(T421+T428+T435)*'ECOMMERCE Formulas'!$C$9</f>
        <v>0</v>
      </c>
      <c r="U555" s="326">
        <f>(U421+U428+U435)*'ECOMMERCE Formulas'!$C$9</f>
        <v>0</v>
      </c>
      <c r="V555" s="326">
        <f>(V421+V428+V435)*'ECOMMERCE Formulas'!$C$9</f>
        <v>0</v>
      </c>
      <c r="W555" s="326">
        <f>(W421+W428+W435)*'ECOMMERCE Formulas'!$C$9</f>
        <v>0</v>
      </c>
      <c r="X555" s="326">
        <f>(X421+X428+X435)*'ECOMMERCE Formulas'!$C$9</f>
        <v>0</v>
      </c>
      <c r="Y555" s="326">
        <f>(Y421+Y428+Y435)*'ECOMMERCE Formulas'!$C$9</f>
        <v>0</v>
      </c>
      <c r="Z555" s="326">
        <f>(Z421+Z428+Z435)*'ECOMMERCE Formulas'!$C$9</f>
        <v>0</v>
      </c>
      <c r="AA555" s="326">
        <f>(AA421+AA428+AA435)*'ECOMMERCE Formulas'!$C$9</f>
        <v>0</v>
      </c>
      <c r="AB555" s="326">
        <f>(AB421+AB428+AB435)*'ECOMMERCE Formulas'!$C$9</f>
        <v>0</v>
      </c>
      <c r="AC555" s="326">
        <f>(AC421+AC428+AC435)*'ECOMMERCE Formulas'!$C$9</f>
        <v>0</v>
      </c>
      <c r="AD555" s="326">
        <f>(AD421+AD428+AD435)*'ECOMMERCE Formulas'!$C$9</f>
        <v>0</v>
      </c>
      <c r="AE555" s="326">
        <f>(AE421+AE428+AE435)*'ECOMMERCE Formulas'!$C$9</f>
        <v>0</v>
      </c>
      <c r="AF555" s="326">
        <f>(AF421+AF428+AF435)*'ECOMMERCE Formulas'!$C$9</f>
        <v>0</v>
      </c>
      <c r="AG555" s="1108">
        <f t="shared" si="206"/>
        <v>0</v>
      </c>
    </row>
    <row r="556" hidden="1" outlineLevel="1">
      <c r="A556" s="982" t="s">
        <v>903</v>
      </c>
      <c r="B556" s="326">
        <f>B555*'ECOMMERCE Formulas'!$L$5</f>
        <v>0</v>
      </c>
      <c r="C556" s="326">
        <f>C555*'ECOMMERCE Formulas'!$L$5</f>
        <v>0</v>
      </c>
      <c r="D556" s="326">
        <f>D555*'ECOMMERCE Formulas'!$L$5</f>
        <v>0</v>
      </c>
      <c r="E556" s="326">
        <f>E555*'ECOMMERCE Formulas'!$L$5</f>
        <v>0</v>
      </c>
      <c r="F556" s="326">
        <f>F555*'ECOMMERCE Formulas'!$L$5</f>
        <v>0</v>
      </c>
      <c r="G556" s="326">
        <f>G555*'ECOMMERCE Formulas'!$L$5</f>
        <v>0</v>
      </c>
      <c r="H556" s="326">
        <f>H555*'ECOMMERCE Formulas'!$L$5</f>
        <v>0</v>
      </c>
      <c r="I556" s="326">
        <f>I555*'ECOMMERCE Formulas'!$L$5</f>
        <v>0</v>
      </c>
      <c r="J556" s="326">
        <f>J555*'ECOMMERCE Formulas'!$L$5</f>
        <v>0</v>
      </c>
      <c r="K556" s="326">
        <f>K555*'ECOMMERCE Formulas'!$L$5</f>
        <v>0</v>
      </c>
      <c r="L556" s="326">
        <f>L555*'ECOMMERCE Formulas'!$L$5</f>
        <v>0</v>
      </c>
      <c r="M556" s="326">
        <f>M555*'ECOMMERCE Formulas'!$L$5</f>
        <v>0</v>
      </c>
      <c r="N556" s="326">
        <f>N555*'ECOMMERCE Formulas'!$L$5</f>
        <v>0</v>
      </c>
      <c r="O556" s="326">
        <f>O555*'ECOMMERCE Formulas'!$L$5</f>
        <v>0</v>
      </c>
      <c r="P556" s="326">
        <f>P555*'ECOMMERCE Formulas'!$L$5</f>
        <v>0</v>
      </c>
      <c r="Q556" s="326">
        <f>Q555*'ECOMMERCE Formulas'!$L$5</f>
        <v>0</v>
      </c>
      <c r="R556" s="326">
        <f>R555*'ECOMMERCE Formulas'!$L$5</f>
        <v>0</v>
      </c>
      <c r="S556" s="326">
        <f>S555*'ECOMMERCE Formulas'!$L$5</f>
        <v>0</v>
      </c>
      <c r="T556" s="326">
        <f>T555*'ECOMMERCE Formulas'!$L$5</f>
        <v>0</v>
      </c>
      <c r="U556" s="326">
        <f>U555*'ECOMMERCE Formulas'!$L$5</f>
        <v>0</v>
      </c>
      <c r="V556" s="326">
        <f>V555*'ECOMMERCE Formulas'!$L$5</f>
        <v>0</v>
      </c>
      <c r="W556" s="326">
        <f>W555*'ECOMMERCE Formulas'!$L$5</f>
        <v>0</v>
      </c>
      <c r="X556" s="326">
        <f>X555*'ECOMMERCE Formulas'!$L$5</f>
        <v>0</v>
      </c>
      <c r="Y556" s="326">
        <f>Y555*'ECOMMERCE Formulas'!$L$5</f>
        <v>0</v>
      </c>
      <c r="Z556" s="326">
        <f>Z555*'ECOMMERCE Formulas'!$L$5</f>
        <v>0</v>
      </c>
      <c r="AA556" s="326">
        <f>AA555*'ECOMMERCE Formulas'!$L$5</f>
        <v>0</v>
      </c>
      <c r="AB556" s="326">
        <f>AB555*'ECOMMERCE Formulas'!$L$5</f>
        <v>0</v>
      </c>
      <c r="AC556" s="326">
        <f>AC555*'ECOMMERCE Formulas'!$L$5</f>
        <v>0</v>
      </c>
      <c r="AD556" s="326">
        <f>AD555*'ECOMMERCE Formulas'!$L$5</f>
        <v>0</v>
      </c>
      <c r="AE556" s="326">
        <f>AE555*'ECOMMERCE Formulas'!$L$5</f>
        <v>0</v>
      </c>
      <c r="AF556" s="326">
        <f>AF555*'ECOMMERCE Formulas'!$L$5</f>
        <v>0</v>
      </c>
      <c r="AG556" s="1108">
        <f t="shared" si="206"/>
        <v>0</v>
      </c>
    </row>
    <row r="557" hidden="1" outlineLevel="1">
      <c r="A557" s="982" t="s">
        <v>907</v>
      </c>
      <c r="B557" s="326">
        <f>B555*'ECOMMERCE Formulas'!$L$4</f>
        <v>0</v>
      </c>
      <c r="C557" s="326">
        <f>C555*'ECOMMERCE Formulas'!$L$4</f>
        <v>0</v>
      </c>
      <c r="D557" s="326">
        <f>D555*'ECOMMERCE Formulas'!$L$4</f>
        <v>0</v>
      </c>
      <c r="E557" s="326">
        <f>E555*'ECOMMERCE Formulas'!$L$4</f>
        <v>0</v>
      </c>
      <c r="F557" s="326">
        <f>F555*'ECOMMERCE Formulas'!$L$4</f>
        <v>0</v>
      </c>
      <c r="G557" s="326">
        <f>G555*'ECOMMERCE Formulas'!$L$4</f>
        <v>0</v>
      </c>
      <c r="H557" s="326">
        <f>H555*'ECOMMERCE Formulas'!$L$4</f>
        <v>0</v>
      </c>
      <c r="I557" s="326">
        <f>I555*'ECOMMERCE Formulas'!$L$4</f>
        <v>0</v>
      </c>
      <c r="J557" s="326">
        <f>J555*'ECOMMERCE Formulas'!$L$4</f>
        <v>0</v>
      </c>
      <c r="K557" s="326">
        <f>K555*'ECOMMERCE Formulas'!$L$4</f>
        <v>0</v>
      </c>
      <c r="L557" s="326">
        <f>L555*'ECOMMERCE Formulas'!$L$4</f>
        <v>0</v>
      </c>
      <c r="M557" s="326">
        <f>M555*'ECOMMERCE Formulas'!$L$4</f>
        <v>0</v>
      </c>
      <c r="N557" s="326">
        <f>N555*'ECOMMERCE Formulas'!$L$4</f>
        <v>0</v>
      </c>
      <c r="O557" s="326">
        <f>O555*'ECOMMERCE Formulas'!$L$4</f>
        <v>0</v>
      </c>
      <c r="P557" s="326">
        <f>P555*'ECOMMERCE Formulas'!$L$4</f>
        <v>0</v>
      </c>
      <c r="Q557" s="326">
        <f>Q555*'ECOMMERCE Formulas'!$L$4</f>
        <v>0</v>
      </c>
      <c r="R557" s="326">
        <f>R555*'ECOMMERCE Formulas'!$L$4</f>
        <v>0</v>
      </c>
      <c r="S557" s="326">
        <f>S555*'ECOMMERCE Formulas'!$L$4</f>
        <v>0</v>
      </c>
      <c r="T557" s="326">
        <f>T555*'ECOMMERCE Formulas'!$L$4</f>
        <v>0</v>
      </c>
      <c r="U557" s="326">
        <f>U555*'ECOMMERCE Formulas'!$L$4</f>
        <v>0</v>
      </c>
      <c r="V557" s="326">
        <f>V555*'ECOMMERCE Formulas'!$L$4</f>
        <v>0</v>
      </c>
      <c r="W557" s="326">
        <f>W555*'ECOMMERCE Formulas'!$L$4</f>
        <v>0</v>
      </c>
      <c r="X557" s="326">
        <f>X555*'ECOMMERCE Formulas'!$L$4</f>
        <v>0</v>
      </c>
      <c r="Y557" s="326">
        <f>Y555*'ECOMMERCE Formulas'!$L$4</f>
        <v>0</v>
      </c>
      <c r="Z557" s="326">
        <f>Z555*'ECOMMERCE Formulas'!$L$4</f>
        <v>0</v>
      </c>
      <c r="AA557" s="326">
        <f>AA555*'ECOMMERCE Formulas'!$L$4</f>
        <v>0</v>
      </c>
      <c r="AB557" s="326">
        <f>AB555*'ECOMMERCE Formulas'!$L$4</f>
        <v>0</v>
      </c>
      <c r="AC557" s="326">
        <f>AC555*'ECOMMERCE Formulas'!$L$4</f>
        <v>0</v>
      </c>
      <c r="AD557" s="326">
        <f>AD555*'ECOMMERCE Formulas'!$L$4</f>
        <v>0</v>
      </c>
      <c r="AE557" s="326">
        <f>AE555*'ECOMMERCE Formulas'!$L$4</f>
        <v>0</v>
      </c>
      <c r="AF557" s="326">
        <f>AF555*'ECOMMERCE Formulas'!$L$4</f>
        <v>0</v>
      </c>
      <c r="AG557" s="1108">
        <f t="shared" si="206"/>
        <v>0</v>
      </c>
    </row>
    <row r="558" hidden="1" outlineLevel="1">
      <c r="A558" s="979" t="s">
        <v>951</v>
      </c>
      <c r="B558" s="326">
        <f>(B422+B429+B436)*'ECOMMERCE Formulas'!$C$5</f>
        <v>0</v>
      </c>
      <c r="C558" s="326">
        <f>(C422+C429+C436)*'ECOMMERCE Formulas'!$C$5</f>
        <v>0</v>
      </c>
      <c r="D558" s="326">
        <f>(D422+D429+D436)*'ECOMMERCE Formulas'!$C$5</f>
        <v>0</v>
      </c>
      <c r="E558" s="326">
        <f>(E422+E429+E436)*'ECOMMERCE Formulas'!$C$5</f>
        <v>0</v>
      </c>
      <c r="F558" s="326">
        <f>(F422+F429+F436)*'ECOMMERCE Formulas'!$C$5</f>
        <v>0</v>
      </c>
      <c r="G558" s="326">
        <f>(G422+G429+G436)*'ECOMMERCE Formulas'!$C$5</f>
        <v>0</v>
      </c>
      <c r="H558" s="326">
        <f>(H422+H429+H436)*'ECOMMERCE Formulas'!$C$5</f>
        <v>0</v>
      </c>
      <c r="I558" s="326">
        <f>(I422+I429+I436)*'ECOMMERCE Formulas'!$C$5</f>
        <v>0</v>
      </c>
      <c r="J558" s="326">
        <f>(J422+J429+J436)*'ECOMMERCE Formulas'!$C$5</f>
        <v>0</v>
      </c>
      <c r="K558" s="326">
        <f>(K422+K429+K436)*'ECOMMERCE Formulas'!$C$5</f>
        <v>0</v>
      </c>
      <c r="L558" s="326">
        <f>(L422+L429+L436)*'ECOMMERCE Formulas'!$C$5</f>
        <v>0</v>
      </c>
      <c r="M558" s="326">
        <f>(M422+M429+M436)*'ECOMMERCE Formulas'!$C$5</f>
        <v>0</v>
      </c>
      <c r="N558" s="326">
        <f>(N422+N429+N436)*'ECOMMERCE Formulas'!$C$5</f>
        <v>0</v>
      </c>
      <c r="O558" s="326">
        <f>(O422+O429+O436)*'ECOMMERCE Formulas'!$C$5</f>
        <v>0</v>
      </c>
      <c r="P558" s="326">
        <f>(P422+P429+P436)*'ECOMMERCE Formulas'!$C$5</f>
        <v>0</v>
      </c>
      <c r="Q558" s="326">
        <f>(Q422+Q429+Q436)*'ECOMMERCE Formulas'!$C$5</f>
        <v>0</v>
      </c>
      <c r="R558" s="326">
        <f>(R422+R429+R436)*'ECOMMERCE Formulas'!$C$5</f>
        <v>0</v>
      </c>
      <c r="S558" s="326">
        <f>(S422+S429+S436)*'ECOMMERCE Formulas'!$C$5</f>
        <v>0</v>
      </c>
      <c r="T558" s="326">
        <f>(T422+T429+T436)*'ECOMMERCE Formulas'!$C$5</f>
        <v>0</v>
      </c>
      <c r="U558" s="326">
        <f>(U422+U429+U436)*'ECOMMERCE Formulas'!$C$5</f>
        <v>0</v>
      </c>
      <c r="V558" s="326">
        <f>(V422+V429+V436)*'ECOMMERCE Formulas'!$C$5</f>
        <v>0</v>
      </c>
      <c r="W558" s="326">
        <f>(W422+W429+W436)*'ECOMMERCE Formulas'!$C$5</f>
        <v>0</v>
      </c>
      <c r="X558" s="326">
        <f>(X422+X429+X436)*'ECOMMERCE Formulas'!$C$5</f>
        <v>0</v>
      </c>
      <c r="Y558" s="326">
        <f>(Y422+Y429+Y436)*'ECOMMERCE Formulas'!$C$5</f>
        <v>0</v>
      </c>
      <c r="Z558" s="326">
        <f>(Z422+Z429+Z436)*'ECOMMERCE Formulas'!$C$5</f>
        <v>0</v>
      </c>
      <c r="AA558" s="326">
        <f>(AA422+AA429+AA436)*'ECOMMERCE Formulas'!$C$5</f>
        <v>0</v>
      </c>
      <c r="AB558" s="326">
        <f>(AB422+AB429+AB436)*'ECOMMERCE Formulas'!$C$5</f>
        <v>0</v>
      </c>
      <c r="AC558" s="326">
        <f>(AC422+AC429+AC436)*'ECOMMERCE Formulas'!$C$5</f>
        <v>0</v>
      </c>
      <c r="AD558" s="326">
        <f>(AD422+AD429+AD436)*'ECOMMERCE Formulas'!$C$5</f>
        <v>0</v>
      </c>
      <c r="AE558" s="326">
        <f>(AE422+AE429+AE436)*'ECOMMERCE Formulas'!$C$5</f>
        <v>0</v>
      </c>
      <c r="AF558" s="326">
        <f>(AF422+AF429+AF436)*'ECOMMERCE Formulas'!$C$5</f>
        <v>0</v>
      </c>
      <c r="AG558" s="1108">
        <f t="shared" si="206"/>
        <v>0</v>
      </c>
    </row>
    <row r="559" hidden="1" outlineLevel="1">
      <c r="A559" s="982" t="s">
        <v>971</v>
      </c>
      <c r="B559" s="326">
        <f>B558*'ECOMMERCE Formulas'!$L$8</f>
        <v>0</v>
      </c>
      <c r="C559" s="326">
        <f>C558*'ECOMMERCE Formulas'!$L$8</f>
        <v>0</v>
      </c>
      <c r="D559" s="326">
        <f>D558*'ECOMMERCE Formulas'!$L$8</f>
        <v>0</v>
      </c>
      <c r="E559" s="326">
        <f>E558*'ECOMMERCE Formulas'!$L$8</f>
        <v>0</v>
      </c>
      <c r="F559" s="326">
        <f>F558*'ECOMMERCE Formulas'!$L$8</f>
        <v>0</v>
      </c>
      <c r="G559" s="326">
        <f>G558*'ECOMMERCE Formulas'!$L$8</f>
        <v>0</v>
      </c>
      <c r="H559" s="326">
        <f>H558*'ECOMMERCE Formulas'!$L$8</f>
        <v>0</v>
      </c>
      <c r="I559" s="326">
        <f>I558*'ECOMMERCE Formulas'!$L$8</f>
        <v>0</v>
      </c>
      <c r="J559" s="326">
        <f>J558*'ECOMMERCE Formulas'!$L$8</f>
        <v>0</v>
      </c>
      <c r="K559" s="326">
        <f>K558*'ECOMMERCE Formulas'!$L$8</f>
        <v>0</v>
      </c>
      <c r="L559" s="326">
        <f>L558*'ECOMMERCE Formulas'!$L$8</f>
        <v>0</v>
      </c>
      <c r="M559" s="326">
        <f>M558*'ECOMMERCE Formulas'!$L$8</f>
        <v>0</v>
      </c>
      <c r="N559" s="326">
        <f>N558*'ECOMMERCE Formulas'!$L$8</f>
        <v>0</v>
      </c>
      <c r="O559" s="326">
        <f>O558*'ECOMMERCE Formulas'!$L$8</f>
        <v>0</v>
      </c>
      <c r="P559" s="326">
        <f>P558*'ECOMMERCE Formulas'!$L$8</f>
        <v>0</v>
      </c>
      <c r="Q559" s="326">
        <f>Q558*'ECOMMERCE Formulas'!$L$8</f>
        <v>0</v>
      </c>
      <c r="R559" s="326">
        <f>R558*'ECOMMERCE Formulas'!$L$8</f>
        <v>0</v>
      </c>
      <c r="S559" s="326">
        <f>S558*'ECOMMERCE Formulas'!$L$8</f>
        <v>0</v>
      </c>
      <c r="T559" s="326">
        <f>T558*'ECOMMERCE Formulas'!$L$8</f>
        <v>0</v>
      </c>
      <c r="U559" s="326">
        <f>U558*'ECOMMERCE Formulas'!$L$8</f>
        <v>0</v>
      </c>
      <c r="V559" s="326">
        <f>V558*'ECOMMERCE Formulas'!$L$8</f>
        <v>0</v>
      </c>
      <c r="W559" s="326">
        <f>W558*'ECOMMERCE Formulas'!$L$8</f>
        <v>0</v>
      </c>
      <c r="X559" s="326">
        <f>X558*'ECOMMERCE Formulas'!$L$8</f>
        <v>0</v>
      </c>
      <c r="Y559" s="326">
        <f>Y558*'ECOMMERCE Formulas'!$L$8</f>
        <v>0</v>
      </c>
      <c r="Z559" s="326">
        <f>Z558*'ECOMMERCE Formulas'!$L$8</f>
        <v>0</v>
      </c>
      <c r="AA559" s="326">
        <f>AA558*'ECOMMERCE Formulas'!$L$8</f>
        <v>0</v>
      </c>
      <c r="AB559" s="326">
        <f>AB558*'ECOMMERCE Formulas'!$L$8</f>
        <v>0</v>
      </c>
      <c r="AC559" s="326">
        <f>AC558*'ECOMMERCE Formulas'!$L$8</f>
        <v>0</v>
      </c>
      <c r="AD559" s="326">
        <f>AD558*'ECOMMERCE Formulas'!$L$8</f>
        <v>0</v>
      </c>
      <c r="AE559" s="326">
        <f>AE558*'ECOMMERCE Formulas'!$L$8</f>
        <v>0</v>
      </c>
      <c r="AF559" s="326">
        <f>AF558*'ECOMMERCE Formulas'!$L$8</f>
        <v>0</v>
      </c>
      <c r="AG559" s="1108">
        <f t="shared" si="206"/>
        <v>0</v>
      </c>
    </row>
    <row r="560" hidden="1" outlineLevel="1">
      <c r="A560" s="982" t="s">
        <v>963</v>
      </c>
      <c r="B560" s="326">
        <f>B558*'ECOMMERCE Formulas'!$L$9</f>
        <v>0</v>
      </c>
      <c r="C560" s="326">
        <f>C558*'ECOMMERCE Formulas'!$L$9</f>
        <v>0</v>
      </c>
      <c r="D560" s="326">
        <f>D558*'ECOMMERCE Formulas'!$L$9</f>
        <v>0</v>
      </c>
      <c r="E560" s="326">
        <f>E558*'ECOMMERCE Formulas'!$L$9</f>
        <v>0</v>
      </c>
      <c r="F560" s="326">
        <f>F558*'ECOMMERCE Formulas'!$L$9</f>
        <v>0</v>
      </c>
      <c r="G560" s="326">
        <f>G558*'ECOMMERCE Formulas'!$L$9</f>
        <v>0</v>
      </c>
      <c r="H560" s="326">
        <f>H558*'ECOMMERCE Formulas'!$L$9</f>
        <v>0</v>
      </c>
      <c r="I560" s="326">
        <f>I558*'ECOMMERCE Formulas'!$L$9</f>
        <v>0</v>
      </c>
      <c r="J560" s="326">
        <f>J558*'ECOMMERCE Formulas'!$L$9</f>
        <v>0</v>
      </c>
      <c r="K560" s="326">
        <f>K558*'ECOMMERCE Formulas'!$L$9</f>
        <v>0</v>
      </c>
      <c r="L560" s="326">
        <f>L558*'ECOMMERCE Formulas'!$L$9</f>
        <v>0</v>
      </c>
      <c r="M560" s="326">
        <f>M558*'ECOMMERCE Formulas'!$L$9</f>
        <v>0</v>
      </c>
      <c r="N560" s="326">
        <f>N558*'ECOMMERCE Formulas'!$L$9</f>
        <v>0</v>
      </c>
      <c r="O560" s="326">
        <f>O558*'ECOMMERCE Formulas'!$L$9</f>
        <v>0</v>
      </c>
      <c r="P560" s="326">
        <f>P558*'ECOMMERCE Formulas'!$L$9</f>
        <v>0</v>
      </c>
      <c r="Q560" s="326">
        <f>Q558*'ECOMMERCE Formulas'!$L$9</f>
        <v>0</v>
      </c>
      <c r="R560" s="326">
        <f>R558*'ECOMMERCE Formulas'!$L$9</f>
        <v>0</v>
      </c>
      <c r="S560" s="326">
        <f>S558*'ECOMMERCE Formulas'!$L$9</f>
        <v>0</v>
      </c>
      <c r="T560" s="326">
        <f>T558*'ECOMMERCE Formulas'!$L$9</f>
        <v>0</v>
      </c>
      <c r="U560" s="326">
        <f>U558*'ECOMMERCE Formulas'!$L$9</f>
        <v>0</v>
      </c>
      <c r="V560" s="326">
        <f>V558*'ECOMMERCE Formulas'!$L$9</f>
        <v>0</v>
      </c>
      <c r="W560" s="326">
        <f>W558*'ECOMMERCE Formulas'!$L$9</f>
        <v>0</v>
      </c>
      <c r="X560" s="326">
        <f>X558*'ECOMMERCE Formulas'!$L$9</f>
        <v>0</v>
      </c>
      <c r="Y560" s="326">
        <f>Y558*'ECOMMERCE Formulas'!$L$9</f>
        <v>0</v>
      </c>
      <c r="Z560" s="326">
        <f>Z558*'ECOMMERCE Formulas'!$L$9</f>
        <v>0</v>
      </c>
      <c r="AA560" s="326">
        <f>AA558*'ECOMMERCE Formulas'!$L$9</f>
        <v>0</v>
      </c>
      <c r="AB560" s="326">
        <f>AB558*'ECOMMERCE Formulas'!$L$9</f>
        <v>0</v>
      </c>
      <c r="AC560" s="326">
        <f>AC558*'ECOMMERCE Formulas'!$L$9</f>
        <v>0</v>
      </c>
      <c r="AD560" s="326">
        <f>AD558*'ECOMMERCE Formulas'!$L$9</f>
        <v>0</v>
      </c>
      <c r="AE560" s="326">
        <f>AE558*'ECOMMERCE Formulas'!$L$9</f>
        <v>0</v>
      </c>
      <c r="AF560" s="326">
        <f>AF558*'ECOMMERCE Formulas'!$L$9</f>
        <v>0</v>
      </c>
      <c r="AG560" s="1108">
        <f t="shared" si="206"/>
        <v>0</v>
      </c>
    </row>
    <row r="561" hidden="1" outlineLevel="1">
      <c r="A561" s="982" t="s">
        <v>966</v>
      </c>
      <c r="B561" s="326">
        <f>(B542+B544+B546+B549+B552+B555+B558)*'ECOMMERCE Formulas'!$L$6</f>
        <v>0</v>
      </c>
      <c r="C561" s="326">
        <f>(C542+C544+C546+C549+C552+C555+C558)*'ECOMMERCE Formulas'!$L$6</f>
        <v>0</v>
      </c>
      <c r="D561" s="326">
        <f>(D542+D544+D546+D549+D552+D555+D558)*'ECOMMERCE Formulas'!$L$6</f>
        <v>0</v>
      </c>
      <c r="E561" s="326">
        <f>(E542+E544+E546+E549+E552+E555+E558)*'ECOMMERCE Formulas'!$L$6</f>
        <v>0</v>
      </c>
      <c r="F561" s="326">
        <f>(F542+F544+F546+F549+F552+F555+F558)*'ECOMMERCE Formulas'!$L$6</f>
        <v>0</v>
      </c>
      <c r="G561" s="326">
        <f>(G542+G544+G546+G549+G552+G555+G558)*'ECOMMERCE Formulas'!$L$6</f>
        <v>0</v>
      </c>
      <c r="H561" s="326">
        <f>(H542+H544+H546+H549+H552+H555+H558)*'ECOMMERCE Formulas'!$L$6</f>
        <v>0</v>
      </c>
      <c r="I561" s="326">
        <f>(I542+I544+I546+I549+I552+I555+I558)*'ECOMMERCE Formulas'!$L$6</f>
        <v>0</v>
      </c>
      <c r="J561" s="326">
        <f>(J542+J544+J546+J549+J552+J555+J558)*'ECOMMERCE Formulas'!$L$6</f>
        <v>0</v>
      </c>
      <c r="K561" s="326">
        <f>(K542+K544+K546+K549+K552+K555+K558)*'ECOMMERCE Formulas'!$L$6</f>
        <v>0</v>
      </c>
      <c r="L561" s="326">
        <f>(L542+L544+L546+L549+L552+L555+L558)*'ECOMMERCE Formulas'!$L$6</f>
        <v>0</v>
      </c>
      <c r="M561" s="326">
        <f>(M542+M544+M546+M549+M552+M555+M558)*'ECOMMERCE Formulas'!$L$6</f>
        <v>0</v>
      </c>
      <c r="N561" s="326">
        <f>(N542+N544+N546+N549+N552+N555+N558)*'ECOMMERCE Formulas'!$L$6</f>
        <v>0</v>
      </c>
      <c r="O561" s="326">
        <f>(O542+O544+O546+O549+O552+O555+O558)*'ECOMMERCE Formulas'!$L$6</f>
        <v>0</v>
      </c>
      <c r="P561" s="326">
        <f>(P542+P544+P546+P549+P552+P555+P558)*'ECOMMERCE Formulas'!$L$6</f>
        <v>0</v>
      </c>
      <c r="Q561" s="326">
        <f>(Q542+Q544+Q546+Q549+Q552+Q555+Q558)*'ECOMMERCE Formulas'!$L$6</f>
        <v>0</v>
      </c>
      <c r="R561" s="326">
        <f>(R542+R544+R546+R549+R552+R555+R558)*'ECOMMERCE Formulas'!$L$6</f>
        <v>0</v>
      </c>
      <c r="S561" s="326">
        <f>(S542+S544+S546+S549+S552+S555+S558)*'ECOMMERCE Formulas'!$L$6</f>
        <v>0</v>
      </c>
      <c r="T561" s="326">
        <f>(T542+T544+T546+T549+T552+T555+T558)*'ECOMMERCE Formulas'!$L$6</f>
        <v>0</v>
      </c>
      <c r="U561" s="326">
        <f>(U542+U544+U546+U549+U552+U555+U558)*'ECOMMERCE Formulas'!$L$6</f>
        <v>0</v>
      </c>
      <c r="V561" s="326">
        <f>(V542+V544+V546+V549+V552+V555+V558)*'ECOMMERCE Formulas'!$L$6</f>
        <v>0</v>
      </c>
      <c r="W561" s="326">
        <f>(W542+W544+W546+W549+W552+W555+W558)*'ECOMMERCE Formulas'!$L$6</f>
        <v>0</v>
      </c>
      <c r="X561" s="326">
        <f>(X542+X544+X546+X549+X552+X555+X558)*'ECOMMERCE Formulas'!$L$6</f>
        <v>0</v>
      </c>
      <c r="Y561" s="326">
        <f>(Y542+Y544+Y546+Y549+Y552+Y555+Y558)*'ECOMMERCE Formulas'!$L$6</f>
        <v>0</v>
      </c>
      <c r="Z561" s="326">
        <f>(Z542+Z544+Z546+Z549+Z552+Z555+Z558)*'ECOMMERCE Formulas'!$L$6</f>
        <v>0</v>
      </c>
      <c r="AA561" s="326">
        <f>(AA542+AA544+AA546+AA549+AA552+AA555+AA558)*'ECOMMERCE Formulas'!$L$6</f>
        <v>0</v>
      </c>
      <c r="AB561" s="326">
        <f>(AB542+AB544+AB546+AB549+AB552+AB555+AB558)*'ECOMMERCE Formulas'!$L$6</f>
        <v>0</v>
      </c>
      <c r="AC561" s="326">
        <f>(AC542+AC544+AC546+AC549+AC552+AC555+AC558)*'ECOMMERCE Formulas'!$L$6</f>
        <v>0</v>
      </c>
      <c r="AD561" s="326">
        <f>(AD542+AD544+AD546+AD549+AD552+AD555+AD558)*'ECOMMERCE Formulas'!$L$6</f>
        <v>0</v>
      </c>
      <c r="AE561" s="326">
        <f>(AE542+AE544+AE546+AE549+AE552+AE555+AE558)*'ECOMMERCE Formulas'!$L$6</f>
        <v>0</v>
      </c>
      <c r="AF561" s="326">
        <f>(AF542+AF544+AF546+AF549+AF552+AF555+AF558)*'ECOMMERCE Formulas'!$L$6</f>
        <v>0</v>
      </c>
      <c r="AG561" s="1108">
        <f t="shared" si="206"/>
        <v>0</v>
      </c>
    </row>
    <row r="562" hidden="1" outlineLevel="1">
      <c r="A562" s="982" t="s">
        <v>978</v>
      </c>
      <c r="B562" s="326">
        <f>((B409+B410)*'ECOMMERCE Formulas'!$C$32)+((B411+B412)*'ECOMMERCE Formulas'!$C$33)+((B413+B414)*'ECOMMERCE Formulas'!$C$34)</f>
        <v>0</v>
      </c>
      <c r="C562" s="326">
        <f>((C409+C410)*'ECOMMERCE Formulas'!$C$32)+((C411+C412)*'ECOMMERCE Formulas'!$C$33)+((C413+C414)*'ECOMMERCE Formulas'!$C$34)</f>
        <v>0</v>
      </c>
      <c r="D562" s="326">
        <f>((D409+D410)*'ECOMMERCE Formulas'!$C$32)+((D411+D412)*'ECOMMERCE Formulas'!$C$33)+((D413+D414)*'ECOMMERCE Formulas'!$C$34)</f>
        <v>0</v>
      </c>
      <c r="E562" s="326">
        <f>((E409+E410)*'ECOMMERCE Formulas'!$C$32)+((E411+E412)*'ECOMMERCE Formulas'!$C$33)+((E413+E414)*'ECOMMERCE Formulas'!$C$34)</f>
        <v>0</v>
      </c>
      <c r="F562" s="326">
        <f>((F409+F410)*'ECOMMERCE Formulas'!$C$32)+((F411+F412)*'ECOMMERCE Formulas'!$C$33)+((F413+F414)*'ECOMMERCE Formulas'!$C$34)</f>
        <v>0</v>
      </c>
      <c r="G562" s="326">
        <f>((G409+G410)*'ECOMMERCE Formulas'!$C$32)+((G411+G412)*'ECOMMERCE Formulas'!$C$33)+((G413+G414)*'ECOMMERCE Formulas'!$C$34)</f>
        <v>0</v>
      </c>
      <c r="H562" s="326">
        <f>((H409+H410)*'ECOMMERCE Formulas'!$C$32)+((H411+H412)*'ECOMMERCE Formulas'!$C$33)+((H413+H414)*'ECOMMERCE Formulas'!$C$34)</f>
        <v>0</v>
      </c>
      <c r="I562" s="326">
        <f>((I409+I410)*'ECOMMERCE Formulas'!$C$32)+((I411+I412)*'ECOMMERCE Formulas'!$C$33)+((I413+I414)*'ECOMMERCE Formulas'!$C$34)</f>
        <v>0</v>
      </c>
      <c r="J562" s="326">
        <f>((J409+J410)*'ECOMMERCE Formulas'!$C$32)+((J411+J412)*'ECOMMERCE Formulas'!$C$33)+((J413+J414)*'ECOMMERCE Formulas'!$C$34)</f>
        <v>0</v>
      </c>
      <c r="K562" s="326">
        <f>((K409+K410)*'ECOMMERCE Formulas'!$C$32)+((K411+K412)*'ECOMMERCE Formulas'!$C$33)+((K413+K414)*'ECOMMERCE Formulas'!$C$34)</f>
        <v>0</v>
      </c>
      <c r="L562" s="326">
        <f>((L409+L410)*'ECOMMERCE Formulas'!$C$32)+((L411+L412)*'ECOMMERCE Formulas'!$C$33)+((L413+L414)*'ECOMMERCE Formulas'!$C$34)</f>
        <v>0</v>
      </c>
      <c r="M562" s="326">
        <f>((M409+M410)*'ECOMMERCE Formulas'!$C$32)+((M411+M412)*'ECOMMERCE Formulas'!$C$33)+((M413+M414)*'ECOMMERCE Formulas'!$C$34)</f>
        <v>0</v>
      </c>
      <c r="N562" s="326">
        <f>((N409+N410)*'ECOMMERCE Formulas'!$C$32)+((N411+N412)*'ECOMMERCE Formulas'!$C$33)+((N413+N414)*'ECOMMERCE Formulas'!$C$34)</f>
        <v>0</v>
      </c>
      <c r="O562" s="326">
        <f>((O409+O410)*'ECOMMERCE Formulas'!$C$32)+((O411+O412)*'ECOMMERCE Formulas'!$C$33)+((O413+O414)*'ECOMMERCE Formulas'!$C$34)</f>
        <v>0</v>
      </c>
      <c r="P562" s="326">
        <f>((P409+P410)*'ECOMMERCE Formulas'!$C$32)+((P411+P412)*'ECOMMERCE Formulas'!$C$33)+((P413+P414)*'ECOMMERCE Formulas'!$C$34)</f>
        <v>0</v>
      </c>
      <c r="Q562" s="326">
        <f>((Q409+Q410)*'ECOMMERCE Formulas'!$C$32)+((Q411+Q412)*'ECOMMERCE Formulas'!$C$33)+((Q413+Q414)*'ECOMMERCE Formulas'!$C$34)</f>
        <v>0</v>
      </c>
      <c r="R562" s="326">
        <f>((R409+R410)*'ECOMMERCE Formulas'!$C$32)+((R411+R412)*'ECOMMERCE Formulas'!$C$33)+((R413+R414)*'ECOMMERCE Formulas'!$C$34)</f>
        <v>0</v>
      </c>
      <c r="S562" s="326">
        <f>((S409+S410)*'ECOMMERCE Formulas'!$C$32)+((S411+S412)*'ECOMMERCE Formulas'!$C$33)+((S413+S414)*'ECOMMERCE Formulas'!$C$34)</f>
        <v>0</v>
      </c>
      <c r="T562" s="326">
        <f>((T409+T410)*'ECOMMERCE Formulas'!$C$32)+((T411+T412)*'ECOMMERCE Formulas'!$C$33)+((T413+T414)*'ECOMMERCE Formulas'!$C$34)</f>
        <v>0</v>
      </c>
      <c r="U562" s="326">
        <f>((U409+U410)*'ECOMMERCE Formulas'!$C$32)+((U411+U412)*'ECOMMERCE Formulas'!$C$33)+((U413+U414)*'ECOMMERCE Formulas'!$C$34)</f>
        <v>0</v>
      </c>
      <c r="V562" s="326">
        <f>((V409+V410)*'ECOMMERCE Formulas'!$C$32)+((V411+V412)*'ECOMMERCE Formulas'!$C$33)+((V413+V414)*'ECOMMERCE Formulas'!$C$34)</f>
        <v>0</v>
      </c>
      <c r="W562" s="326">
        <f>((W409+W410)*'ECOMMERCE Formulas'!$C$32)+((W411+W412)*'ECOMMERCE Formulas'!$C$33)+((W413+W414)*'ECOMMERCE Formulas'!$C$34)</f>
        <v>0</v>
      </c>
      <c r="X562" s="326">
        <f>((X409+X410)*'ECOMMERCE Formulas'!$C$32)+((X411+X412)*'ECOMMERCE Formulas'!$C$33)+((X413+X414)*'ECOMMERCE Formulas'!$C$34)</f>
        <v>0</v>
      </c>
      <c r="Y562" s="326">
        <f>((Y409+Y410)*'ECOMMERCE Formulas'!$C$32)+((Y411+Y412)*'ECOMMERCE Formulas'!$C$33)+((Y413+Y414)*'ECOMMERCE Formulas'!$C$34)</f>
        <v>0</v>
      </c>
      <c r="Z562" s="326">
        <f>((Z409+Z410)*'ECOMMERCE Formulas'!$C$32)+((Z411+Z412)*'ECOMMERCE Formulas'!$C$33)+((Z413+Z414)*'ECOMMERCE Formulas'!$C$34)</f>
        <v>0</v>
      </c>
      <c r="AA562" s="326">
        <f>((AA409+AA410)*'ECOMMERCE Formulas'!$C$32)+((AA411+AA412)*'ECOMMERCE Formulas'!$C$33)+((AA413+AA414)*'ECOMMERCE Formulas'!$C$34)</f>
        <v>0</v>
      </c>
      <c r="AB562" s="326">
        <f>((AB409+AB410)*'ECOMMERCE Formulas'!$C$32)+((AB411+AB412)*'ECOMMERCE Formulas'!$C$33)+((AB413+AB414)*'ECOMMERCE Formulas'!$C$34)</f>
        <v>0</v>
      </c>
      <c r="AC562" s="326">
        <f>((AC409+AC410)*'ECOMMERCE Formulas'!$C$32)+((AC411+AC412)*'ECOMMERCE Formulas'!$C$33)+((AC413+AC414)*'ECOMMERCE Formulas'!$C$34)</f>
        <v>0</v>
      </c>
      <c r="AD562" s="326">
        <f>((AD409+AD410)*'ECOMMERCE Formulas'!$C$32)+((AD411+AD412)*'ECOMMERCE Formulas'!$C$33)+((AD413+AD414)*'ECOMMERCE Formulas'!$C$34)</f>
        <v>0</v>
      </c>
      <c r="AE562" s="326">
        <f>((AE409+AE410)*'ECOMMERCE Formulas'!$C$32)+((AE411+AE412)*'ECOMMERCE Formulas'!$C$33)+((AE413+AE414)*'ECOMMERCE Formulas'!$C$34)</f>
        <v>0</v>
      </c>
      <c r="AF562" s="326">
        <f>((AF409+AF410)*'ECOMMERCE Formulas'!$C$32)+((AF411+AF412)*'ECOMMERCE Formulas'!$C$33)+((AF413+AF414)*'ECOMMERCE Formulas'!$C$34)</f>
        <v>0</v>
      </c>
      <c r="AG562" s="1108">
        <f t="shared" si="206"/>
        <v>0</v>
      </c>
    </row>
    <row r="563" hidden="1" outlineLevel="1">
      <c r="A563" s="982" t="s">
        <v>980</v>
      </c>
      <c r="B563" s="326">
        <f>((B409+B410)*'ECOMMERCE Formulas'!$C$17)+((B411+B412)*'ECOMMERCE Formulas'!$C$18)+((B413+B414)*'ECOMMERCE Formulas'!$C$19)</f>
        <v>0</v>
      </c>
      <c r="C563" s="326">
        <f>((C409+C410)*'ECOMMERCE Formulas'!$C$17)+((C411+C412)*'ECOMMERCE Formulas'!$C$18)+((C413+C414)*'ECOMMERCE Formulas'!$C$19)</f>
        <v>0</v>
      </c>
      <c r="D563" s="326">
        <f>((D409+D410)*'ECOMMERCE Formulas'!$C$17)+((D411+D412)*'ECOMMERCE Formulas'!$C$18)+((D413+D414)*'ECOMMERCE Formulas'!$C$19)</f>
        <v>0</v>
      </c>
      <c r="E563" s="326">
        <f>((E409+E410)*'ECOMMERCE Formulas'!$C$17)+((E411+E412)*'ECOMMERCE Formulas'!$C$18)+((E413+E414)*'ECOMMERCE Formulas'!$C$19)</f>
        <v>0</v>
      </c>
      <c r="F563" s="326">
        <f>((F409+F410)*'ECOMMERCE Formulas'!$C$17)+((F411+F412)*'ECOMMERCE Formulas'!$C$18)+((F413+F414)*'ECOMMERCE Formulas'!$C$19)</f>
        <v>0</v>
      </c>
      <c r="G563" s="326">
        <f>((G409+G410)*'ECOMMERCE Formulas'!$C$17)+((G411+G412)*'ECOMMERCE Formulas'!$C$18)+((G413+G414)*'ECOMMERCE Formulas'!$C$19)</f>
        <v>0</v>
      </c>
      <c r="H563" s="326">
        <f>((H409+H410)*'ECOMMERCE Formulas'!$C$17)+((H411+H412)*'ECOMMERCE Formulas'!$C$18)+((H413+H414)*'ECOMMERCE Formulas'!$C$19)</f>
        <v>0</v>
      </c>
      <c r="I563" s="326">
        <f>((I409+I410)*'ECOMMERCE Formulas'!$C$17)+((I411+I412)*'ECOMMERCE Formulas'!$C$18)+((I413+I414)*'ECOMMERCE Formulas'!$C$19)</f>
        <v>0</v>
      </c>
      <c r="J563" s="326">
        <f>((J409+J410)*'ECOMMERCE Formulas'!$C$17)+((J411+J412)*'ECOMMERCE Formulas'!$C$18)+((J413+J414)*'ECOMMERCE Formulas'!$C$19)</f>
        <v>0</v>
      </c>
      <c r="K563" s="326">
        <f>((K409+K410)*'ECOMMERCE Formulas'!$C$17)+((K411+K412)*'ECOMMERCE Formulas'!$C$18)+((K413+K414)*'ECOMMERCE Formulas'!$C$19)</f>
        <v>0</v>
      </c>
      <c r="L563" s="326">
        <f>((L409+L410)*'ECOMMERCE Formulas'!$C$17)+((L411+L412)*'ECOMMERCE Formulas'!$C$18)+((L413+L414)*'ECOMMERCE Formulas'!$C$19)</f>
        <v>0</v>
      </c>
      <c r="M563" s="326">
        <f>((M409+M410)*'ECOMMERCE Formulas'!$C$17)+((M411+M412)*'ECOMMERCE Formulas'!$C$18)+((M413+M414)*'ECOMMERCE Formulas'!$C$19)</f>
        <v>0</v>
      </c>
      <c r="N563" s="326">
        <f>((N409+N410)*'ECOMMERCE Formulas'!$C$17)+((N411+N412)*'ECOMMERCE Formulas'!$C$18)+((N413+N414)*'ECOMMERCE Formulas'!$C$19)</f>
        <v>0</v>
      </c>
      <c r="O563" s="326">
        <f>((O409+O410)*'ECOMMERCE Formulas'!$C$17)+((O411+O412)*'ECOMMERCE Formulas'!$C$18)+((O413+O414)*'ECOMMERCE Formulas'!$C$19)</f>
        <v>0</v>
      </c>
      <c r="P563" s="326">
        <f>((P409+P410)*'ECOMMERCE Formulas'!$C$17)+((P411+P412)*'ECOMMERCE Formulas'!$C$18)+((P413+P414)*'ECOMMERCE Formulas'!$C$19)</f>
        <v>0</v>
      </c>
      <c r="Q563" s="326">
        <f>((Q409+Q410)*'ECOMMERCE Formulas'!$C$17)+((Q411+Q412)*'ECOMMERCE Formulas'!$C$18)+((Q413+Q414)*'ECOMMERCE Formulas'!$C$19)</f>
        <v>0</v>
      </c>
      <c r="R563" s="326">
        <f>((R409+R410)*'ECOMMERCE Formulas'!$C$17)+((R411+R412)*'ECOMMERCE Formulas'!$C$18)+((R413+R414)*'ECOMMERCE Formulas'!$C$19)</f>
        <v>0</v>
      </c>
      <c r="S563" s="326">
        <f>((S409+S410)*'ECOMMERCE Formulas'!$C$17)+((S411+S412)*'ECOMMERCE Formulas'!$C$18)+((S413+S414)*'ECOMMERCE Formulas'!$C$19)</f>
        <v>0</v>
      </c>
      <c r="T563" s="326">
        <f>((T409+T410)*'ECOMMERCE Formulas'!$C$17)+((T411+T412)*'ECOMMERCE Formulas'!$C$18)+((T413+T414)*'ECOMMERCE Formulas'!$C$19)</f>
        <v>0</v>
      </c>
      <c r="U563" s="326">
        <f>((U409+U410)*'ECOMMERCE Formulas'!$C$17)+((U411+U412)*'ECOMMERCE Formulas'!$C$18)+((U413+U414)*'ECOMMERCE Formulas'!$C$19)</f>
        <v>0</v>
      </c>
      <c r="V563" s="326">
        <f>((V409+V410)*'ECOMMERCE Formulas'!$C$17)+((V411+V412)*'ECOMMERCE Formulas'!$C$18)+((V413+V414)*'ECOMMERCE Formulas'!$C$19)</f>
        <v>0</v>
      </c>
      <c r="W563" s="326">
        <f>((W409+W410)*'ECOMMERCE Formulas'!$C$17)+((W411+W412)*'ECOMMERCE Formulas'!$C$18)+((W413+W414)*'ECOMMERCE Formulas'!$C$19)</f>
        <v>0</v>
      </c>
      <c r="X563" s="326">
        <f>((X409+X410)*'ECOMMERCE Formulas'!$C$17)+((X411+X412)*'ECOMMERCE Formulas'!$C$18)+((X413+X414)*'ECOMMERCE Formulas'!$C$19)</f>
        <v>0</v>
      </c>
      <c r="Y563" s="326">
        <f>((Y409+Y410)*'ECOMMERCE Formulas'!$C$17)+((Y411+Y412)*'ECOMMERCE Formulas'!$C$18)+((Y413+Y414)*'ECOMMERCE Formulas'!$C$19)</f>
        <v>0</v>
      </c>
      <c r="Z563" s="326">
        <f>((Z409+Z410)*'ECOMMERCE Formulas'!$C$17)+((Z411+Z412)*'ECOMMERCE Formulas'!$C$18)+((Z413+Z414)*'ECOMMERCE Formulas'!$C$19)</f>
        <v>0</v>
      </c>
      <c r="AA563" s="326">
        <f>((AA409+AA410)*'ECOMMERCE Formulas'!$C$17)+((AA411+AA412)*'ECOMMERCE Formulas'!$C$18)+((AA413+AA414)*'ECOMMERCE Formulas'!$C$19)</f>
        <v>0</v>
      </c>
      <c r="AB563" s="326">
        <f>((AB409+AB410)*'ECOMMERCE Formulas'!$C$17)+((AB411+AB412)*'ECOMMERCE Formulas'!$C$18)+((AB413+AB414)*'ECOMMERCE Formulas'!$C$19)</f>
        <v>0</v>
      </c>
      <c r="AC563" s="326">
        <f>((AC409+AC410)*'ECOMMERCE Formulas'!$C$17)+((AC411+AC412)*'ECOMMERCE Formulas'!$C$18)+((AC413+AC414)*'ECOMMERCE Formulas'!$C$19)</f>
        <v>0</v>
      </c>
      <c r="AD563" s="326">
        <f>((AD409+AD410)*'ECOMMERCE Formulas'!$C$17)+((AD411+AD412)*'ECOMMERCE Formulas'!$C$18)+((AD413+AD414)*'ECOMMERCE Formulas'!$C$19)</f>
        <v>0</v>
      </c>
      <c r="AE563" s="326">
        <f>((AE409+AE410)*'ECOMMERCE Formulas'!$C$17)+((AE411+AE412)*'ECOMMERCE Formulas'!$C$18)+((AE413+AE414)*'ECOMMERCE Formulas'!$C$19)</f>
        <v>0</v>
      </c>
      <c r="AF563" s="326">
        <f>((AF409+AF410)*'ECOMMERCE Formulas'!$C$17)+((AF411+AF412)*'ECOMMERCE Formulas'!$C$18)+((AF413+AF414)*'ECOMMERCE Formulas'!$C$19)</f>
        <v>0</v>
      </c>
      <c r="AG563" s="1108">
        <f t="shared" si="206"/>
        <v>0</v>
      </c>
    </row>
    <row r="564" hidden="1" outlineLevel="1">
      <c r="A564" s="982" t="s">
        <v>982</v>
      </c>
      <c r="B564" s="326">
        <f>(B423*'ECOMMERCE Formulas'!$D$32)+(B430*'ECOMMERCE Formulas'!$D$33)+(B437*'ECOMMERCE Formulas'!$D$34)</f>
        <v>0</v>
      </c>
      <c r="C564" s="326">
        <f>(C423*'ECOMMERCE Formulas'!$D$32)+(C430*'ECOMMERCE Formulas'!$D$33)+(C437*'ECOMMERCE Formulas'!$D$34)</f>
        <v>0</v>
      </c>
      <c r="D564" s="326">
        <f>(D423*'ECOMMERCE Formulas'!$D$32)+(D430*'ECOMMERCE Formulas'!$D$33)+(D437*'ECOMMERCE Formulas'!$D$34)</f>
        <v>0</v>
      </c>
      <c r="E564" s="326">
        <f>(E423*'ECOMMERCE Formulas'!$D$32)+(E430*'ECOMMERCE Formulas'!$D$33)+(E437*'ECOMMERCE Formulas'!$D$34)</f>
        <v>0</v>
      </c>
      <c r="F564" s="326">
        <f>(F423*'ECOMMERCE Formulas'!$D$32)+(F430*'ECOMMERCE Formulas'!$D$33)+(F437*'ECOMMERCE Formulas'!$D$34)</f>
        <v>0</v>
      </c>
      <c r="G564" s="326">
        <f>(G423*'ECOMMERCE Formulas'!$D$32)+(G430*'ECOMMERCE Formulas'!$D$33)+(G437*'ECOMMERCE Formulas'!$D$34)</f>
        <v>0</v>
      </c>
      <c r="H564" s="326">
        <f>(H423*'ECOMMERCE Formulas'!$D$32)+(H430*'ECOMMERCE Formulas'!$D$33)+(H437*'ECOMMERCE Formulas'!$D$34)</f>
        <v>0</v>
      </c>
      <c r="I564" s="326">
        <f>(I423*'ECOMMERCE Formulas'!$D$32)+(I430*'ECOMMERCE Formulas'!$D$33)+(I437*'ECOMMERCE Formulas'!$D$34)</f>
        <v>0</v>
      </c>
      <c r="J564" s="326">
        <f>(J423*'ECOMMERCE Formulas'!$D$32)+(J430*'ECOMMERCE Formulas'!$D$33)+(J437*'ECOMMERCE Formulas'!$D$34)</f>
        <v>0</v>
      </c>
      <c r="K564" s="326">
        <f>(K423*'ECOMMERCE Formulas'!$D$32)+(K430*'ECOMMERCE Formulas'!$D$33)+(K437*'ECOMMERCE Formulas'!$D$34)</f>
        <v>0</v>
      </c>
      <c r="L564" s="326">
        <f>(L423*'ECOMMERCE Formulas'!$D$32)+(L430*'ECOMMERCE Formulas'!$D$33)+(L437*'ECOMMERCE Formulas'!$D$34)</f>
        <v>0</v>
      </c>
      <c r="M564" s="326">
        <f>(M423*'ECOMMERCE Formulas'!$D$32)+(M430*'ECOMMERCE Formulas'!$D$33)+(M437*'ECOMMERCE Formulas'!$D$34)</f>
        <v>0</v>
      </c>
      <c r="N564" s="326">
        <f>(N423*'ECOMMERCE Formulas'!$D$32)+(N430*'ECOMMERCE Formulas'!$D$33)+(N437*'ECOMMERCE Formulas'!$D$34)</f>
        <v>0</v>
      </c>
      <c r="O564" s="326">
        <f>(O423*'ECOMMERCE Formulas'!$D$32)+(O430*'ECOMMERCE Formulas'!$D$33)+(O437*'ECOMMERCE Formulas'!$D$34)</f>
        <v>0</v>
      </c>
      <c r="P564" s="326">
        <f>(P423*'ECOMMERCE Formulas'!$D$32)+(P430*'ECOMMERCE Formulas'!$D$33)+(P437*'ECOMMERCE Formulas'!$D$34)</f>
        <v>0</v>
      </c>
      <c r="Q564" s="326">
        <f>(Q423*'ECOMMERCE Formulas'!$D$32)+(Q430*'ECOMMERCE Formulas'!$D$33)+(Q437*'ECOMMERCE Formulas'!$D$34)</f>
        <v>0</v>
      </c>
      <c r="R564" s="326">
        <f>(R423*'ECOMMERCE Formulas'!$D$32)+(R430*'ECOMMERCE Formulas'!$D$33)+(R437*'ECOMMERCE Formulas'!$D$34)</f>
        <v>0</v>
      </c>
      <c r="S564" s="326">
        <f>(S423*'ECOMMERCE Formulas'!$D$32)+(S430*'ECOMMERCE Formulas'!$D$33)+(S437*'ECOMMERCE Formulas'!$D$34)</f>
        <v>0</v>
      </c>
      <c r="T564" s="326">
        <f>(T423*'ECOMMERCE Formulas'!$D$32)+(T430*'ECOMMERCE Formulas'!$D$33)+(T437*'ECOMMERCE Formulas'!$D$34)</f>
        <v>0</v>
      </c>
      <c r="U564" s="326">
        <f>(U423*'ECOMMERCE Formulas'!$D$32)+(U430*'ECOMMERCE Formulas'!$D$33)+(U437*'ECOMMERCE Formulas'!$D$34)</f>
        <v>0</v>
      </c>
      <c r="V564" s="326">
        <f>(V423*'ECOMMERCE Formulas'!$D$32)+(V430*'ECOMMERCE Formulas'!$D$33)+(V437*'ECOMMERCE Formulas'!$D$34)</f>
        <v>0</v>
      </c>
      <c r="W564" s="326">
        <f>(W423*'ECOMMERCE Formulas'!$D$32)+(W430*'ECOMMERCE Formulas'!$D$33)+(W437*'ECOMMERCE Formulas'!$D$34)</f>
        <v>0</v>
      </c>
      <c r="X564" s="326">
        <f>(X423*'ECOMMERCE Formulas'!$D$32)+(X430*'ECOMMERCE Formulas'!$D$33)+(X437*'ECOMMERCE Formulas'!$D$34)</f>
        <v>0</v>
      </c>
      <c r="Y564" s="326">
        <f>(Y423*'ECOMMERCE Formulas'!$D$32)+(Y430*'ECOMMERCE Formulas'!$D$33)+(Y437*'ECOMMERCE Formulas'!$D$34)</f>
        <v>0</v>
      </c>
      <c r="Z564" s="326">
        <f>(Z423*'ECOMMERCE Formulas'!$D$32)+(Z430*'ECOMMERCE Formulas'!$D$33)+(Z437*'ECOMMERCE Formulas'!$D$34)</f>
        <v>0</v>
      </c>
      <c r="AA564" s="326">
        <f>(AA423*'ECOMMERCE Formulas'!$D$32)+(AA430*'ECOMMERCE Formulas'!$D$33)+(AA437*'ECOMMERCE Formulas'!$D$34)</f>
        <v>0</v>
      </c>
      <c r="AB564" s="326">
        <f>(AB423*'ECOMMERCE Formulas'!$D$32)+(AB430*'ECOMMERCE Formulas'!$D$33)+(AB437*'ECOMMERCE Formulas'!$D$34)</f>
        <v>0</v>
      </c>
      <c r="AC564" s="326">
        <f>(AC423*'ECOMMERCE Formulas'!$D$32)+(AC430*'ECOMMERCE Formulas'!$D$33)+(AC437*'ECOMMERCE Formulas'!$D$34)</f>
        <v>0</v>
      </c>
      <c r="AD564" s="326">
        <f>(AD423*'ECOMMERCE Formulas'!$D$32)+(AD430*'ECOMMERCE Formulas'!$D$33)+(AD437*'ECOMMERCE Formulas'!$D$34)</f>
        <v>0</v>
      </c>
      <c r="AE564" s="326">
        <f>(AE423*'ECOMMERCE Formulas'!$D$32)+(AE430*'ECOMMERCE Formulas'!$D$33)+(AE437*'ECOMMERCE Formulas'!$D$34)</f>
        <v>0</v>
      </c>
      <c r="AF564" s="326">
        <f>(AF423*'ECOMMERCE Formulas'!$D$32)+(AF430*'ECOMMERCE Formulas'!$D$33)+(AF437*'ECOMMERCE Formulas'!$D$34)</f>
        <v>0</v>
      </c>
      <c r="AG564" s="1108">
        <f t="shared" si="206"/>
        <v>0</v>
      </c>
    </row>
    <row r="565" hidden="1" outlineLevel="1">
      <c r="A565" s="982" t="s">
        <v>985</v>
      </c>
      <c r="B565" s="326">
        <f>(B423*'ECOMMERCE Formulas'!$D$17)+(B430*'ECOMMERCE Formulas'!$D$18)+(B437*'ECOMMERCE Formulas'!$D$19)</f>
        <v>0</v>
      </c>
      <c r="C565" s="326">
        <f>(C423*'ECOMMERCE Formulas'!$D$17)+(C430*'ECOMMERCE Formulas'!$D$18)+(C437*'ECOMMERCE Formulas'!$D$19)</f>
        <v>0</v>
      </c>
      <c r="D565" s="326">
        <f>(D423*'ECOMMERCE Formulas'!$D$17)+(D430*'ECOMMERCE Formulas'!$D$18)+(D437*'ECOMMERCE Formulas'!$D$19)</f>
        <v>0</v>
      </c>
      <c r="E565" s="326">
        <f>(E423*'ECOMMERCE Formulas'!$D$17)+(E430*'ECOMMERCE Formulas'!$D$18)+(E437*'ECOMMERCE Formulas'!$D$19)</f>
        <v>0</v>
      </c>
      <c r="F565" s="326">
        <f>(F423*'ECOMMERCE Formulas'!$D$17)+(F430*'ECOMMERCE Formulas'!$D$18)+(F437*'ECOMMERCE Formulas'!$D$19)</f>
        <v>0</v>
      </c>
      <c r="G565" s="326">
        <f>(G423*'ECOMMERCE Formulas'!$D$17)+(G430*'ECOMMERCE Formulas'!$D$18)+(G437*'ECOMMERCE Formulas'!$D$19)</f>
        <v>0</v>
      </c>
      <c r="H565" s="326">
        <f>(H423*'ECOMMERCE Formulas'!$D$17)+(H430*'ECOMMERCE Formulas'!$D$18)+(H437*'ECOMMERCE Formulas'!$D$19)</f>
        <v>0</v>
      </c>
      <c r="I565" s="326">
        <f>(I423*'ECOMMERCE Formulas'!$D$17)+(I430*'ECOMMERCE Formulas'!$D$18)+(I437*'ECOMMERCE Formulas'!$D$19)</f>
        <v>0</v>
      </c>
      <c r="J565" s="326">
        <f>(J423*'ECOMMERCE Formulas'!$D$17)+(J430*'ECOMMERCE Formulas'!$D$18)+(J437*'ECOMMERCE Formulas'!$D$19)</f>
        <v>0</v>
      </c>
      <c r="K565" s="326">
        <f>(K423*'ECOMMERCE Formulas'!$D$17)+(K430*'ECOMMERCE Formulas'!$D$18)+(K437*'ECOMMERCE Formulas'!$D$19)</f>
        <v>0</v>
      </c>
      <c r="L565" s="326">
        <f>(L423*'ECOMMERCE Formulas'!$D$17)+(L430*'ECOMMERCE Formulas'!$D$18)+(L437*'ECOMMERCE Formulas'!$D$19)</f>
        <v>0</v>
      </c>
      <c r="M565" s="326">
        <f>(M423*'ECOMMERCE Formulas'!$D$17)+(M430*'ECOMMERCE Formulas'!$D$18)+(M437*'ECOMMERCE Formulas'!$D$19)</f>
        <v>0</v>
      </c>
      <c r="N565" s="326">
        <f>(N423*'ECOMMERCE Formulas'!$D$17)+(N430*'ECOMMERCE Formulas'!$D$18)+(N437*'ECOMMERCE Formulas'!$D$19)</f>
        <v>0</v>
      </c>
      <c r="O565" s="326">
        <f>(O423*'ECOMMERCE Formulas'!$D$17)+(O430*'ECOMMERCE Formulas'!$D$18)+(O437*'ECOMMERCE Formulas'!$D$19)</f>
        <v>0</v>
      </c>
      <c r="P565" s="326">
        <f>(P423*'ECOMMERCE Formulas'!$D$17)+(P430*'ECOMMERCE Formulas'!$D$18)+(P437*'ECOMMERCE Formulas'!$D$19)</f>
        <v>0</v>
      </c>
      <c r="Q565" s="326">
        <f>(Q423*'ECOMMERCE Formulas'!$D$17)+(Q430*'ECOMMERCE Formulas'!$D$18)+(Q437*'ECOMMERCE Formulas'!$D$19)</f>
        <v>0</v>
      </c>
      <c r="R565" s="326">
        <f>(R423*'ECOMMERCE Formulas'!$D$17)+(R430*'ECOMMERCE Formulas'!$D$18)+(R437*'ECOMMERCE Formulas'!$D$19)</f>
        <v>0</v>
      </c>
      <c r="S565" s="326">
        <f>(S423*'ECOMMERCE Formulas'!$D$17)+(S430*'ECOMMERCE Formulas'!$D$18)+(S437*'ECOMMERCE Formulas'!$D$19)</f>
        <v>0</v>
      </c>
      <c r="T565" s="326">
        <f>(T423*'ECOMMERCE Formulas'!$D$17)+(T430*'ECOMMERCE Formulas'!$D$18)+(T437*'ECOMMERCE Formulas'!$D$19)</f>
        <v>0</v>
      </c>
      <c r="U565" s="326">
        <f>(U423*'ECOMMERCE Formulas'!$D$17)+(U430*'ECOMMERCE Formulas'!$D$18)+(U437*'ECOMMERCE Formulas'!$D$19)</f>
        <v>0</v>
      </c>
      <c r="V565" s="326">
        <f>(V423*'ECOMMERCE Formulas'!$D$17)+(V430*'ECOMMERCE Formulas'!$D$18)+(V437*'ECOMMERCE Formulas'!$D$19)</f>
        <v>0</v>
      </c>
      <c r="W565" s="326">
        <f>(W423*'ECOMMERCE Formulas'!$D$17)+(W430*'ECOMMERCE Formulas'!$D$18)+(W437*'ECOMMERCE Formulas'!$D$19)</f>
        <v>0</v>
      </c>
      <c r="X565" s="326">
        <f>(X423*'ECOMMERCE Formulas'!$D$17)+(X430*'ECOMMERCE Formulas'!$D$18)+(X437*'ECOMMERCE Formulas'!$D$19)</f>
        <v>0</v>
      </c>
      <c r="Y565" s="326">
        <f>(Y423*'ECOMMERCE Formulas'!$D$17)+(Y430*'ECOMMERCE Formulas'!$D$18)+(Y437*'ECOMMERCE Formulas'!$D$19)</f>
        <v>0</v>
      </c>
      <c r="Z565" s="326">
        <f>(Z423*'ECOMMERCE Formulas'!$D$17)+(Z430*'ECOMMERCE Formulas'!$D$18)+(Z437*'ECOMMERCE Formulas'!$D$19)</f>
        <v>0</v>
      </c>
      <c r="AA565" s="326">
        <f>(AA423*'ECOMMERCE Formulas'!$D$17)+(AA430*'ECOMMERCE Formulas'!$D$18)+(AA437*'ECOMMERCE Formulas'!$D$19)</f>
        <v>0</v>
      </c>
      <c r="AB565" s="326">
        <f>(AB423*'ECOMMERCE Formulas'!$D$17)+(AB430*'ECOMMERCE Formulas'!$D$18)+(AB437*'ECOMMERCE Formulas'!$D$19)</f>
        <v>0</v>
      </c>
      <c r="AC565" s="326">
        <f>(AC423*'ECOMMERCE Formulas'!$D$17)+(AC430*'ECOMMERCE Formulas'!$D$18)+(AC437*'ECOMMERCE Formulas'!$D$19)</f>
        <v>0</v>
      </c>
      <c r="AD565" s="326">
        <f>(AD423*'ECOMMERCE Formulas'!$D$17)+(AD430*'ECOMMERCE Formulas'!$D$18)+(AD437*'ECOMMERCE Formulas'!$D$19)</f>
        <v>0</v>
      </c>
      <c r="AE565" s="326">
        <f>(AE423*'ECOMMERCE Formulas'!$D$17)+(AE430*'ECOMMERCE Formulas'!$D$18)+(AE437*'ECOMMERCE Formulas'!$D$19)</f>
        <v>0</v>
      </c>
      <c r="AF565" s="326">
        <f>(AF423*'ECOMMERCE Formulas'!$D$17)+(AF430*'ECOMMERCE Formulas'!$D$18)+(AF437*'ECOMMERCE Formulas'!$D$19)</f>
        <v>0</v>
      </c>
      <c r="AG565" s="1108">
        <f t="shared" si="206"/>
        <v>0</v>
      </c>
    </row>
    <row r="566" hidden="1" outlineLevel="1">
      <c r="A566" s="1104" t="s">
        <v>999</v>
      </c>
      <c r="B566" s="327"/>
      <c r="C566" s="327"/>
      <c r="D566" s="327"/>
      <c r="E566" s="327"/>
      <c r="F566" s="327"/>
      <c r="G566" s="327"/>
      <c r="H566" s="327"/>
      <c r="I566" s="327"/>
      <c r="J566" s="327"/>
      <c r="K566" s="327"/>
      <c r="L566" s="327"/>
      <c r="M566" s="327"/>
      <c r="N566" s="327"/>
      <c r="O566" s="327"/>
      <c r="P566" s="327"/>
      <c r="Q566" s="327"/>
      <c r="R566" s="327"/>
      <c r="S566" s="327"/>
      <c r="T566" s="327"/>
      <c r="U566" s="327"/>
      <c r="V566" s="327"/>
      <c r="W566" s="327"/>
      <c r="X566" s="327"/>
      <c r="Y566" s="327"/>
      <c r="Z566" s="327"/>
      <c r="AA566" s="327"/>
      <c r="AB566" s="327"/>
      <c r="AC566" s="327"/>
      <c r="AD566" s="327"/>
      <c r="AE566" s="327"/>
      <c r="AF566" s="327"/>
      <c r="AG566" s="1108"/>
    </row>
    <row r="567" hidden="1" outlineLevel="1">
      <c r="A567" s="1104" t="s">
        <v>1001</v>
      </c>
      <c r="B567" s="326">
        <f>(B415+B416)*'ECOMMERCE Formulas'!$C$22</f>
        <v>0</v>
      </c>
      <c r="C567" s="326">
        <f>(C415+C416)*'ECOMMERCE Formulas'!$C$22</f>
        <v>0</v>
      </c>
      <c r="D567" s="326">
        <f>(D415+D416)*'ECOMMERCE Formulas'!$C$22</f>
        <v>0</v>
      </c>
      <c r="E567" s="326">
        <f>(E415+E416)*'ECOMMERCE Formulas'!$C$22</f>
        <v>0</v>
      </c>
      <c r="F567" s="326">
        <f>(F415+F416)*'ECOMMERCE Formulas'!$C$22</f>
        <v>0</v>
      </c>
      <c r="G567" s="326">
        <f>(G415+G416)*'ECOMMERCE Formulas'!$C$22</f>
        <v>0</v>
      </c>
      <c r="H567" s="326">
        <f>(H415+H416)*'ECOMMERCE Formulas'!$C$22</f>
        <v>0</v>
      </c>
      <c r="I567" s="326">
        <f>(I415+I416)*'ECOMMERCE Formulas'!$C$22</f>
        <v>0</v>
      </c>
      <c r="J567" s="326">
        <f>(J415+J416)*'ECOMMERCE Formulas'!$C$22</f>
        <v>0</v>
      </c>
      <c r="K567" s="326">
        <f>(K415+K416)*'ECOMMERCE Formulas'!$C$22</f>
        <v>0</v>
      </c>
      <c r="L567" s="326">
        <f>(L415+L416)*'ECOMMERCE Formulas'!$C$22</f>
        <v>0</v>
      </c>
      <c r="M567" s="326">
        <f>(M415+M416)*'ECOMMERCE Formulas'!$C$22</f>
        <v>0</v>
      </c>
      <c r="N567" s="326">
        <f>(N415+N416)*'ECOMMERCE Formulas'!$C$22</f>
        <v>0</v>
      </c>
      <c r="O567" s="326">
        <f>(O415+O416)*'ECOMMERCE Formulas'!$C$22</f>
        <v>0</v>
      </c>
      <c r="P567" s="326">
        <f>(P415+P416)*'ECOMMERCE Formulas'!$C$22</f>
        <v>0</v>
      </c>
      <c r="Q567" s="326">
        <f>(Q415+Q416)*'ECOMMERCE Formulas'!$C$22</f>
        <v>0</v>
      </c>
      <c r="R567" s="326">
        <f>(R415+R416)*'ECOMMERCE Formulas'!$C$22</f>
        <v>0</v>
      </c>
      <c r="S567" s="326">
        <f>(S415+S416)*'ECOMMERCE Formulas'!$C$22</f>
        <v>0</v>
      </c>
      <c r="T567" s="326">
        <f>(T415+T416)*'ECOMMERCE Formulas'!$C$22</f>
        <v>0</v>
      </c>
      <c r="U567" s="326">
        <f>(U415+U416)*'ECOMMERCE Formulas'!$C$22</f>
        <v>0</v>
      </c>
      <c r="V567" s="326">
        <f>(V415+V416)*'ECOMMERCE Formulas'!$C$22</f>
        <v>0</v>
      </c>
      <c r="W567" s="326">
        <f>(W415+W416)*'ECOMMERCE Formulas'!$C$22</f>
        <v>0</v>
      </c>
      <c r="X567" s="326">
        <f>(X415+X416)*'ECOMMERCE Formulas'!$C$22</f>
        <v>0</v>
      </c>
      <c r="Y567" s="326">
        <f>(Y415+Y416)*'ECOMMERCE Formulas'!$C$22</f>
        <v>0</v>
      </c>
      <c r="Z567" s="326">
        <f>(Z415+Z416)*'ECOMMERCE Formulas'!$C$22</f>
        <v>0</v>
      </c>
      <c r="AA567" s="326">
        <f>(AA415+AA416)*'ECOMMERCE Formulas'!$C$22</f>
        <v>0</v>
      </c>
      <c r="AB567" s="326">
        <f>(AB415+AB416)*'ECOMMERCE Formulas'!$C$22</f>
        <v>0</v>
      </c>
      <c r="AC567" s="326">
        <f>(AC415+AC416)*'ECOMMERCE Formulas'!$C$22</f>
        <v>0</v>
      </c>
      <c r="AD567" s="326">
        <f>(AD415+AD416)*'ECOMMERCE Formulas'!$C$22</f>
        <v>0</v>
      </c>
      <c r="AE567" s="326">
        <f>(AE415+AE416)*'ECOMMERCE Formulas'!$C$22</f>
        <v>0</v>
      </c>
      <c r="AF567" s="326">
        <f>(AF415+AF416)*'ECOMMERCE Formulas'!$C$22</f>
        <v>0</v>
      </c>
      <c r="AG567" s="1108"/>
    </row>
    <row r="568" hidden="1" outlineLevel="1">
      <c r="A568" s="1104" t="s">
        <v>1003</v>
      </c>
      <c r="B568" s="326">
        <f>(B415+B416)*'ECOMMERCE Formulas'!$C$23</f>
        <v>0</v>
      </c>
      <c r="C568" s="326">
        <f>(C415+C416)*'ECOMMERCE Formulas'!$C$23</f>
        <v>0</v>
      </c>
      <c r="D568" s="326">
        <f>(D415+D416)*'ECOMMERCE Formulas'!$C$23</f>
        <v>0</v>
      </c>
      <c r="E568" s="326">
        <f>(E415+E416)*'ECOMMERCE Formulas'!$C$23</f>
        <v>0</v>
      </c>
      <c r="F568" s="326">
        <f>(F415+F416)*'ECOMMERCE Formulas'!$C$23</f>
        <v>0</v>
      </c>
      <c r="G568" s="326">
        <f>(G415+G416)*'ECOMMERCE Formulas'!$C$23</f>
        <v>0</v>
      </c>
      <c r="H568" s="326">
        <f>(H415+H416)*'ECOMMERCE Formulas'!$C$23</f>
        <v>0</v>
      </c>
      <c r="I568" s="326">
        <f>(I415+I416)*'ECOMMERCE Formulas'!$C$23</f>
        <v>0</v>
      </c>
      <c r="J568" s="326">
        <f>(J415+J416)*'ECOMMERCE Formulas'!$C$23</f>
        <v>0</v>
      </c>
      <c r="K568" s="326">
        <f>(K415+K416)*'ECOMMERCE Formulas'!$C$23</f>
        <v>0</v>
      </c>
      <c r="L568" s="326">
        <f>(L415+L416)*'ECOMMERCE Formulas'!$C$23</f>
        <v>0</v>
      </c>
      <c r="M568" s="326">
        <f>(M415+M416)*'ECOMMERCE Formulas'!$C$23</f>
        <v>0</v>
      </c>
      <c r="N568" s="326">
        <f>(N415+N416)*'ECOMMERCE Formulas'!$C$23</f>
        <v>0</v>
      </c>
      <c r="O568" s="326">
        <f>(O415+O416)*'ECOMMERCE Formulas'!$C$23</f>
        <v>0</v>
      </c>
      <c r="P568" s="326">
        <f>(P415+P416)*'ECOMMERCE Formulas'!$C$23</f>
        <v>0</v>
      </c>
      <c r="Q568" s="326">
        <f>(Q415+Q416)*'ECOMMERCE Formulas'!$C$23</f>
        <v>0</v>
      </c>
      <c r="R568" s="326">
        <f>(R415+R416)*'ECOMMERCE Formulas'!$C$23</f>
        <v>0</v>
      </c>
      <c r="S568" s="326">
        <f>(S415+S416)*'ECOMMERCE Formulas'!$C$23</f>
        <v>0</v>
      </c>
      <c r="T568" s="326">
        <f>(T415+T416)*'ECOMMERCE Formulas'!$C$23</f>
        <v>0</v>
      </c>
      <c r="U568" s="326">
        <f>(U415+U416)*'ECOMMERCE Formulas'!$C$23</f>
        <v>0</v>
      </c>
      <c r="V568" s="326">
        <f>(V415+V416)*'ECOMMERCE Formulas'!$C$23</f>
        <v>0</v>
      </c>
      <c r="W568" s="326">
        <f>(W415+W416)*'ECOMMERCE Formulas'!$C$23</f>
        <v>0</v>
      </c>
      <c r="X568" s="326">
        <f>(X415+X416)*'ECOMMERCE Formulas'!$C$23</f>
        <v>0</v>
      </c>
      <c r="Y568" s="326">
        <f>(Y415+Y416)*'ECOMMERCE Formulas'!$C$23</f>
        <v>0</v>
      </c>
      <c r="Z568" s="326">
        <f>(Z415+Z416)*'ECOMMERCE Formulas'!$C$23</f>
        <v>0</v>
      </c>
      <c r="AA568" s="326">
        <f>(AA415+AA416)*'ECOMMERCE Formulas'!$C$23</f>
        <v>0</v>
      </c>
      <c r="AB568" s="326">
        <f>(AB415+AB416)*'ECOMMERCE Formulas'!$C$23</f>
        <v>0</v>
      </c>
      <c r="AC568" s="326">
        <f>(AC415+AC416)*'ECOMMERCE Formulas'!$C$23</f>
        <v>0</v>
      </c>
      <c r="AD568" s="326">
        <f>(AD415+AD416)*'ECOMMERCE Formulas'!$C$23</f>
        <v>0</v>
      </c>
      <c r="AE568" s="326">
        <f>(AE415+AE416)*'ECOMMERCE Formulas'!$C$23</f>
        <v>0</v>
      </c>
      <c r="AF568" s="326">
        <f>(AF415+AF416)*'ECOMMERCE Formulas'!$C$23</f>
        <v>0</v>
      </c>
      <c r="AG568" s="1108"/>
    </row>
    <row r="569" hidden="1" outlineLevel="1">
      <c r="A569" s="1104" t="s">
        <v>1005</v>
      </c>
      <c r="B569" s="326">
        <f>(B415+B416)*'ECOMMERCE Formulas'!$C$24</f>
        <v>0</v>
      </c>
      <c r="C569" s="326">
        <f>(C415+C416)*'ECOMMERCE Formulas'!$C$24</f>
        <v>0</v>
      </c>
      <c r="D569" s="326">
        <f>(D415+D416)*'ECOMMERCE Formulas'!$C$24</f>
        <v>0</v>
      </c>
      <c r="E569" s="326">
        <f>(E415+E416)*'ECOMMERCE Formulas'!$C$24</f>
        <v>0</v>
      </c>
      <c r="F569" s="326">
        <f>(F415+F416)*'ECOMMERCE Formulas'!$C$24</f>
        <v>0</v>
      </c>
      <c r="G569" s="326">
        <f>(G415+G416)*'ECOMMERCE Formulas'!$C$24</f>
        <v>0</v>
      </c>
      <c r="H569" s="326">
        <f>(H415+H416)*'ECOMMERCE Formulas'!$C$24</f>
        <v>0</v>
      </c>
      <c r="I569" s="326">
        <f>(I415+I416)*'ECOMMERCE Formulas'!$C$24</f>
        <v>0</v>
      </c>
      <c r="J569" s="326">
        <f>(J415+J416)*'ECOMMERCE Formulas'!$C$24</f>
        <v>0</v>
      </c>
      <c r="K569" s="326">
        <f>(K415+K416)*'ECOMMERCE Formulas'!$C$24</f>
        <v>0</v>
      </c>
      <c r="L569" s="326">
        <f>(L415+L416)*'ECOMMERCE Formulas'!$C$24</f>
        <v>0</v>
      </c>
      <c r="M569" s="326">
        <f>(M415+M416)*'ECOMMERCE Formulas'!$C$24</f>
        <v>0</v>
      </c>
      <c r="N569" s="326">
        <f>(N415+N416)*'ECOMMERCE Formulas'!$C$24</f>
        <v>0</v>
      </c>
      <c r="O569" s="326">
        <f>(O415+O416)*'ECOMMERCE Formulas'!$C$24</f>
        <v>0</v>
      </c>
      <c r="P569" s="326">
        <f>(P415+P416)*'ECOMMERCE Formulas'!$C$24</f>
        <v>0</v>
      </c>
      <c r="Q569" s="326">
        <f>(Q415+Q416)*'ECOMMERCE Formulas'!$C$24</f>
        <v>0</v>
      </c>
      <c r="R569" s="326">
        <f>(R415+R416)*'ECOMMERCE Formulas'!$C$24</f>
        <v>0</v>
      </c>
      <c r="S569" s="326">
        <f>(S415+S416)*'ECOMMERCE Formulas'!$C$24</f>
        <v>0</v>
      </c>
      <c r="T569" s="326">
        <f>(T415+T416)*'ECOMMERCE Formulas'!$C$24</f>
        <v>0</v>
      </c>
      <c r="U569" s="326">
        <f>(U415+U416)*'ECOMMERCE Formulas'!$C$24</f>
        <v>0</v>
      </c>
      <c r="V569" s="326">
        <f>(V415+V416)*'ECOMMERCE Formulas'!$C$24</f>
        <v>0</v>
      </c>
      <c r="W569" s="326">
        <f>(W415+W416)*'ECOMMERCE Formulas'!$C$24</f>
        <v>0</v>
      </c>
      <c r="X569" s="326">
        <f>(X415+X416)*'ECOMMERCE Formulas'!$C$24</f>
        <v>0</v>
      </c>
      <c r="Y569" s="326">
        <f>(Y415+Y416)*'ECOMMERCE Formulas'!$C$24</f>
        <v>0</v>
      </c>
      <c r="Z569" s="326">
        <f>(Z415+Z416)*'ECOMMERCE Formulas'!$C$24</f>
        <v>0</v>
      </c>
      <c r="AA569" s="326">
        <f>(AA415+AA416)*'ECOMMERCE Formulas'!$C$24</f>
        <v>0</v>
      </c>
      <c r="AB569" s="326">
        <f>(AB415+AB416)*'ECOMMERCE Formulas'!$C$24</f>
        <v>0</v>
      </c>
      <c r="AC569" s="326">
        <f>(AC415+AC416)*'ECOMMERCE Formulas'!$C$24</f>
        <v>0</v>
      </c>
      <c r="AD569" s="326">
        <f>(AD415+AD416)*'ECOMMERCE Formulas'!$C$24</f>
        <v>0</v>
      </c>
      <c r="AE569" s="326">
        <f>(AE415+AE416)*'ECOMMERCE Formulas'!$C$24</f>
        <v>0</v>
      </c>
      <c r="AF569" s="326">
        <f>(AF415+AF416)*'ECOMMERCE Formulas'!$C$24</f>
        <v>0</v>
      </c>
      <c r="AG569" s="1108"/>
    </row>
    <row r="570" hidden="1" outlineLevel="1">
      <c r="A570" s="1104" t="s">
        <v>1006</v>
      </c>
      <c r="B570" s="326">
        <f>(B415+B416)*'ECOMMERCE Formulas'!$C$25</f>
        <v>0</v>
      </c>
      <c r="C570" s="326">
        <f>(C415+C416)*'ECOMMERCE Formulas'!$C$25</f>
        <v>0</v>
      </c>
      <c r="D570" s="326">
        <f>(D415+D416)*'ECOMMERCE Formulas'!$C$25</f>
        <v>0</v>
      </c>
      <c r="E570" s="326">
        <f>(E415+E416)*'ECOMMERCE Formulas'!$C$25</f>
        <v>0</v>
      </c>
      <c r="F570" s="326">
        <f>(F415+F416)*'ECOMMERCE Formulas'!$C$25</f>
        <v>0</v>
      </c>
      <c r="G570" s="326">
        <f>(G415+G416)*'ECOMMERCE Formulas'!$C$25</f>
        <v>0</v>
      </c>
      <c r="H570" s="326">
        <f>(H415+H416)*'ECOMMERCE Formulas'!$C$25</f>
        <v>0</v>
      </c>
      <c r="I570" s="326">
        <f>(I415+I416)*'ECOMMERCE Formulas'!$C$25</f>
        <v>0</v>
      </c>
      <c r="J570" s="326">
        <f>(J415+J416)*'ECOMMERCE Formulas'!$C$25</f>
        <v>0</v>
      </c>
      <c r="K570" s="326">
        <f>(K415+K416)*'ECOMMERCE Formulas'!$C$25</f>
        <v>0</v>
      </c>
      <c r="L570" s="326">
        <f>(L415+L416)*'ECOMMERCE Formulas'!$C$25</f>
        <v>0</v>
      </c>
      <c r="M570" s="326">
        <f>(M415+M416)*'ECOMMERCE Formulas'!$C$25</f>
        <v>0</v>
      </c>
      <c r="N570" s="326">
        <f>(N415+N416)*'ECOMMERCE Formulas'!$C$25</f>
        <v>0</v>
      </c>
      <c r="O570" s="326">
        <f>(O415+O416)*'ECOMMERCE Formulas'!$C$25</f>
        <v>0</v>
      </c>
      <c r="P570" s="326">
        <f>(P415+P416)*'ECOMMERCE Formulas'!$C$25</f>
        <v>0</v>
      </c>
      <c r="Q570" s="326">
        <f>(Q415+Q416)*'ECOMMERCE Formulas'!$C$25</f>
        <v>0</v>
      </c>
      <c r="R570" s="326">
        <f>(R415+R416)*'ECOMMERCE Formulas'!$C$25</f>
        <v>0</v>
      </c>
      <c r="S570" s="326">
        <f>(S415+S416)*'ECOMMERCE Formulas'!$C$25</f>
        <v>0</v>
      </c>
      <c r="T570" s="326">
        <f>(T415+T416)*'ECOMMERCE Formulas'!$C$25</f>
        <v>0</v>
      </c>
      <c r="U570" s="326">
        <f>(U415+U416)*'ECOMMERCE Formulas'!$C$25</f>
        <v>0</v>
      </c>
      <c r="V570" s="326">
        <f>(V415+V416)*'ECOMMERCE Formulas'!$C$25</f>
        <v>0</v>
      </c>
      <c r="W570" s="326">
        <f>(W415+W416)*'ECOMMERCE Formulas'!$C$25</f>
        <v>0</v>
      </c>
      <c r="X570" s="326">
        <f>(X415+X416)*'ECOMMERCE Formulas'!$C$25</f>
        <v>0</v>
      </c>
      <c r="Y570" s="326">
        <f>(Y415+Y416)*'ECOMMERCE Formulas'!$C$25</f>
        <v>0</v>
      </c>
      <c r="Z570" s="326">
        <f>(Z415+Z416)*'ECOMMERCE Formulas'!$C$25</f>
        <v>0</v>
      </c>
      <c r="AA570" s="326">
        <f>(AA415+AA416)*'ECOMMERCE Formulas'!$C$25</f>
        <v>0</v>
      </c>
      <c r="AB570" s="326">
        <f>(AB415+AB416)*'ECOMMERCE Formulas'!$C$25</f>
        <v>0</v>
      </c>
      <c r="AC570" s="326">
        <f>(AC415+AC416)*'ECOMMERCE Formulas'!$C$25</f>
        <v>0</v>
      </c>
      <c r="AD570" s="326">
        <f>(AD415+AD416)*'ECOMMERCE Formulas'!$C$25</f>
        <v>0</v>
      </c>
      <c r="AE570" s="326">
        <f>(AE415+AE416)*'ECOMMERCE Formulas'!$C$25</f>
        <v>0</v>
      </c>
      <c r="AF570" s="326">
        <f>(AF415+AF416)*'ECOMMERCE Formulas'!$C$25</f>
        <v>0</v>
      </c>
      <c r="AG570" s="1108"/>
    </row>
    <row r="571" hidden="1" outlineLevel="1">
      <c r="A571" s="1104" t="s">
        <v>1007</v>
      </c>
      <c r="B571" s="326">
        <f>(B415+B416)*'ECOMMERCE Formulas'!$C$26</f>
        <v>0</v>
      </c>
      <c r="C571" s="326">
        <f>(C415+C416)*'ECOMMERCE Formulas'!$C$26</f>
        <v>0</v>
      </c>
      <c r="D571" s="326">
        <f>(D415+D416)*'ECOMMERCE Formulas'!$C$26</f>
        <v>0</v>
      </c>
      <c r="E571" s="326">
        <f>(E415+E416)*'ECOMMERCE Formulas'!$C$26</f>
        <v>0</v>
      </c>
      <c r="F571" s="326">
        <f>(F415+F416)*'ECOMMERCE Formulas'!$C$26</f>
        <v>0</v>
      </c>
      <c r="G571" s="326">
        <f>(G415+G416)*'ECOMMERCE Formulas'!$C$26</f>
        <v>0</v>
      </c>
      <c r="H571" s="326">
        <f>(H415+H416)*'ECOMMERCE Formulas'!$C$26</f>
        <v>0</v>
      </c>
      <c r="I571" s="326">
        <f>(I415+I416)*'ECOMMERCE Formulas'!$C$26</f>
        <v>0</v>
      </c>
      <c r="J571" s="326">
        <f>(J415+J416)*'ECOMMERCE Formulas'!$C$26</f>
        <v>0</v>
      </c>
      <c r="K571" s="326">
        <f>(K415+K416)*'ECOMMERCE Formulas'!$C$26</f>
        <v>0</v>
      </c>
      <c r="L571" s="326">
        <f>(L415+L416)*'ECOMMERCE Formulas'!$C$26</f>
        <v>0</v>
      </c>
      <c r="M571" s="326">
        <f>(M415+M416)*'ECOMMERCE Formulas'!$C$26</f>
        <v>0</v>
      </c>
      <c r="N571" s="326">
        <f>(N415+N416)*'ECOMMERCE Formulas'!$C$26</f>
        <v>0</v>
      </c>
      <c r="O571" s="326">
        <f>(O415+O416)*'ECOMMERCE Formulas'!$C$26</f>
        <v>0</v>
      </c>
      <c r="P571" s="326">
        <f>(P415+P416)*'ECOMMERCE Formulas'!$C$26</f>
        <v>0</v>
      </c>
      <c r="Q571" s="326">
        <f>(Q415+Q416)*'ECOMMERCE Formulas'!$C$26</f>
        <v>0</v>
      </c>
      <c r="R571" s="326">
        <f>(R415+R416)*'ECOMMERCE Formulas'!$C$26</f>
        <v>0</v>
      </c>
      <c r="S571" s="326">
        <f>(S415+S416)*'ECOMMERCE Formulas'!$C$26</f>
        <v>0</v>
      </c>
      <c r="T571" s="326">
        <f>(T415+T416)*'ECOMMERCE Formulas'!$C$26</f>
        <v>0</v>
      </c>
      <c r="U571" s="326">
        <f>(U415+U416)*'ECOMMERCE Formulas'!$C$26</f>
        <v>0</v>
      </c>
      <c r="V571" s="326">
        <f>(V415+V416)*'ECOMMERCE Formulas'!$C$26</f>
        <v>0</v>
      </c>
      <c r="W571" s="326">
        <f>(W415+W416)*'ECOMMERCE Formulas'!$C$26</f>
        <v>0</v>
      </c>
      <c r="X571" s="326">
        <f>(X415+X416)*'ECOMMERCE Formulas'!$C$26</f>
        <v>0</v>
      </c>
      <c r="Y571" s="326">
        <f>(Y415+Y416)*'ECOMMERCE Formulas'!$C$26</f>
        <v>0</v>
      </c>
      <c r="Z571" s="326">
        <f>(Z415+Z416)*'ECOMMERCE Formulas'!$C$26</f>
        <v>0</v>
      </c>
      <c r="AA571" s="326">
        <f>(AA415+AA416)*'ECOMMERCE Formulas'!$C$26</f>
        <v>0</v>
      </c>
      <c r="AB571" s="326">
        <f>(AB415+AB416)*'ECOMMERCE Formulas'!$C$26</f>
        <v>0</v>
      </c>
      <c r="AC571" s="326">
        <f>(AC415+AC416)*'ECOMMERCE Formulas'!$C$26</f>
        <v>0</v>
      </c>
      <c r="AD571" s="326">
        <f>(AD415+AD416)*'ECOMMERCE Formulas'!$C$26</f>
        <v>0</v>
      </c>
      <c r="AE571" s="326">
        <f>(AE415+AE416)*'ECOMMERCE Formulas'!$C$26</f>
        <v>0</v>
      </c>
      <c r="AF571" s="326">
        <f>(AF415+AF416)*'ECOMMERCE Formulas'!$C$26</f>
        <v>0</v>
      </c>
      <c r="AG571" s="1108"/>
    </row>
    <row r="572" hidden="1" outlineLevel="1">
      <c r="A572" s="1104" t="s">
        <v>1008</v>
      </c>
      <c r="B572" s="326">
        <f>(B415+B416)*'ECOMMERCE Formulas'!$C$27</f>
        <v>0</v>
      </c>
      <c r="C572" s="326">
        <f>(C415+C416)*'ECOMMERCE Formulas'!$C$27</f>
        <v>0</v>
      </c>
      <c r="D572" s="326">
        <f>(D415+D416)*'ECOMMERCE Formulas'!$C$27</f>
        <v>0</v>
      </c>
      <c r="E572" s="326">
        <f>(E415+E416)*'ECOMMERCE Formulas'!$C$27</f>
        <v>0</v>
      </c>
      <c r="F572" s="326">
        <f>(F415+F416)*'ECOMMERCE Formulas'!$C$27</f>
        <v>0</v>
      </c>
      <c r="G572" s="326">
        <f>(G415+G416)*'ECOMMERCE Formulas'!$C$27</f>
        <v>0</v>
      </c>
      <c r="H572" s="326">
        <f>(H415+H416)*'ECOMMERCE Formulas'!$C$27</f>
        <v>0</v>
      </c>
      <c r="I572" s="326">
        <f>(I415+I416)*'ECOMMERCE Formulas'!$C$27</f>
        <v>0</v>
      </c>
      <c r="J572" s="326">
        <f>(J415+J416)*'ECOMMERCE Formulas'!$C$27</f>
        <v>0</v>
      </c>
      <c r="K572" s="326">
        <f>(K415+K416)*'ECOMMERCE Formulas'!$C$27</f>
        <v>0</v>
      </c>
      <c r="L572" s="326">
        <f>(L415+L416)*'ECOMMERCE Formulas'!$C$27</f>
        <v>0</v>
      </c>
      <c r="M572" s="326">
        <f>(M415+M416)*'ECOMMERCE Formulas'!$C$27</f>
        <v>0</v>
      </c>
      <c r="N572" s="326">
        <f>(N415+N416)*'ECOMMERCE Formulas'!$C$27</f>
        <v>0</v>
      </c>
      <c r="O572" s="326">
        <f>(O415+O416)*'ECOMMERCE Formulas'!$C$27</f>
        <v>0</v>
      </c>
      <c r="P572" s="326">
        <f>(P415+P416)*'ECOMMERCE Formulas'!$C$27</f>
        <v>0</v>
      </c>
      <c r="Q572" s="326">
        <f>(Q415+Q416)*'ECOMMERCE Formulas'!$C$27</f>
        <v>0</v>
      </c>
      <c r="R572" s="326">
        <f>(R415+R416)*'ECOMMERCE Formulas'!$C$27</f>
        <v>0</v>
      </c>
      <c r="S572" s="326">
        <f>(S415+S416)*'ECOMMERCE Formulas'!$C$27</f>
        <v>0</v>
      </c>
      <c r="T572" s="326">
        <f>(T415+T416)*'ECOMMERCE Formulas'!$C$27</f>
        <v>0</v>
      </c>
      <c r="U572" s="326">
        <f>(U415+U416)*'ECOMMERCE Formulas'!$C$27</f>
        <v>0</v>
      </c>
      <c r="V572" s="326">
        <f>(V415+V416)*'ECOMMERCE Formulas'!$C$27</f>
        <v>0</v>
      </c>
      <c r="W572" s="326">
        <f>(W415+W416)*'ECOMMERCE Formulas'!$C$27</f>
        <v>0</v>
      </c>
      <c r="X572" s="326">
        <f>(X415+X416)*'ECOMMERCE Formulas'!$C$27</f>
        <v>0</v>
      </c>
      <c r="Y572" s="326">
        <f>(Y415+Y416)*'ECOMMERCE Formulas'!$C$27</f>
        <v>0</v>
      </c>
      <c r="Z572" s="326">
        <f>(Z415+Z416)*'ECOMMERCE Formulas'!$C$27</f>
        <v>0</v>
      </c>
      <c r="AA572" s="326">
        <f>(AA415+AA416)*'ECOMMERCE Formulas'!$C$27</f>
        <v>0</v>
      </c>
      <c r="AB572" s="326">
        <f>(AB415+AB416)*'ECOMMERCE Formulas'!$C$27</f>
        <v>0</v>
      </c>
      <c r="AC572" s="326">
        <f>(AC415+AC416)*'ECOMMERCE Formulas'!$C$27</f>
        <v>0</v>
      </c>
      <c r="AD572" s="326">
        <f>(AD415+AD416)*'ECOMMERCE Formulas'!$C$27</f>
        <v>0</v>
      </c>
      <c r="AE572" s="326">
        <f>(AE415+AE416)*'ECOMMERCE Formulas'!$C$27</f>
        <v>0</v>
      </c>
      <c r="AF572" s="326">
        <f>(AF415+AF416)*'ECOMMERCE Formulas'!$C$27</f>
        <v>0</v>
      </c>
      <c r="AG572" s="1108"/>
    </row>
    <row r="573" hidden="1" outlineLevel="1">
      <c r="A573" s="1104" t="s">
        <v>1010</v>
      </c>
      <c r="B573" s="326">
        <f>(B423+B430+B437)*'ECOMMERCE Formulas'!$D$22</f>
        <v>0</v>
      </c>
      <c r="C573" s="326">
        <f>(C423+C430+C437)*'ECOMMERCE Formulas'!$D$22</f>
        <v>0</v>
      </c>
      <c r="D573" s="326">
        <f>(D423+D430+D437)*'ECOMMERCE Formulas'!$D$22</f>
        <v>0</v>
      </c>
      <c r="E573" s="326">
        <f>(E423+E430+E437)*'ECOMMERCE Formulas'!$D$22</f>
        <v>0</v>
      </c>
      <c r="F573" s="326">
        <f>(F423+F430+F437)*'ECOMMERCE Formulas'!$D$22</f>
        <v>0</v>
      </c>
      <c r="G573" s="326">
        <f>(G423+G430+G437)*'ECOMMERCE Formulas'!$D$22</f>
        <v>0</v>
      </c>
      <c r="H573" s="326">
        <f>(H423+H430+H437)*'ECOMMERCE Formulas'!$D$22</f>
        <v>0</v>
      </c>
      <c r="I573" s="326">
        <f>(I423+I430+I437)*'ECOMMERCE Formulas'!$D$22</f>
        <v>0</v>
      </c>
      <c r="J573" s="326">
        <f>(J423+J430+J437)*'ECOMMERCE Formulas'!$D$22</f>
        <v>0</v>
      </c>
      <c r="K573" s="326">
        <f>(K423+K430+K437)*'ECOMMERCE Formulas'!$D$22</f>
        <v>0</v>
      </c>
      <c r="L573" s="326">
        <f>(L423+L430+L437)*'ECOMMERCE Formulas'!$D$22</f>
        <v>0</v>
      </c>
      <c r="M573" s="326">
        <f>(M423+M430+M437)*'ECOMMERCE Formulas'!$D$22</f>
        <v>0</v>
      </c>
      <c r="N573" s="326">
        <f>(N423+N430+N437)*'ECOMMERCE Formulas'!$D$22</f>
        <v>0</v>
      </c>
      <c r="O573" s="326">
        <f>(O423+O430+O437)*'ECOMMERCE Formulas'!$D$22</f>
        <v>0</v>
      </c>
      <c r="P573" s="326">
        <f>(P423+P430+P437)*'ECOMMERCE Formulas'!$D$22</f>
        <v>0</v>
      </c>
      <c r="Q573" s="326">
        <f>(Q423+Q430+Q437)*'ECOMMERCE Formulas'!$D$22</f>
        <v>0</v>
      </c>
      <c r="R573" s="326">
        <f>(R423+R430+R437)*'ECOMMERCE Formulas'!$D$22</f>
        <v>0</v>
      </c>
      <c r="S573" s="326">
        <f>(S423+S430+S437)*'ECOMMERCE Formulas'!$D$22</f>
        <v>0</v>
      </c>
      <c r="T573" s="326">
        <f>(T423+T430+T437)*'ECOMMERCE Formulas'!$D$22</f>
        <v>0</v>
      </c>
      <c r="U573" s="326">
        <f>(U423+U430+U437)*'ECOMMERCE Formulas'!$D$22</f>
        <v>0</v>
      </c>
      <c r="V573" s="326">
        <f>(V423+V430+V437)*'ECOMMERCE Formulas'!$D$22</f>
        <v>0</v>
      </c>
      <c r="W573" s="326">
        <f>(W423+W430+W437)*'ECOMMERCE Formulas'!$D$22</f>
        <v>0</v>
      </c>
      <c r="X573" s="326">
        <f>(X423+X430+X437)*'ECOMMERCE Formulas'!$D$22</f>
        <v>0</v>
      </c>
      <c r="Y573" s="326">
        <f>(Y423+Y430+Y437)*'ECOMMERCE Formulas'!$D$22</f>
        <v>0</v>
      </c>
      <c r="Z573" s="326">
        <f>(Z423+Z430+Z437)*'ECOMMERCE Formulas'!$D$22</f>
        <v>0</v>
      </c>
      <c r="AA573" s="326">
        <f>(AA423+AA430+AA437)*'ECOMMERCE Formulas'!$D$22</f>
        <v>0</v>
      </c>
      <c r="AB573" s="326">
        <f>(AB423+AB430+AB437)*'ECOMMERCE Formulas'!$D$22</f>
        <v>0</v>
      </c>
      <c r="AC573" s="326">
        <f>(AC423+AC430+AC437)*'ECOMMERCE Formulas'!$D$22</f>
        <v>0</v>
      </c>
      <c r="AD573" s="326">
        <f>(AD423+AD430+AD437)*'ECOMMERCE Formulas'!$D$22</f>
        <v>0</v>
      </c>
      <c r="AE573" s="326">
        <f>(AE423+AE430+AE437)*'ECOMMERCE Formulas'!$D$22</f>
        <v>0</v>
      </c>
      <c r="AF573" s="326">
        <f>(AF423+AF430+AF437)*'ECOMMERCE Formulas'!$D$22</f>
        <v>0</v>
      </c>
      <c r="AG573" s="1108"/>
    </row>
    <row r="574" hidden="1" outlineLevel="1">
      <c r="A574" s="1104" t="s">
        <v>1011</v>
      </c>
      <c r="B574" s="326">
        <f>(B423+B430+B437)*'ECOMMERCE Formulas'!$D$23</f>
        <v>0</v>
      </c>
      <c r="C574" s="326">
        <f>(C423+C430+C437)*'ECOMMERCE Formulas'!$D$23</f>
        <v>0</v>
      </c>
      <c r="D574" s="326">
        <f>(D423+D430+D437)*'ECOMMERCE Formulas'!$D$23</f>
        <v>0</v>
      </c>
      <c r="E574" s="326">
        <f>(E423+E430+E437)*'ECOMMERCE Formulas'!$D$23</f>
        <v>0</v>
      </c>
      <c r="F574" s="326">
        <f>(F423+F430+F437)*'ECOMMERCE Formulas'!$D$23</f>
        <v>0</v>
      </c>
      <c r="G574" s="326">
        <f>(G423+G430+G437)*'ECOMMERCE Formulas'!$D$23</f>
        <v>0</v>
      </c>
      <c r="H574" s="326">
        <f>(H423+H430+H437)*'ECOMMERCE Formulas'!$D$23</f>
        <v>0</v>
      </c>
      <c r="I574" s="326">
        <f>(I423+I430+I437)*'ECOMMERCE Formulas'!$D$23</f>
        <v>0</v>
      </c>
      <c r="J574" s="326">
        <f>(J423+J430+J437)*'ECOMMERCE Formulas'!$D$23</f>
        <v>0</v>
      </c>
      <c r="K574" s="326">
        <f>(K423+K430+K437)*'ECOMMERCE Formulas'!$D$23</f>
        <v>0</v>
      </c>
      <c r="L574" s="326">
        <f>(L423+L430+L437)*'ECOMMERCE Formulas'!$D$23</f>
        <v>0</v>
      </c>
      <c r="M574" s="326">
        <f>(M423+M430+M437)*'ECOMMERCE Formulas'!$D$23</f>
        <v>0</v>
      </c>
      <c r="N574" s="326">
        <f>(N423+N430+N437)*'ECOMMERCE Formulas'!$D$23</f>
        <v>0</v>
      </c>
      <c r="O574" s="326">
        <f>(O423+O430+O437)*'ECOMMERCE Formulas'!$D$23</f>
        <v>0</v>
      </c>
      <c r="P574" s="326">
        <f>(P423+P430+P437)*'ECOMMERCE Formulas'!$D$23</f>
        <v>0</v>
      </c>
      <c r="Q574" s="326">
        <f>(Q423+Q430+Q437)*'ECOMMERCE Formulas'!$D$23</f>
        <v>0</v>
      </c>
      <c r="R574" s="326">
        <f>(R423+R430+R437)*'ECOMMERCE Formulas'!$D$23</f>
        <v>0</v>
      </c>
      <c r="S574" s="326">
        <f>(S423+S430+S437)*'ECOMMERCE Formulas'!$D$23</f>
        <v>0</v>
      </c>
      <c r="T574" s="326">
        <f>(T423+T430+T437)*'ECOMMERCE Formulas'!$D$23</f>
        <v>0</v>
      </c>
      <c r="U574" s="326">
        <f>(U423+U430+U437)*'ECOMMERCE Formulas'!$D$23</f>
        <v>0</v>
      </c>
      <c r="V574" s="326">
        <f>(V423+V430+V437)*'ECOMMERCE Formulas'!$D$23</f>
        <v>0</v>
      </c>
      <c r="W574" s="326">
        <f>(W423+W430+W437)*'ECOMMERCE Formulas'!$D$23</f>
        <v>0</v>
      </c>
      <c r="X574" s="326">
        <f>(X423+X430+X437)*'ECOMMERCE Formulas'!$D$23</f>
        <v>0</v>
      </c>
      <c r="Y574" s="326">
        <f>(Y423+Y430+Y437)*'ECOMMERCE Formulas'!$D$23</f>
        <v>0</v>
      </c>
      <c r="Z574" s="326">
        <f>(Z423+Z430+Z437)*'ECOMMERCE Formulas'!$D$23</f>
        <v>0</v>
      </c>
      <c r="AA574" s="326">
        <f>(AA423+AA430+AA437)*'ECOMMERCE Formulas'!$D$23</f>
        <v>0</v>
      </c>
      <c r="AB574" s="326">
        <f>(AB423+AB430+AB437)*'ECOMMERCE Formulas'!$D$23</f>
        <v>0</v>
      </c>
      <c r="AC574" s="326">
        <f>(AC423+AC430+AC437)*'ECOMMERCE Formulas'!$D$23</f>
        <v>0</v>
      </c>
      <c r="AD574" s="326">
        <f>(AD423+AD430+AD437)*'ECOMMERCE Formulas'!$D$23</f>
        <v>0</v>
      </c>
      <c r="AE574" s="326">
        <f>(AE423+AE430+AE437)*'ECOMMERCE Formulas'!$D$23</f>
        <v>0</v>
      </c>
      <c r="AF574" s="326">
        <f>(AF423+AF430+AF437)*'ECOMMERCE Formulas'!$D$23</f>
        <v>0</v>
      </c>
      <c r="AG574" s="1108"/>
    </row>
    <row r="575" hidden="1" outlineLevel="1">
      <c r="A575" s="1104" t="s">
        <v>1014</v>
      </c>
      <c r="B575" s="326">
        <f>(B423+B430+B437)*'ECOMMERCE Formulas'!$D$24</f>
        <v>0</v>
      </c>
      <c r="C575" s="326">
        <f>(C423+C430+C437)*'ECOMMERCE Formulas'!$D$24</f>
        <v>0</v>
      </c>
      <c r="D575" s="326">
        <f>(D423+D430+D437)*'ECOMMERCE Formulas'!$D$24</f>
        <v>0</v>
      </c>
      <c r="E575" s="326">
        <f>(E423+E430+E437)*'ECOMMERCE Formulas'!$D$24</f>
        <v>0</v>
      </c>
      <c r="F575" s="326">
        <f>(F423+F430+F437)*'ECOMMERCE Formulas'!$D$24</f>
        <v>0</v>
      </c>
      <c r="G575" s="326">
        <f>(G423+G430+G437)*'ECOMMERCE Formulas'!$D$24</f>
        <v>0</v>
      </c>
      <c r="H575" s="326">
        <f>(H423+H430+H437)*'ECOMMERCE Formulas'!$D$24</f>
        <v>0</v>
      </c>
      <c r="I575" s="326">
        <f>(I423+I430+I437)*'ECOMMERCE Formulas'!$D$24</f>
        <v>0</v>
      </c>
      <c r="J575" s="326">
        <f>(J423+J430+J437)*'ECOMMERCE Formulas'!$D$24</f>
        <v>0</v>
      </c>
      <c r="K575" s="326">
        <f>(K423+K430+K437)*'ECOMMERCE Formulas'!$D$24</f>
        <v>0</v>
      </c>
      <c r="L575" s="326">
        <f>(L423+L430+L437)*'ECOMMERCE Formulas'!$D$24</f>
        <v>0</v>
      </c>
      <c r="M575" s="326">
        <f>(M423+M430+M437)*'ECOMMERCE Formulas'!$D$24</f>
        <v>0</v>
      </c>
      <c r="N575" s="326">
        <f>(N423+N430+N437)*'ECOMMERCE Formulas'!$D$24</f>
        <v>0</v>
      </c>
      <c r="O575" s="326">
        <f>(O423+O430+O437)*'ECOMMERCE Formulas'!$D$24</f>
        <v>0</v>
      </c>
      <c r="P575" s="326">
        <f>(P423+P430+P437)*'ECOMMERCE Formulas'!$D$24</f>
        <v>0</v>
      </c>
      <c r="Q575" s="326">
        <f>(Q423+Q430+Q437)*'ECOMMERCE Formulas'!$D$24</f>
        <v>0</v>
      </c>
      <c r="R575" s="326">
        <f>(R423+R430+R437)*'ECOMMERCE Formulas'!$D$24</f>
        <v>0</v>
      </c>
      <c r="S575" s="326">
        <f>(S423+S430+S437)*'ECOMMERCE Formulas'!$D$24</f>
        <v>0</v>
      </c>
      <c r="T575" s="326">
        <f>(T423+T430+T437)*'ECOMMERCE Formulas'!$D$24</f>
        <v>0</v>
      </c>
      <c r="U575" s="326">
        <f>(U423+U430+U437)*'ECOMMERCE Formulas'!$D$24</f>
        <v>0</v>
      </c>
      <c r="V575" s="326">
        <f>(V423+V430+V437)*'ECOMMERCE Formulas'!$D$24</f>
        <v>0</v>
      </c>
      <c r="W575" s="326">
        <f>(W423+W430+W437)*'ECOMMERCE Formulas'!$D$24</f>
        <v>0</v>
      </c>
      <c r="X575" s="326">
        <f>(X423+X430+X437)*'ECOMMERCE Formulas'!$D$24</f>
        <v>0</v>
      </c>
      <c r="Y575" s="326">
        <f>(Y423+Y430+Y437)*'ECOMMERCE Formulas'!$D$24</f>
        <v>0</v>
      </c>
      <c r="Z575" s="326">
        <f>(Z423+Z430+Z437)*'ECOMMERCE Formulas'!$D$24</f>
        <v>0</v>
      </c>
      <c r="AA575" s="326">
        <f>(AA423+AA430+AA437)*'ECOMMERCE Formulas'!$D$24</f>
        <v>0</v>
      </c>
      <c r="AB575" s="326">
        <f>(AB423+AB430+AB437)*'ECOMMERCE Formulas'!$D$24</f>
        <v>0</v>
      </c>
      <c r="AC575" s="326">
        <f>(AC423+AC430+AC437)*'ECOMMERCE Formulas'!$D$24</f>
        <v>0</v>
      </c>
      <c r="AD575" s="326">
        <f>(AD423+AD430+AD437)*'ECOMMERCE Formulas'!$D$24</f>
        <v>0</v>
      </c>
      <c r="AE575" s="326">
        <f>(AE423+AE430+AE437)*'ECOMMERCE Formulas'!$D$24</f>
        <v>0</v>
      </c>
      <c r="AF575" s="326">
        <f>(AF423+AF430+AF437)*'ECOMMERCE Formulas'!$D$24</f>
        <v>0</v>
      </c>
      <c r="AG575" s="1108"/>
    </row>
    <row r="576" hidden="1" outlineLevel="1">
      <c r="A576" s="1104" t="s">
        <v>1015</v>
      </c>
      <c r="B576" s="326">
        <f>(B423+B430+B437)*'ECOMMERCE Formulas'!$D$25</f>
        <v>0</v>
      </c>
      <c r="C576" s="326">
        <f>(C423+C430+C437)*'ECOMMERCE Formulas'!$D$25</f>
        <v>0</v>
      </c>
      <c r="D576" s="326">
        <f>(D423+D430+D437)*'ECOMMERCE Formulas'!$D$25</f>
        <v>0</v>
      </c>
      <c r="E576" s="326">
        <f>(E423+E430+E437)*'ECOMMERCE Formulas'!$D$25</f>
        <v>0</v>
      </c>
      <c r="F576" s="326">
        <f>(F423+F430+F437)*'ECOMMERCE Formulas'!$D$25</f>
        <v>0</v>
      </c>
      <c r="G576" s="326">
        <f>(G423+G430+G437)*'ECOMMERCE Formulas'!$D$25</f>
        <v>0</v>
      </c>
      <c r="H576" s="326">
        <f>(H423+H430+H437)*'ECOMMERCE Formulas'!$D$25</f>
        <v>0</v>
      </c>
      <c r="I576" s="326">
        <f>(I423+I430+I437)*'ECOMMERCE Formulas'!$D$25</f>
        <v>0</v>
      </c>
      <c r="J576" s="326">
        <f>(J423+J430+J437)*'ECOMMERCE Formulas'!$D$25</f>
        <v>0</v>
      </c>
      <c r="K576" s="326">
        <f>(K423+K430+K437)*'ECOMMERCE Formulas'!$D$25</f>
        <v>0</v>
      </c>
      <c r="L576" s="326">
        <f>(L423+L430+L437)*'ECOMMERCE Formulas'!$D$25</f>
        <v>0</v>
      </c>
      <c r="M576" s="326">
        <f>(M423+M430+M437)*'ECOMMERCE Formulas'!$D$25</f>
        <v>0</v>
      </c>
      <c r="N576" s="326">
        <f>(N423+N430+N437)*'ECOMMERCE Formulas'!$D$25</f>
        <v>0</v>
      </c>
      <c r="O576" s="326">
        <f>(O423+O430+O437)*'ECOMMERCE Formulas'!$D$25</f>
        <v>0</v>
      </c>
      <c r="P576" s="326">
        <f>(P423+P430+P437)*'ECOMMERCE Formulas'!$D$25</f>
        <v>0</v>
      </c>
      <c r="Q576" s="326">
        <f>(Q423+Q430+Q437)*'ECOMMERCE Formulas'!$D$25</f>
        <v>0</v>
      </c>
      <c r="R576" s="326">
        <f>(R423+R430+R437)*'ECOMMERCE Formulas'!$D$25</f>
        <v>0</v>
      </c>
      <c r="S576" s="326">
        <f>(S423+S430+S437)*'ECOMMERCE Formulas'!$D$25</f>
        <v>0</v>
      </c>
      <c r="T576" s="326">
        <f>(T423+T430+T437)*'ECOMMERCE Formulas'!$D$25</f>
        <v>0</v>
      </c>
      <c r="U576" s="326">
        <f>(U423+U430+U437)*'ECOMMERCE Formulas'!$D$25</f>
        <v>0</v>
      </c>
      <c r="V576" s="326">
        <f>(V423+V430+V437)*'ECOMMERCE Formulas'!$D$25</f>
        <v>0</v>
      </c>
      <c r="W576" s="326">
        <f>(W423+W430+W437)*'ECOMMERCE Formulas'!$D$25</f>
        <v>0</v>
      </c>
      <c r="X576" s="326">
        <f>(X423+X430+X437)*'ECOMMERCE Formulas'!$D$25</f>
        <v>0</v>
      </c>
      <c r="Y576" s="326">
        <f>(Y423+Y430+Y437)*'ECOMMERCE Formulas'!$D$25</f>
        <v>0</v>
      </c>
      <c r="Z576" s="326">
        <f>(Z423+Z430+Z437)*'ECOMMERCE Formulas'!$D$25</f>
        <v>0</v>
      </c>
      <c r="AA576" s="326">
        <f>(AA423+AA430+AA437)*'ECOMMERCE Formulas'!$D$25</f>
        <v>0</v>
      </c>
      <c r="AB576" s="326">
        <f>(AB423+AB430+AB437)*'ECOMMERCE Formulas'!$D$25</f>
        <v>0</v>
      </c>
      <c r="AC576" s="326">
        <f>(AC423+AC430+AC437)*'ECOMMERCE Formulas'!$D$25</f>
        <v>0</v>
      </c>
      <c r="AD576" s="326">
        <f>(AD423+AD430+AD437)*'ECOMMERCE Formulas'!$D$25</f>
        <v>0</v>
      </c>
      <c r="AE576" s="326">
        <f>(AE423+AE430+AE437)*'ECOMMERCE Formulas'!$D$25</f>
        <v>0</v>
      </c>
      <c r="AF576" s="326">
        <f>(AF423+AF430+AF437)*'ECOMMERCE Formulas'!$D$25</f>
        <v>0</v>
      </c>
      <c r="AG576" s="1108"/>
    </row>
    <row r="577" hidden="1" outlineLevel="1">
      <c r="A577" s="1104" t="s">
        <v>1016</v>
      </c>
      <c r="B577" s="326">
        <f>(B423+B430+B437)*'ECOMMERCE Formulas'!$D$26</f>
        <v>0</v>
      </c>
      <c r="C577" s="326">
        <f>(C423+C430+C437)*'ECOMMERCE Formulas'!$D$26</f>
        <v>0</v>
      </c>
      <c r="D577" s="326">
        <f>(D423+D430+D437)*'ECOMMERCE Formulas'!$D$26</f>
        <v>0</v>
      </c>
      <c r="E577" s="326">
        <f>(E423+E430+E437)*'ECOMMERCE Formulas'!$D$26</f>
        <v>0</v>
      </c>
      <c r="F577" s="326">
        <f>(F423+F430+F437)*'ECOMMERCE Formulas'!$D$26</f>
        <v>0</v>
      </c>
      <c r="G577" s="326">
        <f>(G423+G430+G437)*'ECOMMERCE Formulas'!$D$26</f>
        <v>0</v>
      </c>
      <c r="H577" s="326">
        <f>(H423+H430+H437)*'ECOMMERCE Formulas'!$D$26</f>
        <v>0</v>
      </c>
      <c r="I577" s="326">
        <f>(I423+I430+I437)*'ECOMMERCE Formulas'!$D$26</f>
        <v>0</v>
      </c>
      <c r="J577" s="326">
        <f>(J423+J430+J437)*'ECOMMERCE Formulas'!$D$26</f>
        <v>0</v>
      </c>
      <c r="K577" s="326">
        <f>(K423+K430+K437)*'ECOMMERCE Formulas'!$D$26</f>
        <v>0</v>
      </c>
      <c r="L577" s="326">
        <f>(L423+L430+L437)*'ECOMMERCE Formulas'!$D$26</f>
        <v>0</v>
      </c>
      <c r="M577" s="326">
        <f>(M423+M430+M437)*'ECOMMERCE Formulas'!$D$26</f>
        <v>0</v>
      </c>
      <c r="N577" s="326">
        <f>(N423+N430+N437)*'ECOMMERCE Formulas'!$D$26</f>
        <v>0</v>
      </c>
      <c r="O577" s="326">
        <f>(O423+O430+O437)*'ECOMMERCE Formulas'!$D$26</f>
        <v>0</v>
      </c>
      <c r="P577" s="326">
        <f>(P423+P430+P437)*'ECOMMERCE Formulas'!$D$26</f>
        <v>0</v>
      </c>
      <c r="Q577" s="326">
        <f>(Q423+Q430+Q437)*'ECOMMERCE Formulas'!$D$26</f>
        <v>0</v>
      </c>
      <c r="R577" s="326">
        <f>(R423+R430+R437)*'ECOMMERCE Formulas'!$D$26</f>
        <v>0</v>
      </c>
      <c r="S577" s="326">
        <f>(S423+S430+S437)*'ECOMMERCE Formulas'!$D$26</f>
        <v>0</v>
      </c>
      <c r="T577" s="326">
        <f>(T423+T430+T437)*'ECOMMERCE Formulas'!$D$26</f>
        <v>0</v>
      </c>
      <c r="U577" s="326">
        <f>(U423+U430+U437)*'ECOMMERCE Formulas'!$D$26</f>
        <v>0</v>
      </c>
      <c r="V577" s="326">
        <f>(V423+V430+V437)*'ECOMMERCE Formulas'!$D$26</f>
        <v>0</v>
      </c>
      <c r="W577" s="326">
        <f>(W423+W430+W437)*'ECOMMERCE Formulas'!$D$26</f>
        <v>0</v>
      </c>
      <c r="X577" s="326">
        <f>(X423+X430+X437)*'ECOMMERCE Formulas'!$D$26</f>
        <v>0</v>
      </c>
      <c r="Y577" s="326">
        <f>(Y423+Y430+Y437)*'ECOMMERCE Formulas'!$D$26</f>
        <v>0</v>
      </c>
      <c r="Z577" s="326">
        <f>(Z423+Z430+Z437)*'ECOMMERCE Formulas'!$D$26</f>
        <v>0</v>
      </c>
      <c r="AA577" s="326">
        <f>(AA423+AA430+AA437)*'ECOMMERCE Formulas'!$D$26</f>
        <v>0</v>
      </c>
      <c r="AB577" s="326">
        <f>(AB423+AB430+AB437)*'ECOMMERCE Formulas'!$D$26</f>
        <v>0</v>
      </c>
      <c r="AC577" s="326">
        <f>(AC423+AC430+AC437)*'ECOMMERCE Formulas'!$D$26</f>
        <v>0</v>
      </c>
      <c r="AD577" s="326">
        <f>(AD423+AD430+AD437)*'ECOMMERCE Formulas'!$D$26</f>
        <v>0</v>
      </c>
      <c r="AE577" s="326">
        <f>(AE423+AE430+AE437)*'ECOMMERCE Formulas'!$D$26</f>
        <v>0</v>
      </c>
      <c r="AF577" s="326">
        <f>(AF423+AF430+AF437)*'ECOMMERCE Formulas'!$D$26</f>
        <v>0</v>
      </c>
      <c r="AG577" s="1108"/>
    </row>
    <row r="578" hidden="1" outlineLevel="1">
      <c r="A578" s="1105" t="s">
        <v>1018</v>
      </c>
      <c r="B578" s="1106">
        <f>(B423+B430+B437)*'ECOMMERCE Formulas'!$D$27</f>
        <v>0</v>
      </c>
      <c r="C578" s="1106">
        <f>(C423+C430+C437)*'ECOMMERCE Formulas'!$D$27</f>
        <v>0</v>
      </c>
      <c r="D578" s="1106">
        <f>(D423+D430+D437)*'ECOMMERCE Formulas'!$D$27</f>
        <v>0</v>
      </c>
      <c r="E578" s="1106">
        <f>(E423+E430+E437)*'ECOMMERCE Formulas'!$D$27</f>
        <v>0</v>
      </c>
      <c r="F578" s="1106">
        <f>(F423+F430+F437)*'ECOMMERCE Formulas'!$D$27</f>
        <v>0</v>
      </c>
      <c r="G578" s="1106">
        <f>(G423+G430+G437)*'ECOMMERCE Formulas'!$D$27</f>
        <v>0</v>
      </c>
      <c r="H578" s="1106">
        <f>(H423+H430+H437)*'ECOMMERCE Formulas'!$D$27</f>
        <v>0</v>
      </c>
      <c r="I578" s="1106">
        <f>(I423+I430+I437)*'ECOMMERCE Formulas'!$D$27</f>
        <v>0</v>
      </c>
      <c r="J578" s="1106">
        <f>(J423+J430+J437)*'ECOMMERCE Formulas'!$D$27</f>
        <v>0</v>
      </c>
      <c r="K578" s="1106">
        <f>(K423+K430+K437)*'ECOMMERCE Formulas'!$D$27</f>
        <v>0</v>
      </c>
      <c r="L578" s="1106">
        <f>(L423+L430+L437)*'ECOMMERCE Formulas'!$D$27</f>
        <v>0</v>
      </c>
      <c r="M578" s="1106">
        <f>(M423+M430+M437)*'ECOMMERCE Formulas'!$D$27</f>
        <v>0</v>
      </c>
      <c r="N578" s="1106">
        <f>(N423+N430+N437)*'ECOMMERCE Formulas'!$D$27</f>
        <v>0</v>
      </c>
      <c r="O578" s="1106">
        <f>(O423+O430+O437)*'ECOMMERCE Formulas'!$D$27</f>
        <v>0</v>
      </c>
      <c r="P578" s="1106">
        <f>(P423+P430+P437)*'ECOMMERCE Formulas'!$D$27</f>
        <v>0</v>
      </c>
      <c r="Q578" s="1106">
        <f>(Q423+Q430+Q437)*'ECOMMERCE Formulas'!$D$27</f>
        <v>0</v>
      </c>
      <c r="R578" s="1106">
        <f>(R423+R430+R437)*'ECOMMERCE Formulas'!$D$27</f>
        <v>0</v>
      </c>
      <c r="S578" s="1106">
        <f>(S423+S430+S437)*'ECOMMERCE Formulas'!$D$27</f>
        <v>0</v>
      </c>
      <c r="T578" s="1106">
        <f>(T423+T430+T437)*'ECOMMERCE Formulas'!$D$27</f>
        <v>0</v>
      </c>
      <c r="U578" s="1106">
        <f>(U423+U430+U437)*'ECOMMERCE Formulas'!$D$27</f>
        <v>0</v>
      </c>
      <c r="V578" s="1106">
        <f>(V423+V430+V437)*'ECOMMERCE Formulas'!$D$27</f>
        <v>0</v>
      </c>
      <c r="W578" s="1106">
        <f>(W423+W430+W437)*'ECOMMERCE Formulas'!$D$27</f>
        <v>0</v>
      </c>
      <c r="X578" s="1106">
        <f>(X423+X430+X437)*'ECOMMERCE Formulas'!$D$27</f>
        <v>0</v>
      </c>
      <c r="Y578" s="1106">
        <f>(Y423+Y430+Y437)*'ECOMMERCE Formulas'!$D$27</f>
        <v>0</v>
      </c>
      <c r="Z578" s="1106">
        <f>(Z423+Z430+Z437)*'ECOMMERCE Formulas'!$D$27</f>
        <v>0</v>
      </c>
      <c r="AA578" s="1106">
        <f>(AA423+AA430+AA437)*'ECOMMERCE Formulas'!$D$27</f>
        <v>0</v>
      </c>
      <c r="AB578" s="1106">
        <f>(AB423+AB430+AB437)*'ECOMMERCE Formulas'!$D$27</f>
        <v>0</v>
      </c>
      <c r="AC578" s="1106">
        <f>(AC423+AC430+AC437)*'ECOMMERCE Formulas'!$D$27</f>
        <v>0</v>
      </c>
      <c r="AD578" s="1106">
        <f>(AD423+AD430+AD437)*'ECOMMERCE Formulas'!$D$27</f>
        <v>0</v>
      </c>
      <c r="AE578" s="1106">
        <f>(AE423+AE430+AE437)*'ECOMMERCE Formulas'!$D$27</f>
        <v>0</v>
      </c>
      <c r="AF578" s="1106">
        <f>(AF423+AF430+AF437)*'ECOMMERCE Formulas'!$D$27</f>
        <v>0</v>
      </c>
      <c r="AG578" s="1108"/>
    </row>
    <row r="579">
      <c r="A579" s="346" t="s">
        <v>592</v>
      </c>
      <c r="B579" s="326">
        <f t="shared" ref="B579:AF579" si="207">sum(B542:B578)</f>
        <v>0</v>
      </c>
      <c r="C579" s="326">
        <f t="shared" si="207"/>
        <v>0</v>
      </c>
      <c r="D579" s="326">
        <f t="shared" si="207"/>
        <v>0</v>
      </c>
      <c r="E579" s="326">
        <f t="shared" si="207"/>
        <v>0</v>
      </c>
      <c r="F579" s="326">
        <f t="shared" si="207"/>
        <v>0</v>
      </c>
      <c r="G579" s="326">
        <f t="shared" si="207"/>
        <v>0</v>
      </c>
      <c r="H579" s="326">
        <f t="shared" si="207"/>
        <v>0</v>
      </c>
      <c r="I579" s="326">
        <f t="shared" si="207"/>
        <v>0</v>
      </c>
      <c r="J579" s="326">
        <f t="shared" si="207"/>
        <v>0</v>
      </c>
      <c r="K579" s="326">
        <f t="shared" si="207"/>
        <v>0</v>
      </c>
      <c r="L579" s="326">
        <f t="shared" si="207"/>
        <v>0</v>
      </c>
      <c r="M579" s="326">
        <f t="shared" si="207"/>
        <v>0</v>
      </c>
      <c r="N579" s="326">
        <f t="shared" si="207"/>
        <v>0</v>
      </c>
      <c r="O579" s="326">
        <f t="shared" si="207"/>
        <v>0</v>
      </c>
      <c r="P579" s="326">
        <f t="shared" si="207"/>
        <v>0</v>
      </c>
      <c r="Q579" s="326">
        <f t="shared" si="207"/>
        <v>0</v>
      </c>
      <c r="R579" s="326">
        <f t="shared" si="207"/>
        <v>0</v>
      </c>
      <c r="S579" s="326">
        <f t="shared" si="207"/>
        <v>0</v>
      </c>
      <c r="T579" s="326">
        <f t="shared" si="207"/>
        <v>0</v>
      </c>
      <c r="U579" s="326">
        <f t="shared" si="207"/>
        <v>0</v>
      </c>
      <c r="V579" s="326">
        <f t="shared" si="207"/>
        <v>0</v>
      </c>
      <c r="W579" s="326">
        <f t="shared" si="207"/>
        <v>0</v>
      </c>
      <c r="X579" s="326">
        <f t="shared" si="207"/>
        <v>0</v>
      </c>
      <c r="Y579" s="326">
        <f t="shared" si="207"/>
        <v>0</v>
      </c>
      <c r="Z579" s="326">
        <f t="shared" si="207"/>
        <v>0</v>
      </c>
      <c r="AA579" s="326">
        <f t="shared" si="207"/>
        <v>0</v>
      </c>
      <c r="AB579" s="326">
        <f t="shared" si="207"/>
        <v>0</v>
      </c>
      <c r="AC579" s="326">
        <f t="shared" si="207"/>
        <v>0</v>
      </c>
      <c r="AD579" s="326">
        <f t="shared" si="207"/>
        <v>0</v>
      </c>
      <c r="AE579" s="326">
        <f t="shared" si="207"/>
        <v>0</v>
      </c>
      <c r="AF579" s="326">
        <f t="shared" si="207"/>
        <v>0</v>
      </c>
      <c r="AG579" s="360">
        <f>SUM(B579:AF579)</f>
        <v>0</v>
      </c>
    </row>
    <row r="580">
      <c r="A580" s="42"/>
      <c r="B580" s="327"/>
      <c r="C580" s="327"/>
      <c r="D580" s="327"/>
      <c r="E580" s="327"/>
      <c r="F580" s="327"/>
      <c r="G580" s="327"/>
      <c r="H580" s="327"/>
      <c r="I580" s="327"/>
      <c r="J580" s="327"/>
      <c r="K580" s="327"/>
      <c r="L580" s="327"/>
      <c r="M580" s="327"/>
      <c r="N580" s="327"/>
      <c r="O580" s="327"/>
      <c r="P580" s="327"/>
      <c r="Q580" s="327"/>
      <c r="R580" s="327"/>
      <c r="S580" s="327"/>
      <c r="T580" s="327"/>
      <c r="U580" s="327"/>
      <c r="V580" s="327"/>
      <c r="W580" s="327"/>
      <c r="X580" s="327"/>
      <c r="Y580" s="327"/>
      <c r="Z580" s="327"/>
      <c r="AA580" s="327"/>
      <c r="AB580" s="327"/>
      <c r="AC580" s="327"/>
      <c r="AD580" s="327"/>
      <c r="AE580" s="327"/>
      <c r="AF580" s="327"/>
      <c r="AG580" s="11"/>
    </row>
    <row r="581">
      <c r="A581" s="1110" t="s">
        <v>151</v>
      </c>
      <c r="B581" s="1111">
        <f t="shared" ref="B581:AF581" si="208">SUM(B489:B521)+B579</f>
        <v>31629.95087</v>
      </c>
      <c r="C581" s="1111">
        <f t="shared" si="208"/>
        <v>37020.71503</v>
      </c>
      <c r="D581" s="1111">
        <f t="shared" si="208"/>
        <v>36017.60231</v>
      </c>
      <c r="E581" s="1111">
        <f t="shared" si="208"/>
        <v>39811.94105</v>
      </c>
      <c r="F581" s="1111">
        <f t="shared" si="208"/>
        <v>39272.55161</v>
      </c>
      <c r="G581" s="1111">
        <f t="shared" si="208"/>
        <v>40990.68033</v>
      </c>
      <c r="H581" s="1111">
        <f t="shared" si="208"/>
        <v>42182.41757</v>
      </c>
      <c r="I581" s="1111">
        <f t="shared" si="208"/>
        <v>46598.49521</v>
      </c>
      <c r="J581" s="1111">
        <f t="shared" si="208"/>
        <v>47942.81734</v>
      </c>
      <c r="K581" s="1111">
        <f t="shared" si="208"/>
        <v>46600.12294</v>
      </c>
      <c r="L581" s="1111">
        <f t="shared" si="208"/>
        <v>45380.70429</v>
      </c>
      <c r="M581" s="1111">
        <f t="shared" si="208"/>
        <v>40494.85651</v>
      </c>
      <c r="N581" s="1111">
        <f t="shared" si="208"/>
        <v>56900.95499</v>
      </c>
      <c r="O581" s="1111">
        <f t="shared" si="208"/>
        <v>58121.53038</v>
      </c>
      <c r="P581" s="1111">
        <f t="shared" si="208"/>
        <v>55579.49664</v>
      </c>
      <c r="Q581" s="1111">
        <f t="shared" si="208"/>
        <v>58932.45263</v>
      </c>
      <c r="R581" s="1111">
        <f t="shared" si="208"/>
        <v>37783.54542</v>
      </c>
      <c r="S581" s="1111">
        <f t="shared" si="208"/>
        <v>53270.83497</v>
      </c>
      <c r="T581" s="1111">
        <f t="shared" si="208"/>
        <v>43377.65667</v>
      </c>
      <c r="U581" s="1111">
        <f t="shared" si="208"/>
        <v>46455.31146</v>
      </c>
      <c r="V581" s="1111">
        <f t="shared" si="208"/>
        <v>44512.92351</v>
      </c>
      <c r="W581" s="1111">
        <f t="shared" si="208"/>
        <v>45738.94174</v>
      </c>
      <c r="X581" s="1111">
        <f t="shared" si="208"/>
        <v>45417.5147</v>
      </c>
      <c r="Y581" s="1111">
        <f t="shared" si="208"/>
        <v>36015.84487</v>
      </c>
      <c r="Z581" s="1111">
        <f t="shared" si="208"/>
        <v>33467.05571</v>
      </c>
      <c r="AA581" s="1111">
        <f t="shared" si="208"/>
        <v>43249.75744</v>
      </c>
      <c r="AB581" s="1111">
        <f t="shared" si="208"/>
        <v>36469.43905</v>
      </c>
      <c r="AC581" s="1111">
        <f t="shared" si="208"/>
        <v>48535.69897</v>
      </c>
      <c r="AD581" s="1111">
        <f t="shared" si="208"/>
        <v>36035.88422</v>
      </c>
      <c r="AE581" s="1111">
        <f t="shared" si="208"/>
        <v>35844.02109</v>
      </c>
      <c r="AF581" s="1111">
        <f t="shared" si="208"/>
        <v>30782.61957</v>
      </c>
      <c r="AG581" s="360">
        <f>SUM(B581:AF581)</f>
        <v>1340434.339</v>
      </c>
    </row>
    <row r="582">
      <c r="A582" s="42"/>
      <c r="B582" s="465"/>
      <c r="C582" s="465"/>
      <c r="D582" s="465"/>
      <c r="E582" s="465"/>
      <c r="F582" s="465"/>
      <c r="G582" s="465"/>
      <c r="H582" s="465"/>
      <c r="I582" s="465"/>
      <c r="J582" s="465"/>
      <c r="K582" s="465"/>
      <c r="L582" s="465"/>
      <c r="M582" s="465"/>
      <c r="N582" s="465"/>
      <c r="O582" s="465"/>
      <c r="P582" s="465"/>
      <c r="Q582" s="465"/>
      <c r="R582" s="465"/>
      <c r="S582" s="465"/>
      <c r="T582" s="465"/>
      <c r="U582" s="465"/>
      <c r="V582" s="465"/>
      <c r="W582" s="465"/>
      <c r="X582" s="465"/>
      <c r="Y582" s="465"/>
      <c r="Z582" s="465"/>
      <c r="AA582" s="465"/>
      <c r="AB582" s="465"/>
      <c r="AC582" s="465"/>
      <c r="AD582" s="465"/>
      <c r="AE582" s="465"/>
      <c r="AF582" s="465"/>
      <c r="AG582" s="11"/>
    </row>
    <row r="583">
      <c r="A583" s="347" t="s">
        <v>1029</v>
      </c>
      <c r="B583" s="276">
        <f t="shared" ref="B583:AF583" si="209">B141-B581</f>
        <v>8061.959133</v>
      </c>
      <c r="C583" s="276">
        <f t="shared" si="209"/>
        <v>8151.524974</v>
      </c>
      <c r="D583" s="276">
        <f t="shared" si="209"/>
        <v>2910.947691</v>
      </c>
      <c r="E583" s="276">
        <f t="shared" si="209"/>
        <v>2141.308948</v>
      </c>
      <c r="F583" s="276">
        <f t="shared" si="209"/>
        <v>610.3083851</v>
      </c>
      <c r="G583" s="276">
        <f t="shared" si="209"/>
        <v>3077.129665</v>
      </c>
      <c r="H583" s="276">
        <f t="shared" si="209"/>
        <v>3216.732431</v>
      </c>
      <c r="I583" s="276">
        <f t="shared" si="209"/>
        <v>7345.724795</v>
      </c>
      <c r="J583" s="276">
        <f t="shared" si="209"/>
        <v>2955.462657</v>
      </c>
      <c r="K583" s="276">
        <f t="shared" si="209"/>
        <v>1886.757064</v>
      </c>
      <c r="L583" s="276">
        <f t="shared" si="209"/>
        <v>2389.015707</v>
      </c>
      <c r="M583" s="276">
        <f t="shared" si="209"/>
        <v>8235.313492</v>
      </c>
      <c r="N583" s="276">
        <f t="shared" si="209"/>
        <v>19814.27501</v>
      </c>
      <c r="O583" s="276">
        <f t="shared" si="209"/>
        <v>10680.77962</v>
      </c>
      <c r="P583" s="276">
        <f t="shared" si="209"/>
        <v>3658.933362</v>
      </c>
      <c r="Q583" s="276">
        <f t="shared" si="209"/>
        <v>-263.2326279</v>
      </c>
      <c r="R583" s="276">
        <f t="shared" si="209"/>
        <v>-5898.535417</v>
      </c>
      <c r="S583" s="276">
        <f t="shared" si="209"/>
        <v>4075.705034</v>
      </c>
      <c r="T583" s="276">
        <f t="shared" si="209"/>
        <v>-1546.19667</v>
      </c>
      <c r="U583" s="276">
        <f t="shared" si="209"/>
        <v>2157.018541</v>
      </c>
      <c r="V583" s="276">
        <f t="shared" si="209"/>
        <v>-952.0835089</v>
      </c>
      <c r="W583" s="276">
        <f t="shared" si="209"/>
        <v>-1883.081745</v>
      </c>
      <c r="X583" s="276">
        <f t="shared" si="209"/>
        <v>-6479.684701</v>
      </c>
      <c r="Y583" s="276">
        <f t="shared" si="209"/>
        <v>-6027.144872</v>
      </c>
      <c r="Z583" s="276">
        <f t="shared" si="209"/>
        <v>-1115.995707</v>
      </c>
      <c r="AA583" s="276">
        <f t="shared" si="209"/>
        <v>-12912.24744</v>
      </c>
      <c r="AB583" s="276">
        <f t="shared" si="209"/>
        <v>-2292.149054</v>
      </c>
      <c r="AC583" s="276">
        <f t="shared" si="209"/>
        <v>-17182.58897</v>
      </c>
      <c r="AD583" s="276">
        <f t="shared" si="209"/>
        <v>-6104.134219</v>
      </c>
      <c r="AE583" s="276">
        <f t="shared" si="209"/>
        <v>-5068.931089</v>
      </c>
      <c r="AF583" s="276">
        <f t="shared" si="209"/>
        <v>2573.230426</v>
      </c>
      <c r="AG583" s="360">
        <f>SUM(B583:AF583)</f>
        <v>26216.1209</v>
      </c>
    </row>
    <row r="584">
      <c r="A584" s="1112">
        <f>SUM(B583:AF583)</f>
        <v>26216.1209</v>
      </c>
      <c r="B584" s="465"/>
      <c r="C584" s="465"/>
      <c r="D584" s="465"/>
      <c r="E584" s="465"/>
      <c r="F584" s="465"/>
      <c r="G584" s="465"/>
      <c r="H584" s="465"/>
      <c r="I584" s="465"/>
      <c r="J584" s="465"/>
      <c r="K584" s="465"/>
      <c r="L584" s="465"/>
      <c r="M584" s="465"/>
      <c r="N584" s="465"/>
      <c r="O584" s="465"/>
      <c r="P584" s="465"/>
      <c r="Q584" s="465"/>
      <c r="R584" s="465"/>
      <c r="S584" s="465"/>
      <c r="T584" s="465"/>
      <c r="U584" s="465"/>
      <c r="V584" s="465"/>
      <c r="W584" s="465"/>
      <c r="X584" s="465"/>
      <c r="Y584" s="465"/>
      <c r="Z584" s="465"/>
      <c r="AA584" s="465"/>
      <c r="AB584" s="465"/>
      <c r="AC584" s="465"/>
      <c r="AD584" s="465"/>
      <c r="AE584" s="465"/>
      <c r="AF584" s="465"/>
      <c r="AG584" s="1113"/>
    </row>
    <row r="585">
      <c r="A585" s="42"/>
      <c r="B585" s="465"/>
      <c r="C585" s="465"/>
      <c r="D585" s="465"/>
      <c r="E585" s="465"/>
      <c r="F585" s="465"/>
      <c r="G585" s="465"/>
      <c r="H585" s="465"/>
      <c r="I585" s="465"/>
      <c r="J585" s="465"/>
      <c r="K585" s="465"/>
      <c r="L585" s="465"/>
      <c r="M585" s="465"/>
      <c r="N585" s="465"/>
      <c r="O585" s="465"/>
      <c r="P585" s="465"/>
      <c r="Q585" s="465"/>
      <c r="R585" s="465"/>
      <c r="S585" s="465"/>
      <c r="T585" s="465"/>
      <c r="U585" s="465"/>
      <c r="V585" s="465"/>
      <c r="W585" s="465"/>
      <c r="X585" s="465"/>
      <c r="Y585" s="465"/>
      <c r="Z585" s="465"/>
      <c r="AA585" s="465"/>
      <c r="AB585" s="465"/>
      <c r="AC585" s="465"/>
      <c r="AD585" s="465"/>
      <c r="AE585" s="465"/>
      <c r="AF585" s="465"/>
      <c r="AG585" s="1113"/>
    </row>
    <row r="586">
      <c r="A586" s="1114" t="s">
        <v>1030</v>
      </c>
      <c r="B586" s="1115">
        <f t="shared" ref="B586:AE586" si="210">B583/B141</f>
        <v>0.2031134086</v>
      </c>
      <c r="C586" s="1115">
        <f t="shared" si="210"/>
        <v>0.1804543006</v>
      </c>
      <c r="D586" s="1115">
        <f t="shared" si="210"/>
        <v>0.07477667908</v>
      </c>
      <c r="E586" s="1115">
        <f t="shared" si="210"/>
        <v>0.05104035916</v>
      </c>
      <c r="F586" s="1115">
        <f t="shared" si="210"/>
        <v>0.01530252307</v>
      </c>
      <c r="G586" s="1115">
        <f t="shared" si="210"/>
        <v>0.06982715195</v>
      </c>
      <c r="H586" s="1115">
        <f t="shared" si="210"/>
        <v>0.07085446381</v>
      </c>
      <c r="I586" s="1115">
        <f t="shared" si="210"/>
        <v>0.1361726019</v>
      </c>
      <c r="J586" s="1115">
        <f t="shared" si="210"/>
        <v>0.0580660615</v>
      </c>
      <c r="K586" s="1115">
        <f t="shared" si="210"/>
        <v>0.038912734</v>
      </c>
      <c r="L586" s="1115">
        <f t="shared" si="210"/>
        <v>0.05001108876</v>
      </c>
      <c r="M586" s="1115">
        <f t="shared" si="210"/>
        <v>0.1689982508</v>
      </c>
      <c r="N586" s="1115">
        <f t="shared" si="210"/>
        <v>0.2582834596</v>
      </c>
      <c r="O586" s="1115">
        <f t="shared" si="210"/>
        <v>0.1552386776</v>
      </c>
      <c r="P586" s="1115">
        <f t="shared" si="210"/>
        <v>0.06176621091</v>
      </c>
      <c r="Q586" s="1115">
        <f t="shared" si="210"/>
        <v>-0.00448672452</v>
      </c>
      <c r="R586" s="1115">
        <f t="shared" si="210"/>
        <v>-0.1849939962</v>
      </c>
      <c r="S586" s="1115">
        <f t="shared" si="210"/>
        <v>0.07107150725</v>
      </c>
      <c r="T586" s="1115">
        <f t="shared" si="210"/>
        <v>-0.03696253179</v>
      </c>
      <c r="U586" s="1115">
        <f t="shared" si="210"/>
        <v>0.04437184024</v>
      </c>
      <c r="V586" s="1115">
        <f t="shared" si="210"/>
        <v>-0.02185640839</v>
      </c>
      <c r="W586" s="1115">
        <f t="shared" si="210"/>
        <v>-0.04293797328</v>
      </c>
      <c r="X586" s="1115">
        <f t="shared" si="210"/>
        <v>-0.1664110378</v>
      </c>
      <c r="Y586" s="1115">
        <f t="shared" si="210"/>
        <v>-0.2009805317</v>
      </c>
      <c r="Z586" s="1115">
        <f t="shared" si="210"/>
        <v>-0.03449641859</v>
      </c>
      <c r="AA586" s="1115">
        <f t="shared" si="210"/>
        <v>-0.4256198824</v>
      </c>
      <c r="AB586" s="1115">
        <f t="shared" si="210"/>
        <v>-0.06706643663</v>
      </c>
      <c r="AC586" s="1115">
        <f t="shared" si="210"/>
        <v>-0.5480345961</v>
      </c>
      <c r="AD586" s="1115">
        <f t="shared" si="210"/>
        <v>-0.203935093</v>
      </c>
      <c r="AE586" s="1115">
        <f t="shared" si="210"/>
        <v>-0.1647088957</v>
      </c>
      <c r="AF586" s="1115"/>
      <c r="AG586" s="1113"/>
    </row>
    <row r="587">
      <c r="A587" s="1116" t="s">
        <v>1031</v>
      </c>
      <c r="B587" s="1117">
        <f t="shared" ref="B587:AE587" si="211">(B141-B518-B519-B520)/B489</f>
        <v>3.259500912</v>
      </c>
      <c r="C587" s="1117">
        <f t="shared" si="211"/>
        <v>3.109911473</v>
      </c>
      <c r="D587" s="1117">
        <f t="shared" si="211"/>
        <v>2.381730346</v>
      </c>
      <c r="E587" s="1117">
        <f t="shared" si="211"/>
        <v>2.263203652</v>
      </c>
      <c r="F587" s="1117">
        <f t="shared" si="211"/>
        <v>2.241848482</v>
      </c>
      <c r="G587" s="1117">
        <f t="shared" si="211"/>
        <v>2.457119555</v>
      </c>
      <c r="H587" s="1117">
        <f t="shared" si="211"/>
        <v>2.501407306</v>
      </c>
      <c r="I587" s="1117">
        <f t="shared" si="211"/>
        <v>2.853159095</v>
      </c>
      <c r="J587" s="1117">
        <f t="shared" si="211"/>
        <v>2.275460052</v>
      </c>
      <c r="K587" s="1117">
        <f t="shared" si="211"/>
        <v>2.269102915</v>
      </c>
      <c r="L587" s="1117">
        <f t="shared" si="211"/>
        <v>2.424783619</v>
      </c>
      <c r="M587" s="1117">
        <f t="shared" si="211"/>
        <v>3.427037907</v>
      </c>
      <c r="N587" s="1117">
        <f t="shared" si="211"/>
        <v>5.317961149</v>
      </c>
      <c r="O587" s="1117">
        <f t="shared" si="211"/>
        <v>3.691677842</v>
      </c>
      <c r="P587" s="1117">
        <f t="shared" si="211"/>
        <v>2.462066979</v>
      </c>
      <c r="Q587" s="1117">
        <f t="shared" si="211"/>
        <v>2.129074805</v>
      </c>
      <c r="R587" s="1117">
        <f t="shared" si="211"/>
        <v>1.561285795</v>
      </c>
      <c r="S587" s="1117">
        <f t="shared" si="211"/>
        <v>2.60879583</v>
      </c>
      <c r="T587" s="1117">
        <f t="shared" si="211"/>
        <v>1.954656781</v>
      </c>
      <c r="U587" s="1117">
        <f t="shared" si="211"/>
        <v>2.247466991</v>
      </c>
      <c r="V587" s="1117">
        <f t="shared" si="211"/>
        <v>1.919356906</v>
      </c>
      <c r="W587" s="1117">
        <f t="shared" si="211"/>
        <v>1.763450658</v>
      </c>
      <c r="X587" s="1117">
        <f t="shared" si="211"/>
        <v>1.419594686</v>
      </c>
      <c r="Y587" s="1117">
        <f t="shared" si="211"/>
        <v>1.506842</v>
      </c>
      <c r="Z587" s="1117">
        <f t="shared" si="211"/>
        <v>1.828337767</v>
      </c>
      <c r="AA587" s="1117">
        <f t="shared" si="211"/>
        <v>1.803106632</v>
      </c>
      <c r="AB587" s="1117">
        <f t="shared" si="211"/>
        <v>2.279618295</v>
      </c>
      <c r="AC587" s="1117">
        <f t="shared" si="211"/>
        <v>2.112178039</v>
      </c>
      <c r="AD587" s="1117">
        <f t="shared" si="211"/>
        <v>2.195421788</v>
      </c>
      <c r="AE587" s="1117">
        <f t="shared" si="211"/>
        <v>2.395849404</v>
      </c>
      <c r="AF587" s="1117"/>
      <c r="AG587" s="1113"/>
    </row>
    <row r="588">
      <c r="A588" s="534" t="s">
        <v>627</v>
      </c>
      <c r="B588" s="1117">
        <f>'OLD Sales'!B28</f>
        <v>4.336847383</v>
      </c>
      <c r="C588" s="1117">
        <f>'OLD Sales'!C28</f>
        <v>3.281553369</v>
      </c>
      <c r="D588" s="1117">
        <f>'OLD Sales'!D28</f>
        <v>2.704984424</v>
      </c>
      <c r="E588" s="1117">
        <f>'OLD Sales'!E28</f>
        <v>2.511693295</v>
      </c>
      <c r="F588" s="1117">
        <f>'OLD Sales'!F28</f>
        <v>2.432395228</v>
      </c>
      <c r="G588" s="1117">
        <f>'OLD Sales'!G28</f>
        <v>2.596213544</v>
      </c>
      <c r="H588" s="1117">
        <f>'OLD Sales'!H28</f>
        <v>2.803126994</v>
      </c>
      <c r="I588" s="1117">
        <f>'OLD Sales'!I28</f>
        <v>3.022497837</v>
      </c>
      <c r="J588" s="1117">
        <f>'OLD Sales'!J28</f>
        <v>2.644215604</v>
      </c>
      <c r="K588" s="1117">
        <f>'OLD Sales'!K28</f>
        <v>2.295214368</v>
      </c>
      <c r="L588" s="1117">
        <f>'OLD Sales'!L28</f>
        <v>2.772308277</v>
      </c>
      <c r="M588" s="1117">
        <f>'OLD Sales'!M28</f>
        <v>3.871946382</v>
      </c>
      <c r="N588" s="1117">
        <f>'OLD Sales'!N28</f>
        <v>5.929217215</v>
      </c>
      <c r="O588" s="1117">
        <f>'OLD Sales'!O28</f>
        <v>3.934771419</v>
      </c>
      <c r="P588" s="1117">
        <f>'OLD Sales'!P28</f>
        <v>2.691194834</v>
      </c>
      <c r="Q588" s="1117">
        <f>'OLD Sales'!Q28</f>
        <v>2.327081159</v>
      </c>
      <c r="R588" s="1117">
        <f>'OLD Sales'!R28</f>
        <v>1.67434758</v>
      </c>
      <c r="S588" s="1117">
        <f>'OLD Sales'!S28</f>
        <v>2.917414969</v>
      </c>
      <c r="T588" s="1117">
        <f>'OLD Sales'!T28</f>
        <v>2.135615884</v>
      </c>
      <c r="U588" s="1117">
        <f>'OLD Sales'!U28</f>
        <v>2.317925685</v>
      </c>
      <c r="V588" s="1117">
        <f>'OLD Sales'!V28</f>
        <v>2.276153027</v>
      </c>
      <c r="W588" s="1117">
        <f>'OLD Sales'!W28</f>
        <v>1.792214094</v>
      </c>
      <c r="X588" s="1117">
        <f>'OLD Sales'!X28</f>
        <v>1.552657199</v>
      </c>
      <c r="Y588" s="1117">
        <f>'OLD Sales'!Y28</f>
        <v>1.684358305</v>
      </c>
      <c r="Z588" s="1117">
        <f>'OLD Sales'!Z28</f>
        <v>2.172079036</v>
      </c>
      <c r="AA588" s="1117">
        <f>'OLD Sales'!AA28</f>
        <v>1.913742296</v>
      </c>
      <c r="AB588" s="1117">
        <f>'OLD Sales'!AB28</f>
        <v>2.433791876</v>
      </c>
      <c r="AC588" s="1117">
        <f>'OLD Sales'!AC28</f>
        <v>2.251650984</v>
      </c>
      <c r="AD588" s="1117">
        <f>'OLD Sales'!AD28</f>
        <v>2.569240083</v>
      </c>
      <c r="AE588" s="1117">
        <f>'OLD Sales'!AE28</f>
        <v>2.561588789</v>
      </c>
      <c r="AF588" s="777"/>
      <c r="AG588" s="1113"/>
    </row>
    <row r="589">
      <c r="A589" s="42"/>
      <c r="B589" s="739"/>
      <c r="C589" s="327"/>
      <c r="D589" s="327"/>
      <c r="E589" s="327"/>
      <c r="F589" s="327"/>
      <c r="G589" s="327"/>
      <c r="H589" s="327"/>
      <c r="I589" s="327"/>
      <c r="J589" s="327"/>
      <c r="K589" s="327"/>
      <c r="L589" s="327"/>
      <c r="M589" s="327"/>
      <c r="N589" s="327"/>
      <c r="O589" s="327"/>
      <c r="P589" s="327"/>
      <c r="Q589" s="327"/>
      <c r="R589" s="327"/>
      <c r="S589" s="327"/>
      <c r="T589" s="327"/>
      <c r="U589" s="327"/>
      <c r="V589" s="327"/>
      <c r="W589" s="327"/>
      <c r="X589" s="327"/>
      <c r="Y589" s="327"/>
      <c r="Z589" s="327"/>
      <c r="AA589" s="327"/>
      <c r="AB589" s="327"/>
      <c r="AC589" s="327"/>
      <c r="AD589" s="327"/>
      <c r="AE589" s="327"/>
      <c r="AF589" s="327"/>
      <c r="AG589" s="330"/>
    </row>
    <row r="590">
      <c r="A590" s="24"/>
      <c r="B590" s="1118"/>
      <c r="C590" s="913"/>
      <c r="D590" s="913"/>
      <c r="E590" s="913"/>
      <c r="F590" s="913"/>
      <c r="G590" s="913"/>
      <c r="H590" s="913"/>
      <c r="I590" s="913"/>
      <c r="J590" s="913"/>
      <c r="K590" s="913"/>
      <c r="L590" s="913"/>
      <c r="M590" s="913"/>
      <c r="N590" s="913"/>
      <c r="O590" s="913"/>
      <c r="P590" s="913"/>
      <c r="Q590" s="913"/>
      <c r="R590" s="913"/>
      <c r="S590" s="913"/>
      <c r="T590" s="913"/>
      <c r="U590" s="24"/>
      <c r="V590" s="24"/>
      <c r="W590" s="24"/>
      <c r="X590" s="24"/>
      <c r="Y590" s="24"/>
      <c r="Z590" s="24"/>
      <c r="AA590" s="24"/>
      <c r="AB590" s="24"/>
      <c r="AC590" s="24"/>
      <c r="AD590" s="24"/>
      <c r="AE590" s="24"/>
      <c r="AF590" s="24"/>
      <c r="AG590" s="330"/>
    </row>
    <row r="591">
      <c r="A591" s="534" t="s">
        <v>167</v>
      </c>
      <c r="B591" s="1119"/>
      <c r="C591" s="1119"/>
      <c r="D591" s="1119"/>
      <c r="E591" s="1119"/>
      <c r="F591" s="1119"/>
      <c r="G591" s="1119"/>
      <c r="H591" s="1119"/>
      <c r="I591" s="1119"/>
      <c r="J591" s="1119"/>
      <c r="K591" s="1119"/>
      <c r="L591" s="1119"/>
      <c r="M591" s="1119"/>
      <c r="N591" s="1119"/>
      <c r="O591" s="1119"/>
      <c r="P591" s="1119"/>
      <c r="Q591" s="1119"/>
      <c r="R591" s="1119"/>
      <c r="S591" s="1119"/>
      <c r="T591" s="1119"/>
      <c r="U591" s="1119"/>
      <c r="V591" s="1119"/>
      <c r="W591" s="1119"/>
      <c r="X591" s="1119"/>
      <c r="Y591" s="1119"/>
      <c r="Z591" s="1119"/>
      <c r="AA591" s="327"/>
      <c r="AB591" s="1119"/>
      <c r="AC591" s="1119"/>
      <c r="AD591" s="1119"/>
      <c r="AE591" s="1119"/>
      <c r="AF591" s="1119"/>
      <c r="AG591" s="330"/>
    </row>
    <row r="592">
      <c r="A592" s="468">
        <f>SUM(B141:AE141)</f>
        <v>1333294.61</v>
      </c>
      <c r="B592" s="1119"/>
      <c r="C592" s="1119"/>
      <c r="D592" s="1119"/>
      <c r="E592" s="1119"/>
      <c r="F592" s="1119"/>
      <c r="G592" s="1119"/>
      <c r="H592" s="1119"/>
      <c r="I592" s="1119"/>
      <c r="J592" s="1119"/>
      <c r="K592" s="1119"/>
      <c r="L592" s="1119"/>
      <c r="M592" s="1119"/>
      <c r="N592" s="1119"/>
      <c r="O592" s="1119"/>
      <c r="P592" s="1119"/>
      <c r="Q592" s="1119"/>
      <c r="R592" s="1119"/>
      <c r="S592" s="1119"/>
      <c r="T592" s="1119"/>
      <c r="U592" s="1119"/>
      <c r="V592" s="1119"/>
      <c r="W592" s="1119"/>
      <c r="X592" s="1119"/>
      <c r="Y592" s="1119"/>
      <c r="Z592" s="1119"/>
      <c r="AA592" s="1119"/>
      <c r="AB592" s="1119"/>
      <c r="AC592" s="1119"/>
      <c r="AD592" s="1119"/>
      <c r="AE592" s="1119"/>
      <c r="AF592" s="1119"/>
      <c r="AG592" s="1120"/>
    </row>
    <row r="593">
      <c r="A593" s="42"/>
      <c r="B593" s="327"/>
      <c r="C593" s="327"/>
      <c r="D593" s="327"/>
      <c r="E593" s="327"/>
      <c r="F593" s="327"/>
      <c r="G593" s="327"/>
      <c r="H593" s="327"/>
      <c r="I593" s="327"/>
      <c r="J593" s="327"/>
      <c r="K593" s="327"/>
      <c r="L593" s="327"/>
      <c r="M593" s="327"/>
      <c r="N593" s="327"/>
      <c r="O593" s="327"/>
      <c r="P593" s="327"/>
      <c r="Q593" s="327"/>
      <c r="R593" s="327"/>
      <c r="S593" s="327"/>
      <c r="T593" s="327"/>
      <c r="U593" s="327"/>
      <c r="V593" s="327"/>
      <c r="W593" s="327"/>
      <c r="X593" s="327"/>
      <c r="Y593" s="327"/>
      <c r="Z593" s="327"/>
      <c r="AA593" s="327"/>
      <c r="AB593" s="327"/>
      <c r="AC593" s="327"/>
      <c r="AD593" s="327"/>
      <c r="AE593" s="327"/>
      <c r="AF593" s="327"/>
      <c r="AG593" s="330"/>
    </row>
    <row r="594">
      <c r="A594" s="1114" t="s">
        <v>455</v>
      </c>
      <c r="B594" s="327"/>
      <c r="C594" s="327"/>
      <c r="D594" s="327"/>
      <c r="E594" s="327"/>
      <c r="F594" s="327"/>
      <c r="G594" s="327"/>
      <c r="H594" s="327"/>
      <c r="I594" s="327"/>
      <c r="J594" s="327"/>
      <c r="K594" s="327"/>
      <c r="L594" s="327"/>
      <c r="M594" s="327"/>
      <c r="N594" s="327"/>
      <c r="O594" s="327"/>
      <c r="P594" s="327"/>
      <c r="Q594" s="327"/>
      <c r="R594" s="327"/>
      <c r="S594" s="327"/>
      <c r="T594" s="327"/>
      <c r="U594" s="327"/>
      <c r="V594" s="327"/>
      <c r="W594" s="327"/>
      <c r="X594" s="327"/>
      <c r="Y594" s="327"/>
      <c r="Z594" s="327"/>
      <c r="AA594" s="327"/>
      <c r="AB594" s="327"/>
      <c r="AC594" s="327"/>
      <c r="AD594" s="327"/>
      <c r="AE594" s="327"/>
      <c r="AF594" s="327"/>
      <c r="AG594" s="330"/>
    </row>
    <row r="595">
      <c r="A595" s="468">
        <f>SUM(B581:AE581)</f>
        <v>1309651.72</v>
      </c>
      <c r="B595" s="327"/>
      <c r="C595" s="327"/>
      <c r="D595" s="327"/>
      <c r="E595" s="327"/>
      <c r="F595" s="327"/>
      <c r="G595" s="327"/>
      <c r="H595" s="327"/>
      <c r="I595" s="327"/>
      <c r="J595" s="327"/>
      <c r="K595" s="327"/>
      <c r="L595" s="327"/>
      <c r="M595" s="327"/>
      <c r="N595" s="327"/>
      <c r="O595" s="327"/>
      <c r="P595" s="327"/>
      <c r="Q595" s="327"/>
      <c r="R595" s="327"/>
      <c r="S595" s="327"/>
      <c r="T595" s="327"/>
      <c r="U595" s="327"/>
      <c r="V595" s="327"/>
      <c r="W595" s="327"/>
      <c r="X595" s="327"/>
      <c r="Y595" s="327"/>
      <c r="Z595" s="327"/>
      <c r="AA595" s="327"/>
      <c r="AB595" s="327"/>
      <c r="AC595" s="327"/>
      <c r="AD595" s="327"/>
      <c r="AE595" s="327"/>
      <c r="AF595" s="327"/>
      <c r="AG595" s="330"/>
    </row>
    <row r="596">
      <c r="A596" s="42"/>
      <c r="B596" s="327"/>
      <c r="C596" s="327"/>
      <c r="D596" s="327"/>
      <c r="E596" s="327"/>
      <c r="F596" s="327"/>
      <c r="G596" s="327"/>
      <c r="H596" s="327"/>
      <c r="I596" s="327"/>
      <c r="J596" s="327"/>
      <c r="K596" s="327"/>
      <c r="L596" s="327"/>
      <c r="M596" s="327"/>
      <c r="N596" s="327"/>
      <c r="O596" s="327"/>
      <c r="P596" s="327"/>
      <c r="Q596" s="327"/>
      <c r="R596" s="327"/>
      <c r="S596" s="327"/>
      <c r="T596" s="327"/>
      <c r="U596" s="327"/>
      <c r="V596" s="327"/>
      <c r="W596" s="327"/>
      <c r="X596" s="327"/>
      <c r="Y596" s="327"/>
      <c r="Z596" s="327"/>
      <c r="AA596" s="327"/>
      <c r="AB596" s="327"/>
      <c r="AC596" s="327"/>
      <c r="AD596" s="327"/>
      <c r="AE596" s="327"/>
      <c r="AF596" s="327"/>
      <c r="AG596" s="330"/>
    </row>
    <row r="597">
      <c r="A597" s="1114" t="s">
        <v>827</v>
      </c>
      <c r="B597" s="327"/>
      <c r="C597" s="327"/>
      <c r="D597" s="327"/>
      <c r="E597" s="327"/>
      <c r="F597" s="327"/>
      <c r="G597" s="327"/>
      <c r="H597" s="327"/>
      <c r="I597" s="327"/>
      <c r="J597" s="327"/>
      <c r="K597" s="327"/>
      <c r="L597" s="327"/>
      <c r="M597" s="327"/>
      <c r="N597" s="327"/>
      <c r="O597" s="327"/>
      <c r="P597" s="327"/>
      <c r="Q597" s="327"/>
      <c r="R597" s="327"/>
      <c r="S597" s="327"/>
      <c r="T597" s="327"/>
      <c r="U597" s="327"/>
      <c r="V597" s="327"/>
      <c r="W597" s="327"/>
      <c r="X597" s="327"/>
      <c r="Y597" s="327"/>
      <c r="Z597" s="327"/>
      <c r="AA597" s="327"/>
      <c r="AB597" s="327"/>
      <c r="AC597" s="327"/>
      <c r="AD597" s="327"/>
      <c r="AE597" s="327"/>
      <c r="AF597" s="327"/>
      <c r="AG597" s="330"/>
    </row>
    <row r="598">
      <c r="A598" s="595">
        <f>A584/A592</f>
        <v>0.01966266173</v>
      </c>
      <c r="B598" s="327"/>
      <c r="C598" s="327"/>
      <c r="D598" s="327"/>
      <c r="E598" s="327"/>
      <c r="F598" s="327"/>
      <c r="G598" s="327"/>
      <c r="H598" s="327"/>
      <c r="I598" s="327"/>
      <c r="J598" s="327"/>
      <c r="K598" s="327"/>
      <c r="L598" s="327"/>
      <c r="M598" s="327"/>
      <c r="N598" s="327"/>
      <c r="O598" s="327"/>
      <c r="P598" s="327"/>
      <c r="Q598" s="327"/>
      <c r="R598" s="327"/>
      <c r="S598" s="327"/>
      <c r="T598" s="327"/>
      <c r="U598" s="327"/>
      <c r="V598" s="327"/>
      <c r="W598" s="327"/>
      <c r="X598" s="327"/>
      <c r="Y598" s="327"/>
      <c r="Z598" s="327"/>
      <c r="AA598" s="327"/>
      <c r="AB598" s="327"/>
      <c r="AC598" s="327"/>
      <c r="AD598" s="327"/>
      <c r="AE598" s="327"/>
      <c r="AF598" s="327"/>
      <c r="AG598" s="330"/>
    </row>
    <row r="599">
      <c r="A599" s="42"/>
      <c r="B599" s="327"/>
      <c r="C599" s="327"/>
      <c r="D599" s="327"/>
      <c r="E599" s="327"/>
      <c r="F599" s="327"/>
      <c r="G599" s="327"/>
      <c r="H599" s="327"/>
      <c r="I599" s="327"/>
      <c r="J599" s="327"/>
      <c r="K599" s="327"/>
      <c r="L599" s="327"/>
      <c r="M599" s="327"/>
      <c r="N599" s="327"/>
      <c r="O599" s="327"/>
      <c r="P599" s="327"/>
      <c r="Q599" s="327"/>
      <c r="R599" s="327"/>
      <c r="S599" s="327"/>
      <c r="T599" s="327"/>
      <c r="U599" s="327"/>
      <c r="V599" s="327"/>
      <c r="W599" s="327"/>
      <c r="X599" s="327"/>
      <c r="Y599" s="327"/>
      <c r="Z599" s="327"/>
      <c r="AA599" s="327"/>
      <c r="AB599" s="327"/>
      <c r="AC599" s="327"/>
      <c r="AD599" s="327"/>
      <c r="AE599" s="327"/>
      <c r="AF599" s="327"/>
      <c r="AG599" s="330"/>
    </row>
    <row r="600">
      <c r="A600" s="835"/>
      <c r="AG600" s="911"/>
    </row>
    <row r="601">
      <c r="A601" s="835"/>
      <c r="AG601" s="911"/>
    </row>
    <row r="602">
      <c r="A602" s="835"/>
      <c r="AG602" s="911"/>
    </row>
    <row r="603">
      <c r="A603" s="835"/>
      <c r="AG603" s="911"/>
    </row>
    <row r="604">
      <c r="A604" s="835"/>
      <c r="AG604" s="911"/>
    </row>
    <row r="605">
      <c r="A605" s="835"/>
      <c r="AG605" s="911"/>
    </row>
    <row r="606">
      <c r="A606" s="835"/>
      <c r="AG606" s="911"/>
    </row>
    <row r="607">
      <c r="A607" s="835"/>
      <c r="AG607" s="911"/>
    </row>
    <row r="608">
      <c r="A608" s="835"/>
      <c r="AG608" s="911"/>
    </row>
    <row r="609">
      <c r="A609" s="835"/>
      <c r="AG609" s="911"/>
    </row>
    <row r="610">
      <c r="A610" s="835"/>
      <c r="AG610" s="911"/>
    </row>
    <row r="611">
      <c r="A611" s="835"/>
      <c r="AG611" s="911"/>
    </row>
    <row r="612">
      <c r="A612" s="835"/>
      <c r="AG612" s="911"/>
    </row>
    <row r="613">
      <c r="A613" s="835"/>
      <c r="AG613" s="911"/>
    </row>
    <row r="614">
      <c r="A614" s="835"/>
      <c r="AG614" s="911"/>
    </row>
    <row r="615">
      <c r="A615" s="835"/>
      <c r="AG615" s="911"/>
    </row>
    <row r="616">
      <c r="A616" s="835"/>
      <c r="AG616" s="911"/>
    </row>
    <row r="617">
      <c r="A617" s="835"/>
      <c r="AG617" s="911"/>
    </row>
    <row r="618">
      <c r="A618" s="835"/>
      <c r="AG618" s="911"/>
    </row>
    <row r="619">
      <c r="A619" s="835"/>
      <c r="AG619" s="911"/>
    </row>
    <row r="620">
      <c r="A620" s="835"/>
      <c r="AG620" s="911"/>
    </row>
    <row r="621">
      <c r="A621" s="835"/>
      <c r="AG621" s="911"/>
    </row>
    <row r="622">
      <c r="A622" s="835"/>
      <c r="AG622" s="911"/>
    </row>
    <row r="623">
      <c r="A623" s="835"/>
      <c r="AG623" s="911"/>
    </row>
    <row r="624">
      <c r="A624" s="835"/>
      <c r="AG624" s="911"/>
    </row>
    <row r="625">
      <c r="A625" s="835"/>
      <c r="AG625" s="911"/>
    </row>
    <row r="626">
      <c r="A626" s="835"/>
      <c r="AG626" s="911"/>
    </row>
    <row r="627">
      <c r="A627" s="835"/>
      <c r="AG627" s="911"/>
    </row>
    <row r="628">
      <c r="A628" s="835"/>
      <c r="AG628" s="911"/>
    </row>
    <row r="629">
      <c r="A629" s="835"/>
      <c r="AG629" s="911"/>
    </row>
    <row r="630">
      <c r="A630" s="835"/>
      <c r="AG630" s="911"/>
    </row>
    <row r="631">
      <c r="A631" s="835"/>
      <c r="AG631" s="911"/>
    </row>
    <row r="632">
      <c r="A632" s="835"/>
      <c r="AG632" s="911"/>
    </row>
    <row r="633">
      <c r="A633" s="835"/>
      <c r="AG633" s="911"/>
    </row>
    <row r="634">
      <c r="A634" s="835"/>
      <c r="AG634" s="911"/>
    </row>
    <row r="635">
      <c r="A635" s="835"/>
      <c r="AG635" s="911"/>
    </row>
    <row r="636">
      <c r="A636" s="835"/>
      <c r="AG636" s="911"/>
    </row>
    <row r="637">
      <c r="A637" s="835"/>
      <c r="AG637" s="911"/>
    </row>
    <row r="638">
      <c r="A638" s="835"/>
      <c r="AG638" s="911"/>
    </row>
    <row r="639">
      <c r="A639" s="835"/>
      <c r="AG639" s="911"/>
    </row>
    <row r="640">
      <c r="A640" s="835"/>
      <c r="AG640" s="911"/>
    </row>
    <row r="641">
      <c r="A641" s="835"/>
      <c r="AG641" s="911"/>
    </row>
    <row r="642">
      <c r="A642" s="835"/>
      <c r="AG642" s="911"/>
    </row>
    <row r="643">
      <c r="A643" s="835"/>
      <c r="AG643" s="911"/>
    </row>
    <row r="644">
      <c r="A644" s="835"/>
      <c r="AG644" s="911"/>
    </row>
    <row r="645">
      <c r="A645" s="835"/>
      <c r="AG645" s="911"/>
    </row>
    <row r="646">
      <c r="A646" s="835"/>
      <c r="AG646" s="911"/>
    </row>
    <row r="647">
      <c r="A647" s="835"/>
      <c r="AG647" s="911"/>
    </row>
    <row r="648">
      <c r="A648" s="835"/>
      <c r="AG648" s="911"/>
    </row>
    <row r="649">
      <c r="A649" s="835"/>
      <c r="AG649" s="911"/>
    </row>
    <row r="650">
      <c r="A650" s="835"/>
      <c r="AG650" s="911"/>
    </row>
    <row r="651">
      <c r="A651" s="835"/>
      <c r="AG651" s="911"/>
    </row>
    <row r="652">
      <c r="A652" s="835"/>
      <c r="AG652" s="911"/>
    </row>
    <row r="653">
      <c r="A653" s="835"/>
      <c r="AG653" s="911"/>
    </row>
    <row r="654">
      <c r="A654" s="835"/>
      <c r="AG654" s="911"/>
    </row>
    <row r="655">
      <c r="A655" s="835"/>
      <c r="AG655" s="911"/>
    </row>
    <row r="656">
      <c r="A656" s="835"/>
      <c r="AG656" s="911"/>
    </row>
    <row r="657">
      <c r="A657" s="835"/>
      <c r="AG657" s="911"/>
    </row>
    <row r="658">
      <c r="A658" s="835"/>
      <c r="AG658" s="911"/>
    </row>
    <row r="659">
      <c r="A659" s="835"/>
      <c r="AG659" s="911"/>
    </row>
    <row r="660">
      <c r="A660" s="835"/>
      <c r="AG660" s="911"/>
    </row>
    <row r="661">
      <c r="A661" s="835"/>
      <c r="AG661" s="911"/>
    </row>
    <row r="662">
      <c r="A662" s="835"/>
      <c r="AG662" s="911"/>
    </row>
    <row r="663">
      <c r="A663" s="835"/>
      <c r="AG663" s="911"/>
    </row>
    <row r="664">
      <c r="A664" s="835"/>
      <c r="AG664" s="911"/>
    </row>
    <row r="665">
      <c r="A665" s="835"/>
      <c r="AG665" s="911"/>
    </row>
    <row r="666">
      <c r="A666" s="835"/>
      <c r="AG666" s="911"/>
    </row>
    <row r="667">
      <c r="A667" s="835"/>
      <c r="AG667" s="911"/>
    </row>
    <row r="668">
      <c r="A668" s="835"/>
      <c r="AG668" s="911"/>
    </row>
    <row r="669">
      <c r="A669" s="835"/>
      <c r="AG669" s="911"/>
    </row>
    <row r="670">
      <c r="A670" s="835"/>
      <c r="AG670" s="911"/>
    </row>
    <row r="671">
      <c r="A671" s="835"/>
      <c r="AG671" s="911"/>
    </row>
    <row r="672">
      <c r="A672" s="835"/>
      <c r="AG672" s="911"/>
    </row>
    <row r="673">
      <c r="A673" s="835"/>
      <c r="AG673" s="911"/>
    </row>
    <row r="674">
      <c r="A674" s="835"/>
      <c r="AG674" s="911"/>
    </row>
    <row r="675">
      <c r="A675" s="835"/>
      <c r="AG675" s="911"/>
    </row>
    <row r="676">
      <c r="A676" s="835"/>
      <c r="AG676" s="911"/>
    </row>
    <row r="677">
      <c r="A677" s="835"/>
      <c r="AG677" s="911"/>
    </row>
    <row r="678">
      <c r="A678" s="835"/>
      <c r="AG678" s="911"/>
    </row>
    <row r="679">
      <c r="A679" s="835"/>
      <c r="AG679" s="911"/>
    </row>
    <row r="680">
      <c r="A680" s="835"/>
      <c r="AG680" s="911"/>
    </row>
    <row r="681">
      <c r="A681" s="835"/>
      <c r="AG681" s="911"/>
    </row>
    <row r="682">
      <c r="A682" s="835"/>
      <c r="AG682" s="911"/>
    </row>
    <row r="683">
      <c r="A683" s="835"/>
      <c r="AG683" s="911"/>
    </row>
    <row r="684">
      <c r="A684" s="835"/>
      <c r="AG684" s="911"/>
    </row>
    <row r="685">
      <c r="A685" s="835"/>
      <c r="AG685" s="911"/>
    </row>
    <row r="686">
      <c r="A686" s="835"/>
      <c r="AG686" s="911"/>
    </row>
    <row r="687">
      <c r="A687" s="835"/>
      <c r="AG687" s="911"/>
    </row>
    <row r="688">
      <c r="A688" s="835"/>
      <c r="AG688" s="911"/>
    </row>
    <row r="689">
      <c r="A689" s="835"/>
      <c r="AG689" s="911"/>
    </row>
    <row r="690">
      <c r="A690" s="835"/>
      <c r="AG690" s="911"/>
    </row>
    <row r="691">
      <c r="A691" s="835"/>
      <c r="AG691" s="911"/>
    </row>
    <row r="692">
      <c r="A692" s="835"/>
      <c r="AG692" s="911"/>
    </row>
    <row r="693">
      <c r="A693" s="835"/>
      <c r="AG693" s="911"/>
    </row>
    <row r="694">
      <c r="A694" s="835"/>
      <c r="AG694" s="911"/>
    </row>
    <row r="695">
      <c r="A695" s="835"/>
      <c r="AG695" s="911"/>
    </row>
    <row r="696">
      <c r="A696" s="835"/>
      <c r="AG696" s="911"/>
    </row>
    <row r="697">
      <c r="A697" s="835"/>
      <c r="AG697" s="911"/>
    </row>
    <row r="698">
      <c r="A698" s="835"/>
      <c r="AG698" s="911"/>
    </row>
    <row r="699">
      <c r="A699" s="835"/>
      <c r="AG699" s="911"/>
    </row>
    <row r="700">
      <c r="A700" s="835"/>
      <c r="AG700" s="911"/>
    </row>
    <row r="701">
      <c r="A701" s="835"/>
      <c r="AG701" s="911"/>
    </row>
    <row r="702">
      <c r="A702" s="835"/>
      <c r="AG702" s="911"/>
    </row>
    <row r="703">
      <c r="A703" s="835"/>
      <c r="AG703" s="911"/>
    </row>
    <row r="704">
      <c r="A704" s="835"/>
      <c r="AG704" s="911"/>
    </row>
    <row r="705">
      <c r="A705" s="835"/>
      <c r="AG705" s="911"/>
    </row>
    <row r="706">
      <c r="A706" s="835"/>
      <c r="AG706" s="911"/>
    </row>
    <row r="707">
      <c r="A707" s="835"/>
      <c r="AG707" s="911"/>
    </row>
    <row r="708">
      <c r="A708" s="835"/>
      <c r="AG708" s="911"/>
    </row>
    <row r="709">
      <c r="A709" s="835"/>
      <c r="AG709" s="911"/>
    </row>
    <row r="710">
      <c r="A710" s="835"/>
      <c r="AG710" s="911"/>
    </row>
    <row r="711">
      <c r="A711" s="835"/>
      <c r="AG711" s="911"/>
    </row>
    <row r="712">
      <c r="A712" s="835"/>
      <c r="AG712" s="911"/>
    </row>
    <row r="713">
      <c r="A713" s="835"/>
      <c r="AG713" s="911"/>
    </row>
    <row r="714">
      <c r="A714" s="835"/>
      <c r="AG714" s="911"/>
    </row>
    <row r="715">
      <c r="A715" s="835"/>
      <c r="AG715" s="911"/>
    </row>
    <row r="716">
      <c r="A716" s="835"/>
      <c r="AG716" s="911"/>
    </row>
    <row r="717">
      <c r="A717" s="835"/>
      <c r="AG717" s="911"/>
    </row>
    <row r="718">
      <c r="A718" s="835"/>
      <c r="AG718" s="911"/>
    </row>
    <row r="719">
      <c r="A719" s="835"/>
      <c r="AG719" s="911"/>
    </row>
    <row r="720">
      <c r="A720" s="835"/>
      <c r="AG720" s="911"/>
    </row>
    <row r="721">
      <c r="A721" s="835"/>
      <c r="AG721" s="911"/>
    </row>
    <row r="722">
      <c r="A722" s="835"/>
      <c r="AG722" s="911"/>
    </row>
    <row r="723">
      <c r="A723" s="835"/>
      <c r="AG723" s="911"/>
    </row>
    <row r="724">
      <c r="A724" s="835"/>
      <c r="AG724" s="911"/>
    </row>
    <row r="725">
      <c r="A725" s="835"/>
      <c r="AG725" s="911"/>
    </row>
    <row r="726">
      <c r="A726" s="835"/>
      <c r="AG726" s="911"/>
    </row>
    <row r="727">
      <c r="A727" s="835"/>
      <c r="AG727" s="911"/>
    </row>
    <row r="728">
      <c r="A728" s="835"/>
      <c r="AG728" s="911"/>
    </row>
    <row r="729">
      <c r="A729" s="835"/>
      <c r="AG729" s="911"/>
    </row>
    <row r="730">
      <c r="A730" s="835"/>
      <c r="AG730" s="911"/>
    </row>
    <row r="731">
      <c r="A731" s="835"/>
      <c r="AG731" s="911"/>
    </row>
    <row r="732">
      <c r="A732" s="835"/>
      <c r="AG732" s="911"/>
    </row>
    <row r="733">
      <c r="A733" s="835"/>
      <c r="AG733" s="911"/>
    </row>
    <row r="734">
      <c r="A734" s="835"/>
      <c r="AG734" s="911"/>
    </row>
    <row r="735">
      <c r="A735" s="835"/>
      <c r="AG735" s="911"/>
    </row>
    <row r="736">
      <c r="A736" s="835"/>
      <c r="AG736" s="911"/>
    </row>
    <row r="737">
      <c r="A737" s="835"/>
      <c r="AG737" s="911"/>
    </row>
    <row r="738">
      <c r="A738" s="835"/>
      <c r="AG738" s="911"/>
    </row>
    <row r="739">
      <c r="A739" s="835"/>
      <c r="AG739" s="911"/>
    </row>
    <row r="740">
      <c r="A740" s="835"/>
      <c r="AG740" s="911"/>
    </row>
    <row r="741">
      <c r="A741" s="835"/>
      <c r="AG741" s="911"/>
    </row>
    <row r="742">
      <c r="A742" s="835"/>
      <c r="AG742" s="911"/>
    </row>
    <row r="743">
      <c r="A743" s="835"/>
      <c r="AG743" s="911"/>
    </row>
    <row r="744">
      <c r="A744" s="835"/>
      <c r="AG744" s="911"/>
    </row>
    <row r="745">
      <c r="A745" s="835"/>
      <c r="AG745" s="911"/>
    </row>
    <row r="746">
      <c r="A746" s="835"/>
      <c r="AG746" s="911"/>
    </row>
    <row r="747">
      <c r="A747" s="835"/>
      <c r="AG747" s="911"/>
    </row>
    <row r="748">
      <c r="A748" s="835"/>
      <c r="AG748" s="911"/>
    </row>
    <row r="749">
      <c r="A749" s="835"/>
      <c r="AG749" s="911"/>
    </row>
    <row r="750">
      <c r="A750" s="835"/>
      <c r="AG750" s="911"/>
    </row>
    <row r="751">
      <c r="A751" s="835"/>
      <c r="AG751" s="911"/>
    </row>
    <row r="752">
      <c r="A752" s="835"/>
      <c r="AG752" s="911"/>
    </row>
    <row r="753">
      <c r="A753" s="835"/>
      <c r="AG753" s="911"/>
    </row>
    <row r="754">
      <c r="A754" s="835"/>
      <c r="AG754" s="911"/>
    </row>
    <row r="755">
      <c r="A755" s="835"/>
      <c r="AG755" s="911"/>
    </row>
    <row r="756">
      <c r="A756" s="835"/>
      <c r="AG756" s="911"/>
    </row>
    <row r="757">
      <c r="A757" s="835"/>
      <c r="AG757" s="911"/>
    </row>
    <row r="758">
      <c r="A758" s="835"/>
      <c r="AG758" s="911"/>
    </row>
    <row r="759">
      <c r="A759" s="835"/>
      <c r="AG759" s="911"/>
    </row>
    <row r="760">
      <c r="A760" s="835"/>
      <c r="AG760" s="911"/>
    </row>
    <row r="761">
      <c r="A761" s="835"/>
      <c r="AG761" s="911"/>
    </row>
    <row r="762">
      <c r="A762" s="835"/>
      <c r="AG762" s="911"/>
    </row>
    <row r="763">
      <c r="A763" s="835"/>
      <c r="AG763" s="911"/>
    </row>
    <row r="764">
      <c r="A764" s="835"/>
      <c r="AG764" s="911"/>
    </row>
    <row r="765">
      <c r="A765" s="835"/>
      <c r="AG765" s="911"/>
    </row>
    <row r="766">
      <c r="A766" s="835"/>
      <c r="AG766" s="911"/>
    </row>
    <row r="767">
      <c r="A767" s="835"/>
      <c r="AG767" s="911"/>
    </row>
    <row r="768">
      <c r="A768" s="835"/>
      <c r="AG768" s="911"/>
    </row>
    <row r="769">
      <c r="A769" s="835"/>
      <c r="AG769" s="911"/>
    </row>
    <row r="770">
      <c r="A770" s="835"/>
      <c r="AG770" s="911"/>
    </row>
    <row r="771">
      <c r="A771" s="835"/>
      <c r="AG771" s="911"/>
    </row>
    <row r="772">
      <c r="A772" s="835"/>
      <c r="AG772" s="911"/>
    </row>
    <row r="773">
      <c r="A773" s="835"/>
      <c r="AG773" s="911"/>
    </row>
    <row r="774">
      <c r="A774" s="835"/>
      <c r="AG774" s="911"/>
    </row>
    <row r="775">
      <c r="A775" s="835"/>
      <c r="AG775" s="911"/>
    </row>
    <row r="776">
      <c r="A776" s="835"/>
      <c r="AG776" s="911"/>
    </row>
    <row r="777">
      <c r="A777" s="835"/>
      <c r="AG777" s="911"/>
    </row>
    <row r="778">
      <c r="A778" s="835"/>
      <c r="AG778" s="911"/>
    </row>
    <row r="779">
      <c r="A779" s="835"/>
      <c r="AG779" s="911"/>
    </row>
    <row r="780">
      <c r="A780" s="835"/>
      <c r="AG780" s="911"/>
    </row>
    <row r="781">
      <c r="A781" s="835"/>
      <c r="AG781" s="911"/>
    </row>
    <row r="782">
      <c r="A782" s="835"/>
      <c r="AG782" s="911"/>
    </row>
    <row r="783">
      <c r="A783" s="835"/>
      <c r="AG783" s="911"/>
    </row>
    <row r="784">
      <c r="A784" s="835"/>
      <c r="AG784" s="911"/>
    </row>
    <row r="785">
      <c r="A785" s="835"/>
      <c r="AG785" s="911"/>
    </row>
    <row r="786">
      <c r="A786" s="835"/>
      <c r="AG786" s="911"/>
    </row>
    <row r="787">
      <c r="A787" s="835"/>
      <c r="AG787" s="911"/>
    </row>
    <row r="788">
      <c r="A788" s="835"/>
      <c r="AG788" s="911"/>
    </row>
    <row r="789">
      <c r="A789" s="835"/>
      <c r="AG789" s="911"/>
    </row>
    <row r="790">
      <c r="A790" s="835"/>
      <c r="AG790" s="911"/>
    </row>
    <row r="791">
      <c r="A791" s="835"/>
      <c r="AG791" s="911"/>
    </row>
    <row r="792">
      <c r="A792" s="835"/>
      <c r="AG792" s="911"/>
    </row>
    <row r="793">
      <c r="A793" s="835"/>
      <c r="AG793" s="911"/>
    </row>
    <row r="794">
      <c r="A794" s="835"/>
      <c r="AG794" s="911"/>
    </row>
    <row r="795">
      <c r="A795" s="835"/>
      <c r="AG795" s="911"/>
    </row>
    <row r="796">
      <c r="A796" s="835"/>
      <c r="AG796" s="911"/>
    </row>
    <row r="797">
      <c r="A797" s="835"/>
      <c r="AG797" s="911"/>
    </row>
    <row r="798">
      <c r="A798" s="835"/>
      <c r="AG798" s="911"/>
    </row>
    <row r="799">
      <c r="A799" s="835"/>
      <c r="AG799" s="911"/>
    </row>
    <row r="800">
      <c r="A800" s="835"/>
      <c r="AG800" s="911"/>
    </row>
    <row r="801">
      <c r="A801" s="835"/>
      <c r="AG801" s="911"/>
    </row>
    <row r="802">
      <c r="A802" s="835"/>
      <c r="AG802" s="911"/>
    </row>
    <row r="803">
      <c r="A803" s="835"/>
      <c r="AG803" s="911"/>
    </row>
    <row r="804">
      <c r="A804" s="835"/>
      <c r="AG804" s="911"/>
    </row>
    <row r="805">
      <c r="A805" s="835"/>
      <c r="AG805" s="911"/>
    </row>
    <row r="806">
      <c r="A806" s="835"/>
      <c r="AG806" s="911"/>
    </row>
    <row r="807">
      <c r="A807" s="835"/>
      <c r="AG807" s="911"/>
    </row>
    <row r="808">
      <c r="A808" s="835"/>
      <c r="AG808" s="911"/>
    </row>
    <row r="809">
      <c r="A809" s="835"/>
      <c r="AG809" s="911"/>
    </row>
    <row r="810">
      <c r="A810" s="835"/>
      <c r="AG810" s="911"/>
    </row>
    <row r="811">
      <c r="A811" s="835"/>
      <c r="AG811" s="911"/>
    </row>
    <row r="812">
      <c r="A812" s="835"/>
      <c r="AG812" s="911"/>
    </row>
    <row r="813">
      <c r="A813" s="835"/>
      <c r="AG813" s="911"/>
    </row>
    <row r="814">
      <c r="A814" s="835"/>
      <c r="AG814" s="911"/>
    </row>
    <row r="815">
      <c r="A815" s="835"/>
      <c r="AG815" s="911"/>
    </row>
    <row r="816">
      <c r="A816" s="835"/>
      <c r="AG816" s="911"/>
    </row>
    <row r="817">
      <c r="A817" s="835"/>
      <c r="AG817" s="911"/>
    </row>
    <row r="818">
      <c r="A818" s="835"/>
      <c r="AG818" s="911"/>
    </row>
    <row r="819">
      <c r="A819" s="835"/>
      <c r="AG819" s="911"/>
    </row>
    <row r="820">
      <c r="A820" s="835"/>
      <c r="AG820" s="911"/>
    </row>
    <row r="821">
      <c r="A821" s="835"/>
      <c r="AG821" s="911"/>
    </row>
    <row r="822">
      <c r="A822" s="835"/>
      <c r="AG822" s="911"/>
    </row>
    <row r="823">
      <c r="A823" s="835"/>
      <c r="AG823" s="911"/>
    </row>
    <row r="824">
      <c r="A824" s="835"/>
      <c r="AG824" s="911"/>
    </row>
    <row r="825">
      <c r="A825" s="835"/>
      <c r="AG825" s="911"/>
    </row>
    <row r="826">
      <c r="A826" s="835"/>
      <c r="AG826" s="911"/>
    </row>
    <row r="827">
      <c r="A827" s="835"/>
      <c r="AG827" s="911"/>
    </row>
    <row r="828">
      <c r="A828" s="835"/>
      <c r="AG828" s="911"/>
    </row>
    <row r="829">
      <c r="A829" s="835"/>
      <c r="AG829" s="911"/>
    </row>
    <row r="830">
      <c r="A830" s="835"/>
      <c r="AG830" s="911"/>
    </row>
    <row r="831">
      <c r="A831" s="835"/>
      <c r="AG831" s="911"/>
    </row>
    <row r="832">
      <c r="A832" s="835"/>
      <c r="AG832" s="911"/>
    </row>
    <row r="833">
      <c r="A833" s="835"/>
      <c r="AG833" s="911"/>
    </row>
    <row r="834">
      <c r="A834" s="835"/>
      <c r="AG834" s="911"/>
    </row>
    <row r="835">
      <c r="A835" s="835"/>
      <c r="AG835" s="911"/>
    </row>
    <row r="836">
      <c r="A836" s="835"/>
      <c r="AG836" s="911"/>
    </row>
    <row r="837">
      <c r="A837" s="835"/>
      <c r="AG837" s="911"/>
    </row>
    <row r="838">
      <c r="A838" s="835"/>
      <c r="AG838" s="911"/>
    </row>
    <row r="839">
      <c r="A839" s="835"/>
      <c r="AG839" s="911"/>
    </row>
    <row r="840">
      <c r="A840" s="835"/>
      <c r="AG840" s="911"/>
    </row>
    <row r="841">
      <c r="A841" s="835"/>
      <c r="AG841" s="911"/>
    </row>
    <row r="842">
      <c r="A842" s="835"/>
      <c r="AG842" s="911"/>
    </row>
    <row r="843">
      <c r="A843" s="835"/>
      <c r="AG843" s="911"/>
    </row>
    <row r="844">
      <c r="A844" s="835"/>
      <c r="AG844" s="911"/>
    </row>
    <row r="845">
      <c r="A845" s="835"/>
      <c r="AG845" s="911"/>
    </row>
    <row r="846">
      <c r="A846" s="835"/>
      <c r="AG846" s="911"/>
    </row>
    <row r="847">
      <c r="A847" s="835"/>
      <c r="AG847" s="911"/>
    </row>
    <row r="848">
      <c r="A848" s="835"/>
      <c r="AG848" s="911"/>
    </row>
    <row r="849">
      <c r="A849" s="835"/>
      <c r="AG849" s="911"/>
    </row>
    <row r="850">
      <c r="A850" s="835"/>
      <c r="AG850" s="911"/>
    </row>
    <row r="851">
      <c r="A851" s="835"/>
      <c r="AG851" s="911"/>
    </row>
    <row r="852">
      <c r="A852" s="835"/>
      <c r="AG852" s="911"/>
    </row>
    <row r="853">
      <c r="A853" s="835"/>
      <c r="AG853" s="911"/>
    </row>
    <row r="854">
      <c r="A854" s="835"/>
      <c r="AG854" s="911"/>
    </row>
    <row r="855">
      <c r="A855" s="835"/>
      <c r="AG855" s="911"/>
    </row>
    <row r="856">
      <c r="A856" s="835"/>
      <c r="AG856" s="911"/>
    </row>
    <row r="857">
      <c r="A857" s="835"/>
      <c r="AG857" s="911"/>
    </row>
    <row r="858">
      <c r="A858" s="835"/>
      <c r="AG858" s="911"/>
    </row>
    <row r="859">
      <c r="A859" s="835"/>
      <c r="AG859" s="911"/>
    </row>
    <row r="860">
      <c r="A860" s="835"/>
      <c r="AG860" s="911"/>
    </row>
    <row r="861">
      <c r="A861" s="835"/>
      <c r="AG861" s="911"/>
    </row>
    <row r="862">
      <c r="A862" s="835"/>
      <c r="AG862" s="911"/>
    </row>
    <row r="863">
      <c r="A863" s="835"/>
      <c r="AG863" s="911"/>
    </row>
    <row r="864">
      <c r="A864" s="835"/>
      <c r="AG864" s="911"/>
    </row>
    <row r="865">
      <c r="A865" s="835"/>
      <c r="AG865" s="911"/>
    </row>
    <row r="866">
      <c r="A866" s="835"/>
      <c r="AG866" s="911"/>
    </row>
    <row r="867">
      <c r="A867" s="835"/>
      <c r="AG867" s="911"/>
    </row>
    <row r="868">
      <c r="A868" s="835"/>
      <c r="AG868" s="911"/>
    </row>
    <row r="869">
      <c r="A869" s="835"/>
      <c r="AG869" s="911"/>
    </row>
    <row r="870">
      <c r="A870" s="835"/>
      <c r="AG870" s="911"/>
    </row>
    <row r="871">
      <c r="A871" s="835"/>
      <c r="AG871" s="911"/>
    </row>
    <row r="872">
      <c r="A872" s="835"/>
      <c r="AG872" s="911"/>
    </row>
    <row r="873">
      <c r="A873" s="835"/>
      <c r="AG873" s="911"/>
    </row>
    <row r="874">
      <c r="A874" s="835"/>
      <c r="AG874" s="911"/>
    </row>
    <row r="875">
      <c r="A875" s="835"/>
      <c r="AG875" s="911"/>
    </row>
    <row r="876">
      <c r="A876" s="835"/>
      <c r="AG876" s="911"/>
    </row>
    <row r="877">
      <c r="A877" s="835"/>
      <c r="AG877" s="911"/>
    </row>
    <row r="878">
      <c r="A878" s="835"/>
      <c r="AG878" s="911"/>
    </row>
    <row r="879">
      <c r="A879" s="835"/>
      <c r="AG879" s="911"/>
    </row>
    <row r="880">
      <c r="A880" s="835"/>
      <c r="AG880" s="911"/>
    </row>
    <row r="881">
      <c r="A881" s="835"/>
      <c r="AG881" s="911"/>
    </row>
    <row r="882">
      <c r="A882" s="835"/>
      <c r="AG882" s="911"/>
    </row>
    <row r="883">
      <c r="A883" s="835"/>
      <c r="AG883" s="911"/>
    </row>
    <row r="884">
      <c r="A884" s="835"/>
      <c r="AG884" s="911"/>
    </row>
    <row r="885">
      <c r="A885" s="835"/>
      <c r="AG885" s="911"/>
    </row>
    <row r="886">
      <c r="A886" s="835"/>
      <c r="AG886" s="911"/>
    </row>
    <row r="887">
      <c r="A887" s="835"/>
      <c r="AG887" s="911"/>
    </row>
    <row r="888">
      <c r="A888" s="835"/>
      <c r="AG888" s="911"/>
    </row>
    <row r="889">
      <c r="A889" s="835"/>
      <c r="AG889" s="911"/>
    </row>
    <row r="890">
      <c r="A890" s="835"/>
      <c r="AG890" s="911"/>
    </row>
    <row r="891">
      <c r="A891" s="835"/>
      <c r="AG891" s="911"/>
    </row>
    <row r="892">
      <c r="A892" s="835"/>
      <c r="AG892" s="911"/>
    </row>
    <row r="893">
      <c r="A893" s="835"/>
      <c r="AG893" s="911"/>
    </row>
    <row r="894">
      <c r="A894" s="835"/>
      <c r="AG894" s="911"/>
    </row>
    <row r="895">
      <c r="A895" s="835"/>
      <c r="AG895" s="911"/>
    </row>
    <row r="896">
      <c r="A896" s="835"/>
      <c r="AG896" s="911"/>
    </row>
    <row r="897">
      <c r="A897" s="835"/>
      <c r="AG897" s="911"/>
    </row>
    <row r="898">
      <c r="A898" s="835"/>
      <c r="AG898" s="911"/>
    </row>
    <row r="899">
      <c r="A899" s="835"/>
      <c r="AG899" s="911"/>
    </row>
    <row r="900">
      <c r="A900" s="835"/>
      <c r="AG900" s="911"/>
    </row>
    <row r="901">
      <c r="A901" s="835"/>
      <c r="AG901" s="911"/>
    </row>
    <row r="902">
      <c r="A902" s="835"/>
      <c r="AG902" s="911"/>
    </row>
    <row r="903">
      <c r="A903" s="835"/>
      <c r="AG903" s="911"/>
    </row>
    <row r="904">
      <c r="A904" s="835"/>
      <c r="AG904" s="911"/>
    </row>
    <row r="905">
      <c r="A905" s="835"/>
      <c r="AG905" s="911"/>
    </row>
    <row r="906">
      <c r="A906" s="835"/>
      <c r="AG906" s="911"/>
    </row>
    <row r="907">
      <c r="A907" s="835"/>
      <c r="AG907" s="911"/>
    </row>
    <row r="908">
      <c r="A908" s="835"/>
      <c r="AG908" s="911"/>
    </row>
    <row r="909">
      <c r="A909" s="835"/>
      <c r="AG909" s="911"/>
    </row>
    <row r="910">
      <c r="A910" s="835"/>
      <c r="AG910" s="911"/>
    </row>
    <row r="911">
      <c r="A911" s="835"/>
      <c r="AG911" s="911"/>
    </row>
    <row r="912">
      <c r="A912" s="835"/>
      <c r="AG912" s="911"/>
    </row>
    <row r="913">
      <c r="A913" s="835"/>
      <c r="AG913" s="911"/>
    </row>
    <row r="914">
      <c r="A914" s="835"/>
      <c r="AG914" s="911"/>
    </row>
    <row r="915">
      <c r="A915" s="835"/>
      <c r="AG915" s="911"/>
    </row>
    <row r="916">
      <c r="A916" s="835"/>
      <c r="AG916" s="911"/>
    </row>
    <row r="917">
      <c r="A917" s="835"/>
      <c r="AG917" s="911"/>
    </row>
    <row r="918">
      <c r="A918" s="835"/>
      <c r="AG918" s="911"/>
    </row>
    <row r="919">
      <c r="A919" s="835"/>
      <c r="AG919" s="911"/>
    </row>
    <row r="920">
      <c r="A920" s="835"/>
      <c r="AG920" s="911"/>
    </row>
    <row r="921">
      <c r="A921" s="835"/>
      <c r="AG921" s="911"/>
    </row>
    <row r="922">
      <c r="A922" s="835"/>
      <c r="AG922" s="911"/>
    </row>
    <row r="923">
      <c r="A923" s="835"/>
      <c r="AG923" s="911"/>
    </row>
    <row r="924">
      <c r="A924" s="835"/>
      <c r="AG924" s="911"/>
    </row>
    <row r="925">
      <c r="A925" s="835"/>
      <c r="AG925" s="911"/>
    </row>
    <row r="926">
      <c r="A926" s="835"/>
      <c r="AG926" s="911"/>
    </row>
    <row r="927">
      <c r="A927" s="835"/>
      <c r="AG927" s="911"/>
    </row>
    <row r="928">
      <c r="A928" s="835"/>
      <c r="AG928" s="911"/>
    </row>
    <row r="929">
      <c r="A929" s="835"/>
      <c r="AG929" s="911"/>
    </row>
    <row r="930">
      <c r="A930" s="835"/>
      <c r="AG930" s="911"/>
    </row>
    <row r="931">
      <c r="A931" s="835"/>
      <c r="AG931" s="911"/>
    </row>
    <row r="932">
      <c r="A932" s="835"/>
      <c r="AG932" s="911"/>
    </row>
    <row r="933">
      <c r="A933" s="835"/>
      <c r="AG933" s="911"/>
    </row>
    <row r="934">
      <c r="A934" s="835"/>
      <c r="AG934" s="911"/>
    </row>
    <row r="935">
      <c r="A935" s="835"/>
      <c r="AG935" s="911"/>
    </row>
    <row r="936">
      <c r="A936" s="835"/>
      <c r="AG936" s="911"/>
    </row>
    <row r="937">
      <c r="A937" s="835"/>
      <c r="AG937" s="911"/>
    </row>
    <row r="938">
      <c r="A938" s="835"/>
      <c r="AG938" s="911"/>
    </row>
    <row r="939">
      <c r="A939" s="835"/>
      <c r="AG939" s="911"/>
    </row>
    <row r="940">
      <c r="A940" s="835"/>
      <c r="AG940" s="911"/>
    </row>
    <row r="941">
      <c r="A941" s="835"/>
      <c r="AG941" s="911"/>
    </row>
    <row r="942">
      <c r="A942" s="835"/>
      <c r="AG942" s="911"/>
    </row>
    <row r="943">
      <c r="A943" s="835"/>
      <c r="AG943" s="911"/>
    </row>
    <row r="944">
      <c r="A944" s="835"/>
      <c r="AG944" s="911"/>
    </row>
    <row r="945">
      <c r="A945" s="835"/>
      <c r="AG945" s="911"/>
    </row>
    <row r="946">
      <c r="A946" s="835"/>
      <c r="AG946" s="911"/>
    </row>
    <row r="947">
      <c r="A947" s="835"/>
      <c r="AG947" s="911"/>
    </row>
    <row r="948">
      <c r="A948" s="835"/>
      <c r="AG948" s="911"/>
    </row>
    <row r="949">
      <c r="A949" s="835"/>
      <c r="AG949" s="911"/>
    </row>
    <row r="950">
      <c r="A950" s="835"/>
      <c r="AG950" s="911"/>
    </row>
    <row r="951">
      <c r="A951" s="835"/>
      <c r="AG951" s="911"/>
    </row>
    <row r="952">
      <c r="A952" s="835"/>
      <c r="AG952" s="911"/>
    </row>
    <row r="953">
      <c r="A953" s="835"/>
      <c r="AG953" s="911"/>
    </row>
    <row r="954">
      <c r="A954" s="835"/>
      <c r="AG954" s="911"/>
    </row>
    <row r="955">
      <c r="A955" s="835"/>
      <c r="AG955" s="911"/>
    </row>
    <row r="956">
      <c r="A956" s="835"/>
      <c r="AG956" s="911"/>
    </row>
    <row r="957">
      <c r="A957" s="835"/>
      <c r="AG957" s="911"/>
    </row>
    <row r="958">
      <c r="A958" s="835"/>
      <c r="AG958" s="911"/>
    </row>
    <row r="959">
      <c r="A959" s="835"/>
      <c r="AG959" s="911"/>
    </row>
    <row r="960">
      <c r="A960" s="835"/>
      <c r="AG960" s="911"/>
    </row>
    <row r="961">
      <c r="A961" s="835"/>
      <c r="AG961" s="911"/>
    </row>
    <row r="962">
      <c r="A962" s="835"/>
      <c r="AG962" s="911"/>
    </row>
    <row r="963">
      <c r="A963" s="835"/>
      <c r="AG963" s="911"/>
    </row>
    <row r="964">
      <c r="A964" s="835"/>
      <c r="AG964" s="911"/>
    </row>
    <row r="965">
      <c r="A965" s="835"/>
      <c r="AG965" s="911"/>
    </row>
    <row r="966">
      <c r="A966" s="835"/>
      <c r="AG966" s="911"/>
    </row>
    <row r="967">
      <c r="A967" s="835"/>
      <c r="AG967" s="911"/>
    </row>
    <row r="968">
      <c r="A968" s="835"/>
      <c r="AG968" s="911"/>
    </row>
    <row r="969">
      <c r="A969" s="835"/>
      <c r="AG969" s="911"/>
    </row>
    <row r="970">
      <c r="A970" s="835"/>
      <c r="AG970" s="911"/>
    </row>
    <row r="971">
      <c r="A971" s="835"/>
      <c r="AG971" s="911"/>
    </row>
    <row r="972">
      <c r="A972" s="835"/>
      <c r="AG972" s="911"/>
    </row>
    <row r="973">
      <c r="A973" s="835"/>
      <c r="AG973" s="911"/>
    </row>
    <row r="974">
      <c r="A974" s="835"/>
      <c r="AG974" s="911"/>
    </row>
    <row r="975">
      <c r="A975" s="835"/>
      <c r="AG975" s="911"/>
    </row>
    <row r="976">
      <c r="A976" s="835"/>
      <c r="AG976" s="911"/>
    </row>
    <row r="977">
      <c r="A977" s="835"/>
      <c r="AG977" s="911"/>
    </row>
    <row r="978">
      <c r="A978" s="835"/>
      <c r="AG978" s="911"/>
    </row>
    <row r="979">
      <c r="A979" s="835"/>
      <c r="AG979" s="911"/>
    </row>
    <row r="980">
      <c r="A980" s="835"/>
      <c r="AG980" s="911"/>
    </row>
    <row r="981">
      <c r="A981" s="835"/>
      <c r="AG981" s="911"/>
    </row>
    <row r="982">
      <c r="A982" s="835"/>
      <c r="AG982" s="911"/>
    </row>
    <row r="983">
      <c r="A983" s="835"/>
      <c r="AG983" s="911"/>
    </row>
    <row r="984">
      <c r="A984" s="835"/>
      <c r="AG984" s="911"/>
    </row>
    <row r="985">
      <c r="A985" s="835"/>
      <c r="AG985" s="911"/>
    </row>
    <row r="986">
      <c r="A986" s="835"/>
      <c r="AG986" s="911"/>
    </row>
    <row r="987">
      <c r="A987" s="835"/>
      <c r="AG987" s="911"/>
    </row>
    <row r="988">
      <c r="A988" s="835"/>
      <c r="AG988" s="911"/>
    </row>
    <row r="989">
      <c r="A989" s="835"/>
      <c r="AG989" s="911"/>
    </row>
    <row r="990">
      <c r="A990" s="835"/>
      <c r="AG990" s="911"/>
    </row>
    <row r="991">
      <c r="A991" s="835"/>
      <c r="AG991" s="911"/>
    </row>
    <row r="992">
      <c r="A992" s="835"/>
      <c r="AG992" s="911"/>
    </row>
    <row r="993">
      <c r="A993" s="835"/>
      <c r="AG993" s="911"/>
    </row>
    <row r="994">
      <c r="A994" s="835"/>
      <c r="AG994" s="911"/>
    </row>
    <row r="995">
      <c r="A995" s="835"/>
      <c r="AG995" s="911"/>
    </row>
    <row r="996">
      <c r="A996" s="835"/>
      <c r="AG996" s="911"/>
    </row>
    <row r="997">
      <c r="A997" s="835"/>
      <c r="AG997" s="911"/>
    </row>
    <row r="998">
      <c r="A998" s="835"/>
      <c r="AG998" s="911"/>
    </row>
    <row r="999">
      <c r="A999" s="835"/>
      <c r="AG999" s="911"/>
    </row>
    <row r="1000">
      <c r="A1000" s="835"/>
      <c r="AG1000" s="911"/>
    </row>
    <row r="1001">
      <c r="A1001" s="835"/>
      <c r="AG1001" s="911"/>
    </row>
    <row r="1002">
      <c r="A1002" s="835"/>
      <c r="AG1002" s="911"/>
    </row>
    <row r="1003">
      <c r="A1003" s="835"/>
      <c r="AG1003" s="911"/>
    </row>
    <row r="1004">
      <c r="A1004" s="835"/>
      <c r="AG1004" s="911"/>
    </row>
    <row r="1005">
      <c r="A1005" s="835"/>
      <c r="AG1005" s="911"/>
    </row>
    <row r="1006">
      <c r="A1006" s="835"/>
      <c r="AG1006" s="911"/>
    </row>
    <row r="1007">
      <c r="A1007" s="835"/>
      <c r="AG1007" s="911"/>
    </row>
    <row r="1008">
      <c r="A1008" s="835"/>
      <c r="AG1008" s="911"/>
    </row>
    <row r="1009">
      <c r="A1009" s="835"/>
      <c r="AG1009" s="911"/>
    </row>
    <row r="1010">
      <c r="A1010" s="835"/>
      <c r="AG1010" s="911"/>
    </row>
    <row r="1011">
      <c r="A1011" s="835"/>
      <c r="AG1011" s="911"/>
    </row>
    <row r="1012">
      <c r="A1012" s="835"/>
      <c r="AG1012" s="911"/>
    </row>
    <row r="1013">
      <c r="A1013" s="835"/>
      <c r="AG1013" s="911"/>
    </row>
    <row r="1014">
      <c r="A1014" s="835"/>
      <c r="AG1014" s="911"/>
    </row>
    <row r="1015">
      <c r="A1015" s="835"/>
      <c r="AG1015" s="911"/>
    </row>
    <row r="1016">
      <c r="A1016" s="835"/>
      <c r="AG1016" s="911"/>
    </row>
    <row r="1017">
      <c r="A1017" s="835"/>
      <c r="AG1017" s="911"/>
    </row>
    <row r="1018">
      <c r="A1018" s="835"/>
      <c r="AG1018" s="911"/>
    </row>
    <row r="1019">
      <c r="A1019" s="835"/>
      <c r="AG1019" s="911"/>
    </row>
    <row r="1020">
      <c r="A1020" s="835"/>
      <c r="AG1020" s="911"/>
    </row>
    <row r="1021">
      <c r="A1021" s="835"/>
      <c r="AG1021" s="911"/>
    </row>
    <row r="1022">
      <c r="A1022" s="835"/>
      <c r="AG1022" s="911"/>
    </row>
    <row r="1023">
      <c r="A1023" s="835"/>
      <c r="AG1023" s="911"/>
    </row>
    <row r="1024">
      <c r="A1024" s="835"/>
      <c r="AG1024" s="911"/>
    </row>
    <row r="1025">
      <c r="A1025" s="835"/>
      <c r="AG1025" s="911"/>
    </row>
    <row r="1026">
      <c r="A1026" s="835"/>
      <c r="AG1026" s="911"/>
    </row>
    <row r="1027">
      <c r="A1027" s="835"/>
      <c r="AG1027" s="911"/>
    </row>
    <row r="1028">
      <c r="A1028" s="835"/>
      <c r="AG1028" s="911"/>
    </row>
    <row r="1029">
      <c r="A1029" s="835"/>
      <c r="AG1029" s="911"/>
    </row>
    <row r="1030">
      <c r="A1030" s="835"/>
      <c r="AG1030" s="911"/>
    </row>
    <row r="1031">
      <c r="A1031" s="835"/>
      <c r="AG1031" s="911"/>
    </row>
    <row r="1032">
      <c r="A1032" s="835"/>
      <c r="AG1032" s="911"/>
    </row>
    <row r="1033">
      <c r="A1033" s="835"/>
      <c r="AG1033" s="911"/>
    </row>
    <row r="1034">
      <c r="A1034" s="835"/>
      <c r="AG1034" s="911"/>
    </row>
    <row r="1035">
      <c r="A1035" s="835"/>
      <c r="AG1035" s="911"/>
    </row>
    <row r="1036">
      <c r="A1036" s="835"/>
      <c r="AG1036" s="911"/>
    </row>
    <row r="1037">
      <c r="A1037" s="835"/>
      <c r="AG1037" s="911"/>
    </row>
    <row r="1038">
      <c r="A1038" s="835"/>
      <c r="AG1038" s="911"/>
    </row>
    <row r="1039">
      <c r="A1039" s="835"/>
      <c r="AG1039" s="911"/>
    </row>
    <row r="1040">
      <c r="A1040" s="835"/>
      <c r="AG1040" s="911"/>
    </row>
    <row r="1041">
      <c r="A1041" s="835"/>
      <c r="AG1041" s="911"/>
    </row>
    <row r="1042">
      <c r="A1042" s="835"/>
      <c r="AG1042" s="911"/>
    </row>
    <row r="1043">
      <c r="A1043" s="835"/>
      <c r="AG1043" s="911"/>
    </row>
    <row r="1044">
      <c r="A1044" s="835"/>
      <c r="AG1044" s="911"/>
    </row>
    <row r="1045">
      <c r="A1045" s="835"/>
      <c r="AG1045" s="911"/>
    </row>
    <row r="1046">
      <c r="A1046" s="835"/>
      <c r="AG1046" s="911"/>
    </row>
    <row r="1047">
      <c r="A1047" s="835"/>
      <c r="AG1047" s="911"/>
    </row>
    <row r="1048">
      <c r="A1048" s="835"/>
      <c r="AG1048" s="911"/>
    </row>
    <row r="1049">
      <c r="A1049" s="835"/>
      <c r="AG1049" s="911"/>
    </row>
    <row r="1050">
      <c r="A1050" s="835"/>
      <c r="AG1050" s="911"/>
    </row>
    <row r="1051">
      <c r="A1051" s="835"/>
      <c r="AG1051" s="911"/>
    </row>
    <row r="1052">
      <c r="A1052" s="835"/>
      <c r="AG1052" s="911"/>
    </row>
    <row r="1053">
      <c r="A1053" s="835"/>
      <c r="AG1053" s="911"/>
    </row>
    <row r="1054">
      <c r="A1054" s="835"/>
      <c r="AG1054" s="911"/>
    </row>
    <row r="1055">
      <c r="A1055" s="835"/>
      <c r="AG1055" s="911"/>
    </row>
    <row r="1056">
      <c r="A1056" s="835"/>
      <c r="AG1056" s="911"/>
    </row>
    <row r="1057">
      <c r="A1057" s="835"/>
      <c r="AG1057" s="911"/>
    </row>
    <row r="1058">
      <c r="A1058" s="835"/>
      <c r="AG1058" s="911"/>
    </row>
    <row r="1059">
      <c r="A1059" s="835"/>
      <c r="AG1059" s="911"/>
    </row>
    <row r="1060">
      <c r="A1060" s="835"/>
      <c r="AG1060" s="911"/>
    </row>
    <row r="1061">
      <c r="A1061" s="835"/>
      <c r="AG1061" s="911"/>
    </row>
    <row r="1062">
      <c r="A1062" s="835"/>
      <c r="AG1062" s="911"/>
    </row>
    <row r="1063">
      <c r="A1063" s="835"/>
      <c r="AG1063" s="911"/>
    </row>
    <row r="1064">
      <c r="A1064" s="835"/>
      <c r="AG1064" s="911"/>
    </row>
    <row r="1065">
      <c r="A1065" s="835"/>
      <c r="AG1065" s="911"/>
    </row>
    <row r="1066">
      <c r="A1066" s="835"/>
      <c r="AG1066" s="911"/>
    </row>
    <row r="1067">
      <c r="A1067" s="835"/>
      <c r="AG1067" s="911"/>
    </row>
    <row r="1068">
      <c r="A1068" s="835"/>
      <c r="AG1068" s="911"/>
    </row>
    <row r="1069">
      <c r="A1069" s="835"/>
      <c r="AG1069" s="911"/>
    </row>
    <row r="1070">
      <c r="A1070" s="835"/>
      <c r="AG1070" s="911"/>
    </row>
    <row r="1071">
      <c r="A1071" s="835"/>
      <c r="AG1071" s="911"/>
    </row>
    <row r="1072">
      <c r="A1072" s="835"/>
      <c r="AG1072" s="911"/>
    </row>
    <row r="1073">
      <c r="A1073" s="835"/>
      <c r="AG1073" s="911"/>
    </row>
    <row r="1074">
      <c r="A1074" s="835"/>
      <c r="AG1074" s="911"/>
    </row>
    <row r="1075">
      <c r="A1075" s="835"/>
      <c r="AG1075" s="911"/>
    </row>
    <row r="1076">
      <c r="A1076" s="835"/>
      <c r="AG1076" s="911"/>
    </row>
    <row r="1077">
      <c r="A1077" s="835"/>
      <c r="AG1077" s="911"/>
    </row>
    <row r="1078">
      <c r="A1078" s="835"/>
      <c r="AG1078" s="911"/>
    </row>
    <row r="1079">
      <c r="A1079" s="835"/>
      <c r="AG1079" s="911"/>
    </row>
    <row r="1080">
      <c r="A1080" s="835"/>
      <c r="AG1080" s="911"/>
    </row>
    <row r="1081">
      <c r="A1081" s="835"/>
      <c r="AG1081" s="911"/>
    </row>
    <row r="1082">
      <c r="A1082" s="835"/>
      <c r="AG1082" s="911"/>
    </row>
    <row r="1083">
      <c r="A1083" s="835"/>
      <c r="AG1083" s="911"/>
    </row>
    <row r="1084">
      <c r="A1084" s="835"/>
      <c r="AG1084" s="911"/>
    </row>
    <row r="1085">
      <c r="A1085" s="835"/>
      <c r="AG1085" s="911"/>
    </row>
    <row r="1086">
      <c r="A1086" s="835"/>
      <c r="AG1086" s="911"/>
    </row>
    <row r="1087">
      <c r="A1087" s="835"/>
      <c r="AG1087" s="911"/>
    </row>
    <row r="1088">
      <c r="A1088" s="835"/>
      <c r="AG1088" s="911"/>
    </row>
    <row r="1089">
      <c r="A1089" s="835"/>
      <c r="AG1089" s="911"/>
    </row>
    <row r="1090">
      <c r="A1090" s="835"/>
      <c r="AG1090" s="911"/>
    </row>
    <row r="1091">
      <c r="A1091" s="835"/>
      <c r="AG1091" s="911"/>
    </row>
    <row r="1092">
      <c r="A1092" s="835"/>
      <c r="AG1092" s="911"/>
    </row>
    <row r="1093">
      <c r="A1093" s="835"/>
      <c r="AG1093" s="911"/>
    </row>
    <row r="1094">
      <c r="A1094" s="835"/>
      <c r="AG1094" s="911"/>
    </row>
    <row r="1095">
      <c r="A1095" s="835"/>
      <c r="AG1095" s="911"/>
    </row>
    <row r="1096">
      <c r="A1096" s="835"/>
      <c r="AG1096" s="911"/>
    </row>
    <row r="1097">
      <c r="A1097" s="835"/>
      <c r="AG1097" s="911"/>
    </row>
    <row r="1098">
      <c r="A1098" s="835"/>
      <c r="AG1098" s="911"/>
    </row>
    <row r="1099">
      <c r="A1099" s="835"/>
      <c r="AG1099" s="911"/>
    </row>
    <row r="1100">
      <c r="A1100" s="835"/>
      <c r="AG1100" s="911"/>
    </row>
    <row r="1101">
      <c r="A1101" s="835"/>
      <c r="AG1101" s="911"/>
    </row>
    <row r="1102">
      <c r="A1102" s="835"/>
      <c r="AG1102" s="911"/>
    </row>
    <row r="1103">
      <c r="A1103" s="835"/>
      <c r="AG1103" s="911"/>
    </row>
    <row r="1104">
      <c r="A1104" s="835"/>
      <c r="AG1104" s="911"/>
    </row>
    <row r="1105">
      <c r="A1105" s="835"/>
      <c r="AG1105" s="911"/>
    </row>
    <row r="1106">
      <c r="A1106" s="835"/>
      <c r="AG1106" s="911"/>
    </row>
    <row r="1107">
      <c r="A1107" s="835"/>
      <c r="AG1107" s="911"/>
    </row>
    <row r="1108">
      <c r="A1108" s="835"/>
      <c r="AG1108" s="911"/>
    </row>
    <row r="1109">
      <c r="A1109" s="835"/>
      <c r="AG1109" s="911"/>
    </row>
    <row r="1110">
      <c r="A1110" s="835"/>
      <c r="AG1110" s="911"/>
    </row>
    <row r="1111">
      <c r="A1111" s="835"/>
      <c r="AG1111" s="911"/>
    </row>
    <row r="1112">
      <c r="A1112" s="835"/>
      <c r="AG1112" s="911"/>
    </row>
    <row r="1113">
      <c r="A1113" s="835"/>
      <c r="AG1113" s="911"/>
    </row>
    <row r="1114">
      <c r="A1114" s="835"/>
      <c r="AG1114" s="911"/>
    </row>
    <row r="1115">
      <c r="A1115" s="835"/>
      <c r="AG1115" s="911"/>
    </row>
    <row r="1116">
      <c r="A1116" s="835"/>
      <c r="AG1116" s="911"/>
    </row>
    <row r="1117">
      <c r="A1117" s="835"/>
      <c r="AG1117" s="911"/>
    </row>
    <row r="1118">
      <c r="A1118" s="835"/>
      <c r="AG1118" s="911"/>
    </row>
    <row r="1119">
      <c r="A1119" s="835"/>
      <c r="AG1119" s="911"/>
    </row>
    <row r="1120">
      <c r="A1120" s="835"/>
      <c r="AG1120" s="911"/>
    </row>
    <row r="1121">
      <c r="A1121" s="835"/>
      <c r="AG1121" s="911"/>
    </row>
    <row r="1122">
      <c r="A1122" s="835"/>
      <c r="AG1122" s="911"/>
    </row>
    <row r="1123">
      <c r="A1123" s="835"/>
      <c r="AG1123" s="911"/>
    </row>
    <row r="1124">
      <c r="A1124" s="835"/>
      <c r="AG1124" s="911"/>
    </row>
    <row r="1125">
      <c r="A1125" s="835"/>
      <c r="AG1125" s="911"/>
    </row>
    <row r="1126">
      <c r="A1126" s="835"/>
      <c r="AG1126" s="911"/>
    </row>
    <row r="1127">
      <c r="A1127" s="835"/>
      <c r="AG1127" s="911"/>
    </row>
    <row r="1128">
      <c r="A1128" s="835"/>
      <c r="AG1128" s="911"/>
    </row>
    <row r="1129">
      <c r="A1129" s="835"/>
      <c r="AG1129" s="911"/>
    </row>
    <row r="1130">
      <c r="A1130" s="835"/>
      <c r="AG1130" s="911"/>
    </row>
    <row r="1131">
      <c r="A1131" s="835"/>
      <c r="AG1131" s="911"/>
    </row>
    <row r="1132">
      <c r="A1132" s="835"/>
      <c r="AG1132" s="911"/>
    </row>
    <row r="1133">
      <c r="A1133" s="835"/>
      <c r="AG1133" s="911"/>
    </row>
    <row r="1134">
      <c r="A1134" s="835"/>
      <c r="AG1134" s="911"/>
    </row>
    <row r="1135">
      <c r="A1135" s="835"/>
      <c r="AG1135" s="911"/>
    </row>
    <row r="1136">
      <c r="A1136" s="835"/>
      <c r="AG1136" s="911"/>
    </row>
    <row r="1137">
      <c r="A1137" s="835"/>
      <c r="AG1137" s="911"/>
    </row>
    <row r="1138">
      <c r="A1138" s="835"/>
      <c r="AG1138" s="911"/>
    </row>
    <row r="1139">
      <c r="A1139" s="835"/>
      <c r="AG1139" s="911"/>
    </row>
    <row r="1140">
      <c r="A1140" s="835"/>
      <c r="AG1140" s="911"/>
    </row>
    <row r="1141">
      <c r="A1141" s="835"/>
      <c r="AG1141" s="911"/>
    </row>
    <row r="1142">
      <c r="A1142" s="835"/>
      <c r="AG1142" s="911"/>
    </row>
    <row r="1143">
      <c r="A1143" s="835"/>
      <c r="AG1143" s="911"/>
    </row>
    <row r="1144">
      <c r="A1144" s="835"/>
      <c r="AG1144" s="911"/>
    </row>
    <row r="1145">
      <c r="A1145" s="835"/>
      <c r="AG1145" s="911"/>
    </row>
    <row r="1146">
      <c r="A1146" s="835"/>
      <c r="AG1146" s="911"/>
    </row>
    <row r="1147">
      <c r="A1147" s="835"/>
      <c r="AG1147" s="911"/>
    </row>
    <row r="1148">
      <c r="A1148" s="835"/>
      <c r="AG1148" s="911"/>
    </row>
    <row r="1149">
      <c r="A1149" s="835"/>
      <c r="AG1149" s="911"/>
    </row>
    <row r="1150">
      <c r="A1150" s="835"/>
      <c r="AG1150" s="911"/>
    </row>
    <row r="1151">
      <c r="A1151" s="835"/>
      <c r="AG1151" s="911"/>
    </row>
    <row r="1152">
      <c r="A1152" s="835"/>
      <c r="AG1152" s="911"/>
    </row>
    <row r="1153">
      <c r="A1153" s="835"/>
      <c r="AG1153" s="911"/>
    </row>
    <row r="1154">
      <c r="A1154" s="835"/>
      <c r="AG1154" s="911"/>
    </row>
    <row r="1155">
      <c r="A1155" s="835"/>
      <c r="AG1155" s="911"/>
    </row>
    <row r="1156">
      <c r="A1156" s="835"/>
      <c r="AG1156" s="911"/>
    </row>
    <row r="1157">
      <c r="A1157" s="835"/>
      <c r="AG1157" s="911"/>
    </row>
  </sheetData>
  <conditionalFormatting sqref="B583:AF583">
    <cfRule type="cellIs" dxfId="1" priority="1" operator="lessThan">
      <formula>0</formula>
    </cfRule>
  </conditionalFormatting>
  <conditionalFormatting sqref="B583:AF583">
    <cfRule type="cellIs" dxfId="3" priority="2" operator="greaterThan">
      <formula>0</formula>
    </cfRule>
  </conditionalFormatting>
  <conditionalFormatting sqref="B489:AF489">
    <cfRule type="colorScale" priority="3">
      <colorScale>
        <cfvo type="min"/>
        <cfvo type="max"/>
        <color rgb="FFFFFFFF"/>
        <color rgb="FFE67C73"/>
      </colorScale>
    </cfRule>
  </conditionalFormatting>
  <conditionalFormatting sqref="B63:AF63 B75:AF75 B112:AF112 B115:AF115">
    <cfRule type="cellIs" dxfId="1" priority="4" operator="lessThan">
      <formula>0</formula>
    </cfRule>
  </conditionalFormatting>
  <conditionalFormatting sqref="B63:AF63 B75:AF75 B112:AF112 B115:AF115">
    <cfRule type="cellIs" dxfId="3" priority="5" operator="greaterThan">
      <formula>0</formula>
    </cfRule>
  </conditionalFormatting>
  <conditionalFormatting sqref="B81:AF81 B87:AF87 B112:AF112 B115:AF115">
    <cfRule type="cellIs" dxfId="3" priority="6" operator="greaterThan">
      <formula>0</formula>
    </cfRule>
  </conditionalFormatting>
  <conditionalFormatting sqref="B81:AF81 B87:AF87 B112:AF112 B115:AF115">
    <cfRule type="cellIs" dxfId="1" priority="7" operator="lessThan">
      <formula>0</formula>
    </cfRule>
  </conditionalFormatting>
  <conditionalFormatting sqref="B57:AF57">
    <cfRule type="cellIs" dxfId="3" priority="8" operator="greaterThan">
      <formula>0</formula>
    </cfRule>
  </conditionalFormatting>
  <conditionalFormatting sqref="B57:AF57">
    <cfRule type="cellIs" dxfId="1" priority="9" operator="lessThan">
      <formula>0</formula>
    </cfRule>
  </conditionalFormatting>
  <conditionalFormatting sqref="B586:AF586">
    <cfRule type="colorScale" priority="10">
      <colorScale>
        <cfvo type="min"/>
        <cfvo type="max"/>
        <color rgb="FFFFFFFF"/>
        <color rgb="FF57BB8A"/>
      </colorScale>
    </cfRule>
  </conditionalFormatting>
  <conditionalFormatting sqref="B588:AF588">
    <cfRule type="colorScale" priority="11">
      <colorScale>
        <cfvo type="min"/>
        <cfvo type="max"/>
        <color rgb="FFFFFFFF"/>
        <color rgb="FF57BB8A"/>
      </colorScale>
    </cfRule>
  </conditionalFormatting>
  <conditionalFormatting sqref="A58">
    <cfRule type="cellIs" dxfId="4" priority="12" operator="greaterThan">
      <formula>0</formula>
    </cfRule>
  </conditionalFormatting>
  <conditionalFormatting sqref="A58">
    <cfRule type="cellIs" dxfId="1" priority="13" operator="lessThan">
      <formula>0</formula>
    </cfRule>
  </conditionalFormatting>
  <conditionalFormatting sqref="B69:AF69 R91">
    <cfRule type="cellIs" dxfId="3" priority="14" operator="greaterThan">
      <formula>0</formula>
    </cfRule>
  </conditionalFormatting>
  <conditionalFormatting sqref="B69:AF69 R91">
    <cfRule type="cellIs" dxfId="1" priority="15" operator="lessThan">
      <formula>0</formula>
    </cfRule>
  </conditionalFormatting>
  <conditionalFormatting sqref="A584">
    <cfRule type="cellIs" dxfId="0" priority="16" operator="greaterThan">
      <formula>0</formula>
    </cfRule>
  </conditionalFormatting>
  <conditionalFormatting sqref="A584">
    <cfRule type="cellIs" dxfId="5" priority="17" operator="lessThan">
      <formula>0</formula>
    </cfRule>
  </conditionalFormatting>
  <conditionalFormatting sqref="B521:AF522 AE541">
    <cfRule type="colorScale" priority="18">
      <colorScale>
        <cfvo type="min"/>
        <cfvo type="max"/>
        <color rgb="FFFFFFFF"/>
        <color rgb="FFE67C73"/>
      </colorScale>
    </cfRule>
  </conditionalFormatting>
  <conditionalFormatting sqref="B523:AF523">
    <cfRule type="colorScale" priority="19">
      <colorScale>
        <cfvo type="min"/>
        <cfvo type="max"/>
        <color rgb="FFFFFFFF"/>
        <color rgb="FFE67C73"/>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8.38"/>
    <col customWidth="1" min="3" max="3" width="14.38"/>
    <col customWidth="1" min="4" max="4" width="14.75"/>
    <col customWidth="1" min="5" max="5" width="16.38"/>
    <col customWidth="1" min="6" max="6" width="13.63"/>
    <col customWidth="1" min="7" max="7" width="15.0"/>
    <col customWidth="1" min="8" max="8" width="17.38"/>
    <col customWidth="1" min="9" max="9" width="17.25"/>
    <col customWidth="1" min="10" max="10" width="15.88"/>
    <col customWidth="1" min="11" max="11" width="18.38"/>
    <col customWidth="1" min="12" max="12" width="16.88"/>
    <col customWidth="1" min="13" max="13" width="7.75"/>
  </cols>
  <sheetData>
    <row r="1">
      <c r="A1" s="951" t="s">
        <v>844</v>
      </c>
      <c r="B1" s="952" t="s">
        <v>845</v>
      </c>
      <c r="C1" s="34"/>
      <c r="D1" s="953" t="s">
        <v>846</v>
      </c>
      <c r="E1" s="34"/>
      <c r="F1" s="953" t="s">
        <v>847</v>
      </c>
      <c r="G1" s="34"/>
      <c r="H1" s="953" t="s">
        <v>848</v>
      </c>
      <c r="I1" s="34"/>
      <c r="J1" s="953" t="s">
        <v>849</v>
      </c>
      <c r="K1" s="34"/>
      <c r="L1" s="954"/>
      <c r="M1" s="436"/>
      <c r="N1" s="955"/>
    </row>
    <row r="2">
      <c r="A2" s="34"/>
      <c r="B2" s="956" t="s">
        <v>850</v>
      </c>
      <c r="C2" s="34"/>
      <c r="D2" s="953" t="s">
        <v>851</v>
      </c>
      <c r="E2" s="34"/>
      <c r="F2" s="953" t="s">
        <v>851</v>
      </c>
      <c r="G2" s="34"/>
      <c r="H2" s="953" t="s">
        <v>851</v>
      </c>
      <c r="I2" s="34"/>
      <c r="J2" s="957" t="s">
        <v>852</v>
      </c>
      <c r="K2" s="957" t="s">
        <v>853</v>
      </c>
      <c r="L2" s="954"/>
      <c r="M2" s="436"/>
      <c r="N2" s="955"/>
    </row>
    <row r="3">
      <c r="A3" s="958" t="s">
        <v>854</v>
      </c>
      <c r="B3" s="959" t="s">
        <v>855</v>
      </c>
      <c r="C3" s="960" t="s">
        <v>856</v>
      </c>
      <c r="D3" s="959" t="s">
        <v>855</v>
      </c>
      <c r="E3" s="960" t="s">
        <v>856</v>
      </c>
      <c r="F3" s="959" t="s">
        <v>855</v>
      </c>
      <c r="G3" s="960" t="s">
        <v>856</v>
      </c>
      <c r="H3" s="959" t="s">
        <v>857</v>
      </c>
      <c r="I3" s="960" t="s">
        <v>858</v>
      </c>
      <c r="J3" s="34"/>
      <c r="K3" s="34"/>
    </row>
    <row r="4">
      <c r="A4" s="961" t="s">
        <v>859</v>
      </c>
      <c r="B4" s="962">
        <v>135385.92</v>
      </c>
      <c r="C4" s="963">
        <f t="shared" ref="C4:C5" si="1">IFERROR(B4/$B$4,"")</f>
        <v>1</v>
      </c>
      <c r="D4" s="964">
        <f>'OLD Sales'!$B$51</f>
        <v>1411507.75</v>
      </c>
      <c r="E4" s="963">
        <f t="shared" ref="E4:E5" si="2">IFERROR(D4/$D$4,"")</f>
        <v>1</v>
      </c>
      <c r="F4" s="964">
        <f>'Forecast projection'!H13</f>
        <v>2000000</v>
      </c>
      <c r="G4" s="963">
        <f t="shared" ref="G4:G6" si="3">IFERROR(F4/$F$4,"")</f>
        <v>1</v>
      </c>
      <c r="H4" s="965">
        <f t="shared" ref="H4:H28" si="4">IFERROR(D4/F4,"")</f>
        <v>0.705753875</v>
      </c>
      <c r="I4" s="966">
        <f t="shared" ref="I4:I28" si="5">D4-F4</f>
        <v>-588492.25</v>
      </c>
      <c r="J4" s="965">
        <f t="shared" ref="J4:J28" si="6">IFERROR(D4/B4-1,"")</f>
        <v>9.42580905</v>
      </c>
      <c r="K4" s="967">
        <f t="shared" ref="K4:K28" si="7">IFERROR(F4/B4-1,"")</f>
        <v>13.77258492</v>
      </c>
    </row>
    <row r="5">
      <c r="A5" s="968" t="s">
        <v>861</v>
      </c>
      <c r="B5" s="969">
        <f>B4-B14</f>
        <v>37446.04</v>
      </c>
      <c r="C5" s="963">
        <f t="shared" si="1"/>
        <v>0.2765874029</v>
      </c>
      <c r="D5" s="970">
        <f>D4-D14</f>
        <v>1345221.098</v>
      </c>
      <c r="E5" s="963">
        <f t="shared" si="2"/>
        <v>0.9530384073</v>
      </c>
      <c r="F5" s="964">
        <f>F4-F14</f>
        <v>1945000</v>
      </c>
      <c r="G5" s="963">
        <f t="shared" si="3"/>
        <v>0.9725</v>
      </c>
      <c r="H5" s="965">
        <f t="shared" si="4"/>
        <v>0.6916303846</v>
      </c>
      <c r="I5" s="966">
        <f t="shared" si="5"/>
        <v>-599778.902</v>
      </c>
      <c r="J5" s="965">
        <f t="shared" si="6"/>
        <v>34.92425522</v>
      </c>
      <c r="K5" s="967">
        <f t="shared" si="7"/>
        <v>50.94140689</v>
      </c>
    </row>
    <row r="6">
      <c r="A6" s="971" t="s">
        <v>862</v>
      </c>
      <c r="B6" s="969">
        <f>B5-B12</f>
        <v>28999.8</v>
      </c>
      <c r="C6" s="972">
        <f t="shared" ref="C6:C7" si="8">IFERROR(B6/$B$5,"")</f>
        <v>0.7744423709</v>
      </c>
      <c r="D6" s="970">
        <f>D5-D12</f>
        <v>876798.9852</v>
      </c>
      <c r="E6" s="972">
        <f t="shared" ref="E6:E7" si="9">IFERROR(D6/$D$5,"")</f>
        <v>0.651788012</v>
      </c>
      <c r="F6" s="964">
        <f>F5-F12</f>
        <v>1245000</v>
      </c>
      <c r="G6" s="967">
        <f t="shared" si="3"/>
        <v>0.6225</v>
      </c>
      <c r="H6" s="965">
        <f t="shared" si="4"/>
        <v>0.704256213</v>
      </c>
      <c r="I6" s="966">
        <f t="shared" si="5"/>
        <v>-368201.0148</v>
      </c>
      <c r="J6" s="965">
        <f t="shared" si="6"/>
        <v>29.23465628</v>
      </c>
      <c r="K6" s="967">
        <f t="shared" si="7"/>
        <v>41.93133056</v>
      </c>
    </row>
    <row r="7">
      <c r="A7" s="973" t="s">
        <v>865</v>
      </c>
      <c r="B7" s="974">
        <f>B5-B12-B9</f>
        <v>-12757.12</v>
      </c>
      <c r="C7" s="975">
        <f t="shared" si="8"/>
        <v>-0.3406800826</v>
      </c>
      <c r="D7" s="976">
        <f>D5-D12-D9</f>
        <v>334173.3052</v>
      </c>
      <c r="E7" s="975">
        <f t="shared" si="9"/>
        <v>0.2484151532</v>
      </c>
      <c r="F7" s="976">
        <f>F5-F12-F9</f>
        <v>545000</v>
      </c>
      <c r="G7" s="975">
        <f>IFERROR(F7/$F$5,"")</f>
        <v>0.2802056555</v>
      </c>
      <c r="H7" s="977">
        <f t="shared" si="4"/>
        <v>0.6131620278</v>
      </c>
      <c r="I7" s="978">
        <f t="shared" si="5"/>
        <v>-210826.6948</v>
      </c>
      <c r="J7" s="977">
        <f t="shared" si="6"/>
        <v>-27.19504286</v>
      </c>
      <c r="K7" s="975">
        <f t="shared" si="7"/>
        <v>-43.72124116</v>
      </c>
      <c r="M7" s="439"/>
    </row>
    <row r="8">
      <c r="A8" s="980" t="s">
        <v>867</v>
      </c>
      <c r="B8" s="962">
        <f>161681.9-B14</f>
        <v>63742.02</v>
      </c>
      <c r="C8" s="967">
        <f t="shared" ref="C8:C11" si="10">IFERROR(B8/$B$4,"")</f>
        <v>0.4708172017</v>
      </c>
      <c r="D8" s="964">
        <f>sum(D9:D13)</f>
        <v>1274147.687</v>
      </c>
      <c r="E8" s="967">
        <f t="shared" ref="E8:E11" si="11">IFERROR(D8/$D$4,"")</f>
        <v>0.9026855765</v>
      </c>
      <c r="F8" s="964">
        <f>sum(F9:F13)</f>
        <v>1750000</v>
      </c>
      <c r="G8" s="967">
        <f t="shared" ref="G8:G19" si="12">IFERROR(F8/$F$4,"")</f>
        <v>0.875</v>
      </c>
      <c r="H8" s="965">
        <f t="shared" si="4"/>
        <v>0.7280843926</v>
      </c>
      <c r="I8" s="966">
        <f t="shared" si="5"/>
        <v>-475852.3129</v>
      </c>
      <c r="J8" s="965">
        <f t="shared" si="6"/>
        <v>18.98913255</v>
      </c>
      <c r="K8" s="967">
        <f t="shared" si="7"/>
        <v>26.45441704</v>
      </c>
      <c r="M8" s="439"/>
    </row>
    <row r="9" outlineLevel="1">
      <c r="A9" s="981" t="s">
        <v>868</v>
      </c>
      <c r="B9" s="962">
        <v>41756.92</v>
      </c>
      <c r="C9" s="967">
        <f t="shared" si="10"/>
        <v>0.3084288233</v>
      </c>
      <c r="D9" s="964">
        <f>sum('ECOMMERCE Detailed Report'!AG489:AG490)</f>
        <v>542625.68</v>
      </c>
      <c r="E9" s="967">
        <f t="shared" si="11"/>
        <v>0.3844298269</v>
      </c>
      <c r="F9" s="964">
        <f>'Forecast projection'!H15</f>
        <v>700000</v>
      </c>
      <c r="G9" s="967">
        <f t="shared" si="12"/>
        <v>0.35</v>
      </c>
      <c r="H9" s="965">
        <f t="shared" si="4"/>
        <v>0.7751795429</v>
      </c>
      <c r="I9" s="966">
        <f t="shared" si="5"/>
        <v>-157374.32</v>
      </c>
      <c r="J9" s="965">
        <f t="shared" si="6"/>
        <v>11.9948684</v>
      </c>
      <c r="K9" s="967">
        <f t="shared" si="7"/>
        <v>15.76368851</v>
      </c>
      <c r="M9" s="439"/>
    </row>
    <row r="10" outlineLevel="1">
      <c r="A10" s="981" t="s">
        <v>869</v>
      </c>
      <c r="B10" s="962">
        <v>5295.1</v>
      </c>
      <c r="C10" s="967">
        <f t="shared" si="10"/>
        <v>0.0391111572</v>
      </c>
      <c r="D10" s="964">
        <f>sum('ECOMMERCE Detailed Report'!AG514:AG517)</f>
        <v>133721.755</v>
      </c>
      <c r="E10" s="967">
        <f t="shared" si="11"/>
        <v>0.09473681955</v>
      </c>
      <c r="F10" s="962">
        <v>180000.0</v>
      </c>
      <c r="G10" s="967">
        <f t="shared" si="12"/>
        <v>0.09</v>
      </c>
      <c r="H10" s="965">
        <f t="shared" si="4"/>
        <v>0.7428986389</v>
      </c>
      <c r="I10" s="966">
        <f t="shared" si="5"/>
        <v>-46278.245</v>
      </c>
      <c r="J10" s="965">
        <f t="shared" si="6"/>
        <v>24.25386773</v>
      </c>
      <c r="K10" s="967">
        <f t="shared" si="7"/>
        <v>32.99369228</v>
      </c>
      <c r="M10" s="439"/>
    </row>
    <row r="11" outlineLevel="1">
      <c r="A11" s="981" t="s">
        <v>870</v>
      </c>
      <c r="B11" s="962">
        <v>4060.06</v>
      </c>
      <c r="C11" s="967">
        <f t="shared" si="10"/>
        <v>0.02998879056</v>
      </c>
      <c r="D11" s="964">
        <f>sum('ECOMMERCE Detailed Report'!AG512:AG513)</f>
        <v>39425.59005</v>
      </c>
      <c r="E11" s="967">
        <f t="shared" si="11"/>
        <v>0.02793154345</v>
      </c>
      <c r="F11" s="962">
        <v>50000.0</v>
      </c>
      <c r="G11" s="967">
        <f t="shared" si="12"/>
        <v>0.025</v>
      </c>
      <c r="H11" s="965">
        <f t="shared" si="4"/>
        <v>0.7885118011</v>
      </c>
      <c r="I11" s="966">
        <f t="shared" si="5"/>
        <v>-10574.40995</v>
      </c>
      <c r="J11" s="965">
        <f t="shared" si="6"/>
        <v>8.71059296</v>
      </c>
      <c r="K11" s="967">
        <f t="shared" si="7"/>
        <v>11.31508894</v>
      </c>
      <c r="M11" s="439"/>
    </row>
    <row r="12" outlineLevel="1">
      <c r="A12" s="981" t="s">
        <v>92</v>
      </c>
      <c r="B12" s="962">
        <v>8446.24</v>
      </c>
      <c r="C12" s="967">
        <f>IFERROR(B12/$B$5,"")</f>
        <v>0.2255576291</v>
      </c>
      <c r="D12" s="983">
        <f>sum('ECOMMERCE Detailed Report'!AG491:AG511)</f>
        <v>468422.1128</v>
      </c>
      <c r="E12" s="972">
        <f>IFERROR(D12/$D$5,"")</f>
        <v>0.348211988</v>
      </c>
      <c r="F12" s="962">
        <v>700000.0</v>
      </c>
      <c r="G12" s="967">
        <f t="shared" si="12"/>
        <v>0.35</v>
      </c>
      <c r="H12" s="965">
        <f t="shared" si="4"/>
        <v>0.6691744469</v>
      </c>
      <c r="I12" s="966">
        <f t="shared" si="5"/>
        <v>-231577.8872</v>
      </c>
      <c r="J12" s="965">
        <f t="shared" si="6"/>
        <v>54.45924729</v>
      </c>
      <c r="K12" s="967">
        <f t="shared" si="7"/>
        <v>81.87711455</v>
      </c>
    </row>
    <row r="13" outlineLevel="1">
      <c r="A13" s="981" t="s">
        <v>872</v>
      </c>
      <c r="B13" s="962">
        <v>4183.7</v>
      </c>
      <c r="C13" s="967">
        <f t="shared" ref="C13:C19" si="13">IFERROR(B13/$B$4,"")</f>
        <v>0.03090203176</v>
      </c>
      <c r="D13" s="964">
        <f>sum('ECOMMERCE Detailed Report'!AG518:AG520)</f>
        <v>89952.5492</v>
      </c>
      <c r="E13" s="967">
        <f t="shared" ref="E13:E19" si="14">IFERROR(D13/$D$4,"")</f>
        <v>0.06372798817</v>
      </c>
      <c r="F13" s="962">
        <v>120000.0</v>
      </c>
      <c r="G13" s="967">
        <f t="shared" si="12"/>
        <v>0.06</v>
      </c>
      <c r="H13" s="965">
        <f t="shared" si="4"/>
        <v>0.7496045767</v>
      </c>
      <c r="I13" s="966">
        <f t="shared" si="5"/>
        <v>-30047.4508</v>
      </c>
      <c r="J13" s="965">
        <f t="shared" si="6"/>
        <v>20.50071688</v>
      </c>
      <c r="K13" s="967">
        <f t="shared" si="7"/>
        <v>27.68274494</v>
      </c>
    </row>
    <row r="14">
      <c r="A14" s="984" t="s">
        <v>874</v>
      </c>
      <c r="B14" s="962">
        <v>97939.88</v>
      </c>
      <c r="C14" s="967">
        <f t="shared" si="13"/>
        <v>0.7234125971</v>
      </c>
      <c r="D14" s="964">
        <f>sum(D15:D18)</f>
        <v>66286.652</v>
      </c>
      <c r="E14" s="967">
        <f t="shared" si="14"/>
        <v>0.04696159267</v>
      </c>
      <c r="F14" s="964">
        <f>sum(F15:F18)</f>
        <v>55000</v>
      </c>
      <c r="G14" s="967">
        <f t="shared" si="12"/>
        <v>0.0275</v>
      </c>
      <c r="H14" s="965">
        <f t="shared" si="4"/>
        <v>1.205211855</v>
      </c>
      <c r="I14" s="966">
        <f t="shared" si="5"/>
        <v>11286.652</v>
      </c>
      <c r="J14" s="965">
        <f t="shared" si="6"/>
        <v>-0.3231903899</v>
      </c>
      <c r="K14" s="967">
        <f t="shared" si="7"/>
        <v>-0.4384310048</v>
      </c>
      <c r="M14" s="439"/>
    </row>
    <row r="15" outlineLevel="1">
      <c r="A15" s="985" t="s">
        <v>839</v>
      </c>
      <c r="B15" s="962"/>
      <c r="C15" s="967">
        <f t="shared" si="13"/>
        <v>0</v>
      </c>
      <c r="D15" s="964">
        <f>'ECOMMERCE Detailed Report'!AG522</f>
        <v>4396.92</v>
      </c>
      <c r="E15" s="967">
        <f t="shared" si="14"/>
        <v>0.003115051972</v>
      </c>
      <c r="F15" s="962">
        <v>30000.0</v>
      </c>
      <c r="G15" s="967">
        <f t="shared" si="12"/>
        <v>0.015</v>
      </c>
      <c r="H15" s="965">
        <f t="shared" si="4"/>
        <v>0.146564</v>
      </c>
      <c r="I15" s="966">
        <f t="shared" si="5"/>
        <v>-25603.08</v>
      </c>
      <c r="J15" s="965" t="str">
        <f t="shared" si="6"/>
        <v/>
      </c>
      <c r="K15" s="967" t="str">
        <f t="shared" si="7"/>
        <v/>
      </c>
      <c r="M15" s="439"/>
    </row>
    <row r="16" outlineLevel="1">
      <c r="A16" s="985" t="s">
        <v>876</v>
      </c>
      <c r="B16" s="962"/>
      <c r="C16" s="967">
        <f t="shared" si="13"/>
        <v>0</v>
      </c>
      <c r="D16" s="964">
        <f>sum('ECOMMERCE Detailed Report'!AG523:AG524)</f>
        <v>61889.732</v>
      </c>
      <c r="E16" s="967">
        <f t="shared" si="14"/>
        <v>0.04384654069</v>
      </c>
      <c r="F16" s="962">
        <v>15000.0</v>
      </c>
      <c r="G16" s="967">
        <f t="shared" si="12"/>
        <v>0.0075</v>
      </c>
      <c r="H16" s="965">
        <f t="shared" si="4"/>
        <v>4.125982133</v>
      </c>
      <c r="I16" s="966">
        <f t="shared" si="5"/>
        <v>46889.732</v>
      </c>
      <c r="J16" s="965" t="str">
        <f t="shared" si="6"/>
        <v/>
      </c>
      <c r="K16" s="967" t="str">
        <f t="shared" si="7"/>
        <v/>
      </c>
      <c r="M16" s="439"/>
    </row>
    <row r="17" outlineLevel="1">
      <c r="A17" s="985" t="s">
        <v>442</v>
      </c>
      <c r="B17" s="962"/>
      <c r="C17" s="967">
        <f t="shared" si="13"/>
        <v>0</v>
      </c>
      <c r="D17" s="964">
        <f>'ECOMMERCE Detailed Report'!AG525</f>
        <v>0</v>
      </c>
      <c r="E17" s="967">
        <f t="shared" si="14"/>
        <v>0</v>
      </c>
      <c r="F17" s="962">
        <v>5000.0</v>
      </c>
      <c r="G17" s="967">
        <f t="shared" si="12"/>
        <v>0.0025</v>
      </c>
      <c r="H17" s="965">
        <f t="shared" si="4"/>
        <v>0</v>
      </c>
      <c r="I17" s="966">
        <f t="shared" si="5"/>
        <v>-5000</v>
      </c>
      <c r="J17" s="965" t="str">
        <f t="shared" si="6"/>
        <v/>
      </c>
      <c r="K17" s="967" t="str">
        <f t="shared" si="7"/>
        <v/>
      </c>
    </row>
    <row r="18" outlineLevel="1">
      <c r="A18" s="985" t="s">
        <v>878</v>
      </c>
      <c r="B18" s="962"/>
      <c r="C18" s="967">
        <f t="shared" si="13"/>
        <v>0</v>
      </c>
      <c r="D18" s="964">
        <f>'ECOMMERCE Detailed Report'!AG579</f>
        <v>0</v>
      </c>
      <c r="E18" s="967">
        <f t="shared" si="14"/>
        <v>0</v>
      </c>
      <c r="F18" s="962">
        <v>5000.0</v>
      </c>
      <c r="G18" s="967">
        <f t="shared" si="12"/>
        <v>0.0025</v>
      </c>
      <c r="H18" s="965">
        <f t="shared" si="4"/>
        <v>0</v>
      </c>
      <c r="I18" s="966">
        <f t="shared" si="5"/>
        <v>-5000</v>
      </c>
      <c r="J18" s="965" t="str">
        <f t="shared" si="6"/>
        <v/>
      </c>
      <c r="K18" s="967" t="str">
        <f t="shared" si="7"/>
        <v/>
      </c>
    </row>
    <row r="19">
      <c r="A19" s="986" t="s">
        <v>879</v>
      </c>
      <c r="B19" s="987">
        <f>B4-B8-B14</f>
        <v>-26295.98</v>
      </c>
      <c r="C19" s="988">
        <f t="shared" si="13"/>
        <v>-0.1942297988</v>
      </c>
      <c r="D19" s="987">
        <f>D4-D8-D14</f>
        <v>71073.4109</v>
      </c>
      <c r="E19" s="988">
        <f t="shared" si="14"/>
        <v>0.0503528308</v>
      </c>
      <c r="F19" s="987">
        <f>F4-F8-F14</f>
        <v>195000</v>
      </c>
      <c r="G19" s="988">
        <f t="shared" si="12"/>
        <v>0.0975</v>
      </c>
      <c r="H19" s="989">
        <f t="shared" si="4"/>
        <v>0.3644790303</v>
      </c>
      <c r="I19" s="990">
        <f t="shared" si="5"/>
        <v>-123926.5891</v>
      </c>
      <c r="J19" s="989">
        <f t="shared" si="6"/>
        <v>-3.702824192</v>
      </c>
      <c r="K19" s="988">
        <f t="shared" si="7"/>
        <v>-8.415582154</v>
      </c>
      <c r="M19" s="430"/>
    </row>
    <row r="20">
      <c r="A20" s="991" t="s">
        <v>880</v>
      </c>
      <c r="B20" s="992">
        <v>54892.0</v>
      </c>
      <c r="C20" s="993"/>
      <c r="D20" s="994">
        <f>'Forecast projection'!C114</f>
        <v>348656</v>
      </c>
      <c r="E20" s="993"/>
      <c r="F20" s="994">
        <f>'Forecast projection'!H20</f>
        <v>624000</v>
      </c>
      <c r="G20" s="993"/>
      <c r="H20" s="965">
        <f t="shared" si="4"/>
        <v>0.5587435897</v>
      </c>
      <c r="I20" s="966">
        <f t="shared" si="5"/>
        <v>-275344</v>
      </c>
      <c r="J20" s="965">
        <f t="shared" si="6"/>
        <v>5.351672375</v>
      </c>
      <c r="K20" s="967">
        <f t="shared" si="7"/>
        <v>10.36777673</v>
      </c>
    </row>
    <row r="21">
      <c r="A21" s="995" t="s">
        <v>100</v>
      </c>
      <c r="B21" s="992">
        <v>418.0</v>
      </c>
      <c r="C21" s="993"/>
      <c r="D21" s="994">
        <f>'OLD Sales'!B59</f>
        <v>5740</v>
      </c>
      <c r="E21" s="993"/>
      <c r="F21" s="994">
        <f>'Forecast projection'!H14</f>
        <v>7800</v>
      </c>
      <c r="G21" s="993"/>
      <c r="H21" s="965">
        <f t="shared" si="4"/>
        <v>0.7358974359</v>
      </c>
      <c r="I21" s="966">
        <f t="shared" si="5"/>
        <v>-2060</v>
      </c>
      <c r="J21" s="965">
        <f t="shared" si="6"/>
        <v>12.73205742</v>
      </c>
      <c r="K21" s="967">
        <f t="shared" si="7"/>
        <v>17.66028708</v>
      </c>
    </row>
    <row r="22">
      <c r="A22" s="995" t="s">
        <v>882</v>
      </c>
      <c r="B22" s="992">
        <v>216.0</v>
      </c>
      <c r="C22" s="993"/>
      <c r="D22" s="996">
        <f>'OLD Sales'!B60</f>
        <v>4752</v>
      </c>
      <c r="E22" s="993"/>
      <c r="F22" s="992">
        <v>5000.0</v>
      </c>
      <c r="G22" s="993"/>
      <c r="H22" s="965">
        <f t="shared" si="4"/>
        <v>0.9504</v>
      </c>
      <c r="I22" s="997">
        <f t="shared" si="5"/>
        <v>-248</v>
      </c>
      <c r="J22" s="965">
        <f t="shared" si="6"/>
        <v>21</v>
      </c>
      <c r="K22" s="967">
        <f t="shared" si="7"/>
        <v>22.14814815</v>
      </c>
    </row>
    <row r="23">
      <c r="A23" s="995" t="s">
        <v>237</v>
      </c>
      <c r="B23" s="965">
        <f>B21/B20</f>
        <v>0.007614952999</v>
      </c>
      <c r="C23" s="993"/>
      <c r="D23" s="965">
        <f>D21/D20</f>
        <v>0.01646321876</v>
      </c>
      <c r="E23" s="993"/>
      <c r="F23" s="965">
        <f>F21/F20</f>
        <v>0.0125</v>
      </c>
      <c r="G23" s="993"/>
      <c r="H23" s="965">
        <f t="shared" si="4"/>
        <v>1.317057501</v>
      </c>
      <c r="I23" s="966">
        <f t="shared" si="5"/>
        <v>0.00396321876</v>
      </c>
      <c r="J23" s="965">
        <f t="shared" si="6"/>
        <v>1.16195934</v>
      </c>
      <c r="K23" s="967">
        <f t="shared" si="7"/>
        <v>0.641507177</v>
      </c>
    </row>
    <row r="24">
      <c r="A24" s="998" t="s">
        <v>883</v>
      </c>
      <c r="B24" s="999">
        <f>B9/B21</f>
        <v>99.8969378</v>
      </c>
      <c r="C24" s="993"/>
      <c r="D24" s="999">
        <f>D9/D21</f>
        <v>94.53409059</v>
      </c>
      <c r="E24" s="993"/>
      <c r="F24" s="999">
        <f>F9/F21</f>
        <v>89.74358974</v>
      </c>
      <c r="G24" s="993"/>
      <c r="H24" s="965">
        <f t="shared" si="4"/>
        <v>1.053379867</v>
      </c>
      <c r="I24" s="966">
        <f t="shared" si="5"/>
        <v>4.790500849</v>
      </c>
      <c r="J24" s="965">
        <f t="shared" si="6"/>
        <v>-0.05368379977</v>
      </c>
      <c r="K24" s="967">
        <f t="shared" si="7"/>
        <v>-0.1016382312</v>
      </c>
    </row>
    <row r="25">
      <c r="A25" s="995" t="s">
        <v>885</v>
      </c>
      <c r="B25" s="970">
        <f>B9/B22</f>
        <v>193.3190741</v>
      </c>
      <c r="C25" s="993"/>
      <c r="D25" s="970">
        <f>D9/D22</f>
        <v>114.1889057</v>
      </c>
      <c r="E25" s="993"/>
      <c r="F25" s="970">
        <f>F9/F22</f>
        <v>140</v>
      </c>
      <c r="G25" s="993"/>
      <c r="H25" s="965">
        <f t="shared" si="4"/>
        <v>0.8156350409</v>
      </c>
      <c r="I25" s="966">
        <f t="shared" si="5"/>
        <v>-25.81109428</v>
      </c>
      <c r="J25" s="965">
        <f t="shared" si="6"/>
        <v>-0.4093241638</v>
      </c>
      <c r="K25" s="967">
        <f t="shared" si="7"/>
        <v>-0.2758086564</v>
      </c>
    </row>
    <row r="26">
      <c r="A26" s="995" t="s">
        <v>238</v>
      </c>
      <c r="B26" s="970">
        <f>B4/B21</f>
        <v>323.8897608</v>
      </c>
      <c r="C26" s="993"/>
      <c r="D26" s="970">
        <f>D4/D21</f>
        <v>245.9072735</v>
      </c>
      <c r="E26" s="993"/>
      <c r="F26" s="1000">
        <f>F4/F21</f>
        <v>256.4102564</v>
      </c>
      <c r="G26" s="993"/>
      <c r="H26" s="965">
        <f t="shared" si="4"/>
        <v>0.9590383667</v>
      </c>
      <c r="I26" s="966">
        <f t="shared" si="5"/>
        <v>-10.50298289</v>
      </c>
      <c r="J26" s="965">
        <f t="shared" si="6"/>
        <v>-0.2407686092</v>
      </c>
      <c r="K26" s="967">
        <f t="shared" si="7"/>
        <v>-0.208340962</v>
      </c>
    </row>
    <row r="27">
      <c r="A27" s="1001" t="s">
        <v>886</v>
      </c>
      <c r="B27" s="970">
        <f>B4/B20</f>
        <v>2.466405305</v>
      </c>
      <c r="C27" s="993"/>
      <c r="D27" s="970">
        <f>D4/D20</f>
        <v>4.048425239</v>
      </c>
      <c r="E27" s="993"/>
      <c r="F27" s="1000">
        <f>F4/F20</f>
        <v>3.205128205</v>
      </c>
      <c r="G27" s="993"/>
      <c r="H27" s="965">
        <f t="shared" si="4"/>
        <v>1.263108674</v>
      </c>
      <c r="I27" s="966">
        <f t="shared" si="5"/>
        <v>0.8432970335</v>
      </c>
      <c r="J27" s="965">
        <f t="shared" si="6"/>
        <v>0.6414273966</v>
      </c>
      <c r="K27" s="967">
        <f t="shared" si="7"/>
        <v>0.2995139926</v>
      </c>
    </row>
    <row r="28">
      <c r="A28" s="1002" t="s">
        <v>887</v>
      </c>
      <c r="B28" s="1003">
        <f>B9/B20</f>
        <v>0.760710486</v>
      </c>
      <c r="C28" s="34"/>
      <c r="D28" s="1003">
        <f>D9/D20</f>
        <v>1.556335414</v>
      </c>
      <c r="E28" s="34"/>
      <c r="F28" s="1004">
        <f>F9/F20</f>
        <v>1.121794872</v>
      </c>
      <c r="G28" s="34"/>
      <c r="H28" s="977">
        <f t="shared" si="4"/>
        <v>1.387361855</v>
      </c>
      <c r="I28" s="978">
        <f t="shared" si="5"/>
        <v>0.4345405419</v>
      </c>
      <c r="J28" s="977">
        <f t="shared" si="6"/>
        <v>1.045897148</v>
      </c>
      <c r="K28" s="975">
        <f t="shared" si="7"/>
        <v>0.4746672911</v>
      </c>
    </row>
  </sheetData>
  <mergeCells count="39">
    <mergeCell ref="A1:A2"/>
    <mergeCell ref="B1:C1"/>
    <mergeCell ref="D1:E1"/>
    <mergeCell ref="F1:G1"/>
    <mergeCell ref="H1:I1"/>
    <mergeCell ref="J1:K1"/>
    <mergeCell ref="B2:C2"/>
    <mergeCell ref="H2:I2"/>
    <mergeCell ref="D2:E2"/>
    <mergeCell ref="F2:G2"/>
    <mergeCell ref="J2:J3"/>
    <mergeCell ref="K2:K3"/>
    <mergeCell ref="B20:C20"/>
    <mergeCell ref="D20:E20"/>
    <mergeCell ref="F20:G20"/>
    <mergeCell ref="D23:E23"/>
    <mergeCell ref="F23:G23"/>
    <mergeCell ref="B21:C21"/>
    <mergeCell ref="D21:E21"/>
    <mergeCell ref="F21:G21"/>
    <mergeCell ref="B22:C22"/>
    <mergeCell ref="D22:E22"/>
    <mergeCell ref="F22:G22"/>
    <mergeCell ref="B23:C23"/>
    <mergeCell ref="D26:E26"/>
    <mergeCell ref="F26:G26"/>
    <mergeCell ref="B27:C27"/>
    <mergeCell ref="D27:E27"/>
    <mergeCell ref="F27:G27"/>
    <mergeCell ref="B28:C28"/>
    <mergeCell ref="D28:E28"/>
    <mergeCell ref="F28:G28"/>
    <mergeCell ref="B24:C24"/>
    <mergeCell ref="D24:E24"/>
    <mergeCell ref="F24:G24"/>
    <mergeCell ref="B25:C25"/>
    <mergeCell ref="D25:E25"/>
    <mergeCell ref="F25:G25"/>
    <mergeCell ref="B26:C26"/>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06" t="s">
        <v>893</v>
      </c>
      <c r="H1" s="1007"/>
      <c r="I1" s="1007"/>
      <c r="J1" s="1007"/>
      <c r="K1" s="1007"/>
      <c r="L1" s="1007"/>
      <c r="M1" s="1007"/>
      <c r="N1" s="1007"/>
      <c r="O1" s="1007"/>
      <c r="P1" s="1007"/>
      <c r="Q1" s="1007"/>
      <c r="R1" s="1007"/>
      <c r="S1" s="1007"/>
      <c r="T1" s="1007"/>
      <c r="U1" s="1007"/>
      <c r="V1" s="1007"/>
      <c r="W1" s="1007"/>
      <c r="X1" s="1007"/>
      <c r="Y1" s="1007"/>
      <c r="Z1" s="1007"/>
      <c r="AA1" s="1007"/>
      <c r="AB1" s="1007"/>
      <c r="AC1" s="1007"/>
      <c r="AD1" s="1007"/>
      <c r="AE1" s="1007"/>
      <c r="AF1" s="1007"/>
      <c r="AG1" s="1007"/>
      <c r="AH1" s="1007"/>
      <c r="AI1" s="1007"/>
      <c r="AJ1" s="1007"/>
      <c r="AK1" s="1007"/>
      <c r="AL1" s="760"/>
      <c r="AM1" s="760"/>
      <c r="AN1" s="760"/>
      <c r="AO1" s="21"/>
      <c r="AP1" s="1"/>
      <c r="AQ1" s="1"/>
      <c r="AR1" s="1"/>
      <c r="AS1" s="1"/>
      <c r="AT1" s="1"/>
      <c r="AU1" s="1"/>
      <c r="AV1" s="1"/>
      <c r="AW1" s="1"/>
      <c r="AX1" s="1"/>
      <c r="AY1" s="1"/>
      <c r="AZ1" s="1"/>
      <c r="BA1" s="1"/>
      <c r="BB1" s="1"/>
      <c r="BC1" s="1"/>
    </row>
    <row r="2">
      <c r="A2" s="1006" t="s">
        <v>895</v>
      </c>
      <c r="H2" s="1007"/>
      <c r="I2" s="1007"/>
      <c r="J2" s="1007"/>
      <c r="K2" s="1007"/>
      <c r="L2" s="1007"/>
      <c r="M2" s="1007"/>
      <c r="N2" s="1007"/>
      <c r="O2" s="1007"/>
      <c r="P2" s="1007"/>
      <c r="Q2" s="1007"/>
      <c r="R2" s="1007"/>
      <c r="S2" s="1007"/>
      <c r="T2" s="1007"/>
      <c r="U2" s="1007"/>
      <c r="V2" s="1007"/>
      <c r="W2" s="1007"/>
      <c r="X2" s="1007"/>
      <c r="Y2" s="1007"/>
      <c r="Z2" s="1007"/>
      <c r="AA2" s="1007"/>
      <c r="AB2" s="1007"/>
      <c r="AC2" s="1007"/>
      <c r="AD2" s="1007"/>
      <c r="AE2" s="1007"/>
      <c r="AF2" s="1007"/>
      <c r="AG2" s="1007"/>
      <c r="AH2" s="1007"/>
      <c r="AI2" s="1007"/>
      <c r="AJ2" s="1007"/>
      <c r="AK2" s="1007"/>
      <c r="AL2" s="760"/>
      <c r="AM2" s="760"/>
      <c r="AN2" s="760"/>
      <c r="AO2" s="21"/>
      <c r="AP2" s="1"/>
      <c r="AQ2" s="1"/>
      <c r="AR2" s="1"/>
      <c r="AS2" s="1"/>
      <c r="AT2" s="1"/>
      <c r="AU2" s="1"/>
      <c r="AV2" s="1"/>
      <c r="AW2" s="1"/>
      <c r="AX2" s="1"/>
      <c r="AY2" s="1"/>
      <c r="AZ2" s="1"/>
      <c r="BA2" s="1"/>
      <c r="BB2" s="1"/>
      <c r="BC2" s="1"/>
    </row>
    <row r="3">
      <c r="A3" s="1006" t="s">
        <v>896</v>
      </c>
      <c r="H3" s="1007"/>
      <c r="I3" s="1007"/>
      <c r="J3" s="1007"/>
      <c r="K3" s="1007"/>
      <c r="L3" s="1007"/>
      <c r="M3" s="1007"/>
      <c r="N3" s="1007"/>
      <c r="O3" s="1007"/>
      <c r="P3" s="1007"/>
      <c r="Q3" s="1007"/>
      <c r="R3" s="1007"/>
      <c r="S3" s="1007"/>
      <c r="T3" s="1007"/>
      <c r="U3" s="1007"/>
      <c r="V3" s="1007"/>
      <c r="W3" s="1007"/>
      <c r="X3" s="1007"/>
      <c r="Y3" s="1007"/>
      <c r="Z3" s="1007"/>
      <c r="AA3" s="1007"/>
      <c r="AB3" s="1007"/>
      <c r="AC3" s="1007"/>
      <c r="AD3" s="1007"/>
      <c r="AE3" s="1007"/>
      <c r="AF3" s="1007"/>
      <c r="AG3" s="1007"/>
      <c r="AH3" s="1007"/>
      <c r="AI3" s="1007"/>
      <c r="AJ3" s="1007"/>
      <c r="AK3" s="1007"/>
      <c r="AL3" s="760"/>
      <c r="AM3" s="760"/>
      <c r="AN3" s="760"/>
      <c r="AO3" s="21"/>
      <c r="AP3" s="1"/>
      <c r="AQ3" s="1"/>
      <c r="AR3" s="1"/>
      <c r="AS3" s="1"/>
      <c r="AT3" s="1"/>
      <c r="AU3" s="1"/>
      <c r="AV3" s="1"/>
      <c r="AW3" s="1"/>
      <c r="AX3" s="1"/>
      <c r="AY3" s="1"/>
      <c r="AZ3" s="1"/>
      <c r="BA3" s="1"/>
      <c r="BB3" s="1"/>
      <c r="BC3" s="1"/>
    </row>
    <row r="4">
      <c r="A4" s="1006" t="s">
        <v>898</v>
      </c>
      <c r="H4" s="1007"/>
      <c r="I4" s="1007"/>
      <c r="J4" s="1007"/>
      <c r="K4" s="1007"/>
      <c r="L4" s="1007"/>
      <c r="M4" s="1007"/>
      <c r="N4" s="1007"/>
      <c r="O4" s="1007"/>
      <c r="P4" s="1007"/>
      <c r="Q4" s="1007"/>
      <c r="R4" s="1007"/>
      <c r="S4" s="1007"/>
      <c r="T4" s="1007"/>
      <c r="U4" s="1007"/>
      <c r="V4" s="1007"/>
      <c r="W4" s="1007"/>
      <c r="X4" s="1007"/>
      <c r="Y4" s="1007"/>
      <c r="Z4" s="1007"/>
      <c r="AA4" s="1007"/>
      <c r="AB4" s="1007"/>
      <c r="AC4" s="1007"/>
      <c r="AD4" s="1007"/>
      <c r="AE4" s="1007"/>
      <c r="AF4" s="1007"/>
      <c r="AG4" s="1007"/>
      <c r="AH4" s="1007"/>
      <c r="AI4" s="1007"/>
      <c r="AJ4" s="1007"/>
      <c r="AK4" s="1007"/>
      <c r="AL4" s="760"/>
      <c r="AM4" s="1010"/>
      <c r="AN4" s="760"/>
      <c r="AO4" s="21"/>
      <c r="AP4" s="1"/>
      <c r="AQ4" s="1"/>
      <c r="AR4" s="1"/>
      <c r="AS4" s="1"/>
      <c r="AT4" s="1"/>
      <c r="AU4" s="1"/>
      <c r="AV4" s="1"/>
      <c r="AW4" s="1"/>
      <c r="AX4" s="1"/>
      <c r="AY4" s="1"/>
      <c r="AZ4" s="1"/>
      <c r="BA4" s="1"/>
      <c r="BB4" s="1"/>
      <c r="BC4" s="1"/>
    </row>
    <row r="5">
      <c r="A5" s="1006" t="s">
        <v>900</v>
      </c>
      <c r="AL5" s="760"/>
      <c r="AM5" s="760"/>
      <c r="AN5" s="760"/>
      <c r="AO5" s="21"/>
      <c r="AP5" s="1"/>
      <c r="AQ5" s="1"/>
      <c r="AR5" s="1"/>
      <c r="AS5" s="1"/>
      <c r="AT5" s="1"/>
      <c r="AU5" s="1"/>
      <c r="AV5" s="1"/>
      <c r="AW5" s="1"/>
      <c r="AX5" s="1"/>
      <c r="AY5" s="1"/>
      <c r="AZ5" s="1"/>
      <c r="BA5" s="1"/>
      <c r="BB5" s="1"/>
      <c r="BC5" s="1"/>
    </row>
    <row r="6">
      <c r="A6" s="1006" t="s">
        <v>901</v>
      </c>
      <c r="AO6" s="21"/>
      <c r="AP6" s="1"/>
      <c r="AQ6" s="1"/>
      <c r="AR6" s="1"/>
      <c r="AS6" s="1"/>
      <c r="AT6" s="1"/>
      <c r="AU6" s="1"/>
      <c r="AV6" s="1"/>
      <c r="AW6" s="1"/>
      <c r="AX6" s="1"/>
      <c r="AY6" s="1"/>
      <c r="AZ6" s="1"/>
      <c r="BA6" s="1"/>
      <c r="BB6" s="1"/>
      <c r="BC6" s="1"/>
    </row>
    <row r="7">
      <c r="A7" s="1006" t="s">
        <v>902</v>
      </c>
      <c r="AN7" s="760"/>
      <c r="AO7" s="21"/>
      <c r="AP7" s="1"/>
      <c r="AQ7" s="1"/>
      <c r="AR7" s="1"/>
      <c r="AS7" s="1"/>
      <c r="AT7" s="1"/>
      <c r="AU7" s="1"/>
      <c r="AV7" s="1"/>
      <c r="AW7" s="1"/>
      <c r="AX7" s="1"/>
      <c r="AY7" s="1"/>
      <c r="AZ7" s="1"/>
      <c r="BA7" s="1"/>
      <c r="BB7" s="1"/>
      <c r="BC7" s="1"/>
    </row>
    <row r="8">
      <c r="A8" s="1006" t="s">
        <v>904</v>
      </c>
      <c r="H8" s="1007"/>
      <c r="I8" s="1007"/>
      <c r="J8" s="1007"/>
      <c r="K8" s="1007"/>
      <c r="L8" s="1007"/>
      <c r="M8" s="1007"/>
      <c r="N8" s="1007"/>
      <c r="O8" s="1007"/>
      <c r="P8" s="1007"/>
      <c r="Q8" s="1007"/>
      <c r="R8" s="1007"/>
      <c r="S8" s="1007"/>
      <c r="T8" s="1007"/>
      <c r="U8" s="1007"/>
      <c r="V8" s="1007"/>
      <c r="W8" s="1007"/>
      <c r="X8" s="1007"/>
      <c r="Y8" s="1007"/>
      <c r="Z8" s="1007"/>
      <c r="AA8" s="1007"/>
      <c r="AB8" s="1007"/>
      <c r="AC8" s="1007"/>
      <c r="AD8" s="1007"/>
      <c r="AE8" s="1007"/>
      <c r="AF8" s="1007"/>
      <c r="AG8" s="1007"/>
      <c r="AH8" s="1007"/>
      <c r="AI8" s="1007"/>
      <c r="AJ8" s="1007"/>
      <c r="AK8" s="1007"/>
      <c r="AL8" s="760"/>
      <c r="AM8" s="760"/>
      <c r="AN8" s="760"/>
      <c r="AO8" s="21"/>
      <c r="AP8" s="1"/>
      <c r="AQ8" s="1"/>
      <c r="AR8" s="1"/>
      <c r="AS8" s="1"/>
      <c r="AT8" s="1"/>
      <c r="AU8" s="1"/>
      <c r="AV8" s="1"/>
      <c r="AW8" s="1"/>
      <c r="AX8" s="1"/>
      <c r="AY8" s="1"/>
      <c r="AZ8" s="1"/>
      <c r="BA8" s="1"/>
      <c r="BB8" s="1"/>
      <c r="BC8" s="1"/>
    </row>
    <row r="9">
      <c r="A9" s="1011"/>
      <c r="B9" s="1011"/>
      <c r="C9" s="1"/>
      <c r="D9" s="1"/>
      <c r="E9" s="1"/>
      <c r="F9" s="1"/>
      <c r="G9" s="1014"/>
      <c r="H9" s="1014"/>
      <c r="I9" s="1014"/>
      <c r="J9" s="1014"/>
      <c r="K9" s="1014"/>
      <c r="L9" s="1014"/>
      <c r="M9" s="1014"/>
      <c r="N9" s="1014"/>
      <c r="O9" s="1014"/>
      <c r="P9" s="1014"/>
      <c r="Q9" s="1014"/>
      <c r="R9" s="1014"/>
      <c r="S9" s="1014"/>
      <c r="T9" s="1014"/>
      <c r="U9" s="1014"/>
      <c r="V9" s="1014"/>
      <c r="W9" s="1014"/>
      <c r="X9" s="1014"/>
      <c r="Y9" s="1014"/>
      <c r="Z9" s="1014"/>
      <c r="AA9" s="1014"/>
      <c r="AB9" s="1014"/>
      <c r="AC9" s="1014"/>
      <c r="AD9" s="1014"/>
      <c r="AE9" s="1014"/>
      <c r="AF9" s="1014"/>
      <c r="AG9" s="1014"/>
      <c r="AH9" s="1014"/>
      <c r="AI9" s="1014"/>
      <c r="AJ9" s="1014"/>
      <c r="AK9" s="1014"/>
      <c r="AL9" s="21"/>
      <c r="AM9" s="21"/>
      <c r="AN9" s="21"/>
      <c r="AO9" s="21"/>
      <c r="AP9" s="1"/>
      <c r="AQ9" s="1"/>
      <c r="AR9" s="1"/>
      <c r="AS9" s="1"/>
      <c r="AT9" s="1"/>
      <c r="AU9" s="1"/>
      <c r="AV9" s="1"/>
      <c r="AW9" s="1"/>
      <c r="AX9" s="1"/>
      <c r="AY9" s="1"/>
      <c r="AZ9" s="1"/>
      <c r="BA9" s="1"/>
      <c r="BB9" s="1"/>
      <c r="BC9" s="1"/>
    </row>
    <row r="10">
      <c r="A10" s="1015" t="s">
        <v>906</v>
      </c>
      <c r="B10" s="614"/>
      <c r="C10" s="1016" t="s">
        <v>908</v>
      </c>
      <c r="D10" s="1016" t="s">
        <v>909</v>
      </c>
      <c r="E10" s="1016" t="s">
        <v>910</v>
      </c>
      <c r="F10" s="1016" t="s">
        <v>911</v>
      </c>
      <c r="G10" s="1017" t="s">
        <v>912</v>
      </c>
      <c r="H10" s="1017" t="s">
        <v>913</v>
      </c>
      <c r="I10" s="1017" t="s">
        <v>915</v>
      </c>
      <c r="J10" s="1017" t="s">
        <v>916</v>
      </c>
      <c r="K10" s="1017" t="s">
        <v>917</v>
      </c>
      <c r="L10" s="1017" t="s">
        <v>918</v>
      </c>
      <c r="M10" s="1017" t="s">
        <v>919</v>
      </c>
      <c r="N10" s="1017" t="s">
        <v>920</v>
      </c>
      <c r="O10" s="1017" t="s">
        <v>921</v>
      </c>
      <c r="P10" s="1017" t="s">
        <v>922</v>
      </c>
      <c r="Q10" s="1017" t="s">
        <v>923</v>
      </c>
      <c r="R10" s="1017" t="s">
        <v>924</v>
      </c>
      <c r="S10" s="1017" t="s">
        <v>925</v>
      </c>
      <c r="T10" s="1017" t="s">
        <v>926</v>
      </c>
      <c r="U10" s="1017" t="s">
        <v>927</v>
      </c>
      <c r="V10" s="1017" t="s">
        <v>928</v>
      </c>
      <c r="W10" s="1017" t="s">
        <v>929</v>
      </c>
      <c r="X10" s="1017" t="s">
        <v>930</v>
      </c>
      <c r="Y10" s="1017" t="s">
        <v>931</v>
      </c>
      <c r="Z10" s="1017" t="s">
        <v>932</v>
      </c>
      <c r="AA10" s="1017" t="s">
        <v>933</v>
      </c>
      <c r="AB10" s="1017" t="s">
        <v>934</v>
      </c>
      <c r="AC10" s="1017" t="s">
        <v>935</v>
      </c>
      <c r="AD10" s="1017" t="s">
        <v>936</v>
      </c>
      <c r="AE10" s="1017" t="s">
        <v>937</v>
      </c>
      <c r="AF10" s="1017" t="s">
        <v>938</v>
      </c>
      <c r="AG10" s="1017" t="s">
        <v>939</v>
      </c>
      <c r="AH10" s="1017" t="s">
        <v>940</v>
      </c>
      <c r="AI10" s="1017" t="s">
        <v>941</v>
      </c>
      <c r="AJ10" s="1017" t="s">
        <v>942</v>
      </c>
      <c r="AK10" s="1017" t="s">
        <v>943</v>
      </c>
      <c r="AL10" s="21" t="s">
        <v>944</v>
      </c>
      <c r="AM10" s="21" t="s">
        <v>945</v>
      </c>
      <c r="AN10" s="21" t="s">
        <v>946</v>
      </c>
      <c r="AO10" s="21" t="s">
        <v>947</v>
      </c>
      <c r="AP10" s="1"/>
      <c r="AQ10" s="1"/>
      <c r="AR10" s="1"/>
      <c r="AS10" s="1"/>
      <c r="AT10" s="1"/>
      <c r="AU10" s="1"/>
      <c r="AV10" s="1"/>
      <c r="AW10" s="1"/>
      <c r="AX10" s="1"/>
      <c r="AY10" s="1"/>
      <c r="AZ10" s="1"/>
      <c r="BA10" s="1"/>
      <c r="BB10" s="1"/>
      <c r="BC10" s="1"/>
    </row>
    <row r="11">
      <c r="A11" s="1019" t="s">
        <v>948</v>
      </c>
      <c r="B11" s="1020" t="s">
        <v>950</v>
      </c>
      <c r="G11" s="712"/>
      <c r="H11" s="712"/>
      <c r="I11" s="712"/>
      <c r="J11" s="712"/>
      <c r="K11" s="712"/>
      <c r="L11" s="712"/>
      <c r="M11" s="712"/>
      <c r="N11" s="712"/>
      <c r="O11" s="712"/>
      <c r="P11" s="712"/>
      <c r="Q11" s="712"/>
      <c r="R11" s="712"/>
      <c r="S11" s="712"/>
      <c r="T11" s="712"/>
      <c r="U11" s="712"/>
      <c r="V11" s="712"/>
      <c r="W11" s="712"/>
      <c r="X11" s="712"/>
      <c r="Y11" s="712"/>
      <c r="Z11" s="712"/>
      <c r="AA11" s="712"/>
      <c r="AB11" s="712"/>
      <c r="AC11" s="712"/>
      <c r="AD11" s="712"/>
      <c r="AE11" s="712"/>
      <c r="AF11" s="712"/>
      <c r="AG11" s="712"/>
      <c r="AH11" s="712"/>
      <c r="AI11" s="712"/>
      <c r="AJ11" s="712"/>
      <c r="AK11" s="712"/>
      <c r="AL11" s="712"/>
      <c r="AM11" s="712"/>
      <c r="AN11" s="712"/>
      <c r="AO11" s="712"/>
    </row>
    <row r="12">
      <c r="B12" s="1023" t="s">
        <v>952</v>
      </c>
      <c r="G12" s="712"/>
      <c r="H12" s="712"/>
      <c r="I12" s="712"/>
      <c r="J12" s="712"/>
      <c r="K12" s="712"/>
      <c r="L12" s="712"/>
      <c r="M12" s="712"/>
      <c r="N12" s="712"/>
      <c r="O12" s="712"/>
      <c r="P12" s="712"/>
      <c r="Q12" s="712"/>
      <c r="R12" s="712"/>
      <c r="S12" s="712"/>
      <c r="T12" s="712"/>
      <c r="U12" s="712"/>
      <c r="V12" s="712"/>
      <c r="W12" s="712"/>
      <c r="X12" s="712"/>
      <c r="Y12" s="712"/>
      <c r="Z12" s="712"/>
      <c r="AA12" s="712"/>
      <c r="AB12" s="712"/>
      <c r="AC12" s="712"/>
      <c r="AD12" s="712"/>
      <c r="AE12" s="712"/>
      <c r="AF12" s="712"/>
      <c r="AG12" s="712"/>
      <c r="AH12" s="712"/>
      <c r="AI12" s="712"/>
      <c r="AJ12" s="712"/>
      <c r="AK12" s="712"/>
      <c r="AL12" s="712"/>
      <c r="AM12" s="712"/>
      <c r="AN12" s="712"/>
      <c r="AO12" s="712"/>
    </row>
    <row r="13">
      <c r="B13" s="1023" t="s">
        <v>953</v>
      </c>
      <c r="G13" s="778">
        <v>0.3098949992935971</v>
      </c>
      <c r="H13" s="712"/>
      <c r="I13" s="712"/>
      <c r="J13" s="712"/>
      <c r="K13" s="712"/>
      <c r="L13" s="778">
        <v>0.31192169759475546</v>
      </c>
      <c r="M13" s="712"/>
      <c r="N13" s="712"/>
      <c r="O13" s="712"/>
      <c r="P13" s="712"/>
      <c r="Q13" s="778">
        <v>0.29415803897988385</v>
      </c>
      <c r="R13" s="712"/>
      <c r="S13" s="712"/>
      <c r="T13" s="712"/>
      <c r="U13" s="712"/>
      <c r="V13" s="778">
        <v>0.3086533518418032</v>
      </c>
      <c r="W13" s="712"/>
      <c r="X13" s="712"/>
      <c r="Y13" s="712"/>
      <c r="Z13" s="712"/>
      <c r="AA13" s="778">
        <v>0.31000241750316254</v>
      </c>
      <c r="AB13" s="712"/>
      <c r="AC13" s="712"/>
      <c r="AD13" s="712"/>
      <c r="AE13" s="712"/>
      <c r="AF13" s="778">
        <v>0.2798240892753884</v>
      </c>
      <c r="AG13" s="1029">
        <v>0.2785</v>
      </c>
      <c r="AH13" s="1029">
        <v>0.2856</v>
      </c>
      <c r="AI13" s="1029">
        <v>0.3275</v>
      </c>
      <c r="AJ13" s="1029">
        <v>0.18</v>
      </c>
      <c r="AK13" s="712"/>
      <c r="AL13" s="712"/>
      <c r="AM13" s="712"/>
      <c r="AN13" s="712"/>
      <c r="AO13" s="712"/>
    </row>
    <row r="14">
      <c r="B14" s="1023" t="s">
        <v>954</v>
      </c>
      <c r="G14" s="778">
        <v>0.250980812076589</v>
      </c>
      <c r="H14" s="712"/>
      <c r="I14" s="712"/>
      <c r="J14" s="712"/>
      <c r="K14" s="712"/>
      <c r="L14" s="778">
        <v>0.16544529700030713</v>
      </c>
      <c r="M14" s="712"/>
      <c r="N14" s="712"/>
      <c r="O14" s="712"/>
      <c r="P14" s="712"/>
      <c r="Q14" s="778">
        <v>0.16328349033786654</v>
      </c>
      <c r="R14" s="712"/>
      <c r="S14" s="712"/>
      <c r="T14" s="712"/>
      <c r="U14" s="712"/>
      <c r="V14" s="778">
        <v>0.23704978506865568</v>
      </c>
      <c r="W14" s="712"/>
      <c r="X14" s="712"/>
      <c r="Y14" s="712"/>
      <c r="Z14" s="712"/>
      <c r="AA14" s="778">
        <v>0.2729430944338703</v>
      </c>
      <c r="AB14" s="712"/>
      <c r="AC14" s="712"/>
      <c r="AD14" s="712"/>
      <c r="AE14" s="712"/>
      <c r="AF14" s="778">
        <v>0.2523527452422593</v>
      </c>
      <c r="AG14" s="1029">
        <v>0.2384</v>
      </c>
      <c r="AH14" s="1029">
        <v>0.2648</v>
      </c>
      <c r="AI14" s="1029">
        <v>0.2539</v>
      </c>
      <c r="AJ14" s="1029">
        <v>0.2468</v>
      </c>
      <c r="AK14" s="712"/>
      <c r="AL14" s="712"/>
      <c r="AM14" s="712"/>
      <c r="AN14" s="712"/>
      <c r="AO14" s="712"/>
    </row>
    <row r="15">
      <c r="B15" s="1034" t="s">
        <v>956</v>
      </c>
      <c r="H15" s="712"/>
      <c r="I15" s="712"/>
      <c r="J15" s="712"/>
      <c r="K15" s="712"/>
      <c r="L15" s="712"/>
      <c r="M15" s="712"/>
      <c r="N15" s="712"/>
      <c r="O15" s="712"/>
      <c r="P15" s="712"/>
      <c r="Q15" s="712"/>
      <c r="R15" s="712"/>
      <c r="S15" s="712"/>
      <c r="T15" s="712"/>
      <c r="U15" s="712"/>
      <c r="V15" s="712"/>
      <c r="W15" s="712"/>
      <c r="X15" s="712"/>
      <c r="Y15" s="712"/>
      <c r="Z15" s="712"/>
      <c r="AA15" s="712"/>
      <c r="AB15" s="712"/>
      <c r="AC15" s="712"/>
      <c r="AD15" s="712"/>
      <c r="AE15" s="712"/>
      <c r="AF15" s="712"/>
      <c r="AG15" s="712"/>
      <c r="AH15" s="712"/>
      <c r="AI15" s="712"/>
      <c r="AJ15" s="712"/>
      <c r="AK15" s="712"/>
      <c r="AL15" s="712"/>
      <c r="AM15" s="712"/>
      <c r="AN15" s="712"/>
      <c r="AO15" s="712"/>
    </row>
    <row r="16">
      <c r="B16" s="1034" t="s">
        <v>958</v>
      </c>
      <c r="G16" s="712"/>
      <c r="H16" s="712"/>
      <c r="I16" s="712"/>
      <c r="J16" s="712"/>
      <c r="K16" s="712"/>
      <c r="L16" s="712"/>
      <c r="M16" s="712"/>
      <c r="N16" s="712"/>
      <c r="O16" s="712"/>
      <c r="P16" s="712"/>
      <c r="Q16" s="712"/>
      <c r="R16" s="712"/>
      <c r="S16" s="712"/>
      <c r="T16" s="712"/>
      <c r="U16" s="712"/>
      <c r="V16" s="712"/>
      <c r="W16" s="712"/>
      <c r="X16" s="712"/>
      <c r="Y16" s="712"/>
      <c r="Z16" s="712"/>
      <c r="AA16" s="712"/>
      <c r="AB16" s="712"/>
      <c r="AC16" s="712"/>
      <c r="AD16" s="712"/>
      <c r="AE16" s="712"/>
      <c r="AF16" s="712"/>
      <c r="AG16" s="712"/>
      <c r="AH16" s="712"/>
      <c r="AI16" s="712"/>
      <c r="AJ16" s="712"/>
      <c r="AK16" s="712"/>
      <c r="AL16" s="712"/>
      <c r="AM16" s="712"/>
      <c r="AN16" s="712"/>
      <c r="AO16" s="712"/>
    </row>
    <row r="17">
      <c r="B17" s="1023" t="s">
        <v>959</v>
      </c>
      <c r="G17" s="712"/>
      <c r="H17" s="712"/>
      <c r="I17" s="712"/>
      <c r="J17" s="712"/>
      <c r="K17" s="712"/>
      <c r="L17" s="712"/>
      <c r="M17" s="712"/>
      <c r="N17" s="712"/>
      <c r="O17" s="712"/>
      <c r="P17" s="712"/>
      <c r="Q17" s="712"/>
      <c r="R17" s="712"/>
      <c r="S17" s="712"/>
      <c r="T17" s="712"/>
      <c r="U17" s="712"/>
      <c r="V17" s="712"/>
      <c r="W17" s="712"/>
      <c r="X17" s="712"/>
      <c r="Y17" s="712"/>
      <c r="Z17" s="712"/>
      <c r="AA17" s="712"/>
      <c r="AB17" s="712"/>
      <c r="AC17" s="712"/>
      <c r="AD17" s="712"/>
      <c r="AE17" s="712"/>
      <c r="AF17" s="712"/>
      <c r="AG17" s="712"/>
      <c r="AH17" s="712"/>
      <c r="AI17" s="712"/>
      <c r="AJ17" s="712"/>
      <c r="AK17" s="712"/>
      <c r="AL17" s="712"/>
      <c r="AM17" s="712"/>
      <c r="AN17" s="712"/>
      <c r="AO17" s="712"/>
    </row>
    <row r="18">
      <c r="B18" s="1023" t="s">
        <v>960</v>
      </c>
      <c r="G18" s="1035">
        <v>321134.03</v>
      </c>
      <c r="H18" s="712"/>
      <c r="I18" s="712"/>
      <c r="J18" s="712"/>
      <c r="K18" s="712"/>
      <c r="L18" s="761">
        <v>230184.5</v>
      </c>
      <c r="M18" s="712"/>
      <c r="N18" s="712"/>
      <c r="O18" s="712"/>
      <c r="P18" s="712"/>
      <c r="Q18" s="1035">
        <v>286763.81</v>
      </c>
      <c r="R18" s="712"/>
      <c r="S18" s="712"/>
      <c r="T18" s="712"/>
      <c r="U18" s="712"/>
      <c r="V18" s="1035">
        <v>504547.38</v>
      </c>
      <c r="W18" s="712"/>
      <c r="X18" s="712"/>
      <c r="Y18" s="712"/>
      <c r="Z18" s="712"/>
      <c r="AA18" s="1035">
        <v>682315.55</v>
      </c>
      <c r="AB18" s="712"/>
      <c r="AC18" s="712"/>
      <c r="AD18" s="712"/>
      <c r="AE18" s="712"/>
      <c r="AF18" s="1035">
        <v>314811.96</v>
      </c>
      <c r="AG18" s="761">
        <v>67360.26</v>
      </c>
      <c r="AH18" s="761">
        <v>95833.95</v>
      </c>
      <c r="AI18" s="761">
        <v>99499.82</v>
      </c>
      <c r="AJ18" s="761">
        <v>52117.93</v>
      </c>
      <c r="AK18" s="712"/>
      <c r="AL18" s="712"/>
      <c r="AM18" s="712"/>
      <c r="AN18" s="712"/>
      <c r="AO18" s="712"/>
    </row>
    <row r="19">
      <c r="B19" s="1023" t="s">
        <v>961</v>
      </c>
      <c r="G19" s="1036" t="s">
        <v>962</v>
      </c>
      <c r="H19" s="1037"/>
      <c r="I19" s="1037"/>
      <c r="J19" s="1037"/>
      <c r="K19" s="1037"/>
      <c r="L19" s="1036" t="s">
        <v>962</v>
      </c>
      <c r="M19" s="1037"/>
      <c r="N19" s="1037"/>
      <c r="O19" s="1037"/>
      <c r="P19" s="1037"/>
      <c r="Q19" s="1036" t="s">
        <v>962</v>
      </c>
      <c r="R19" s="1037"/>
      <c r="S19" s="1037"/>
      <c r="T19" s="1037"/>
      <c r="U19" s="1037"/>
      <c r="V19" s="1036" t="s">
        <v>962</v>
      </c>
      <c r="W19" s="1037"/>
      <c r="X19" s="1037"/>
      <c r="Y19" s="1037"/>
      <c r="Z19" s="1037"/>
      <c r="AA19" s="1036" t="s">
        <v>962</v>
      </c>
      <c r="AB19" s="1037"/>
      <c r="AC19" s="1037"/>
      <c r="AD19" s="1037"/>
      <c r="AE19" s="1037"/>
      <c r="AF19" s="1036" t="s">
        <v>962</v>
      </c>
      <c r="AG19" s="1037"/>
      <c r="AH19" s="1037"/>
      <c r="AI19" s="1037"/>
      <c r="AJ19" s="1037"/>
      <c r="AK19" s="1037"/>
      <c r="AL19" s="712"/>
      <c r="AM19" s="712"/>
      <c r="AN19" s="712"/>
      <c r="AO19" s="712"/>
    </row>
    <row r="20">
      <c r="A20" s="1019" t="s">
        <v>964</v>
      </c>
      <c r="B20" s="1020" t="s">
        <v>950</v>
      </c>
      <c r="G20" s="712"/>
      <c r="H20" s="712"/>
      <c r="I20" s="712"/>
      <c r="J20" s="712"/>
      <c r="K20" s="712"/>
      <c r="L20" s="712"/>
      <c r="M20" s="712"/>
      <c r="N20" s="712"/>
      <c r="O20" s="712"/>
      <c r="P20" s="712"/>
      <c r="Q20" s="712"/>
      <c r="R20" s="712"/>
      <c r="S20" s="712"/>
      <c r="T20" s="712"/>
      <c r="U20" s="712"/>
      <c r="V20" s="712"/>
      <c r="W20" s="712"/>
      <c r="X20" s="712"/>
      <c r="Y20" s="712"/>
      <c r="Z20" s="712"/>
      <c r="AA20" s="712"/>
      <c r="AB20" s="712"/>
      <c r="AC20" s="712"/>
      <c r="AD20" s="712"/>
      <c r="AE20" s="712"/>
      <c r="AF20" s="712"/>
      <c r="AG20" s="712"/>
      <c r="AH20" s="712"/>
      <c r="AI20" s="712"/>
      <c r="AJ20" s="712"/>
      <c r="AK20" s="712"/>
      <c r="AL20" s="712"/>
      <c r="AM20" s="712"/>
      <c r="AN20" s="712"/>
      <c r="AO20" s="712"/>
    </row>
    <row r="21">
      <c r="B21" s="1023" t="s">
        <v>952</v>
      </c>
      <c r="G21" s="712"/>
      <c r="H21" s="712"/>
      <c r="I21" s="712"/>
      <c r="J21" s="712"/>
      <c r="K21" s="712"/>
      <c r="L21" s="712"/>
      <c r="M21" s="712"/>
      <c r="N21" s="712"/>
      <c r="O21" s="712"/>
      <c r="P21" s="712"/>
      <c r="Q21" s="712"/>
      <c r="R21" s="712"/>
      <c r="S21" s="712"/>
      <c r="T21" s="712"/>
      <c r="U21" s="712"/>
      <c r="V21" s="712"/>
      <c r="W21" s="712"/>
      <c r="X21" s="712"/>
      <c r="Y21" s="712"/>
      <c r="Z21" s="712"/>
      <c r="AA21" s="712"/>
      <c r="AB21" s="712"/>
      <c r="AC21" s="712"/>
      <c r="AD21" s="712"/>
      <c r="AE21" s="712"/>
      <c r="AF21" s="712"/>
      <c r="AG21" s="712"/>
      <c r="AH21" s="712"/>
      <c r="AI21" s="712"/>
      <c r="AJ21" s="712"/>
      <c r="AK21" s="712"/>
      <c r="AL21" s="712"/>
      <c r="AM21" s="712"/>
      <c r="AN21" s="712"/>
      <c r="AO21" s="712"/>
    </row>
    <row r="22">
      <c r="B22" s="1023" t="s">
        <v>953</v>
      </c>
      <c r="G22" s="778">
        <v>0.281197586693855</v>
      </c>
      <c r="H22" s="712"/>
      <c r="I22" s="712"/>
      <c r="J22" s="712"/>
      <c r="K22" s="712"/>
      <c r="L22" s="778">
        <v>0.3004094299375702</v>
      </c>
      <c r="M22" s="712"/>
      <c r="N22" s="712"/>
      <c r="O22" s="712"/>
      <c r="P22" s="712"/>
      <c r="Q22" s="778">
        <v>0.2985524909055659</v>
      </c>
      <c r="R22" s="712"/>
      <c r="S22" s="712"/>
      <c r="T22" s="712"/>
      <c r="U22" s="712"/>
      <c r="V22" s="778">
        <v>0.29444208467489486</v>
      </c>
      <c r="W22" s="712"/>
      <c r="X22" s="712"/>
      <c r="Y22" s="712"/>
      <c r="Z22" s="712"/>
      <c r="AA22" s="778">
        <v>0.3023120156778905</v>
      </c>
      <c r="AB22" s="712"/>
      <c r="AC22" s="712"/>
      <c r="AD22" s="712"/>
      <c r="AE22" s="712"/>
      <c r="AF22" s="778">
        <v>0.28239229548198597</v>
      </c>
      <c r="AG22" s="1029">
        <v>0.2712</v>
      </c>
      <c r="AH22" s="1029">
        <v>0.2781</v>
      </c>
      <c r="AI22" s="1029">
        <v>0.3018</v>
      </c>
      <c r="AJ22" s="1029">
        <v>0.2709</v>
      </c>
      <c r="AK22" s="712"/>
      <c r="AL22" s="712"/>
      <c r="AM22" s="712"/>
      <c r="AN22" s="712"/>
      <c r="AO22" s="712"/>
    </row>
    <row r="23">
      <c r="B23" s="1023" t="s">
        <v>954</v>
      </c>
      <c r="G23" s="778">
        <v>0.4609425127586889</v>
      </c>
      <c r="H23" s="712"/>
      <c r="I23" s="712"/>
      <c r="J23" s="712"/>
      <c r="K23" s="712"/>
      <c r="L23" s="778">
        <v>0.6050635333673633</v>
      </c>
      <c r="M23" s="712"/>
      <c r="N23" s="712"/>
      <c r="O23" s="712"/>
      <c r="P23" s="712"/>
      <c r="Q23" s="778">
        <v>0.6405451172749753</v>
      </c>
      <c r="R23" s="712"/>
      <c r="S23" s="712"/>
      <c r="T23" s="712"/>
      <c r="U23" s="712"/>
      <c r="V23" s="778">
        <v>0.5955810815276068</v>
      </c>
      <c r="W23" s="712"/>
      <c r="X23" s="712"/>
      <c r="Y23" s="712"/>
      <c r="Z23" s="712"/>
      <c r="AA23" s="778">
        <v>0.5708243266431704</v>
      </c>
      <c r="AB23" s="712"/>
      <c r="AC23" s="712"/>
      <c r="AD23" s="712"/>
      <c r="AE23" s="712"/>
      <c r="AF23" s="778">
        <v>0.5773800154174615</v>
      </c>
      <c r="AG23" s="1029">
        <v>0.6018</v>
      </c>
      <c r="AH23" s="1029">
        <v>0.5506</v>
      </c>
      <c r="AI23" s="1029">
        <v>0.56</v>
      </c>
      <c r="AJ23" s="1029">
        <v>0.6229</v>
      </c>
      <c r="AK23" s="712"/>
      <c r="AL23" s="712"/>
      <c r="AM23" s="712"/>
      <c r="AN23" s="712"/>
      <c r="AO23" s="712"/>
    </row>
    <row r="24">
      <c r="B24" s="1034" t="s">
        <v>956</v>
      </c>
      <c r="G24" s="712"/>
      <c r="H24" s="712"/>
      <c r="I24" s="712"/>
      <c r="J24" s="712"/>
      <c r="K24" s="712"/>
      <c r="L24" s="712"/>
      <c r="M24" s="712"/>
      <c r="N24" s="712"/>
      <c r="O24" s="712"/>
      <c r="P24" s="712"/>
      <c r="Q24" s="712"/>
      <c r="R24" s="712"/>
      <c r="S24" s="712"/>
      <c r="T24" s="712"/>
      <c r="U24" s="712"/>
      <c r="V24" s="712"/>
      <c r="W24" s="712"/>
      <c r="X24" s="712"/>
      <c r="Y24" s="712"/>
      <c r="Z24" s="712"/>
      <c r="AA24" s="712"/>
      <c r="AB24" s="712"/>
      <c r="AC24" s="712"/>
      <c r="AD24" s="712"/>
      <c r="AE24" s="712"/>
      <c r="AF24" s="712"/>
      <c r="AG24" s="712"/>
      <c r="AH24" s="712"/>
      <c r="AI24" s="712"/>
      <c r="AJ24" s="712"/>
      <c r="AK24" s="712"/>
      <c r="AL24" s="712"/>
      <c r="AM24" s="712"/>
      <c r="AN24" s="712"/>
      <c r="AO24" s="712"/>
    </row>
    <row r="25">
      <c r="B25" s="1034" t="s">
        <v>958</v>
      </c>
      <c r="G25" s="712"/>
      <c r="H25" s="712"/>
      <c r="I25" s="712"/>
      <c r="J25" s="712"/>
      <c r="K25" s="712"/>
      <c r="L25" s="712"/>
      <c r="M25" s="712"/>
      <c r="N25" s="712"/>
      <c r="O25" s="712"/>
      <c r="P25" s="712"/>
      <c r="Q25" s="712"/>
      <c r="R25" s="712"/>
      <c r="S25" s="712"/>
      <c r="T25" s="712"/>
      <c r="U25" s="712"/>
      <c r="V25" s="712"/>
      <c r="W25" s="712"/>
      <c r="X25" s="712"/>
      <c r="Y25" s="712"/>
      <c r="Z25" s="712"/>
      <c r="AA25" s="712"/>
      <c r="AB25" s="712"/>
      <c r="AC25" s="712"/>
      <c r="AD25" s="712"/>
      <c r="AE25" s="712"/>
      <c r="AF25" s="712"/>
      <c r="AG25" s="712"/>
      <c r="AH25" s="712"/>
      <c r="AI25" s="712"/>
      <c r="AJ25" s="712"/>
      <c r="AK25" s="712"/>
      <c r="AL25" s="712"/>
      <c r="AM25" s="712"/>
      <c r="AN25" s="712"/>
      <c r="AO25" s="712"/>
    </row>
    <row r="26">
      <c r="B26" s="1023" t="s">
        <v>959</v>
      </c>
      <c r="G26" s="712"/>
      <c r="H26" s="712"/>
      <c r="I26" s="712"/>
      <c r="J26" s="712"/>
      <c r="K26" s="712"/>
      <c r="L26" s="712"/>
      <c r="M26" s="712"/>
      <c r="N26" s="712"/>
      <c r="O26" s="712"/>
      <c r="P26" s="712"/>
      <c r="Q26" s="712"/>
      <c r="R26" s="712"/>
      <c r="S26" s="712"/>
      <c r="T26" s="712"/>
      <c r="U26" s="712"/>
      <c r="V26" s="712"/>
      <c r="W26" s="712"/>
      <c r="X26" s="712"/>
      <c r="Y26" s="712"/>
      <c r="Z26" s="712"/>
      <c r="AA26" s="712"/>
      <c r="AB26" s="712"/>
      <c r="AC26" s="712"/>
      <c r="AD26" s="712"/>
      <c r="AE26" s="712"/>
      <c r="AF26" s="712"/>
      <c r="AG26" s="712"/>
      <c r="AH26" s="712"/>
      <c r="AI26" s="712"/>
      <c r="AJ26" s="712"/>
      <c r="AK26" s="712"/>
      <c r="AL26" s="712"/>
      <c r="AM26" s="712"/>
      <c r="AN26" s="712"/>
      <c r="AO26" s="712"/>
    </row>
    <row r="27">
      <c r="B27" s="1023" t="s">
        <v>960</v>
      </c>
      <c r="G27" s="1035">
        <v>589783.44</v>
      </c>
      <c r="H27" s="712"/>
      <c r="I27" s="712"/>
      <c r="J27" s="712"/>
      <c r="K27" s="712"/>
      <c r="L27" s="761">
        <v>841826.57</v>
      </c>
      <c r="M27" s="712"/>
      <c r="N27" s="712"/>
      <c r="O27" s="712"/>
      <c r="P27" s="712"/>
      <c r="Q27" s="1035">
        <v>1124946.3</v>
      </c>
      <c r="R27" s="712"/>
      <c r="S27" s="712"/>
      <c r="T27" s="712"/>
      <c r="U27" s="712"/>
      <c r="V27" s="1035">
        <v>1267661.45</v>
      </c>
      <c r="W27" s="712"/>
      <c r="X27" s="712"/>
      <c r="Y27" s="712"/>
      <c r="Z27" s="712"/>
      <c r="AA27" s="1035">
        <v>1426972.59</v>
      </c>
      <c r="AB27" s="712"/>
      <c r="AC27" s="712"/>
      <c r="AD27" s="712"/>
      <c r="AE27" s="712"/>
      <c r="AF27" s="1035">
        <v>720285.94</v>
      </c>
      <c r="AG27" s="761">
        <v>170067.38</v>
      </c>
      <c r="AH27" s="761">
        <v>199232.97</v>
      </c>
      <c r="AI27" s="761">
        <v>219454.83</v>
      </c>
      <c r="AJ27" s="761">
        <v>131530.76</v>
      </c>
      <c r="AK27" s="712"/>
      <c r="AL27" s="712"/>
      <c r="AM27" s="712"/>
      <c r="AN27" s="712"/>
      <c r="AO27" s="712"/>
    </row>
    <row r="28">
      <c r="B28" s="1023" t="s">
        <v>961</v>
      </c>
      <c r="G28" s="1036" t="s">
        <v>962</v>
      </c>
      <c r="H28" s="1037"/>
      <c r="I28" s="1037"/>
      <c r="J28" s="1037"/>
      <c r="K28" s="1037"/>
      <c r="L28" s="1036" t="s">
        <v>962</v>
      </c>
      <c r="M28" s="1037"/>
      <c r="N28" s="1037"/>
      <c r="O28" s="1037"/>
      <c r="P28" s="1037"/>
      <c r="Q28" s="1036" t="s">
        <v>962</v>
      </c>
      <c r="R28" s="1037"/>
      <c r="S28" s="1037"/>
      <c r="T28" s="1037"/>
      <c r="U28" s="1037"/>
      <c r="V28" s="1036" t="s">
        <v>962</v>
      </c>
      <c r="W28" s="1037"/>
      <c r="X28" s="1037"/>
      <c r="Y28" s="1037"/>
      <c r="Z28" s="1037"/>
      <c r="AA28" s="1036" t="s">
        <v>962</v>
      </c>
      <c r="AB28" s="1037"/>
      <c r="AC28" s="1037"/>
      <c r="AD28" s="1037"/>
      <c r="AE28" s="1037"/>
      <c r="AF28" s="1036" t="s">
        <v>962</v>
      </c>
      <c r="AG28" s="1037"/>
      <c r="AH28" s="1037"/>
      <c r="AI28" s="1037"/>
      <c r="AJ28" s="1037"/>
      <c r="AK28" s="1037"/>
      <c r="AL28" s="712"/>
      <c r="AM28" s="712"/>
      <c r="AN28" s="712"/>
      <c r="AO28" s="712"/>
    </row>
    <row r="29">
      <c r="A29" s="1019" t="s">
        <v>968</v>
      </c>
      <c r="B29" s="1020" t="s">
        <v>950</v>
      </c>
      <c r="G29" s="712"/>
      <c r="H29" s="712"/>
      <c r="I29" s="712"/>
      <c r="J29" s="712"/>
      <c r="K29" s="712"/>
      <c r="L29" s="712"/>
      <c r="M29" s="712"/>
      <c r="N29" s="712"/>
      <c r="O29" s="712"/>
      <c r="P29" s="712"/>
      <c r="Q29" s="712"/>
      <c r="R29" s="712"/>
      <c r="S29" s="712"/>
      <c r="T29" s="712"/>
      <c r="U29" s="712"/>
      <c r="V29" s="712"/>
      <c r="W29" s="712"/>
      <c r="X29" s="712"/>
      <c r="Y29" s="712"/>
      <c r="Z29" s="712"/>
      <c r="AA29" s="712"/>
      <c r="AB29" s="712"/>
      <c r="AC29" s="712"/>
      <c r="AD29" s="712"/>
      <c r="AE29" s="712"/>
      <c r="AF29" s="712"/>
      <c r="AG29" s="712"/>
      <c r="AH29" s="712"/>
      <c r="AI29" s="712"/>
      <c r="AJ29" s="712"/>
      <c r="AK29" s="712"/>
      <c r="AL29" s="712"/>
      <c r="AM29" s="712"/>
      <c r="AN29" s="712"/>
      <c r="AO29" s="712"/>
    </row>
    <row r="30">
      <c r="B30" s="1023" t="s">
        <v>952</v>
      </c>
      <c r="G30" s="712"/>
      <c r="H30" s="712"/>
      <c r="I30" s="712"/>
      <c r="J30" s="712"/>
      <c r="K30" s="712"/>
      <c r="L30" s="712"/>
      <c r="M30" s="712"/>
      <c r="N30" s="712"/>
      <c r="O30" s="712"/>
      <c r="P30" s="712"/>
      <c r="Q30" s="712"/>
      <c r="R30" s="712"/>
      <c r="S30" s="712"/>
      <c r="T30" s="712"/>
      <c r="U30" s="712"/>
      <c r="V30" s="712"/>
      <c r="W30" s="712"/>
      <c r="X30" s="712"/>
      <c r="Y30" s="712"/>
      <c r="Z30" s="712"/>
      <c r="AA30" s="712"/>
      <c r="AB30" s="712"/>
      <c r="AC30" s="712"/>
      <c r="AD30" s="712"/>
      <c r="AE30" s="712"/>
      <c r="AF30" s="712"/>
      <c r="AG30" s="712"/>
      <c r="AH30" s="712"/>
      <c r="AI30" s="712"/>
      <c r="AJ30" s="712"/>
      <c r="AK30" s="712"/>
      <c r="AL30" s="712"/>
      <c r="AM30" s="712"/>
      <c r="AN30" s="712"/>
      <c r="AO30" s="712"/>
    </row>
    <row r="31">
      <c r="B31" s="1023" t="s">
        <v>953</v>
      </c>
      <c r="G31" s="778">
        <v>0.13876090927890722</v>
      </c>
      <c r="H31" s="712"/>
      <c r="I31" s="712"/>
      <c r="J31" s="712"/>
      <c r="K31" s="712"/>
      <c r="L31" s="778">
        <v>0.13102871003538327</v>
      </c>
      <c r="M31" s="712"/>
      <c r="N31" s="712"/>
      <c r="O31" s="712"/>
      <c r="P31" s="712"/>
      <c r="Q31" s="778">
        <v>0.13358531776556035</v>
      </c>
      <c r="R31" s="712"/>
      <c r="S31" s="712"/>
      <c r="T31" s="712"/>
      <c r="U31" s="712"/>
      <c r="V31" s="778">
        <v>0.1425910408679177</v>
      </c>
      <c r="W31" s="712"/>
      <c r="X31" s="712"/>
      <c r="Y31" s="712"/>
      <c r="Z31" s="712"/>
      <c r="AA31" s="778">
        <v>0.13550836386199203</v>
      </c>
      <c r="AB31" s="712"/>
      <c r="AC31" s="712"/>
      <c r="AD31" s="712"/>
      <c r="AE31" s="712"/>
      <c r="AF31" s="778">
        <v>0.14426752029141737</v>
      </c>
      <c r="AG31" s="1029">
        <v>0.1701</v>
      </c>
      <c r="AH31" s="1029">
        <v>0.1362</v>
      </c>
      <c r="AI31" s="1029">
        <v>0.1424</v>
      </c>
      <c r="AJ31" s="1029">
        <v>0.129</v>
      </c>
      <c r="AK31" s="712"/>
      <c r="AL31" s="712"/>
      <c r="AM31" s="712"/>
      <c r="AN31" s="712"/>
      <c r="AO31" s="712"/>
    </row>
    <row r="32">
      <c r="B32" s="1023" t="s">
        <v>954</v>
      </c>
      <c r="G32" s="778">
        <v>0.09100483021606931</v>
      </c>
      <c r="H32" s="712"/>
      <c r="I32" s="712"/>
      <c r="J32" s="712"/>
      <c r="K32" s="712"/>
      <c r="L32" s="778">
        <v>0.028576756157827527</v>
      </c>
      <c r="M32" s="712"/>
      <c r="N32" s="712"/>
      <c r="O32" s="712"/>
      <c r="P32" s="712"/>
      <c r="Q32" s="778">
        <v>0.022503259007136258</v>
      </c>
      <c r="R32" s="712"/>
      <c r="S32" s="712"/>
      <c r="T32" s="712"/>
      <c r="U32" s="712"/>
      <c r="V32" s="778">
        <v>0.02916752188812941</v>
      </c>
      <c r="W32" s="712"/>
      <c r="X32" s="712"/>
      <c r="Y32" s="712"/>
      <c r="Z32" s="712"/>
      <c r="AA32" s="778">
        <v>0.019856887632220974</v>
      </c>
      <c r="AB32" s="712"/>
      <c r="AC32" s="712"/>
      <c r="AD32" s="712"/>
      <c r="AE32" s="712"/>
      <c r="AF32" s="778">
        <v>0.02922330964292265</v>
      </c>
      <c r="AG32" s="1029">
        <v>0.0295</v>
      </c>
      <c r="AH32" s="1029">
        <v>0.0306</v>
      </c>
      <c r="AI32" s="1029">
        <v>0.0256</v>
      </c>
      <c r="AJ32" s="1029">
        <v>0.0333</v>
      </c>
      <c r="AK32" s="712"/>
      <c r="AL32" s="712"/>
      <c r="AM32" s="712"/>
      <c r="AN32" s="712"/>
      <c r="AO32" s="712"/>
    </row>
    <row r="33">
      <c r="B33" s="1034" t="s">
        <v>956</v>
      </c>
      <c r="G33" s="712"/>
      <c r="H33" s="712"/>
      <c r="I33" s="712"/>
      <c r="J33" s="712"/>
      <c r="K33" s="712"/>
      <c r="L33" s="712"/>
      <c r="M33" s="712"/>
      <c r="N33" s="712"/>
      <c r="O33" s="712"/>
      <c r="P33" s="712"/>
      <c r="Q33" s="712"/>
      <c r="R33" s="712"/>
      <c r="S33" s="712"/>
      <c r="T33" s="712"/>
      <c r="U33" s="712"/>
      <c r="V33" s="712"/>
      <c r="W33" s="712"/>
      <c r="X33" s="712"/>
      <c r="Y33" s="712"/>
      <c r="Z33" s="712"/>
      <c r="AA33" s="712"/>
      <c r="AB33" s="712"/>
      <c r="AC33" s="712"/>
      <c r="AD33" s="712"/>
      <c r="AE33" s="712"/>
      <c r="AF33" s="712"/>
      <c r="AG33" s="712"/>
      <c r="AH33" s="712"/>
      <c r="AI33" s="712"/>
      <c r="AJ33" s="712"/>
      <c r="AK33" s="712"/>
      <c r="AL33" s="712"/>
      <c r="AM33" s="712"/>
      <c r="AN33" s="712"/>
      <c r="AO33" s="712"/>
    </row>
    <row r="34">
      <c r="B34" s="1034" t="s">
        <v>958</v>
      </c>
      <c r="G34" s="712"/>
      <c r="H34" s="712"/>
      <c r="I34" s="712"/>
      <c r="J34" s="712"/>
      <c r="K34" s="712"/>
      <c r="L34" s="712"/>
      <c r="M34" s="712"/>
      <c r="N34" s="712"/>
      <c r="O34" s="712"/>
      <c r="P34" s="712"/>
      <c r="Q34" s="712"/>
      <c r="R34" s="712"/>
      <c r="S34" s="712"/>
      <c r="T34" s="712"/>
      <c r="U34" s="712"/>
      <c r="V34" s="712"/>
      <c r="W34" s="712"/>
      <c r="X34" s="712"/>
      <c r="Y34" s="712"/>
      <c r="Z34" s="712"/>
      <c r="AA34" s="712"/>
      <c r="AB34" s="712"/>
      <c r="AC34" s="712"/>
      <c r="AD34" s="712"/>
      <c r="AE34" s="712"/>
      <c r="AF34" s="712"/>
      <c r="AG34" s="712"/>
      <c r="AH34" s="712"/>
      <c r="AI34" s="712"/>
      <c r="AJ34" s="712"/>
      <c r="AK34" s="712"/>
      <c r="AL34" s="712"/>
      <c r="AM34" s="712"/>
      <c r="AN34" s="712"/>
      <c r="AO34" s="712"/>
    </row>
    <row r="35">
      <c r="B35" s="1023" t="s">
        <v>959</v>
      </c>
      <c r="G35" s="712"/>
      <c r="H35" s="712"/>
      <c r="I35" s="712"/>
      <c r="J35" s="712"/>
      <c r="K35" s="712"/>
      <c r="L35" s="712"/>
      <c r="M35" s="712"/>
      <c r="N35" s="712"/>
      <c r="O35" s="712"/>
      <c r="P35" s="712"/>
      <c r="Q35" s="712"/>
      <c r="R35" s="712"/>
      <c r="S35" s="712"/>
      <c r="T35" s="712"/>
      <c r="U35" s="712"/>
      <c r="V35" s="712"/>
      <c r="W35" s="712"/>
      <c r="X35" s="712"/>
      <c r="Y35" s="712"/>
      <c r="Z35" s="712"/>
      <c r="AA35" s="712"/>
      <c r="AB35" s="712"/>
      <c r="AC35" s="712"/>
      <c r="AD35" s="712"/>
      <c r="AE35" s="712"/>
      <c r="AF35" s="712"/>
      <c r="AG35" s="712"/>
      <c r="AH35" s="712"/>
      <c r="AI35" s="712"/>
      <c r="AJ35" s="712"/>
      <c r="AK35" s="712"/>
      <c r="AL35" s="712"/>
      <c r="AM35" s="712"/>
      <c r="AN35" s="712"/>
      <c r="AO35" s="712"/>
    </row>
    <row r="36">
      <c r="B36" s="1023" t="s">
        <v>960</v>
      </c>
      <c r="G36" s="1044">
        <v>116442.16</v>
      </c>
      <c r="H36" s="712"/>
      <c r="I36" s="712"/>
      <c r="J36" s="712"/>
      <c r="K36" s="712"/>
      <c r="L36" s="1044">
        <v>39758.92</v>
      </c>
      <c r="M36" s="712"/>
      <c r="N36" s="712"/>
      <c r="O36" s="712"/>
      <c r="P36" s="712"/>
      <c r="Q36" s="1044">
        <v>39520.96</v>
      </c>
      <c r="R36" s="712"/>
      <c r="S36" s="712"/>
      <c r="T36" s="712"/>
      <c r="U36" s="712"/>
      <c r="V36" s="1044">
        <v>62081.46000000001</v>
      </c>
      <c r="W36" s="712"/>
      <c r="X36" s="712"/>
      <c r="Y36" s="712"/>
      <c r="Z36" s="712"/>
      <c r="AA36" s="1044">
        <v>49639.149999999994</v>
      </c>
      <c r="AB36" s="712"/>
      <c r="AC36" s="712"/>
      <c r="AD36" s="712"/>
      <c r="AE36" s="712"/>
      <c r="AF36" s="1044">
        <v>36456.3</v>
      </c>
      <c r="AG36" s="761">
        <v>8333.11</v>
      </c>
      <c r="AH36" s="761">
        <v>11062.28</v>
      </c>
      <c r="AI36" s="761">
        <v>10023.0</v>
      </c>
      <c r="AJ36" s="761">
        <v>7037.91</v>
      </c>
      <c r="AK36" s="712"/>
      <c r="AL36" s="712"/>
      <c r="AM36" s="712"/>
      <c r="AN36" s="712"/>
      <c r="AO36" s="712"/>
    </row>
    <row r="37">
      <c r="B37" s="1023" t="s">
        <v>961</v>
      </c>
      <c r="C37" s="1048"/>
      <c r="D37" s="1048"/>
      <c r="E37" s="1048"/>
      <c r="F37" s="1048"/>
      <c r="G37" s="1036" t="s">
        <v>962</v>
      </c>
      <c r="H37" s="1037"/>
      <c r="I37" s="1037"/>
      <c r="J37" s="1037"/>
      <c r="K37" s="1037"/>
      <c r="L37" s="1036" t="s">
        <v>962</v>
      </c>
      <c r="M37" s="1037"/>
      <c r="N37" s="1037"/>
      <c r="O37" s="1037"/>
      <c r="P37" s="1037"/>
      <c r="Q37" s="1036" t="s">
        <v>962</v>
      </c>
      <c r="R37" s="1037"/>
      <c r="S37" s="1037"/>
      <c r="T37" s="1037"/>
      <c r="U37" s="1037"/>
      <c r="V37" s="1036" t="s">
        <v>962</v>
      </c>
      <c r="W37" s="1037"/>
      <c r="X37" s="1037"/>
      <c r="Y37" s="1037"/>
      <c r="Z37" s="1037"/>
      <c r="AA37" s="1036" t="s">
        <v>962</v>
      </c>
      <c r="AB37" s="1037"/>
      <c r="AC37" s="1037"/>
      <c r="AD37" s="1037"/>
      <c r="AE37" s="1037"/>
      <c r="AF37" s="1036" t="s">
        <v>962</v>
      </c>
      <c r="AG37" s="1037"/>
      <c r="AH37" s="1037"/>
      <c r="AI37" s="1037"/>
      <c r="AJ37" s="1037"/>
      <c r="AK37" s="1037"/>
      <c r="AL37" s="712"/>
      <c r="AM37" s="712"/>
      <c r="AN37" s="712"/>
      <c r="AO37" s="712"/>
    </row>
    <row r="38">
      <c r="A38" s="1011" t="s">
        <v>973</v>
      </c>
      <c r="G38" s="712"/>
      <c r="H38" s="712"/>
      <c r="I38" s="712"/>
      <c r="J38" s="712"/>
      <c r="K38" s="712"/>
      <c r="L38" s="712"/>
      <c r="M38" s="712"/>
      <c r="N38" s="712"/>
      <c r="O38" s="712"/>
      <c r="P38" s="712"/>
      <c r="Q38" s="712"/>
      <c r="R38" s="712"/>
      <c r="S38" s="712"/>
      <c r="T38" s="712"/>
      <c r="U38" s="712"/>
      <c r="V38" s="712"/>
      <c r="W38" s="712"/>
      <c r="X38" s="712"/>
      <c r="Y38" s="712"/>
      <c r="Z38" s="712"/>
      <c r="AA38" s="712"/>
      <c r="AB38" s="712"/>
      <c r="AC38" s="712"/>
      <c r="AD38" s="712"/>
      <c r="AE38" s="712"/>
      <c r="AF38" s="712"/>
      <c r="AG38" s="712"/>
      <c r="AH38" s="712"/>
      <c r="AI38" s="712"/>
      <c r="AJ38" s="712"/>
      <c r="AK38" s="712"/>
      <c r="AL38" s="712"/>
      <c r="AM38" s="712"/>
      <c r="AN38" s="712"/>
      <c r="AO38" s="712"/>
    </row>
    <row r="39">
      <c r="A39" s="1057" t="s">
        <v>974</v>
      </c>
      <c r="B39" s="1020" t="s">
        <v>950</v>
      </c>
      <c r="G39" s="712"/>
      <c r="H39" s="712"/>
      <c r="I39" s="712"/>
      <c r="J39" s="712"/>
      <c r="K39" s="712"/>
      <c r="L39" s="712"/>
      <c r="M39" s="712"/>
      <c r="N39" s="712"/>
      <c r="O39" s="712"/>
      <c r="P39" s="712"/>
      <c r="Q39" s="712"/>
      <c r="R39" s="712"/>
      <c r="S39" s="712"/>
      <c r="T39" s="712"/>
      <c r="U39" s="712"/>
      <c r="V39" s="712"/>
      <c r="W39" s="712"/>
      <c r="X39" s="712"/>
      <c r="Y39" s="712"/>
      <c r="Z39" s="712"/>
      <c r="AA39" s="712"/>
      <c r="AB39" s="712"/>
      <c r="AC39" s="712"/>
      <c r="AD39" s="712"/>
      <c r="AE39" s="712"/>
      <c r="AF39" s="712"/>
      <c r="AG39" s="712"/>
      <c r="AH39" s="712"/>
      <c r="AI39" s="712"/>
      <c r="AJ39" s="712"/>
      <c r="AK39" s="712"/>
      <c r="AL39" s="712"/>
      <c r="AM39" s="712"/>
      <c r="AN39" s="712"/>
      <c r="AO39" s="712"/>
    </row>
    <row r="40">
      <c r="B40" s="1023" t="s">
        <v>952</v>
      </c>
      <c r="G40" s="712"/>
      <c r="H40" s="712"/>
      <c r="I40" s="712"/>
      <c r="J40" s="712"/>
      <c r="K40" s="712"/>
      <c r="L40" s="712"/>
      <c r="M40" s="712"/>
      <c r="N40" s="712"/>
      <c r="O40" s="712"/>
      <c r="P40" s="712"/>
      <c r="Q40" s="712"/>
      <c r="R40" s="712"/>
      <c r="S40" s="712"/>
      <c r="T40" s="712"/>
      <c r="U40" s="712"/>
      <c r="V40" s="712"/>
      <c r="W40" s="712"/>
      <c r="X40" s="712"/>
      <c r="Y40" s="712"/>
      <c r="Z40" s="712"/>
      <c r="AA40" s="712"/>
      <c r="AB40" s="712"/>
      <c r="AC40" s="712"/>
      <c r="AD40" s="712"/>
      <c r="AE40" s="712"/>
      <c r="AF40" s="712"/>
      <c r="AG40" s="712"/>
      <c r="AH40" s="712"/>
      <c r="AI40" s="712"/>
      <c r="AJ40" s="712"/>
      <c r="AK40" s="712"/>
      <c r="AL40" s="712"/>
      <c r="AM40" s="712"/>
      <c r="AN40" s="712"/>
      <c r="AO40" s="712"/>
    </row>
    <row r="41">
      <c r="B41" s="1023" t="s">
        <v>953</v>
      </c>
      <c r="G41" s="712"/>
      <c r="H41" s="712"/>
      <c r="I41" s="712"/>
      <c r="J41" s="712"/>
      <c r="K41" s="712"/>
      <c r="L41" s="712"/>
      <c r="M41" s="712"/>
      <c r="N41" s="712"/>
      <c r="O41" s="712"/>
      <c r="P41" s="712"/>
      <c r="Q41" s="712"/>
      <c r="R41" s="712"/>
      <c r="S41" s="712"/>
      <c r="T41" s="712"/>
      <c r="U41" s="712"/>
      <c r="V41" s="712"/>
      <c r="W41" s="712"/>
      <c r="X41" s="712"/>
      <c r="Y41" s="712"/>
      <c r="Z41" s="712"/>
      <c r="AA41" s="712"/>
      <c r="AB41" s="712"/>
      <c r="AC41" s="712"/>
      <c r="AD41" s="712"/>
      <c r="AE41" s="712"/>
      <c r="AF41" s="712"/>
      <c r="AG41" s="712"/>
      <c r="AH41" s="712"/>
      <c r="AI41" s="712"/>
      <c r="AJ41" s="712"/>
      <c r="AK41" s="712"/>
      <c r="AL41" s="712"/>
      <c r="AM41" s="712"/>
      <c r="AN41" s="712"/>
      <c r="AO41" s="712"/>
    </row>
    <row r="42">
      <c r="B42" s="1023" t="s">
        <v>954</v>
      </c>
      <c r="G42" s="712"/>
      <c r="H42" s="712"/>
      <c r="I42" s="712"/>
      <c r="J42" s="712"/>
      <c r="K42" s="712"/>
      <c r="L42" s="712"/>
      <c r="M42" s="712"/>
      <c r="N42" s="712"/>
      <c r="O42" s="712"/>
      <c r="P42" s="712"/>
      <c r="Q42" s="712"/>
      <c r="R42" s="712"/>
      <c r="S42" s="712"/>
      <c r="T42" s="712"/>
      <c r="U42" s="712"/>
      <c r="V42" s="712"/>
      <c r="W42" s="712"/>
      <c r="X42" s="712"/>
      <c r="Y42" s="712"/>
      <c r="Z42" s="712"/>
      <c r="AA42" s="712"/>
      <c r="AB42" s="712"/>
      <c r="AC42" s="712"/>
      <c r="AD42" s="712"/>
      <c r="AE42" s="712"/>
      <c r="AF42" s="712"/>
      <c r="AG42" s="712"/>
      <c r="AH42" s="712"/>
      <c r="AI42" s="712"/>
      <c r="AJ42" s="712"/>
      <c r="AK42" s="712"/>
      <c r="AL42" s="712"/>
      <c r="AM42" s="712"/>
      <c r="AN42" s="712"/>
      <c r="AO42" s="712"/>
    </row>
    <row r="43">
      <c r="B43" s="1034" t="s">
        <v>956</v>
      </c>
      <c r="G43" s="712"/>
      <c r="H43" s="712"/>
      <c r="I43" s="712"/>
      <c r="J43" s="712"/>
      <c r="K43" s="712"/>
      <c r="L43" s="712"/>
      <c r="M43" s="712"/>
      <c r="N43" s="712"/>
      <c r="O43" s="712"/>
      <c r="P43" s="712"/>
      <c r="Q43" s="712"/>
      <c r="R43" s="712"/>
      <c r="S43" s="712"/>
      <c r="T43" s="712"/>
      <c r="U43" s="712"/>
      <c r="V43" s="712"/>
      <c r="W43" s="712"/>
      <c r="X43" s="712"/>
      <c r="Y43" s="712"/>
      <c r="Z43" s="712"/>
      <c r="AA43" s="712"/>
      <c r="AB43" s="712"/>
      <c r="AC43" s="712"/>
      <c r="AD43" s="712"/>
      <c r="AE43" s="712"/>
      <c r="AF43" s="712"/>
      <c r="AG43" s="712"/>
      <c r="AH43" s="712"/>
      <c r="AI43" s="712"/>
      <c r="AJ43" s="712"/>
      <c r="AK43" s="712"/>
      <c r="AL43" s="712"/>
      <c r="AM43" s="712"/>
      <c r="AN43" s="712"/>
      <c r="AO43" s="712"/>
    </row>
    <row r="44">
      <c r="B44" s="1034" t="s">
        <v>958</v>
      </c>
      <c r="G44" s="712"/>
      <c r="H44" s="712"/>
      <c r="I44" s="712"/>
      <c r="J44" s="712"/>
      <c r="K44" s="712"/>
      <c r="L44" s="712"/>
      <c r="M44" s="712"/>
      <c r="N44" s="712"/>
      <c r="O44" s="712"/>
      <c r="P44" s="712"/>
      <c r="Q44" s="712"/>
      <c r="R44" s="712"/>
      <c r="S44" s="712"/>
      <c r="T44" s="712"/>
      <c r="U44" s="712"/>
      <c r="V44" s="712"/>
      <c r="W44" s="712"/>
      <c r="X44" s="712"/>
      <c r="Y44" s="712"/>
      <c r="Z44" s="712"/>
      <c r="AA44" s="712"/>
      <c r="AB44" s="712"/>
      <c r="AC44" s="712"/>
      <c r="AD44" s="712"/>
      <c r="AE44" s="712"/>
      <c r="AF44" s="712"/>
      <c r="AG44" s="712"/>
      <c r="AH44" s="712"/>
      <c r="AI44" s="712"/>
      <c r="AJ44" s="712"/>
      <c r="AK44" s="712"/>
      <c r="AL44" s="712"/>
      <c r="AM44" s="712"/>
      <c r="AN44" s="712"/>
      <c r="AO44" s="712"/>
    </row>
    <row r="45">
      <c r="B45" s="1023" t="s">
        <v>959</v>
      </c>
      <c r="G45" s="712"/>
      <c r="H45" s="712"/>
      <c r="I45" s="712"/>
      <c r="J45" s="712"/>
      <c r="K45" s="712"/>
      <c r="L45" s="712"/>
      <c r="M45" s="712"/>
      <c r="N45" s="712"/>
      <c r="O45" s="712"/>
      <c r="P45" s="712"/>
      <c r="Q45" s="712"/>
      <c r="R45" s="712"/>
      <c r="S45" s="712"/>
      <c r="T45" s="712"/>
      <c r="U45" s="712"/>
      <c r="V45" s="712"/>
      <c r="W45" s="712"/>
      <c r="X45" s="712"/>
      <c r="Y45" s="712"/>
      <c r="Z45" s="712"/>
      <c r="AA45" s="712"/>
      <c r="AB45" s="712"/>
      <c r="AC45" s="712"/>
      <c r="AD45" s="712"/>
      <c r="AE45" s="712"/>
      <c r="AF45" s="712"/>
      <c r="AG45" s="712"/>
      <c r="AH45" s="712"/>
      <c r="AI45" s="712"/>
      <c r="AJ45" s="712"/>
      <c r="AK45" s="712"/>
      <c r="AL45" s="712"/>
      <c r="AM45" s="712"/>
      <c r="AN45" s="712"/>
      <c r="AO45" s="712"/>
    </row>
    <row r="46">
      <c r="B46" s="1023" t="s">
        <v>960</v>
      </c>
      <c r="G46" s="712"/>
      <c r="H46" s="712"/>
      <c r="I46" s="712"/>
      <c r="J46" s="712"/>
      <c r="K46" s="712"/>
      <c r="L46" s="712"/>
      <c r="M46" s="712"/>
      <c r="N46" s="712"/>
      <c r="O46" s="712"/>
      <c r="P46" s="712"/>
      <c r="Q46" s="712"/>
      <c r="R46" s="712"/>
      <c r="S46" s="712"/>
      <c r="T46" s="712"/>
      <c r="U46" s="712"/>
      <c r="V46" s="712"/>
      <c r="W46" s="712"/>
      <c r="X46" s="712"/>
      <c r="Y46" s="712"/>
      <c r="Z46" s="712"/>
      <c r="AA46" s="712"/>
      <c r="AB46" s="712"/>
      <c r="AC46" s="712"/>
      <c r="AD46" s="712"/>
      <c r="AE46" s="712"/>
      <c r="AF46" s="712"/>
      <c r="AG46" s="712"/>
      <c r="AH46" s="712"/>
      <c r="AI46" s="712"/>
      <c r="AJ46" s="712"/>
      <c r="AK46" s="712"/>
      <c r="AL46" s="712"/>
      <c r="AM46" s="712"/>
      <c r="AN46" s="712"/>
      <c r="AO46" s="712"/>
    </row>
    <row r="47">
      <c r="B47" s="1023" t="s">
        <v>961</v>
      </c>
      <c r="G47" s="712"/>
      <c r="H47" s="712"/>
      <c r="I47" s="712"/>
      <c r="J47" s="712"/>
      <c r="K47" s="712"/>
      <c r="L47" s="712"/>
      <c r="M47" s="712"/>
      <c r="N47" s="712"/>
      <c r="O47" s="712"/>
      <c r="P47" s="712"/>
      <c r="Q47" s="712"/>
      <c r="R47" s="712"/>
      <c r="S47" s="712"/>
      <c r="T47" s="712"/>
      <c r="U47" s="712"/>
      <c r="V47" s="712"/>
      <c r="W47" s="712"/>
      <c r="X47" s="712"/>
      <c r="Y47" s="712"/>
      <c r="Z47" s="712"/>
      <c r="AA47" s="712"/>
      <c r="AB47" s="712"/>
      <c r="AC47" s="712"/>
      <c r="AD47" s="712"/>
      <c r="AE47" s="712"/>
      <c r="AF47" s="712"/>
      <c r="AG47" s="712"/>
      <c r="AH47" s="712"/>
      <c r="AI47" s="712"/>
      <c r="AJ47" s="712"/>
      <c r="AK47" s="712"/>
      <c r="AL47" s="712"/>
      <c r="AM47" s="712"/>
      <c r="AN47" s="712"/>
      <c r="AO47" s="712"/>
    </row>
    <row r="48">
      <c r="A48" s="1019" t="s">
        <v>977</v>
      </c>
      <c r="B48" s="1020" t="s">
        <v>950</v>
      </c>
      <c r="G48" s="712"/>
      <c r="H48" s="712"/>
      <c r="I48" s="712"/>
      <c r="J48" s="712"/>
      <c r="K48" s="712"/>
      <c r="L48" s="712"/>
      <c r="M48" s="712"/>
      <c r="N48" s="712"/>
      <c r="O48" s="712"/>
      <c r="P48" s="712"/>
      <c r="Q48" s="712"/>
      <c r="R48" s="712"/>
      <c r="S48" s="712"/>
      <c r="T48" s="712"/>
      <c r="U48" s="712"/>
      <c r="V48" s="712"/>
      <c r="W48" s="712"/>
      <c r="X48" s="712"/>
      <c r="Y48" s="712"/>
      <c r="Z48" s="712"/>
      <c r="AA48" s="712"/>
      <c r="AB48" s="712"/>
      <c r="AC48" s="712"/>
      <c r="AD48" s="712"/>
      <c r="AE48" s="712"/>
      <c r="AF48" s="712"/>
      <c r="AG48" s="712"/>
      <c r="AH48" s="712"/>
      <c r="AI48" s="712"/>
      <c r="AJ48" s="712"/>
      <c r="AK48" s="712"/>
      <c r="AL48" s="712"/>
      <c r="AM48" s="712"/>
      <c r="AN48" s="712"/>
      <c r="AO48" s="712"/>
    </row>
    <row r="49">
      <c r="B49" s="1023" t="s">
        <v>952</v>
      </c>
      <c r="G49" s="712"/>
      <c r="H49" s="712"/>
      <c r="I49" s="712"/>
      <c r="J49" s="712"/>
      <c r="K49" s="712"/>
      <c r="L49" s="712"/>
      <c r="M49" s="712"/>
      <c r="N49" s="712"/>
      <c r="O49" s="712"/>
      <c r="P49" s="712"/>
      <c r="Q49" s="712"/>
      <c r="R49" s="712"/>
      <c r="S49" s="712"/>
      <c r="T49" s="712"/>
      <c r="U49" s="712"/>
      <c r="V49" s="712"/>
      <c r="W49" s="712"/>
      <c r="X49" s="712"/>
      <c r="Y49" s="712"/>
      <c r="Z49" s="712"/>
      <c r="AA49" s="712"/>
      <c r="AB49" s="712"/>
      <c r="AC49" s="712"/>
      <c r="AD49" s="712"/>
      <c r="AE49" s="712"/>
      <c r="AF49" s="712"/>
      <c r="AG49" s="712"/>
      <c r="AH49" s="712"/>
      <c r="AI49" s="712"/>
      <c r="AJ49" s="712"/>
      <c r="AK49" s="712"/>
      <c r="AL49" s="712"/>
      <c r="AM49" s="712"/>
      <c r="AN49" s="712"/>
      <c r="AO49" s="712"/>
    </row>
    <row r="50">
      <c r="B50" s="1023" t="s">
        <v>953</v>
      </c>
      <c r="G50" s="712"/>
      <c r="H50" s="712"/>
      <c r="I50" s="712"/>
      <c r="J50" s="712"/>
      <c r="K50" s="712"/>
      <c r="L50" s="712"/>
      <c r="M50" s="712"/>
      <c r="N50" s="712"/>
      <c r="O50" s="712"/>
      <c r="P50" s="712"/>
      <c r="Q50" s="712"/>
      <c r="R50" s="712"/>
      <c r="S50" s="712"/>
      <c r="T50" s="712"/>
      <c r="U50" s="712"/>
      <c r="V50" s="712"/>
      <c r="W50" s="712"/>
      <c r="X50" s="712"/>
      <c r="Y50" s="712"/>
      <c r="Z50" s="712"/>
      <c r="AA50" s="712"/>
      <c r="AB50" s="712"/>
      <c r="AC50" s="712"/>
      <c r="AD50" s="712"/>
      <c r="AE50" s="712"/>
      <c r="AF50" s="712"/>
      <c r="AG50" s="712"/>
      <c r="AH50" s="712"/>
      <c r="AI50" s="712"/>
      <c r="AJ50" s="712"/>
      <c r="AK50" s="712"/>
      <c r="AL50" s="712"/>
      <c r="AM50" s="712"/>
      <c r="AN50" s="712"/>
      <c r="AO50" s="712"/>
    </row>
    <row r="51">
      <c r="B51" s="1023" t="s">
        <v>954</v>
      </c>
      <c r="G51" s="712"/>
      <c r="H51" s="712"/>
      <c r="I51" s="712"/>
      <c r="J51" s="712"/>
      <c r="K51" s="712"/>
      <c r="L51" s="712"/>
      <c r="M51" s="712"/>
      <c r="N51" s="712"/>
      <c r="O51" s="712"/>
      <c r="P51" s="712"/>
      <c r="Q51" s="712"/>
      <c r="R51" s="712"/>
      <c r="S51" s="712"/>
      <c r="T51" s="712"/>
      <c r="U51" s="712"/>
      <c r="V51" s="712"/>
      <c r="W51" s="712"/>
      <c r="X51" s="712"/>
      <c r="Y51" s="712"/>
      <c r="Z51" s="712"/>
      <c r="AA51" s="712"/>
      <c r="AB51" s="712"/>
      <c r="AC51" s="712"/>
      <c r="AD51" s="712"/>
      <c r="AE51" s="712"/>
      <c r="AF51" s="712"/>
      <c r="AG51" s="712"/>
      <c r="AH51" s="712"/>
      <c r="AI51" s="712"/>
      <c r="AJ51" s="712"/>
      <c r="AK51" s="712"/>
      <c r="AL51" s="712"/>
      <c r="AM51" s="712"/>
      <c r="AN51" s="712"/>
      <c r="AO51" s="712"/>
    </row>
    <row r="52">
      <c r="B52" s="1034" t="s">
        <v>956</v>
      </c>
      <c r="G52" s="712"/>
      <c r="H52" s="712"/>
      <c r="I52" s="712"/>
      <c r="J52" s="712"/>
      <c r="K52" s="712"/>
      <c r="L52" s="712"/>
      <c r="M52" s="712"/>
      <c r="N52" s="712"/>
      <c r="O52" s="712"/>
      <c r="P52" s="712"/>
      <c r="Q52" s="712"/>
      <c r="R52" s="712"/>
      <c r="S52" s="712"/>
      <c r="T52" s="712"/>
      <c r="U52" s="712"/>
      <c r="V52" s="712"/>
      <c r="W52" s="712"/>
      <c r="X52" s="712"/>
      <c r="Y52" s="712"/>
      <c r="Z52" s="712"/>
      <c r="AA52" s="712"/>
      <c r="AB52" s="712"/>
      <c r="AC52" s="712"/>
      <c r="AD52" s="712"/>
      <c r="AE52" s="712"/>
      <c r="AF52" s="712"/>
      <c r="AG52" s="712"/>
      <c r="AH52" s="712"/>
      <c r="AI52" s="712"/>
      <c r="AJ52" s="712"/>
      <c r="AK52" s="712"/>
      <c r="AL52" s="712"/>
      <c r="AM52" s="712"/>
      <c r="AN52" s="712"/>
      <c r="AO52" s="712"/>
    </row>
    <row r="53">
      <c r="B53" s="1034" t="s">
        <v>958</v>
      </c>
      <c r="G53" s="712"/>
      <c r="H53" s="712"/>
      <c r="I53" s="712"/>
      <c r="J53" s="712"/>
      <c r="K53" s="712"/>
      <c r="L53" s="712"/>
      <c r="M53" s="712"/>
      <c r="N53" s="712"/>
      <c r="O53" s="712"/>
      <c r="P53" s="712"/>
      <c r="Q53" s="712"/>
      <c r="R53" s="712"/>
      <c r="S53" s="712"/>
      <c r="T53" s="712"/>
      <c r="U53" s="712"/>
      <c r="V53" s="712"/>
      <c r="W53" s="712"/>
      <c r="X53" s="712"/>
      <c r="Y53" s="712"/>
      <c r="Z53" s="712"/>
      <c r="AA53" s="712"/>
      <c r="AB53" s="712"/>
      <c r="AC53" s="712"/>
      <c r="AD53" s="712"/>
      <c r="AE53" s="712"/>
      <c r="AF53" s="712"/>
      <c r="AG53" s="712"/>
      <c r="AH53" s="712"/>
      <c r="AI53" s="712"/>
      <c r="AJ53" s="712"/>
      <c r="AK53" s="712"/>
      <c r="AL53" s="712"/>
      <c r="AM53" s="712"/>
      <c r="AN53" s="712"/>
      <c r="AO53" s="712"/>
    </row>
    <row r="54">
      <c r="B54" s="1023" t="s">
        <v>959</v>
      </c>
      <c r="G54" s="712"/>
      <c r="H54" s="712"/>
      <c r="I54" s="712"/>
      <c r="J54" s="712"/>
      <c r="K54" s="712"/>
      <c r="L54" s="712"/>
      <c r="M54" s="712"/>
      <c r="N54" s="712"/>
      <c r="O54" s="712"/>
      <c r="P54" s="712"/>
      <c r="Q54" s="712"/>
      <c r="R54" s="712"/>
      <c r="S54" s="712"/>
      <c r="T54" s="712"/>
      <c r="U54" s="712"/>
      <c r="V54" s="712"/>
      <c r="W54" s="712"/>
      <c r="X54" s="712"/>
      <c r="Y54" s="712"/>
      <c r="Z54" s="712"/>
      <c r="AA54" s="712"/>
      <c r="AB54" s="712"/>
      <c r="AC54" s="712"/>
      <c r="AD54" s="712"/>
      <c r="AE54" s="712"/>
      <c r="AF54" s="712"/>
      <c r="AG54" s="712"/>
      <c r="AH54" s="712"/>
      <c r="AI54" s="712"/>
      <c r="AJ54" s="712"/>
      <c r="AK54" s="712"/>
      <c r="AL54" s="712"/>
      <c r="AM54" s="712"/>
      <c r="AN54" s="712"/>
      <c r="AO54" s="712"/>
    </row>
    <row r="55">
      <c r="B55" s="1023" t="s">
        <v>960</v>
      </c>
      <c r="G55" s="712"/>
      <c r="H55" s="712"/>
      <c r="I55" s="712"/>
      <c r="J55" s="712"/>
      <c r="K55" s="712"/>
      <c r="L55" s="712"/>
      <c r="M55" s="712"/>
      <c r="N55" s="712"/>
      <c r="O55" s="712"/>
      <c r="P55" s="712"/>
      <c r="Q55" s="712"/>
      <c r="R55" s="712"/>
      <c r="S55" s="712"/>
      <c r="T55" s="712"/>
      <c r="U55" s="712"/>
      <c r="V55" s="712"/>
      <c r="W55" s="712"/>
      <c r="X55" s="712"/>
      <c r="Y55" s="712"/>
      <c r="Z55" s="712"/>
      <c r="AA55" s="712"/>
      <c r="AB55" s="712"/>
      <c r="AC55" s="712"/>
      <c r="AD55" s="712"/>
      <c r="AE55" s="712"/>
      <c r="AF55" s="712"/>
      <c r="AG55" s="712"/>
      <c r="AH55" s="712"/>
      <c r="AI55" s="712"/>
      <c r="AJ55" s="712"/>
      <c r="AK55" s="712"/>
      <c r="AL55" s="712"/>
      <c r="AM55" s="712"/>
      <c r="AN55" s="712"/>
      <c r="AO55" s="712"/>
    </row>
    <row r="56">
      <c r="B56" s="1023" t="s">
        <v>961</v>
      </c>
      <c r="G56" s="712"/>
      <c r="H56" s="712"/>
      <c r="I56" s="712"/>
      <c r="J56" s="712"/>
      <c r="K56" s="712"/>
      <c r="L56" s="712"/>
      <c r="M56" s="712"/>
      <c r="N56" s="712"/>
      <c r="O56" s="712"/>
      <c r="P56" s="712"/>
      <c r="Q56" s="712"/>
      <c r="R56" s="712"/>
      <c r="S56" s="712"/>
      <c r="T56" s="712"/>
      <c r="U56" s="712"/>
      <c r="V56" s="712"/>
      <c r="W56" s="712"/>
      <c r="X56" s="712"/>
      <c r="Y56" s="712"/>
      <c r="Z56" s="712"/>
      <c r="AA56" s="712"/>
      <c r="AB56" s="712"/>
      <c r="AC56" s="712"/>
      <c r="AD56" s="712"/>
      <c r="AE56" s="712"/>
      <c r="AF56" s="712"/>
      <c r="AG56" s="712"/>
      <c r="AH56" s="712"/>
      <c r="AI56" s="712"/>
      <c r="AJ56" s="712"/>
      <c r="AK56" s="712"/>
      <c r="AL56" s="712"/>
      <c r="AM56" s="712"/>
      <c r="AN56" s="712"/>
      <c r="AO56" s="712"/>
    </row>
    <row r="57">
      <c r="A57" s="1019" t="s">
        <v>979</v>
      </c>
      <c r="B57" s="1020" t="s">
        <v>950</v>
      </c>
      <c r="G57" s="712"/>
      <c r="H57" s="712"/>
      <c r="I57" s="712"/>
      <c r="J57" s="712"/>
      <c r="K57" s="712"/>
      <c r="L57" s="712"/>
      <c r="M57" s="712"/>
      <c r="N57" s="712"/>
      <c r="O57" s="712"/>
      <c r="P57" s="712"/>
      <c r="Q57" s="712"/>
      <c r="R57" s="712"/>
      <c r="S57" s="712"/>
      <c r="T57" s="712"/>
      <c r="U57" s="712"/>
      <c r="V57" s="712"/>
      <c r="W57" s="712"/>
      <c r="X57" s="712"/>
      <c r="Y57" s="712"/>
      <c r="Z57" s="712"/>
      <c r="AA57" s="712"/>
      <c r="AB57" s="712"/>
      <c r="AC57" s="712"/>
      <c r="AD57" s="712"/>
      <c r="AE57" s="712"/>
      <c r="AF57" s="712"/>
      <c r="AG57" s="712"/>
      <c r="AH57" s="712"/>
      <c r="AI57" s="712"/>
      <c r="AJ57" s="712"/>
      <c r="AK57" s="712"/>
      <c r="AL57" s="712"/>
      <c r="AM57" s="712"/>
      <c r="AN57" s="712"/>
      <c r="AO57" s="712"/>
    </row>
    <row r="58">
      <c r="B58" s="1023" t="s">
        <v>952</v>
      </c>
      <c r="G58" s="712"/>
      <c r="H58" s="712"/>
      <c r="I58" s="712"/>
      <c r="J58" s="712"/>
      <c r="K58" s="712"/>
      <c r="L58" s="712"/>
      <c r="M58" s="712"/>
      <c r="N58" s="712"/>
      <c r="O58" s="712"/>
      <c r="P58" s="712"/>
      <c r="Q58" s="712"/>
      <c r="R58" s="712"/>
      <c r="S58" s="712"/>
      <c r="T58" s="712"/>
      <c r="U58" s="712"/>
      <c r="V58" s="712"/>
      <c r="W58" s="712"/>
      <c r="X58" s="712"/>
      <c r="Y58" s="712"/>
      <c r="Z58" s="712"/>
      <c r="AA58" s="712"/>
      <c r="AB58" s="712"/>
      <c r="AC58" s="712"/>
      <c r="AD58" s="712"/>
      <c r="AE58" s="712"/>
      <c r="AF58" s="712"/>
      <c r="AG58" s="712"/>
      <c r="AH58" s="712"/>
      <c r="AI58" s="712"/>
      <c r="AJ58" s="712"/>
      <c r="AK58" s="712"/>
      <c r="AL58" s="712"/>
      <c r="AM58" s="712"/>
      <c r="AN58" s="712"/>
      <c r="AO58" s="712"/>
    </row>
    <row r="59">
      <c r="B59" s="1023" t="s">
        <v>953</v>
      </c>
      <c r="G59" s="712"/>
      <c r="H59" s="712"/>
      <c r="I59" s="712"/>
      <c r="J59" s="712"/>
      <c r="K59" s="712"/>
      <c r="L59" s="712"/>
      <c r="M59" s="712"/>
      <c r="N59" s="712"/>
      <c r="O59" s="712"/>
      <c r="P59" s="712"/>
      <c r="Q59" s="712"/>
      <c r="R59" s="712"/>
      <c r="S59" s="712"/>
      <c r="T59" s="712"/>
      <c r="U59" s="712"/>
      <c r="V59" s="712"/>
      <c r="W59" s="712"/>
      <c r="X59" s="712"/>
      <c r="Y59" s="712"/>
      <c r="Z59" s="712"/>
      <c r="AA59" s="712"/>
      <c r="AB59" s="712"/>
      <c r="AC59" s="712"/>
      <c r="AD59" s="712"/>
      <c r="AE59" s="712"/>
      <c r="AF59" s="712"/>
      <c r="AG59" s="712"/>
      <c r="AH59" s="712"/>
      <c r="AI59" s="712"/>
      <c r="AJ59" s="712"/>
      <c r="AK59" s="712"/>
      <c r="AL59" s="712"/>
      <c r="AM59" s="712"/>
      <c r="AN59" s="712"/>
      <c r="AO59" s="712"/>
    </row>
    <row r="60">
      <c r="B60" s="1023" t="s">
        <v>954</v>
      </c>
      <c r="G60" s="712"/>
      <c r="H60" s="712"/>
      <c r="I60" s="712"/>
      <c r="J60" s="712"/>
      <c r="K60" s="712"/>
      <c r="L60" s="712"/>
      <c r="M60" s="712"/>
      <c r="N60" s="712"/>
      <c r="O60" s="712"/>
      <c r="P60" s="712"/>
      <c r="Q60" s="712"/>
      <c r="R60" s="712"/>
      <c r="S60" s="712"/>
      <c r="T60" s="712"/>
      <c r="U60" s="712"/>
      <c r="V60" s="712"/>
      <c r="W60" s="712"/>
      <c r="X60" s="712"/>
      <c r="Y60" s="712"/>
      <c r="Z60" s="712"/>
      <c r="AA60" s="712"/>
      <c r="AB60" s="712"/>
      <c r="AC60" s="712"/>
      <c r="AD60" s="712"/>
      <c r="AE60" s="712"/>
      <c r="AF60" s="712"/>
      <c r="AG60" s="712"/>
      <c r="AH60" s="712"/>
      <c r="AI60" s="712"/>
      <c r="AJ60" s="712"/>
      <c r="AK60" s="712"/>
      <c r="AL60" s="712"/>
      <c r="AM60" s="712"/>
      <c r="AN60" s="712"/>
      <c r="AO60" s="712"/>
    </row>
    <row r="61">
      <c r="B61" s="1034" t="s">
        <v>956</v>
      </c>
      <c r="G61" s="712"/>
      <c r="H61" s="712"/>
      <c r="I61" s="712"/>
      <c r="J61" s="712"/>
      <c r="K61" s="712"/>
      <c r="L61" s="712"/>
      <c r="M61" s="712"/>
      <c r="N61" s="712"/>
      <c r="O61" s="712"/>
      <c r="P61" s="712"/>
      <c r="Q61" s="712"/>
      <c r="R61" s="712"/>
      <c r="S61" s="712"/>
      <c r="T61" s="712"/>
      <c r="U61" s="712"/>
      <c r="V61" s="712"/>
      <c r="W61" s="712"/>
      <c r="X61" s="712"/>
      <c r="Y61" s="712"/>
      <c r="Z61" s="712"/>
      <c r="AA61" s="712"/>
      <c r="AB61" s="712"/>
      <c r="AC61" s="712"/>
      <c r="AD61" s="712"/>
      <c r="AE61" s="712"/>
      <c r="AF61" s="712"/>
      <c r="AG61" s="712"/>
      <c r="AH61" s="712"/>
      <c r="AI61" s="712"/>
      <c r="AJ61" s="712"/>
      <c r="AK61" s="712"/>
      <c r="AL61" s="712"/>
      <c r="AM61" s="712"/>
      <c r="AN61" s="712"/>
      <c r="AO61" s="712"/>
    </row>
    <row r="62">
      <c r="B62" s="1034" t="s">
        <v>958</v>
      </c>
      <c r="G62" s="712"/>
      <c r="H62" s="712"/>
      <c r="I62" s="712"/>
      <c r="J62" s="712"/>
      <c r="K62" s="712"/>
      <c r="L62" s="712"/>
      <c r="M62" s="712"/>
      <c r="N62" s="712"/>
      <c r="O62" s="712"/>
      <c r="P62" s="712"/>
      <c r="Q62" s="712"/>
      <c r="R62" s="712"/>
      <c r="S62" s="712"/>
      <c r="T62" s="712"/>
      <c r="U62" s="712"/>
      <c r="V62" s="712"/>
      <c r="W62" s="712"/>
      <c r="X62" s="712"/>
      <c r="Y62" s="712"/>
      <c r="Z62" s="712"/>
      <c r="AA62" s="712"/>
      <c r="AB62" s="712"/>
      <c r="AC62" s="712"/>
      <c r="AD62" s="712"/>
      <c r="AE62" s="712"/>
      <c r="AF62" s="712"/>
      <c r="AG62" s="712"/>
      <c r="AH62" s="712"/>
      <c r="AI62" s="712"/>
      <c r="AJ62" s="712"/>
      <c r="AK62" s="712"/>
      <c r="AL62" s="712"/>
      <c r="AM62" s="712"/>
      <c r="AN62" s="712"/>
      <c r="AO62" s="712"/>
    </row>
    <row r="63">
      <c r="B63" s="1023" t="s">
        <v>959</v>
      </c>
      <c r="G63" s="712"/>
      <c r="H63" s="712"/>
      <c r="I63" s="712"/>
      <c r="J63" s="712"/>
      <c r="K63" s="712"/>
      <c r="L63" s="712"/>
      <c r="M63" s="712"/>
      <c r="N63" s="712"/>
      <c r="O63" s="712"/>
      <c r="P63" s="712"/>
      <c r="Q63" s="712"/>
      <c r="R63" s="712"/>
      <c r="S63" s="712"/>
      <c r="T63" s="712"/>
      <c r="U63" s="712"/>
      <c r="V63" s="712"/>
      <c r="W63" s="712"/>
      <c r="X63" s="712"/>
      <c r="Y63" s="712"/>
      <c r="Z63" s="712"/>
      <c r="AA63" s="712"/>
      <c r="AB63" s="712"/>
      <c r="AC63" s="712"/>
      <c r="AD63" s="712"/>
      <c r="AE63" s="712"/>
      <c r="AF63" s="712"/>
      <c r="AG63" s="712"/>
      <c r="AH63" s="712"/>
      <c r="AI63" s="712"/>
      <c r="AJ63" s="712"/>
      <c r="AK63" s="712"/>
      <c r="AL63" s="712"/>
      <c r="AM63" s="712"/>
      <c r="AN63" s="712"/>
      <c r="AO63" s="712"/>
    </row>
    <row r="64">
      <c r="B64" s="1023" t="s">
        <v>960</v>
      </c>
      <c r="G64" s="712"/>
      <c r="H64" s="712"/>
      <c r="I64" s="712"/>
      <c r="J64" s="712"/>
      <c r="K64" s="712"/>
      <c r="L64" s="712"/>
      <c r="M64" s="712"/>
      <c r="N64" s="712"/>
      <c r="O64" s="712"/>
      <c r="P64" s="712"/>
      <c r="Q64" s="712"/>
      <c r="R64" s="712"/>
      <c r="S64" s="712"/>
      <c r="T64" s="712"/>
      <c r="U64" s="712"/>
      <c r="V64" s="712"/>
      <c r="W64" s="712"/>
      <c r="X64" s="712"/>
      <c r="Y64" s="712"/>
      <c r="Z64" s="712"/>
      <c r="AA64" s="712"/>
      <c r="AB64" s="712"/>
      <c r="AC64" s="712"/>
      <c r="AD64" s="712"/>
      <c r="AE64" s="712"/>
      <c r="AF64" s="712"/>
      <c r="AG64" s="712"/>
      <c r="AH64" s="712"/>
      <c r="AI64" s="712"/>
      <c r="AJ64" s="712"/>
      <c r="AK64" s="712"/>
      <c r="AL64" s="712"/>
      <c r="AM64" s="712"/>
      <c r="AN64" s="712"/>
      <c r="AO64" s="712"/>
    </row>
    <row r="65">
      <c r="B65" s="1023" t="s">
        <v>961</v>
      </c>
      <c r="G65" s="712"/>
      <c r="H65" s="712"/>
      <c r="I65" s="712"/>
      <c r="J65" s="712"/>
      <c r="K65" s="712"/>
      <c r="L65" s="712"/>
      <c r="M65" s="712"/>
      <c r="N65" s="712"/>
      <c r="O65" s="712"/>
      <c r="P65" s="712"/>
      <c r="Q65" s="712"/>
      <c r="R65" s="712"/>
      <c r="S65" s="712"/>
      <c r="T65" s="712"/>
      <c r="U65" s="712"/>
      <c r="V65" s="712"/>
      <c r="W65" s="712"/>
      <c r="X65" s="712"/>
      <c r="Y65" s="712"/>
      <c r="Z65" s="712"/>
      <c r="AA65" s="712"/>
      <c r="AB65" s="712"/>
      <c r="AC65" s="712"/>
      <c r="AD65" s="712"/>
      <c r="AE65" s="712"/>
      <c r="AF65" s="712"/>
      <c r="AG65" s="712"/>
      <c r="AH65" s="712"/>
      <c r="AI65" s="712"/>
      <c r="AJ65" s="712"/>
      <c r="AK65" s="712"/>
      <c r="AL65" s="712"/>
      <c r="AM65" s="712"/>
      <c r="AN65" s="712"/>
      <c r="AO65" s="712"/>
    </row>
    <row r="66">
      <c r="A66" s="1019" t="s">
        <v>981</v>
      </c>
      <c r="B66" s="1020" t="s">
        <v>950</v>
      </c>
      <c r="G66" s="712"/>
      <c r="H66" s="712"/>
      <c r="I66" s="712"/>
      <c r="J66" s="712"/>
      <c r="K66" s="712"/>
      <c r="L66" s="712"/>
      <c r="M66" s="712"/>
      <c r="N66" s="712"/>
      <c r="O66" s="712"/>
      <c r="P66" s="712"/>
      <c r="Q66" s="712"/>
      <c r="R66" s="712"/>
      <c r="S66" s="712"/>
      <c r="T66" s="712"/>
      <c r="U66" s="712"/>
      <c r="V66" s="712"/>
      <c r="W66" s="712"/>
      <c r="X66" s="712"/>
      <c r="Y66" s="712"/>
      <c r="Z66" s="712"/>
      <c r="AA66" s="712"/>
      <c r="AB66" s="712"/>
      <c r="AC66" s="712"/>
      <c r="AD66" s="712"/>
      <c r="AE66" s="712"/>
      <c r="AF66" s="712"/>
      <c r="AG66" s="712"/>
      <c r="AH66" s="712"/>
      <c r="AI66" s="712"/>
      <c r="AJ66" s="712"/>
      <c r="AK66" s="712"/>
      <c r="AL66" s="712"/>
      <c r="AM66" s="712"/>
      <c r="AN66" s="712"/>
      <c r="AO66" s="712"/>
    </row>
    <row r="67">
      <c r="B67" s="1023" t="s">
        <v>952</v>
      </c>
      <c r="G67" s="712"/>
      <c r="H67" s="712"/>
      <c r="I67" s="712"/>
      <c r="J67" s="712"/>
      <c r="K67" s="712"/>
      <c r="L67" s="712"/>
      <c r="M67" s="712"/>
      <c r="N67" s="712"/>
      <c r="O67" s="712"/>
      <c r="P67" s="712"/>
      <c r="Q67" s="712"/>
      <c r="R67" s="712"/>
      <c r="S67" s="712"/>
      <c r="T67" s="712"/>
      <c r="U67" s="712"/>
      <c r="V67" s="712"/>
      <c r="W67" s="712"/>
      <c r="X67" s="712"/>
      <c r="Y67" s="712"/>
      <c r="Z67" s="712"/>
      <c r="AA67" s="712"/>
      <c r="AB67" s="712"/>
      <c r="AC67" s="712"/>
      <c r="AD67" s="712"/>
      <c r="AE67" s="712"/>
      <c r="AF67" s="712"/>
      <c r="AG67" s="712"/>
      <c r="AH67" s="712"/>
      <c r="AI67" s="712"/>
      <c r="AJ67" s="712"/>
      <c r="AK67" s="712"/>
      <c r="AL67" s="712"/>
      <c r="AM67" s="712"/>
      <c r="AN67" s="712"/>
      <c r="AO67" s="712"/>
    </row>
    <row r="68">
      <c r="B68" s="1023" t="s">
        <v>953</v>
      </c>
      <c r="G68" s="712"/>
      <c r="H68" s="712"/>
      <c r="I68" s="712"/>
      <c r="J68" s="712"/>
      <c r="K68" s="712"/>
      <c r="L68" s="712"/>
      <c r="M68" s="712"/>
      <c r="N68" s="712"/>
      <c r="O68" s="712"/>
      <c r="P68" s="712"/>
      <c r="Q68" s="712"/>
      <c r="R68" s="712"/>
      <c r="S68" s="712"/>
      <c r="T68" s="712"/>
      <c r="U68" s="712"/>
      <c r="V68" s="712"/>
      <c r="W68" s="712"/>
      <c r="X68" s="712"/>
      <c r="Y68" s="712"/>
      <c r="Z68" s="712"/>
      <c r="AA68" s="712"/>
      <c r="AB68" s="712"/>
      <c r="AC68" s="712"/>
      <c r="AD68" s="712"/>
      <c r="AE68" s="712"/>
      <c r="AF68" s="712"/>
      <c r="AG68" s="712"/>
      <c r="AH68" s="712"/>
      <c r="AI68" s="712"/>
      <c r="AJ68" s="712"/>
      <c r="AK68" s="712"/>
      <c r="AL68" s="712"/>
      <c r="AM68" s="712"/>
      <c r="AN68" s="712"/>
      <c r="AO68" s="712"/>
    </row>
    <row r="69">
      <c r="B69" s="1023" t="s">
        <v>954</v>
      </c>
      <c r="G69" s="712"/>
      <c r="H69" s="712"/>
      <c r="I69" s="712"/>
      <c r="J69" s="712"/>
      <c r="K69" s="712"/>
      <c r="L69" s="712"/>
      <c r="M69" s="712"/>
      <c r="N69" s="712"/>
      <c r="O69" s="712"/>
      <c r="P69" s="712"/>
      <c r="Q69" s="712"/>
      <c r="R69" s="712"/>
      <c r="S69" s="712"/>
      <c r="T69" s="712"/>
      <c r="U69" s="712"/>
      <c r="V69" s="712"/>
      <c r="W69" s="712"/>
      <c r="X69" s="712"/>
      <c r="Y69" s="712"/>
      <c r="Z69" s="712"/>
      <c r="AA69" s="712"/>
      <c r="AB69" s="712"/>
      <c r="AC69" s="712"/>
      <c r="AD69" s="712"/>
      <c r="AE69" s="712"/>
      <c r="AF69" s="712"/>
      <c r="AG69" s="712"/>
      <c r="AH69" s="712"/>
      <c r="AI69" s="712"/>
      <c r="AJ69" s="712"/>
      <c r="AK69" s="712"/>
      <c r="AL69" s="712"/>
      <c r="AM69" s="712"/>
      <c r="AN69" s="712"/>
      <c r="AO69" s="712"/>
    </row>
    <row r="70">
      <c r="B70" s="1034" t="s">
        <v>956</v>
      </c>
      <c r="G70" s="712"/>
      <c r="H70" s="712"/>
      <c r="I70" s="712"/>
      <c r="J70" s="712"/>
      <c r="K70" s="712"/>
      <c r="L70" s="712"/>
      <c r="M70" s="712"/>
      <c r="N70" s="712"/>
      <c r="O70" s="712"/>
      <c r="P70" s="712"/>
      <c r="Q70" s="712"/>
      <c r="R70" s="712"/>
      <c r="S70" s="712"/>
      <c r="T70" s="712"/>
      <c r="U70" s="712"/>
      <c r="V70" s="712"/>
      <c r="W70" s="712"/>
      <c r="X70" s="712"/>
      <c r="Y70" s="712"/>
      <c r="Z70" s="712"/>
      <c r="AA70" s="712"/>
      <c r="AB70" s="712"/>
      <c r="AC70" s="712"/>
      <c r="AD70" s="712"/>
      <c r="AE70" s="712"/>
      <c r="AF70" s="712"/>
      <c r="AG70" s="712"/>
      <c r="AH70" s="712"/>
      <c r="AI70" s="712"/>
      <c r="AJ70" s="712"/>
      <c r="AK70" s="712"/>
      <c r="AL70" s="712"/>
      <c r="AM70" s="712"/>
      <c r="AN70" s="712"/>
      <c r="AO70" s="712"/>
    </row>
    <row r="71">
      <c r="B71" s="1034" t="s">
        <v>958</v>
      </c>
      <c r="G71" s="712"/>
      <c r="H71" s="712"/>
      <c r="I71" s="712"/>
      <c r="J71" s="712"/>
      <c r="K71" s="712"/>
      <c r="L71" s="712"/>
      <c r="M71" s="712"/>
      <c r="N71" s="712"/>
      <c r="O71" s="712"/>
      <c r="P71" s="712"/>
      <c r="Q71" s="712"/>
      <c r="R71" s="712"/>
      <c r="S71" s="712"/>
      <c r="T71" s="712"/>
      <c r="U71" s="712"/>
      <c r="V71" s="712"/>
      <c r="W71" s="712"/>
      <c r="X71" s="712"/>
      <c r="Y71" s="712"/>
      <c r="Z71" s="712"/>
      <c r="AA71" s="712"/>
      <c r="AB71" s="712"/>
      <c r="AC71" s="712"/>
      <c r="AD71" s="712"/>
      <c r="AE71" s="712"/>
      <c r="AF71" s="712"/>
      <c r="AG71" s="712"/>
      <c r="AH71" s="712"/>
      <c r="AI71" s="712"/>
      <c r="AJ71" s="712"/>
      <c r="AK71" s="712"/>
      <c r="AL71" s="712"/>
      <c r="AM71" s="712"/>
      <c r="AN71" s="712"/>
      <c r="AO71" s="712"/>
    </row>
    <row r="72">
      <c r="B72" s="1023" t="s">
        <v>959</v>
      </c>
      <c r="G72" s="712"/>
      <c r="H72" s="712"/>
      <c r="I72" s="712"/>
      <c r="J72" s="712"/>
      <c r="K72" s="712"/>
      <c r="L72" s="712"/>
      <c r="M72" s="712"/>
      <c r="N72" s="712"/>
      <c r="O72" s="712"/>
      <c r="P72" s="712"/>
      <c r="Q72" s="712"/>
      <c r="R72" s="712"/>
      <c r="S72" s="712"/>
      <c r="T72" s="712"/>
      <c r="U72" s="712"/>
      <c r="V72" s="712"/>
      <c r="W72" s="712"/>
      <c r="X72" s="712"/>
      <c r="Y72" s="712"/>
      <c r="Z72" s="712"/>
      <c r="AA72" s="712"/>
      <c r="AB72" s="712"/>
      <c r="AC72" s="712"/>
      <c r="AD72" s="712"/>
      <c r="AE72" s="712"/>
      <c r="AF72" s="712"/>
      <c r="AG72" s="712"/>
      <c r="AH72" s="712"/>
      <c r="AI72" s="712"/>
      <c r="AJ72" s="712"/>
      <c r="AK72" s="712"/>
      <c r="AL72" s="712"/>
      <c r="AM72" s="712"/>
      <c r="AN72" s="712"/>
      <c r="AO72" s="712"/>
    </row>
    <row r="73">
      <c r="B73" s="1023" t="s">
        <v>960</v>
      </c>
      <c r="G73" s="712"/>
      <c r="H73" s="712"/>
      <c r="I73" s="712"/>
      <c r="J73" s="712"/>
      <c r="K73" s="712"/>
      <c r="L73" s="712"/>
      <c r="M73" s="712"/>
      <c r="N73" s="712"/>
      <c r="O73" s="712"/>
      <c r="P73" s="712"/>
      <c r="Q73" s="712"/>
      <c r="R73" s="712"/>
      <c r="S73" s="712"/>
      <c r="T73" s="712"/>
      <c r="U73" s="712"/>
      <c r="V73" s="712"/>
      <c r="W73" s="712"/>
      <c r="X73" s="712"/>
      <c r="Y73" s="712"/>
      <c r="Z73" s="712"/>
      <c r="AA73" s="712"/>
      <c r="AB73" s="712"/>
      <c r="AC73" s="712"/>
      <c r="AD73" s="712"/>
      <c r="AE73" s="712"/>
      <c r="AF73" s="712"/>
      <c r="AG73" s="712"/>
      <c r="AH73" s="712"/>
      <c r="AI73" s="712"/>
      <c r="AJ73" s="712"/>
      <c r="AK73" s="712"/>
      <c r="AL73" s="712"/>
      <c r="AM73" s="712"/>
      <c r="AN73" s="712"/>
      <c r="AO73" s="712"/>
    </row>
    <row r="74">
      <c r="B74" s="1023" t="s">
        <v>961</v>
      </c>
      <c r="G74" s="712"/>
      <c r="H74" s="712"/>
      <c r="I74" s="712"/>
      <c r="J74" s="712"/>
      <c r="K74" s="712"/>
      <c r="L74" s="712"/>
      <c r="M74" s="712"/>
      <c r="N74" s="712"/>
      <c r="O74" s="712"/>
      <c r="P74" s="712"/>
      <c r="Q74" s="712"/>
      <c r="R74" s="712"/>
      <c r="S74" s="712"/>
      <c r="T74" s="712"/>
      <c r="U74" s="712"/>
      <c r="V74" s="712"/>
      <c r="W74" s="712"/>
      <c r="X74" s="712"/>
      <c r="Y74" s="712"/>
      <c r="Z74" s="712"/>
      <c r="AA74" s="712"/>
      <c r="AB74" s="712"/>
      <c r="AC74" s="712"/>
      <c r="AD74" s="712"/>
      <c r="AE74" s="712"/>
      <c r="AF74" s="712"/>
      <c r="AG74" s="712"/>
      <c r="AH74" s="712"/>
      <c r="AI74" s="712"/>
      <c r="AJ74" s="712"/>
      <c r="AK74" s="712"/>
      <c r="AL74" s="712"/>
      <c r="AM74" s="712"/>
      <c r="AN74" s="712"/>
      <c r="AO74" s="712"/>
    </row>
    <row r="75">
      <c r="A75" s="1019" t="s">
        <v>984</v>
      </c>
      <c r="B75" s="1020" t="s">
        <v>950</v>
      </c>
      <c r="G75" s="712"/>
      <c r="H75" s="712"/>
      <c r="I75" s="712"/>
      <c r="J75" s="712"/>
      <c r="K75" s="712"/>
      <c r="L75" s="712"/>
      <c r="M75" s="712"/>
      <c r="N75" s="712"/>
      <c r="O75" s="712"/>
      <c r="P75" s="712"/>
      <c r="Q75" s="712"/>
      <c r="R75" s="712"/>
      <c r="S75" s="712"/>
      <c r="T75" s="712"/>
      <c r="U75" s="712"/>
      <c r="V75" s="712"/>
      <c r="W75" s="712"/>
      <c r="X75" s="712"/>
      <c r="Y75" s="712"/>
      <c r="Z75" s="712"/>
      <c r="AA75" s="712"/>
      <c r="AB75" s="712"/>
      <c r="AC75" s="712"/>
      <c r="AD75" s="712"/>
      <c r="AE75" s="712"/>
      <c r="AF75" s="712"/>
      <c r="AG75" s="712"/>
      <c r="AH75" s="712"/>
      <c r="AI75" s="712"/>
      <c r="AJ75" s="712"/>
      <c r="AK75" s="712"/>
      <c r="AL75" s="712"/>
      <c r="AM75" s="712"/>
      <c r="AN75" s="712"/>
      <c r="AO75" s="712"/>
    </row>
    <row r="76">
      <c r="B76" s="1023" t="s">
        <v>952</v>
      </c>
      <c r="G76" s="712"/>
      <c r="H76" s="712"/>
      <c r="I76" s="712"/>
      <c r="J76" s="712"/>
      <c r="K76" s="712"/>
      <c r="L76" s="712"/>
      <c r="M76" s="712"/>
      <c r="N76" s="712"/>
      <c r="O76" s="712"/>
      <c r="P76" s="712"/>
      <c r="Q76" s="712"/>
      <c r="R76" s="712"/>
      <c r="S76" s="712"/>
      <c r="T76" s="712"/>
      <c r="U76" s="712"/>
      <c r="V76" s="712"/>
      <c r="W76" s="712"/>
      <c r="X76" s="712"/>
      <c r="Y76" s="712"/>
      <c r="Z76" s="712"/>
      <c r="AA76" s="712"/>
      <c r="AB76" s="712"/>
      <c r="AC76" s="712"/>
      <c r="AD76" s="712"/>
      <c r="AE76" s="712"/>
      <c r="AF76" s="712"/>
      <c r="AG76" s="712"/>
      <c r="AH76" s="712"/>
      <c r="AI76" s="712"/>
      <c r="AJ76" s="712"/>
      <c r="AK76" s="712"/>
      <c r="AL76" s="712"/>
      <c r="AM76" s="712"/>
      <c r="AN76" s="712"/>
      <c r="AO76" s="712"/>
    </row>
    <row r="77">
      <c r="B77" s="1023" t="s">
        <v>953</v>
      </c>
      <c r="G77" s="712"/>
      <c r="H77" s="712"/>
      <c r="I77" s="712"/>
      <c r="J77" s="712"/>
      <c r="K77" s="712"/>
      <c r="L77" s="712"/>
      <c r="M77" s="712"/>
      <c r="N77" s="712"/>
      <c r="O77" s="712"/>
      <c r="P77" s="712"/>
      <c r="Q77" s="712"/>
      <c r="R77" s="712"/>
      <c r="S77" s="712"/>
      <c r="T77" s="712"/>
      <c r="U77" s="712"/>
      <c r="V77" s="712"/>
      <c r="W77" s="712"/>
      <c r="X77" s="712"/>
      <c r="Y77" s="712"/>
      <c r="Z77" s="712"/>
      <c r="AA77" s="712"/>
      <c r="AB77" s="712"/>
      <c r="AC77" s="712"/>
      <c r="AD77" s="712"/>
      <c r="AE77" s="712"/>
      <c r="AF77" s="712"/>
      <c r="AG77" s="712"/>
      <c r="AH77" s="712"/>
      <c r="AI77" s="712"/>
      <c r="AJ77" s="712"/>
      <c r="AK77" s="712"/>
      <c r="AL77" s="712"/>
      <c r="AM77" s="712"/>
      <c r="AN77" s="712"/>
      <c r="AO77" s="712"/>
    </row>
    <row r="78">
      <c r="B78" s="1023" t="s">
        <v>954</v>
      </c>
      <c r="G78" s="712"/>
      <c r="H78" s="712"/>
      <c r="I78" s="712"/>
      <c r="J78" s="712"/>
      <c r="K78" s="712"/>
      <c r="L78" s="712"/>
      <c r="M78" s="712"/>
      <c r="N78" s="712"/>
      <c r="O78" s="712"/>
      <c r="P78" s="712"/>
      <c r="Q78" s="712"/>
      <c r="R78" s="712"/>
      <c r="S78" s="712"/>
      <c r="T78" s="712"/>
      <c r="U78" s="712"/>
      <c r="V78" s="712"/>
      <c r="W78" s="712"/>
      <c r="X78" s="712"/>
      <c r="Y78" s="712"/>
      <c r="Z78" s="712"/>
      <c r="AA78" s="712"/>
      <c r="AB78" s="712"/>
      <c r="AC78" s="712"/>
      <c r="AD78" s="712"/>
      <c r="AE78" s="712"/>
      <c r="AF78" s="712"/>
      <c r="AG78" s="712"/>
      <c r="AH78" s="712"/>
      <c r="AI78" s="712"/>
      <c r="AJ78" s="712"/>
      <c r="AK78" s="712"/>
      <c r="AL78" s="712"/>
      <c r="AM78" s="712"/>
      <c r="AN78" s="712"/>
      <c r="AO78" s="712"/>
    </row>
    <row r="79">
      <c r="B79" s="1034" t="s">
        <v>956</v>
      </c>
      <c r="G79" s="712"/>
      <c r="H79" s="712"/>
      <c r="I79" s="712"/>
      <c r="J79" s="712"/>
      <c r="K79" s="712"/>
      <c r="L79" s="712"/>
      <c r="M79" s="712"/>
      <c r="N79" s="712"/>
      <c r="O79" s="712"/>
      <c r="P79" s="712"/>
      <c r="Q79" s="712"/>
      <c r="R79" s="712"/>
      <c r="S79" s="712"/>
      <c r="T79" s="712"/>
      <c r="U79" s="712"/>
      <c r="V79" s="712"/>
      <c r="W79" s="712"/>
      <c r="X79" s="712"/>
      <c r="Y79" s="712"/>
      <c r="Z79" s="712"/>
      <c r="AA79" s="712"/>
      <c r="AB79" s="712"/>
      <c r="AC79" s="712"/>
      <c r="AD79" s="712"/>
      <c r="AE79" s="712"/>
      <c r="AF79" s="712"/>
      <c r="AG79" s="712"/>
      <c r="AH79" s="712"/>
      <c r="AI79" s="712"/>
      <c r="AJ79" s="712"/>
      <c r="AK79" s="712"/>
      <c r="AL79" s="712"/>
      <c r="AM79" s="712"/>
      <c r="AN79" s="712"/>
      <c r="AO79" s="712"/>
    </row>
    <row r="80">
      <c r="B80" s="1034" t="s">
        <v>958</v>
      </c>
      <c r="G80" s="712"/>
      <c r="H80" s="712"/>
      <c r="I80" s="712"/>
      <c r="J80" s="712"/>
      <c r="K80" s="712"/>
      <c r="L80" s="712"/>
      <c r="M80" s="712"/>
      <c r="N80" s="712"/>
      <c r="O80" s="712"/>
      <c r="P80" s="712"/>
      <c r="Q80" s="712"/>
      <c r="R80" s="712"/>
      <c r="S80" s="712"/>
      <c r="T80" s="712"/>
      <c r="U80" s="712"/>
      <c r="V80" s="712"/>
      <c r="W80" s="712"/>
      <c r="X80" s="712"/>
      <c r="Y80" s="712"/>
      <c r="Z80" s="712"/>
      <c r="AA80" s="712"/>
      <c r="AB80" s="712"/>
      <c r="AC80" s="712"/>
      <c r="AD80" s="712"/>
      <c r="AE80" s="712"/>
      <c r="AF80" s="712"/>
      <c r="AG80" s="712"/>
      <c r="AH80" s="712"/>
      <c r="AI80" s="712"/>
      <c r="AJ80" s="712"/>
      <c r="AK80" s="712"/>
      <c r="AL80" s="712"/>
      <c r="AM80" s="712"/>
      <c r="AN80" s="712"/>
      <c r="AO80" s="712"/>
    </row>
    <row r="81">
      <c r="B81" s="1023" t="s">
        <v>959</v>
      </c>
      <c r="G81" s="712"/>
      <c r="H81" s="712"/>
      <c r="I81" s="712"/>
      <c r="J81" s="712"/>
      <c r="K81" s="712"/>
      <c r="L81" s="712"/>
      <c r="M81" s="712"/>
      <c r="N81" s="712"/>
      <c r="O81" s="712"/>
      <c r="P81" s="712"/>
      <c r="Q81" s="712"/>
      <c r="R81" s="712"/>
      <c r="S81" s="712"/>
      <c r="T81" s="712"/>
      <c r="U81" s="712"/>
      <c r="V81" s="712"/>
      <c r="W81" s="712"/>
      <c r="X81" s="712"/>
      <c r="Y81" s="712"/>
      <c r="Z81" s="712"/>
      <c r="AA81" s="712"/>
      <c r="AB81" s="712"/>
      <c r="AC81" s="712"/>
      <c r="AD81" s="712"/>
      <c r="AE81" s="712"/>
      <c r="AF81" s="712"/>
      <c r="AG81" s="712"/>
      <c r="AH81" s="712"/>
      <c r="AI81" s="712"/>
      <c r="AJ81" s="712"/>
      <c r="AK81" s="712"/>
      <c r="AL81" s="712"/>
      <c r="AM81" s="712"/>
      <c r="AN81" s="712"/>
      <c r="AO81" s="712"/>
    </row>
    <row r="82">
      <c r="B82" s="1023" t="s">
        <v>960</v>
      </c>
      <c r="G82" s="712"/>
      <c r="H82" s="712"/>
      <c r="I82" s="712"/>
      <c r="J82" s="712"/>
      <c r="K82" s="712"/>
      <c r="L82" s="712"/>
      <c r="M82" s="712"/>
      <c r="N82" s="712"/>
      <c r="O82" s="712"/>
      <c r="P82" s="712"/>
      <c r="Q82" s="712"/>
      <c r="R82" s="712"/>
      <c r="S82" s="712"/>
      <c r="T82" s="712"/>
      <c r="U82" s="712"/>
      <c r="V82" s="712"/>
      <c r="W82" s="712"/>
      <c r="X82" s="712"/>
      <c r="Y82" s="712"/>
      <c r="Z82" s="712"/>
      <c r="AA82" s="712"/>
      <c r="AB82" s="712"/>
      <c r="AC82" s="712"/>
      <c r="AD82" s="712"/>
      <c r="AE82" s="712"/>
      <c r="AF82" s="712"/>
      <c r="AG82" s="712"/>
      <c r="AH82" s="712"/>
      <c r="AI82" s="712"/>
      <c r="AJ82" s="712"/>
      <c r="AK82" s="712"/>
      <c r="AL82" s="712"/>
      <c r="AM82" s="712"/>
      <c r="AN82" s="712"/>
      <c r="AO82" s="712"/>
    </row>
    <row r="83">
      <c r="B83" s="1023" t="s">
        <v>961</v>
      </c>
      <c r="G83" s="712"/>
      <c r="H83" s="712"/>
      <c r="I83" s="712"/>
      <c r="J83" s="712"/>
      <c r="K83" s="712"/>
      <c r="L83" s="712"/>
      <c r="M83" s="712"/>
      <c r="N83" s="712"/>
      <c r="O83" s="712"/>
      <c r="P83" s="712"/>
      <c r="Q83" s="712"/>
      <c r="R83" s="712"/>
      <c r="S83" s="712"/>
      <c r="T83" s="712"/>
      <c r="U83" s="712"/>
      <c r="V83" s="712"/>
      <c r="W83" s="712"/>
      <c r="X83" s="712"/>
      <c r="Y83" s="712"/>
      <c r="Z83" s="712"/>
      <c r="AA83" s="712"/>
      <c r="AB83" s="712"/>
      <c r="AC83" s="712"/>
      <c r="AD83" s="712"/>
      <c r="AE83" s="712"/>
      <c r="AF83" s="712"/>
      <c r="AG83" s="712"/>
      <c r="AH83" s="712"/>
      <c r="AI83" s="712"/>
      <c r="AJ83" s="712"/>
      <c r="AK83" s="712"/>
      <c r="AL83" s="712"/>
      <c r="AM83" s="712"/>
      <c r="AN83" s="712"/>
      <c r="AO83" s="712"/>
    </row>
    <row r="84">
      <c r="A84" s="1019" t="s">
        <v>988</v>
      </c>
      <c r="B84" s="1020" t="s">
        <v>950</v>
      </c>
      <c r="G84" s="712"/>
      <c r="H84" s="712"/>
      <c r="I84" s="712"/>
      <c r="J84" s="712"/>
      <c r="K84" s="712"/>
      <c r="L84" s="712"/>
      <c r="M84" s="712"/>
      <c r="N84" s="712"/>
      <c r="O84" s="712"/>
      <c r="P84" s="712"/>
      <c r="Q84" s="712"/>
      <c r="R84" s="712"/>
      <c r="S84" s="712"/>
      <c r="T84" s="712"/>
      <c r="U84" s="712"/>
      <c r="V84" s="712"/>
      <c r="W84" s="712"/>
      <c r="X84" s="712"/>
      <c r="Y84" s="712"/>
      <c r="Z84" s="712"/>
      <c r="AA84" s="712"/>
      <c r="AB84" s="712"/>
      <c r="AC84" s="712"/>
      <c r="AD84" s="712"/>
      <c r="AE84" s="712"/>
      <c r="AF84" s="712"/>
      <c r="AG84" s="712"/>
      <c r="AH84" s="712"/>
      <c r="AI84" s="712"/>
      <c r="AJ84" s="712"/>
      <c r="AK84" s="712"/>
      <c r="AL84" s="712"/>
      <c r="AM84" s="712"/>
      <c r="AN84" s="712"/>
      <c r="AO84" s="712"/>
    </row>
    <row r="85">
      <c r="B85" s="1023" t="s">
        <v>952</v>
      </c>
      <c r="G85" s="712"/>
      <c r="H85" s="712"/>
      <c r="I85" s="712"/>
      <c r="J85" s="712"/>
      <c r="K85" s="712"/>
      <c r="L85" s="712"/>
      <c r="M85" s="712"/>
      <c r="N85" s="712"/>
      <c r="O85" s="712"/>
      <c r="P85" s="712"/>
      <c r="Q85" s="712"/>
      <c r="R85" s="712"/>
      <c r="S85" s="712"/>
      <c r="T85" s="712"/>
      <c r="U85" s="712"/>
      <c r="V85" s="712"/>
      <c r="W85" s="712"/>
      <c r="X85" s="712"/>
      <c r="Y85" s="712"/>
      <c r="Z85" s="712"/>
      <c r="AA85" s="712"/>
      <c r="AB85" s="712"/>
      <c r="AC85" s="712"/>
      <c r="AD85" s="712"/>
      <c r="AE85" s="712"/>
      <c r="AF85" s="712"/>
      <c r="AG85" s="712"/>
      <c r="AH85" s="712"/>
      <c r="AI85" s="712"/>
      <c r="AJ85" s="712"/>
      <c r="AK85" s="712"/>
      <c r="AL85" s="712"/>
      <c r="AM85" s="712"/>
      <c r="AN85" s="712"/>
      <c r="AO85" s="712"/>
    </row>
    <row r="86">
      <c r="B86" s="1023" t="s">
        <v>953</v>
      </c>
      <c r="G86" s="712"/>
      <c r="H86" s="712"/>
      <c r="I86" s="712"/>
      <c r="J86" s="712"/>
      <c r="K86" s="712"/>
      <c r="L86" s="712"/>
      <c r="M86" s="712"/>
      <c r="N86" s="712"/>
      <c r="O86" s="712"/>
      <c r="P86" s="712"/>
      <c r="Q86" s="712"/>
      <c r="R86" s="712"/>
      <c r="S86" s="712"/>
      <c r="T86" s="712"/>
      <c r="U86" s="712"/>
      <c r="V86" s="712"/>
      <c r="W86" s="712"/>
      <c r="X86" s="712"/>
      <c r="Y86" s="712"/>
      <c r="Z86" s="712"/>
      <c r="AA86" s="712"/>
      <c r="AB86" s="712"/>
      <c r="AC86" s="712"/>
      <c r="AD86" s="712"/>
      <c r="AE86" s="712"/>
      <c r="AF86" s="712"/>
      <c r="AG86" s="712"/>
      <c r="AH86" s="712"/>
      <c r="AI86" s="712"/>
      <c r="AJ86" s="712"/>
      <c r="AK86" s="712"/>
      <c r="AL86" s="712"/>
      <c r="AM86" s="712"/>
      <c r="AN86" s="712"/>
      <c r="AO86" s="712"/>
    </row>
    <row r="87">
      <c r="B87" s="1023" t="s">
        <v>954</v>
      </c>
      <c r="G87" s="712"/>
      <c r="H87" s="712"/>
      <c r="I87" s="712"/>
      <c r="J87" s="712"/>
      <c r="K87" s="712"/>
      <c r="L87" s="712"/>
      <c r="M87" s="712"/>
      <c r="N87" s="712"/>
      <c r="O87" s="712"/>
      <c r="P87" s="712"/>
      <c r="Q87" s="712"/>
      <c r="R87" s="712"/>
      <c r="S87" s="712"/>
      <c r="T87" s="712"/>
      <c r="U87" s="712"/>
      <c r="V87" s="712"/>
      <c r="W87" s="712"/>
      <c r="X87" s="712"/>
      <c r="Y87" s="712"/>
      <c r="Z87" s="712"/>
      <c r="AA87" s="712"/>
      <c r="AB87" s="712"/>
      <c r="AC87" s="712"/>
      <c r="AD87" s="712"/>
      <c r="AE87" s="712"/>
      <c r="AF87" s="712"/>
      <c r="AG87" s="712"/>
      <c r="AH87" s="712"/>
      <c r="AI87" s="712"/>
      <c r="AJ87" s="712"/>
      <c r="AK87" s="712"/>
      <c r="AL87" s="712"/>
      <c r="AM87" s="712"/>
      <c r="AN87" s="712"/>
      <c r="AO87" s="712"/>
    </row>
    <row r="88">
      <c r="B88" s="1034" t="s">
        <v>956</v>
      </c>
      <c r="G88" s="712"/>
      <c r="H88" s="712"/>
      <c r="I88" s="712"/>
      <c r="J88" s="712"/>
      <c r="K88" s="712"/>
      <c r="L88" s="712"/>
      <c r="M88" s="712"/>
      <c r="N88" s="712"/>
      <c r="O88" s="712"/>
      <c r="P88" s="712"/>
      <c r="Q88" s="712"/>
      <c r="R88" s="712"/>
      <c r="S88" s="712"/>
      <c r="T88" s="712"/>
      <c r="U88" s="712"/>
      <c r="V88" s="712"/>
      <c r="W88" s="712"/>
      <c r="X88" s="712"/>
      <c r="Y88" s="712"/>
      <c r="Z88" s="712"/>
      <c r="AA88" s="712"/>
      <c r="AB88" s="712"/>
      <c r="AC88" s="712"/>
      <c r="AD88" s="712"/>
      <c r="AE88" s="712"/>
      <c r="AF88" s="712"/>
      <c r="AG88" s="712"/>
      <c r="AH88" s="712"/>
      <c r="AI88" s="712"/>
      <c r="AJ88" s="712"/>
      <c r="AK88" s="712"/>
      <c r="AL88" s="712"/>
      <c r="AM88" s="712"/>
      <c r="AN88" s="712"/>
      <c r="AO88" s="712"/>
    </row>
    <row r="89">
      <c r="B89" s="1034" t="s">
        <v>958</v>
      </c>
      <c r="G89" s="712"/>
      <c r="H89" s="712"/>
      <c r="I89" s="712"/>
      <c r="J89" s="712"/>
      <c r="K89" s="712"/>
      <c r="L89" s="712"/>
      <c r="M89" s="712"/>
      <c r="N89" s="712"/>
      <c r="O89" s="712"/>
      <c r="P89" s="712"/>
      <c r="Q89" s="712"/>
      <c r="R89" s="712"/>
      <c r="S89" s="712"/>
      <c r="T89" s="712"/>
      <c r="U89" s="712"/>
      <c r="V89" s="712"/>
      <c r="W89" s="712"/>
      <c r="X89" s="712"/>
      <c r="Y89" s="712"/>
      <c r="Z89" s="712"/>
      <c r="AA89" s="712"/>
      <c r="AB89" s="712"/>
      <c r="AC89" s="712"/>
      <c r="AD89" s="712"/>
      <c r="AE89" s="712"/>
      <c r="AF89" s="712"/>
      <c r="AG89" s="712"/>
      <c r="AH89" s="712"/>
      <c r="AI89" s="712"/>
      <c r="AJ89" s="712"/>
      <c r="AK89" s="712"/>
      <c r="AL89" s="712"/>
      <c r="AM89" s="712"/>
      <c r="AN89" s="712"/>
      <c r="AO89" s="712"/>
    </row>
    <row r="90">
      <c r="B90" s="1023" t="s">
        <v>959</v>
      </c>
      <c r="G90" s="712"/>
      <c r="H90" s="712"/>
      <c r="I90" s="712"/>
      <c r="J90" s="712"/>
      <c r="K90" s="712"/>
      <c r="L90" s="712"/>
      <c r="M90" s="712"/>
      <c r="N90" s="712"/>
      <c r="O90" s="712"/>
      <c r="P90" s="712"/>
      <c r="Q90" s="712"/>
      <c r="R90" s="712"/>
      <c r="S90" s="712"/>
      <c r="T90" s="712"/>
      <c r="U90" s="712"/>
      <c r="V90" s="712"/>
      <c r="W90" s="712"/>
      <c r="X90" s="712"/>
      <c r="Y90" s="712"/>
      <c r="Z90" s="712"/>
      <c r="AA90" s="712"/>
      <c r="AB90" s="712"/>
      <c r="AC90" s="712"/>
      <c r="AD90" s="712"/>
      <c r="AE90" s="712"/>
      <c r="AF90" s="712"/>
      <c r="AG90" s="712"/>
      <c r="AH90" s="712"/>
      <c r="AI90" s="712"/>
      <c r="AJ90" s="712"/>
      <c r="AK90" s="712"/>
      <c r="AL90" s="712"/>
      <c r="AM90" s="712"/>
      <c r="AN90" s="712"/>
      <c r="AO90" s="712"/>
    </row>
    <row r="91">
      <c r="B91" s="1023" t="s">
        <v>960</v>
      </c>
      <c r="G91" s="712"/>
      <c r="H91" s="712"/>
      <c r="I91" s="712"/>
      <c r="J91" s="712"/>
      <c r="K91" s="712"/>
      <c r="L91" s="712"/>
      <c r="M91" s="712"/>
      <c r="N91" s="712"/>
      <c r="O91" s="712"/>
      <c r="P91" s="712"/>
      <c r="Q91" s="712"/>
      <c r="R91" s="712"/>
      <c r="S91" s="712"/>
      <c r="T91" s="712"/>
      <c r="U91" s="712"/>
      <c r="V91" s="712"/>
      <c r="W91" s="712"/>
      <c r="X91" s="712"/>
      <c r="Y91" s="712"/>
      <c r="Z91" s="712"/>
      <c r="AA91" s="712"/>
      <c r="AB91" s="712"/>
      <c r="AC91" s="712"/>
      <c r="AD91" s="712"/>
      <c r="AE91" s="712"/>
      <c r="AF91" s="712"/>
      <c r="AG91" s="712"/>
      <c r="AH91" s="712"/>
      <c r="AI91" s="712"/>
      <c r="AJ91" s="712"/>
      <c r="AK91" s="712"/>
      <c r="AL91" s="712"/>
      <c r="AM91" s="712"/>
      <c r="AN91" s="712"/>
      <c r="AO91" s="712"/>
    </row>
    <row r="92">
      <c r="B92" s="1023" t="s">
        <v>961</v>
      </c>
      <c r="G92" s="712"/>
      <c r="H92" s="712"/>
      <c r="I92" s="712"/>
      <c r="J92" s="712"/>
      <c r="K92" s="712"/>
      <c r="L92" s="712"/>
      <c r="M92" s="712"/>
      <c r="N92" s="712"/>
      <c r="O92" s="712"/>
      <c r="P92" s="712"/>
      <c r="Q92" s="712"/>
      <c r="R92" s="712"/>
      <c r="S92" s="712"/>
      <c r="T92" s="712"/>
      <c r="U92" s="712"/>
      <c r="V92" s="712"/>
      <c r="W92" s="712"/>
      <c r="X92" s="712"/>
      <c r="Y92" s="712"/>
      <c r="Z92" s="712"/>
      <c r="AA92" s="712"/>
      <c r="AB92" s="712"/>
      <c r="AC92" s="712"/>
      <c r="AD92" s="712"/>
      <c r="AE92" s="712"/>
      <c r="AF92" s="712"/>
      <c r="AG92" s="712"/>
      <c r="AH92" s="712"/>
      <c r="AI92" s="712"/>
      <c r="AJ92" s="712"/>
      <c r="AK92" s="712"/>
      <c r="AL92" s="712"/>
      <c r="AM92" s="712"/>
      <c r="AN92" s="712"/>
      <c r="AO92" s="712"/>
    </row>
    <row r="93">
      <c r="A93" s="1019" t="s">
        <v>990</v>
      </c>
      <c r="B93" s="1020" t="s">
        <v>950</v>
      </c>
      <c r="G93" s="712"/>
      <c r="H93" s="712"/>
      <c r="I93" s="712"/>
      <c r="J93" s="712"/>
      <c r="K93" s="712"/>
      <c r="L93" s="712"/>
      <c r="M93" s="712"/>
      <c r="N93" s="712"/>
      <c r="O93" s="712"/>
      <c r="P93" s="712"/>
      <c r="Q93" s="712"/>
      <c r="R93" s="712"/>
      <c r="S93" s="712"/>
      <c r="T93" s="712"/>
      <c r="U93" s="712"/>
      <c r="V93" s="712"/>
      <c r="W93" s="712"/>
      <c r="X93" s="712"/>
      <c r="Y93" s="712"/>
      <c r="Z93" s="712"/>
      <c r="AA93" s="712"/>
      <c r="AB93" s="712"/>
      <c r="AC93" s="712"/>
      <c r="AD93" s="712"/>
      <c r="AE93" s="712"/>
      <c r="AF93" s="712"/>
      <c r="AG93" s="712"/>
      <c r="AH93" s="712"/>
      <c r="AI93" s="712"/>
      <c r="AJ93" s="712"/>
      <c r="AK93" s="712"/>
      <c r="AL93" s="712"/>
      <c r="AM93" s="712"/>
      <c r="AN93" s="712"/>
      <c r="AO93" s="712"/>
    </row>
    <row r="94">
      <c r="B94" s="1023" t="s">
        <v>952</v>
      </c>
      <c r="G94" s="712"/>
      <c r="H94" s="712"/>
      <c r="I94" s="712"/>
      <c r="J94" s="712"/>
      <c r="K94" s="712"/>
      <c r="L94" s="712"/>
      <c r="M94" s="712"/>
      <c r="N94" s="712"/>
      <c r="O94" s="712"/>
      <c r="P94" s="712"/>
      <c r="Q94" s="712"/>
      <c r="R94" s="712"/>
      <c r="S94" s="712"/>
      <c r="T94" s="712"/>
      <c r="U94" s="712"/>
      <c r="V94" s="712"/>
      <c r="W94" s="712"/>
      <c r="X94" s="712"/>
      <c r="Y94" s="712"/>
      <c r="Z94" s="712"/>
      <c r="AA94" s="712"/>
      <c r="AB94" s="712"/>
      <c r="AC94" s="712"/>
      <c r="AD94" s="712"/>
      <c r="AE94" s="712"/>
      <c r="AF94" s="712"/>
      <c r="AG94" s="712"/>
      <c r="AH94" s="712"/>
      <c r="AI94" s="712"/>
      <c r="AJ94" s="712"/>
      <c r="AK94" s="712"/>
      <c r="AL94" s="712"/>
      <c r="AM94" s="712"/>
      <c r="AN94" s="712"/>
      <c r="AO94" s="712"/>
    </row>
    <row r="95">
      <c r="B95" s="1023" t="s">
        <v>953</v>
      </c>
      <c r="G95" s="712"/>
      <c r="H95" s="712"/>
      <c r="I95" s="712"/>
      <c r="J95" s="712"/>
      <c r="K95" s="712"/>
      <c r="L95" s="712"/>
      <c r="M95" s="712"/>
      <c r="N95" s="712"/>
      <c r="O95" s="712"/>
      <c r="P95" s="712"/>
      <c r="Q95" s="712"/>
      <c r="R95" s="712"/>
      <c r="S95" s="712"/>
      <c r="T95" s="712"/>
      <c r="U95" s="712"/>
      <c r="V95" s="712"/>
      <c r="W95" s="712"/>
      <c r="X95" s="712"/>
      <c r="Y95" s="712"/>
      <c r="Z95" s="712"/>
      <c r="AA95" s="712"/>
      <c r="AB95" s="712"/>
      <c r="AC95" s="712"/>
      <c r="AD95" s="712"/>
      <c r="AE95" s="712"/>
      <c r="AF95" s="712"/>
      <c r="AG95" s="712"/>
      <c r="AH95" s="712"/>
      <c r="AI95" s="712"/>
      <c r="AJ95" s="712"/>
      <c r="AK95" s="712"/>
      <c r="AL95" s="712"/>
      <c r="AM95" s="712"/>
      <c r="AN95" s="712"/>
      <c r="AO95" s="712"/>
    </row>
    <row r="96">
      <c r="B96" s="1023" t="s">
        <v>954</v>
      </c>
      <c r="G96" s="712"/>
      <c r="H96" s="712"/>
      <c r="I96" s="712"/>
      <c r="J96" s="712"/>
      <c r="K96" s="712"/>
      <c r="L96" s="712"/>
      <c r="M96" s="712"/>
      <c r="N96" s="712"/>
      <c r="O96" s="712"/>
      <c r="P96" s="712"/>
      <c r="Q96" s="712"/>
      <c r="R96" s="712"/>
      <c r="S96" s="712"/>
      <c r="T96" s="712"/>
      <c r="U96" s="712"/>
      <c r="V96" s="712"/>
      <c r="W96" s="712"/>
      <c r="X96" s="712"/>
      <c r="Y96" s="712"/>
      <c r="Z96" s="712"/>
      <c r="AA96" s="712"/>
      <c r="AB96" s="712"/>
      <c r="AC96" s="712"/>
      <c r="AD96" s="712"/>
      <c r="AE96" s="712"/>
      <c r="AF96" s="712"/>
      <c r="AG96" s="712"/>
      <c r="AH96" s="712"/>
      <c r="AI96" s="712"/>
      <c r="AJ96" s="712"/>
      <c r="AK96" s="712"/>
      <c r="AL96" s="712"/>
      <c r="AM96" s="712"/>
      <c r="AN96" s="712"/>
      <c r="AO96" s="712"/>
    </row>
    <row r="97">
      <c r="B97" s="1034" t="s">
        <v>956</v>
      </c>
      <c r="G97" s="712"/>
      <c r="H97" s="712"/>
      <c r="I97" s="712"/>
      <c r="J97" s="712"/>
      <c r="K97" s="712"/>
      <c r="L97" s="712"/>
      <c r="M97" s="712"/>
      <c r="N97" s="712"/>
      <c r="O97" s="712"/>
      <c r="P97" s="712"/>
      <c r="Q97" s="712"/>
      <c r="R97" s="712"/>
      <c r="S97" s="712"/>
      <c r="T97" s="712"/>
      <c r="U97" s="712"/>
      <c r="V97" s="712"/>
      <c r="W97" s="712"/>
      <c r="X97" s="712"/>
      <c r="Y97" s="712"/>
      <c r="Z97" s="712"/>
      <c r="AA97" s="712"/>
      <c r="AB97" s="712"/>
      <c r="AC97" s="712"/>
      <c r="AD97" s="712"/>
      <c r="AE97" s="712"/>
      <c r="AF97" s="712"/>
      <c r="AG97" s="712"/>
      <c r="AH97" s="712"/>
      <c r="AI97" s="712"/>
      <c r="AJ97" s="712"/>
      <c r="AK97" s="712"/>
      <c r="AL97" s="712"/>
      <c r="AM97" s="712"/>
      <c r="AN97" s="712"/>
      <c r="AO97" s="712"/>
    </row>
    <row r="98">
      <c r="B98" s="1034" t="s">
        <v>958</v>
      </c>
      <c r="G98" s="712"/>
      <c r="H98" s="712"/>
      <c r="I98" s="712"/>
      <c r="J98" s="712"/>
      <c r="K98" s="712"/>
      <c r="L98" s="712"/>
      <c r="M98" s="712"/>
      <c r="N98" s="712"/>
      <c r="O98" s="712"/>
      <c r="P98" s="712"/>
      <c r="Q98" s="712"/>
      <c r="R98" s="712"/>
      <c r="S98" s="712"/>
      <c r="T98" s="712"/>
      <c r="U98" s="712"/>
      <c r="V98" s="712"/>
      <c r="W98" s="712"/>
      <c r="X98" s="712"/>
      <c r="Y98" s="712"/>
      <c r="Z98" s="712"/>
      <c r="AA98" s="712"/>
      <c r="AB98" s="712"/>
      <c r="AC98" s="712"/>
      <c r="AD98" s="712"/>
      <c r="AE98" s="712"/>
      <c r="AF98" s="712"/>
      <c r="AG98" s="712"/>
      <c r="AH98" s="712"/>
      <c r="AI98" s="712"/>
      <c r="AJ98" s="712"/>
      <c r="AK98" s="712"/>
      <c r="AL98" s="712"/>
      <c r="AM98" s="712"/>
      <c r="AN98" s="712"/>
      <c r="AO98" s="712"/>
    </row>
    <row r="99">
      <c r="B99" s="1023" t="s">
        <v>959</v>
      </c>
      <c r="G99" s="712"/>
      <c r="H99" s="712"/>
      <c r="I99" s="712"/>
      <c r="J99" s="712"/>
      <c r="K99" s="712"/>
      <c r="L99" s="712"/>
      <c r="M99" s="712"/>
      <c r="N99" s="712"/>
      <c r="O99" s="712"/>
      <c r="P99" s="712"/>
      <c r="Q99" s="712"/>
      <c r="R99" s="712"/>
      <c r="S99" s="712"/>
      <c r="T99" s="712"/>
      <c r="U99" s="712"/>
      <c r="V99" s="712"/>
      <c r="W99" s="712"/>
      <c r="X99" s="712"/>
      <c r="Y99" s="712"/>
      <c r="Z99" s="712"/>
      <c r="AA99" s="712"/>
      <c r="AB99" s="712"/>
      <c r="AC99" s="712"/>
      <c r="AD99" s="712"/>
      <c r="AE99" s="712"/>
      <c r="AF99" s="712"/>
      <c r="AG99" s="712"/>
      <c r="AH99" s="712"/>
      <c r="AI99" s="712"/>
      <c r="AJ99" s="712"/>
      <c r="AK99" s="712"/>
      <c r="AL99" s="712"/>
      <c r="AM99" s="712"/>
      <c r="AN99" s="712"/>
      <c r="AO99" s="712"/>
    </row>
    <row r="100">
      <c r="B100" s="1023" t="s">
        <v>960</v>
      </c>
      <c r="G100" s="712"/>
      <c r="H100" s="712"/>
      <c r="I100" s="712"/>
      <c r="J100" s="712"/>
      <c r="K100" s="712"/>
      <c r="L100" s="712"/>
      <c r="M100" s="712"/>
      <c r="N100" s="712"/>
      <c r="O100" s="712"/>
      <c r="P100" s="712"/>
      <c r="Q100" s="712"/>
      <c r="R100" s="712"/>
      <c r="S100" s="712"/>
      <c r="T100" s="712"/>
      <c r="U100" s="712"/>
      <c r="V100" s="712"/>
      <c r="W100" s="712"/>
      <c r="X100" s="712"/>
      <c r="Y100" s="712"/>
      <c r="Z100" s="712"/>
      <c r="AA100" s="712"/>
      <c r="AB100" s="712"/>
      <c r="AC100" s="712"/>
      <c r="AD100" s="712"/>
      <c r="AE100" s="712"/>
      <c r="AF100" s="712"/>
      <c r="AG100" s="712"/>
      <c r="AH100" s="712"/>
      <c r="AI100" s="712"/>
      <c r="AJ100" s="712"/>
      <c r="AK100" s="712"/>
      <c r="AL100" s="712"/>
      <c r="AM100" s="712"/>
      <c r="AN100" s="712"/>
      <c r="AO100" s="712"/>
    </row>
    <row r="101">
      <c r="B101" s="1023" t="s">
        <v>961</v>
      </c>
      <c r="G101" s="712"/>
      <c r="H101" s="712"/>
      <c r="I101" s="712"/>
      <c r="J101" s="712"/>
      <c r="K101" s="712"/>
      <c r="L101" s="712"/>
      <c r="M101" s="712"/>
      <c r="N101" s="712"/>
      <c r="O101" s="712"/>
      <c r="P101" s="712"/>
      <c r="Q101" s="712"/>
      <c r="R101" s="712"/>
      <c r="S101" s="712"/>
      <c r="T101" s="712"/>
      <c r="U101" s="712"/>
      <c r="V101" s="712"/>
      <c r="W101" s="712"/>
      <c r="X101" s="712"/>
      <c r="Y101" s="712"/>
      <c r="Z101" s="712"/>
      <c r="AA101" s="712"/>
      <c r="AB101" s="712"/>
      <c r="AC101" s="712"/>
      <c r="AD101" s="712"/>
      <c r="AE101" s="712"/>
      <c r="AF101" s="712"/>
      <c r="AG101" s="712"/>
      <c r="AH101" s="712"/>
      <c r="AI101" s="712"/>
      <c r="AJ101" s="712"/>
      <c r="AK101" s="712"/>
      <c r="AL101" s="712"/>
      <c r="AM101" s="712"/>
      <c r="AN101" s="712"/>
      <c r="AO101" s="712"/>
    </row>
    <row r="102">
      <c r="A102" s="1019" t="s">
        <v>992</v>
      </c>
      <c r="B102" s="1020" t="s">
        <v>950</v>
      </c>
      <c r="G102" s="712"/>
      <c r="H102" s="712"/>
      <c r="I102" s="712"/>
      <c r="J102" s="712"/>
      <c r="K102" s="712"/>
      <c r="L102" s="712"/>
      <c r="M102" s="712"/>
      <c r="N102" s="712"/>
      <c r="O102" s="712"/>
      <c r="P102" s="712"/>
      <c r="Q102" s="712"/>
      <c r="R102" s="712"/>
      <c r="S102" s="712"/>
      <c r="T102" s="712"/>
      <c r="U102" s="712"/>
      <c r="V102" s="712"/>
      <c r="W102" s="712"/>
      <c r="X102" s="712"/>
      <c r="Y102" s="712"/>
      <c r="Z102" s="712"/>
      <c r="AA102" s="712"/>
      <c r="AB102" s="712"/>
      <c r="AC102" s="712"/>
      <c r="AD102" s="712"/>
      <c r="AE102" s="712"/>
      <c r="AF102" s="712"/>
      <c r="AG102" s="712"/>
      <c r="AH102" s="712"/>
      <c r="AI102" s="712"/>
      <c r="AJ102" s="712"/>
      <c r="AK102" s="712"/>
      <c r="AL102" s="712"/>
      <c r="AM102" s="712"/>
      <c r="AN102" s="712"/>
      <c r="AO102" s="712"/>
    </row>
    <row r="103">
      <c r="B103" s="1023" t="s">
        <v>952</v>
      </c>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row>
    <row r="104">
      <c r="B104" s="1023" t="s">
        <v>953</v>
      </c>
      <c r="G104" s="712"/>
      <c r="H104" s="712"/>
      <c r="I104" s="712"/>
      <c r="J104" s="712"/>
      <c r="K104" s="712"/>
      <c r="L104" s="712"/>
      <c r="M104" s="712"/>
      <c r="N104" s="712"/>
      <c r="O104" s="712"/>
      <c r="P104" s="712"/>
      <c r="Q104" s="712"/>
      <c r="R104" s="712"/>
      <c r="S104" s="712"/>
      <c r="T104" s="712"/>
      <c r="U104" s="712"/>
      <c r="V104" s="712"/>
      <c r="W104" s="712"/>
      <c r="X104" s="712"/>
      <c r="Y104" s="712"/>
      <c r="Z104" s="712"/>
      <c r="AA104" s="712"/>
      <c r="AB104" s="712"/>
      <c r="AC104" s="712"/>
      <c r="AD104" s="712"/>
      <c r="AE104" s="712"/>
      <c r="AF104" s="712"/>
      <c r="AG104" s="712"/>
      <c r="AH104" s="712"/>
      <c r="AI104" s="712"/>
      <c r="AJ104" s="712"/>
      <c r="AK104" s="712"/>
      <c r="AL104" s="712"/>
      <c r="AM104" s="712"/>
      <c r="AN104" s="712"/>
      <c r="AO104" s="712"/>
    </row>
    <row r="105">
      <c r="B105" s="1023" t="s">
        <v>954</v>
      </c>
      <c r="G105" s="712"/>
      <c r="H105" s="712"/>
      <c r="I105" s="712"/>
      <c r="J105" s="712"/>
      <c r="K105" s="712"/>
      <c r="L105" s="712"/>
      <c r="M105" s="712"/>
      <c r="N105" s="712"/>
      <c r="O105" s="712"/>
      <c r="P105" s="712"/>
      <c r="Q105" s="712"/>
      <c r="R105" s="712"/>
      <c r="S105" s="712"/>
      <c r="T105" s="712"/>
      <c r="U105" s="712"/>
      <c r="V105" s="712"/>
      <c r="W105" s="712"/>
      <c r="X105" s="712"/>
      <c r="Y105" s="712"/>
      <c r="Z105" s="712"/>
      <c r="AA105" s="712"/>
      <c r="AB105" s="712"/>
      <c r="AC105" s="712"/>
      <c r="AD105" s="712"/>
      <c r="AE105" s="712"/>
      <c r="AF105" s="712"/>
      <c r="AG105" s="712"/>
      <c r="AH105" s="712"/>
      <c r="AI105" s="712"/>
      <c r="AJ105" s="712"/>
      <c r="AK105" s="712"/>
      <c r="AL105" s="712"/>
      <c r="AM105" s="712"/>
      <c r="AN105" s="712"/>
      <c r="AO105" s="712"/>
    </row>
    <row r="106">
      <c r="B106" s="1034" t="s">
        <v>956</v>
      </c>
      <c r="G106" s="712"/>
      <c r="H106" s="712"/>
      <c r="I106" s="712"/>
      <c r="J106" s="712"/>
      <c r="K106" s="712"/>
      <c r="L106" s="712"/>
      <c r="M106" s="712"/>
      <c r="N106" s="712"/>
      <c r="O106" s="712"/>
      <c r="P106" s="712"/>
      <c r="Q106" s="712"/>
      <c r="R106" s="712"/>
      <c r="S106" s="712"/>
      <c r="T106" s="712"/>
      <c r="U106" s="712"/>
      <c r="V106" s="712"/>
      <c r="W106" s="712"/>
      <c r="X106" s="712"/>
      <c r="Y106" s="712"/>
      <c r="Z106" s="712"/>
      <c r="AA106" s="712"/>
      <c r="AB106" s="712"/>
      <c r="AC106" s="712"/>
      <c r="AD106" s="712"/>
      <c r="AE106" s="712"/>
      <c r="AF106" s="712"/>
      <c r="AG106" s="712"/>
      <c r="AH106" s="712"/>
      <c r="AI106" s="712"/>
      <c r="AJ106" s="712"/>
      <c r="AK106" s="712"/>
      <c r="AL106" s="712"/>
      <c r="AM106" s="712"/>
      <c r="AN106" s="712"/>
      <c r="AO106" s="712"/>
    </row>
    <row r="107">
      <c r="B107" s="1034" t="s">
        <v>958</v>
      </c>
      <c r="G107" s="712"/>
      <c r="H107" s="712"/>
      <c r="I107" s="712"/>
      <c r="J107" s="712"/>
      <c r="K107" s="712"/>
      <c r="L107" s="712"/>
      <c r="M107" s="712"/>
      <c r="N107" s="712"/>
      <c r="O107" s="712"/>
      <c r="P107" s="712"/>
      <c r="Q107" s="712"/>
      <c r="R107" s="712"/>
      <c r="S107" s="712"/>
      <c r="T107" s="712"/>
      <c r="U107" s="712"/>
      <c r="V107" s="712"/>
      <c r="W107" s="712"/>
      <c r="X107" s="712"/>
      <c r="Y107" s="712"/>
      <c r="Z107" s="712"/>
      <c r="AA107" s="712"/>
      <c r="AB107" s="712"/>
      <c r="AC107" s="712"/>
      <c r="AD107" s="712"/>
      <c r="AE107" s="712"/>
      <c r="AF107" s="712"/>
      <c r="AG107" s="712"/>
      <c r="AH107" s="712"/>
      <c r="AI107" s="712"/>
      <c r="AJ107" s="712"/>
      <c r="AK107" s="712"/>
      <c r="AL107" s="712"/>
      <c r="AM107" s="712"/>
      <c r="AN107" s="712"/>
      <c r="AO107" s="712"/>
    </row>
    <row r="108">
      <c r="B108" s="1023" t="s">
        <v>959</v>
      </c>
      <c r="G108" s="712"/>
      <c r="H108" s="712"/>
      <c r="I108" s="712"/>
      <c r="J108" s="712"/>
      <c r="K108" s="712"/>
      <c r="L108" s="712"/>
      <c r="M108" s="712"/>
      <c r="N108" s="712"/>
      <c r="O108" s="712"/>
      <c r="P108" s="712"/>
      <c r="Q108" s="712"/>
      <c r="R108" s="712"/>
      <c r="S108" s="712"/>
      <c r="T108" s="712"/>
      <c r="U108" s="712"/>
      <c r="V108" s="712"/>
      <c r="W108" s="712"/>
      <c r="X108" s="712"/>
      <c r="Y108" s="712"/>
      <c r="Z108" s="712"/>
      <c r="AA108" s="712"/>
      <c r="AB108" s="712"/>
      <c r="AC108" s="712"/>
      <c r="AD108" s="712"/>
      <c r="AE108" s="712"/>
      <c r="AF108" s="712"/>
      <c r="AG108" s="712"/>
      <c r="AH108" s="712"/>
      <c r="AI108" s="712"/>
      <c r="AJ108" s="712"/>
      <c r="AK108" s="712"/>
      <c r="AL108" s="712"/>
      <c r="AM108" s="712"/>
      <c r="AN108" s="712"/>
      <c r="AO108" s="712"/>
    </row>
    <row r="109">
      <c r="B109" s="1023" t="s">
        <v>960</v>
      </c>
      <c r="G109" s="712"/>
      <c r="H109" s="712"/>
      <c r="I109" s="712"/>
      <c r="J109" s="712"/>
      <c r="K109" s="712"/>
      <c r="L109" s="712"/>
      <c r="M109" s="712"/>
      <c r="N109" s="712"/>
      <c r="O109" s="712"/>
      <c r="P109" s="712"/>
      <c r="Q109" s="712"/>
      <c r="R109" s="712"/>
      <c r="S109" s="712"/>
      <c r="T109" s="712"/>
      <c r="U109" s="712"/>
      <c r="V109" s="712"/>
      <c r="W109" s="712"/>
      <c r="X109" s="712"/>
      <c r="Y109" s="712"/>
      <c r="Z109" s="712"/>
      <c r="AA109" s="712"/>
      <c r="AB109" s="712"/>
      <c r="AC109" s="712"/>
      <c r="AD109" s="712"/>
      <c r="AE109" s="712"/>
      <c r="AF109" s="712"/>
      <c r="AG109" s="712"/>
      <c r="AH109" s="712"/>
      <c r="AI109" s="712"/>
      <c r="AJ109" s="712"/>
      <c r="AK109" s="712"/>
      <c r="AL109" s="712"/>
      <c r="AM109" s="712"/>
      <c r="AN109" s="712"/>
      <c r="AO109" s="712"/>
    </row>
    <row r="110">
      <c r="B110" s="1023" t="s">
        <v>961</v>
      </c>
      <c r="G110" s="712"/>
      <c r="H110" s="712"/>
      <c r="I110" s="712"/>
      <c r="J110" s="712"/>
      <c r="K110" s="712"/>
      <c r="L110" s="712"/>
      <c r="M110" s="712"/>
      <c r="N110" s="712"/>
      <c r="O110" s="712"/>
      <c r="P110" s="712"/>
      <c r="Q110" s="712"/>
      <c r="R110" s="712"/>
      <c r="S110" s="712"/>
      <c r="T110" s="712"/>
      <c r="U110" s="712"/>
      <c r="V110" s="712"/>
      <c r="W110" s="712"/>
      <c r="X110" s="712"/>
      <c r="Y110" s="712"/>
      <c r="Z110" s="712"/>
      <c r="AA110" s="712"/>
      <c r="AB110" s="712"/>
      <c r="AC110" s="712"/>
      <c r="AD110" s="712"/>
      <c r="AE110" s="712"/>
      <c r="AF110" s="712"/>
      <c r="AG110" s="712"/>
      <c r="AH110" s="712"/>
      <c r="AI110" s="712"/>
      <c r="AJ110" s="712"/>
      <c r="AK110" s="712"/>
      <c r="AL110" s="712"/>
      <c r="AM110" s="712"/>
      <c r="AN110" s="712"/>
      <c r="AO110" s="712"/>
    </row>
    <row r="111">
      <c r="A111" s="1019" t="s">
        <v>997</v>
      </c>
      <c r="B111" s="1020" t="s">
        <v>950</v>
      </c>
      <c r="G111" s="712"/>
      <c r="H111" s="712"/>
      <c r="I111" s="712"/>
      <c r="J111" s="712"/>
      <c r="K111" s="712"/>
      <c r="L111" s="712"/>
      <c r="M111" s="712"/>
      <c r="N111" s="712"/>
      <c r="O111" s="712"/>
      <c r="P111" s="712"/>
      <c r="Q111" s="712"/>
      <c r="R111" s="712"/>
      <c r="S111" s="712"/>
      <c r="T111" s="712"/>
      <c r="U111" s="712"/>
      <c r="V111" s="712"/>
      <c r="W111" s="712"/>
      <c r="X111" s="712"/>
      <c r="Y111" s="712"/>
      <c r="Z111" s="712"/>
      <c r="AA111" s="712"/>
      <c r="AB111" s="712"/>
      <c r="AC111" s="712"/>
      <c r="AD111" s="712"/>
      <c r="AE111" s="712"/>
      <c r="AF111" s="712"/>
      <c r="AG111" s="712"/>
      <c r="AH111" s="712"/>
      <c r="AI111" s="712"/>
      <c r="AJ111" s="712"/>
      <c r="AK111" s="712"/>
      <c r="AL111" s="712"/>
      <c r="AM111" s="712"/>
      <c r="AN111" s="712"/>
      <c r="AO111" s="712"/>
    </row>
    <row r="112">
      <c r="B112" s="1023" t="s">
        <v>952</v>
      </c>
      <c r="G112" s="712"/>
      <c r="H112" s="712"/>
      <c r="I112" s="712"/>
      <c r="J112" s="712"/>
      <c r="K112" s="712"/>
      <c r="L112" s="712"/>
      <c r="M112" s="712"/>
      <c r="N112" s="712"/>
      <c r="O112" s="712"/>
      <c r="P112" s="712"/>
      <c r="Q112" s="712"/>
      <c r="R112" s="712"/>
      <c r="S112" s="712"/>
      <c r="T112" s="712"/>
      <c r="U112" s="712"/>
      <c r="V112" s="712"/>
      <c r="W112" s="712"/>
      <c r="X112" s="712"/>
      <c r="Y112" s="712"/>
      <c r="Z112" s="712"/>
      <c r="AA112" s="712"/>
      <c r="AB112" s="712"/>
      <c r="AC112" s="712"/>
      <c r="AD112" s="712"/>
      <c r="AE112" s="712"/>
      <c r="AF112" s="712"/>
      <c r="AG112" s="712"/>
      <c r="AH112" s="712"/>
      <c r="AI112" s="712"/>
      <c r="AJ112" s="712"/>
      <c r="AK112" s="712"/>
      <c r="AL112" s="712"/>
      <c r="AM112" s="712"/>
      <c r="AN112" s="712"/>
      <c r="AO112" s="712"/>
    </row>
    <row r="113">
      <c r="B113" s="1023" t="s">
        <v>953</v>
      </c>
      <c r="G113" s="712"/>
      <c r="H113" s="712"/>
      <c r="I113" s="712"/>
      <c r="J113" s="712"/>
      <c r="K113" s="712"/>
      <c r="L113" s="712"/>
      <c r="M113" s="712"/>
      <c r="N113" s="712"/>
      <c r="O113" s="712"/>
      <c r="P113" s="712"/>
      <c r="Q113" s="712"/>
      <c r="R113" s="712"/>
      <c r="S113" s="712"/>
      <c r="T113" s="712"/>
      <c r="U113" s="712"/>
      <c r="V113" s="712"/>
      <c r="W113" s="712"/>
      <c r="X113" s="712"/>
      <c r="Y113" s="712"/>
      <c r="Z113" s="712"/>
      <c r="AA113" s="712"/>
      <c r="AB113" s="712"/>
      <c r="AC113" s="712"/>
      <c r="AD113" s="712"/>
      <c r="AE113" s="712"/>
      <c r="AF113" s="712"/>
      <c r="AG113" s="712"/>
      <c r="AH113" s="712"/>
      <c r="AI113" s="712"/>
      <c r="AJ113" s="712"/>
      <c r="AK113" s="712"/>
      <c r="AL113" s="712"/>
      <c r="AM113" s="712"/>
      <c r="AN113" s="712"/>
      <c r="AO113" s="712"/>
    </row>
    <row r="114">
      <c r="B114" s="1023" t="s">
        <v>954</v>
      </c>
      <c r="G114" s="712"/>
      <c r="H114" s="712"/>
      <c r="I114" s="712"/>
      <c r="J114" s="712"/>
      <c r="K114" s="712"/>
      <c r="L114" s="712"/>
      <c r="M114" s="712"/>
      <c r="N114" s="712"/>
      <c r="O114" s="712"/>
      <c r="P114" s="712"/>
      <c r="Q114" s="712"/>
      <c r="R114" s="712"/>
      <c r="S114" s="712"/>
      <c r="T114" s="712"/>
      <c r="U114" s="712"/>
      <c r="V114" s="712"/>
      <c r="W114" s="712"/>
      <c r="X114" s="712"/>
      <c r="Y114" s="712"/>
      <c r="Z114" s="712"/>
      <c r="AA114" s="712"/>
      <c r="AB114" s="712"/>
      <c r="AC114" s="712"/>
      <c r="AD114" s="712"/>
      <c r="AE114" s="712"/>
      <c r="AF114" s="712"/>
      <c r="AG114" s="712"/>
      <c r="AH114" s="712"/>
      <c r="AI114" s="712"/>
      <c r="AJ114" s="712"/>
      <c r="AK114" s="712"/>
      <c r="AL114" s="712"/>
      <c r="AM114" s="712"/>
      <c r="AN114" s="712"/>
      <c r="AO114" s="712"/>
    </row>
    <row r="115">
      <c r="B115" s="1034" t="s">
        <v>956</v>
      </c>
      <c r="G115" s="712"/>
      <c r="H115" s="712"/>
      <c r="I115" s="712"/>
      <c r="J115" s="712"/>
      <c r="K115" s="712"/>
      <c r="L115" s="712"/>
      <c r="M115" s="712"/>
      <c r="N115" s="712"/>
      <c r="O115" s="712"/>
      <c r="P115" s="712"/>
      <c r="Q115" s="712"/>
      <c r="R115" s="712"/>
      <c r="S115" s="712"/>
      <c r="T115" s="712"/>
      <c r="U115" s="712"/>
      <c r="V115" s="712"/>
      <c r="W115" s="712"/>
      <c r="X115" s="712"/>
      <c r="Y115" s="712"/>
      <c r="Z115" s="712"/>
      <c r="AA115" s="712"/>
      <c r="AB115" s="712"/>
      <c r="AC115" s="712"/>
      <c r="AD115" s="712"/>
      <c r="AE115" s="712"/>
      <c r="AF115" s="712"/>
      <c r="AG115" s="712"/>
      <c r="AH115" s="712"/>
      <c r="AI115" s="712"/>
      <c r="AJ115" s="712"/>
      <c r="AK115" s="712"/>
      <c r="AL115" s="712"/>
      <c r="AM115" s="712"/>
      <c r="AN115" s="712"/>
      <c r="AO115" s="712"/>
    </row>
    <row r="116">
      <c r="B116" s="1034" t="s">
        <v>958</v>
      </c>
      <c r="G116" s="712"/>
      <c r="H116" s="712"/>
      <c r="I116" s="712"/>
      <c r="J116" s="712"/>
      <c r="K116" s="712"/>
      <c r="L116" s="712"/>
      <c r="M116" s="712"/>
      <c r="N116" s="712"/>
      <c r="O116" s="712"/>
      <c r="P116" s="712"/>
      <c r="Q116" s="712"/>
      <c r="R116" s="712"/>
      <c r="S116" s="712"/>
      <c r="T116" s="712"/>
      <c r="U116" s="712"/>
      <c r="V116" s="712"/>
      <c r="W116" s="712"/>
      <c r="X116" s="712"/>
      <c r="Y116" s="712"/>
      <c r="Z116" s="712"/>
      <c r="AA116" s="712"/>
      <c r="AB116" s="712"/>
      <c r="AC116" s="712"/>
      <c r="AD116" s="712"/>
      <c r="AE116" s="712"/>
      <c r="AF116" s="712"/>
      <c r="AG116" s="712"/>
      <c r="AH116" s="712"/>
      <c r="AI116" s="712"/>
      <c r="AJ116" s="712"/>
      <c r="AK116" s="712"/>
      <c r="AL116" s="712"/>
      <c r="AM116" s="712"/>
      <c r="AN116" s="712"/>
      <c r="AO116" s="712"/>
    </row>
    <row r="117">
      <c r="B117" s="1023" t="s">
        <v>959</v>
      </c>
      <c r="G117" s="712"/>
      <c r="H117" s="712"/>
      <c r="I117" s="712"/>
      <c r="J117" s="712"/>
      <c r="K117" s="712"/>
      <c r="L117" s="712"/>
      <c r="M117" s="712"/>
      <c r="N117" s="712"/>
      <c r="O117" s="712"/>
      <c r="P117" s="712"/>
      <c r="Q117" s="712"/>
      <c r="R117" s="712"/>
      <c r="S117" s="712"/>
      <c r="T117" s="712"/>
      <c r="U117" s="712"/>
      <c r="V117" s="712"/>
      <c r="W117" s="712"/>
      <c r="X117" s="712"/>
      <c r="Y117" s="712"/>
      <c r="Z117" s="712"/>
      <c r="AA117" s="712"/>
      <c r="AB117" s="712"/>
      <c r="AC117" s="712"/>
      <c r="AD117" s="712"/>
      <c r="AE117" s="712"/>
      <c r="AF117" s="712"/>
      <c r="AG117" s="712"/>
      <c r="AH117" s="712"/>
      <c r="AI117" s="712"/>
      <c r="AJ117" s="712"/>
      <c r="AK117" s="712"/>
      <c r="AL117" s="712"/>
      <c r="AM117" s="712"/>
      <c r="AN117" s="712"/>
      <c r="AO117" s="712"/>
    </row>
    <row r="118">
      <c r="B118" s="1023" t="s">
        <v>960</v>
      </c>
      <c r="G118" s="712"/>
      <c r="H118" s="712"/>
      <c r="I118" s="712"/>
      <c r="J118" s="712"/>
      <c r="K118" s="712"/>
      <c r="L118" s="712"/>
      <c r="M118" s="712"/>
      <c r="N118" s="712"/>
      <c r="O118" s="712"/>
      <c r="P118" s="712"/>
      <c r="Q118" s="712"/>
      <c r="R118" s="712"/>
      <c r="S118" s="712"/>
      <c r="T118" s="712"/>
      <c r="U118" s="712"/>
      <c r="V118" s="712"/>
      <c r="W118" s="712"/>
      <c r="X118" s="712"/>
      <c r="Y118" s="712"/>
      <c r="Z118" s="712"/>
      <c r="AA118" s="712"/>
      <c r="AB118" s="712"/>
      <c r="AC118" s="712"/>
      <c r="AD118" s="712"/>
      <c r="AE118" s="712"/>
      <c r="AF118" s="712"/>
      <c r="AG118" s="712"/>
      <c r="AH118" s="712"/>
      <c r="AI118" s="712"/>
      <c r="AJ118" s="712"/>
      <c r="AK118" s="712"/>
      <c r="AL118" s="712"/>
      <c r="AM118" s="712"/>
      <c r="AN118" s="712"/>
      <c r="AO118" s="712"/>
    </row>
    <row r="119">
      <c r="B119" s="1023" t="s">
        <v>961</v>
      </c>
      <c r="G119" s="712"/>
      <c r="H119" s="712"/>
      <c r="I119" s="712"/>
      <c r="J119" s="712"/>
      <c r="K119" s="712"/>
      <c r="L119" s="712"/>
      <c r="M119" s="712"/>
      <c r="N119" s="712"/>
      <c r="O119" s="712"/>
      <c r="P119" s="712"/>
      <c r="Q119" s="712"/>
      <c r="R119" s="712"/>
      <c r="S119" s="712"/>
      <c r="T119" s="712"/>
      <c r="U119" s="712"/>
      <c r="V119" s="712"/>
      <c r="W119" s="712"/>
      <c r="X119" s="712"/>
      <c r="Y119" s="712"/>
      <c r="Z119" s="712"/>
      <c r="AA119" s="712"/>
      <c r="AB119" s="712"/>
      <c r="AC119" s="712"/>
      <c r="AD119" s="712"/>
      <c r="AE119" s="712"/>
      <c r="AF119" s="712"/>
      <c r="AG119" s="712"/>
      <c r="AH119" s="712"/>
      <c r="AI119" s="712"/>
      <c r="AJ119" s="712"/>
      <c r="AK119" s="712"/>
      <c r="AL119" s="712"/>
      <c r="AM119" s="712"/>
      <c r="AN119" s="712"/>
      <c r="AO119" s="712"/>
    </row>
    <row r="120">
      <c r="A120" s="1019" t="s">
        <v>998</v>
      </c>
      <c r="B120" s="1020" t="s">
        <v>950</v>
      </c>
      <c r="G120" s="712"/>
      <c r="H120" s="712"/>
      <c r="I120" s="712"/>
      <c r="J120" s="712"/>
      <c r="K120" s="712"/>
      <c r="L120" s="712"/>
      <c r="M120" s="712"/>
      <c r="N120" s="712"/>
      <c r="O120" s="712"/>
      <c r="P120" s="712"/>
      <c r="Q120" s="712"/>
      <c r="R120" s="712"/>
      <c r="S120" s="712"/>
      <c r="T120" s="712"/>
      <c r="U120" s="712"/>
      <c r="V120" s="712"/>
      <c r="W120" s="712"/>
      <c r="X120" s="712"/>
      <c r="Y120" s="712"/>
      <c r="Z120" s="712"/>
      <c r="AA120" s="712"/>
      <c r="AB120" s="712"/>
      <c r="AC120" s="712"/>
      <c r="AD120" s="712"/>
      <c r="AE120" s="712"/>
      <c r="AF120" s="712"/>
      <c r="AG120" s="712"/>
      <c r="AH120" s="712"/>
      <c r="AI120" s="712"/>
      <c r="AJ120" s="712"/>
      <c r="AK120" s="712"/>
      <c r="AL120" s="712"/>
      <c r="AM120" s="712"/>
      <c r="AN120" s="712"/>
      <c r="AO120" s="712"/>
    </row>
    <row r="121">
      <c r="B121" s="1023" t="s">
        <v>952</v>
      </c>
      <c r="G121" s="712"/>
      <c r="H121" s="712"/>
      <c r="I121" s="712"/>
      <c r="J121" s="712"/>
      <c r="K121" s="712"/>
      <c r="L121" s="712"/>
      <c r="M121" s="712"/>
      <c r="N121" s="712"/>
      <c r="O121" s="712"/>
      <c r="P121" s="712"/>
      <c r="Q121" s="712"/>
      <c r="R121" s="712"/>
      <c r="S121" s="712"/>
      <c r="T121" s="712"/>
      <c r="U121" s="712"/>
      <c r="V121" s="712"/>
      <c r="W121" s="712"/>
      <c r="X121" s="712"/>
      <c r="Y121" s="712"/>
      <c r="Z121" s="712"/>
      <c r="AA121" s="712"/>
      <c r="AB121" s="712"/>
      <c r="AC121" s="712"/>
      <c r="AD121" s="712"/>
      <c r="AE121" s="712"/>
      <c r="AF121" s="712"/>
      <c r="AG121" s="712"/>
      <c r="AH121" s="712"/>
      <c r="AI121" s="712"/>
      <c r="AJ121" s="712"/>
      <c r="AK121" s="712"/>
      <c r="AL121" s="712"/>
      <c r="AM121" s="712"/>
      <c r="AN121" s="712"/>
      <c r="AO121" s="712"/>
    </row>
    <row r="122">
      <c r="B122" s="1023" t="s">
        <v>953</v>
      </c>
      <c r="G122" s="712"/>
      <c r="H122" s="712"/>
      <c r="I122" s="712"/>
      <c r="J122" s="712"/>
      <c r="K122" s="712"/>
      <c r="L122" s="712"/>
      <c r="M122" s="712"/>
      <c r="N122" s="712"/>
      <c r="O122" s="712"/>
      <c r="P122" s="712"/>
      <c r="Q122" s="712"/>
      <c r="R122" s="712"/>
      <c r="S122" s="712"/>
      <c r="T122" s="712"/>
      <c r="U122" s="712"/>
      <c r="V122" s="712"/>
      <c r="W122" s="712"/>
      <c r="X122" s="712"/>
      <c r="Y122" s="712"/>
      <c r="Z122" s="712"/>
      <c r="AA122" s="712"/>
      <c r="AB122" s="712"/>
      <c r="AC122" s="712"/>
      <c r="AD122" s="712"/>
      <c r="AE122" s="712"/>
      <c r="AF122" s="712"/>
      <c r="AG122" s="712"/>
      <c r="AH122" s="712"/>
      <c r="AI122" s="712"/>
      <c r="AJ122" s="712"/>
      <c r="AK122" s="712"/>
      <c r="AL122" s="712"/>
      <c r="AM122" s="712"/>
      <c r="AN122" s="712"/>
      <c r="AO122" s="712"/>
    </row>
    <row r="123">
      <c r="B123" s="1023" t="s">
        <v>954</v>
      </c>
      <c r="G123" s="712"/>
      <c r="H123" s="712"/>
      <c r="I123" s="712"/>
      <c r="J123" s="712"/>
      <c r="K123" s="712"/>
      <c r="L123" s="712"/>
      <c r="M123" s="712"/>
      <c r="N123" s="712"/>
      <c r="O123" s="712"/>
      <c r="P123" s="712"/>
      <c r="Q123" s="712"/>
      <c r="R123" s="712"/>
      <c r="S123" s="712"/>
      <c r="T123" s="712"/>
      <c r="U123" s="712"/>
      <c r="V123" s="712"/>
      <c r="W123" s="712"/>
      <c r="X123" s="712"/>
      <c r="Y123" s="712"/>
      <c r="Z123" s="712"/>
      <c r="AA123" s="712"/>
      <c r="AB123" s="712"/>
      <c r="AC123" s="712"/>
      <c r="AD123" s="712"/>
      <c r="AE123" s="712"/>
      <c r="AF123" s="712"/>
      <c r="AG123" s="712"/>
      <c r="AH123" s="712"/>
      <c r="AI123" s="712"/>
      <c r="AJ123" s="712"/>
      <c r="AK123" s="712"/>
      <c r="AL123" s="712"/>
      <c r="AM123" s="712"/>
      <c r="AN123" s="712"/>
      <c r="AO123" s="712"/>
    </row>
    <row r="124">
      <c r="B124" s="1034" t="s">
        <v>956</v>
      </c>
      <c r="G124" s="712"/>
      <c r="H124" s="712"/>
      <c r="I124" s="712"/>
      <c r="J124" s="712"/>
      <c r="K124" s="712"/>
      <c r="L124" s="712"/>
      <c r="M124" s="712"/>
      <c r="N124" s="712"/>
      <c r="O124" s="712"/>
      <c r="P124" s="712"/>
      <c r="Q124" s="712"/>
      <c r="R124" s="712"/>
      <c r="S124" s="712"/>
      <c r="T124" s="712"/>
      <c r="U124" s="712"/>
      <c r="V124" s="712"/>
      <c r="W124" s="712"/>
      <c r="X124" s="712"/>
      <c r="Y124" s="712"/>
      <c r="Z124" s="712"/>
      <c r="AA124" s="712"/>
      <c r="AB124" s="712"/>
      <c r="AC124" s="712"/>
      <c r="AD124" s="712"/>
      <c r="AE124" s="712"/>
      <c r="AF124" s="712"/>
      <c r="AG124" s="712"/>
      <c r="AH124" s="712"/>
      <c r="AI124" s="712"/>
      <c r="AJ124" s="712"/>
      <c r="AK124" s="712"/>
      <c r="AL124" s="712"/>
      <c r="AM124" s="712"/>
      <c r="AN124" s="712"/>
      <c r="AO124" s="712"/>
    </row>
    <row r="125">
      <c r="B125" s="1034" t="s">
        <v>958</v>
      </c>
      <c r="G125" s="712"/>
      <c r="H125" s="712"/>
      <c r="I125" s="712"/>
      <c r="J125" s="712"/>
      <c r="K125" s="712"/>
      <c r="L125" s="712"/>
      <c r="M125" s="712"/>
      <c r="N125" s="712"/>
      <c r="O125" s="712"/>
      <c r="P125" s="712"/>
      <c r="Q125" s="712"/>
      <c r="R125" s="712"/>
      <c r="S125" s="712"/>
      <c r="T125" s="712"/>
      <c r="U125" s="712"/>
      <c r="V125" s="712"/>
      <c r="W125" s="712"/>
      <c r="X125" s="712"/>
      <c r="Y125" s="712"/>
      <c r="Z125" s="712"/>
      <c r="AA125" s="712"/>
      <c r="AB125" s="712"/>
      <c r="AC125" s="712"/>
      <c r="AD125" s="712"/>
      <c r="AE125" s="712"/>
      <c r="AF125" s="712"/>
      <c r="AG125" s="712"/>
      <c r="AH125" s="712"/>
      <c r="AI125" s="712"/>
      <c r="AJ125" s="712"/>
      <c r="AK125" s="712"/>
      <c r="AL125" s="712"/>
      <c r="AM125" s="712"/>
      <c r="AN125" s="712"/>
      <c r="AO125" s="712"/>
    </row>
    <row r="126">
      <c r="B126" s="1023" t="s">
        <v>959</v>
      </c>
      <c r="G126" s="712"/>
      <c r="H126" s="712"/>
      <c r="I126" s="712"/>
      <c r="J126" s="712"/>
      <c r="K126" s="712"/>
      <c r="L126" s="712"/>
      <c r="M126" s="712"/>
      <c r="N126" s="712"/>
      <c r="O126" s="712"/>
      <c r="P126" s="712"/>
      <c r="Q126" s="712"/>
      <c r="R126" s="712"/>
      <c r="S126" s="712"/>
      <c r="T126" s="712"/>
      <c r="U126" s="712"/>
      <c r="V126" s="712"/>
      <c r="W126" s="712"/>
      <c r="X126" s="712"/>
      <c r="Y126" s="712"/>
      <c r="Z126" s="712"/>
      <c r="AA126" s="712"/>
      <c r="AB126" s="712"/>
      <c r="AC126" s="712"/>
      <c r="AD126" s="712"/>
      <c r="AE126" s="712"/>
      <c r="AF126" s="712"/>
      <c r="AG126" s="712"/>
      <c r="AH126" s="712"/>
      <c r="AI126" s="712"/>
      <c r="AJ126" s="712"/>
      <c r="AK126" s="712"/>
      <c r="AL126" s="712"/>
      <c r="AM126" s="712"/>
      <c r="AN126" s="712"/>
      <c r="AO126" s="712"/>
    </row>
    <row r="127">
      <c r="B127" s="1023" t="s">
        <v>960</v>
      </c>
      <c r="G127" s="712"/>
      <c r="H127" s="712"/>
      <c r="I127" s="712"/>
      <c r="J127" s="712"/>
      <c r="K127" s="712"/>
      <c r="L127" s="712"/>
      <c r="M127" s="712"/>
      <c r="N127" s="712"/>
      <c r="O127" s="712"/>
      <c r="P127" s="712"/>
      <c r="Q127" s="712"/>
      <c r="R127" s="712"/>
      <c r="S127" s="712"/>
      <c r="T127" s="712"/>
      <c r="U127" s="712"/>
      <c r="V127" s="712"/>
      <c r="W127" s="712"/>
      <c r="X127" s="712"/>
      <c r="Y127" s="712"/>
      <c r="Z127" s="712"/>
      <c r="AA127" s="712"/>
      <c r="AB127" s="712"/>
      <c r="AC127" s="712"/>
      <c r="AD127" s="712"/>
      <c r="AE127" s="712"/>
      <c r="AF127" s="712"/>
      <c r="AG127" s="712"/>
      <c r="AH127" s="712"/>
      <c r="AI127" s="712"/>
      <c r="AJ127" s="712"/>
      <c r="AK127" s="712"/>
      <c r="AL127" s="712"/>
      <c r="AM127" s="712"/>
      <c r="AN127" s="712"/>
      <c r="AO127" s="712"/>
    </row>
    <row r="128">
      <c r="B128" s="1023" t="s">
        <v>961</v>
      </c>
      <c r="G128" s="712"/>
      <c r="H128" s="712"/>
      <c r="I128" s="712"/>
      <c r="J128" s="712"/>
      <c r="K128" s="712"/>
      <c r="L128" s="712"/>
      <c r="M128" s="712"/>
      <c r="N128" s="712"/>
      <c r="O128" s="712"/>
      <c r="P128" s="712"/>
      <c r="Q128" s="712"/>
      <c r="R128" s="712"/>
      <c r="S128" s="712"/>
      <c r="T128" s="712"/>
      <c r="U128" s="712"/>
      <c r="V128" s="712"/>
      <c r="W128" s="712"/>
      <c r="X128" s="712"/>
      <c r="Y128" s="712"/>
      <c r="Z128" s="712"/>
      <c r="AA128" s="712"/>
      <c r="AB128" s="712"/>
      <c r="AC128" s="712"/>
      <c r="AD128" s="712"/>
      <c r="AE128" s="712"/>
      <c r="AF128" s="712"/>
      <c r="AG128" s="712"/>
      <c r="AH128" s="712"/>
      <c r="AI128" s="712"/>
      <c r="AJ128" s="712"/>
      <c r="AK128" s="712"/>
      <c r="AL128" s="712"/>
      <c r="AM128" s="712"/>
      <c r="AN128" s="712"/>
      <c r="AO128" s="712"/>
    </row>
    <row r="129">
      <c r="A129" s="1019" t="s">
        <v>1002</v>
      </c>
      <c r="B129" s="1020" t="s">
        <v>950</v>
      </c>
      <c r="G129" s="712"/>
      <c r="H129" s="712"/>
      <c r="I129" s="712"/>
      <c r="J129" s="712"/>
      <c r="K129" s="712"/>
      <c r="L129" s="712"/>
      <c r="M129" s="712"/>
      <c r="N129" s="712"/>
      <c r="O129" s="712"/>
      <c r="P129" s="712"/>
      <c r="Q129" s="712"/>
      <c r="R129" s="712"/>
      <c r="S129" s="712"/>
      <c r="T129" s="712"/>
      <c r="U129" s="712"/>
      <c r="V129" s="712"/>
      <c r="W129" s="712"/>
      <c r="X129" s="712"/>
      <c r="Y129" s="712"/>
      <c r="Z129" s="712"/>
      <c r="AA129" s="712"/>
      <c r="AB129" s="712"/>
      <c r="AC129" s="712"/>
      <c r="AD129" s="712"/>
      <c r="AE129" s="712"/>
      <c r="AF129" s="712"/>
      <c r="AG129" s="712"/>
      <c r="AH129" s="712"/>
      <c r="AI129" s="712"/>
      <c r="AJ129" s="712"/>
      <c r="AK129" s="712"/>
      <c r="AL129" s="712"/>
      <c r="AM129" s="712"/>
      <c r="AN129" s="712"/>
      <c r="AO129" s="712"/>
    </row>
    <row r="130">
      <c r="B130" s="1023" t="s">
        <v>952</v>
      </c>
      <c r="G130" s="712"/>
      <c r="H130" s="712"/>
      <c r="I130" s="712"/>
      <c r="J130" s="712"/>
      <c r="K130" s="712"/>
      <c r="L130" s="712"/>
      <c r="M130" s="712"/>
      <c r="N130" s="712"/>
      <c r="O130" s="712"/>
      <c r="P130" s="712"/>
      <c r="Q130" s="712"/>
      <c r="R130" s="712"/>
      <c r="S130" s="712"/>
      <c r="T130" s="712"/>
      <c r="U130" s="712"/>
      <c r="V130" s="712"/>
      <c r="W130" s="712"/>
      <c r="X130" s="712"/>
      <c r="Y130" s="712"/>
      <c r="Z130" s="712"/>
      <c r="AA130" s="712"/>
      <c r="AB130" s="712"/>
      <c r="AC130" s="712"/>
      <c r="AD130" s="712"/>
      <c r="AE130" s="712"/>
      <c r="AF130" s="712"/>
      <c r="AG130" s="712"/>
      <c r="AH130" s="712"/>
      <c r="AI130" s="712"/>
      <c r="AJ130" s="712"/>
      <c r="AK130" s="712"/>
      <c r="AL130" s="712"/>
      <c r="AM130" s="712"/>
      <c r="AN130" s="712"/>
      <c r="AO130" s="712"/>
    </row>
    <row r="131">
      <c r="B131" s="1023" t="s">
        <v>953</v>
      </c>
      <c r="G131" s="712"/>
      <c r="H131" s="712"/>
      <c r="I131" s="712"/>
      <c r="J131" s="712"/>
      <c r="K131" s="712"/>
      <c r="L131" s="712"/>
      <c r="M131" s="712"/>
      <c r="N131" s="712"/>
      <c r="O131" s="712"/>
      <c r="P131" s="712"/>
      <c r="Q131" s="712"/>
      <c r="R131" s="712"/>
      <c r="S131" s="712"/>
      <c r="T131" s="712"/>
      <c r="U131" s="712"/>
      <c r="V131" s="712"/>
      <c r="W131" s="712"/>
      <c r="X131" s="712"/>
      <c r="Y131" s="712"/>
      <c r="Z131" s="712"/>
      <c r="AA131" s="712"/>
      <c r="AB131" s="712"/>
      <c r="AC131" s="712"/>
      <c r="AD131" s="712"/>
      <c r="AE131" s="712"/>
      <c r="AF131" s="712"/>
      <c r="AG131" s="712"/>
      <c r="AH131" s="712"/>
      <c r="AI131" s="712"/>
      <c r="AJ131" s="712"/>
      <c r="AK131" s="712"/>
      <c r="AL131" s="712"/>
      <c r="AM131" s="712"/>
      <c r="AN131" s="712"/>
      <c r="AO131" s="712"/>
    </row>
    <row r="132">
      <c r="B132" s="1023" t="s">
        <v>954</v>
      </c>
      <c r="G132" s="712"/>
      <c r="H132" s="712"/>
      <c r="I132" s="712"/>
      <c r="J132" s="712"/>
      <c r="K132" s="712"/>
      <c r="L132" s="712"/>
      <c r="M132" s="712"/>
      <c r="N132" s="712"/>
      <c r="O132" s="712"/>
      <c r="P132" s="712"/>
      <c r="Q132" s="712"/>
      <c r="R132" s="712"/>
      <c r="S132" s="712"/>
      <c r="T132" s="712"/>
      <c r="U132" s="712"/>
      <c r="V132" s="712"/>
      <c r="W132" s="712"/>
      <c r="X132" s="712"/>
      <c r="Y132" s="712"/>
      <c r="Z132" s="712"/>
      <c r="AA132" s="712"/>
      <c r="AB132" s="712"/>
      <c r="AC132" s="712"/>
      <c r="AD132" s="712"/>
      <c r="AE132" s="712"/>
      <c r="AF132" s="712"/>
      <c r="AG132" s="712"/>
      <c r="AH132" s="712"/>
      <c r="AI132" s="712"/>
      <c r="AJ132" s="712"/>
      <c r="AK132" s="712"/>
      <c r="AL132" s="712"/>
      <c r="AM132" s="712"/>
      <c r="AN132" s="712"/>
      <c r="AO132" s="712"/>
    </row>
    <row r="133">
      <c r="B133" s="1034" t="s">
        <v>956</v>
      </c>
      <c r="G133" s="712"/>
      <c r="H133" s="712"/>
      <c r="I133" s="712"/>
      <c r="J133" s="712"/>
      <c r="K133" s="712"/>
      <c r="L133" s="712"/>
      <c r="M133" s="712"/>
      <c r="N133" s="712"/>
      <c r="O133" s="712"/>
      <c r="P133" s="712"/>
      <c r="Q133" s="712"/>
      <c r="R133" s="712"/>
      <c r="S133" s="712"/>
      <c r="T133" s="712"/>
      <c r="U133" s="712"/>
      <c r="V133" s="712"/>
      <c r="W133" s="712"/>
      <c r="X133" s="712"/>
      <c r="Y133" s="712"/>
      <c r="Z133" s="712"/>
      <c r="AA133" s="712"/>
      <c r="AB133" s="712"/>
      <c r="AC133" s="712"/>
      <c r="AD133" s="712"/>
      <c r="AE133" s="712"/>
      <c r="AF133" s="712"/>
      <c r="AG133" s="712"/>
      <c r="AH133" s="712"/>
      <c r="AI133" s="712"/>
      <c r="AJ133" s="712"/>
      <c r="AK133" s="712"/>
      <c r="AL133" s="712"/>
      <c r="AM133" s="712"/>
      <c r="AN133" s="712"/>
      <c r="AO133" s="712"/>
    </row>
    <row r="134">
      <c r="B134" s="1034" t="s">
        <v>958</v>
      </c>
      <c r="G134" s="712"/>
      <c r="H134" s="712"/>
      <c r="I134" s="712"/>
      <c r="J134" s="712"/>
      <c r="K134" s="712"/>
      <c r="L134" s="712"/>
      <c r="M134" s="712"/>
      <c r="N134" s="712"/>
      <c r="O134" s="712"/>
      <c r="P134" s="712"/>
      <c r="Q134" s="712"/>
      <c r="R134" s="712"/>
      <c r="S134" s="712"/>
      <c r="T134" s="712"/>
      <c r="U134" s="712"/>
      <c r="V134" s="712"/>
      <c r="W134" s="712"/>
      <c r="X134" s="712"/>
      <c r="Y134" s="712"/>
      <c r="Z134" s="712"/>
      <c r="AA134" s="712"/>
      <c r="AB134" s="712"/>
      <c r="AC134" s="712"/>
      <c r="AD134" s="712"/>
      <c r="AE134" s="712"/>
      <c r="AF134" s="712"/>
      <c r="AG134" s="712"/>
      <c r="AH134" s="712"/>
      <c r="AI134" s="712"/>
      <c r="AJ134" s="712"/>
      <c r="AK134" s="712"/>
      <c r="AL134" s="712"/>
      <c r="AM134" s="712"/>
      <c r="AN134" s="712"/>
      <c r="AO134" s="712"/>
    </row>
    <row r="135">
      <c r="B135" s="1023" t="s">
        <v>959</v>
      </c>
      <c r="G135" s="712"/>
      <c r="H135" s="712"/>
      <c r="I135" s="712"/>
      <c r="J135" s="712"/>
      <c r="K135" s="712"/>
      <c r="L135" s="712"/>
      <c r="M135" s="712"/>
      <c r="N135" s="712"/>
      <c r="O135" s="712"/>
      <c r="P135" s="712"/>
      <c r="Q135" s="712"/>
      <c r="R135" s="712"/>
      <c r="S135" s="712"/>
      <c r="T135" s="712"/>
      <c r="U135" s="712"/>
      <c r="V135" s="712"/>
      <c r="W135" s="712"/>
      <c r="X135" s="712"/>
      <c r="Y135" s="712"/>
      <c r="Z135" s="712"/>
      <c r="AA135" s="712"/>
      <c r="AB135" s="712"/>
      <c r="AC135" s="712"/>
      <c r="AD135" s="712"/>
      <c r="AE135" s="712"/>
      <c r="AF135" s="712"/>
      <c r="AG135" s="712"/>
      <c r="AH135" s="712"/>
      <c r="AI135" s="712"/>
      <c r="AJ135" s="712"/>
      <c r="AK135" s="712"/>
      <c r="AL135" s="712"/>
      <c r="AM135" s="712"/>
      <c r="AN135" s="712"/>
      <c r="AO135" s="712"/>
    </row>
    <row r="136">
      <c r="B136" s="1023" t="s">
        <v>960</v>
      </c>
      <c r="G136" s="712"/>
      <c r="H136" s="712"/>
      <c r="I136" s="712"/>
      <c r="J136" s="712"/>
      <c r="K136" s="712"/>
      <c r="L136" s="712"/>
      <c r="M136" s="712"/>
      <c r="N136" s="712"/>
      <c r="O136" s="712"/>
      <c r="P136" s="712"/>
      <c r="Q136" s="712"/>
      <c r="R136" s="712"/>
      <c r="S136" s="712"/>
      <c r="T136" s="712"/>
      <c r="U136" s="712"/>
      <c r="V136" s="712"/>
      <c r="W136" s="712"/>
      <c r="X136" s="712"/>
      <c r="Y136" s="712"/>
      <c r="Z136" s="712"/>
      <c r="AA136" s="712"/>
      <c r="AB136" s="712"/>
      <c r="AC136" s="712"/>
      <c r="AD136" s="712"/>
      <c r="AE136" s="712"/>
      <c r="AF136" s="712"/>
      <c r="AG136" s="712"/>
      <c r="AH136" s="712"/>
      <c r="AI136" s="712"/>
      <c r="AJ136" s="712"/>
      <c r="AK136" s="712"/>
      <c r="AL136" s="712"/>
      <c r="AM136" s="712"/>
      <c r="AN136" s="712"/>
      <c r="AO136" s="712"/>
    </row>
    <row r="137">
      <c r="B137" s="1023" t="s">
        <v>961</v>
      </c>
      <c r="G137" s="712"/>
      <c r="H137" s="712"/>
      <c r="I137" s="712"/>
      <c r="J137" s="712"/>
      <c r="K137" s="712"/>
      <c r="L137" s="712"/>
      <c r="M137" s="712"/>
      <c r="N137" s="712"/>
      <c r="O137" s="712"/>
      <c r="P137" s="712"/>
      <c r="Q137" s="712"/>
      <c r="R137" s="712"/>
      <c r="S137" s="712"/>
      <c r="T137" s="712"/>
      <c r="U137" s="712"/>
      <c r="V137" s="712"/>
      <c r="W137" s="712"/>
      <c r="X137" s="712"/>
      <c r="Y137" s="712"/>
      <c r="Z137" s="712"/>
      <c r="AA137" s="712"/>
      <c r="AB137" s="712"/>
      <c r="AC137" s="712"/>
      <c r="AD137" s="712"/>
      <c r="AE137" s="712"/>
      <c r="AF137" s="712"/>
      <c r="AG137" s="712"/>
      <c r="AH137" s="712"/>
      <c r="AI137" s="712"/>
      <c r="AJ137" s="712"/>
      <c r="AK137" s="712"/>
      <c r="AL137" s="712"/>
      <c r="AM137" s="712"/>
      <c r="AN137" s="712"/>
      <c r="AO137" s="712"/>
    </row>
    <row r="138">
      <c r="A138" s="1011" t="s">
        <v>1004</v>
      </c>
      <c r="G138" s="712"/>
      <c r="H138" s="712"/>
      <c r="I138" s="712"/>
      <c r="J138" s="712"/>
      <c r="K138" s="712"/>
      <c r="L138" s="712"/>
      <c r="M138" s="712"/>
      <c r="N138" s="712"/>
      <c r="O138" s="712"/>
      <c r="P138" s="712"/>
      <c r="Q138" s="712"/>
      <c r="R138" s="712"/>
      <c r="S138" s="712"/>
      <c r="T138" s="712"/>
      <c r="U138" s="712"/>
      <c r="V138" s="712"/>
      <c r="W138" s="712"/>
      <c r="X138" s="712"/>
      <c r="Y138" s="712"/>
      <c r="Z138" s="712"/>
      <c r="AA138" s="712"/>
      <c r="AB138" s="712"/>
      <c r="AC138" s="712"/>
      <c r="AD138" s="712"/>
      <c r="AE138" s="712"/>
      <c r="AF138" s="712"/>
      <c r="AG138" s="712"/>
      <c r="AH138" s="712"/>
      <c r="AI138" s="712"/>
      <c r="AJ138" s="712"/>
      <c r="AK138" s="712"/>
      <c r="AL138" s="712"/>
      <c r="AM138" s="712"/>
      <c r="AN138" s="712"/>
      <c r="AO138" s="712"/>
    </row>
    <row r="139">
      <c r="A139" s="1057" t="s">
        <v>974</v>
      </c>
      <c r="B139" s="1020" t="s">
        <v>950</v>
      </c>
      <c r="G139" s="712"/>
      <c r="H139" s="712"/>
      <c r="I139" s="712"/>
      <c r="J139" s="712"/>
      <c r="K139" s="712"/>
      <c r="L139" s="712"/>
      <c r="M139" s="712"/>
      <c r="N139" s="712"/>
      <c r="O139" s="712"/>
      <c r="P139" s="712"/>
      <c r="Q139" s="712"/>
      <c r="R139" s="712"/>
      <c r="S139" s="712"/>
      <c r="T139" s="712"/>
      <c r="U139" s="712"/>
      <c r="V139" s="712"/>
      <c r="W139" s="712"/>
      <c r="X139" s="712"/>
      <c r="Y139" s="712"/>
      <c r="Z139" s="712"/>
      <c r="AA139" s="712"/>
      <c r="AB139" s="712"/>
      <c r="AC139" s="712"/>
      <c r="AD139" s="712"/>
      <c r="AE139" s="712"/>
      <c r="AF139" s="712"/>
      <c r="AG139" s="712"/>
      <c r="AH139" s="712"/>
      <c r="AI139" s="712"/>
      <c r="AJ139" s="712"/>
      <c r="AK139" s="712"/>
      <c r="AL139" s="712"/>
      <c r="AM139" s="712"/>
      <c r="AN139" s="712"/>
      <c r="AO139" s="712"/>
    </row>
    <row r="140">
      <c r="B140" s="1023" t="s">
        <v>952</v>
      </c>
      <c r="G140" s="712"/>
      <c r="H140" s="712"/>
      <c r="I140" s="712"/>
      <c r="J140" s="712"/>
      <c r="K140" s="712"/>
      <c r="L140" s="712"/>
      <c r="M140" s="712"/>
      <c r="N140" s="712"/>
      <c r="O140" s="712"/>
      <c r="P140" s="712"/>
      <c r="Q140" s="712"/>
      <c r="R140" s="712"/>
      <c r="S140" s="712"/>
      <c r="T140" s="712"/>
      <c r="U140" s="712"/>
      <c r="V140" s="712"/>
      <c r="W140" s="712"/>
      <c r="X140" s="712"/>
      <c r="Y140" s="712"/>
      <c r="Z140" s="712"/>
      <c r="AA140" s="712"/>
      <c r="AB140" s="712"/>
      <c r="AC140" s="712"/>
      <c r="AD140" s="712"/>
      <c r="AE140" s="712"/>
      <c r="AF140" s="712"/>
      <c r="AG140" s="712"/>
      <c r="AH140" s="712"/>
      <c r="AI140" s="712"/>
      <c r="AJ140" s="712"/>
      <c r="AK140" s="712"/>
      <c r="AL140" s="712"/>
      <c r="AM140" s="712"/>
      <c r="AN140" s="712"/>
      <c r="AO140" s="712"/>
    </row>
    <row r="141">
      <c r="B141" s="1023" t="s">
        <v>953</v>
      </c>
      <c r="G141" s="712"/>
      <c r="H141" s="712"/>
      <c r="I141" s="712"/>
      <c r="J141" s="712"/>
      <c r="K141" s="712"/>
      <c r="L141" s="712"/>
      <c r="M141" s="712"/>
      <c r="N141" s="712"/>
      <c r="O141" s="712"/>
      <c r="P141" s="712"/>
      <c r="Q141" s="712"/>
      <c r="R141" s="712"/>
      <c r="S141" s="712"/>
      <c r="T141" s="712"/>
      <c r="U141" s="712"/>
      <c r="V141" s="712"/>
      <c r="W141" s="712"/>
      <c r="X141" s="712"/>
      <c r="Y141" s="712"/>
      <c r="Z141" s="712"/>
      <c r="AA141" s="712"/>
      <c r="AB141" s="712"/>
      <c r="AC141" s="712"/>
      <c r="AD141" s="712"/>
      <c r="AE141" s="712"/>
      <c r="AF141" s="712"/>
      <c r="AG141" s="712"/>
      <c r="AH141" s="712"/>
      <c r="AI141" s="712"/>
      <c r="AJ141" s="712"/>
      <c r="AK141" s="712"/>
      <c r="AL141" s="712"/>
      <c r="AM141" s="712"/>
      <c r="AN141" s="712"/>
      <c r="AO141" s="712"/>
    </row>
    <row r="142">
      <c r="B142" s="1023" t="s">
        <v>954</v>
      </c>
      <c r="G142" s="712"/>
      <c r="H142" s="712"/>
      <c r="I142" s="712"/>
      <c r="J142" s="712"/>
      <c r="K142" s="712"/>
      <c r="L142" s="712"/>
      <c r="M142" s="712"/>
      <c r="N142" s="712"/>
      <c r="O142" s="712"/>
      <c r="P142" s="712"/>
      <c r="Q142" s="712"/>
      <c r="R142" s="712"/>
      <c r="S142" s="712"/>
      <c r="T142" s="712"/>
      <c r="U142" s="712"/>
      <c r="V142" s="712"/>
      <c r="W142" s="712"/>
      <c r="X142" s="712"/>
      <c r="Y142" s="712"/>
      <c r="Z142" s="712"/>
      <c r="AA142" s="712"/>
      <c r="AB142" s="712"/>
      <c r="AC142" s="712"/>
      <c r="AD142" s="712"/>
      <c r="AE142" s="712"/>
      <c r="AF142" s="712"/>
      <c r="AG142" s="712"/>
      <c r="AH142" s="712"/>
      <c r="AI142" s="712"/>
      <c r="AJ142" s="712"/>
      <c r="AK142" s="712"/>
      <c r="AL142" s="712"/>
      <c r="AM142" s="712"/>
      <c r="AN142" s="712"/>
      <c r="AO142" s="712"/>
    </row>
    <row r="143">
      <c r="B143" s="1034" t="s">
        <v>956</v>
      </c>
      <c r="G143" s="712"/>
      <c r="H143" s="712"/>
      <c r="I143" s="712"/>
      <c r="J143" s="712"/>
      <c r="K143" s="712"/>
      <c r="L143" s="712"/>
      <c r="M143" s="712"/>
      <c r="N143" s="712"/>
      <c r="O143" s="712"/>
      <c r="P143" s="712"/>
      <c r="Q143" s="712"/>
      <c r="R143" s="712"/>
      <c r="S143" s="712"/>
      <c r="T143" s="712"/>
      <c r="U143" s="712"/>
      <c r="V143" s="712"/>
      <c r="W143" s="712"/>
      <c r="X143" s="712"/>
      <c r="Y143" s="712"/>
      <c r="Z143" s="712"/>
      <c r="AA143" s="712"/>
      <c r="AB143" s="712"/>
      <c r="AC143" s="712"/>
      <c r="AD143" s="712"/>
      <c r="AE143" s="712"/>
      <c r="AF143" s="712"/>
      <c r="AG143" s="712"/>
      <c r="AH143" s="712"/>
      <c r="AI143" s="712"/>
      <c r="AJ143" s="712"/>
      <c r="AK143" s="712"/>
      <c r="AL143" s="712"/>
      <c r="AM143" s="712"/>
      <c r="AN143" s="712"/>
      <c r="AO143" s="712"/>
    </row>
    <row r="144">
      <c r="B144" s="1034" t="s">
        <v>958</v>
      </c>
      <c r="G144" s="712"/>
      <c r="H144" s="712"/>
      <c r="I144" s="712"/>
      <c r="J144" s="712"/>
      <c r="K144" s="712"/>
      <c r="L144" s="712"/>
      <c r="M144" s="712"/>
      <c r="N144" s="712"/>
      <c r="O144" s="712"/>
      <c r="P144" s="712"/>
      <c r="Q144" s="712"/>
      <c r="R144" s="712"/>
      <c r="S144" s="712"/>
      <c r="T144" s="712"/>
      <c r="U144" s="712"/>
      <c r="V144" s="712"/>
      <c r="W144" s="712"/>
      <c r="X144" s="712"/>
      <c r="Y144" s="712"/>
      <c r="Z144" s="712"/>
      <c r="AA144" s="712"/>
      <c r="AB144" s="712"/>
      <c r="AC144" s="712"/>
      <c r="AD144" s="712"/>
      <c r="AE144" s="712"/>
      <c r="AF144" s="712"/>
      <c r="AG144" s="712"/>
      <c r="AH144" s="712"/>
      <c r="AI144" s="712"/>
      <c r="AJ144" s="712"/>
      <c r="AK144" s="712"/>
      <c r="AL144" s="712"/>
      <c r="AM144" s="712"/>
      <c r="AN144" s="712"/>
      <c r="AO144" s="712"/>
    </row>
    <row r="145">
      <c r="B145" s="1023" t="s">
        <v>959</v>
      </c>
      <c r="G145" s="712"/>
      <c r="H145" s="712"/>
      <c r="I145" s="712"/>
      <c r="J145" s="712"/>
      <c r="K145" s="712"/>
      <c r="L145" s="712"/>
      <c r="M145" s="712"/>
      <c r="N145" s="712"/>
      <c r="O145" s="712"/>
      <c r="P145" s="712"/>
      <c r="Q145" s="712"/>
      <c r="R145" s="712"/>
      <c r="S145" s="712"/>
      <c r="T145" s="712"/>
      <c r="U145" s="712"/>
      <c r="V145" s="712"/>
      <c r="W145" s="712"/>
      <c r="X145" s="712"/>
      <c r="Y145" s="712"/>
      <c r="Z145" s="712"/>
      <c r="AA145" s="712"/>
      <c r="AB145" s="712"/>
      <c r="AC145" s="712"/>
      <c r="AD145" s="712"/>
      <c r="AE145" s="712"/>
      <c r="AF145" s="712"/>
      <c r="AG145" s="712"/>
      <c r="AH145" s="712"/>
      <c r="AI145" s="712"/>
      <c r="AJ145" s="712"/>
      <c r="AK145" s="712"/>
      <c r="AL145" s="712"/>
      <c r="AM145" s="712"/>
      <c r="AN145" s="712"/>
      <c r="AO145" s="712"/>
    </row>
    <row r="146">
      <c r="B146" s="1023" t="s">
        <v>960</v>
      </c>
      <c r="G146" s="712"/>
      <c r="H146" s="712"/>
      <c r="I146" s="712"/>
      <c r="J146" s="712"/>
      <c r="K146" s="712"/>
      <c r="L146" s="712"/>
      <c r="M146" s="712"/>
      <c r="N146" s="712"/>
      <c r="O146" s="712"/>
      <c r="P146" s="712"/>
      <c r="Q146" s="712"/>
      <c r="R146" s="712"/>
      <c r="S146" s="712"/>
      <c r="T146" s="712"/>
      <c r="U146" s="712"/>
      <c r="V146" s="712"/>
      <c r="W146" s="712"/>
      <c r="X146" s="712"/>
      <c r="Y146" s="712"/>
      <c r="Z146" s="712"/>
      <c r="AA146" s="712"/>
      <c r="AB146" s="712"/>
      <c r="AC146" s="712"/>
      <c r="AD146" s="712"/>
      <c r="AE146" s="712"/>
      <c r="AF146" s="712"/>
      <c r="AG146" s="712"/>
      <c r="AH146" s="712"/>
      <c r="AI146" s="712"/>
      <c r="AJ146" s="712"/>
      <c r="AK146" s="712"/>
      <c r="AL146" s="712"/>
      <c r="AM146" s="712"/>
      <c r="AN146" s="712"/>
      <c r="AO146" s="712"/>
    </row>
    <row r="147">
      <c r="B147" s="1023" t="s">
        <v>961</v>
      </c>
      <c r="G147" s="712"/>
      <c r="H147" s="712"/>
      <c r="I147" s="712"/>
      <c r="J147" s="712"/>
      <c r="K147" s="712"/>
      <c r="L147" s="712"/>
      <c r="M147" s="712"/>
      <c r="N147" s="712"/>
      <c r="O147" s="712"/>
      <c r="P147" s="712"/>
      <c r="Q147" s="712"/>
      <c r="R147" s="712"/>
      <c r="S147" s="712"/>
      <c r="T147" s="712"/>
      <c r="U147" s="712"/>
      <c r="V147" s="712"/>
      <c r="W147" s="712"/>
      <c r="X147" s="712"/>
      <c r="Y147" s="712"/>
      <c r="Z147" s="712"/>
      <c r="AA147" s="712"/>
      <c r="AB147" s="712"/>
      <c r="AC147" s="712"/>
      <c r="AD147" s="712"/>
      <c r="AE147" s="712"/>
      <c r="AF147" s="712"/>
      <c r="AG147" s="712"/>
      <c r="AH147" s="712"/>
      <c r="AI147" s="712"/>
      <c r="AJ147" s="712"/>
      <c r="AK147" s="712"/>
      <c r="AL147" s="712"/>
      <c r="AM147" s="712"/>
      <c r="AN147" s="712"/>
      <c r="AO147" s="712"/>
    </row>
    <row r="148">
      <c r="A148" s="1019" t="s">
        <v>977</v>
      </c>
      <c r="B148" s="1020" t="s">
        <v>950</v>
      </c>
      <c r="G148" s="712"/>
      <c r="H148" s="712"/>
      <c r="I148" s="712"/>
      <c r="J148" s="712"/>
      <c r="K148" s="712"/>
      <c r="L148" s="712"/>
      <c r="M148" s="712"/>
      <c r="N148" s="712"/>
      <c r="O148" s="712"/>
      <c r="P148" s="712"/>
      <c r="Q148" s="712"/>
      <c r="R148" s="712"/>
      <c r="S148" s="712"/>
      <c r="T148" s="712"/>
      <c r="U148" s="712"/>
      <c r="V148" s="712"/>
      <c r="W148" s="712"/>
      <c r="X148" s="712"/>
      <c r="Y148" s="712"/>
      <c r="Z148" s="712"/>
      <c r="AA148" s="712"/>
      <c r="AB148" s="712"/>
      <c r="AC148" s="712"/>
      <c r="AD148" s="712"/>
      <c r="AE148" s="712"/>
      <c r="AF148" s="712"/>
      <c r="AG148" s="712"/>
      <c r="AH148" s="712"/>
      <c r="AI148" s="712"/>
      <c r="AJ148" s="712"/>
      <c r="AK148" s="712"/>
      <c r="AL148" s="712"/>
      <c r="AM148" s="712"/>
      <c r="AN148" s="712"/>
      <c r="AO148" s="712"/>
    </row>
    <row r="149">
      <c r="B149" s="1023" t="s">
        <v>952</v>
      </c>
      <c r="G149" s="712"/>
      <c r="H149" s="712"/>
      <c r="I149" s="712"/>
      <c r="J149" s="712"/>
      <c r="K149" s="712"/>
      <c r="L149" s="712"/>
      <c r="M149" s="712"/>
      <c r="N149" s="712"/>
      <c r="O149" s="712"/>
      <c r="P149" s="712"/>
      <c r="Q149" s="712"/>
      <c r="R149" s="712"/>
      <c r="S149" s="712"/>
      <c r="T149" s="712"/>
      <c r="U149" s="712"/>
      <c r="V149" s="712"/>
      <c r="W149" s="712"/>
      <c r="X149" s="712"/>
      <c r="Y149" s="712"/>
      <c r="Z149" s="712"/>
      <c r="AA149" s="712"/>
      <c r="AB149" s="712"/>
      <c r="AC149" s="712"/>
      <c r="AD149" s="712"/>
      <c r="AE149" s="712"/>
      <c r="AF149" s="712"/>
      <c r="AG149" s="712"/>
      <c r="AH149" s="712"/>
      <c r="AI149" s="712"/>
      <c r="AJ149" s="712"/>
      <c r="AK149" s="712"/>
      <c r="AL149" s="712"/>
      <c r="AM149" s="712"/>
      <c r="AN149" s="712"/>
      <c r="AO149" s="712"/>
    </row>
    <row r="150">
      <c r="B150" s="1023" t="s">
        <v>953</v>
      </c>
      <c r="G150" s="712"/>
      <c r="H150" s="712"/>
      <c r="I150" s="712"/>
      <c r="J150" s="712"/>
      <c r="K150" s="712"/>
      <c r="L150" s="712"/>
      <c r="M150" s="712"/>
      <c r="N150" s="712"/>
      <c r="O150" s="712"/>
      <c r="P150" s="712"/>
      <c r="Q150" s="712"/>
      <c r="R150" s="712"/>
      <c r="S150" s="712"/>
      <c r="T150" s="712"/>
      <c r="U150" s="712"/>
      <c r="V150" s="712"/>
      <c r="W150" s="712"/>
      <c r="X150" s="712"/>
      <c r="Y150" s="712"/>
      <c r="Z150" s="712"/>
      <c r="AA150" s="712"/>
      <c r="AB150" s="712"/>
      <c r="AC150" s="712"/>
      <c r="AD150" s="712"/>
      <c r="AE150" s="712"/>
      <c r="AF150" s="712"/>
      <c r="AG150" s="712"/>
      <c r="AH150" s="712"/>
      <c r="AI150" s="712"/>
      <c r="AJ150" s="712"/>
      <c r="AK150" s="712"/>
      <c r="AL150" s="712"/>
      <c r="AM150" s="712"/>
      <c r="AN150" s="712"/>
      <c r="AO150" s="712"/>
    </row>
    <row r="151">
      <c r="B151" s="1023" t="s">
        <v>954</v>
      </c>
      <c r="G151" s="712"/>
      <c r="H151" s="712"/>
      <c r="I151" s="712"/>
      <c r="J151" s="712"/>
      <c r="K151" s="712"/>
      <c r="L151" s="712"/>
      <c r="M151" s="712"/>
      <c r="N151" s="712"/>
      <c r="O151" s="712"/>
      <c r="P151" s="712"/>
      <c r="Q151" s="712"/>
      <c r="R151" s="712"/>
      <c r="S151" s="712"/>
      <c r="T151" s="712"/>
      <c r="U151" s="712"/>
      <c r="V151" s="712"/>
      <c r="W151" s="712"/>
      <c r="X151" s="712"/>
      <c r="Y151" s="712"/>
      <c r="Z151" s="712"/>
      <c r="AA151" s="712"/>
      <c r="AB151" s="712"/>
      <c r="AC151" s="712"/>
      <c r="AD151" s="712"/>
      <c r="AE151" s="712"/>
      <c r="AF151" s="712"/>
      <c r="AG151" s="712"/>
      <c r="AH151" s="712"/>
      <c r="AI151" s="712"/>
      <c r="AJ151" s="712"/>
      <c r="AK151" s="712"/>
      <c r="AL151" s="712"/>
      <c r="AM151" s="712"/>
      <c r="AN151" s="712"/>
      <c r="AO151" s="712"/>
    </row>
    <row r="152">
      <c r="B152" s="1034" t="s">
        <v>956</v>
      </c>
      <c r="G152" s="712"/>
      <c r="H152" s="712"/>
      <c r="I152" s="712"/>
      <c r="J152" s="712"/>
      <c r="K152" s="712"/>
      <c r="L152" s="712"/>
      <c r="M152" s="712"/>
      <c r="N152" s="712"/>
      <c r="O152" s="712"/>
      <c r="P152" s="712"/>
      <c r="Q152" s="712"/>
      <c r="R152" s="712"/>
      <c r="S152" s="712"/>
      <c r="T152" s="712"/>
      <c r="U152" s="712"/>
      <c r="V152" s="712"/>
      <c r="W152" s="712"/>
      <c r="X152" s="712"/>
      <c r="Y152" s="712"/>
      <c r="Z152" s="712"/>
      <c r="AA152" s="712"/>
      <c r="AB152" s="712"/>
      <c r="AC152" s="712"/>
      <c r="AD152" s="712"/>
      <c r="AE152" s="712"/>
      <c r="AF152" s="712"/>
      <c r="AG152" s="712"/>
      <c r="AH152" s="712"/>
      <c r="AI152" s="712"/>
      <c r="AJ152" s="712"/>
      <c r="AK152" s="712"/>
      <c r="AL152" s="712"/>
      <c r="AM152" s="712"/>
      <c r="AN152" s="712"/>
      <c r="AO152" s="712"/>
    </row>
    <row r="153">
      <c r="B153" s="1034" t="s">
        <v>958</v>
      </c>
      <c r="G153" s="712"/>
      <c r="H153" s="712"/>
      <c r="I153" s="712"/>
      <c r="J153" s="712"/>
      <c r="K153" s="712"/>
      <c r="L153" s="712"/>
      <c r="M153" s="712"/>
      <c r="N153" s="712"/>
      <c r="O153" s="712"/>
      <c r="P153" s="712"/>
      <c r="Q153" s="712"/>
      <c r="R153" s="712"/>
      <c r="S153" s="712"/>
      <c r="T153" s="712"/>
      <c r="U153" s="712"/>
      <c r="V153" s="712"/>
      <c r="W153" s="712"/>
      <c r="X153" s="712"/>
      <c r="Y153" s="712"/>
      <c r="Z153" s="712"/>
      <c r="AA153" s="712"/>
      <c r="AB153" s="712"/>
      <c r="AC153" s="712"/>
      <c r="AD153" s="712"/>
      <c r="AE153" s="712"/>
      <c r="AF153" s="712"/>
      <c r="AG153" s="712"/>
      <c r="AH153" s="712"/>
      <c r="AI153" s="712"/>
      <c r="AJ153" s="712"/>
      <c r="AK153" s="712"/>
      <c r="AL153" s="712"/>
      <c r="AM153" s="712"/>
      <c r="AN153" s="712"/>
      <c r="AO153" s="712"/>
    </row>
    <row r="154">
      <c r="B154" s="1023" t="s">
        <v>959</v>
      </c>
      <c r="G154" s="712"/>
      <c r="H154" s="712"/>
      <c r="I154" s="712"/>
      <c r="J154" s="712"/>
      <c r="K154" s="712"/>
      <c r="L154" s="712"/>
      <c r="M154" s="712"/>
      <c r="N154" s="712"/>
      <c r="O154" s="712"/>
      <c r="P154" s="712"/>
      <c r="Q154" s="712"/>
      <c r="R154" s="712"/>
      <c r="S154" s="712"/>
      <c r="T154" s="712"/>
      <c r="U154" s="712"/>
      <c r="V154" s="712"/>
      <c r="W154" s="712"/>
      <c r="X154" s="712"/>
      <c r="Y154" s="712"/>
      <c r="Z154" s="712"/>
      <c r="AA154" s="712"/>
      <c r="AB154" s="712"/>
      <c r="AC154" s="712"/>
      <c r="AD154" s="712"/>
      <c r="AE154" s="712"/>
      <c r="AF154" s="712"/>
      <c r="AG154" s="712"/>
      <c r="AH154" s="712"/>
      <c r="AI154" s="712"/>
      <c r="AJ154" s="712"/>
      <c r="AK154" s="712"/>
      <c r="AL154" s="712"/>
      <c r="AM154" s="712"/>
      <c r="AN154" s="712"/>
      <c r="AO154" s="712"/>
    </row>
    <row r="155">
      <c r="B155" s="1023" t="s">
        <v>960</v>
      </c>
      <c r="G155" s="712"/>
      <c r="H155" s="712"/>
      <c r="I155" s="712"/>
      <c r="J155" s="712"/>
      <c r="K155" s="712"/>
      <c r="L155" s="712"/>
      <c r="M155" s="712"/>
      <c r="N155" s="712"/>
      <c r="O155" s="712"/>
      <c r="P155" s="712"/>
      <c r="Q155" s="712"/>
      <c r="R155" s="712"/>
      <c r="S155" s="712"/>
      <c r="T155" s="712"/>
      <c r="U155" s="712"/>
      <c r="V155" s="712"/>
      <c r="W155" s="712"/>
      <c r="X155" s="712"/>
      <c r="Y155" s="712"/>
      <c r="Z155" s="712"/>
      <c r="AA155" s="712"/>
      <c r="AB155" s="712"/>
      <c r="AC155" s="712"/>
      <c r="AD155" s="712"/>
      <c r="AE155" s="712"/>
      <c r="AF155" s="712"/>
      <c r="AG155" s="712"/>
      <c r="AH155" s="712"/>
      <c r="AI155" s="712"/>
      <c r="AJ155" s="712"/>
      <c r="AK155" s="712"/>
      <c r="AL155" s="712"/>
      <c r="AM155" s="712"/>
      <c r="AN155" s="712"/>
      <c r="AO155" s="712"/>
    </row>
    <row r="156">
      <c r="B156" s="1023" t="s">
        <v>961</v>
      </c>
      <c r="G156" s="712"/>
      <c r="H156" s="712"/>
      <c r="I156" s="712"/>
      <c r="J156" s="712"/>
      <c r="K156" s="712"/>
      <c r="L156" s="712"/>
      <c r="M156" s="712"/>
      <c r="N156" s="712"/>
      <c r="O156" s="712"/>
      <c r="P156" s="712"/>
      <c r="Q156" s="712"/>
      <c r="R156" s="712"/>
      <c r="S156" s="712"/>
      <c r="T156" s="712"/>
      <c r="U156" s="712"/>
      <c r="V156" s="712"/>
      <c r="W156" s="712"/>
      <c r="X156" s="712"/>
      <c r="Y156" s="712"/>
      <c r="Z156" s="712"/>
      <c r="AA156" s="712"/>
      <c r="AB156" s="712"/>
      <c r="AC156" s="712"/>
      <c r="AD156" s="712"/>
      <c r="AE156" s="712"/>
      <c r="AF156" s="712"/>
      <c r="AG156" s="712"/>
      <c r="AH156" s="712"/>
      <c r="AI156" s="712"/>
      <c r="AJ156" s="712"/>
      <c r="AK156" s="712"/>
      <c r="AL156" s="712"/>
      <c r="AM156" s="712"/>
      <c r="AN156" s="712"/>
      <c r="AO156" s="712"/>
    </row>
    <row r="157">
      <c r="A157" s="1019" t="s">
        <v>979</v>
      </c>
      <c r="B157" s="1020" t="s">
        <v>950</v>
      </c>
      <c r="G157" s="712"/>
      <c r="H157" s="712"/>
      <c r="I157" s="712"/>
      <c r="J157" s="712"/>
      <c r="K157" s="712"/>
      <c r="L157" s="712"/>
      <c r="M157" s="712"/>
      <c r="N157" s="712"/>
      <c r="O157" s="712"/>
      <c r="P157" s="712"/>
      <c r="Q157" s="712"/>
      <c r="R157" s="712"/>
      <c r="S157" s="712"/>
      <c r="T157" s="712"/>
      <c r="U157" s="712"/>
      <c r="V157" s="712"/>
      <c r="W157" s="712"/>
      <c r="X157" s="712"/>
      <c r="Y157" s="712"/>
      <c r="Z157" s="712"/>
      <c r="AA157" s="712"/>
      <c r="AB157" s="712"/>
      <c r="AC157" s="712"/>
      <c r="AD157" s="712"/>
      <c r="AE157" s="712"/>
      <c r="AF157" s="712"/>
      <c r="AG157" s="712"/>
      <c r="AH157" s="712"/>
      <c r="AI157" s="712"/>
      <c r="AJ157" s="712"/>
      <c r="AK157" s="712"/>
      <c r="AL157" s="712"/>
      <c r="AM157" s="712"/>
      <c r="AN157" s="712"/>
      <c r="AO157" s="712"/>
    </row>
    <row r="158">
      <c r="B158" s="1023" t="s">
        <v>952</v>
      </c>
      <c r="G158" s="712"/>
      <c r="H158" s="712"/>
      <c r="I158" s="712"/>
      <c r="J158" s="712"/>
      <c r="K158" s="712"/>
      <c r="L158" s="712"/>
      <c r="M158" s="712"/>
      <c r="N158" s="712"/>
      <c r="O158" s="712"/>
      <c r="P158" s="712"/>
      <c r="Q158" s="712"/>
      <c r="R158" s="712"/>
      <c r="S158" s="712"/>
      <c r="T158" s="712"/>
      <c r="U158" s="712"/>
      <c r="V158" s="712"/>
      <c r="W158" s="712"/>
      <c r="X158" s="712"/>
      <c r="Y158" s="712"/>
      <c r="Z158" s="712"/>
      <c r="AA158" s="712"/>
      <c r="AB158" s="712"/>
      <c r="AC158" s="712"/>
      <c r="AD158" s="712"/>
      <c r="AE158" s="712"/>
      <c r="AF158" s="712"/>
      <c r="AG158" s="712"/>
      <c r="AH158" s="712"/>
      <c r="AI158" s="712"/>
      <c r="AJ158" s="712"/>
      <c r="AK158" s="712"/>
      <c r="AL158" s="712"/>
      <c r="AM158" s="712"/>
      <c r="AN158" s="712"/>
      <c r="AO158" s="712"/>
    </row>
    <row r="159">
      <c r="B159" s="1023" t="s">
        <v>953</v>
      </c>
      <c r="G159" s="712"/>
      <c r="H159" s="712"/>
      <c r="I159" s="712"/>
      <c r="J159" s="712"/>
      <c r="K159" s="712"/>
      <c r="L159" s="712"/>
      <c r="M159" s="712"/>
      <c r="N159" s="712"/>
      <c r="O159" s="712"/>
      <c r="P159" s="712"/>
      <c r="Q159" s="712"/>
      <c r="R159" s="712"/>
      <c r="S159" s="712"/>
      <c r="T159" s="712"/>
      <c r="U159" s="712"/>
      <c r="V159" s="712"/>
      <c r="W159" s="712"/>
      <c r="X159" s="712"/>
      <c r="Y159" s="712"/>
      <c r="Z159" s="712"/>
      <c r="AA159" s="712"/>
      <c r="AB159" s="712"/>
      <c r="AC159" s="712"/>
      <c r="AD159" s="712"/>
      <c r="AE159" s="712"/>
      <c r="AF159" s="712"/>
      <c r="AG159" s="712"/>
      <c r="AH159" s="712"/>
      <c r="AI159" s="712"/>
      <c r="AJ159" s="712"/>
      <c r="AK159" s="712"/>
      <c r="AL159" s="712"/>
      <c r="AM159" s="712"/>
      <c r="AN159" s="712"/>
      <c r="AO159" s="712"/>
    </row>
    <row r="160">
      <c r="B160" s="1023" t="s">
        <v>954</v>
      </c>
      <c r="G160" s="712"/>
      <c r="H160" s="712"/>
      <c r="I160" s="712"/>
      <c r="J160" s="712"/>
      <c r="K160" s="712"/>
      <c r="L160" s="712"/>
      <c r="M160" s="712"/>
      <c r="N160" s="712"/>
      <c r="O160" s="712"/>
      <c r="P160" s="712"/>
      <c r="Q160" s="712"/>
      <c r="R160" s="712"/>
      <c r="S160" s="712"/>
      <c r="T160" s="712"/>
      <c r="U160" s="712"/>
      <c r="V160" s="712"/>
      <c r="W160" s="712"/>
      <c r="X160" s="712"/>
      <c r="Y160" s="712"/>
      <c r="Z160" s="712"/>
      <c r="AA160" s="712"/>
      <c r="AB160" s="712"/>
      <c r="AC160" s="712"/>
      <c r="AD160" s="712"/>
      <c r="AE160" s="712"/>
      <c r="AF160" s="712"/>
      <c r="AG160" s="712"/>
      <c r="AH160" s="712"/>
      <c r="AI160" s="712"/>
      <c r="AJ160" s="712"/>
      <c r="AK160" s="712"/>
      <c r="AL160" s="712"/>
      <c r="AM160" s="712"/>
      <c r="AN160" s="712"/>
      <c r="AO160" s="712"/>
    </row>
    <row r="161">
      <c r="B161" s="1034" t="s">
        <v>956</v>
      </c>
      <c r="G161" s="712"/>
      <c r="H161" s="712"/>
      <c r="I161" s="712"/>
      <c r="J161" s="712"/>
      <c r="K161" s="712"/>
      <c r="L161" s="712"/>
      <c r="M161" s="712"/>
      <c r="N161" s="712"/>
      <c r="O161" s="712"/>
      <c r="P161" s="712"/>
      <c r="Q161" s="712"/>
      <c r="R161" s="712"/>
      <c r="S161" s="712"/>
      <c r="T161" s="712"/>
      <c r="U161" s="712"/>
      <c r="V161" s="712"/>
      <c r="W161" s="712"/>
      <c r="X161" s="712"/>
      <c r="Y161" s="712"/>
      <c r="Z161" s="712"/>
      <c r="AA161" s="712"/>
      <c r="AB161" s="712"/>
      <c r="AC161" s="712"/>
      <c r="AD161" s="712"/>
      <c r="AE161" s="712"/>
      <c r="AF161" s="712"/>
      <c r="AG161" s="712"/>
      <c r="AH161" s="712"/>
      <c r="AI161" s="712"/>
      <c r="AJ161" s="712"/>
      <c r="AK161" s="712"/>
      <c r="AL161" s="712"/>
      <c r="AM161" s="712"/>
      <c r="AN161" s="712"/>
      <c r="AO161" s="712"/>
    </row>
    <row r="162">
      <c r="B162" s="1034" t="s">
        <v>958</v>
      </c>
      <c r="G162" s="712"/>
      <c r="H162" s="712"/>
      <c r="I162" s="712"/>
      <c r="J162" s="712"/>
      <c r="K162" s="712"/>
      <c r="L162" s="712"/>
      <c r="M162" s="712"/>
      <c r="N162" s="712"/>
      <c r="O162" s="712"/>
      <c r="P162" s="712"/>
      <c r="Q162" s="712"/>
      <c r="R162" s="712"/>
      <c r="S162" s="712"/>
      <c r="T162" s="712"/>
      <c r="U162" s="712"/>
      <c r="V162" s="712"/>
      <c r="W162" s="712"/>
      <c r="X162" s="712"/>
      <c r="Y162" s="712"/>
      <c r="Z162" s="712"/>
      <c r="AA162" s="712"/>
      <c r="AB162" s="712"/>
      <c r="AC162" s="712"/>
      <c r="AD162" s="712"/>
      <c r="AE162" s="712"/>
      <c r="AF162" s="712"/>
      <c r="AG162" s="712"/>
      <c r="AH162" s="712"/>
      <c r="AI162" s="712"/>
      <c r="AJ162" s="712"/>
      <c r="AK162" s="712"/>
      <c r="AL162" s="712"/>
      <c r="AM162" s="712"/>
      <c r="AN162" s="712"/>
      <c r="AO162" s="712"/>
    </row>
    <row r="163">
      <c r="B163" s="1023" t="s">
        <v>959</v>
      </c>
      <c r="G163" s="712"/>
      <c r="H163" s="712"/>
      <c r="I163" s="712"/>
      <c r="J163" s="712"/>
      <c r="K163" s="712"/>
      <c r="L163" s="712"/>
      <c r="M163" s="712"/>
      <c r="N163" s="712"/>
      <c r="O163" s="712"/>
      <c r="P163" s="712"/>
      <c r="Q163" s="712"/>
      <c r="R163" s="712"/>
      <c r="S163" s="712"/>
      <c r="T163" s="712"/>
      <c r="U163" s="712"/>
      <c r="V163" s="712"/>
      <c r="W163" s="712"/>
      <c r="X163" s="712"/>
      <c r="Y163" s="712"/>
      <c r="Z163" s="712"/>
      <c r="AA163" s="712"/>
      <c r="AB163" s="712"/>
      <c r="AC163" s="712"/>
      <c r="AD163" s="712"/>
      <c r="AE163" s="712"/>
      <c r="AF163" s="712"/>
      <c r="AG163" s="712"/>
      <c r="AH163" s="712"/>
      <c r="AI163" s="712"/>
      <c r="AJ163" s="712"/>
      <c r="AK163" s="712"/>
      <c r="AL163" s="712"/>
      <c r="AM163" s="712"/>
      <c r="AN163" s="712"/>
      <c r="AO163" s="712"/>
    </row>
    <row r="164">
      <c r="B164" s="1023" t="s">
        <v>960</v>
      </c>
      <c r="G164" s="712"/>
      <c r="H164" s="712"/>
      <c r="I164" s="712"/>
      <c r="J164" s="712"/>
      <c r="K164" s="712"/>
      <c r="L164" s="712"/>
      <c r="M164" s="712"/>
      <c r="N164" s="712"/>
      <c r="O164" s="712"/>
      <c r="P164" s="712"/>
      <c r="Q164" s="712"/>
      <c r="R164" s="712"/>
      <c r="S164" s="712"/>
      <c r="T164" s="712"/>
      <c r="U164" s="712"/>
      <c r="V164" s="712"/>
      <c r="W164" s="712"/>
      <c r="X164" s="712"/>
      <c r="Y164" s="712"/>
      <c r="Z164" s="712"/>
      <c r="AA164" s="712"/>
      <c r="AB164" s="712"/>
      <c r="AC164" s="712"/>
      <c r="AD164" s="712"/>
      <c r="AE164" s="712"/>
      <c r="AF164" s="712"/>
      <c r="AG164" s="712"/>
      <c r="AH164" s="712"/>
      <c r="AI164" s="712"/>
      <c r="AJ164" s="712"/>
      <c r="AK164" s="712"/>
      <c r="AL164" s="712"/>
      <c r="AM164" s="712"/>
      <c r="AN164" s="712"/>
      <c r="AO164" s="712"/>
    </row>
    <row r="165">
      <c r="B165" s="1023" t="s">
        <v>961</v>
      </c>
      <c r="G165" s="712"/>
      <c r="H165" s="712"/>
      <c r="I165" s="712"/>
      <c r="J165" s="712"/>
      <c r="K165" s="712"/>
      <c r="L165" s="712"/>
      <c r="M165" s="712"/>
      <c r="N165" s="712"/>
      <c r="O165" s="712"/>
      <c r="P165" s="712"/>
      <c r="Q165" s="712"/>
      <c r="R165" s="712"/>
      <c r="S165" s="712"/>
      <c r="T165" s="712"/>
      <c r="U165" s="712"/>
      <c r="V165" s="712"/>
      <c r="W165" s="712"/>
      <c r="X165" s="712"/>
      <c r="Y165" s="712"/>
      <c r="Z165" s="712"/>
      <c r="AA165" s="712"/>
      <c r="AB165" s="712"/>
      <c r="AC165" s="712"/>
      <c r="AD165" s="712"/>
      <c r="AE165" s="712"/>
      <c r="AF165" s="712"/>
      <c r="AG165" s="712"/>
      <c r="AH165" s="712"/>
      <c r="AI165" s="712"/>
      <c r="AJ165" s="712"/>
      <c r="AK165" s="712"/>
      <c r="AL165" s="712"/>
      <c r="AM165" s="712"/>
      <c r="AN165" s="712"/>
      <c r="AO165" s="712"/>
    </row>
    <row r="166">
      <c r="A166" s="1019" t="s">
        <v>981</v>
      </c>
      <c r="B166" s="1020" t="s">
        <v>950</v>
      </c>
      <c r="G166" s="712"/>
      <c r="H166" s="712"/>
      <c r="I166" s="712"/>
      <c r="J166" s="712"/>
      <c r="K166" s="712"/>
      <c r="L166" s="712"/>
      <c r="M166" s="712"/>
      <c r="N166" s="712"/>
      <c r="O166" s="712"/>
      <c r="P166" s="712"/>
      <c r="Q166" s="712"/>
      <c r="R166" s="712"/>
      <c r="S166" s="712"/>
      <c r="T166" s="712"/>
      <c r="U166" s="712"/>
      <c r="V166" s="712"/>
      <c r="W166" s="712"/>
      <c r="X166" s="712"/>
      <c r="Y166" s="712"/>
      <c r="Z166" s="712"/>
      <c r="AA166" s="712"/>
      <c r="AB166" s="712"/>
      <c r="AC166" s="712"/>
      <c r="AD166" s="712"/>
      <c r="AE166" s="712"/>
      <c r="AF166" s="712"/>
      <c r="AG166" s="712"/>
      <c r="AH166" s="712"/>
      <c r="AI166" s="712"/>
      <c r="AJ166" s="712"/>
      <c r="AK166" s="712"/>
      <c r="AL166" s="712"/>
      <c r="AM166" s="712"/>
      <c r="AN166" s="712"/>
      <c r="AO166" s="712"/>
    </row>
    <row r="167">
      <c r="B167" s="1023" t="s">
        <v>952</v>
      </c>
      <c r="G167" s="712"/>
      <c r="H167" s="712"/>
      <c r="I167" s="712"/>
      <c r="J167" s="712"/>
      <c r="K167" s="712"/>
      <c r="L167" s="712"/>
      <c r="M167" s="712"/>
      <c r="N167" s="712"/>
      <c r="O167" s="712"/>
      <c r="P167" s="712"/>
      <c r="Q167" s="712"/>
      <c r="R167" s="712"/>
      <c r="S167" s="712"/>
      <c r="T167" s="712"/>
      <c r="U167" s="712"/>
      <c r="V167" s="712"/>
      <c r="W167" s="712"/>
      <c r="X167" s="712"/>
      <c r="Y167" s="712"/>
      <c r="Z167" s="712"/>
      <c r="AA167" s="712"/>
      <c r="AB167" s="712"/>
      <c r="AC167" s="712"/>
      <c r="AD167" s="712"/>
      <c r="AE167" s="712"/>
      <c r="AF167" s="712"/>
      <c r="AG167" s="712"/>
      <c r="AH167" s="712"/>
      <c r="AI167" s="712"/>
      <c r="AJ167" s="712"/>
      <c r="AK167" s="712"/>
      <c r="AL167" s="712"/>
      <c r="AM167" s="712"/>
      <c r="AN167" s="712"/>
      <c r="AO167" s="712"/>
    </row>
    <row r="168">
      <c r="B168" s="1023" t="s">
        <v>953</v>
      </c>
      <c r="G168" s="712"/>
      <c r="H168" s="712"/>
      <c r="I168" s="712"/>
      <c r="J168" s="712"/>
      <c r="K168" s="712"/>
      <c r="L168" s="712"/>
      <c r="M168" s="712"/>
      <c r="N168" s="712"/>
      <c r="O168" s="712"/>
      <c r="P168" s="712"/>
      <c r="Q168" s="712"/>
      <c r="R168" s="712"/>
      <c r="S168" s="712"/>
      <c r="T168" s="712"/>
      <c r="U168" s="712"/>
      <c r="V168" s="712"/>
      <c r="W168" s="712"/>
      <c r="X168" s="712"/>
      <c r="Y168" s="712"/>
      <c r="Z168" s="712"/>
      <c r="AA168" s="712"/>
      <c r="AB168" s="712"/>
      <c r="AC168" s="712"/>
      <c r="AD168" s="712"/>
      <c r="AE168" s="712"/>
      <c r="AF168" s="712"/>
      <c r="AG168" s="712"/>
      <c r="AH168" s="712"/>
      <c r="AI168" s="712"/>
      <c r="AJ168" s="712"/>
      <c r="AK168" s="712"/>
      <c r="AL168" s="712"/>
      <c r="AM168" s="712"/>
      <c r="AN168" s="712"/>
      <c r="AO168" s="712"/>
    </row>
    <row r="169">
      <c r="B169" s="1023" t="s">
        <v>954</v>
      </c>
      <c r="G169" s="712"/>
      <c r="H169" s="712"/>
      <c r="I169" s="712"/>
      <c r="J169" s="712"/>
      <c r="K169" s="712"/>
      <c r="L169" s="712"/>
      <c r="M169" s="712"/>
      <c r="N169" s="712"/>
      <c r="O169" s="712"/>
      <c r="P169" s="712"/>
      <c r="Q169" s="712"/>
      <c r="R169" s="712"/>
      <c r="S169" s="712"/>
      <c r="T169" s="712"/>
      <c r="U169" s="712"/>
      <c r="V169" s="712"/>
      <c r="W169" s="712"/>
      <c r="X169" s="712"/>
      <c r="Y169" s="712"/>
      <c r="Z169" s="712"/>
      <c r="AA169" s="712"/>
      <c r="AB169" s="712"/>
      <c r="AC169" s="712"/>
      <c r="AD169" s="712"/>
      <c r="AE169" s="712"/>
      <c r="AF169" s="712"/>
      <c r="AG169" s="712"/>
      <c r="AH169" s="712"/>
      <c r="AI169" s="712"/>
      <c r="AJ169" s="712"/>
      <c r="AK169" s="712"/>
      <c r="AL169" s="712"/>
      <c r="AM169" s="712"/>
      <c r="AN169" s="712"/>
      <c r="AO169" s="712"/>
    </row>
    <row r="170">
      <c r="B170" s="1034" t="s">
        <v>956</v>
      </c>
      <c r="G170" s="712"/>
      <c r="H170" s="712"/>
      <c r="I170" s="712"/>
      <c r="J170" s="712"/>
      <c r="K170" s="712"/>
      <c r="L170" s="712"/>
      <c r="M170" s="712"/>
      <c r="N170" s="712"/>
      <c r="O170" s="712"/>
      <c r="P170" s="712"/>
      <c r="Q170" s="712"/>
      <c r="R170" s="712"/>
      <c r="S170" s="712"/>
      <c r="T170" s="712"/>
      <c r="U170" s="712"/>
      <c r="V170" s="712"/>
      <c r="W170" s="712"/>
      <c r="X170" s="712"/>
      <c r="Y170" s="712"/>
      <c r="Z170" s="712"/>
      <c r="AA170" s="712"/>
      <c r="AB170" s="712"/>
      <c r="AC170" s="712"/>
      <c r="AD170" s="712"/>
      <c r="AE170" s="712"/>
      <c r="AF170" s="712"/>
      <c r="AG170" s="712"/>
      <c r="AH170" s="712"/>
      <c r="AI170" s="712"/>
      <c r="AJ170" s="712"/>
      <c r="AK170" s="712"/>
      <c r="AL170" s="712"/>
      <c r="AM170" s="712"/>
      <c r="AN170" s="712"/>
      <c r="AO170" s="712"/>
    </row>
    <row r="171">
      <c r="B171" s="1034" t="s">
        <v>958</v>
      </c>
      <c r="G171" s="712"/>
      <c r="H171" s="712"/>
      <c r="I171" s="712"/>
      <c r="J171" s="712"/>
      <c r="K171" s="712"/>
      <c r="L171" s="712"/>
      <c r="M171" s="712"/>
      <c r="N171" s="712"/>
      <c r="O171" s="712"/>
      <c r="P171" s="712"/>
      <c r="Q171" s="712"/>
      <c r="R171" s="712"/>
      <c r="S171" s="712"/>
      <c r="T171" s="712"/>
      <c r="U171" s="712"/>
      <c r="V171" s="712"/>
      <c r="W171" s="712"/>
      <c r="X171" s="712"/>
      <c r="Y171" s="712"/>
      <c r="Z171" s="712"/>
      <c r="AA171" s="712"/>
      <c r="AB171" s="712"/>
      <c r="AC171" s="712"/>
      <c r="AD171" s="712"/>
      <c r="AE171" s="712"/>
      <c r="AF171" s="712"/>
      <c r="AG171" s="712"/>
      <c r="AH171" s="712"/>
      <c r="AI171" s="712"/>
      <c r="AJ171" s="712"/>
      <c r="AK171" s="712"/>
      <c r="AL171" s="712"/>
      <c r="AM171" s="712"/>
      <c r="AN171" s="712"/>
      <c r="AO171" s="712"/>
    </row>
    <row r="172">
      <c r="B172" s="1023" t="s">
        <v>959</v>
      </c>
      <c r="G172" s="712"/>
      <c r="H172" s="712"/>
      <c r="I172" s="712"/>
      <c r="J172" s="712"/>
      <c r="K172" s="712"/>
      <c r="L172" s="712"/>
      <c r="M172" s="712"/>
      <c r="N172" s="712"/>
      <c r="O172" s="712"/>
      <c r="P172" s="712"/>
      <c r="Q172" s="712"/>
      <c r="R172" s="712"/>
      <c r="S172" s="712"/>
      <c r="T172" s="712"/>
      <c r="U172" s="712"/>
      <c r="V172" s="712"/>
      <c r="W172" s="712"/>
      <c r="X172" s="712"/>
      <c r="Y172" s="712"/>
      <c r="Z172" s="712"/>
      <c r="AA172" s="712"/>
      <c r="AB172" s="712"/>
      <c r="AC172" s="712"/>
      <c r="AD172" s="712"/>
      <c r="AE172" s="712"/>
      <c r="AF172" s="712"/>
      <c r="AG172" s="712"/>
      <c r="AH172" s="712"/>
      <c r="AI172" s="712"/>
      <c r="AJ172" s="712"/>
      <c r="AK172" s="712"/>
      <c r="AL172" s="712"/>
      <c r="AM172" s="712"/>
      <c r="AN172" s="712"/>
      <c r="AO172" s="712"/>
    </row>
    <row r="173">
      <c r="B173" s="1023" t="s">
        <v>960</v>
      </c>
      <c r="G173" s="712"/>
      <c r="H173" s="712"/>
      <c r="I173" s="712"/>
      <c r="J173" s="712"/>
      <c r="K173" s="712"/>
      <c r="L173" s="712"/>
      <c r="M173" s="712"/>
      <c r="N173" s="712"/>
      <c r="O173" s="712"/>
      <c r="P173" s="712"/>
      <c r="Q173" s="712"/>
      <c r="R173" s="712"/>
      <c r="S173" s="712"/>
      <c r="T173" s="712"/>
      <c r="U173" s="712"/>
      <c r="V173" s="712"/>
      <c r="W173" s="712"/>
      <c r="X173" s="712"/>
      <c r="Y173" s="712"/>
      <c r="Z173" s="712"/>
      <c r="AA173" s="712"/>
      <c r="AB173" s="712"/>
      <c r="AC173" s="712"/>
      <c r="AD173" s="712"/>
      <c r="AE173" s="712"/>
      <c r="AF173" s="712"/>
      <c r="AG173" s="712"/>
      <c r="AH173" s="712"/>
      <c r="AI173" s="712"/>
      <c r="AJ173" s="712"/>
      <c r="AK173" s="712"/>
      <c r="AL173" s="712"/>
      <c r="AM173" s="712"/>
      <c r="AN173" s="712"/>
      <c r="AO173" s="712"/>
    </row>
    <row r="174">
      <c r="B174" s="1023" t="s">
        <v>961</v>
      </c>
      <c r="G174" s="712"/>
      <c r="H174" s="712"/>
      <c r="I174" s="712"/>
      <c r="J174" s="712"/>
      <c r="K174" s="712"/>
      <c r="L174" s="712"/>
      <c r="M174" s="712"/>
      <c r="N174" s="712"/>
      <c r="O174" s="712"/>
      <c r="P174" s="712"/>
      <c r="Q174" s="712"/>
      <c r="R174" s="712"/>
      <c r="S174" s="712"/>
      <c r="T174" s="712"/>
      <c r="U174" s="712"/>
      <c r="V174" s="712"/>
      <c r="W174" s="712"/>
      <c r="X174" s="712"/>
      <c r="Y174" s="712"/>
      <c r="Z174" s="712"/>
      <c r="AA174" s="712"/>
      <c r="AB174" s="712"/>
      <c r="AC174" s="712"/>
      <c r="AD174" s="712"/>
      <c r="AE174" s="712"/>
      <c r="AF174" s="712"/>
      <c r="AG174" s="712"/>
      <c r="AH174" s="712"/>
      <c r="AI174" s="712"/>
      <c r="AJ174" s="712"/>
      <c r="AK174" s="712"/>
      <c r="AL174" s="712"/>
      <c r="AM174" s="712"/>
      <c r="AN174" s="712"/>
      <c r="AO174" s="712"/>
    </row>
    <row r="175">
      <c r="A175" s="1019" t="s">
        <v>984</v>
      </c>
      <c r="B175" s="1020" t="s">
        <v>950</v>
      </c>
      <c r="G175" s="712"/>
      <c r="H175" s="712"/>
      <c r="I175" s="712"/>
      <c r="J175" s="712"/>
      <c r="K175" s="712"/>
      <c r="L175" s="712"/>
      <c r="M175" s="712"/>
      <c r="N175" s="712"/>
      <c r="O175" s="712"/>
      <c r="P175" s="712"/>
      <c r="Q175" s="712"/>
      <c r="R175" s="712"/>
      <c r="S175" s="712"/>
      <c r="T175" s="712"/>
      <c r="U175" s="712"/>
      <c r="V175" s="712"/>
      <c r="W175" s="712"/>
      <c r="X175" s="712"/>
      <c r="Y175" s="712"/>
      <c r="Z175" s="712"/>
      <c r="AA175" s="712"/>
      <c r="AB175" s="712"/>
      <c r="AC175" s="712"/>
      <c r="AD175" s="712"/>
      <c r="AE175" s="712"/>
      <c r="AF175" s="712"/>
      <c r="AG175" s="712"/>
      <c r="AH175" s="712"/>
      <c r="AI175" s="712"/>
      <c r="AJ175" s="712"/>
      <c r="AK175" s="712"/>
      <c r="AL175" s="712"/>
      <c r="AM175" s="712"/>
      <c r="AN175" s="712"/>
      <c r="AO175" s="712"/>
    </row>
    <row r="176">
      <c r="B176" s="1023" t="s">
        <v>952</v>
      </c>
      <c r="G176" s="712"/>
      <c r="H176" s="712"/>
      <c r="I176" s="712"/>
      <c r="J176" s="712"/>
      <c r="K176" s="712"/>
      <c r="L176" s="712"/>
      <c r="M176" s="712"/>
      <c r="N176" s="712"/>
      <c r="O176" s="712"/>
      <c r="P176" s="712"/>
      <c r="Q176" s="712"/>
      <c r="R176" s="712"/>
      <c r="S176" s="712"/>
      <c r="T176" s="712"/>
      <c r="U176" s="712"/>
      <c r="V176" s="712"/>
      <c r="W176" s="712"/>
      <c r="X176" s="712"/>
      <c r="Y176" s="712"/>
      <c r="Z176" s="712"/>
      <c r="AA176" s="712"/>
      <c r="AB176" s="712"/>
      <c r="AC176" s="712"/>
      <c r="AD176" s="712"/>
      <c r="AE176" s="712"/>
      <c r="AF176" s="712"/>
      <c r="AG176" s="712"/>
      <c r="AH176" s="712"/>
      <c r="AI176" s="712"/>
      <c r="AJ176" s="712"/>
      <c r="AK176" s="712"/>
      <c r="AL176" s="712"/>
      <c r="AM176" s="712"/>
      <c r="AN176" s="712"/>
      <c r="AO176" s="712"/>
    </row>
    <row r="177">
      <c r="B177" s="1023" t="s">
        <v>953</v>
      </c>
      <c r="G177" s="712"/>
      <c r="H177" s="712"/>
      <c r="I177" s="712"/>
      <c r="J177" s="712"/>
      <c r="K177" s="712"/>
      <c r="L177" s="712"/>
      <c r="M177" s="712"/>
      <c r="N177" s="712"/>
      <c r="O177" s="712"/>
      <c r="P177" s="712"/>
      <c r="Q177" s="712"/>
      <c r="R177" s="712"/>
      <c r="S177" s="712"/>
      <c r="T177" s="712"/>
      <c r="U177" s="712"/>
      <c r="V177" s="712"/>
      <c r="W177" s="712"/>
      <c r="X177" s="712"/>
      <c r="Y177" s="712"/>
      <c r="Z177" s="712"/>
      <c r="AA177" s="712"/>
      <c r="AB177" s="712"/>
      <c r="AC177" s="712"/>
      <c r="AD177" s="712"/>
      <c r="AE177" s="712"/>
      <c r="AF177" s="712"/>
      <c r="AG177" s="712"/>
      <c r="AH177" s="712"/>
      <c r="AI177" s="712"/>
      <c r="AJ177" s="712"/>
      <c r="AK177" s="712"/>
      <c r="AL177" s="712"/>
      <c r="AM177" s="712"/>
      <c r="AN177" s="712"/>
      <c r="AO177" s="712"/>
    </row>
    <row r="178">
      <c r="B178" s="1023" t="s">
        <v>954</v>
      </c>
      <c r="G178" s="712"/>
      <c r="H178" s="712"/>
      <c r="I178" s="712"/>
      <c r="J178" s="712"/>
      <c r="K178" s="712"/>
      <c r="L178" s="712"/>
      <c r="M178" s="712"/>
      <c r="N178" s="712"/>
      <c r="O178" s="712"/>
      <c r="P178" s="712"/>
      <c r="Q178" s="712"/>
      <c r="R178" s="712"/>
      <c r="S178" s="712"/>
      <c r="T178" s="712"/>
      <c r="U178" s="712"/>
      <c r="V178" s="712"/>
      <c r="W178" s="712"/>
      <c r="X178" s="712"/>
      <c r="Y178" s="712"/>
      <c r="Z178" s="712"/>
      <c r="AA178" s="712"/>
      <c r="AB178" s="712"/>
      <c r="AC178" s="712"/>
      <c r="AD178" s="712"/>
      <c r="AE178" s="712"/>
      <c r="AF178" s="712"/>
      <c r="AG178" s="712"/>
      <c r="AH178" s="712"/>
      <c r="AI178" s="712"/>
      <c r="AJ178" s="712"/>
      <c r="AK178" s="712"/>
      <c r="AL178" s="712"/>
      <c r="AM178" s="712"/>
      <c r="AN178" s="712"/>
      <c r="AO178" s="712"/>
    </row>
    <row r="179">
      <c r="B179" s="1034" t="s">
        <v>956</v>
      </c>
      <c r="G179" s="712"/>
      <c r="H179" s="712"/>
      <c r="I179" s="712"/>
      <c r="J179" s="712"/>
      <c r="K179" s="712"/>
      <c r="L179" s="712"/>
      <c r="M179" s="712"/>
      <c r="N179" s="712"/>
      <c r="O179" s="712"/>
      <c r="P179" s="712"/>
      <c r="Q179" s="712"/>
      <c r="R179" s="712"/>
      <c r="S179" s="712"/>
      <c r="T179" s="712"/>
      <c r="U179" s="712"/>
      <c r="V179" s="712"/>
      <c r="W179" s="712"/>
      <c r="X179" s="712"/>
      <c r="Y179" s="712"/>
      <c r="Z179" s="712"/>
      <c r="AA179" s="712"/>
      <c r="AB179" s="712"/>
      <c r="AC179" s="712"/>
      <c r="AD179" s="712"/>
      <c r="AE179" s="712"/>
      <c r="AF179" s="712"/>
      <c r="AG179" s="712"/>
      <c r="AH179" s="712"/>
      <c r="AI179" s="712"/>
      <c r="AJ179" s="712"/>
      <c r="AK179" s="712"/>
      <c r="AL179" s="712"/>
      <c r="AM179" s="712"/>
      <c r="AN179" s="712"/>
      <c r="AO179" s="712"/>
    </row>
    <row r="180">
      <c r="B180" s="1034" t="s">
        <v>958</v>
      </c>
      <c r="G180" s="712"/>
      <c r="H180" s="712"/>
      <c r="I180" s="712"/>
      <c r="J180" s="712"/>
      <c r="K180" s="712"/>
      <c r="L180" s="712"/>
      <c r="M180" s="712"/>
      <c r="N180" s="712"/>
      <c r="O180" s="712"/>
      <c r="P180" s="712"/>
      <c r="Q180" s="712"/>
      <c r="R180" s="712"/>
      <c r="S180" s="712"/>
      <c r="T180" s="712"/>
      <c r="U180" s="712"/>
      <c r="V180" s="712"/>
      <c r="W180" s="712"/>
      <c r="X180" s="712"/>
      <c r="Y180" s="712"/>
      <c r="Z180" s="712"/>
      <c r="AA180" s="712"/>
      <c r="AB180" s="712"/>
      <c r="AC180" s="712"/>
      <c r="AD180" s="712"/>
      <c r="AE180" s="712"/>
      <c r="AF180" s="712"/>
      <c r="AG180" s="712"/>
      <c r="AH180" s="712"/>
      <c r="AI180" s="712"/>
      <c r="AJ180" s="712"/>
      <c r="AK180" s="712"/>
      <c r="AL180" s="712"/>
      <c r="AM180" s="712"/>
      <c r="AN180" s="712"/>
      <c r="AO180" s="712"/>
    </row>
    <row r="181">
      <c r="B181" s="1023" t="s">
        <v>959</v>
      </c>
      <c r="G181" s="712"/>
      <c r="H181" s="712"/>
      <c r="I181" s="712"/>
      <c r="J181" s="712"/>
      <c r="K181" s="712"/>
      <c r="L181" s="712"/>
      <c r="M181" s="712"/>
      <c r="N181" s="712"/>
      <c r="O181" s="712"/>
      <c r="P181" s="712"/>
      <c r="Q181" s="712"/>
      <c r="R181" s="712"/>
      <c r="S181" s="712"/>
      <c r="T181" s="712"/>
      <c r="U181" s="712"/>
      <c r="V181" s="712"/>
      <c r="W181" s="712"/>
      <c r="X181" s="712"/>
      <c r="Y181" s="712"/>
      <c r="Z181" s="712"/>
      <c r="AA181" s="712"/>
      <c r="AB181" s="712"/>
      <c r="AC181" s="712"/>
      <c r="AD181" s="712"/>
      <c r="AE181" s="712"/>
      <c r="AF181" s="712"/>
      <c r="AG181" s="712"/>
      <c r="AH181" s="712"/>
      <c r="AI181" s="712"/>
      <c r="AJ181" s="712"/>
      <c r="AK181" s="712"/>
      <c r="AL181" s="712"/>
      <c r="AM181" s="712"/>
      <c r="AN181" s="712"/>
      <c r="AO181" s="712"/>
    </row>
    <row r="182">
      <c r="B182" s="1023" t="s">
        <v>960</v>
      </c>
      <c r="G182" s="712"/>
      <c r="H182" s="712"/>
      <c r="I182" s="712"/>
      <c r="J182" s="712"/>
      <c r="K182" s="712"/>
      <c r="L182" s="712"/>
      <c r="M182" s="712"/>
      <c r="N182" s="712"/>
      <c r="O182" s="712"/>
      <c r="P182" s="712"/>
      <c r="Q182" s="712"/>
      <c r="R182" s="712"/>
      <c r="S182" s="712"/>
      <c r="T182" s="712"/>
      <c r="U182" s="712"/>
      <c r="V182" s="712"/>
      <c r="W182" s="712"/>
      <c r="X182" s="712"/>
      <c r="Y182" s="712"/>
      <c r="Z182" s="712"/>
      <c r="AA182" s="712"/>
      <c r="AB182" s="712"/>
      <c r="AC182" s="712"/>
      <c r="AD182" s="712"/>
      <c r="AE182" s="712"/>
      <c r="AF182" s="712"/>
      <c r="AG182" s="712"/>
      <c r="AH182" s="712"/>
      <c r="AI182" s="712"/>
      <c r="AJ182" s="712"/>
      <c r="AK182" s="712"/>
      <c r="AL182" s="712"/>
      <c r="AM182" s="712"/>
      <c r="AN182" s="712"/>
      <c r="AO182" s="712"/>
    </row>
    <row r="183">
      <c r="B183" s="1023" t="s">
        <v>961</v>
      </c>
      <c r="G183" s="712"/>
      <c r="H183" s="712"/>
      <c r="I183" s="712"/>
      <c r="J183" s="712"/>
      <c r="K183" s="712"/>
      <c r="L183" s="712"/>
      <c r="M183" s="712"/>
      <c r="N183" s="712"/>
      <c r="O183" s="712"/>
      <c r="P183" s="712"/>
      <c r="Q183" s="712"/>
      <c r="R183" s="712"/>
      <c r="S183" s="712"/>
      <c r="T183" s="712"/>
      <c r="U183" s="712"/>
      <c r="V183" s="712"/>
      <c r="W183" s="712"/>
      <c r="X183" s="712"/>
      <c r="Y183" s="712"/>
      <c r="Z183" s="712"/>
      <c r="AA183" s="712"/>
      <c r="AB183" s="712"/>
      <c r="AC183" s="712"/>
      <c r="AD183" s="712"/>
      <c r="AE183" s="712"/>
      <c r="AF183" s="712"/>
      <c r="AG183" s="712"/>
      <c r="AH183" s="712"/>
      <c r="AI183" s="712"/>
      <c r="AJ183" s="712"/>
      <c r="AK183" s="712"/>
      <c r="AL183" s="712"/>
      <c r="AM183" s="712"/>
      <c r="AN183" s="712"/>
      <c r="AO183" s="712"/>
    </row>
    <row r="184">
      <c r="A184" s="1019" t="s">
        <v>988</v>
      </c>
      <c r="B184" s="1020" t="s">
        <v>950</v>
      </c>
      <c r="G184" s="712"/>
      <c r="H184" s="712"/>
      <c r="I184" s="712"/>
      <c r="J184" s="712"/>
      <c r="K184" s="712"/>
      <c r="L184" s="712"/>
      <c r="M184" s="712"/>
      <c r="N184" s="712"/>
      <c r="O184" s="712"/>
      <c r="P184" s="712"/>
      <c r="Q184" s="712"/>
      <c r="R184" s="712"/>
      <c r="S184" s="712"/>
      <c r="T184" s="712"/>
      <c r="U184" s="712"/>
      <c r="V184" s="712"/>
      <c r="W184" s="712"/>
      <c r="X184" s="712"/>
      <c r="Y184" s="712"/>
      <c r="Z184" s="712"/>
      <c r="AA184" s="712"/>
      <c r="AB184" s="712"/>
      <c r="AC184" s="712"/>
      <c r="AD184" s="712"/>
      <c r="AE184" s="712"/>
      <c r="AF184" s="712"/>
      <c r="AG184" s="712"/>
      <c r="AH184" s="712"/>
      <c r="AI184" s="712"/>
      <c r="AJ184" s="712"/>
      <c r="AK184" s="712"/>
      <c r="AL184" s="712"/>
      <c r="AM184" s="712"/>
      <c r="AN184" s="712"/>
      <c r="AO184" s="712"/>
    </row>
    <row r="185">
      <c r="B185" s="1023" t="s">
        <v>952</v>
      </c>
      <c r="G185" s="712"/>
      <c r="H185" s="712"/>
      <c r="I185" s="712"/>
      <c r="J185" s="712"/>
      <c r="K185" s="712"/>
      <c r="L185" s="712"/>
      <c r="M185" s="712"/>
      <c r="N185" s="712"/>
      <c r="O185" s="712"/>
      <c r="P185" s="712"/>
      <c r="Q185" s="712"/>
      <c r="R185" s="712"/>
      <c r="S185" s="712"/>
      <c r="T185" s="712"/>
      <c r="U185" s="712"/>
      <c r="V185" s="712"/>
      <c r="W185" s="712"/>
      <c r="X185" s="712"/>
      <c r="Y185" s="712"/>
      <c r="Z185" s="712"/>
      <c r="AA185" s="712"/>
      <c r="AB185" s="712"/>
      <c r="AC185" s="712"/>
      <c r="AD185" s="712"/>
      <c r="AE185" s="712"/>
      <c r="AF185" s="712"/>
      <c r="AG185" s="712"/>
      <c r="AH185" s="712"/>
      <c r="AI185" s="712"/>
      <c r="AJ185" s="712"/>
      <c r="AK185" s="712"/>
      <c r="AL185" s="712"/>
      <c r="AM185" s="712"/>
      <c r="AN185" s="712"/>
      <c r="AO185" s="712"/>
    </row>
    <row r="186">
      <c r="B186" s="1023" t="s">
        <v>953</v>
      </c>
      <c r="G186" s="712"/>
      <c r="H186" s="712"/>
      <c r="I186" s="712"/>
      <c r="J186" s="712"/>
      <c r="K186" s="712"/>
      <c r="L186" s="712"/>
      <c r="M186" s="712"/>
      <c r="N186" s="712"/>
      <c r="O186" s="712"/>
      <c r="P186" s="712"/>
      <c r="Q186" s="712"/>
      <c r="R186" s="712"/>
      <c r="S186" s="712"/>
      <c r="T186" s="712"/>
      <c r="U186" s="712"/>
      <c r="V186" s="712"/>
      <c r="W186" s="712"/>
      <c r="X186" s="712"/>
      <c r="Y186" s="712"/>
      <c r="Z186" s="712"/>
      <c r="AA186" s="712"/>
      <c r="AB186" s="712"/>
      <c r="AC186" s="712"/>
      <c r="AD186" s="712"/>
      <c r="AE186" s="712"/>
      <c r="AF186" s="712"/>
      <c r="AG186" s="712"/>
      <c r="AH186" s="712"/>
      <c r="AI186" s="712"/>
      <c r="AJ186" s="712"/>
      <c r="AK186" s="712"/>
      <c r="AL186" s="712"/>
      <c r="AM186" s="712"/>
      <c r="AN186" s="712"/>
      <c r="AO186" s="712"/>
    </row>
    <row r="187">
      <c r="B187" s="1023" t="s">
        <v>954</v>
      </c>
      <c r="G187" s="712"/>
      <c r="H187" s="712"/>
      <c r="I187" s="712"/>
      <c r="J187" s="712"/>
      <c r="K187" s="712"/>
      <c r="L187" s="712"/>
      <c r="M187" s="712"/>
      <c r="N187" s="712"/>
      <c r="O187" s="712"/>
      <c r="P187" s="712"/>
      <c r="Q187" s="712"/>
      <c r="R187" s="712"/>
      <c r="S187" s="712"/>
      <c r="T187" s="712"/>
      <c r="U187" s="712"/>
      <c r="V187" s="712"/>
      <c r="W187" s="712"/>
      <c r="X187" s="712"/>
      <c r="Y187" s="712"/>
      <c r="Z187" s="712"/>
      <c r="AA187" s="712"/>
      <c r="AB187" s="712"/>
      <c r="AC187" s="712"/>
      <c r="AD187" s="712"/>
      <c r="AE187" s="712"/>
      <c r="AF187" s="712"/>
      <c r="AG187" s="712"/>
      <c r="AH187" s="712"/>
      <c r="AI187" s="712"/>
      <c r="AJ187" s="712"/>
      <c r="AK187" s="712"/>
      <c r="AL187" s="712"/>
      <c r="AM187" s="712"/>
      <c r="AN187" s="712"/>
      <c r="AO187" s="712"/>
    </row>
    <row r="188">
      <c r="B188" s="1034" t="s">
        <v>956</v>
      </c>
      <c r="G188" s="712"/>
      <c r="H188" s="712"/>
      <c r="I188" s="712"/>
      <c r="J188" s="712"/>
      <c r="K188" s="712"/>
      <c r="L188" s="712"/>
      <c r="M188" s="712"/>
      <c r="N188" s="712"/>
      <c r="O188" s="712"/>
      <c r="P188" s="712"/>
      <c r="Q188" s="712"/>
      <c r="R188" s="712"/>
      <c r="S188" s="712"/>
      <c r="T188" s="712"/>
      <c r="U188" s="712"/>
      <c r="V188" s="712"/>
      <c r="W188" s="712"/>
      <c r="X188" s="712"/>
      <c r="Y188" s="712"/>
      <c r="Z188" s="712"/>
      <c r="AA188" s="712"/>
      <c r="AB188" s="712"/>
      <c r="AC188" s="712"/>
      <c r="AD188" s="712"/>
      <c r="AE188" s="712"/>
      <c r="AF188" s="712"/>
      <c r="AG188" s="712"/>
      <c r="AH188" s="712"/>
      <c r="AI188" s="712"/>
      <c r="AJ188" s="712"/>
      <c r="AK188" s="712"/>
      <c r="AL188" s="712"/>
      <c r="AM188" s="712"/>
      <c r="AN188" s="712"/>
      <c r="AO188" s="712"/>
    </row>
    <row r="189">
      <c r="B189" s="1034" t="s">
        <v>958</v>
      </c>
      <c r="G189" s="712"/>
      <c r="H189" s="712"/>
      <c r="I189" s="712"/>
      <c r="J189" s="712"/>
      <c r="K189" s="712"/>
      <c r="L189" s="712"/>
      <c r="M189" s="712"/>
      <c r="N189" s="712"/>
      <c r="O189" s="712"/>
      <c r="P189" s="712"/>
      <c r="Q189" s="712"/>
      <c r="R189" s="712"/>
      <c r="S189" s="712"/>
      <c r="T189" s="712"/>
      <c r="U189" s="712"/>
      <c r="V189" s="712"/>
      <c r="W189" s="712"/>
      <c r="X189" s="712"/>
      <c r="Y189" s="712"/>
      <c r="Z189" s="712"/>
      <c r="AA189" s="712"/>
      <c r="AB189" s="712"/>
      <c r="AC189" s="712"/>
      <c r="AD189" s="712"/>
      <c r="AE189" s="712"/>
      <c r="AF189" s="712"/>
      <c r="AG189" s="712"/>
      <c r="AH189" s="712"/>
      <c r="AI189" s="712"/>
      <c r="AJ189" s="712"/>
      <c r="AK189" s="712"/>
      <c r="AL189" s="712"/>
      <c r="AM189" s="712"/>
      <c r="AN189" s="712"/>
      <c r="AO189" s="712"/>
    </row>
    <row r="190">
      <c r="B190" s="1023" t="s">
        <v>959</v>
      </c>
      <c r="G190" s="712"/>
      <c r="H190" s="712"/>
      <c r="I190" s="712"/>
      <c r="J190" s="712"/>
      <c r="K190" s="712"/>
      <c r="L190" s="712"/>
      <c r="M190" s="712"/>
      <c r="N190" s="712"/>
      <c r="O190" s="712"/>
      <c r="P190" s="712"/>
      <c r="Q190" s="712"/>
      <c r="R190" s="712"/>
      <c r="S190" s="712"/>
      <c r="T190" s="712"/>
      <c r="U190" s="712"/>
      <c r="V190" s="712"/>
      <c r="W190" s="712"/>
      <c r="X190" s="712"/>
      <c r="Y190" s="712"/>
      <c r="Z190" s="712"/>
      <c r="AA190" s="712"/>
      <c r="AB190" s="712"/>
      <c r="AC190" s="712"/>
      <c r="AD190" s="712"/>
      <c r="AE190" s="712"/>
      <c r="AF190" s="712"/>
      <c r="AG190" s="712"/>
      <c r="AH190" s="712"/>
      <c r="AI190" s="712"/>
      <c r="AJ190" s="712"/>
      <c r="AK190" s="712"/>
      <c r="AL190" s="712"/>
      <c r="AM190" s="712"/>
      <c r="AN190" s="712"/>
      <c r="AO190" s="712"/>
    </row>
    <row r="191">
      <c r="B191" s="1023" t="s">
        <v>960</v>
      </c>
      <c r="G191" s="712"/>
      <c r="H191" s="712"/>
      <c r="I191" s="712"/>
      <c r="J191" s="712"/>
      <c r="K191" s="712"/>
      <c r="L191" s="712"/>
      <c r="M191" s="712"/>
      <c r="N191" s="712"/>
      <c r="O191" s="712"/>
      <c r="P191" s="712"/>
      <c r="Q191" s="712"/>
      <c r="R191" s="712"/>
      <c r="S191" s="712"/>
      <c r="T191" s="712"/>
      <c r="U191" s="712"/>
      <c r="V191" s="712"/>
      <c r="W191" s="712"/>
      <c r="X191" s="712"/>
      <c r="Y191" s="712"/>
      <c r="Z191" s="712"/>
      <c r="AA191" s="712"/>
      <c r="AB191" s="712"/>
      <c r="AC191" s="712"/>
      <c r="AD191" s="712"/>
      <c r="AE191" s="712"/>
      <c r="AF191" s="712"/>
      <c r="AG191" s="712"/>
      <c r="AH191" s="712"/>
      <c r="AI191" s="712"/>
      <c r="AJ191" s="712"/>
      <c r="AK191" s="712"/>
      <c r="AL191" s="712"/>
      <c r="AM191" s="712"/>
      <c r="AN191" s="712"/>
      <c r="AO191" s="712"/>
    </row>
    <row r="192">
      <c r="B192" s="1023" t="s">
        <v>961</v>
      </c>
      <c r="G192" s="712"/>
      <c r="H192" s="712"/>
      <c r="I192" s="712"/>
      <c r="J192" s="712"/>
      <c r="K192" s="712"/>
      <c r="L192" s="712"/>
      <c r="M192" s="712"/>
      <c r="N192" s="712"/>
      <c r="O192" s="712"/>
      <c r="P192" s="712"/>
      <c r="Q192" s="712"/>
      <c r="R192" s="712"/>
      <c r="S192" s="712"/>
      <c r="T192" s="712"/>
      <c r="U192" s="712"/>
      <c r="V192" s="712"/>
      <c r="W192" s="712"/>
      <c r="X192" s="712"/>
      <c r="Y192" s="712"/>
      <c r="Z192" s="712"/>
      <c r="AA192" s="712"/>
      <c r="AB192" s="712"/>
      <c r="AC192" s="712"/>
      <c r="AD192" s="712"/>
      <c r="AE192" s="712"/>
      <c r="AF192" s="712"/>
      <c r="AG192" s="712"/>
      <c r="AH192" s="712"/>
      <c r="AI192" s="712"/>
      <c r="AJ192" s="712"/>
      <c r="AK192" s="712"/>
      <c r="AL192" s="712"/>
      <c r="AM192" s="712"/>
      <c r="AN192" s="712"/>
      <c r="AO192" s="712"/>
    </row>
    <row r="193">
      <c r="A193" s="1019" t="s">
        <v>990</v>
      </c>
      <c r="B193" s="1020" t="s">
        <v>950</v>
      </c>
      <c r="G193" s="712"/>
      <c r="H193" s="712"/>
      <c r="I193" s="712"/>
      <c r="J193" s="712"/>
      <c r="K193" s="712"/>
      <c r="L193" s="712"/>
      <c r="M193" s="712"/>
      <c r="N193" s="712"/>
      <c r="O193" s="712"/>
      <c r="P193" s="712"/>
      <c r="Q193" s="712"/>
      <c r="R193" s="712"/>
      <c r="S193" s="712"/>
      <c r="T193" s="712"/>
      <c r="U193" s="712"/>
      <c r="V193" s="712"/>
      <c r="W193" s="712"/>
      <c r="X193" s="712"/>
      <c r="Y193" s="712"/>
      <c r="Z193" s="712"/>
      <c r="AA193" s="712"/>
      <c r="AB193" s="712"/>
      <c r="AC193" s="712"/>
      <c r="AD193" s="712"/>
      <c r="AE193" s="712"/>
      <c r="AF193" s="712"/>
      <c r="AG193" s="712"/>
      <c r="AH193" s="712"/>
      <c r="AI193" s="712"/>
      <c r="AJ193" s="712"/>
      <c r="AK193" s="712"/>
      <c r="AL193" s="712"/>
      <c r="AM193" s="712"/>
      <c r="AN193" s="712"/>
      <c r="AO193" s="712"/>
    </row>
    <row r="194">
      <c r="B194" s="1023" t="s">
        <v>952</v>
      </c>
      <c r="G194" s="712"/>
      <c r="H194" s="712"/>
      <c r="I194" s="712"/>
      <c r="J194" s="712"/>
      <c r="K194" s="712"/>
      <c r="L194" s="712"/>
      <c r="M194" s="712"/>
      <c r="N194" s="712"/>
      <c r="O194" s="712"/>
      <c r="P194" s="712"/>
      <c r="Q194" s="712"/>
      <c r="R194" s="712"/>
      <c r="S194" s="712"/>
      <c r="T194" s="712"/>
      <c r="U194" s="712"/>
      <c r="V194" s="712"/>
      <c r="W194" s="712"/>
      <c r="X194" s="712"/>
      <c r="Y194" s="712"/>
      <c r="Z194" s="712"/>
      <c r="AA194" s="712"/>
      <c r="AB194" s="712"/>
      <c r="AC194" s="712"/>
      <c r="AD194" s="712"/>
      <c r="AE194" s="712"/>
      <c r="AF194" s="712"/>
      <c r="AG194" s="712"/>
      <c r="AH194" s="712"/>
      <c r="AI194" s="712"/>
      <c r="AJ194" s="712"/>
      <c r="AK194" s="712"/>
      <c r="AL194" s="712"/>
      <c r="AM194" s="712"/>
      <c r="AN194" s="712"/>
      <c r="AO194" s="712"/>
    </row>
    <row r="195">
      <c r="B195" s="1023" t="s">
        <v>953</v>
      </c>
      <c r="G195" s="712"/>
      <c r="H195" s="712"/>
      <c r="I195" s="712"/>
      <c r="J195" s="712"/>
      <c r="K195" s="712"/>
      <c r="L195" s="712"/>
      <c r="M195" s="712"/>
      <c r="N195" s="712"/>
      <c r="O195" s="712"/>
      <c r="P195" s="712"/>
      <c r="Q195" s="712"/>
      <c r="R195" s="712"/>
      <c r="S195" s="712"/>
      <c r="T195" s="712"/>
      <c r="U195" s="712"/>
      <c r="V195" s="712"/>
      <c r="W195" s="712"/>
      <c r="X195" s="712"/>
      <c r="Y195" s="712"/>
      <c r="Z195" s="712"/>
      <c r="AA195" s="712"/>
      <c r="AB195" s="712"/>
      <c r="AC195" s="712"/>
      <c r="AD195" s="712"/>
      <c r="AE195" s="712"/>
      <c r="AF195" s="712"/>
      <c r="AG195" s="712"/>
      <c r="AH195" s="712"/>
      <c r="AI195" s="712"/>
      <c r="AJ195" s="712"/>
      <c r="AK195" s="712"/>
      <c r="AL195" s="712"/>
      <c r="AM195" s="712"/>
      <c r="AN195" s="712"/>
      <c r="AO195" s="712"/>
    </row>
    <row r="196">
      <c r="B196" s="1023" t="s">
        <v>954</v>
      </c>
      <c r="G196" s="712"/>
      <c r="H196" s="712"/>
      <c r="I196" s="712"/>
      <c r="J196" s="712"/>
      <c r="K196" s="712"/>
      <c r="L196" s="712"/>
      <c r="M196" s="712"/>
      <c r="N196" s="712"/>
      <c r="O196" s="712"/>
      <c r="P196" s="712"/>
      <c r="Q196" s="712"/>
      <c r="R196" s="712"/>
      <c r="S196" s="712"/>
      <c r="T196" s="712"/>
      <c r="U196" s="712"/>
      <c r="V196" s="712"/>
      <c r="W196" s="712"/>
      <c r="X196" s="712"/>
      <c r="Y196" s="712"/>
      <c r="Z196" s="712"/>
      <c r="AA196" s="712"/>
      <c r="AB196" s="712"/>
      <c r="AC196" s="712"/>
      <c r="AD196" s="712"/>
      <c r="AE196" s="712"/>
      <c r="AF196" s="712"/>
      <c r="AG196" s="712"/>
      <c r="AH196" s="712"/>
      <c r="AI196" s="712"/>
      <c r="AJ196" s="712"/>
      <c r="AK196" s="712"/>
      <c r="AL196" s="712"/>
      <c r="AM196" s="712"/>
      <c r="AN196" s="712"/>
      <c r="AO196" s="712"/>
    </row>
    <row r="197">
      <c r="B197" s="1034" t="s">
        <v>956</v>
      </c>
      <c r="G197" s="712"/>
      <c r="H197" s="712"/>
      <c r="I197" s="712"/>
      <c r="J197" s="712"/>
      <c r="K197" s="712"/>
      <c r="L197" s="712"/>
      <c r="M197" s="712"/>
      <c r="N197" s="712"/>
      <c r="O197" s="712"/>
      <c r="P197" s="712"/>
      <c r="Q197" s="712"/>
      <c r="R197" s="712"/>
      <c r="S197" s="712"/>
      <c r="T197" s="712"/>
      <c r="U197" s="712"/>
      <c r="V197" s="712"/>
      <c r="W197" s="712"/>
      <c r="X197" s="712"/>
      <c r="Y197" s="712"/>
      <c r="Z197" s="712"/>
      <c r="AA197" s="712"/>
      <c r="AB197" s="712"/>
      <c r="AC197" s="712"/>
      <c r="AD197" s="712"/>
      <c r="AE197" s="712"/>
      <c r="AF197" s="712"/>
      <c r="AG197" s="712"/>
      <c r="AH197" s="712"/>
      <c r="AI197" s="712"/>
      <c r="AJ197" s="712"/>
      <c r="AK197" s="712"/>
      <c r="AL197" s="712"/>
      <c r="AM197" s="712"/>
      <c r="AN197" s="712"/>
      <c r="AO197" s="712"/>
    </row>
    <row r="198">
      <c r="B198" s="1034" t="s">
        <v>958</v>
      </c>
      <c r="G198" s="712"/>
      <c r="H198" s="712"/>
      <c r="I198" s="712"/>
      <c r="J198" s="712"/>
      <c r="K198" s="712"/>
      <c r="L198" s="712"/>
      <c r="M198" s="712"/>
      <c r="N198" s="712"/>
      <c r="O198" s="712"/>
      <c r="P198" s="712"/>
      <c r="Q198" s="712"/>
      <c r="R198" s="712"/>
      <c r="S198" s="712"/>
      <c r="T198" s="712"/>
      <c r="U198" s="712"/>
      <c r="V198" s="712"/>
      <c r="W198" s="712"/>
      <c r="X198" s="712"/>
      <c r="Y198" s="712"/>
      <c r="Z198" s="712"/>
      <c r="AA198" s="712"/>
      <c r="AB198" s="712"/>
      <c r="AC198" s="712"/>
      <c r="AD198" s="712"/>
      <c r="AE198" s="712"/>
      <c r="AF198" s="712"/>
      <c r="AG198" s="712"/>
      <c r="AH198" s="712"/>
      <c r="AI198" s="712"/>
      <c r="AJ198" s="712"/>
      <c r="AK198" s="712"/>
      <c r="AL198" s="712"/>
      <c r="AM198" s="712"/>
      <c r="AN198" s="712"/>
      <c r="AO198" s="712"/>
    </row>
    <row r="199">
      <c r="B199" s="1023" t="s">
        <v>959</v>
      </c>
      <c r="G199" s="712"/>
      <c r="H199" s="712"/>
      <c r="I199" s="712"/>
      <c r="J199" s="712"/>
      <c r="K199" s="712"/>
      <c r="L199" s="712"/>
      <c r="M199" s="712"/>
      <c r="N199" s="712"/>
      <c r="O199" s="712"/>
      <c r="P199" s="712"/>
      <c r="Q199" s="712"/>
      <c r="R199" s="712"/>
      <c r="S199" s="712"/>
      <c r="T199" s="712"/>
      <c r="U199" s="712"/>
      <c r="V199" s="712"/>
      <c r="W199" s="712"/>
      <c r="X199" s="712"/>
      <c r="Y199" s="712"/>
      <c r="Z199" s="712"/>
      <c r="AA199" s="712"/>
      <c r="AB199" s="712"/>
      <c r="AC199" s="712"/>
      <c r="AD199" s="712"/>
      <c r="AE199" s="712"/>
      <c r="AF199" s="712"/>
      <c r="AG199" s="712"/>
      <c r="AH199" s="712"/>
      <c r="AI199" s="712"/>
      <c r="AJ199" s="712"/>
      <c r="AK199" s="712"/>
      <c r="AL199" s="712"/>
      <c r="AM199" s="712"/>
      <c r="AN199" s="712"/>
      <c r="AO199" s="712"/>
    </row>
    <row r="200">
      <c r="B200" s="1023" t="s">
        <v>960</v>
      </c>
      <c r="G200" s="712"/>
      <c r="H200" s="712"/>
      <c r="I200" s="712"/>
      <c r="J200" s="712"/>
      <c r="K200" s="712"/>
      <c r="L200" s="712"/>
      <c r="M200" s="712"/>
      <c r="N200" s="712"/>
      <c r="O200" s="712"/>
      <c r="P200" s="712"/>
      <c r="Q200" s="712"/>
      <c r="R200" s="712"/>
      <c r="S200" s="712"/>
      <c r="T200" s="712"/>
      <c r="U200" s="712"/>
      <c r="V200" s="712"/>
      <c r="W200" s="712"/>
      <c r="X200" s="712"/>
      <c r="Y200" s="712"/>
      <c r="Z200" s="712"/>
      <c r="AA200" s="712"/>
      <c r="AB200" s="712"/>
      <c r="AC200" s="712"/>
      <c r="AD200" s="712"/>
      <c r="AE200" s="712"/>
      <c r="AF200" s="712"/>
      <c r="AG200" s="712"/>
      <c r="AH200" s="712"/>
      <c r="AI200" s="712"/>
      <c r="AJ200" s="712"/>
      <c r="AK200" s="712"/>
      <c r="AL200" s="712"/>
      <c r="AM200" s="712"/>
      <c r="AN200" s="712"/>
      <c r="AO200" s="712"/>
    </row>
    <row r="201">
      <c r="B201" s="1023" t="s">
        <v>961</v>
      </c>
      <c r="G201" s="712"/>
      <c r="H201" s="712"/>
      <c r="I201" s="712"/>
      <c r="J201" s="712"/>
      <c r="K201" s="712"/>
      <c r="L201" s="712"/>
      <c r="M201" s="712"/>
      <c r="N201" s="712"/>
      <c r="O201" s="712"/>
      <c r="P201" s="712"/>
      <c r="Q201" s="712"/>
      <c r="R201" s="712"/>
      <c r="S201" s="712"/>
      <c r="T201" s="712"/>
      <c r="U201" s="712"/>
      <c r="V201" s="712"/>
      <c r="W201" s="712"/>
      <c r="X201" s="712"/>
      <c r="Y201" s="712"/>
      <c r="Z201" s="712"/>
      <c r="AA201" s="712"/>
      <c r="AB201" s="712"/>
      <c r="AC201" s="712"/>
      <c r="AD201" s="712"/>
      <c r="AE201" s="712"/>
      <c r="AF201" s="712"/>
      <c r="AG201" s="712"/>
      <c r="AH201" s="712"/>
      <c r="AI201" s="712"/>
      <c r="AJ201" s="712"/>
      <c r="AK201" s="712"/>
      <c r="AL201" s="712"/>
      <c r="AM201" s="712"/>
      <c r="AN201" s="712"/>
      <c r="AO201" s="712"/>
    </row>
    <row r="202">
      <c r="A202" s="1019" t="s">
        <v>992</v>
      </c>
      <c r="B202" s="1020" t="s">
        <v>950</v>
      </c>
      <c r="G202" s="712"/>
      <c r="H202" s="712"/>
      <c r="I202" s="712"/>
      <c r="J202" s="712"/>
      <c r="K202" s="712"/>
      <c r="L202" s="712"/>
      <c r="M202" s="712"/>
      <c r="N202" s="712"/>
      <c r="O202" s="712"/>
      <c r="P202" s="712"/>
      <c r="Q202" s="712"/>
      <c r="R202" s="712"/>
      <c r="S202" s="712"/>
      <c r="T202" s="712"/>
      <c r="U202" s="712"/>
      <c r="V202" s="712"/>
      <c r="W202" s="712"/>
      <c r="X202" s="712"/>
      <c r="Y202" s="712"/>
      <c r="Z202" s="712"/>
      <c r="AA202" s="712"/>
      <c r="AB202" s="712"/>
      <c r="AC202" s="712"/>
      <c r="AD202" s="712"/>
      <c r="AE202" s="712"/>
      <c r="AF202" s="712"/>
      <c r="AG202" s="712"/>
      <c r="AH202" s="712"/>
      <c r="AI202" s="712"/>
      <c r="AJ202" s="712"/>
      <c r="AK202" s="712"/>
      <c r="AL202" s="712"/>
      <c r="AM202" s="712"/>
      <c r="AN202" s="712"/>
      <c r="AO202" s="712"/>
    </row>
    <row r="203">
      <c r="B203" s="1023" t="s">
        <v>952</v>
      </c>
      <c r="G203" s="712"/>
      <c r="H203" s="712"/>
      <c r="I203" s="712"/>
      <c r="J203" s="712"/>
      <c r="K203" s="712"/>
      <c r="L203" s="712"/>
      <c r="M203" s="712"/>
      <c r="N203" s="712"/>
      <c r="O203" s="712"/>
      <c r="P203" s="712"/>
      <c r="Q203" s="712"/>
      <c r="R203" s="712"/>
      <c r="S203" s="712"/>
      <c r="T203" s="712"/>
      <c r="U203" s="712"/>
      <c r="V203" s="712"/>
      <c r="W203" s="712"/>
      <c r="X203" s="712"/>
      <c r="Y203" s="712"/>
      <c r="Z203" s="712"/>
      <c r="AA203" s="712"/>
      <c r="AB203" s="712"/>
      <c r="AC203" s="712"/>
      <c r="AD203" s="712"/>
      <c r="AE203" s="712"/>
      <c r="AF203" s="712"/>
      <c r="AG203" s="712"/>
      <c r="AH203" s="712"/>
      <c r="AI203" s="712"/>
      <c r="AJ203" s="712"/>
      <c r="AK203" s="712"/>
      <c r="AL203" s="712"/>
      <c r="AM203" s="712"/>
      <c r="AN203" s="712"/>
      <c r="AO203" s="712"/>
    </row>
    <row r="204">
      <c r="B204" s="1023" t="s">
        <v>953</v>
      </c>
      <c r="G204" s="712"/>
      <c r="H204" s="712"/>
      <c r="I204" s="712"/>
      <c r="J204" s="712"/>
      <c r="K204" s="712"/>
      <c r="L204" s="712"/>
      <c r="M204" s="712"/>
      <c r="N204" s="712"/>
      <c r="O204" s="712"/>
      <c r="P204" s="712"/>
      <c r="Q204" s="712"/>
      <c r="R204" s="712"/>
      <c r="S204" s="712"/>
      <c r="T204" s="712"/>
      <c r="U204" s="712"/>
      <c r="V204" s="712"/>
      <c r="W204" s="712"/>
      <c r="X204" s="712"/>
      <c r="Y204" s="712"/>
      <c r="Z204" s="712"/>
      <c r="AA204" s="712"/>
      <c r="AB204" s="712"/>
      <c r="AC204" s="712"/>
      <c r="AD204" s="712"/>
      <c r="AE204" s="712"/>
      <c r="AF204" s="712"/>
      <c r="AG204" s="712"/>
      <c r="AH204" s="712"/>
      <c r="AI204" s="712"/>
      <c r="AJ204" s="712"/>
      <c r="AK204" s="712"/>
      <c r="AL204" s="712"/>
      <c r="AM204" s="712"/>
      <c r="AN204" s="712"/>
      <c r="AO204" s="712"/>
    </row>
    <row r="205">
      <c r="B205" s="1023" t="s">
        <v>954</v>
      </c>
      <c r="G205" s="712"/>
      <c r="H205" s="712"/>
      <c r="I205" s="712"/>
      <c r="J205" s="712"/>
      <c r="K205" s="712"/>
      <c r="L205" s="712"/>
      <c r="M205" s="712"/>
      <c r="N205" s="712"/>
      <c r="O205" s="712"/>
      <c r="P205" s="712"/>
      <c r="Q205" s="712"/>
      <c r="R205" s="712"/>
      <c r="S205" s="712"/>
      <c r="T205" s="712"/>
      <c r="U205" s="712"/>
      <c r="V205" s="712"/>
      <c r="W205" s="712"/>
      <c r="X205" s="712"/>
      <c r="Y205" s="712"/>
      <c r="Z205" s="712"/>
      <c r="AA205" s="712"/>
      <c r="AB205" s="712"/>
      <c r="AC205" s="712"/>
      <c r="AD205" s="712"/>
      <c r="AE205" s="712"/>
      <c r="AF205" s="712"/>
      <c r="AG205" s="712"/>
      <c r="AH205" s="712"/>
      <c r="AI205" s="712"/>
      <c r="AJ205" s="712"/>
      <c r="AK205" s="712"/>
      <c r="AL205" s="712"/>
      <c r="AM205" s="712"/>
      <c r="AN205" s="712"/>
      <c r="AO205" s="712"/>
    </row>
    <row r="206">
      <c r="B206" s="1034" t="s">
        <v>956</v>
      </c>
      <c r="G206" s="712"/>
      <c r="H206" s="712"/>
      <c r="I206" s="712"/>
      <c r="J206" s="712"/>
      <c r="K206" s="712"/>
      <c r="L206" s="712"/>
      <c r="M206" s="712"/>
      <c r="N206" s="712"/>
      <c r="O206" s="712"/>
      <c r="P206" s="712"/>
      <c r="Q206" s="712"/>
      <c r="R206" s="712"/>
      <c r="S206" s="712"/>
      <c r="T206" s="712"/>
      <c r="U206" s="712"/>
      <c r="V206" s="712"/>
      <c r="W206" s="712"/>
      <c r="X206" s="712"/>
      <c r="Y206" s="712"/>
      <c r="Z206" s="712"/>
      <c r="AA206" s="712"/>
      <c r="AB206" s="712"/>
      <c r="AC206" s="712"/>
      <c r="AD206" s="712"/>
      <c r="AE206" s="712"/>
      <c r="AF206" s="712"/>
      <c r="AG206" s="712"/>
      <c r="AH206" s="712"/>
      <c r="AI206" s="712"/>
      <c r="AJ206" s="712"/>
      <c r="AK206" s="712"/>
      <c r="AL206" s="712"/>
      <c r="AM206" s="712"/>
      <c r="AN206" s="712"/>
      <c r="AO206" s="712"/>
    </row>
    <row r="207">
      <c r="B207" s="1034" t="s">
        <v>958</v>
      </c>
      <c r="G207" s="712"/>
      <c r="H207" s="712"/>
      <c r="I207" s="712"/>
      <c r="J207" s="712"/>
      <c r="K207" s="712"/>
      <c r="L207" s="712"/>
      <c r="M207" s="712"/>
      <c r="N207" s="712"/>
      <c r="O207" s="712"/>
      <c r="P207" s="712"/>
      <c r="Q207" s="712"/>
      <c r="R207" s="712"/>
      <c r="S207" s="712"/>
      <c r="T207" s="712"/>
      <c r="U207" s="712"/>
      <c r="V207" s="712"/>
      <c r="W207" s="712"/>
      <c r="X207" s="712"/>
      <c r="Y207" s="712"/>
      <c r="Z207" s="712"/>
      <c r="AA207" s="712"/>
      <c r="AB207" s="712"/>
      <c r="AC207" s="712"/>
      <c r="AD207" s="712"/>
      <c r="AE207" s="712"/>
      <c r="AF207" s="712"/>
      <c r="AG207" s="712"/>
      <c r="AH207" s="712"/>
      <c r="AI207" s="712"/>
      <c r="AJ207" s="712"/>
      <c r="AK207" s="712"/>
      <c r="AL207" s="712"/>
      <c r="AM207" s="712"/>
      <c r="AN207" s="712"/>
      <c r="AO207" s="712"/>
    </row>
    <row r="208">
      <c r="B208" s="1023" t="s">
        <v>959</v>
      </c>
      <c r="G208" s="712"/>
      <c r="H208" s="712"/>
      <c r="I208" s="712"/>
      <c r="J208" s="712"/>
      <c r="K208" s="712"/>
      <c r="L208" s="712"/>
      <c r="M208" s="712"/>
      <c r="N208" s="712"/>
      <c r="O208" s="712"/>
      <c r="P208" s="712"/>
      <c r="Q208" s="712"/>
      <c r="R208" s="712"/>
      <c r="S208" s="712"/>
      <c r="T208" s="712"/>
      <c r="U208" s="712"/>
      <c r="V208" s="712"/>
      <c r="W208" s="712"/>
      <c r="X208" s="712"/>
      <c r="Y208" s="712"/>
      <c r="Z208" s="712"/>
      <c r="AA208" s="712"/>
      <c r="AB208" s="712"/>
      <c r="AC208" s="712"/>
      <c r="AD208" s="712"/>
      <c r="AE208" s="712"/>
      <c r="AF208" s="712"/>
      <c r="AG208" s="712"/>
      <c r="AH208" s="712"/>
      <c r="AI208" s="712"/>
      <c r="AJ208" s="712"/>
      <c r="AK208" s="712"/>
      <c r="AL208" s="712"/>
      <c r="AM208" s="712"/>
      <c r="AN208" s="712"/>
      <c r="AO208" s="712"/>
    </row>
    <row r="209">
      <c r="B209" s="1023" t="s">
        <v>960</v>
      </c>
      <c r="G209" s="712"/>
      <c r="H209" s="712"/>
      <c r="I209" s="712"/>
      <c r="J209" s="712"/>
      <c r="K209" s="712"/>
      <c r="L209" s="712"/>
      <c r="M209" s="712"/>
      <c r="N209" s="712"/>
      <c r="O209" s="712"/>
      <c r="P209" s="712"/>
      <c r="Q209" s="712"/>
      <c r="R209" s="712"/>
      <c r="S209" s="712"/>
      <c r="T209" s="712"/>
      <c r="U209" s="712"/>
      <c r="V209" s="712"/>
      <c r="W209" s="712"/>
      <c r="X209" s="712"/>
      <c r="Y209" s="712"/>
      <c r="Z209" s="712"/>
      <c r="AA209" s="712"/>
      <c r="AB209" s="712"/>
      <c r="AC209" s="712"/>
      <c r="AD209" s="712"/>
      <c r="AE209" s="712"/>
      <c r="AF209" s="712"/>
      <c r="AG209" s="712"/>
      <c r="AH209" s="712"/>
      <c r="AI209" s="712"/>
      <c r="AJ209" s="712"/>
      <c r="AK209" s="712"/>
      <c r="AL209" s="712"/>
      <c r="AM209" s="712"/>
      <c r="AN209" s="712"/>
      <c r="AO209" s="712"/>
    </row>
    <row r="210">
      <c r="B210" s="1023" t="s">
        <v>961</v>
      </c>
      <c r="G210" s="712"/>
      <c r="H210" s="712"/>
      <c r="I210" s="712"/>
      <c r="J210" s="712"/>
      <c r="K210" s="712"/>
      <c r="L210" s="712"/>
      <c r="M210" s="712"/>
      <c r="N210" s="712"/>
      <c r="O210" s="712"/>
      <c r="P210" s="712"/>
      <c r="Q210" s="712"/>
      <c r="R210" s="712"/>
      <c r="S210" s="712"/>
      <c r="T210" s="712"/>
      <c r="U210" s="712"/>
      <c r="V210" s="712"/>
      <c r="W210" s="712"/>
      <c r="X210" s="712"/>
      <c r="Y210" s="712"/>
      <c r="Z210" s="712"/>
      <c r="AA210" s="712"/>
      <c r="AB210" s="712"/>
      <c r="AC210" s="712"/>
      <c r="AD210" s="712"/>
      <c r="AE210" s="712"/>
      <c r="AF210" s="712"/>
      <c r="AG210" s="712"/>
      <c r="AH210" s="712"/>
      <c r="AI210" s="712"/>
      <c r="AJ210" s="712"/>
      <c r="AK210" s="712"/>
      <c r="AL210" s="712"/>
      <c r="AM210" s="712"/>
      <c r="AN210" s="712"/>
      <c r="AO210" s="712"/>
    </row>
    <row r="211">
      <c r="A211" s="1019" t="s">
        <v>997</v>
      </c>
      <c r="B211" s="1020" t="s">
        <v>950</v>
      </c>
      <c r="G211" s="712"/>
      <c r="H211" s="712"/>
      <c r="I211" s="712"/>
      <c r="J211" s="712"/>
      <c r="K211" s="712"/>
      <c r="L211" s="712"/>
      <c r="M211" s="712"/>
      <c r="N211" s="712"/>
      <c r="O211" s="712"/>
      <c r="P211" s="712"/>
      <c r="Q211" s="712"/>
      <c r="R211" s="712"/>
      <c r="S211" s="712"/>
      <c r="T211" s="712"/>
      <c r="U211" s="712"/>
      <c r="V211" s="712"/>
      <c r="W211" s="712"/>
      <c r="X211" s="712"/>
      <c r="Y211" s="712"/>
      <c r="Z211" s="712"/>
      <c r="AA211" s="712"/>
      <c r="AB211" s="712"/>
      <c r="AC211" s="712"/>
      <c r="AD211" s="712"/>
      <c r="AE211" s="712"/>
      <c r="AF211" s="712"/>
      <c r="AG211" s="712"/>
      <c r="AH211" s="712"/>
      <c r="AI211" s="712"/>
      <c r="AJ211" s="712"/>
      <c r="AK211" s="712"/>
      <c r="AL211" s="712"/>
      <c r="AM211" s="712"/>
      <c r="AN211" s="712"/>
      <c r="AO211" s="712"/>
    </row>
    <row r="212">
      <c r="B212" s="1023" t="s">
        <v>952</v>
      </c>
      <c r="G212" s="712"/>
      <c r="H212" s="712"/>
      <c r="I212" s="712"/>
      <c r="J212" s="712"/>
      <c r="K212" s="712"/>
      <c r="L212" s="712"/>
      <c r="M212" s="712"/>
      <c r="N212" s="712"/>
      <c r="O212" s="712"/>
      <c r="P212" s="712"/>
      <c r="Q212" s="712"/>
      <c r="R212" s="712"/>
      <c r="S212" s="712"/>
      <c r="T212" s="712"/>
      <c r="U212" s="712"/>
      <c r="V212" s="712"/>
      <c r="W212" s="712"/>
      <c r="X212" s="712"/>
      <c r="Y212" s="712"/>
      <c r="Z212" s="712"/>
      <c r="AA212" s="712"/>
      <c r="AB212" s="712"/>
      <c r="AC212" s="712"/>
      <c r="AD212" s="712"/>
      <c r="AE212" s="712"/>
      <c r="AF212" s="712"/>
      <c r="AG212" s="712"/>
      <c r="AH212" s="712"/>
      <c r="AI212" s="712"/>
      <c r="AJ212" s="712"/>
      <c r="AK212" s="712"/>
      <c r="AL212" s="712"/>
      <c r="AM212" s="712"/>
      <c r="AN212" s="712"/>
      <c r="AO212" s="712"/>
    </row>
    <row r="213">
      <c r="B213" s="1023" t="s">
        <v>953</v>
      </c>
      <c r="G213" s="712"/>
      <c r="H213" s="712"/>
      <c r="I213" s="712"/>
      <c r="J213" s="712"/>
      <c r="K213" s="712"/>
      <c r="L213" s="712"/>
      <c r="M213" s="712"/>
      <c r="N213" s="712"/>
      <c r="O213" s="712"/>
      <c r="P213" s="712"/>
      <c r="Q213" s="712"/>
      <c r="R213" s="712"/>
      <c r="S213" s="712"/>
      <c r="T213" s="712"/>
      <c r="U213" s="712"/>
      <c r="V213" s="712"/>
      <c r="W213" s="712"/>
      <c r="X213" s="712"/>
      <c r="Y213" s="712"/>
      <c r="Z213" s="712"/>
      <c r="AA213" s="712"/>
      <c r="AB213" s="712"/>
      <c r="AC213" s="712"/>
      <c r="AD213" s="712"/>
      <c r="AE213" s="712"/>
      <c r="AF213" s="712"/>
      <c r="AG213" s="712"/>
      <c r="AH213" s="712"/>
      <c r="AI213" s="712"/>
      <c r="AJ213" s="712"/>
      <c r="AK213" s="712"/>
      <c r="AL213" s="712"/>
      <c r="AM213" s="712"/>
      <c r="AN213" s="712"/>
      <c r="AO213" s="712"/>
    </row>
    <row r="214">
      <c r="B214" s="1023" t="s">
        <v>954</v>
      </c>
      <c r="G214" s="712"/>
      <c r="H214" s="712"/>
      <c r="I214" s="712"/>
      <c r="J214" s="712"/>
      <c r="K214" s="712"/>
      <c r="L214" s="712"/>
      <c r="M214" s="712"/>
      <c r="N214" s="712"/>
      <c r="O214" s="712"/>
      <c r="P214" s="712"/>
      <c r="Q214" s="712"/>
      <c r="R214" s="712"/>
      <c r="S214" s="712"/>
      <c r="T214" s="712"/>
      <c r="U214" s="712"/>
      <c r="V214" s="712"/>
      <c r="W214" s="712"/>
      <c r="X214" s="712"/>
      <c r="Y214" s="712"/>
      <c r="Z214" s="712"/>
      <c r="AA214" s="712"/>
      <c r="AB214" s="712"/>
      <c r="AC214" s="712"/>
      <c r="AD214" s="712"/>
      <c r="AE214" s="712"/>
      <c r="AF214" s="712"/>
      <c r="AG214" s="712"/>
      <c r="AH214" s="712"/>
      <c r="AI214" s="712"/>
      <c r="AJ214" s="712"/>
      <c r="AK214" s="712"/>
      <c r="AL214" s="712"/>
      <c r="AM214" s="712"/>
      <c r="AN214" s="712"/>
      <c r="AO214" s="712"/>
    </row>
    <row r="215">
      <c r="B215" s="1034" t="s">
        <v>956</v>
      </c>
      <c r="G215" s="712"/>
      <c r="H215" s="712"/>
      <c r="I215" s="712"/>
      <c r="J215" s="712"/>
      <c r="K215" s="712"/>
      <c r="L215" s="712"/>
      <c r="M215" s="712"/>
      <c r="N215" s="712"/>
      <c r="O215" s="712"/>
      <c r="P215" s="712"/>
      <c r="Q215" s="712"/>
      <c r="R215" s="712"/>
      <c r="S215" s="712"/>
      <c r="T215" s="712"/>
      <c r="U215" s="712"/>
      <c r="V215" s="712"/>
      <c r="W215" s="712"/>
      <c r="X215" s="712"/>
      <c r="Y215" s="712"/>
      <c r="Z215" s="712"/>
      <c r="AA215" s="712"/>
      <c r="AB215" s="712"/>
      <c r="AC215" s="712"/>
      <c r="AD215" s="712"/>
      <c r="AE215" s="712"/>
      <c r="AF215" s="712"/>
      <c r="AG215" s="712"/>
      <c r="AH215" s="712"/>
      <c r="AI215" s="712"/>
      <c r="AJ215" s="712"/>
      <c r="AK215" s="712"/>
      <c r="AL215" s="712"/>
      <c r="AM215" s="712"/>
      <c r="AN215" s="712"/>
      <c r="AO215" s="712"/>
    </row>
    <row r="216">
      <c r="B216" s="1034" t="s">
        <v>958</v>
      </c>
      <c r="G216" s="712"/>
      <c r="H216" s="712"/>
      <c r="I216" s="712"/>
      <c r="J216" s="712"/>
      <c r="K216" s="712"/>
      <c r="L216" s="712"/>
      <c r="M216" s="712"/>
      <c r="N216" s="712"/>
      <c r="O216" s="712"/>
      <c r="P216" s="712"/>
      <c r="Q216" s="712"/>
      <c r="R216" s="712"/>
      <c r="S216" s="712"/>
      <c r="T216" s="712"/>
      <c r="U216" s="712"/>
      <c r="V216" s="712"/>
      <c r="W216" s="712"/>
      <c r="X216" s="712"/>
      <c r="Y216" s="712"/>
      <c r="Z216" s="712"/>
      <c r="AA216" s="712"/>
      <c r="AB216" s="712"/>
      <c r="AC216" s="712"/>
      <c r="AD216" s="712"/>
      <c r="AE216" s="712"/>
      <c r="AF216" s="712"/>
      <c r="AG216" s="712"/>
      <c r="AH216" s="712"/>
      <c r="AI216" s="712"/>
      <c r="AJ216" s="712"/>
      <c r="AK216" s="712"/>
      <c r="AL216" s="712"/>
      <c r="AM216" s="712"/>
      <c r="AN216" s="712"/>
      <c r="AO216" s="712"/>
    </row>
    <row r="217">
      <c r="B217" s="1023" t="s">
        <v>959</v>
      </c>
      <c r="G217" s="712"/>
      <c r="H217" s="712"/>
      <c r="I217" s="712"/>
      <c r="J217" s="712"/>
      <c r="K217" s="712"/>
      <c r="L217" s="712"/>
      <c r="M217" s="712"/>
      <c r="N217" s="712"/>
      <c r="O217" s="712"/>
      <c r="P217" s="712"/>
      <c r="Q217" s="712"/>
      <c r="R217" s="712"/>
      <c r="S217" s="712"/>
      <c r="T217" s="712"/>
      <c r="U217" s="712"/>
      <c r="V217" s="712"/>
      <c r="W217" s="712"/>
      <c r="X217" s="712"/>
      <c r="Y217" s="712"/>
      <c r="Z217" s="712"/>
      <c r="AA217" s="712"/>
      <c r="AB217" s="712"/>
      <c r="AC217" s="712"/>
      <c r="AD217" s="712"/>
      <c r="AE217" s="712"/>
      <c r="AF217" s="712"/>
      <c r="AG217" s="712"/>
      <c r="AH217" s="712"/>
      <c r="AI217" s="712"/>
      <c r="AJ217" s="712"/>
      <c r="AK217" s="712"/>
      <c r="AL217" s="712"/>
      <c r="AM217" s="712"/>
      <c r="AN217" s="712"/>
      <c r="AO217" s="712"/>
    </row>
    <row r="218">
      <c r="B218" s="1023" t="s">
        <v>960</v>
      </c>
      <c r="G218" s="712"/>
      <c r="H218" s="712"/>
      <c r="I218" s="712"/>
      <c r="J218" s="712"/>
      <c r="K218" s="712"/>
      <c r="L218" s="712"/>
      <c r="M218" s="712"/>
      <c r="N218" s="712"/>
      <c r="O218" s="712"/>
      <c r="P218" s="712"/>
      <c r="Q218" s="712"/>
      <c r="R218" s="712"/>
      <c r="S218" s="712"/>
      <c r="T218" s="712"/>
      <c r="U218" s="712"/>
      <c r="V218" s="712"/>
      <c r="W218" s="712"/>
      <c r="X218" s="712"/>
      <c r="Y218" s="712"/>
      <c r="Z218" s="712"/>
      <c r="AA218" s="712"/>
      <c r="AB218" s="712"/>
      <c r="AC218" s="712"/>
      <c r="AD218" s="712"/>
      <c r="AE218" s="712"/>
      <c r="AF218" s="712"/>
      <c r="AG218" s="712"/>
      <c r="AH218" s="712"/>
      <c r="AI218" s="712"/>
      <c r="AJ218" s="712"/>
      <c r="AK218" s="712"/>
      <c r="AL218" s="712"/>
      <c r="AM218" s="712"/>
      <c r="AN218" s="712"/>
      <c r="AO218" s="712"/>
    </row>
    <row r="219">
      <c r="B219" s="1023" t="s">
        <v>961</v>
      </c>
      <c r="G219" s="712"/>
      <c r="H219" s="712"/>
      <c r="I219" s="712"/>
      <c r="J219" s="712"/>
      <c r="K219" s="712"/>
      <c r="L219" s="712"/>
      <c r="M219" s="712"/>
      <c r="N219" s="712"/>
      <c r="O219" s="712"/>
      <c r="P219" s="712"/>
      <c r="Q219" s="712"/>
      <c r="R219" s="712"/>
      <c r="S219" s="712"/>
      <c r="T219" s="712"/>
      <c r="U219" s="712"/>
      <c r="V219" s="712"/>
      <c r="W219" s="712"/>
      <c r="X219" s="712"/>
      <c r="Y219" s="712"/>
      <c r="Z219" s="712"/>
      <c r="AA219" s="712"/>
      <c r="AB219" s="712"/>
      <c r="AC219" s="712"/>
      <c r="AD219" s="712"/>
      <c r="AE219" s="712"/>
      <c r="AF219" s="712"/>
      <c r="AG219" s="712"/>
      <c r="AH219" s="712"/>
      <c r="AI219" s="712"/>
      <c r="AJ219" s="712"/>
      <c r="AK219" s="712"/>
      <c r="AL219" s="712"/>
      <c r="AM219" s="712"/>
      <c r="AN219" s="712"/>
      <c r="AO219" s="712"/>
    </row>
    <row r="220">
      <c r="A220" s="1019" t="s">
        <v>998</v>
      </c>
      <c r="B220" s="1020" t="s">
        <v>950</v>
      </c>
      <c r="G220" s="712"/>
      <c r="H220" s="712"/>
      <c r="I220" s="712"/>
      <c r="J220" s="712"/>
      <c r="K220" s="712"/>
      <c r="L220" s="712"/>
      <c r="M220" s="712"/>
      <c r="N220" s="712"/>
      <c r="O220" s="712"/>
      <c r="P220" s="712"/>
      <c r="Q220" s="712"/>
      <c r="R220" s="712"/>
      <c r="S220" s="712"/>
      <c r="T220" s="712"/>
      <c r="U220" s="712"/>
      <c r="V220" s="712"/>
      <c r="W220" s="712"/>
      <c r="X220" s="712"/>
      <c r="Y220" s="712"/>
      <c r="Z220" s="712"/>
      <c r="AA220" s="712"/>
      <c r="AB220" s="712"/>
      <c r="AC220" s="712"/>
      <c r="AD220" s="712"/>
      <c r="AE220" s="712"/>
      <c r="AF220" s="712"/>
      <c r="AG220" s="712"/>
      <c r="AH220" s="712"/>
      <c r="AI220" s="712"/>
      <c r="AJ220" s="712"/>
      <c r="AK220" s="712"/>
      <c r="AL220" s="712"/>
      <c r="AM220" s="712"/>
      <c r="AN220" s="712"/>
      <c r="AO220" s="712"/>
    </row>
    <row r="221">
      <c r="B221" s="1023" t="s">
        <v>952</v>
      </c>
      <c r="G221" s="712"/>
      <c r="H221" s="712"/>
      <c r="I221" s="712"/>
      <c r="J221" s="712"/>
      <c r="K221" s="712"/>
      <c r="L221" s="712"/>
      <c r="M221" s="712"/>
      <c r="N221" s="712"/>
      <c r="O221" s="712"/>
      <c r="P221" s="712"/>
      <c r="Q221" s="712"/>
      <c r="R221" s="712"/>
      <c r="S221" s="712"/>
      <c r="T221" s="712"/>
      <c r="U221" s="712"/>
      <c r="V221" s="712"/>
      <c r="W221" s="712"/>
      <c r="X221" s="712"/>
      <c r="Y221" s="712"/>
      <c r="Z221" s="712"/>
      <c r="AA221" s="712"/>
      <c r="AB221" s="712"/>
      <c r="AC221" s="712"/>
      <c r="AD221" s="712"/>
      <c r="AE221" s="712"/>
      <c r="AF221" s="712"/>
      <c r="AG221" s="712"/>
      <c r="AH221" s="712"/>
      <c r="AI221" s="712"/>
      <c r="AJ221" s="712"/>
      <c r="AK221" s="712"/>
      <c r="AL221" s="712"/>
      <c r="AM221" s="712"/>
      <c r="AN221" s="712"/>
      <c r="AO221" s="712"/>
    </row>
    <row r="222">
      <c r="B222" s="1023" t="s">
        <v>953</v>
      </c>
      <c r="G222" s="712"/>
      <c r="H222" s="712"/>
      <c r="I222" s="712"/>
      <c r="J222" s="712"/>
      <c r="K222" s="712"/>
      <c r="L222" s="712"/>
      <c r="M222" s="712"/>
      <c r="N222" s="712"/>
      <c r="O222" s="712"/>
      <c r="P222" s="712"/>
      <c r="Q222" s="712"/>
      <c r="R222" s="712"/>
      <c r="S222" s="712"/>
      <c r="T222" s="712"/>
      <c r="U222" s="712"/>
      <c r="V222" s="712"/>
      <c r="W222" s="712"/>
      <c r="X222" s="712"/>
      <c r="Y222" s="712"/>
      <c r="Z222" s="712"/>
      <c r="AA222" s="712"/>
      <c r="AB222" s="712"/>
      <c r="AC222" s="712"/>
      <c r="AD222" s="712"/>
      <c r="AE222" s="712"/>
      <c r="AF222" s="712"/>
      <c r="AG222" s="712"/>
      <c r="AH222" s="712"/>
      <c r="AI222" s="712"/>
      <c r="AJ222" s="712"/>
      <c r="AK222" s="712"/>
      <c r="AL222" s="712"/>
      <c r="AM222" s="712"/>
      <c r="AN222" s="712"/>
      <c r="AO222" s="712"/>
    </row>
    <row r="223">
      <c r="B223" s="1023" t="s">
        <v>954</v>
      </c>
      <c r="G223" s="712"/>
      <c r="H223" s="712"/>
      <c r="I223" s="712"/>
      <c r="J223" s="712"/>
      <c r="K223" s="712"/>
      <c r="L223" s="712"/>
      <c r="M223" s="712"/>
      <c r="N223" s="712"/>
      <c r="O223" s="712"/>
      <c r="P223" s="712"/>
      <c r="Q223" s="712"/>
      <c r="R223" s="712"/>
      <c r="S223" s="712"/>
      <c r="T223" s="712"/>
      <c r="U223" s="712"/>
      <c r="V223" s="712"/>
      <c r="W223" s="712"/>
      <c r="X223" s="712"/>
      <c r="Y223" s="712"/>
      <c r="Z223" s="712"/>
      <c r="AA223" s="712"/>
      <c r="AB223" s="712"/>
      <c r="AC223" s="712"/>
      <c r="AD223" s="712"/>
      <c r="AE223" s="712"/>
      <c r="AF223" s="712"/>
      <c r="AG223" s="712"/>
      <c r="AH223" s="712"/>
      <c r="AI223" s="712"/>
      <c r="AJ223" s="712"/>
      <c r="AK223" s="712"/>
      <c r="AL223" s="712"/>
      <c r="AM223" s="712"/>
      <c r="AN223" s="712"/>
      <c r="AO223" s="712"/>
    </row>
    <row r="224">
      <c r="B224" s="1034" t="s">
        <v>956</v>
      </c>
      <c r="G224" s="712"/>
      <c r="H224" s="712"/>
      <c r="I224" s="712"/>
      <c r="J224" s="712"/>
      <c r="K224" s="712"/>
      <c r="L224" s="712"/>
      <c r="M224" s="712"/>
      <c r="N224" s="712"/>
      <c r="O224" s="712"/>
      <c r="P224" s="712"/>
      <c r="Q224" s="712"/>
      <c r="R224" s="712"/>
      <c r="S224" s="712"/>
      <c r="T224" s="712"/>
      <c r="U224" s="712"/>
      <c r="V224" s="712"/>
      <c r="W224" s="712"/>
      <c r="X224" s="712"/>
      <c r="Y224" s="712"/>
      <c r="Z224" s="712"/>
      <c r="AA224" s="712"/>
      <c r="AB224" s="712"/>
      <c r="AC224" s="712"/>
      <c r="AD224" s="712"/>
      <c r="AE224" s="712"/>
      <c r="AF224" s="712"/>
      <c r="AG224" s="712"/>
      <c r="AH224" s="712"/>
      <c r="AI224" s="712"/>
      <c r="AJ224" s="712"/>
      <c r="AK224" s="712"/>
      <c r="AL224" s="712"/>
      <c r="AM224" s="712"/>
      <c r="AN224" s="712"/>
      <c r="AO224" s="712"/>
    </row>
    <row r="225">
      <c r="B225" s="1034" t="s">
        <v>958</v>
      </c>
      <c r="G225" s="712"/>
      <c r="H225" s="712"/>
      <c r="I225" s="712"/>
      <c r="J225" s="712"/>
      <c r="K225" s="712"/>
      <c r="L225" s="712"/>
      <c r="M225" s="712"/>
      <c r="N225" s="712"/>
      <c r="O225" s="712"/>
      <c r="P225" s="712"/>
      <c r="Q225" s="712"/>
      <c r="R225" s="712"/>
      <c r="S225" s="712"/>
      <c r="T225" s="712"/>
      <c r="U225" s="712"/>
      <c r="V225" s="712"/>
      <c r="W225" s="712"/>
      <c r="X225" s="712"/>
      <c r="Y225" s="712"/>
      <c r="Z225" s="712"/>
      <c r="AA225" s="712"/>
      <c r="AB225" s="712"/>
      <c r="AC225" s="712"/>
      <c r="AD225" s="712"/>
      <c r="AE225" s="712"/>
      <c r="AF225" s="712"/>
      <c r="AG225" s="712"/>
      <c r="AH225" s="712"/>
      <c r="AI225" s="712"/>
      <c r="AJ225" s="712"/>
      <c r="AK225" s="712"/>
      <c r="AL225" s="712"/>
      <c r="AM225" s="712"/>
      <c r="AN225" s="712"/>
      <c r="AO225" s="712"/>
    </row>
    <row r="226">
      <c r="B226" s="1023" t="s">
        <v>959</v>
      </c>
      <c r="G226" s="712"/>
      <c r="H226" s="712"/>
      <c r="I226" s="712"/>
      <c r="J226" s="712"/>
      <c r="K226" s="712"/>
      <c r="L226" s="712"/>
      <c r="M226" s="712"/>
      <c r="N226" s="712"/>
      <c r="O226" s="712"/>
      <c r="P226" s="712"/>
      <c r="Q226" s="712"/>
      <c r="R226" s="712"/>
      <c r="S226" s="712"/>
      <c r="T226" s="712"/>
      <c r="U226" s="712"/>
      <c r="V226" s="712"/>
      <c r="W226" s="712"/>
      <c r="X226" s="712"/>
      <c r="Y226" s="712"/>
      <c r="Z226" s="712"/>
      <c r="AA226" s="712"/>
      <c r="AB226" s="712"/>
      <c r="AC226" s="712"/>
      <c r="AD226" s="712"/>
      <c r="AE226" s="712"/>
      <c r="AF226" s="712"/>
      <c r="AG226" s="712"/>
      <c r="AH226" s="712"/>
      <c r="AI226" s="712"/>
      <c r="AJ226" s="712"/>
      <c r="AK226" s="712"/>
      <c r="AL226" s="712"/>
      <c r="AM226" s="712"/>
      <c r="AN226" s="712"/>
      <c r="AO226" s="712"/>
    </row>
    <row r="227">
      <c r="B227" s="1023" t="s">
        <v>960</v>
      </c>
      <c r="G227" s="712"/>
      <c r="H227" s="712"/>
      <c r="I227" s="712"/>
      <c r="J227" s="712"/>
      <c r="K227" s="712"/>
      <c r="L227" s="712"/>
      <c r="M227" s="712"/>
      <c r="N227" s="712"/>
      <c r="O227" s="712"/>
      <c r="P227" s="712"/>
      <c r="Q227" s="712"/>
      <c r="R227" s="712"/>
      <c r="S227" s="712"/>
      <c r="T227" s="712"/>
      <c r="U227" s="712"/>
      <c r="V227" s="712"/>
      <c r="W227" s="712"/>
      <c r="X227" s="712"/>
      <c r="Y227" s="712"/>
      <c r="Z227" s="712"/>
      <c r="AA227" s="712"/>
      <c r="AB227" s="712"/>
      <c r="AC227" s="712"/>
      <c r="AD227" s="712"/>
      <c r="AE227" s="712"/>
      <c r="AF227" s="712"/>
      <c r="AG227" s="712"/>
      <c r="AH227" s="712"/>
      <c r="AI227" s="712"/>
      <c r="AJ227" s="712"/>
      <c r="AK227" s="712"/>
      <c r="AL227" s="712"/>
      <c r="AM227" s="712"/>
      <c r="AN227" s="712"/>
      <c r="AO227" s="712"/>
    </row>
    <row r="228">
      <c r="B228" s="1023" t="s">
        <v>961</v>
      </c>
      <c r="G228" s="712"/>
      <c r="H228" s="712"/>
      <c r="I228" s="712"/>
      <c r="J228" s="712"/>
      <c r="K228" s="712"/>
      <c r="L228" s="712"/>
      <c r="M228" s="712"/>
      <c r="N228" s="712"/>
      <c r="O228" s="712"/>
      <c r="P228" s="712"/>
      <c r="Q228" s="712"/>
      <c r="R228" s="712"/>
      <c r="S228" s="712"/>
      <c r="T228" s="712"/>
      <c r="U228" s="712"/>
      <c r="V228" s="712"/>
      <c r="W228" s="712"/>
      <c r="X228" s="712"/>
      <c r="Y228" s="712"/>
      <c r="Z228" s="712"/>
      <c r="AA228" s="712"/>
      <c r="AB228" s="712"/>
      <c r="AC228" s="712"/>
      <c r="AD228" s="712"/>
      <c r="AE228" s="712"/>
      <c r="AF228" s="712"/>
      <c r="AG228" s="712"/>
      <c r="AH228" s="712"/>
      <c r="AI228" s="712"/>
      <c r="AJ228" s="712"/>
      <c r="AK228" s="712"/>
      <c r="AL228" s="712"/>
      <c r="AM228" s="712"/>
      <c r="AN228" s="712"/>
      <c r="AO228" s="712"/>
    </row>
    <row r="229">
      <c r="A229" s="1019" t="s">
        <v>1002</v>
      </c>
      <c r="B229" s="1020" t="s">
        <v>950</v>
      </c>
      <c r="G229" s="712"/>
      <c r="H229" s="712"/>
      <c r="I229" s="712"/>
      <c r="J229" s="712"/>
      <c r="K229" s="712"/>
      <c r="L229" s="712"/>
      <c r="M229" s="712"/>
      <c r="N229" s="712"/>
      <c r="O229" s="712"/>
      <c r="P229" s="712"/>
      <c r="Q229" s="712"/>
      <c r="R229" s="712"/>
      <c r="S229" s="712"/>
      <c r="T229" s="712"/>
      <c r="U229" s="712"/>
      <c r="V229" s="712"/>
      <c r="W229" s="712"/>
      <c r="X229" s="712"/>
      <c r="Y229" s="712"/>
      <c r="Z229" s="712"/>
      <c r="AA229" s="712"/>
      <c r="AB229" s="712"/>
      <c r="AC229" s="712"/>
      <c r="AD229" s="712"/>
      <c r="AE229" s="712"/>
      <c r="AF229" s="712"/>
      <c r="AG229" s="712"/>
      <c r="AH229" s="712"/>
      <c r="AI229" s="712"/>
      <c r="AJ229" s="712"/>
      <c r="AK229" s="712"/>
      <c r="AL229" s="712"/>
      <c r="AM229" s="712"/>
      <c r="AN229" s="712"/>
      <c r="AO229" s="712"/>
    </row>
    <row r="230">
      <c r="B230" s="1023" t="s">
        <v>952</v>
      </c>
      <c r="G230" s="712"/>
      <c r="H230" s="712"/>
      <c r="I230" s="712"/>
      <c r="J230" s="712"/>
      <c r="K230" s="712"/>
      <c r="L230" s="712"/>
      <c r="M230" s="712"/>
      <c r="N230" s="712"/>
      <c r="O230" s="712"/>
      <c r="P230" s="712"/>
      <c r="Q230" s="712"/>
      <c r="R230" s="712"/>
      <c r="S230" s="712"/>
      <c r="T230" s="712"/>
      <c r="U230" s="712"/>
      <c r="V230" s="712"/>
      <c r="W230" s="712"/>
      <c r="X230" s="712"/>
      <c r="Y230" s="712"/>
      <c r="Z230" s="712"/>
      <c r="AA230" s="712"/>
      <c r="AB230" s="712"/>
      <c r="AC230" s="712"/>
      <c r="AD230" s="712"/>
      <c r="AE230" s="712"/>
      <c r="AF230" s="712"/>
      <c r="AG230" s="712"/>
      <c r="AH230" s="712"/>
      <c r="AI230" s="712"/>
      <c r="AJ230" s="712"/>
      <c r="AK230" s="712"/>
      <c r="AL230" s="712"/>
      <c r="AM230" s="712"/>
      <c r="AN230" s="712"/>
      <c r="AO230" s="712"/>
    </row>
    <row r="231">
      <c r="B231" s="1023" t="s">
        <v>953</v>
      </c>
      <c r="G231" s="712"/>
      <c r="H231" s="712"/>
      <c r="I231" s="712"/>
      <c r="J231" s="712"/>
      <c r="K231" s="712"/>
      <c r="L231" s="712"/>
      <c r="M231" s="712"/>
      <c r="N231" s="712"/>
      <c r="O231" s="712"/>
      <c r="P231" s="712"/>
      <c r="Q231" s="712"/>
      <c r="R231" s="712"/>
      <c r="S231" s="712"/>
      <c r="T231" s="712"/>
      <c r="U231" s="712"/>
      <c r="V231" s="712"/>
      <c r="W231" s="712"/>
      <c r="X231" s="712"/>
      <c r="Y231" s="712"/>
      <c r="Z231" s="712"/>
      <c r="AA231" s="712"/>
      <c r="AB231" s="712"/>
      <c r="AC231" s="712"/>
      <c r="AD231" s="712"/>
      <c r="AE231" s="712"/>
      <c r="AF231" s="712"/>
      <c r="AG231" s="712"/>
      <c r="AH231" s="712"/>
      <c r="AI231" s="712"/>
      <c r="AJ231" s="712"/>
      <c r="AK231" s="712"/>
      <c r="AL231" s="712"/>
      <c r="AM231" s="712"/>
      <c r="AN231" s="712"/>
      <c r="AO231" s="712"/>
    </row>
    <row r="232">
      <c r="B232" s="1023" t="s">
        <v>954</v>
      </c>
      <c r="G232" s="712"/>
      <c r="H232" s="712"/>
      <c r="I232" s="712"/>
      <c r="J232" s="712"/>
      <c r="K232" s="712"/>
      <c r="L232" s="712"/>
      <c r="M232" s="712"/>
      <c r="N232" s="712"/>
      <c r="O232" s="712"/>
      <c r="P232" s="712"/>
      <c r="Q232" s="712"/>
      <c r="R232" s="712"/>
      <c r="S232" s="712"/>
      <c r="T232" s="712"/>
      <c r="U232" s="712"/>
      <c r="V232" s="712"/>
      <c r="W232" s="712"/>
      <c r="X232" s="712"/>
      <c r="Y232" s="712"/>
      <c r="Z232" s="712"/>
      <c r="AA232" s="712"/>
      <c r="AB232" s="712"/>
      <c r="AC232" s="712"/>
      <c r="AD232" s="712"/>
      <c r="AE232" s="712"/>
      <c r="AF232" s="712"/>
      <c r="AG232" s="712"/>
      <c r="AH232" s="712"/>
      <c r="AI232" s="712"/>
      <c r="AJ232" s="712"/>
      <c r="AK232" s="712"/>
      <c r="AL232" s="712"/>
      <c r="AM232" s="712"/>
      <c r="AN232" s="712"/>
      <c r="AO232" s="712"/>
    </row>
    <row r="233">
      <c r="B233" s="1034" t="s">
        <v>956</v>
      </c>
      <c r="G233" s="712"/>
      <c r="H233" s="712"/>
      <c r="I233" s="712"/>
      <c r="J233" s="712"/>
      <c r="K233" s="712"/>
      <c r="L233" s="712"/>
      <c r="M233" s="712"/>
      <c r="N233" s="712"/>
      <c r="O233" s="712"/>
      <c r="P233" s="712"/>
      <c r="Q233" s="712"/>
      <c r="R233" s="712"/>
      <c r="S233" s="712"/>
      <c r="T233" s="712"/>
      <c r="U233" s="712"/>
      <c r="V233" s="712"/>
      <c r="W233" s="712"/>
      <c r="X233" s="712"/>
      <c r="Y233" s="712"/>
      <c r="Z233" s="712"/>
      <c r="AA233" s="712"/>
      <c r="AB233" s="712"/>
      <c r="AC233" s="712"/>
      <c r="AD233" s="712"/>
      <c r="AE233" s="712"/>
      <c r="AF233" s="712"/>
      <c r="AG233" s="712"/>
      <c r="AH233" s="712"/>
      <c r="AI233" s="712"/>
      <c r="AJ233" s="712"/>
      <c r="AK233" s="712"/>
      <c r="AL233" s="712"/>
      <c r="AM233" s="712"/>
      <c r="AN233" s="712"/>
      <c r="AO233" s="712"/>
    </row>
    <row r="234">
      <c r="B234" s="1034" t="s">
        <v>958</v>
      </c>
      <c r="G234" s="712"/>
      <c r="H234" s="712"/>
      <c r="I234" s="712"/>
      <c r="J234" s="712"/>
      <c r="K234" s="712"/>
      <c r="L234" s="712"/>
      <c r="M234" s="712"/>
      <c r="N234" s="712"/>
      <c r="O234" s="712"/>
      <c r="P234" s="712"/>
      <c r="Q234" s="712"/>
      <c r="R234" s="712"/>
      <c r="S234" s="712"/>
      <c r="T234" s="712"/>
      <c r="U234" s="712"/>
      <c r="V234" s="712"/>
      <c r="W234" s="712"/>
      <c r="X234" s="712"/>
      <c r="Y234" s="712"/>
      <c r="Z234" s="712"/>
      <c r="AA234" s="712"/>
      <c r="AB234" s="712"/>
      <c r="AC234" s="712"/>
      <c r="AD234" s="712"/>
      <c r="AE234" s="712"/>
      <c r="AF234" s="712"/>
      <c r="AG234" s="712"/>
      <c r="AH234" s="712"/>
      <c r="AI234" s="712"/>
      <c r="AJ234" s="712"/>
      <c r="AK234" s="712"/>
      <c r="AL234" s="712"/>
      <c r="AM234" s="712"/>
      <c r="AN234" s="712"/>
      <c r="AO234" s="712"/>
    </row>
    <row r="235">
      <c r="B235" s="1023" t="s">
        <v>959</v>
      </c>
      <c r="G235" s="712"/>
      <c r="H235" s="712"/>
      <c r="I235" s="712"/>
      <c r="J235" s="712"/>
      <c r="K235" s="712"/>
      <c r="L235" s="712"/>
      <c r="M235" s="712"/>
      <c r="N235" s="712"/>
      <c r="O235" s="712"/>
      <c r="P235" s="712"/>
      <c r="Q235" s="712"/>
      <c r="R235" s="712"/>
      <c r="S235" s="712"/>
      <c r="T235" s="712"/>
      <c r="U235" s="712"/>
      <c r="V235" s="712"/>
      <c r="W235" s="712"/>
      <c r="X235" s="712"/>
      <c r="Y235" s="712"/>
      <c r="Z235" s="712"/>
      <c r="AA235" s="712"/>
      <c r="AB235" s="712"/>
      <c r="AC235" s="712"/>
      <c r="AD235" s="712"/>
      <c r="AE235" s="712"/>
      <c r="AF235" s="712"/>
      <c r="AG235" s="712"/>
      <c r="AH235" s="712"/>
      <c r="AI235" s="712"/>
      <c r="AJ235" s="712"/>
      <c r="AK235" s="712"/>
      <c r="AL235" s="712"/>
      <c r="AM235" s="712"/>
      <c r="AN235" s="712"/>
      <c r="AO235" s="712"/>
    </row>
    <row r="236">
      <c r="B236" s="1023" t="s">
        <v>960</v>
      </c>
      <c r="G236" s="712"/>
      <c r="H236" s="712"/>
      <c r="I236" s="712"/>
      <c r="J236" s="712"/>
      <c r="K236" s="712"/>
      <c r="L236" s="712"/>
      <c r="M236" s="712"/>
      <c r="N236" s="712"/>
      <c r="O236" s="712"/>
      <c r="P236" s="712"/>
      <c r="Q236" s="712"/>
      <c r="R236" s="712"/>
      <c r="S236" s="712"/>
      <c r="T236" s="712"/>
      <c r="U236" s="712"/>
      <c r="V236" s="712"/>
      <c r="W236" s="712"/>
      <c r="X236" s="712"/>
      <c r="Y236" s="712"/>
      <c r="Z236" s="712"/>
      <c r="AA236" s="712"/>
      <c r="AB236" s="712"/>
      <c r="AC236" s="712"/>
      <c r="AD236" s="712"/>
      <c r="AE236" s="712"/>
      <c r="AF236" s="712"/>
      <c r="AG236" s="712"/>
      <c r="AH236" s="712"/>
      <c r="AI236" s="712"/>
      <c r="AJ236" s="712"/>
      <c r="AK236" s="712"/>
      <c r="AL236" s="712"/>
      <c r="AM236" s="712"/>
      <c r="AN236" s="712"/>
      <c r="AO236" s="712"/>
    </row>
    <row r="237">
      <c r="B237" s="1023" t="s">
        <v>961</v>
      </c>
      <c r="G237" s="712"/>
      <c r="H237" s="712"/>
      <c r="I237" s="712"/>
      <c r="J237" s="712"/>
      <c r="K237" s="712"/>
      <c r="L237" s="712"/>
      <c r="M237" s="712"/>
      <c r="N237" s="712"/>
      <c r="O237" s="712"/>
      <c r="P237" s="712"/>
      <c r="Q237" s="712"/>
      <c r="R237" s="712"/>
      <c r="S237" s="712"/>
      <c r="T237" s="712"/>
      <c r="U237" s="712"/>
      <c r="V237" s="712"/>
      <c r="W237" s="712"/>
      <c r="X237" s="712"/>
      <c r="Y237" s="712"/>
      <c r="Z237" s="712"/>
      <c r="AA237" s="712"/>
      <c r="AB237" s="712"/>
      <c r="AC237" s="712"/>
      <c r="AD237" s="712"/>
      <c r="AE237" s="712"/>
      <c r="AF237" s="712"/>
      <c r="AG237" s="712"/>
      <c r="AH237" s="712"/>
      <c r="AI237" s="712"/>
      <c r="AJ237" s="712"/>
      <c r="AK237" s="712"/>
      <c r="AL237" s="712"/>
      <c r="AM237" s="712"/>
      <c r="AN237" s="712"/>
      <c r="AO237" s="712"/>
    </row>
    <row r="238">
      <c r="A238" s="1011" t="s">
        <v>1024</v>
      </c>
      <c r="G238" s="712"/>
      <c r="H238" s="712"/>
      <c r="I238" s="712"/>
      <c r="J238" s="712"/>
      <c r="K238" s="712"/>
      <c r="L238" s="712"/>
      <c r="M238" s="712"/>
      <c r="N238" s="712"/>
      <c r="O238" s="712"/>
      <c r="P238" s="712"/>
      <c r="Q238" s="712"/>
      <c r="R238" s="712"/>
      <c r="S238" s="712"/>
      <c r="T238" s="712"/>
      <c r="U238" s="712"/>
      <c r="V238" s="712"/>
      <c r="W238" s="712"/>
      <c r="X238" s="712"/>
      <c r="Y238" s="712"/>
      <c r="Z238" s="712"/>
      <c r="AA238" s="712"/>
      <c r="AB238" s="712"/>
      <c r="AC238" s="712"/>
      <c r="AD238" s="712"/>
      <c r="AE238" s="712"/>
      <c r="AF238" s="712"/>
      <c r="AG238" s="712"/>
      <c r="AH238" s="712"/>
      <c r="AI238" s="712"/>
      <c r="AJ238" s="712"/>
      <c r="AK238" s="712"/>
      <c r="AL238" s="712"/>
      <c r="AM238" s="712"/>
      <c r="AN238" s="712"/>
      <c r="AO238" s="712"/>
    </row>
    <row r="239">
      <c r="A239" s="1057" t="s">
        <v>974</v>
      </c>
      <c r="B239" s="1020" t="s">
        <v>950</v>
      </c>
      <c r="G239" s="712"/>
      <c r="H239" s="712"/>
      <c r="I239" s="712"/>
      <c r="J239" s="712"/>
      <c r="K239" s="712"/>
      <c r="L239" s="712"/>
      <c r="M239" s="712"/>
      <c r="N239" s="712"/>
      <c r="O239" s="712"/>
      <c r="P239" s="712"/>
      <c r="Q239" s="712"/>
      <c r="R239" s="712"/>
      <c r="S239" s="712"/>
      <c r="T239" s="712"/>
      <c r="U239" s="712"/>
      <c r="V239" s="712"/>
      <c r="W239" s="712"/>
      <c r="X239" s="712"/>
      <c r="Y239" s="712"/>
      <c r="Z239" s="712"/>
      <c r="AA239" s="712"/>
      <c r="AB239" s="712"/>
      <c r="AC239" s="712"/>
      <c r="AD239" s="712"/>
      <c r="AE239" s="712"/>
      <c r="AF239" s="712"/>
      <c r="AG239" s="712"/>
      <c r="AH239" s="712"/>
      <c r="AI239" s="712"/>
      <c r="AJ239" s="712"/>
      <c r="AK239" s="712"/>
      <c r="AL239" s="712"/>
      <c r="AM239" s="712"/>
      <c r="AN239" s="712"/>
      <c r="AO239" s="712"/>
    </row>
    <row r="240">
      <c r="B240" s="1023" t="s">
        <v>952</v>
      </c>
      <c r="G240" s="712"/>
      <c r="H240" s="712"/>
      <c r="I240" s="712"/>
      <c r="J240" s="712"/>
      <c r="K240" s="712"/>
      <c r="L240" s="712"/>
      <c r="M240" s="712"/>
      <c r="N240" s="712"/>
      <c r="O240" s="712"/>
      <c r="P240" s="712"/>
      <c r="Q240" s="712"/>
      <c r="R240" s="712"/>
      <c r="S240" s="712"/>
      <c r="T240" s="712"/>
      <c r="U240" s="712"/>
      <c r="V240" s="712"/>
      <c r="W240" s="712"/>
      <c r="X240" s="712"/>
      <c r="Y240" s="712"/>
      <c r="Z240" s="712"/>
      <c r="AA240" s="712"/>
      <c r="AB240" s="712"/>
      <c r="AC240" s="712"/>
      <c r="AD240" s="712"/>
      <c r="AE240" s="712"/>
      <c r="AF240" s="712"/>
      <c r="AG240" s="712"/>
      <c r="AH240" s="712"/>
      <c r="AI240" s="712"/>
      <c r="AJ240" s="712"/>
      <c r="AK240" s="712"/>
      <c r="AL240" s="712"/>
      <c r="AM240" s="712"/>
      <c r="AN240" s="712"/>
      <c r="AO240" s="712"/>
    </row>
    <row r="241">
      <c r="B241" s="1023" t="s">
        <v>953</v>
      </c>
      <c r="G241" s="712"/>
      <c r="H241" s="712"/>
      <c r="I241" s="712"/>
      <c r="J241" s="712"/>
      <c r="K241" s="712"/>
      <c r="L241" s="712"/>
      <c r="M241" s="712"/>
      <c r="N241" s="712"/>
      <c r="O241" s="712"/>
      <c r="P241" s="712"/>
      <c r="Q241" s="712"/>
      <c r="R241" s="712"/>
      <c r="S241" s="712"/>
      <c r="T241" s="712"/>
      <c r="U241" s="712"/>
      <c r="V241" s="712"/>
      <c r="W241" s="712"/>
      <c r="X241" s="712"/>
      <c r="Y241" s="712"/>
      <c r="Z241" s="712"/>
      <c r="AA241" s="712"/>
      <c r="AB241" s="712"/>
      <c r="AC241" s="712"/>
      <c r="AD241" s="712"/>
      <c r="AE241" s="712"/>
      <c r="AF241" s="712"/>
      <c r="AG241" s="712"/>
      <c r="AH241" s="712"/>
      <c r="AI241" s="712"/>
      <c r="AJ241" s="712"/>
      <c r="AK241" s="712"/>
      <c r="AL241" s="712"/>
      <c r="AM241" s="712"/>
      <c r="AN241" s="712"/>
      <c r="AO241" s="712"/>
    </row>
    <row r="242">
      <c r="B242" s="1023" t="s">
        <v>954</v>
      </c>
      <c r="G242" s="712"/>
      <c r="H242" s="712"/>
      <c r="I242" s="712"/>
      <c r="J242" s="712"/>
      <c r="K242" s="712"/>
      <c r="L242" s="712"/>
      <c r="M242" s="712"/>
      <c r="N242" s="712"/>
      <c r="O242" s="712"/>
      <c r="P242" s="712"/>
      <c r="Q242" s="712"/>
      <c r="R242" s="712"/>
      <c r="S242" s="712"/>
      <c r="T242" s="712"/>
      <c r="U242" s="712"/>
      <c r="V242" s="712"/>
      <c r="W242" s="712"/>
      <c r="X242" s="712"/>
      <c r="Y242" s="712"/>
      <c r="Z242" s="712"/>
      <c r="AA242" s="712"/>
      <c r="AB242" s="712"/>
      <c r="AC242" s="712"/>
      <c r="AD242" s="712"/>
      <c r="AE242" s="712"/>
      <c r="AF242" s="712"/>
      <c r="AG242" s="712"/>
      <c r="AH242" s="712"/>
      <c r="AI242" s="712"/>
      <c r="AJ242" s="712"/>
      <c r="AK242" s="712"/>
      <c r="AL242" s="712"/>
      <c r="AM242" s="712"/>
      <c r="AN242" s="712"/>
      <c r="AO242" s="712"/>
    </row>
    <row r="243">
      <c r="B243" s="1034" t="s">
        <v>956</v>
      </c>
      <c r="G243" s="712"/>
      <c r="H243" s="712"/>
      <c r="I243" s="712"/>
      <c r="J243" s="712"/>
      <c r="K243" s="712"/>
      <c r="L243" s="712"/>
      <c r="M243" s="712"/>
      <c r="N243" s="712"/>
      <c r="O243" s="712"/>
      <c r="P243" s="712"/>
      <c r="Q243" s="712"/>
      <c r="R243" s="712"/>
      <c r="S243" s="712"/>
      <c r="T243" s="712"/>
      <c r="U243" s="712"/>
      <c r="V243" s="712"/>
      <c r="W243" s="712"/>
      <c r="X243" s="712"/>
      <c r="Y243" s="712"/>
      <c r="Z243" s="712"/>
      <c r="AA243" s="712"/>
      <c r="AB243" s="712"/>
      <c r="AC243" s="712"/>
      <c r="AD243" s="712"/>
      <c r="AE243" s="712"/>
      <c r="AF243" s="712"/>
      <c r="AG243" s="712"/>
      <c r="AH243" s="712"/>
      <c r="AI243" s="712"/>
      <c r="AJ243" s="712"/>
      <c r="AK243" s="712"/>
      <c r="AL243" s="712"/>
      <c r="AM243" s="712"/>
      <c r="AN243" s="712"/>
      <c r="AO243" s="712"/>
    </row>
    <row r="244">
      <c r="B244" s="1034" t="s">
        <v>958</v>
      </c>
      <c r="G244" s="712"/>
      <c r="H244" s="712"/>
      <c r="I244" s="712"/>
      <c r="J244" s="712"/>
      <c r="K244" s="712"/>
      <c r="L244" s="712"/>
      <c r="M244" s="712"/>
      <c r="N244" s="712"/>
      <c r="O244" s="712"/>
      <c r="P244" s="712"/>
      <c r="Q244" s="712"/>
      <c r="R244" s="712"/>
      <c r="S244" s="712"/>
      <c r="T244" s="712"/>
      <c r="U244" s="712"/>
      <c r="V244" s="712"/>
      <c r="W244" s="712"/>
      <c r="X244" s="712"/>
      <c r="Y244" s="712"/>
      <c r="Z244" s="712"/>
      <c r="AA244" s="712"/>
      <c r="AB244" s="712"/>
      <c r="AC244" s="712"/>
      <c r="AD244" s="712"/>
      <c r="AE244" s="712"/>
      <c r="AF244" s="712"/>
      <c r="AG244" s="712"/>
      <c r="AH244" s="712"/>
      <c r="AI244" s="712"/>
      <c r="AJ244" s="712"/>
      <c r="AK244" s="712"/>
      <c r="AL244" s="712"/>
      <c r="AM244" s="712"/>
      <c r="AN244" s="712"/>
      <c r="AO244" s="712"/>
    </row>
    <row r="245">
      <c r="B245" s="1023" t="s">
        <v>959</v>
      </c>
      <c r="G245" s="712"/>
      <c r="H245" s="712"/>
      <c r="I245" s="712"/>
      <c r="J245" s="712"/>
      <c r="K245" s="712"/>
      <c r="L245" s="712"/>
      <c r="M245" s="712"/>
      <c r="N245" s="712"/>
      <c r="O245" s="712"/>
      <c r="P245" s="712"/>
      <c r="Q245" s="712"/>
      <c r="R245" s="712"/>
      <c r="S245" s="712"/>
      <c r="T245" s="712"/>
      <c r="U245" s="712"/>
      <c r="V245" s="712"/>
      <c r="W245" s="712"/>
      <c r="X245" s="712"/>
      <c r="Y245" s="712"/>
      <c r="Z245" s="712"/>
      <c r="AA245" s="712"/>
      <c r="AB245" s="712"/>
      <c r="AC245" s="712"/>
      <c r="AD245" s="712"/>
      <c r="AE245" s="712"/>
      <c r="AF245" s="712"/>
      <c r="AG245" s="712"/>
      <c r="AH245" s="712"/>
      <c r="AI245" s="712"/>
      <c r="AJ245" s="712"/>
      <c r="AK245" s="712"/>
      <c r="AL245" s="712"/>
      <c r="AM245" s="712"/>
      <c r="AN245" s="712"/>
      <c r="AO245" s="712"/>
    </row>
    <row r="246">
      <c r="B246" s="1023" t="s">
        <v>960</v>
      </c>
      <c r="G246" s="712"/>
      <c r="H246" s="712"/>
      <c r="I246" s="712"/>
      <c r="J246" s="712"/>
      <c r="K246" s="712"/>
      <c r="L246" s="712"/>
      <c r="M246" s="712"/>
      <c r="N246" s="712"/>
      <c r="O246" s="712"/>
      <c r="P246" s="712"/>
      <c r="Q246" s="712"/>
      <c r="R246" s="712"/>
      <c r="S246" s="712"/>
      <c r="T246" s="712"/>
      <c r="U246" s="712"/>
      <c r="V246" s="712"/>
      <c r="W246" s="712"/>
      <c r="X246" s="712"/>
      <c r="Y246" s="712"/>
      <c r="Z246" s="712"/>
      <c r="AA246" s="712"/>
      <c r="AB246" s="712"/>
      <c r="AC246" s="712"/>
      <c r="AD246" s="712"/>
      <c r="AE246" s="712"/>
      <c r="AF246" s="712"/>
      <c r="AG246" s="712"/>
      <c r="AH246" s="712"/>
      <c r="AI246" s="712"/>
      <c r="AJ246" s="712"/>
      <c r="AK246" s="712"/>
      <c r="AL246" s="712"/>
      <c r="AM246" s="712"/>
      <c r="AN246" s="712"/>
      <c r="AO246" s="712"/>
    </row>
    <row r="247">
      <c r="B247" s="1023" t="s">
        <v>961</v>
      </c>
      <c r="G247" s="712"/>
      <c r="H247" s="712"/>
      <c r="I247" s="712"/>
      <c r="J247" s="712"/>
      <c r="K247" s="712"/>
      <c r="L247" s="712"/>
      <c r="M247" s="712"/>
      <c r="N247" s="712"/>
      <c r="O247" s="712"/>
      <c r="P247" s="712"/>
      <c r="Q247" s="712"/>
      <c r="R247" s="712"/>
      <c r="S247" s="712"/>
      <c r="T247" s="712"/>
      <c r="U247" s="712"/>
      <c r="V247" s="712"/>
      <c r="W247" s="712"/>
      <c r="X247" s="712"/>
      <c r="Y247" s="712"/>
      <c r="Z247" s="712"/>
      <c r="AA247" s="712"/>
      <c r="AB247" s="712"/>
      <c r="AC247" s="712"/>
      <c r="AD247" s="712"/>
      <c r="AE247" s="712"/>
      <c r="AF247" s="712"/>
      <c r="AG247" s="712"/>
      <c r="AH247" s="712"/>
      <c r="AI247" s="712"/>
      <c r="AJ247" s="712"/>
      <c r="AK247" s="712"/>
      <c r="AL247" s="712"/>
      <c r="AM247" s="712"/>
      <c r="AN247" s="712"/>
      <c r="AO247" s="712"/>
    </row>
    <row r="248">
      <c r="A248" s="1019" t="s">
        <v>977</v>
      </c>
      <c r="B248" s="1020" t="s">
        <v>950</v>
      </c>
      <c r="G248" s="712"/>
      <c r="H248" s="712"/>
      <c r="I248" s="712"/>
      <c r="J248" s="712"/>
      <c r="K248" s="712"/>
      <c r="L248" s="712"/>
      <c r="M248" s="712"/>
      <c r="N248" s="712"/>
      <c r="O248" s="712"/>
      <c r="P248" s="712"/>
      <c r="Q248" s="712"/>
      <c r="R248" s="712"/>
      <c r="S248" s="712"/>
      <c r="T248" s="712"/>
      <c r="U248" s="712"/>
      <c r="V248" s="712"/>
      <c r="W248" s="712"/>
      <c r="X248" s="712"/>
      <c r="Y248" s="712"/>
      <c r="Z248" s="712"/>
      <c r="AA248" s="712"/>
      <c r="AB248" s="712"/>
      <c r="AC248" s="712"/>
      <c r="AD248" s="712"/>
      <c r="AE248" s="712"/>
      <c r="AF248" s="712"/>
      <c r="AG248" s="712"/>
      <c r="AH248" s="712"/>
      <c r="AI248" s="712"/>
      <c r="AJ248" s="712"/>
      <c r="AK248" s="712"/>
      <c r="AL248" s="712"/>
      <c r="AM248" s="712"/>
      <c r="AN248" s="712"/>
      <c r="AO248" s="712"/>
    </row>
    <row r="249">
      <c r="B249" s="1023" t="s">
        <v>952</v>
      </c>
      <c r="G249" s="712"/>
      <c r="H249" s="712"/>
      <c r="I249" s="712"/>
      <c r="J249" s="712"/>
      <c r="K249" s="712"/>
      <c r="L249" s="712"/>
      <c r="M249" s="712"/>
      <c r="N249" s="712"/>
      <c r="O249" s="712"/>
      <c r="P249" s="712"/>
      <c r="Q249" s="712"/>
      <c r="R249" s="712"/>
      <c r="S249" s="712"/>
      <c r="T249" s="712"/>
      <c r="U249" s="712"/>
      <c r="V249" s="712"/>
      <c r="W249" s="712"/>
      <c r="X249" s="712"/>
      <c r="Y249" s="712"/>
      <c r="Z249" s="712"/>
      <c r="AA249" s="712"/>
      <c r="AB249" s="712"/>
      <c r="AC249" s="712"/>
      <c r="AD249" s="712"/>
      <c r="AE249" s="712"/>
      <c r="AF249" s="712"/>
      <c r="AG249" s="712"/>
      <c r="AH249" s="712"/>
      <c r="AI249" s="712"/>
      <c r="AJ249" s="712"/>
      <c r="AK249" s="712"/>
      <c r="AL249" s="712"/>
      <c r="AM249" s="712"/>
      <c r="AN249" s="712"/>
      <c r="AO249" s="712"/>
    </row>
    <row r="250">
      <c r="B250" s="1023" t="s">
        <v>953</v>
      </c>
      <c r="G250" s="712"/>
      <c r="H250" s="712"/>
      <c r="I250" s="712"/>
      <c r="J250" s="712"/>
      <c r="K250" s="712"/>
      <c r="L250" s="712"/>
      <c r="M250" s="712"/>
      <c r="N250" s="712"/>
      <c r="O250" s="712"/>
      <c r="P250" s="712"/>
      <c r="Q250" s="712"/>
      <c r="R250" s="712"/>
      <c r="S250" s="712"/>
      <c r="T250" s="712"/>
      <c r="U250" s="712"/>
      <c r="V250" s="712"/>
      <c r="W250" s="712"/>
      <c r="X250" s="712"/>
      <c r="Y250" s="712"/>
      <c r="Z250" s="712"/>
      <c r="AA250" s="712"/>
      <c r="AB250" s="712"/>
      <c r="AC250" s="712"/>
      <c r="AD250" s="712"/>
      <c r="AE250" s="712"/>
      <c r="AF250" s="712"/>
      <c r="AG250" s="712"/>
      <c r="AH250" s="712"/>
      <c r="AI250" s="712"/>
      <c r="AJ250" s="712"/>
      <c r="AK250" s="712"/>
      <c r="AL250" s="712"/>
      <c r="AM250" s="712"/>
      <c r="AN250" s="712"/>
      <c r="AO250" s="712"/>
    </row>
    <row r="251">
      <c r="B251" s="1023" t="s">
        <v>954</v>
      </c>
      <c r="G251" s="712"/>
      <c r="H251" s="712"/>
      <c r="I251" s="712"/>
      <c r="J251" s="712"/>
      <c r="K251" s="712"/>
      <c r="L251" s="712"/>
      <c r="M251" s="712"/>
      <c r="N251" s="712"/>
      <c r="O251" s="712"/>
      <c r="P251" s="712"/>
      <c r="Q251" s="712"/>
      <c r="R251" s="712"/>
      <c r="S251" s="712"/>
      <c r="T251" s="712"/>
      <c r="U251" s="712"/>
      <c r="V251" s="712"/>
      <c r="W251" s="712"/>
      <c r="X251" s="712"/>
      <c r="Y251" s="712"/>
      <c r="Z251" s="712"/>
      <c r="AA251" s="712"/>
      <c r="AB251" s="712"/>
      <c r="AC251" s="712"/>
      <c r="AD251" s="712"/>
      <c r="AE251" s="712"/>
      <c r="AF251" s="712"/>
      <c r="AG251" s="712"/>
      <c r="AH251" s="712"/>
      <c r="AI251" s="712"/>
      <c r="AJ251" s="712"/>
      <c r="AK251" s="712"/>
      <c r="AL251" s="712"/>
      <c r="AM251" s="712"/>
      <c r="AN251" s="712"/>
      <c r="AO251" s="712"/>
    </row>
    <row r="252">
      <c r="B252" s="1034" t="s">
        <v>956</v>
      </c>
      <c r="G252" s="712"/>
      <c r="H252" s="712"/>
      <c r="I252" s="712"/>
      <c r="J252" s="712"/>
      <c r="K252" s="712"/>
      <c r="L252" s="712"/>
      <c r="M252" s="712"/>
      <c r="N252" s="712"/>
      <c r="O252" s="712"/>
      <c r="P252" s="712"/>
      <c r="Q252" s="712"/>
      <c r="R252" s="712"/>
      <c r="S252" s="712"/>
      <c r="T252" s="712"/>
      <c r="U252" s="712"/>
      <c r="V252" s="712"/>
      <c r="W252" s="712"/>
      <c r="X252" s="712"/>
      <c r="Y252" s="712"/>
      <c r="Z252" s="712"/>
      <c r="AA252" s="712"/>
      <c r="AB252" s="712"/>
      <c r="AC252" s="712"/>
      <c r="AD252" s="712"/>
      <c r="AE252" s="712"/>
      <c r="AF252" s="712"/>
      <c r="AG252" s="712"/>
      <c r="AH252" s="712"/>
      <c r="AI252" s="712"/>
      <c r="AJ252" s="712"/>
      <c r="AK252" s="712"/>
      <c r="AL252" s="712"/>
      <c r="AM252" s="712"/>
      <c r="AN252" s="712"/>
      <c r="AO252" s="712"/>
    </row>
    <row r="253">
      <c r="B253" s="1034" t="s">
        <v>958</v>
      </c>
      <c r="G253" s="712"/>
      <c r="H253" s="712"/>
      <c r="I253" s="712"/>
      <c r="J253" s="712"/>
      <c r="K253" s="712"/>
      <c r="L253" s="712"/>
      <c r="M253" s="712"/>
      <c r="N253" s="712"/>
      <c r="O253" s="712"/>
      <c r="P253" s="712"/>
      <c r="Q253" s="712"/>
      <c r="R253" s="712"/>
      <c r="S253" s="712"/>
      <c r="T253" s="712"/>
      <c r="U253" s="712"/>
      <c r="V253" s="712"/>
      <c r="W253" s="712"/>
      <c r="X253" s="712"/>
      <c r="Y253" s="712"/>
      <c r="Z253" s="712"/>
      <c r="AA253" s="712"/>
      <c r="AB253" s="712"/>
      <c r="AC253" s="712"/>
      <c r="AD253" s="712"/>
      <c r="AE253" s="712"/>
      <c r="AF253" s="712"/>
      <c r="AG253" s="712"/>
      <c r="AH253" s="712"/>
      <c r="AI253" s="712"/>
      <c r="AJ253" s="712"/>
      <c r="AK253" s="712"/>
      <c r="AL253" s="712"/>
      <c r="AM253" s="712"/>
      <c r="AN253" s="712"/>
      <c r="AO253" s="712"/>
    </row>
    <row r="254">
      <c r="B254" s="1023" t="s">
        <v>959</v>
      </c>
      <c r="G254" s="712"/>
      <c r="H254" s="712"/>
      <c r="I254" s="712"/>
      <c r="J254" s="712"/>
      <c r="K254" s="712"/>
      <c r="L254" s="712"/>
      <c r="M254" s="712"/>
      <c r="N254" s="712"/>
      <c r="O254" s="712"/>
      <c r="P254" s="712"/>
      <c r="Q254" s="712"/>
      <c r="R254" s="712"/>
      <c r="S254" s="712"/>
      <c r="T254" s="712"/>
      <c r="U254" s="712"/>
      <c r="V254" s="712"/>
      <c r="W254" s="712"/>
      <c r="X254" s="712"/>
      <c r="Y254" s="712"/>
      <c r="Z254" s="712"/>
      <c r="AA254" s="712"/>
      <c r="AB254" s="712"/>
      <c r="AC254" s="712"/>
      <c r="AD254" s="712"/>
      <c r="AE254" s="712"/>
      <c r="AF254" s="712"/>
      <c r="AG254" s="712"/>
      <c r="AH254" s="712"/>
      <c r="AI254" s="712"/>
      <c r="AJ254" s="712"/>
      <c r="AK254" s="712"/>
      <c r="AL254" s="712"/>
      <c r="AM254" s="712"/>
      <c r="AN254" s="712"/>
      <c r="AO254" s="712"/>
    </row>
    <row r="255">
      <c r="B255" s="1023" t="s">
        <v>960</v>
      </c>
      <c r="G255" s="712"/>
      <c r="H255" s="712"/>
      <c r="I255" s="712"/>
      <c r="J255" s="712"/>
      <c r="K255" s="712"/>
      <c r="L255" s="712"/>
      <c r="M255" s="712"/>
      <c r="N255" s="712"/>
      <c r="O255" s="712"/>
      <c r="P255" s="712"/>
      <c r="Q255" s="712"/>
      <c r="R255" s="712"/>
      <c r="S255" s="712"/>
      <c r="T255" s="712"/>
      <c r="U255" s="712"/>
      <c r="V255" s="712"/>
      <c r="W255" s="712"/>
      <c r="X255" s="712"/>
      <c r="Y255" s="712"/>
      <c r="Z255" s="712"/>
      <c r="AA255" s="712"/>
      <c r="AB255" s="712"/>
      <c r="AC255" s="712"/>
      <c r="AD255" s="712"/>
      <c r="AE255" s="712"/>
      <c r="AF255" s="712"/>
      <c r="AG255" s="712"/>
      <c r="AH255" s="712"/>
      <c r="AI255" s="712"/>
      <c r="AJ255" s="712"/>
      <c r="AK255" s="712"/>
      <c r="AL255" s="712"/>
      <c r="AM255" s="712"/>
      <c r="AN255" s="712"/>
      <c r="AO255" s="712"/>
    </row>
    <row r="256">
      <c r="B256" s="1023" t="s">
        <v>961</v>
      </c>
      <c r="G256" s="712"/>
      <c r="H256" s="712"/>
      <c r="I256" s="712"/>
      <c r="J256" s="712"/>
      <c r="K256" s="712"/>
      <c r="L256" s="712"/>
      <c r="M256" s="712"/>
      <c r="N256" s="712"/>
      <c r="O256" s="712"/>
      <c r="P256" s="712"/>
      <c r="Q256" s="712"/>
      <c r="R256" s="712"/>
      <c r="S256" s="712"/>
      <c r="T256" s="712"/>
      <c r="U256" s="712"/>
      <c r="V256" s="712"/>
      <c r="W256" s="712"/>
      <c r="X256" s="712"/>
      <c r="Y256" s="712"/>
      <c r="Z256" s="712"/>
      <c r="AA256" s="712"/>
      <c r="AB256" s="712"/>
      <c r="AC256" s="712"/>
      <c r="AD256" s="712"/>
      <c r="AE256" s="712"/>
      <c r="AF256" s="712"/>
      <c r="AG256" s="712"/>
      <c r="AH256" s="712"/>
      <c r="AI256" s="712"/>
      <c r="AJ256" s="712"/>
      <c r="AK256" s="712"/>
      <c r="AL256" s="712"/>
      <c r="AM256" s="712"/>
      <c r="AN256" s="712"/>
      <c r="AO256" s="712"/>
    </row>
    <row r="257">
      <c r="A257" s="1019" t="s">
        <v>979</v>
      </c>
      <c r="B257" s="1020" t="s">
        <v>950</v>
      </c>
      <c r="G257" s="712"/>
      <c r="H257" s="712"/>
      <c r="I257" s="712"/>
      <c r="J257" s="712"/>
      <c r="K257" s="712"/>
      <c r="L257" s="712"/>
      <c r="M257" s="712"/>
      <c r="N257" s="712"/>
      <c r="O257" s="712"/>
      <c r="P257" s="712"/>
      <c r="Q257" s="712"/>
      <c r="R257" s="712"/>
      <c r="S257" s="712"/>
      <c r="T257" s="712"/>
      <c r="U257" s="712"/>
      <c r="V257" s="712"/>
      <c r="W257" s="712"/>
      <c r="X257" s="712"/>
      <c r="Y257" s="712"/>
      <c r="Z257" s="712"/>
      <c r="AA257" s="712"/>
      <c r="AB257" s="712"/>
      <c r="AC257" s="712"/>
      <c r="AD257" s="712"/>
      <c r="AE257" s="712"/>
      <c r="AF257" s="712"/>
      <c r="AG257" s="712"/>
      <c r="AH257" s="712"/>
      <c r="AI257" s="712"/>
      <c r="AJ257" s="712"/>
      <c r="AK257" s="712"/>
      <c r="AL257" s="712"/>
      <c r="AM257" s="712"/>
      <c r="AN257" s="712"/>
      <c r="AO257" s="712"/>
    </row>
    <row r="258">
      <c r="B258" s="1023" t="s">
        <v>952</v>
      </c>
      <c r="G258" s="712"/>
      <c r="H258" s="712"/>
      <c r="I258" s="712"/>
      <c r="J258" s="712"/>
      <c r="K258" s="712"/>
      <c r="L258" s="712"/>
      <c r="M258" s="712"/>
      <c r="N258" s="712"/>
      <c r="O258" s="712"/>
      <c r="P258" s="712"/>
      <c r="Q258" s="712"/>
      <c r="R258" s="712"/>
      <c r="S258" s="712"/>
      <c r="T258" s="712"/>
      <c r="U258" s="712"/>
      <c r="V258" s="712"/>
      <c r="W258" s="712"/>
      <c r="X258" s="712"/>
      <c r="Y258" s="712"/>
      <c r="Z258" s="712"/>
      <c r="AA258" s="712"/>
      <c r="AB258" s="712"/>
      <c r="AC258" s="712"/>
      <c r="AD258" s="712"/>
      <c r="AE258" s="712"/>
      <c r="AF258" s="712"/>
      <c r="AG258" s="712"/>
      <c r="AH258" s="712"/>
      <c r="AI258" s="712"/>
      <c r="AJ258" s="712"/>
      <c r="AK258" s="712"/>
      <c r="AL258" s="712"/>
      <c r="AM258" s="712"/>
      <c r="AN258" s="712"/>
      <c r="AO258" s="712"/>
    </row>
    <row r="259">
      <c r="B259" s="1023" t="s">
        <v>953</v>
      </c>
      <c r="G259" s="712"/>
      <c r="H259" s="712"/>
      <c r="I259" s="712"/>
      <c r="J259" s="712"/>
      <c r="K259" s="712"/>
      <c r="L259" s="712"/>
      <c r="M259" s="712"/>
      <c r="N259" s="712"/>
      <c r="O259" s="712"/>
      <c r="P259" s="712"/>
      <c r="Q259" s="712"/>
      <c r="R259" s="712"/>
      <c r="S259" s="712"/>
      <c r="T259" s="712"/>
      <c r="U259" s="712"/>
      <c r="V259" s="712"/>
      <c r="W259" s="712"/>
      <c r="X259" s="712"/>
      <c r="Y259" s="712"/>
      <c r="Z259" s="712"/>
      <c r="AA259" s="712"/>
      <c r="AB259" s="712"/>
      <c r="AC259" s="712"/>
      <c r="AD259" s="712"/>
      <c r="AE259" s="712"/>
      <c r="AF259" s="712"/>
      <c r="AG259" s="712"/>
      <c r="AH259" s="712"/>
      <c r="AI259" s="712"/>
      <c r="AJ259" s="712"/>
      <c r="AK259" s="712"/>
      <c r="AL259" s="712"/>
      <c r="AM259" s="712"/>
      <c r="AN259" s="712"/>
      <c r="AO259" s="712"/>
    </row>
    <row r="260">
      <c r="B260" s="1023" t="s">
        <v>954</v>
      </c>
      <c r="G260" s="712"/>
      <c r="H260" s="712"/>
      <c r="I260" s="712"/>
      <c r="J260" s="712"/>
      <c r="K260" s="712"/>
      <c r="L260" s="712"/>
      <c r="M260" s="712"/>
      <c r="N260" s="712"/>
      <c r="O260" s="712"/>
      <c r="P260" s="712"/>
      <c r="Q260" s="712"/>
      <c r="R260" s="712"/>
      <c r="S260" s="712"/>
      <c r="T260" s="712"/>
      <c r="U260" s="712"/>
      <c r="V260" s="712"/>
      <c r="W260" s="712"/>
      <c r="X260" s="712"/>
      <c r="Y260" s="712"/>
      <c r="Z260" s="712"/>
      <c r="AA260" s="712"/>
      <c r="AB260" s="712"/>
      <c r="AC260" s="712"/>
      <c r="AD260" s="712"/>
      <c r="AE260" s="712"/>
      <c r="AF260" s="712"/>
      <c r="AG260" s="712"/>
      <c r="AH260" s="712"/>
      <c r="AI260" s="712"/>
      <c r="AJ260" s="712"/>
      <c r="AK260" s="712"/>
      <c r="AL260" s="712"/>
      <c r="AM260" s="712"/>
      <c r="AN260" s="712"/>
      <c r="AO260" s="712"/>
    </row>
    <row r="261">
      <c r="B261" s="1034" t="s">
        <v>956</v>
      </c>
      <c r="G261" s="712"/>
      <c r="H261" s="712"/>
      <c r="I261" s="712"/>
      <c r="J261" s="712"/>
      <c r="K261" s="712"/>
      <c r="L261" s="712"/>
      <c r="M261" s="712"/>
      <c r="N261" s="712"/>
      <c r="O261" s="712"/>
      <c r="P261" s="712"/>
      <c r="Q261" s="712"/>
      <c r="R261" s="712"/>
      <c r="S261" s="712"/>
      <c r="T261" s="712"/>
      <c r="U261" s="712"/>
      <c r="V261" s="712"/>
      <c r="W261" s="712"/>
      <c r="X261" s="712"/>
      <c r="Y261" s="712"/>
      <c r="Z261" s="712"/>
      <c r="AA261" s="712"/>
      <c r="AB261" s="712"/>
      <c r="AC261" s="712"/>
      <c r="AD261" s="712"/>
      <c r="AE261" s="712"/>
      <c r="AF261" s="712"/>
      <c r="AG261" s="712"/>
      <c r="AH261" s="712"/>
      <c r="AI261" s="712"/>
      <c r="AJ261" s="712"/>
      <c r="AK261" s="712"/>
      <c r="AL261" s="712"/>
      <c r="AM261" s="712"/>
      <c r="AN261" s="712"/>
      <c r="AO261" s="712"/>
    </row>
    <row r="262">
      <c r="B262" s="1034" t="s">
        <v>958</v>
      </c>
      <c r="G262" s="712"/>
      <c r="H262" s="712"/>
      <c r="I262" s="712"/>
      <c r="J262" s="712"/>
      <c r="K262" s="712"/>
      <c r="L262" s="712"/>
      <c r="M262" s="712"/>
      <c r="N262" s="712"/>
      <c r="O262" s="712"/>
      <c r="P262" s="712"/>
      <c r="Q262" s="712"/>
      <c r="R262" s="712"/>
      <c r="S262" s="712"/>
      <c r="T262" s="712"/>
      <c r="U262" s="712"/>
      <c r="V262" s="712"/>
      <c r="W262" s="712"/>
      <c r="X262" s="712"/>
      <c r="Y262" s="712"/>
      <c r="Z262" s="712"/>
      <c r="AA262" s="712"/>
      <c r="AB262" s="712"/>
      <c r="AC262" s="712"/>
      <c r="AD262" s="712"/>
      <c r="AE262" s="712"/>
      <c r="AF262" s="712"/>
      <c r="AG262" s="712"/>
      <c r="AH262" s="712"/>
      <c r="AI262" s="712"/>
      <c r="AJ262" s="712"/>
      <c r="AK262" s="712"/>
      <c r="AL262" s="712"/>
      <c r="AM262" s="712"/>
      <c r="AN262" s="712"/>
      <c r="AO262" s="712"/>
    </row>
    <row r="263">
      <c r="B263" s="1023" t="s">
        <v>959</v>
      </c>
      <c r="G263" s="712"/>
      <c r="H263" s="712"/>
      <c r="I263" s="712"/>
      <c r="J263" s="712"/>
      <c r="K263" s="712"/>
      <c r="L263" s="712"/>
      <c r="M263" s="712"/>
      <c r="N263" s="712"/>
      <c r="O263" s="712"/>
      <c r="P263" s="712"/>
      <c r="Q263" s="712"/>
      <c r="R263" s="712"/>
      <c r="S263" s="712"/>
      <c r="T263" s="712"/>
      <c r="U263" s="712"/>
      <c r="V263" s="712"/>
      <c r="W263" s="712"/>
      <c r="X263" s="712"/>
      <c r="Y263" s="712"/>
      <c r="Z263" s="712"/>
      <c r="AA263" s="712"/>
      <c r="AB263" s="712"/>
      <c r="AC263" s="712"/>
      <c r="AD263" s="712"/>
      <c r="AE263" s="712"/>
      <c r="AF263" s="712"/>
      <c r="AG263" s="712"/>
      <c r="AH263" s="712"/>
      <c r="AI263" s="712"/>
      <c r="AJ263" s="712"/>
      <c r="AK263" s="712"/>
      <c r="AL263" s="712"/>
      <c r="AM263" s="712"/>
      <c r="AN263" s="712"/>
      <c r="AO263" s="712"/>
    </row>
    <row r="264">
      <c r="B264" s="1023" t="s">
        <v>960</v>
      </c>
      <c r="G264" s="712"/>
      <c r="H264" s="712"/>
      <c r="I264" s="712"/>
      <c r="J264" s="712"/>
      <c r="K264" s="712"/>
      <c r="L264" s="712"/>
      <c r="M264" s="712"/>
      <c r="N264" s="712"/>
      <c r="O264" s="712"/>
      <c r="P264" s="712"/>
      <c r="Q264" s="712"/>
      <c r="R264" s="712"/>
      <c r="S264" s="712"/>
      <c r="T264" s="712"/>
      <c r="U264" s="712"/>
      <c r="V264" s="712"/>
      <c r="W264" s="712"/>
      <c r="X264" s="712"/>
      <c r="Y264" s="712"/>
      <c r="Z264" s="712"/>
      <c r="AA264" s="712"/>
      <c r="AB264" s="712"/>
      <c r="AC264" s="712"/>
      <c r="AD264" s="712"/>
      <c r="AE264" s="712"/>
      <c r="AF264" s="712"/>
      <c r="AG264" s="712"/>
      <c r="AH264" s="712"/>
      <c r="AI264" s="712"/>
      <c r="AJ264" s="712"/>
      <c r="AK264" s="712"/>
      <c r="AL264" s="712"/>
      <c r="AM264" s="712"/>
      <c r="AN264" s="712"/>
      <c r="AO264" s="712"/>
    </row>
    <row r="265">
      <c r="B265" s="1023" t="s">
        <v>961</v>
      </c>
      <c r="G265" s="712"/>
      <c r="H265" s="712"/>
      <c r="I265" s="712"/>
      <c r="J265" s="712"/>
      <c r="K265" s="712"/>
      <c r="L265" s="712"/>
      <c r="M265" s="712"/>
      <c r="N265" s="712"/>
      <c r="O265" s="712"/>
      <c r="P265" s="712"/>
      <c r="Q265" s="712"/>
      <c r="R265" s="712"/>
      <c r="S265" s="712"/>
      <c r="T265" s="712"/>
      <c r="U265" s="712"/>
      <c r="V265" s="712"/>
      <c r="W265" s="712"/>
      <c r="X265" s="712"/>
      <c r="Y265" s="712"/>
      <c r="Z265" s="712"/>
      <c r="AA265" s="712"/>
      <c r="AB265" s="712"/>
      <c r="AC265" s="712"/>
      <c r="AD265" s="712"/>
      <c r="AE265" s="712"/>
      <c r="AF265" s="712"/>
      <c r="AG265" s="712"/>
      <c r="AH265" s="712"/>
      <c r="AI265" s="712"/>
      <c r="AJ265" s="712"/>
      <c r="AK265" s="712"/>
      <c r="AL265" s="712"/>
      <c r="AM265" s="712"/>
      <c r="AN265" s="712"/>
      <c r="AO265" s="712"/>
    </row>
    <row r="266">
      <c r="A266" s="1019" t="s">
        <v>981</v>
      </c>
      <c r="B266" s="1020" t="s">
        <v>950</v>
      </c>
      <c r="G266" s="712"/>
      <c r="H266" s="712"/>
      <c r="I266" s="712"/>
      <c r="J266" s="712"/>
      <c r="K266" s="712"/>
      <c r="L266" s="712"/>
      <c r="M266" s="712"/>
      <c r="N266" s="712"/>
      <c r="O266" s="712"/>
      <c r="P266" s="712"/>
      <c r="Q266" s="712"/>
      <c r="R266" s="712"/>
      <c r="S266" s="712"/>
      <c r="T266" s="712"/>
      <c r="U266" s="712"/>
      <c r="V266" s="712"/>
      <c r="W266" s="712"/>
      <c r="X266" s="712"/>
      <c r="Y266" s="712"/>
      <c r="Z266" s="712"/>
      <c r="AA266" s="712"/>
      <c r="AB266" s="712"/>
      <c r="AC266" s="712"/>
      <c r="AD266" s="712"/>
      <c r="AE266" s="712"/>
      <c r="AF266" s="712"/>
      <c r="AG266" s="712"/>
      <c r="AH266" s="712"/>
      <c r="AI266" s="712"/>
      <c r="AJ266" s="712"/>
      <c r="AK266" s="712"/>
      <c r="AL266" s="712"/>
      <c r="AM266" s="712"/>
      <c r="AN266" s="712"/>
      <c r="AO266" s="712"/>
    </row>
    <row r="267">
      <c r="B267" s="1023" t="s">
        <v>952</v>
      </c>
      <c r="G267" s="712"/>
      <c r="H267" s="712"/>
      <c r="I267" s="712"/>
      <c r="J267" s="712"/>
      <c r="K267" s="712"/>
      <c r="L267" s="712"/>
      <c r="M267" s="712"/>
      <c r="N267" s="712"/>
      <c r="O267" s="712"/>
      <c r="P267" s="712"/>
      <c r="Q267" s="712"/>
      <c r="R267" s="712"/>
      <c r="S267" s="712"/>
      <c r="T267" s="712"/>
      <c r="U267" s="712"/>
      <c r="V267" s="712"/>
      <c r="W267" s="712"/>
      <c r="X267" s="712"/>
      <c r="Y267" s="712"/>
      <c r="Z267" s="712"/>
      <c r="AA267" s="712"/>
      <c r="AB267" s="712"/>
      <c r="AC267" s="712"/>
      <c r="AD267" s="712"/>
      <c r="AE267" s="712"/>
      <c r="AF267" s="712"/>
      <c r="AG267" s="712"/>
      <c r="AH267" s="712"/>
      <c r="AI267" s="712"/>
      <c r="AJ267" s="712"/>
      <c r="AK267" s="712"/>
      <c r="AL267" s="712"/>
      <c r="AM267" s="712"/>
      <c r="AN267" s="712"/>
      <c r="AO267" s="712"/>
    </row>
    <row r="268">
      <c r="B268" s="1023" t="s">
        <v>953</v>
      </c>
      <c r="G268" s="712"/>
      <c r="H268" s="712"/>
      <c r="I268" s="712"/>
      <c r="J268" s="712"/>
      <c r="K268" s="712"/>
      <c r="L268" s="712"/>
      <c r="M268" s="712"/>
      <c r="N268" s="712"/>
      <c r="O268" s="712"/>
      <c r="P268" s="712"/>
      <c r="Q268" s="712"/>
      <c r="R268" s="712"/>
      <c r="S268" s="712"/>
      <c r="T268" s="712"/>
      <c r="U268" s="712"/>
      <c r="V268" s="712"/>
      <c r="W268" s="712"/>
      <c r="X268" s="712"/>
      <c r="Y268" s="712"/>
      <c r="Z268" s="712"/>
      <c r="AA268" s="712"/>
      <c r="AB268" s="712"/>
      <c r="AC268" s="712"/>
      <c r="AD268" s="712"/>
      <c r="AE268" s="712"/>
      <c r="AF268" s="712"/>
      <c r="AG268" s="712"/>
      <c r="AH268" s="712"/>
      <c r="AI268" s="712"/>
      <c r="AJ268" s="712"/>
      <c r="AK268" s="712"/>
      <c r="AL268" s="712"/>
      <c r="AM268" s="712"/>
      <c r="AN268" s="712"/>
      <c r="AO268" s="712"/>
    </row>
    <row r="269">
      <c r="B269" s="1023" t="s">
        <v>954</v>
      </c>
      <c r="G269" s="712"/>
      <c r="H269" s="712"/>
      <c r="I269" s="712"/>
      <c r="J269" s="712"/>
      <c r="K269" s="712"/>
      <c r="L269" s="712"/>
      <c r="M269" s="712"/>
      <c r="N269" s="712"/>
      <c r="O269" s="712"/>
      <c r="P269" s="712"/>
      <c r="Q269" s="712"/>
      <c r="R269" s="712"/>
      <c r="S269" s="712"/>
      <c r="T269" s="712"/>
      <c r="U269" s="712"/>
      <c r="V269" s="712"/>
      <c r="W269" s="712"/>
      <c r="X269" s="712"/>
      <c r="Y269" s="712"/>
      <c r="Z269" s="712"/>
      <c r="AA269" s="712"/>
      <c r="AB269" s="712"/>
      <c r="AC269" s="712"/>
      <c r="AD269" s="712"/>
      <c r="AE269" s="712"/>
      <c r="AF269" s="712"/>
      <c r="AG269" s="712"/>
      <c r="AH269" s="712"/>
      <c r="AI269" s="712"/>
      <c r="AJ269" s="712"/>
      <c r="AK269" s="712"/>
      <c r="AL269" s="712"/>
      <c r="AM269" s="712"/>
      <c r="AN269" s="712"/>
      <c r="AO269" s="712"/>
    </row>
    <row r="270">
      <c r="B270" s="1034" t="s">
        <v>956</v>
      </c>
      <c r="G270" s="712"/>
      <c r="H270" s="712"/>
      <c r="I270" s="712"/>
      <c r="J270" s="712"/>
      <c r="K270" s="712"/>
      <c r="L270" s="712"/>
      <c r="M270" s="712"/>
      <c r="N270" s="712"/>
      <c r="O270" s="712"/>
      <c r="P270" s="712"/>
      <c r="Q270" s="712"/>
      <c r="R270" s="712"/>
      <c r="S270" s="712"/>
      <c r="T270" s="712"/>
      <c r="U270" s="712"/>
      <c r="V270" s="712"/>
      <c r="W270" s="712"/>
      <c r="X270" s="712"/>
      <c r="Y270" s="712"/>
      <c r="Z270" s="712"/>
      <c r="AA270" s="712"/>
      <c r="AB270" s="712"/>
      <c r="AC270" s="712"/>
      <c r="AD270" s="712"/>
      <c r="AE270" s="712"/>
      <c r="AF270" s="712"/>
      <c r="AG270" s="712"/>
      <c r="AH270" s="712"/>
      <c r="AI270" s="712"/>
      <c r="AJ270" s="712"/>
      <c r="AK270" s="712"/>
      <c r="AL270" s="712"/>
      <c r="AM270" s="712"/>
      <c r="AN270" s="712"/>
      <c r="AO270" s="712"/>
    </row>
    <row r="271">
      <c r="B271" s="1034" t="s">
        <v>958</v>
      </c>
      <c r="G271" s="712"/>
      <c r="H271" s="712"/>
      <c r="I271" s="712"/>
      <c r="J271" s="712"/>
      <c r="K271" s="712"/>
      <c r="L271" s="712"/>
      <c r="M271" s="712"/>
      <c r="N271" s="712"/>
      <c r="O271" s="712"/>
      <c r="P271" s="712"/>
      <c r="Q271" s="712"/>
      <c r="R271" s="712"/>
      <c r="S271" s="712"/>
      <c r="T271" s="712"/>
      <c r="U271" s="712"/>
      <c r="V271" s="712"/>
      <c r="W271" s="712"/>
      <c r="X271" s="712"/>
      <c r="Y271" s="712"/>
      <c r="Z271" s="712"/>
      <c r="AA271" s="712"/>
      <c r="AB271" s="712"/>
      <c r="AC271" s="712"/>
      <c r="AD271" s="712"/>
      <c r="AE271" s="712"/>
      <c r="AF271" s="712"/>
      <c r="AG271" s="712"/>
      <c r="AH271" s="712"/>
      <c r="AI271" s="712"/>
      <c r="AJ271" s="712"/>
      <c r="AK271" s="712"/>
      <c r="AL271" s="712"/>
      <c r="AM271" s="712"/>
      <c r="AN271" s="712"/>
      <c r="AO271" s="712"/>
    </row>
    <row r="272">
      <c r="B272" s="1023" t="s">
        <v>959</v>
      </c>
      <c r="G272" s="712"/>
      <c r="H272" s="712"/>
      <c r="I272" s="712"/>
      <c r="J272" s="712"/>
      <c r="K272" s="712"/>
      <c r="L272" s="712"/>
      <c r="M272" s="712"/>
      <c r="N272" s="712"/>
      <c r="O272" s="712"/>
      <c r="P272" s="712"/>
      <c r="Q272" s="712"/>
      <c r="R272" s="712"/>
      <c r="S272" s="712"/>
      <c r="T272" s="712"/>
      <c r="U272" s="712"/>
      <c r="V272" s="712"/>
      <c r="W272" s="712"/>
      <c r="X272" s="712"/>
      <c r="Y272" s="712"/>
      <c r="Z272" s="712"/>
      <c r="AA272" s="712"/>
      <c r="AB272" s="712"/>
      <c r="AC272" s="712"/>
      <c r="AD272" s="712"/>
      <c r="AE272" s="712"/>
      <c r="AF272" s="712"/>
      <c r="AG272" s="712"/>
      <c r="AH272" s="712"/>
      <c r="AI272" s="712"/>
      <c r="AJ272" s="712"/>
      <c r="AK272" s="712"/>
      <c r="AL272" s="712"/>
      <c r="AM272" s="712"/>
      <c r="AN272" s="712"/>
      <c r="AO272" s="712"/>
    </row>
    <row r="273">
      <c r="B273" s="1023" t="s">
        <v>960</v>
      </c>
      <c r="G273" s="712"/>
      <c r="H273" s="712"/>
      <c r="I273" s="712"/>
      <c r="J273" s="712"/>
      <c r="K273" s="712"/>
      <c r="L273" s="712"/>
      <c r="M273" s="712"/>
      <c r="N273" s="712"/>
      <c r="O273" s="712"/>
      <c r="P273" s="712"/>
      <c r="Q273" s="712"/>
      <c r="R273" s="712"/>
      <c r="S273" s="712"/>
      <c r="T273" s="712"/>
      <c r="U273" s="712"/>
      <c r="V273" s="712"/>
      <c r="W273" s="712"/>
      <c r="X273" s="712"/>
      <c r="Y273" s="712"/>
      <c r="Z273" s="712"/>
      <c r="AA273" s="712"/>
      <c r="AB273" s="712"/>
      <c r="AC273" s="712"/>
      <c r="AD273" s="712"/>
      <c r="AE273" s="712"/>
      <c r="AF273" s="712"/>
      <c r="AG273" s="712"/>
      <c r="AH273" s="712"/>
      <c r="AI273" s="712"/>
      <c r="AJ273" s="712"/>
      <c r="AK273" s="712"/>
      <c r="AL273" s="712"/>
      <c r="AM273" s="712"/>
      <c r="AN273" s="712"/>
      <c r="AO273" s="712"/>
    </row>
    <row r="274">
      <c r="B274" s="1023" t="s">
        <v>961</v>
      </c>
      <c r="G274" s="712"/>
      <c r="H274" s="712"/>
      <c r="I274" s="712"/>
      <c r="J274" s="712"/>
      <c r="K274" s="712"/>
      <c r="L274" s="712"/>
      <c r="M274" s="712"/>
      <c r="N274" s="712"/>
      <c r="O274" s="712"/>
      <c r="P274" s="712"/>
      <c r="Q274" s="712"/>
      <c r="R274" s="712"/>
      <c r="S274" s="712"/>
      <c r="T274" s="712"/>
      <c r="U274" s="712"/>
      <c r="V274" s="712"/>
      <c r="W274" s="712"/>
      <c r="X274" s="712"/>
      <c r="Y274" s="712"/>
      <c r="Z274" s="712"/>
      <c r="AA274" s="712"/>
      <c r="AB274" s="712"/>
      <c r="AC274" s="712"/>
      <c r="AD274" s="712"/>
      <c r="AE274" s="712"/>
      <c r="AF274" s="712"/>
      <c r="AG274" s="712"/>
      <c r="AH274" s="712"/>
      <c r="AI274" s="712"/>
      <c r="AJ274" s="712"/>
      <c r="AK274" s="712"/>
      <c r="AL274" s="712"/>
      <c r="AM274" s="712"/>
      <c r="AN274" s="712"/>
      <c r="AO274" s="712"/>
    </row>
    <row r="275">
      <c r="A275" s="1019" t="s">
        <v>984</v>
      </c>
      <c r="B275" s="1020" t="s">
        <v>950</v>
      </c>
      <c r="G275" s="712"/>
      <c r="H275" s="712"/>
      <c r="I275" s="712"/>
      <c r="J275" s="712"/>
      <c r="K275" s="712"/>
      <c r="L275" s="712"/>
      <c r="M275" s="712"/>
      <c r="N275" s="712"/>
      <c r="O275" s="712"/>
      <c r="P275" s="712"/>
      <c r="Q275" s="712"/>
      <c r="R275" s="712"/>
      <c r="S275" s="712"/>
      <c r="T275" s="712"/>
      <c r="U275" s="712"/>
      <c r="V275" s="712"/>
      <c r="W275" s="712"/>
      <c r="X275" s="712"/>
      <c r="Y275" s="712"/>
      <c r="Z275" s="712"/>
      <c r="AA275" s="712"/>
      <c r="AB275" s="712"/>
      <c r="AC275" s="712"/>
      <c r="AD275" s="712"/>
      <c r="AE275" s="712"/>
      <c r="AF275" s="712"/>
      <c r="AG275" s="712"/>
      <c r="AH275" s="712"/>
      <c r="AI275" s="712"/>
      <c r="AJ275" s="712"/>
      <c r="AK275" s="712"/>
      <c r="AL275" s="712"/>
      <c r="AM275" s="712"/>
      <c r="AN275" s="712"/>
      <c r="AO275" s="712"/>
    </row>
    <row r="276">
      <c r="B276" s="1023" t="s">
        <v>952</v>
      </c>
      <c r="G276" s="712"/>
      <c r="H276" s="712"/>
      <c r="I276" s="712"/>
      <c r="J276" s="712"/>
      <c r="K276" s="712"/>
      <c r="L276" s="712"/>
      <c r="M276" s="712"/>
      <c r="N276" s="712"/>
      <c r="O276" s="712"/>
      <c r="P276" s="712"/>
      <c r="Q276" s="712"/>
      <c r="R276" s="712"/>
      <c r="S276" s="712"/>
      <c r="T276" s="712"/>
      <c r="U276" s="712"/>
      <c r="V276" s="712"/>
      <c r="W276" s="712"/>
      <c r="X276" s="712"/>
      <c r="Y276" s="712"/>
      <c r="Z276" s="712"/>
      <c r="AA276" s="712"/>
      <c r="AB276" s="712"/>
      <c r="AC276" s="712"/>
      <c r="AD276" s="712"/>
      <c r="AE276" s="712"/>
      <c r="AF276" s="712"/>
      <c r="AG276" s="712"/>
      <c r="AH276" s="712"/>
      <c r="AI276" s="712"/>
      <c r="AJ276" s="712"/>
      <c r="AK276" s="712"/>
      <c r="AL276" s="712"/>
      <c r="AM276" s="712"/>
      <c r="AN276" s="712"/>
      <c r="AO276" s="712"/>
    </row>
    <row r="277">
      <c r="B277" s="1023" t="s">
        <v>953</v>
      </c>
      <c r="G277" s="712"/>
      <c r="H277" s="712"/>
      <c r="I277" s="712"/>
      <c r="J277" s="712"/>
      <c r="K277" s="712"/>
      <c r="L277" s="712"/>
      <c r="M277" s="712"/>
      <c r="N277" s="712"/>
      <c r="O277" s="712"/>
      <c r="P277" s="712"/>
      <c r="Q277" s="712"/>
      <c r="R277" s="712"/>
      <c r="S277" s="712"/>
      <c r="T277" s="712"/>
      <c r="U277" s="712"/>
      <c r="V277" s="712"/>
      <c r="W277" s="712"/>
      <c r="X277" s="712"/>
      <c r="Y277" s="712"/>
      <c r="Z277" s="712"/>
      <c r="AA277" s="712"/>
      <c r="AB277" s="712"/>
      <c r="AC277" s="712"/>
      <c r="AD277" s="712"/>
      <c r="AE277" s="712"/>
      <c r="AF277" s="712"/>
      <c r="AG277" s="712"/>
      <c r="AH277" s="712"/>
      <c r="AI277" s="712"/>
      <c r="AJ277" s="712"/>
      <c r="AK277" s="712"/>
      <c r="AL277" s="712"/>
      <c r="AM277" s="712"/>
      <c r="AN277" s="712"/>
      <c r="AO277" s="712"/>
    </row>
    <row r="278">
      <c r="B278" s="1023" t="s">
        <v>954</v>
      </c>
      <c r="G278" s="712"/>
      <c r="H278" s="712"/>
      <c r="I278" s="712"/>
      <c r="J278" s="712"/>
      <c r="K278" s="712"/>
      <c r="L278" s="712"/>
      <c r="M278" s="712"/>
      <c r="N278" s="712"/>
      <c r="O278" s="712"/>
      <c r="P278" s="712"/>
      <c r="Q278" s="712"/>
      <c r="R278" s="712"/>
      <c r="S278" s="712"/>
      <c r="T278" s="712"/>
      <c r="U278" s="712"/>
      <c r="V278" s="712"/>
      <c r="W278" s="712"/>
      <c r="X278" s="712"/>
      <c r="Y278" s="712"/>
      <c r="Z278" s="712"/>
      <c r="AA278" s="712"/>
      <c r="AB278" s="712"/>
      <c r="AC278" s="712"/>
      <c r="AD278" s="712"/>
      <c r="AE278" s="712"/>
      <c r="AF278" s="712"/>
      <c r="AG278" s="712"/>
      <c r="AH278" s="712"/>
      <c r="AI278" s="712"/>
      <c r="AJ278" s="712"/>
      <c r="AK278" s="712"/>
      <c r="AL278" s="712"/>
      <c r="AM278" s="712"/>
      <c r="AN278" s="712"/>
      <c r="AO278" s="712"/>
    </row>
    <row r="279">
      <c r="B279" s="1034" t="s">
        <v>956</v>
      </c>
      <c r="G279" s="712"/>
      <c r="H279" s="712"/>
      <c r="I279" s="712"/>
      <c r="J279" s="712"/>
      <c r="K279" s="712"/>
      <c r="L279" s="712"/>
      <c r="M279" s="712"/>
      <c r="N279" s="712"/>
      <c r="O279" s="712"/>
      <c r="P279" s="712"/>
      <c r="Q279" s="712"/>
      <c r="R279" s="712"/>
      <c r="S279" s="712"/>
      <c r="T279" s="712"/>
      <c r="U279" s="712"/>
      <c r="V279" s="712"/>
      <c r="W279" s="712"/>
      <c r="X279" s="712"/>
      <c r="Y279" s="712"/>
      <c r="Z279" s="712"/>
      <c r="AA279" s="712"/>
      <c r="AB279" s="712"/>
      <c r="AC279" s="712"/>
      <c r="AD279" s="712"/>
      <c r="AE279" s="712"/>
      <c r="AF279" s="712"/>
      <c r="AG279" s="712"/>
      <c r="AH279" s="712"/>
      <c r="AI279" s="712"/>
      <c r="AJ279" s="712"/>
      <c r="AK279" s="712"/>
      <c r="AL279" s="712"/>
      <c r="AM279" s="712"/>
      <c r="AN279" s="712"/>
      <c r="AO279" s="712"/>
    </row>
    <row r="280">
      <c r="B280" s="1034" t="s">
        <v>958</v>
      </c>
      <c r="G280" s="712"/>
      <c r="H280" s="712"/>
      <c r="I280" s="712"/>
      <c r="J280" s="712"/>
      <c r="K280" s="712"/>
      <c r="L280" s="712"/>
      <c r="M280" s="712"/>
      <c r="N280" s="712"/>
      <c r="O280" s="712"/>
      <c r="P280" s="712"/>
      <c r="Q280" s="712"/>
      <c r="R280" s="712"/>
      <c r="S280" s="712"/>
      <c r="T280" s="712"/>
      <c r="U280" s="712"/>
      <c r="V280" s="712"/>
      <c r="W280" s="712"/>
      <c r="X280" s="712"/>
      <c r="Y280" s="712"/>
      <c r="Z280" s="712"/>
      <c r="AA280" s="712"/>
      <c r="AB280" s="712"/>
      <c r="AC280" s="712"/>
      <c r="AD280" s="712"/>
      <c r="AE280" s="712"/>
      <c r="AF280" s="712"/>
      <c r="AG280" s="712"/>
      <c r="AH280" s="712"/>
      <c r="AI280" s="712"/>
      <c r="AJ280" s="712"/>
      <c r="AK280" s="712"/>
      <c r="AL280" s="712"/>
      <c r="AM280" s="712"/>
      <c r="AN280" s="712"/>
      <c r="AO280" s="712"/>
    </row>
    <row r="281">
      <c r="B281" s="1023" t="s">
        <v>959</v>
      </c>
      <c r="G281" s="712"/>
      <c r="H281" s="712"/>
      <c r="I281" s="712"/>
      <c r="J281" s="712"/>
      <c r="K281" s="712"/>
      <c r="L281" s="712"/>
      <c r="M281" s="712"/>
      <c r="N281" s="712"/>
      <c r="O281" s="712"/>
      <c r="P281" s="712"/>
      <c r="Q281" s="712"/>
      <c r="R281" s="712"/>
      <c r="S281" s="712"/>
      <c r="T281" s="712"/>
      <c r="U281" s="712"/>
      <c r="V281" s="712"/>
      <c r="W281" s="712"/>
      <c r="X281" s="712"/>
      <c r="Y281" s="712"/>
      <c r="Z281" s="712"/>
      <c r="AA281" s="712"/>
      <c r="AB281" s="712"/>
      <c r="AC281" s="712"/>
      <c r="AD281" s="712"/>
      <c r="AE281" s="712"/>
      <c r="AF281" s="712"/>
      <c r="AG281" s="712"/>
      <c r="AH281" s="712"/>
      <c r="AI281" s="712"/>
      <c r="AJ281" s="712"/>
      <c r="AK281" s="712"/>
      <c r="AL281" s="712"/>
      <c r="AM281" s="712"/>
      <c r="AN281" s="712"/>
      <c r="AO281" s="712"/>
    </row>
    <row r="282">
      <c r="B282" s="1023" t="s">
        <v>960</v>
      </c>
      <c r="G282" s="712"/>
      <c r="H282" s="712"/>
      <c r="I282" s="712"/>
      <c r="J282" s="712"/>
      <c r="K282" s="712"/>
      <c r="L282" s="712"/>
      <c r="M282" s="712"/>
      <c r="N282" s="712"/>
      <c r="O282" s="712"/>
      <c r="P282" s="712"/>
      <c r="Q282" s="712"/>
      <c r="R282" s="712"/>
      <c r="S282" s="712"/>
      <c r="T282" s="712"/>
      <c r="U282" s="712"/>
      <c r="V282" s="712"/>
      <c r="W282" s="712"/>
      <c r="X282" s="712"/>
      <c r="Y282" s="712"/>
      <c r="Z282" s="712"/>
      <c r="AA282" s="712"/>
      <c r="AB282" s="712"/>
      <c r="AC282" s="712"/>
      <c r="AD282" s="712"/>
      <c r="AE282" s="712"/>
      <c r="AF282" s="712"/>
      <c r="AG282" s="712"/>
      <c r="AH282" s="712"/>
      <c r="AI282" s="712"/>
      <c r="AJ282" s="712"/>
      <c r="AK282" s="712"/>
      <c r="AL282" s="712"/>
      <c r="AM282" s="712"/>
      <c r="AN282" s="712"/>
      <c r="AO282" s="712"/>
    </row>
    <row r="283">
      <c r="B283" s="1023" t="s">
        <v>961</v>
      </c>
      <c r="G283" s="712"/>
      <c r="H283" s="712"/>
      <c r="I283" s="712"/>
      <c r="J283" s="712"/>
      <c r="K283" s="712"/>
      <c r="L283" s="712"/>
      <c r="M283" s="712"/>
      <c r="N283" s="712"/>
      <c r="O283" s="712"/>
      <c r="P283" s="712"/>
      <c r="Q283" s="712"/>
      <c r="R283" s="712"/>
      <c r="S283" s="712"/>
      <c r="T283" s="712"/>
      <c r="U283" s="712"/>
      <c r="V283" s="712"/>
      <c r="W283" s="712"/>
      <c r="X283" s="712"/>
      <c r="Y283" s="712"/>
      <c r="Z283" s="712"/>
      <c r="AA283" s="712"/>
      <c r="AB283" s="712"/>
      <c r="AC283" s="712"/>
      <c r="AD283" s="712"/>
      <c r="AE283" s="712"/>
      <c r="AF283" s="712"/>
      <c r="AG283" s="712"/>
      <c r="AH283" s="712"/>
      <c r="AI283" s="712"/>
      <c r="AJ283" s="712"/>
      <c r="AK283" s="712"/>
      <c r="AL283" s="712"/>
      <c r="AM283" s="712"/>
      <c r="AN283" s="712"/>
      <c r="AO283" s="712"/>
    </row>
    <row r="284">
      <c r="A284" s="1019" t="s">
        <v>988</v>
      </c>
      <c r="B284" s="1020" t="s">
        <v>950</v>
      </c>
      <c r="G284" s="712"/>
      <c r="H284" s="712"/>
      <c r="I284" s="712"/>
      <c r="J284" s="712"/>
      <c r="K284" s="712"/>
      <c r="L284" s="712"/>
      <c r="M284" s="712"/>
      <c r="N284" s="712"/>
      <c r="O284" s="712"/>
      <c r="P284" s="712"/>
      <c r="Q284" s="712"/>
      <c r="R284" s="712"/>
      <c r="S284" s="712"/>
      <c r="T284" s="712"/>
      <c r="U284" s="712"/>
      <c r="V284" s="712"/>
      <c r="W284" s="712"/>
      <c r="X284" s="712"/>
      <c r="Y284" s="712"/>
      <c r="Z284" s="712"/>
      <c r="AA284" s="712"/>
      <c r="AB284" s="712"/>
      <c r="AC284" s="712"/>
      <c r="AD284" s="712"/>
      <c r="AE284" s="712"/>
      <c r="AF284" s="712"/>
      <c r="AG284" s="712"/>
      <c r="AH284" s="712"/>
      <c r="AI284" s="712"/>
      <c r="AJ284" s="712"/>
      <c r="AK284" s="712"/>
      <c r="AL284" s="712"/>
      <c r="AM284" s="712"/>
      <c r="AN284" s="712"/>
      <c r="AO284" s="712"/>
    </row>
    <row r="285">
      <c r="B285" s="1023" t="s">
        <v>952</v>
      </c>
      <c r="G285" s="712"/>
      <c r="H285" s="712"/>
      <c r="I285" s="712"/>
      <c r="J285" s="712"/>
      <c r="K285" s="712"/>
      <c r="L285" s="712"/>
      <c r="M285" s="712"/>
      <c r="N285" s="712"/>
      <c r="O285" s="712"/>
      <c r="P285" s="712"/>
      <c r="Q285" s="712"/>
      <c r="R285" s="712"/>
      <c r="S285" s="712"/>
      <c r="T285" s="712"/>
      <c r="U285" s="712"/>
      <c r="V285" s="712"/>
      <c r="W285" s="712"/>
      <c r="X285" s="712"/>
      <c r="Y285" s="712"/>
      <c r="Z285" s="712"/>
      <c r="AA285" s="712"/>
      <c r="AB285" s="712"/>
      <c r="AC285" s="712"/>
      <c r="AD285" s="712"/>
      <c r="AE285" s="712"/>
      <c r="AF285" s="712"/>
      <c r="AG285" s="712"/>
      <c r="AH285" s="712"/>
      <c r="AI285" s="712"/>
      <c r="AJ285" s="712"/>
      <c r="AK285" s="712"/>
      <c r="AL285" s="712"/>
      <c r="AM285" s="712"/>
      <c r="AN285" s="712"/>
      <c r="AO285" s="712"/>
    </row>
    <row r="286">
      <c r="B286" s="1023" t="s">
        <v>953</v>
      </c>
      <c r="G286" s="712"/>
      <c r="H286" s="712"/>
      <c r="I286" s="712"/>
      <c r="J286" s="712"/>
      <c r="K286" s="712"/>
      <c r="L286" s="712"/>
      <c r="M286" s="712"/>
      <c r="N286" s="712"/>
      <c r="O286" s="712"/>
      <c r="P286" s="712"/>
      <c r="Q286" s="712"/>
      <c r="R286" s="712"/>
      <c r="S286" s="712"/>
      <c r="T286" s="712"/>
      <c r="U286" s="712"/>
      <c r="V286" s="712"/>
      <c r="W286" s="712"/>
      <c r="X286" s="712"/>
      <c r="Y286" s="712"/>
      <c r="Z286" s="712"/>
      <c r="AA286" s="712"/>
      <c r="AB286" s="712"/>
      <c r="AC286" s="712"/>
      <c r="AD286" s="712"/>
      <c r="AE286" s="712"/>
      <c r="AF286" s="712"/>
      <c r="AG286" s="712"/>
      <c r="AH286" s="712"/>
      <c r="AI286" s="712"/>
      <c r="AJ286" s="712"/>
      <c r="AK286" s="712"/>
      <c r="AL286" s="712"/>
      <c r="AM286" s="712"/>
      <c r="AN286" s="712"/>
      <c r="AO286" s="712"/>
    </row>
    <row r="287">
      <c r="B287" s="1023" t="s">
        <v>954</v>
      </c>
      <c r="G287" s="712"/>
      <c r="H287" s="712"/>
      <c r="I287" s="712"/>
      <c r="J287" s="712"/>
      <c r="K287" s="712"/>
      <c r="L287" s="712"/>
      <c r="M287" s="712"/>
      <c r="N287" s="712"/>
      <c r="O287" s="712"/>
      <c r="P287" s="712"/>
      <c r="Q287" s="712"/>
      <c r="R287" s="712"/>
      <c r="S287" s="712"/>
      <c r="T287" s="712"/>
      <c r="U287" s="712"/>
      <c r="V287" s="712"/>
      <c r="W287" s="712"/>
      <c r="X287" s="712"/>
      <c r="Y287" s="712"/>
      <c r="Z287" s="712"/>
      <c r="AA287" s="712"/>
      <c r="AB287" s="712"/>
      <c r="AC287" s="712"/>
      <c r="AD287" s="712"/>
      <c r="AE287" s="712"/>
      <c r="AF287" s="712"/>
      <c r="AG287" s="712"/>
      <c r="AH287" s="712"/>
      <c r="AI287" s="712"/>
      <c r="AJ287" s="712"/>
      <c r="AK287" s="712"/>
      <c r="AL287" s="712"/>
      <c r="AM287" s="712"/>
      <c r="AN287" s="712"/>
      <c r="AO287" s="712"/>
    </row>
    <row r="288">
      <c r="B288" s="1034" t="s">
        <v>956</v>
      </c>
      <c r="G288" s="712"/>
      <c r="H288" s="712"/>
      <c r="I288" s="712"/>
      <c r="J288" s="712"/>
      <c r="K288" s="712"/>
      <c r="L288" s="712"/>
      <c r="M288" s="712"/>
      <c r="N288" s="712"/>
      <c r="O288" s="712"/>
      <c r="P288" s="712"/>
      <c r="Q288" s="712"/>
      <c r="R288" s="712"/>
      <c r="S288" s="712"/>
      <c r="T288" s="712"/>
      <c r="U288" s="712"/>
      <c r="V288" s="712"/>
      <c r="W288" s="712"/>
      <c r="X288" s="712"/>
      <c r="Y288" s="712"/>
      <c r="Z288" s="712"/>
      <c r="AA288" s="712"/>
      <c r="AB288" s="712"/>
      <c r="AC288" s="712"/>
      <c r="AD288" s="712"/>
      <c r="AE288" s="712"/>
      <c r="AF288" s="712"/>
      <c r="AG288" s="712"/>
      <c r="AH288" s="712"/>
      <c r="AI288" s="712"/>
      <c r="AJ288" s="712"/>
      <c r="AK288" s="712"/>
      <c r="AL288" s="712"/>
      <c r="AM288" s="712"/>
      <c r="AN288" s="712"/>
      <c r="AO288" s="712"/>
    </row>
    <row r="289">
      <c r="B289" s="1034" t="s">
        <v>958</v>
      </c>
      <c r="G289" s="712"/>
      <c r="H289" s="712"/>
      <c r="I289" s="712"/>
      <c r="J289" s="712"/>
      <c r="K289" s="712"/>
      <c r="L289" s="712"/>
      <c r="M289" s="712"/>
      <c r="N289" s="712"/>
      <c r="O289" s="712"/>
      <c r="P289" s="712"/>
      <c r="Q289" s="712"/>
      <c r="R289" s="712"/>
      <c r="S289" s="712"/>
      <c r="T289" s="712"/>
      <c r="U289" s="712"/>
      <c r="V289" s="712"/>
      <c r="W289" s="712"/>
      <c r="X289" s="712"/>
      <c r="Y289" s="712"/>
      <c r="Z289" s="712"/>
      <c r="AA289" s="712"/>
      <c r="AB289" s="712"/>
      <c r="AC289" s="712"/>
      <c r="AD289" s="712"/>
      <c r="AE289" s="712"/>
      <c r="AF289" s="712"/>
      <c r="AG289" s="712"/>
      <c r="AH289" s="712"/>
      <c r="AI289" s="712"/>
      <c r="AJ289" s="712"/>
      <c r="AK289" s="712"/>
      <c r="AL289" s="712"/>
      <c r="AM289" s="712"/>
      <c r="AN289" s="712"/>
      <c r="AO289" s="712"/>
    </row>
    <row r="290">
      <c r="B290" s="1023" t="s">
        <v>959</v>
      </c>
      <c r="G290" s="712"/>
      <c r="H290" s="712"/>
      <c r="I290" s="712"/>
      <c r="J290" s="712"/>
      <c r="K290" s="712"/>
      <c r="L290" s="712"/>
      <c r="M290" s="712"/>
      <c r="N290" s="712"/>
      <c r="O290" s="712"/>
      <c r="P290" s="712"/>
      <c r="Q290" s="712"/>
      <c r="R290" s="712"/>
      <c r="S290" s="712"/>
      <c r="T290" s="712"/>
      <c r="U290" s="712"/>
      <c r="V290" s="712"/>
      <c r="W290" s="712"/>
      <c r="X290" s="712"/>
      <c r="Y290" s="712"/>
      <c r="Z290" s="712"/>
      <c r="AA290" s="712"/>
      <c r="AB290" s="712"/>
      <c r="AC290" s="712"/>
      <c r="AD290" s="712"/>
      <c r="AE290" s="712"/>
      <c r="AF290" s="712"/>
      <c r="AG290" s="712"/>
      <c r="AH290" s="712"/>
      <c r="AI290" s="712"/>
      <c r="AJ290" s="712"/>
      <c r="AK290" s="712"/>
      <c r="AL290" s="712"/>
      <c r="AM290" s="712"/>
      <c r="AN290" s="712"/>
      <c r="AO290" s="712"/>
    </row>
    <row r="291">
      <c r="B291" s="1023" t="s">
        <v>960</v>
      </c>
      <c r="G291" s="712"/>
      <c r="H291" s="712"/>
      <c r="I291" s="712"/>
      <c r="J291" s="712"/>
      <c r="K291" s="712"/>
      <c r="L291" s="712"/>
      <c r="M291" s="712"/>
      <c r="N291" s="712"/>
      <c r="O291" s="712"/>
      <c r="P291" s="712"/>
      <c r="Q291" s="712"/>
      <c r="R291" s="712"/>
      <c r="S291" s="712"/>
      <c r="T291" s="712"/>
      <c r="U291" s="712"/>
      <c r="V291" s="712"/>
      <c r="W291" s="712"/>
      <c r="X291" s="712"/>
      <c r="Y291" s="712"/>
      <c r="Z291" s="712"/>
      <c r="AA291" s="712"/>
      <c r="AB291" s="712"/>
      <c r="AC291" s="712"/>
      <c r="AD291" s="712"/>
      <c r="AE291" s="712"/>
      <c r="AF291" s="712"/>
      <c r="AG291" s="712"/>
      <c r="AH291" s="712"/>
      <c r="AI291" s="712"/>
      <c r="AJ291" s="712"/>
      <c r="AK291" s="712"/>
      <c r="AL291" s="712"/>
      <c r="AM291" s="712"/>
      <c r="AN291" s="712"/>
      <c r="AO291" s="712"/>
    </row>
    <row r="292">
      <c r="B292" s="1023" t="s">
        <v>961</v>
      </c>
      <c r="G292" s="712"/>
      <c r="H292" s="712"/>
      <c r="I292" s="712"/>
      <c r="J292" s="712"/>
      <c r="K292" s="712"/>
      <c r="L292" s="712"/>
      <c r="M292" s="712"/>
      <c r="N292" s="712"/>
      <c r="O292" s="712"/>
      <c r="P292" s="712"/>
      <c r="Q292" s="712"/>
      <c r="R292" s="712"/>
      <c r="S292" s="712"/>
      <c r="T292" s="712"/>
      <c r="U292" s="712"/>
      <c r="V292" s="712"/>
      <c r="W292" s="712"/>
      <c r="X292" s="712"/>
      <c r="Y292" s="712"/>
      <c r="Z292" s="712"/>
      <c r="AA292" s="712"/>
      <c r="AB292" s="712"/>
      <c r="AC292" s="712"/>
      <c r="AD292" s="712"/>
      <c r="AE292" s="712"/>
      <c r="AF292" s="712"/>
      <c r="AG292" s="712"/>
      <c r="AH292" s="712"/>
      <c r="AI292" s="712"/>
      <c r="AJ292" s="712"/>
      <c r="AK292" s="712"/>
      <c r="AL292" s="712"/>
      <c r="AM292" s="712"/>
      <c r="AN292" s="712"/>
      <c r="AO292" s="712"/>
    </row>
    <row r="293">
      <c r="A293" s="1019" t="s">
        <v>990</v>
      </c>
      <c r="B293" s="1020" t="s">
        <v>950</v>
      </c>
      <c r="G293" s="712"/>
      <c r="H293" s="712"/>
      <c r="I293" s="712"/>
      <c r="J293" s="712"/>
      <c r="K293" s="712"/>
      <c r="L293" s="712"/>
      <c r="M293" s="712"/>
      <c r="N293" s="712"/>
      <c r="O293" s="712"/>
      <c r="P293" s="712"/>
      <c r="Q293" s="712"/>
      <c r="R293" s="712"/>
      <c r="S293" s="712"/>
      <c r="T293" s="712"/>
      <c r="U293" s="712"/>
      <c r="V293" s="712"/>
      <c r="W293" s="712"/>
      <c r="X293" s="712"/>
      <c r="Y293" s="712"/>
      <c r="Z293" s="712"/>
      <c r="AA293" s="712"/>
      <c r="AB293" s="712"/>
      <c r="AC293" s="712"/>
      <c r="AD293" s="712"/>
      <c r="AE293" s="712"/>
      <c r="AF293" s="712"/>
      <c r="AG293" s="712"/>
      <c r="AH293" s="712"/>
      <c r="AI293" s="712"/>
      <c r="AJ293" s="712"/>
      <c r="AK293" s="712"/>
      <c r="AL293" s="712"/>
      <c r="AM293" s="712"/>
      <c r="AN293" s="712"/>
      <c r="AO293" s="712"/>
    </row>
    <row r="294">
      <c r="B294" s="1023" t="s">
        <v>952</v>
      </c>
      <c r="G294" s="712"/>
      <c r="H294" s="712"/>
      <c r="I294" s="712"/>
      <c r="J294" s="712"/>
      <c r="K294" s="712"/>
      <c r="L294" s="712"/>
      <c r="M294" s="712"/>
      <c r="N294" s="712"/>
      <c r="O294" s="712"/>
      <c r="P294" s="712"/>
      <c r="Q294" s="712"/>
      <c r="R294" s="712"/>
      <c r="S294" s="712"/>
      <c r="T294" s="712"/>
      <c r="U294" s="712"/>
      <c r="V294" s="712"/>
      <c r="W294" s="712"/>
      <c r="X294" s="712"/>
      <c r="Y294" s="712"/>
      <c r="Z294" s="712"/>
      <c r="AA294" s="712"/>
      <c r="AB294" s="712"/>
      <c r="AC294" s="712"/>
      <c r="AD294" s="712"/>
      <c r="AE294" s="712"/>
      <c r="AF294" s="712"/>
      <c r="AG294" s="712"/>
      <c r="AH294" s="712"/>
      <c r="AI294" s="712"/>
      <c r="AJ294" s="712"/>
      <c r="AK294" s="712"/>
      <c r="AL294" s="712"/>
      <c r="AM294" s="712"/>
      <c r="AN294" s="712"/>
      <c r="AO294" s="712"/>
    </row>
    <row r="295">
      <c r="B295" s="1023" t="s">
        <v>953</v>
      </c>
      <c r="G295" s="712"/>
      <c r="H295" s="712"/>
      <c r="I295" s="712"/>
      <c r="J295" s="712"/>
      <c r="K295" s="712"/>
      <c r="L295" s="712"/>
      <c r="M295" s="712"/>
      <c r="N295" s="712"/>
      <c r="O295" s="712"/>
      <c r="P295" s="712"/>
      <c r="Q295" s="712"/>
      <c r="R295" s="712"/>
      <c r="S295" s="712"/>
      <c r="T295" s="712"/>
      <c r="U295" s="712"/>
      <c r="V295" s="712"/>
      <c r="W295" s="712"/>
      <c r="X295" s="712"/>
      <c r="Y295" s="712"/>
      <c r="Z295" s="712"/>
      <c r="AA295" s="712"/>
      <c r="AB295" s="712"/>
      <c r="AC295" s="712"/>
      <c r="AD295" s="712"/>
      <c r="AE295" s="712"/>
      <c r="AF295" s="712"/>
      <c r="AG295" s="712"/>
      <c r="AH295" s="712"/>
      <c r="AI295" s="712"/>
      <c r="AJ295" s="712"/>
      <c r="AK295" s="712"/>
      <c r="AL295" s="712"/>
      <c r="AM295" s="712"/>
      <c r="AN295" s="712"/>
      <c r="AO295" s="712"/>
    </row>
    <row r="296">
      <c r="B296" s="1023" t="s">
        <v>954</v>
      </c>
      <c r="G296" s="712"/>
      <c r="H296" s="712"/>
      <c r="I296" s="712"/>
      <c r="J296" s="712"/>
      <c r="K296" s="712"/>
      <c r="L296" s="712"/>
      <c r="M296" s="712"/>
      <c r="N296" s="712"/>
      <c r="O296" s="712"/>
      <c r="P296" s="712"/>
      <c r="Q296" s="712"/>
      <c r="R296" s="712"/>
      <c r="S296" s="712"/>
      <c r="T296" s="712"/>
      <c r="U296" s="712"/>
      <c r="V296" s="712"/>
      <c r="W296" s="712"/>
      <c r="X296" s="712"/>
      <c r="Y296" s="712"/>
      <c r="Z296" s="712"/>
      <c r="AA296" s="712"/>
      <c r="AB296" s="712"/>
      <c r="AC296" s="712"/>
      <c r="AD296" s="712"/>
      <c r="AE296" s="712"/>
      <c r="AF296" s="712"/>
      <c r="AG296" s="712"/>
      <c r="AH296" s="712"/>
      <c r="AI296" s="712"/>
      <c r="AJ296" s="712"/>
      <c r="AK296" s="712"/>
      <c r="AL296" s="712"/>
      <c r="AM296" s="712"/>
      <c r="AN296" s="712"/>
      <c r="AO296" s="712"/>
    </row>
    <row r="297">
      <c r="B297" s="1034" t="s">
        <v>956</v>
      </c>
      <c r="G297" s="712"/>
      <c r="H297" s="712"/>
      <c r="I297" s="712"/>
      <c r="J297" s="712"/>
      <c r="K297" s="712"/>
      <c r="L297" s="712"/>
      <c r="M297" s="712"/>
      <c r="N297" s="712"/>
      <c r="O297" s="712"/>
      <c r="P297" s="712"/>
      <c r="Q297" s="712"/>
      <c r="R297" s="712"/>
      <c r="S297" s="712"/>
      <c r="T297" s="712"/>
      <c r="U297" s="712"/>
      <c r="V297" s="712"/>
      <c r="W297" s="712"/>
      <c r="X297" s="712"/>
      <c r="Y297" s="712"/>
      <c r="Z297" s="712"/>
      <c r="AA297" s="712"/>
      <c r="AB297" s="712"/>
      <c r="AC297" s="712"/>
      <c r="AD297" s="712"/>
      <c r="AE297" s="712"/>
      <c r="AF297" s="712"/>
      <c r="AG297" s="712"/>
      <c r="AH297" s="712"/>
      <c r="AI297" s="712"/>
      <c r="AJ297" s="712"/>
      <c r="AK297" s="712"/>
      <c r="AL297" s="712"/>
      <c r="AM297" s="712"/>
      <c r="AN297" s="712"/>
      <c r="AO297" s="712"/>
    </row>
    <row r="298">
      <c r="B298" s="1034" t="s">
        <v>958</v>
      </c>
      <c r="G298" s="712"/>
      <c r="H298" s="712"/>
      <c r="I298" s="712"/>
      <c r="J298" s="712"/>
      <c r="K298" s="712"/>
      <c r="L298" s="712"/>
      <c r="M298" s="712"/>
      <c r="N298" s="712"/>
      <c r="O298" s="712"/>
      <c r="P298" s="712"/>
      <c r="Q298" s="712"/>
      <c r="R298" s="712"/>
      <c r="S298" s="712"/>
      <c r="T298" s="712"/>
      <c r="U298" s="712"/>
      <c r="V298" s="712"/>
      <c r="W298" s="712"/>
      <c r="X298" s="712"/>
      <c r="Y298" s="712"/>
      <c r="Z298" s="712"/>
      <c r="AA298" s="712"/>
      <c r="AB298" s="712"/>
      <c r="AC298" s="712"/>
      <c r="AD298" s="712"/>
      <c r="AE298" s="712"/>
      <c r="AF298" s="712"/>
      <c r="AG298" s="712"/>
      <c r="AH298" s="712"/>
      <c r="AI298" s="712"/>
      <c r="AJ298" s="712"/>
      <c r="AK298" s="712"/>
      <c r="AL298" s="712"/>
      <c r="AM298" s="712"/>
      <c r="AN298" s="712"/>
      <c r="AO298" s="712"/>
    </row>
    <row r="299">
      <c r="B299" s="1023" t="s">
        <v>959</v>
      </c>
      <c r="G299" s="712"/>
      <c r="H299" s="712"/>
      <c r="I299" s="712"/>
      <c r="J299" s="712"/>
      <c r="K299" s="712"/>
      <c r="L299" s="712"/>
      <c r="M299" s="712"/>
      <c r="N299" s="712"/>
      <c r="O299" s="712"/>
      <c r="P299" s="712"/>
      <c r="Q299" s="712"/>
      <c r="R299" s="712"/>
      <c r="S299" s="712"/>
      <c r="T299" s="712"/>
      <c r="U299" s="712"/>
      <c r="V299" s="712"/>
      <c r="W299" s="712"/>
      <c r="X299" s="712"/>
      <c r="Y299" s="712"/>
      <c r="Z299" s="712"/>
      <c r="AA299" s="712"/>
      <c r="AB299" s="712"/>
      <c r="AC299" s="712"/>
      <c r="AD299" s="712"/>
      <c r="AE299" s="712"/>
      <c r="AF299" s="712"/>
      <c r="AG299" s="712"/>
      <c r="AH299" s="712"/>
      <c r="AI299" s="712"/>
      <c r="AJ299" s="712"/>
      <c r="AK299" s="712"/>
      <c r="AL299" s="712"/>
      <c r="AM299" s="712"/>
      <c r="AN299" s="712"/>
      <c r="AO299" s="712"/>
    </row>
    <row r="300">
      <c r="B300" s="1023" t="s">
        <v>960</v>
      </c>
      <c r="G300" s="712"/>
      <c r="H300" s="712"/>
      <c r="I300" s="712"/>
      <c r="J300" s="712"/>
      <c r="K300" s="712"/>
      <c r="L300" s="712"/>
      <c r="M300" s="712"/>
      <c r="N300" s="712"/>
      <c r="O300" s="712"/>
      <c r="P300" s="712"/>
      <c r="Q300" s="712"/>
      <c r="R300" s="712"/>
      <c r="S300" s="712"/>
      <c r="T300" s="712"/>
      <c r="U300" s="712"/>
      <c r="V300" s="712"/>
      <c r="W300" s="712"/>
      <c r="X300" s="712"/>
      <c r="Y300" s="712"/>
      <c r="Z300" s="712"/>
      <c r="AA300" s="712"/>
      <c r="AB300" s="712"/>
      <c r="AC300" s="712"/>
      <c r="AD300" s="712"/>
      <c r="AE300" s="712"/>
      <c r="AF300" s="712"/>
      <c r="AG300" s="712"/>
      <c r="AH300" s="712"/>
      <c r="AI300" s="712"/>
      <c r="AJ300" s="712"/>
      <c r="AK300" s="712"/>
      <c r="AL300" s="712"/>
      <c r="AM300" s="712"/>
      <c r="AN300" s="712"/>
      <c r="AO300" s="712"/>
    </row>
    <row r="301">
      <c r="B301" s="1023" t="s">
        <v>961</v>
      </c>
      <c r="G301" s="712"/>
      <c r="H301" s="712"/>
      <c r="I301" s="712"/>
      <c r="J301" s="712"/>
      <c r="K301" s="712"/>
      <c r="L301" s="712"/>
      <c r="M301" s="712"/>
      <c r="N301" s="712"/>
      <c r="O301" s="712"/>
      <c r="P301" s="712"/>
      <c r="Q301" s="712"/>
      <c r="R301" s="712"/>
      <c r="S301" s="712"/>
      <c r="T301" s="712"/>
      <c r="U301" s="712"/>
      <c r="V301" s="712"/>
      <c r="W301" s="712"/>
      <c r="X301" s="712"/>
      <c r="Y301" s="712"/>
      <c r="Z301" s="712"/>
      <c r="AA301" s="712"/>
      <c r="AB301" s="712"/>
      <c r="AC301" s="712"/>
      <c r="AD301" s="712"/>
      <c r="AE301" s="712"/>
      <c r="AF301" s="712"/>
      <c r="AG301" s="712"/>
      <c r="AH301" s="712"/>
      <c r="AI301" s="712"/>
      <c r="AJ301" s="712"/>
      <c r="AK301" s="712"/>
      <c r="AL301" s="712"/>
      <c r="AM301" s="712"/>
      <c r="AN301" s="712"/>
      <c r="AO301" s="712"/>
    </row>
    <row r="302">
      <c r="A302" s="1019" t="s">
        <v>992</v>
      </c>
      <c r="B302" s="1020" t="s">
        <v>950</v>
      </c>
      <c r="G302" s="712"/>
      <c r="H302" s="712"/>
      <c r="I302" s="712"/>
      <c r="J302" s="712"/>
      <c r="K302" s="712"/>
      <c r="L302" s="712"/>
      <c r="M302" s="712"/>
      <c r="N302" s="712"/>
      <c r="O302" s="712"/>
      <c r="P302" s="712"/>
      <c r="Q302" s="712"/>
      <c r="R302" s="712"/>
      <c r="S302" s="712"/>
      <c r="T302" s="712"/>
      <c r="U302" s="712"/>
      <c r="V302" s="712"/>
      <c r="W302" s="712"/>
      <c r="X302" s="712"/>
      <c r="Y302" s="712"/>
      <c r="Z302" s="712"/>
      <c r="AA302" s="712"/>
      <c r="AB302" s="712"/>
      <c r="AC302" s="712"/>
      <c r="AD302" s="712"/>
      <c r="AE302" s="712"/>
      <c r="AF302" s="712"/>
      <c r="AG302" s="712"/>
      <c r="AH302" s="712"/>
      <c r="AI302" s="712"/>
      <c r="AJ302" s="712"/>
      <c r="AK302" s="712"/>
      <c r="AL302" s="712"/>
      <c r="AM302" s="712"/>
      <c r="AN302" s="712"/>
      <c r="AO302" s="712"/>
    </row>
    <row r="303">
      <c r="B303" s="1023" t="s">
        <v>952</v>
      </c>
      <c r="G303" s="712"/>
      <c r="H303" s="712"/>
      <c r="I303" s="712"/>
      <c r="J303" s="712"/>
      <c r="K303" s="712"/>
      <c r="L303" s="712"/>
      <c r="M303" s="712"/>
      <c r="N303" s="712"/>
      <c r="O303" s="712"/>
      <c r="P303" s="712"/>
      <c r="Q303" s="712"/>
      <c r="R303" s="712"/>
      <c r="S303" s="712"/>
      <c r="T303" s="712"/>
      <c r="U303" s="712"/>
      <c r="V303" s="712"/>
      <c r="W303" s="712"/>
      <c r="X303" s="712"/>
      <c r="Y303" s="712"/>
      <c r="Z303" s="712"/>
      <c r="AA303" s="712"/>
      <c r="AB303" s="712"/>
      <c r="AC303" s="712"/>
      <c r="AD303" s="712"/>
      <c r="AE303" s="712"/>
      <c r="AF303" s="712"/>
      <c r="AG303" s="712"/>
      <c r="AH303" s="712"/>
      <c r="AI303" s="712"/>
      <c r="AJ303" s="712"/>
      <c r="AK303" s="712"/>
      <c r="AL303" s="712"/>
      <c r="AM303" s="712"/>
      <c r="AN303" s="712"/>
      <c r="AO303" s="712"/>
    </row>
    <row r="304">
      <c r="B304" s="1023" t="s">
        <v>953</v>
      </c>
      <c r="G304" s="712"/>
      <c r="H304" s="712"/>
      <c r="I304" s="712"/>
      <c r="J304" s="712"/>
      <c r="K304" s="712"/>
      <c r="L304" s="712"/>
      <c r="M304" s="712"/>
      <c r="N304" s="712"/>
      <c r="O304" s="712"/>
      <c r="P304" s="712"/>
      <c r="Q304" s="712"/>
      <c r="R304" s="712"/>
      <c r="S304" s="712"/>
      <c r="T304" s="712"/>
      <c r="U304" s="712"/>
      <c r="V304" s="712"/>
      <c r="W304" s="712"/>
      <c r="X304" s="712"/>
      <c r="Y304" s="712"/>
      <c r="Z304" s="712"/>
      <c r="AA304" s="712"/>
      <c r="AB304" s="712"/>
      <c r="AC304" s="712"/>
      <c r="AD304" s="712"/>
      <c r="AE304" s="712"/>
      <c r="AF304" s="712"/>
      <c r="AG304" s="712"/>
      <c r="AH304" s="712"/>
      <c r="AI304" s="712"/>
      <c r="AJ304" s="712"/>
      <c r="AK304" s="712"/>
      <c r="AL304" s="712"/>
      <c r="AM304" s="712"/>
      <c r="AN304" s="712"/>
      <c r="AO304" s="712"/>
    </row>
    <row r="305">
      <c r="B305" s="1023" t="s">
        <v>954</v>
      </c>
      <c r="G305" s="712"/>
      <c r="H305" s="712"/>
      <c r="I305" s="712"/>
      <c r="J305" s="712"/>
      <c r="K305" s="712"/>
      <c r="L305" s="712"/>
      <c r="M305" s="712"/>
      <c r="N305" s="712"/>
      <c r="O305" s="712"/>
      <c r="P305" s="712"/>
      <c r="Q305" s="712"/>
      <c r="R305" s="712"/>
      <c r="S305" s="712"/>
      <c r="T305" s="712"/>
      <c r="U305" s="712"/>
      <c r="V305" s="712"/>
      <c r="W305" s="712"/>
      <c r="X305" s="712"/>
      <c r="Y305" s="712"/>
      <c r="Z305" s="712"/>
      <c r="AA305" s="712"/>
      <c r="AB305" s="712"/>
      <c r="AC305" s="712"/>
      <c r="AD305" s="712"/>
      <c r="AE305" s="712"/>
      <c r="AF305" s="712"/>
      <c r="AG305" s="712"/>
      <c r="AH305" s="712"/>
      <c r="AI305" s="712"/>
      <c r="AJ305" s="712"/>
      <c r="AK305" s="712"/>
      <c r="AL305" s="712"/>
      <c r="AM305" s="712"/>
      <c r="AN305" s="712"/>
      <c r="AO305" s="712"/>
    </row>
    <row r="306">
      <c r="B306" s="1034" t="s">
        <v>956</v>
      </c>
      <c r="G306" s="712"/>
      <c r="H306" s="712"/>
      <c r="I306" s="712"/>
      <c r="J306" s="712"/>
      <c r="K306" s="712"/>
      <c r="L306" s="712"/>
      <c r="M306" s="712"/>
      <c r="N306" s="712"/>
      <c r="O306" s="712"/>
      <c r="P306" s="712"/>
      <c r="Q306" s="712"/>
      <c r="R306" s="712"/>
      <c r="S306" s="712"/>
      <c r="T306" s="712"/>
      <c r="U306" s="712"/>
      <c r="V306" s="712"/>
      <c r="W306" s="712"/>
      <c r="X306" s="712"/>
      <c r="Y306" s="712"/>
      <c r="Z306" s="712"/>
      <c r="AA306" s="712"/>
      <c r="AB306" s="712"/>
      <c r="AC306" s="712"/>
      <c r="AD306" s="712"/>
      <c r="AE306" s="712"/>
      <c r="AF306" s="712"/>
      <c r="AG306" s="712"/>
      <c r="AH306" s="712"/>
      <c r="AI306" s="712"/>
      <c r="AJ306" s="712"/>
      <c r="AK306" s="712"/>
      <c r="AL306" s="712"/>
      <c r="AM306" s="712"/>
      <c r="AN306" s="712"/>
      <c r="AO306" s="712"/>
    </row>
    <row r="307">
      <c r="B307" s="1034" t="s">
        <v>958</v>
      </c>
      <c r="G307" s="712"/>
      <c r="H307" s="712"/>
      <c r="I307" s="712"/>
      <c r="J307" s="712"/>
      <c r="K307" s="712"/>
      <c r="L307" s="712"/>
      <c r="M307" s="712"/>
      <c r="N307" s="712"/>
      <c r="O307" s="712"/>
      <c r="P307" s="712"/>
      <c r="Q307" s="712"/>
      <c r="R307" s="712"/>
      <c r="S307" s="712"/>
      <c r="T307" s="712"/>
      <c r="U307" s="712"/>
      <c r="V307" s="712"/>
      <c r="W307" s="712"/>
      <c r="X307" s="712"/>
      <c r="Y307" s="712"/>
      <c r="Z307" s="712"/>
      <c r="AA307" s="712"/>
      <c r="AB307" s="712"/>
      <c r="AC307" s="712"/>
      <c r="AD307" s="712"/>
      <c r="AE307" s="712"/>
      <c r="AF307" s="712"/>
      <c r="AG307" s="712"/>
      <c r="AH307" s="712"/>
      <c r="AI307" s="712"/>
      <c r="AJ307" s="712"/>
      <c r="AK307" s="712"/>
      <c r="AL307" s="712"/>
      <c r="AM307" s="712"/>
      <c r="AN307" s="712"/>
      <c r="AO307" s="712"/>
    </row>
    <row r="308">
      <c r="B308" s="1023" t="s">
        <v>959</v>
      </c>
      <c r="G308" s="712"/>
      <c r="H308" s="712"/>
      <c r="I308" s="712"/>
      <c r="J308" s="712"/>
      <c r="K308" s="712"/>
      <c r="L308" s="712"/>
      <c r="M308" s="712"/>
      <c r="N308" s="712"/>
      <c r="O308" s="712"/>
      <c r="P308" s="712"/>
      <c r="Q308" s="712"/>
      <c r="R308" s="712"/>
      <c r="S308" s="712"/>
      <c r="T308" s="712"/>
      <c r="U308" s="712"/>
      <c r="V308" s="712"/>
      <c r="W308" s="712"/>
      <c r="X308" s="712"/>
      <c r="Y308" s="712"/>
      <c r="Z308" s="712"/>
      <c r="AA308" s="712"/>
      <c r="AB308" s="712"/>
      <c r="AC308" s="712"/>
      <c r="AD308" s="712"/>
      <c r="AE308" s="712"/>
      <c r="AF308" s="712"/>
      <c r="AG308" s="712"/>
      <c r="AH308" s="712"/>
      <c r="AI308" s="712"/>
      <c r="AJ308" s="712"/>
      <c r="AK308" s="712"/>
      <c r="AL308" s="712"/>
      <c r="AM308" s="712"/>
      <c r="AN308" s="712"/>
      <c r="AO308" s="712"/>
    </row>
    <row r="309">
      <c r="B309" s="1023" t="s">
        <v>960</v>
      </c>
      <c r="G309" s="712"/>
      <c r="H309" s="712"/>
      <c r="I309" s="712"/>
      <c r="J309" s="712"/>
      <c r="K309" s="712"/>
      <c r="L309" s="712"/>
      <c r="M309" s="712"/>
      <c r="N309" s="712"/>
      <c r="O309" s="712"/>
      <c r="P309" s="712"/>
      <c r="Q309" s="712"/>
      <c r="R309" s="712"/>
      <c r="S309" s="712"/>
      <c r="T309" s="712"/>
      <c r="U309" s="712"/>
      <c r="V309" s="712"/>
      <c r="W309" s="712"/>
      <c r="X309" s="712"/>
      <c r="Y309" s="712"/>
      <c r="Z309" s="712"/>
      <c r="AA309" s="712"/>
      <c r="AB309" s="712"/>
      <c r="AC309" s="712"/>
      <c r="AD309" s="712"/>
      <c r="AE309" s="712"/>
      <c r="AF309" s="712"/>
      <c r="AG309" s="712"/>
      <c r="AH309" s="712"/>
      <c r="AI309" s="712"/>
      <c r="AJ309" s="712"/>
      <c r="AK309" s="712"/>
      <c r="AL309" s="712"/>
      <c r="AM309" s="712"/>
      <c r="AN309" s="712"/>
      <c r="AO309" s="712"/>
    </row>
    <row r="310">
      <c r="B310" s="1023" t="s">
        <v>961</v>
      </c>
      <c r="G310" s="712"/>
      <c r="H310" s="712"/>
      <c r="I310" s="712"/>
      <c r="J310" s="712"/>
      <c r="K310" s="712"/>
      <c r="L310" s="712"/>
      <c r="M310" s="712"/>
      <c r="N310" s="712"/>
      <c r="O310" s="712"/>
      <c r="P310" s="712"/>
      <c r="Q310" s="712"/>
      <c r="R310" s="712"/>
      <c r="S310" s="712"/>
      <c r="T310" s="712"/>
      <c r="U310" s="712"/>
      <c r="V310" s="712"/>
      <c r="W310" s="712"/>
      <c r="X310" s="712"/>
      <c r="Y310" s="712"/>
      <c r="Z310" s="712"/>
      <c r="AA310" s="712"/>
      <c r="AB310" s="712"/>
      <c r="AC310" s="712"/>
      <c r="AD310" s="712"/>
      <c r="AE310" s="712"/>
      <c r="AF310" s="712"/>
      <c r="AG310" s="712"/>
      <c r="AH310" s="712"/>
      <c r="AI310" s="712"/>
      <c r="AJ310" s="712"/>
      <c r="AK310" s="712"/>
      <c r="AL310" s="712"/>
      <c r="AM310" s="712"/>
      <c r="AN310" s="712"/>
      <c r="AO310" s="712"/>
    </row>
    <row r="311">
      <c r="A311" s="1019" t="s">
        <v>997</v>
      </c>
      <c r="B311" s="1020" t="s">
        <v>950</v>
      </c>
      <c r="G311" s="712"/>
      <c r="H311" s="712"/>
      <c r="I311" s="712"/>
      <c r="J311" s="712"/>
      <c r="K311" s="712"/>
      <c r="L311" s="712"/>
      <c r="M311" s="712"/>
      <c r="N311" s="712"/>
      <c r="O311" s="712"/>
      <c r="P311" s="712"/>
      <c r="Q311" s="712"/>
      <c r="R311" s="712"/>
      <c r="S311" s="712"/>
      <c r="T311" s="712"/>
      <c r="U311" s="712"/>
      <c r="V311" s="712"/>
      <c r="W311" s="712"/>
      <c r="X311" s="712"/>
      <c r="Y311" s="712"/>
      <c r="Z311" s="712"/>
      <c r="AA311" s="712"/>
      <c r="AB311" s="712"/>
      <c r="AC311" s="712"/>
      <c r="AD311" s="712"/>
      <c r="AE311" s="712"/>
      <c r="AF311" s="712"/>
      <c r="AG311" s="712"/>
      <c r="AH311" s="712"/>
      <c r="AI311" s="712"/>
      <c r="AJ311" s="712"/>
      <c r="AK311" s="712"/>
      <c r="AL311" s="712"/>
      <c r="AM311" s="712"/>
      <c r="AN311" s="712"/>
      <c r="AO311" s="712"/>
    </row>
    <row r="312">
      <c r="B312" s="1023" t="s">
        <v>952</v>
      </c>
      <c r="G312" s="712"/>
      <c r="H312" s="712"/>
      <c r="I312" s="712"/>
      <c r="J312" s="712"/>
      <c r="K312" s="712"/>
      <c r="L312" s="712"/>
      <c r="M312" s="712"/>
      <c r="N312" s="712"/>
      <c r="O312" s="712"/>
      <c r="P312" s="712"/>
      <c r="Q312" s="712"/>
      <c r="R312" s="712"/>
      <c r="S312" s="712"/>
      <c r="T312" s="712"/>
      <c r="U312" s="712"/>
      <c r="V312" s="712"/>
      <c r="W312" s="712"/>
      <c r="X312" s="712"/>
      <c r="Y312" s="712"/>
      <c r="Z312" s="712"/>
      <c r="AA312" s="712"/>
      <c r="AB312" s="712"/>
      <c r="AC312" s="712"/>
      <c r="AD312" s="712"/>
      <c r="AE312" s="712"/>
      <c r="AF312" s="712"/>
      <c r="AG312" s="712"/>
      <c r="AH312" s="712"/>
      <c r="AI312" s="712"/>
      <c r="AJ312" s="712"/>
      <c r="AK312" s="712"/>
      <c r="AL312" s="712"/>
      <c r="AM312" s="712"/>
      <c r="AN312" s="712"/>
      <c r="AO312" s="712"/>
    </row>
    <row r="313">
      <c r="B313" s="1023" t="s">
        <v>953</v>
      </c>
      <c r="G313" s="712"/>
      <c r="H313" s="712"/>
      <c r="I313" s="712"/>
      <c r="J313" s="712"/>
      <c r="K313" s="712"/>
      <c r="L313" s="712"/>
      <c r="M313" s="712"/>
      <c r="N313" s="712"/>
      <c r="O313" s="712"/>
      <c r="P313" s="712"/>
      <c r="Q313" s="712"/>
      <c r="R313" s="712"/>
      <c r="S313" s="712"/>
      <c r="T313" s="712"/>
      <c r="U313" s="712"/>
      <c r="V313" s="712"/>
      <c r="W313" s="712"/>
      <c r="X313" s="712"/>
      <c r="Y313" s="712"/>
      <c r="Z313" s="712"/>
      <c r="AA313" s="712"/>
      <c r="AB313" s="712"/>
      <c r="AC313" s="712"/>
      <c r="AD313" s="712"/>
      <c r="AE313" s="712"/>
      <c r="AF313" s="712"/>
      <c r="AG313" s="712"/>
      <c r="AH313" s="712"/>
      <c r="AI313" s="712"/>
      <c r="AJ313" s="712"/>
      <c r="AK313" s="712"/>
      <c r="AL313" s="712"/>
      <c r="AM313" s="712"/>
      <c r="AN313" s="712"/>
      <c r="AO313" s="712"/>
    </row>
    <row r="314">
      <c r="B314" s="1023" t="s">
        <v>954</v>
      </c>
      <c r="G314" s="712"/>
      <c r="H314" s="712"/>
      <c r="I314" s="712"/>
      <c r="J314" s="712"/>
      <c r="K314" s="712"/>
      <c r="L314" s="712"/>
      <c r="M314" s="712"/>
      <c r="N314" s="712"/>
      <c r="O314" s="712"/>
      <c r="P314" s="712"/>
      <c r="Q314" s="712"/>
      <c r="R314" s="712"/>
      <c r="S314" s="712"/>
      <c r="T314" s="712"/>
      <c r="U314" s="712"/>
      <c r="V314" s="712"/>
      <c r="W314" s="712"/>
      <c r="X314" s="712"/>
      <c r="Y314" s="712"/>
      <c r="Z314" s="712"/>
      <c r="AA314" s="712"/>
      <c r="AB314" s="712"/>
      <c r="AC314" s="712"/>
      <c r="AD314" s="712"/>
      <c r="AE314" s="712"/>
      <c r="AF314" s="712"/>
      <c r="AG314" s="712"/>
      <c r="AH314" s="712"/>
      <c r="AI314" s="712"/>
      <c r="AJ314" s="712"/>
      <c r="AK314" s="712"/>
      <c r="AL314" s="712"/>
      <c r="AM314" s="712"/>
      <c r="AN314" s="712"/>
      <c r="AO314" s="712"/>
    </row>
    <row r="315">
      <c r="B315" s="1034" t="s">
        <v>956</v>
      </c>
      <c r="G315" s="712"/>
      <c r="H315" s="712"/>
      <c r="I315" s="712"/>
      <c r="J315" s="712"/>
      <c r="K315" s="712"/>
      <c r="L315" s="712"/>
      <c r="M315" s="712"/>
      <c r="N315" s="712"/>
      <c r="O315" s="712"/>
      <c r="P315" s="712"/>
      <c r="Q315" s="712"/>
      <c r="R315" s="712"/>
      <c r="S315" s="712"/>
      <c r="T315" s="712"/>
      <c r="U315" s="712"/>
      <c r="V315" s="712"/>
      <c r="W315" s="712"/>
      <c r="X315" s="712"/>
      <c r="Y315" s="712"/>
      <c r="Z315" s="712"/>
      <c r="AA315" s="712"/>
      <c r="AB315" s="712"/>
      <c r="AC315" s="712"/>
      <c r="AD315" s="712"/>
      <c r="AE315" s="712"/>
      <c r="AF315" s="712"/>
      <c r="AG315" s="712"/>
      <c r="AH315" s="712"/>
      <c r="AI315" s="712"/>
      <c r="AJ315" s="712"/>
      <c r="AK315" s="712"/>
      <c r="AL315" s="712"/>
      <c r="AM315" s="712"/>
      <c r="AN315" s="712"/>
      <c r="AO315" s="712"/>
    </row>
    <row r="316">
      <c r="B316" s="1034" t="s">
        <v>958</v>
      </c>
      <c r="G316" s="712"/>
      <c r="H316" s="712"/>
      <c r="I316" s="712"/>
      <c r="J316" s="712"/>
      <c r="K316" s="712"/>
      <c r="L316" s="712"/>
      <c r="M316" s="712"/>
      <c r="N316" s="712"/>
      <c r="O316" s="712"/>
      <c r="P316" s="712"/>
      <c r="Q316" s="712"/>
      <c r="R316" s="712"/>
      <c r="S316" s="712"/>
      <c r="T316" s="712"/>
      <c r="U316" s="712"/>
      <c r="V316" s="712"/>
      <c r="W316" s="712"/>
      <c r="X316" s="712"/>
      <c r="Y316" s="712"/>
      <c r="Z316" s="712"/>
      <c r="AA316" s="712"/>
      <c r="AB316" s="712"/>
      <c r="AC316" s="712"/>
      <c r="AD316" s="712"/>
      <c r="AE316" s="712"/>
      <c r="AF316" s="712"/>
      <c r="AG316" s="712"/>
      <c r="AH316" s="712"/>
      <c r="AI316" s="712"/>
      <c r="AJ316" s="712"/>
      <c r="AK316" s="712"/>
      <c r="AL316" s="712"/>
      <c r="AM316" s="712"/>
      <c r="AN316" s="712"/>
      <c r="AO316" s="712"/>
    </row>
    <row r="317">
      <c r="B317" s="1023" t="s">
        <v>959</v>
      </c>
      <c r="G317" s="712"/>
      <c r="H317" s="712"/>
      <c r="I317" s="712"/>
      <c r="J317" s="712"/>
      <c r="K317" s="712"/>
      <c r="L317" s="712"/>
      <c r="M317" s="712"/>
      <c r="N317" s="712"/>
      <c r="O317" s="712"/>
      <c r="P317" s="712"/>
      <c r="Q317" s="712"/>
      <c r="R317" s="712"/>
      <c r="S317" s="712"/>
      <c r="T317" s="712"/>
      <c r="U317" s="712"/>
      <c r="V317" s="712"/>
      <c r="W317" s="712"/>
      <c r="X317" s="712"/>
      <c r="Y317" s="712"/>
      <c r="Z317" s="712"/>
      <c r="AA317" s="712"/>
      <c r="AB317" s="712"/>
      <c r="AC317" s="712"/>
      <c r="AD317" s="712"/>
      <c r="AE317" s="712"/>
      <c r="AF317" s="712"/>
      <c r="AG317" s="712"/>
      <c r="AH317" s="712"/>
      <c r="AI317" s="712"/>
      <c r="AJ317" s="712"/>
      <c r="AK317" s="712"/>
      <c r="AL317" s="712"/>
      <c r="AM317" s="712"/>
      <c r="AN317" s="712"/>
      <c r="AO317" s="712"/>
    </row>
    <row r="318">
      <c r="B318" s="1023" t="s">
        <v>960</v>
      </c>
      <c r="G318" s="712"/>
      <c r="H318" s="712"/>
      <c r="I318" s="712"/>
      <c r="J318" s="712"/>
      <c r="K318" s="712"/>
      <c r="L318" s="712"/>
      <c r="M318" s="712"/>
      <c r="N318" s="712"/>
      <c r="O318" s="712"/>
      <c r="P318" s="712"/>
      <c r="Q318" s="712"/>
      <c r="R318" s="712"/>
      <c r="S318" s="712"/>
      <c r="T318" s="712"/>
      <c r="U318" s="712"/>
      <c r="V318" s="712"/>
      <c r="W318" s="712"/>
      <c r="X318" s="712"/>
      <c r="Y318" s="712"/>
      <c r="Z318" s="712"/>
      <c r="AA318" s="712"/>
      <c r="AB318" s="712"/>
      <c r="AC318" s="712"/>
      <c r="AD318" s="712"/>
      <c r="AE318" s="712"/>
      <c r="AF318" s="712"/>
      <c r="AG318" s="712"/>
      <c r="AH318" s="712"/>
      <c r="AI318" s="712"/>
      <c r="AJ318" s="712"/>
      <c r="AK318" s="712"/>
      <c r="AL318" s="712"/>
      <c r="AM318" s="712"/>
      <c r="AN318" s="712"/>
      <c r="AO318" s="712"/>
    </row>
    <row r="319">
      <c r="B319" s="1023" t="s">
        <v>961</v>
      </c>
      <c r="G319" s="712"/>
      <c r="H319" s="712"/>
      <c r="I319" s="712"/>
      <c r="J319" s="712"/>
      <c r="K319" s="712"/>
      <c r="L319" s="712"/>
      <c r="M319" s="712"/>
      <c r="N319" s="712"/>
      <c r="O319" s="712"/>
      <c r="P319" s="712"/>
      <c r="Q319" s="712"/>
      <c r="R319" s="712"/>
      <c r="S319" s="712"/>
      <c r="T319" s="712"/>
      <c r="U319" s="712"/>
      <c r="V319" s="712"/>
      <c r="W319" s="712"/>
      <c r="X319" s="712"/>
      <c r="Y319" s="712"/>
      <c r="Z319" s="712"/>
      <c r="AA319" s="712"/>
      <c r="AB319" s="712"/>
      <c r="AC319" s="712"/>
      <c r="AD319" s="712"/>
      <c r="AE319" s="712"/>
      <c r="AF319" s="712"/>
      <c r="AG319" s="712"/>
      <c r="AH319" s="712"/>
      <c r="AI319" s="712"/>
      <c r="AJ319" s="712"/>
      <c r="AK319" s="712"/>
      <c r="AL319" s="712"/>
      <c r="AM319" s="712"/>
      <c r="AN319" s="712"/>
      <c r="AO319" s="712"/>
    </row>
    <row r="320">
      <c r="A320" s="1019" t="s">
        <v>998</v>
      </c>
      <c r="B320" s="1020" t="s">
        <v>950</v>
      </c>
      <c r="G320" s="712"/>
      <c r="H320" s="712"/>
      <c r="I320" s="712"/>
      <c r="J320" s="712"/>
      <c r="K320" s="712"/>
      <c r="L320" s="712"/>
      <c r="M320" s="712"/>
      <c r="N320" s="712"/>
      <c r="O320" s="712"/>
      <c r="P320" s="712"/>
      <c r="Q320" s="712"/>
      <c r="R320" s="712"/>
      <c r="S320" s="712"/>
      <c r="T320" s="712"/>
      <c r="U320" s="712"/>
      <c r="V320" s="712"/>
      <c r="W320" s="712"/>
      <c r="X320" s="712"/>
      <c r="Y320" s="712"/>
      <c r="Z320" s="712"/>
      <c r="AA320" s="712"/>
      <c r="AB320" s="712"/>
      <c r="AC320" s="712"/>
      <c r="AD320" s="712"/>
      <c r="AE320" s="712"/>
      <c r="AF320" s="712"/>
      <c r="AG320" s="712"/>
      <c r="AH320" s="712"/>
      <c r="AI320" s="712"/>
      <c r="AJ320" s="712"/>
      <c r="AK320" s="712"/>
      <c r="AL320" s="712"/>
      <c r="AM320" s="712"/>
      <c r="AN320" s="712"/>
      <c r="AO320" s="712"/>
    </row>
    <row r="321">
      <c r="B321" s="1023" t="s">
        <v>952</v>
      </c>
      <c r="G321" s="712"/>
      <c r="H321" s="712"/>
      <c r="I321" s="712"/>
      <c r="J321" s="712"/>
      <c r="K321" s="712"/>
      <c r="L321" s="712"/>
      <c r="M321" s="712"/>
      <c r="N321" s="712"/>
      <c r="O321" s="712"/>
      <c r="P321" s="712"/>
      <c r="Q321" s="712"/>
      <c r="R321" s="712"/>
      <c r="S321" s="712"/>
      <c r="T321" s="712"/>
      <c r="U321" s="712"/>
      <c r="V321" s="712"/>
      <c r="W321" s="712"/>
      <c r="X321" s="712"/>
      <c r="Y321" s="712"/>
      <c r="Z321" s="712"/>
      <c r="AA321" s="712"/>
      <c r="AB321" s="712"/>
      <c r="AC321" s="712"/>
      <c r="AD321" s="712"/>
      <c r="AE321" s="712"/>
      <c r="AF321" s="712"/>
      <c r="AG321" s="712"/>
      <c r="AH321" s="712"/>
      <c r="AI321" s="712"/>
      <c r="AJ321" s="712"/>
      <c r="AK321" s="712"/>
      <c r="AL321" s="712"/>
      <c r="AM321" s="712"/>
      <c r="AN321" s="712"/>
      <c r="AO321" s="712"/>
    </row>
    <row r="322">
      <c r="B322" s="1023" t="s">
        <v>953</v>
      </c>
      <c r="G322" s="712"/>
      <c r="H322" s="712"/>
      <c r="I322" s="712"/>
      <c r="J322" s="712"/>
      <c r="K322" s="712"/>
      <c r="L322" s="712"/>
      <c r="M322" s="712"/>
      <c r="N322" s="712"/>
      <c r="O322" s="712"/>
      <c r="P322" s="712"/>
      <c r="Q322" s="712"/>
      <c r="R322" s="712"/>
      <c r="S322" s="712"/>
      <c r="T322" s="712"/>
      <c r="U322" s="712"/>
      <c r="V322" s="712"/>
      <c r="W322" s="712"/>
      <c r="X322" s="712"/>
      <c r="Y322" s="712"/>
      <c r="Z322" s="712"/>
      <c r="AA322" s="712"/>
      <c r="AB322" s="712"/>
      <c r="AC322" s="712"/>
      <c r="AD322" s="712"/>
      <c r="AE322" s="712"/>
      <c r="AF322" s="712"/>
      <c r="AG322" s="712"/>
      <c r="AH322" s="712"/>
      <c r="AI322" s="712"/>
      <c r="AJ322" s="712"/>
      <c r="AK322" s="712"/>
      <c r="AL322" s="712"/>
      <c r="AM322" s="712"/>
      <c r="AN322" s="712"/>
      <c r="AO322" s="712"/>
    </row>
    <row r="323">
      <c r="B323" s="1023" t="s">
        <v>954</v>
      </c>
      <c r="G323" s="712"/>
      <c r="H323" s="712"/>
      <c r="I323" s="712"/>
      <c r="J323" s="712"/>
      <c r="K323" s="712"/>
      <c r="L323" s="712"/>
      <c r="M323" s="712"/>
      <c r="N323" s="712"/>
      <c r="O323" s="712"/>
      <c r="P323" s="712"/>
      <c r="Q323" s="712"/>
      <c r="R323" s="712"/>
      <c r="S323" s="712"/>
      <c r="T323" s="712"/>
      <c r="U323" s="712"/>
      <c r="V323" s="712"/>
      <c r="W323" s="712"/>
      <c r="X323" s="712"/>
      <c r="Y323" s="712"/>
      <c r="Z323" s="712"/>
      <c r="AA323" s="712"/>
      <c r="AB323" s="712"/>
      <c r="AC323" s="712"/>
      <c r="AD323" s="712"/>
      <c r="AE323" s="712"/>
      <c r="AF323" s="712"/>
      <c r="AG323" s="712"/>
      <c r="AH323" s="712"/>
      <c r="AI323" s="712"/>
      <c r="AJ323" s="712"/>
      <c r="AK323" s="712"/>
      <c r="AL323" s="712"/>
      <c r="AM323" s="712"/>
      <c r="AN323" s="712"/>
      <c r="AO323" s="712"/>
    </row>
    <row r="324">
      <c r="B324" s="1034" t="s">
        <v>956</v>
      </c>
      <c r="G324" s="712"/>
      <c r="H324" s="712"/>
      <c r="I324" s="712"/>
      <c r="J324" s="712"/>
      <c r="K324" s="712"/>
      <c r="L324" s="712"/>
      <c r="M324" s="712"/>
      <c r="N324" s="712"/>
      <c r="O324" s="712"/>
      <c r="P324" s="712"/>
      <c r="Q324" s="712"/>
      <c r="R324" s="712"/>
      <c r="S324" s="712"/>
      <c r="T324" s="712"/>
      <c r="U324" s="712"/>
      <c r="V324" s="712"/>
      <c r="W324" s="712"/>
      <c r="X324" s="712"/>
      <c r="Y324" s="712"/>
      <c r="Z324" s="712"/>
      <c r="AA324" s="712"/>
      <c r="AB324" s="712"/>
      <c r="AC324" s="712"/>
      <c r="AD324" s="712"/>
      <c r="AE324" s="712"/>
      <c r="AF324" s="712"/>
      <c r="AG324" s="712"/>
      <c r="AH324" s="712"/>
      <c r="AI324" s="712"/>
      <c r="AJ324" s="712"/>
      <c r="AK324" s="712"/>
      <c r="AL324" s="712"/>
      <c r="AM324" s="712"/>
      <c r="AN324" s="712"/>
      <c r="AO324" s="712"/>
    </row>
    <row r="325">
      <c r="B325" s="1034" t="s">
        <v>958</v>
      </c>
      <c r="G325" s="712"/>
      <c r="H325" s="712"/>
      <c r="I325" s="712"/>
      <c r="J325" s="712"/>
      <c r="K325" s="712"/>
      <c r="L325" s="712"/>
      <c r="M325" s="712"/>
      <c r="N325" s="712"/>
      <c r="O325" s="712"/>
      <c r="P325" s="712"/>
      <c r="Q325" s="712"/>
      <c r="R325" s="712"/>
      <c r="S325" s="712"/>
      <c r="T325" s="712"/>
      <c r="U325" s="712"/>
      <c r="V325" s="712"/>
      <c r="W325" s="712"/>
      <c r="X325" s="712"/>
      <c r="Y325" s="712"/>
      <c r="Z325" s="712"/>
      <c r="AA325" s="712"/>
      <c r="AB325" s="712"/>
      <c r="AC325" s="712"/>
      <c r="AD325" s="712"/>
      <c r="AE325" s="712"/>
      <c r="AF325" s="712"/>
      <c r="AG325" s="712"/>
      <c r="AH325" s="712"/>
      <c r="AI325" s="712"/>
      <c r="AJ325" s="712"/>
      <c r="AK325" s="712"/>
      <c r="AL325" s="712"/>
      <c r="AM325" s="712"/>
      <c r="AN325" s="712"/>
      <c r="AO325" s="712"/>
    </row>
    <row r="326">
      <c r="B326" s="1023" t="s">
        <v>959</v>
      </c>
      <c r="G326" s="712"/>
      <c r="H326" s="712"/>
      <c r="I326" s="712"/>
      <c r="J326" s="712"/>
      <c r="K326" s="712"/>
      <c r="L326" s="712"/>
      <c r="M326" s="712"/>
      <c r="N326" s="712"/>
      <c r="O326" s="712"/>
      <c r="P326" s="712"/>
      <c r="Q326" s="712"/>
      <c r="R326" s="712"/>
      <c r="S326" s="712"/>
      <c r="T326" s="712"/>
      <c r="U326" s="712"/>
      <c r="V326" s="712"/>
      <c r="W326" s="712"/>
      <c r="X326" s="712"/>
      <c r="Y326" s="712"/>
      <c r="Z326" s="712"/>
      <c r="AA326" s="712"/>
      <c r="AB326" s="712"/>
      <c r="AC326" s="712"/>
      <c r="AD326" s="712"/>
      <c r="AE326" s="712"/>
      <c r="AF326" s="712"/>
      <c r="AG326" s="712"/>
      <c r="AH326" s="712"/>
      <c r="AI326" s="712"/>
      <c r="AJ326" s="712"/>
      <c r="AK326" s="712"/>
      <c r="AL326" s="712"/>
      <c r="AM326" s="712"/>
      <c r="AN326" s="712"/>
      <c r="AO326" s="712"/>
    </row>
    <row r="327">
      <c r="B327" s="1023" t="s">
        <v>960</v>
      </c>
      <c r="G327" s="712"/>
      <c r="H327" s="712"/>
      <c r="I327" s="712"/>
      <c r="J327" s="712"/>
      <c r="K327" s="712"/>
      <c r="L327" s="712"/>
      <c r="M327" s="712"/>
      <c r="N327" s="712"/>
      <c r="O327" s="712"/>
      <c r="P327" s="712"/>
      <c r="Q327" s="712"/>
      <c r="R327" s="712"/>
      <c r="S327" s="712"/>
      <c r="T327" s="712"/>
      <c r="U327" s="712"/>
      <c r="V327" s="712"/>
      <c r="W327" s="712"/>
      <c r="X327" s="712"/>
      <c r="Y327" s="712"/>
      <c r="Z327" s="712"/>
      <c r="AA327" s="712"/>
      <c r="AB327" s="712"/>
      <c r="AC327" s="712"/>
      <c r="AD327" s="712"/>
      <c r="AE327" s="712"/>
      <c r="AF327" s="712"/>
      <c r="AG327" s="712"/>
      <c r="AH327" s="712"/>
      <c r="AI327" s="712"/>
      <c r="AJ327" s="712"/>
      <c r="AK327" s="712"/>
      <c r="AL327" s="712"/>
      <c r="AM327" s="712"/>
      <c r="AN327" s="712"/>
      <c r="AO327" s="712"/>
    </row>
    <row r="328">
      <c r="B328" s="1023" t="s">
        <v>961</v>
      </c>
      <c r="G328" s="712"/>
      <c r="H328" s="712"/>
      <c r="I328" s="712"/>
      <c r="J328" s="712"/>
      <c r="K328" s="712"/>
      <c r="L328" s="712"/>
      <c r="M328" s="712"/>
      <c r="N328" s="712"/>
      <c r="O328" s="712"/>
      <c r="P328" s="712"/>
      <c r="Q328" s="712"/>
      <c r="R328" s="712"/>
      <c r="S328" s="712"/>
      <c r="T328" s="712"/>
      <c r="U328" s="712"/>
      <c r="V328" s="712"/>
      <c r="W328" s="712"/>
      <c r="X328" s="712"/>
      <c r="Y328" s="712"/>
      <c r="Z328" s="712"/>
      <c r="AA328" s="712"/>
      <c r="AB328" s="712"/>
      <c r="AC328" s="712"/>
      <c r="AD328" s="712"/>
      <c r="AE328" s="712"/>
      <c r="AF328" s="712"/>
      <c r="AG328" s="712"/>
      <c r="AH328" s="712"/>
      <c r="AI328" s="712"/>
      <c r="AJ328" s="712"/>
      <c r="AK328" s="712"/>
      <c r="AL328" s="712"/>
      <c r="AM328" s="712"/>
      <c r="AN328" s="712"/>
      <c r="AO328" s="712"/>
    </row>
    <row r="329">
      <c r="A329" s="1019" t="s">
        <v>1002</v>
      </c>
      <c r="B329" s="1020" t="s">
        <v>950</v>
      </c>
      <c r="G329" s="712"/>
      <c r="H329" s="712"/>
      <c r="I329" s="712"/>
      <c r="J329" s="712"/>
      <c r="K329" s="712"/>
      <c r="L329" s="712"/>
      <c r="M329" s="712"/>
      <c r="N329" s="712"/>
      <c r="O329" s="712"/>
      <c r="P329" s="712"/>
      <c r="Q329" s="712"/>
      <c r="R329" s="712"/>
      <c r="S329" s="712"/>
      <c r="T329" s="712"/>
      <c r="U329" s="712"/>
      <c r="V329" s="712"/>
      <c r="W329" s="712"/>
      <c r="X329" s="712"/>
      <c r="Y329" s="712"/>
      <c r="Z329" s="712"/>
      <c r="AA329" s="712"/>
      <c r="AB329" s="712"/>
      <c r="AC329" s="712"/>
      <c r="AD329" s="712"/>
      <c r="AE329" s="712"/>
      <c r="AF329" s="712"/>
      <c r="AG329" s="712"/>
      <c r="AH329" s="712"/>
      <c r="AI329" s="712"/>
      <c r="AJ329" s="712"/>
      <c r="AK329" s="712"/>
      <c r="AL329" s="712"/>
      <c r="AM329" s="712"/>
      <c r="AN329" s="712"/>
      <c r="AO329" s="712"/>
    </row>
    <row r="330">
      <c r="B330" s="1023" t="s">
        <v>952</v>
      </c>
      <c r="G330" s="712"/>
      <c r="H330" s="712"/>
      <c r="I330" s="712"/>
      <c r="J330" s="712"/>
      <c r="K330" s="712"/>
      <c r="L330" s="712"/>
      <c r="M330" s="712"/>
      <c r="N330" s="712"/>
      <c r="O330" s="712"/>
      <c r="P330" s="712"/>
      <c r="Q330" s="712"/>
      <c r="R330" s="712"/>
      <c r="S330" s="712"/>
      <c r="T330" s="712"/>
      <c r="U330" s="712"/>
      <c r="V330" s="712"/>
      <c r="W330" s="712"/>
      <c r="X330" s="712"/>
      <c r="Y330" s="712"/>
      <c r="Z330" s="712"/>
      <c r="AA330" s="712"/>
      <c r="AB330" s="712"/>
      <c r="AC330" s="712"/>
      <c r="AD330" s="712"/>
      <c r="AE330" s="712"/>
      <c r="AF330" s="712"/>
      <c r="AG330" s="712"/>
      <c r="AH330" s="712"/>
      <c r="AI330" s="712"/>
      <c r="AJ330" s="712"/>
      <c r="AK330" s="712"/>
      <c r="AL330" s="712"/>
      <c r="AM330" s="712"/>
      <c r="AN330" s="712"/>
      <c r="AO330" s="712"/>
    </row>
    <row r="331">
      <c r="B331" s="1023" t="s">
        <v>953</v>
      </c>
      <c r="G331" s="712"/>
      <c r="H331" s="712"/>
      <c r="I331" s="712"/>
      <c r="J331" s="712"/>
      <c r="K331" s="712"/>
      <c r="L331" s="712"/>
      <c r="M331" s="712"/>
      <c r="N331" s="712"/>
      <c r="O331" s="712"/>
      <c r="P331" s="712"/>
      <c r="Q331" s="712"/>
      <c r="R331" s="712"/>
      <c r="S331" s="712"/>
      <c r="T331" s="712"/>
      <c r="U331" s="712"/>
      <c r="V331" s="712"/>
      <c r="W331" s="712"/>
      <c r="X331" s="712"/>
      <c r="Y331" s="712"/>
      <c r="Z331" s="712"/>
      <c r="AA331" s="712"/>
      <c r="AB331" s="712"/>
      <c r="AC331" s="712"/>
      <c r="AD331" s="712"/>
      <c r="AE331" s="712"/>
      <c r="AF331" s="712"/>
      <c r="AG331" s="712"/>
      <c r="AH331" s="712"/>
      <c r="AI331" s="712"/>
      <c r="AJ331" s="712"/>
      <c r="AK331" s="712"/>
      <c r="AL331" s="712"/>
      <c r="AM331" s="712"/>
      <c r="AN331" s="712"/>
      <c r="AO331" s="712"/>
    </row>
    <row r="332">
      <c r="B332" s="1023" t="s">
        <v>954</v>
      </c>
      <c r="G332" s="712"/>
      <c r="H332" s="712"/>
      <c r="I332" s="712"/>
      <c r="J332" s="712"/>
      <c r="K332" s="712"/>
      <c r="L332" s="712"/>
      <c r="M332" s="712"/>
      <c r="N332" s="712"/>
      <c r="O332" s="712"/>
      <c r="P332" s="712"/>
      <c r="Q332" s="712"/>
      <c r="R332" s="712"/>
      <c r="S332" s="712"/>
      <c r="T332" s="712"/>
      <c r="U332" s="712"/>
      <c r="V332" s="712"/>
      <c r="W332" s="712"/>
      <c r="X332" s="712"/>
      <c r="Y332" s="712"/>
      <c r="Z332" s="712"/>
      <c r="AA332" s="712"/>
      <c r="AB332" s="712"/>
      <c r="AC332" s="712"/>
      <c r="AD332" s="712"/>
      <c r="AE332" s="712"/>
      <c r="AF332" s="712"/>
      <c r="AG332" s="712"/>
      <c r="AH332" s="712"/>
      <c r="AI332" s="712"/>
      <c r="AJ332" s="712"/>
      <c r="AK332" s="712"/>
      <c r="AL332" s="712"/>
      <c r="AM332" s="712"/>
      <c r="AN332" s="712"/>
      <c r="AO332" s="712"/>
    </row>
    <row r="333">
      <c r="B333" s="1034" t="s">
        <v>956</v>
      </c>
      <c r="G333" s="712"/>
      <c r="H333" s="712"/>
      <c r="I333" s="712"/>
      <c r="J333" s="712"/>
      <c r="K333" s="712"/>
      <c r="L333" s="712"/>
      <c r="M333" s="712"/>
      <c r="N333" s="712"/>
      <c r="O333" s="712"/>
      <c r="P333" s="712"/>
      <c r="Q333" s="712"/>
      <c r="R333" s="712"/>
      <c r="S333" s="712"/>
      <c r="T333" s="712"/>
      <c r="U333" s="712"/>
      <c r="V333" s="712"/>
      <c r="W333" s="712"/>
      <c r="X333" s="712"/>
      <c r="Y333" s="712"/>
      <c r="Z333" s="712"/>
      <c r="AA333" s="712"/>
      <c r="AB333" s="712"/>
      <c r="AC333" s="712"/>
      <c r="AD333" s="712"/>
      <c r="AE333" s="712"/>
      <c r="AF333" s="712"/>
      <c r="AG333" s="712"/>
      <c r="AH333" s="712"/>
      <c r="AI333" s="712"/>
      <c r="AJ333" s="712"/>
      <c r="AK333" s="712"/>
      <c r="AL333" s="712"/>
      <c r="AM333" s="712"/>
      <c r="AN333" s="712"/>
      <c r="AO333" s="712"/>
    </row>
    <row r="334">
      <c r="B334" s="1034" t="s">
        <v>958</v>
      </c>
      <c r="G334" s="712"/>
      <c r="H334" s="712"/>
      <c r="I334" s="712"/>
      <c r="J334" s="712"/>
      <c r="K334" s="712"/>
      <c r="L334" s="712"/>
      <c r="M334" s="712"/>
      <c r="N334" s="712"/>
      <c r="O334" s="712"/>
      <c r="P334" s="712"/>
      <c r="Q334" s="712"/>
      <c r="R334" s="712"/>
      <c r="S334" s="712"/>
      <c r="T334" s="712"/>
      <c r="U334" s="712"/>
      <c r="V334" s="712"/>
      <c r="W334" s="712"/>
      <c r="X334" s="712"/>
      <c r="Y334" s="712"/>
      <c r="Z334" s="712"/>
      <c r="AA334" s="712"/>
      <c r="AB334" s="712"/>
      <c r="AC334" s="712"/>
      <c r="AD334" s="712"/>
      <c r="AE334" s="712"/>
      <c r="AF334" s="712"/>
      <c r="AG334" s="712"/>
      <c r="AH334" s="712"/>
      <c r="AI334" s="712"/>
      <c r="AJ334" s="712"/>
      <c r="AK334" s="712"/>
      <c r="AL334" s="712"/>
      <c r="AM334" s="712"/>
      <c r="AN334" s="712"/>
      <c r="AO334" s="712"/>
    </row>
    <row r="335">
      <c r="B335" s="1023" t="s">
        <v>959</v>
      </c>
      <c r="G335" s="712"/>
      <c r="H335" s="712"/>
      <c r="I335" s="712"/>
      <c r="J335" s="712"/>
      <c r="K335" s="712"/>
      <c r="L335" s="712"/>
      <c r="M335" s="712"/>
      <c r="N335" s="712"/>
      <c r="O335" s="712"/>
      <c r="P335" s="712"/>
      <c r="Q335" s="712"/>
      <c r="R335" s="712"/>
      <c r="S335" s="712"/>
      <c r="T335" s="712"/>
      <c r="U335" s="712"/>
      <c r="V335" s="712"/>
      <c r="W335" s="712"/>
      <c r="X335" s="712"/>
      <c r="Y335" s="712"/>
      <c r="Z335" s="712"/>
      <c r="AA335" s="712"/>
      <c r="AB335" s="712"/>
      <c r="AC335" s="712"/>
      <c r="AD335" s="712"/>
      <c r="AE335" s="712"/>
      <c r="AF335" s="712"/>
      <c r="AG335" s="712"/>
      <c r="AH335" s="712"/>
      <c r="AI335" s="712"/>
      <c r="AJ335" s="712"/>
      <c r="AK335" s="712"/>
      <c r="AL335" s="712"/>
      <c r="AM335" s="712"/>
      <c r="AN335" s="712"/>
      <c r="AO335" s="712"/>
    </row>
    <row r="336">
      <c r="B336" s="1023" t="s">
        <v>960</v>
      </c>
      <c r="G336" s="712"/>
      <c r="H336" s="712"/>
      <c r="I336" s="712"/>
      <c r="J336" s="712"/>
      <c r="K336" s="712"/>
      <c r="L336" s="712"/>
      <c r="M336" s="712"/>
      <c r="N336" s="712"/>
      <c r="O336" s="712"/>
      <c r="P336" s="712"/>
      <c r="Q336" s="712"/>
      <c r="R336" s="712"/>
      <c r="S336" s="712"/>
      <c r="T336" s="712"/>
      <c r="U336" s="712"/>
      <c r="V336" s="712"/>
      <c r="W336" s="712"/>
      <c r="X336" s="712"/>
      <c r="Y336" s="712"/>
      <c r="Z336" s="712"/>
      <c r="AA336" s="712"/>
      <c r="AB336" s="712"/>
      <c r="AC336" s="712"/>
      <c r="AD336" s="712"/>
      <c r="AE336" s="712"/>
      <c r="AF336" s="712"/>
      <c r="AG336" s="712"/>
      <c r="AH336" s="712"/>
      <c r="AI336" s="712"/>
      <c r="AJ336" s="712"/>
      <c r="AK336" s="712"/>
      <c r="AL336" s="712"/>
      <c r="AM336" s="712"/>
      <c r="AN336" s="712"/>
      <c r="AO336" s="712"/>
    </row>
    <row r="337">
      <c r="B337" s="1023" t="s">
        <v>961</v>
      </c>
      <c r="G337" s="712"/>
      <c r="H337" s="712"/>
      <c r="I337" s="712"/>
      <c r="J337" s="712"/>
      <c r="K337" s="712"/>
      <c r="L337" s="712"/>
      <c r="M337" s="712"/>
      <c r="N337" s="712"/>
      <c r="O337" s="712"/>
      <c r="P337" s="712"/>
      <c r="Q337" s="712"/>
      <c r="R337" s="712"/>
      <c r="S337" s="712"/>
      <c r="T337" s="712"/>
      <c r="U337" s="712"/>
      <c r="V337" s="712"/>
      <c r="W337" s="712"/>
      <c r="X337" s="712"/>
      <c r="Y337" s="712"/>
      <c r="Z337" s="712"/>
      <c r="AA337" s="712"/>
      <c r="AB337" s="712"/>
      <c r="AC337" s="712"/>
      <c r="AD337" s="712"/>
      <c r="AE337" s="712"/>
      <c r="AF337" s="712"/>
      <c r="AG337" s="712"/>
      <c r="AH337" s="712"/>
      <c r="AI337" s="712"/>
      <c r="AJ337" s="712"/>
      <c r="AK337" s="712"/>
      <c r="AL337" s="712"/>
      <c r="AM337" s="712"/>
      <c r="AN337" s="712"/>
      <c r="AO337" s="712"/>
    </row>
    <row r="338">
      <c r="G338" s="712"/>
      <c r="H338" s="712"/>
      <c r="I338" s="712"/>
      <c r="J338" s="712"/>
      <c r="K338" s="712"/>
      <c r="L338" s="712"/>
      <c r="M338" s="712"/>
      <c r="N338" s="712"/>
      <c r="O338" s="712"/>
      <c r="P338" s="712"/>
      <c r="Q338" s="712"/>
      <c r="R338" s="712"/>
      <c r="S338" s="712"/>
      <c r="T338" s="712"/>
      <c r="U338" s="712"/>
      <c r="V338" s="712"/>
      <c r="W338" s="712"/>
      <c r="X338" s="712"/>
      <c r="Y338" s="712"/>
      <c r="Z338" s="712"/>
      <c r="AA338" s="712"/>
      <c r="AB338" s="712"/>
      <c r="AC338" s="712"/>
      <c r="AD338" s="712"/>
      <c r="AE338" s="712"/>
      <c r="AF338" s="712"/>
      <c r="AG338" s="712"/>
      <c r="AH338" s="712"/>
      <c r="AI338" s="712"/>
      <c r="AJ338" s="712"/>
      <c r="AK338" s="712"/>
      <c r="AL338" s="712"/>
      <c r="AM338" s="712"/>
      <c r="AN338" s="712"/>
      <c r="AO338" s="712"/>
    </row>
    <row r="339">
      <c r="G339" s="712"/>
      <c r="H339" s="712"/>
      <c r="I339" s="712"/>
      <c r="J339" s="712"/>
      <c r="K339" s="712"/>
      <c r="L339" s="712"/>
      <c r="M339" s="712"/>
      <c r="N339" s="712"/>
      <c r="O339" s="712"/>
      <c r="P339" s="712"/>
      <c r="Q339" s="712"/>
      <c r="R339" s="712"/>
      <c r="S339" s="712"/>
      <c r="T339" s="712"/>
      <c r="U339" s="712"/>
      <c r="V339" s="712"/>
      <c r="W339" s="712"/>
      <c r="X339" s="712"/>
      <c r="Y339" s="712"/>
      <c r="Z339" s="712"/>
      <c r="AA339" s="712"/>
      <c r="AB339" s="712"/>
      <c r="AC339" s="712"/>
      <c r="AD339" s="712"/>
      <c r="AE339" s="712"/>
      <c r="AF339" s="712"/>
      <c r="AG339" s="712"/>
      <c r="AH339" s="712"/>
      <c r="AI339" s="712"/>
      <c r="AJ339" s="712"/>
      <c r="AK339" s="712"/>
      <c r="AL339" s="712"/>
      <c r="AM339" s="712"/>
      <c r="AN339" s="712"/>
      <c r="AO339" s="712"/>
    </row>
    <row r="340">
      <c r="G340" s="712"/>
      <c r="H340" s="712"/>
      <c r="I340" s="712"/>
      <c r="J340" s="712"/>
      <c r="K340" s="712"/>
      <c r="L340" s="712"/>
      <c r="M340" s="712"/>
      <c r="N340" s="712"/>
      <c r="O340" s="712"/>
      <c r="P340" s="712"/>
      <c r="Q340" s="712"/>
      <c r="R340" s="712"/>
      <c r="S340" s="712"/>
      <c r="T340" s="712"/>
      <c r="U340" s="712"/>
      <c r="V340" s="712"/>
      <c r="W340" s="712"/>
      <c r="X340" s="712"/>
      <c r="Y340" s="712"/>
      <c r="Z340" s="712"/>
      <c r="AA340" s="712"/>
      <c r="AB340" s="712"/>
      <c r="AC340" s="712"/>
      <c r="AD340" s="712"/>
      <c r="AE340" s="712"/>
      <c r="AF340" s="712"/>
      <c r="AG340" s="712"/>
      <c r="AH340" s="712"/>
      <c r="AI340" s="712"/>
      <c r="AJ340" s="712"/>
      <c r="AK340" s="712"/>
      <c r="AL340" s="712"/>
      <c r="AM340" s="712"/>
      <c r="AN340" s="712"/>
      <c r="AO340" s="712"/>
    </row>
    <row r="341">
      <c r="G341" s="712"/>
      <c r="H341" s="712"/>
      <c r="I341" s="712"/>
      <c r="J341" s="712"/>
      <c r="K341" s="712"/>
      <c r="L341" s="712"/>
      <c r="M341" s="712"/>
      <c r="N341" s="712"/>
      <c r="O341" s="712"/>
      <c r="P341" s="712"/>
      <c r="Q341" s="712"/>
      <c r="R341" s="712"/>
      <c r="S341" s="712"/>
      <c r="T341" s="712"/>
      <c r="U341" s="712"/>
      <c r="V341" s="712"/>
      <c r="W341" s="712"/>
      <c r="X341" s="712"/>
      <c r="Y341" s="712"/>
      <c r="Z341" s="712"/>
      <c r="AA341" s="712"/>
      <c r="AB341" s="712"/>
      <c r="AC341" s="712"/>
      <c r="AD341" s="712"/>
      <c r="AE341" s="712"/>
      <c r="AF341" s="712"/>
      <c r="AG341" s="712"/>
      <c r="AH341" s="712"/>
      <c r="AI341" s="712"/>
      <c r="AJ341" s="712"/>
      <c r="AK341" s="712"/>
      <c r="AL341" s="712"/>
      <c r="AM341" s="712"/>
      <c r="AN341" s="712"/>
      <c r="AO341" s="712"/>
    </row>
    <row r="342">
      <c r="G342" s="712"/>
      <c r="H342" s="712"/>
      <c r="I342" s="712"/>
      <c r="J342" s="712"/>
      <c r="K342" s="712"/>
      <c r="L342" s="712"/>
      <c r="M342" s="712"/>
      <c r="N342" s="712"/>
      <c r="O342" s="712"/>
      <c r="P342" s="712"/>
      <c r="Q342" s="712"/>
      <c r="R342" s="712"/>
      <c r="S342" s="712"/>
      <c r="T342" s="712"/>
      <c r="U342" s="712"/>
      <c r="V342" s="712"/>
      <c r="W342" s="712"/>
      <c r="X342" s="712"/>
      <c r="Y342" s="712"/>
      <c r="Z342" s="712"/>
      <c r="AA342" s="712"/>
      <c r="AB342" s="712"/>
      <c r="AC342" s="712"/>
      <c r="AD342" s="712"/>
      <c r="AE342" s="712"/>
      <c r="AF342" s="712"/>
      <c r="AG342" s="712"/>
      <c r="AH342" s="712"/>
      <c r="AI342" s="712"/>
      <c r="AJ342" s="712"/>
      <c r="AK342" s="712"/>
      <c r="AL342" s="712"/>
      <c r="AM342" s="712"/>
      <c r="AN342" s="712"/>
      <c r="AO342" s="712"/>
    </row>
    <row r="343">
      <c r="G343" s="712"/>
      <c r="H343" s="712"/>
      <c r="I343" s="712"/>
      <c r="J343" s="712"/>
      <c r="K343" s="712"/>
      <c r="L343" s="712"/>
      <c r="M343" s="712"/>
      <c r="N343" s="712"/>
      <c r="O343" s="712"/>
      <c r="P343" s="712"/>
      <c r="Q343" s="712"/>
      <c r="R343" s="712"/>
      <c r="S343" s="712"/>
      <c r="T343" s="712"/>
      <c r="U343" s="712"/>
      <c r="V343" s="712"/>
      <c r="W343" s="712"/>
      <c r="X343" s="712"/>
      <c r="Y343" s="712"/>
      <c r="Z343" s="712"/>
      <c r="AA343" s="712"/>
      <c r="AB343" s="712"/>
      <c r="AC343" s="712"/>
      <c r="AD343" s="712"/>
      <c r="AE343" s="712"/>
      <c r="AF343" s="712"/>
      <c r="AG343" s="712"/>
      <c r="AH343" s="712"/>
      <c r="AI343" s="712"/>
      <c r="AJ343" s="712"/>
      <c r="AK343" s="712"/>
      <c r="AL343" s="712"/>
      <c r="AM343" s="712"/>
      <c r="AN343" s="712"/>
      <c r="AO343" s="712"/>
    </row>
    <row r="344">
      <c r="G344" s="712"/>
      <c r="H344" s="712"/>
      <c r="I344" s="712"/>
      <c r="J344" s="712"/>
      <c r="K344" s="712"/>
      <c r="L344" s="712"/>
      <c r="M344" s="712"/>
      <c r="N344" s="712"/>
      <c r="O344" s="712"/>
      <c r="P344" s="712"/>
      <c r="Q344" s="712"/>
      <c r="R344" s="712"/>
      <c r="S344" s="712"/>
      <c r="T344" s="712"/>
      <c r="U344" s="712"/>
      <c r="V344" s="712"/>
      <c r="W344" s="712"/>
      <c r="X344" s="712"/>
      <c r="Y344" s="712"/>
      <c r="Z344" s="712"/>
      <c r="AA344" s="712"/>
      <c r="AB344" s="712"/>
      <c r="AC344" s="712"/>
      <c r="AD344" s="712"/>
      <c r="AE344" s="712"/>
      <c r="AF344" s="712"/>
      <c r="AG344" s="712"/>
      <c r="AH344" s="712"/>
      <c r="AI344" s="712"/>
      <c r="AJ344" s="712"/>
      <c r="AK344" s="712"/>
      <c r="AL344" s="712"/>
      <c r="AM344" s="712"/>
      <c r="AN344" s="712"/>
      <c r="AO344" s="712"/>
    </row>
    <row r="345">
      <c r="G345" s="712"/>
      <c r="H345" s="712"/>
      <c r="I345" s="712"/>
      <c r="J345" s="712"/>
      <c r="K345" s="712"/>
      <c r="L345" s="712"/>
      <c r="M345" s="712"/>
      <c r="N345" s="712"/>
      <c r="O345" s="712"/>
      <c r="P345" s="712"/>
      <c r="Q345" s="712"/>
      <c r="R345" s="712"/>
      <c r="S345" s="712"/>
      <c r="T345" s="712"/>
      <c r="U345" s="712"/>
      <c r="V345" s="712"/>
      <c r="W345" s="712"/>
      <c r="X345" s="712"/>
      <c r="Y345" s="712"/>
      <c r="Z345" s="712"/>
      <c r="AA345" s="712"/>
      <c r="AB345" s="712"/>
      <c r="AC345" s="712"/>
      <c r="AD345" s="712"/>
      <c r="AE345" s="712"/>
      <c r="AF345" s="712"/>
      <c r="AG345" s="712"/>
      <c r="AH345" s="712"/>
      <c r="AI345" s="712"/>
      <c r="AJ345" s="712"/>
      <c r="AK345" s="712"/>
      <c r="AL345" s="712"/>
      <c r="AM345" s="712"/>
      <c r="AN345" s="712"/>
      <c r="AO345" s="712"/>
    </row>
    <row r="346">
      <c r="G346" s="712"/>
      <c r="H346" s="712"/>
      <c r="I346" s="712"/>
      <c r="J346" s="712"/>
      <c r="K346" s="712"/>
      <c r="L346" s="712"/>
      <c r="M346" s="712"/>
      <c r="N346" s="712"/>
      <c r="O346" s="712"/>
      <c r="P346" s="712"/>
      <c r="Q346" s="712"/>
      <c r="R346" s="712"/>
      <c r="S346" s="712"/>
      <c r="T346" s="712"/>
      <c r="U346" s="712"/>
      <c r="V346" s="712"/>
      <c r="W346" s="712"/>
      <c r="X346" s="712"/>
      <c r="Y346" s="712"/>
      <c r="Z346" s="712"/>
      <c r="AA346" s="712"/>
      <c r="AB346" s="712"/>
      <c r="AC346" s="712"/>
      <c r="AD346" s="712"/>
      <c r="AE346" s="712"/>
      <c r="AF346" s="712"/>
      <c r="AG346" s="712"/>
      <c r="AH346" s="712"/>
      <c r="AI346" s="712"/>
      <c r="AJ346" s="712"/>
      <c r="AK346" s="712"/>
      <c r="AL346" s="712"/>
      <c r="AM346" s="712"/>
      <c r="AN346" s="712"/>
      <c r="AO346" s="712"/>
    </row>
    <row r="347">
      <c r="G347" s="712"/>
      <c r="H347" s="712"/>
      <c r="I347" s="712"/>
      <c r="J347" s="712"/>
      <c r="K347" s="712"/>
      <c r="L347" s="712"/>
      <c r="M347" s="712"/>
      <c r="N347" s="712"/>
      <c r="O347" s="712"/>
      <c r="P347" s="712"/>
      <c r="Q347" s="712"/>
      <c r="R347" s="712"/>
      <c r="S347" s="712"/>
      <c r="T347" s="712"/>
      <c r="U347" s="712"/>
      <c r="V347" s="712"/>
      <c r="W347" s="712"/>
      <c r="X347" s="712"/>
      <c r="Y347" s="712"/>
      <c r="Z347" s="712"/>
      <c r="AA347" s="712"/>
      <c r="AB347" s="712"/>
      <c r="AC347" s="712"/>
      <c r="AD347" s="712"/>
      <c r="AE347" s="712"/>
      <c r="AF347" s="712"/>
      <c r="AG347" s="712"/>
      <c r="AH347" s="712"/>
      <c r="AI347" s="712"/>
      <c r="AJ347" s="712"/>
      <c r="AK347" s="712"/>
      <c r="AL347" s="712"/>
      <c r="AM347" s="712"/>
      <c r="AN347" s="712"/>
      <c r="AO347" s="712"/>
    </row>
    <row r="348">
      <c r="G348" s="712"/>
      <c r="H348" s="712"/>
      <c r="I348" s="712"/>
      <c r="J348" s="712"/>
      <c r="K348" s="712"/>
      <c r="L348" s="712"/>
      <c r="M348" s="712"/>
      <c r="N348" s="712"/>
      <c r="O348" s="712"/>
      <c r="P348" s="712"/>
      <c r="Q348" s="712"/>
      <c r="R348" s="712"/>
      <c r="S348" s="712"/>
      <c r="T348" s="712"/>
      <c r="U348" s="712"/>
      <c r="V348" s="712"/>
      <c r="W348" s="712"/>
      <c r="X348" s="712"/>
      <c r="Y348" s="712"/>
      <c r="Z348" s="712"/>
      <c r="AA348" s="712"/>
      <c r="AB348" s="712"/>
      <c r="AC348" s="712"/>
      <c r="AD348" s="712"/>
      <c r="AE348" s="712"/>
      <c r="AF348" s="712"/>
      <c r="AG348" s="712"/>
      <c r="AH348" s="712"/>
      <c r="AI348" s="712"/>
      <c r="AJ348" s="712"/>
      <c r="AK348" s="712"/>
      <c r="AL348" s="712"/>
      <c r="AM348" s="712"/>
      <c r="AN348" s="712"/>
      <c r="AO348" s="712"/>
    </row>
    <row r="349">
      <c r="G349" s="712"/>
      <c r="H349" s="712"/>
      <c r="I349" s="712"/>
      <c r="J349" s="712"/>
      <c r="K349" s="712"/>
      <c r="L349" s="712"/>
      <c r="M349" s="712"/>
      <c r="N349" s="712"/>
      <c r="O349" s="712"/>
      <c r="P349" s="712"/>
      <c r="Q349" s="712"/>
      <c r="R349" s="712"/>
      <c r="S349" s="712"/>
      <c r="T349" s="712"/>
      <c r="U349" s="712"/>
      <c r="V349" s="712"/>
      <c r="W349" s="712"/>
      <c r="X349" s="712"/>
      <c r="Y349" s="712"/>
      <c r="Z349" s="712"/>
      <c r="AA349" s="712"/>
      <c r="AB349" s="712"/>
      <c r="AC349" s="712"/>
      <c r="AD349" s="712"/>
      <c r="AE349" s="712"/>
      <c r="AF349" s="712"/>
      <c r="AG349" s="712"/>
      <c r="AH349" s="712"/>
      <c r="AI349" s="712"/>
      <c r="AJ349" s="712"/>
      <c r="AK349" s="712"/>
      <c r="AL349" s="712"/>
      <c r="AM349" s="712"/>
      <c r="AN349" s="712"/>
      <c r="AO349" s="712"/>
    </row>
    <row r="350">
      <c r="G350" s="712"/>
      <c r="H350" s="712"/>
      <c r="I350" s="712"/>
      <c r="J350" s="712"/>
      <c r="K350" s="712"/>
      <c r="L350" s="712"/>
      <c r="M350" s="712"/>
      <c r="N350" s="712"/>
      <c r="O350" s="712"/>
      <c r="P350" s="712"/>
      <c r="Q350" s="712"/>
      <c r="R350" s="712"/>
      <c r="S350" s="712"/>
      <c r="T350" s="712"/>
      <c r="U350" s="712"/>
      <c r="V350" s="712"/>
      <c r="W350" s="712"/>
      <c r="X350" s="712"/>
      <c r="Y350" s="712"/>
      <c r="Z350" s="712"/>
      <c r="AA350" s="712"/>
      <c r="AB350" s="712"/>
      <c r="AC350" s="712"/>
      <c r="AD350" s="712"/>
      <c r="AE350" s="712"/>
      <c r="AF350" s="712"/>
      <c r="AG350" s="712"/>
      <c r="AH350" s="712"/>
      <c r="AI350" s="712"/>
      <c r="AJ350" s="712"/>
      <c r="AK350" s="712"/>
      <c r="AL350" s="712"/>
      <c r="AM350" s="712"/>
      <c r="AN350" s="712"/>
      <c r="AO350" s="712"/>
    </row>
    <row r="351">
      <c r="G351" s="712"/>
      <c r="H351" s="712"/>
      <c r="I351" s="712"/>
      <c r="J351" s="712"/>
      <c r="K351" s="712"/>
      <c r="L351" s="712"/>
      <c r="M351" s="712"/>
      <c r="N351" s="712"/>
      <c r="O351" s="712"/>
      <c r="P351" s="712"/>
      <c r="Q351" s="712"/>
      <c r="R351" s="712"/>
      <c r="S351" s="712"/>
      <c r="T351" s="712"/>
      <c r="U351" s="712"/>
      <c r="V351" s="712"/>
      <c r="W351" s="712"/>
      <c r="X351" s="712"/>
      <c r="Y351" s="712"/>
      <c r="Z351" s="712"/>
      <c r="AA351" s="712"/>
      <c r="AB351" s="712"/>
      <c r="AC351" s="712"/>
      <c r="AD351" s="712"/>
      <c r="AE351" s="712"/>
      <c r="AF351" s="712"/>
      <c r="AG351" s="712"/>
      <c r="AH351" s="712"/>
      <c r="AI351" s="712"/>
      <c r="AJ351" s="712"/>
      <c r="AK351" s="712"/>
      <c r="AL351" s="712"/>
      <c r="AM351" s="712"/>
      <c r="AN351" s="712"/>
      <c r="AO351" s="712"/>
    </row>
    <row r="352">
      <c r="G352" s="712"/>
      <c r="H352" s="712"/>
      <c r="I352" s="712"/>
      <c r="J352" s="712"/>
      <c r="K352" s="712"/>
      <c r="L352" s="712"/>
      <c r="M352" s="712"/>
      <c r="N352" s="712"/>
      <c r="O352" s="712"/>
      <c r="P352" s="712"/>
      <c r="Q352" s="712"/>
      <c r="R352" s="712"/>
      <c r="S352" s="712"/>
      <c r="T352" s="712"/>
      <c r="U352" s="712"/>
      <c r="V352" s="712"/>
      <c r="W352" s="712"/>
      <c r="X352" s="712"/>
      <c r="Y352" s="712"/>
      <c r="Z352" s="712"/>
      <c r="AA352" s="712"/>
      <c r="AB352" s="712"/>
      <c r="AC352" s="712"/>
      <c r="AD352" s="712"/>
      <c r="AE352" s="712"/>
      <c r="AF352" s="712"/>
      <c r="AG352" s="712"/>
      <c r="AH352" s="712"/>
      <c r="AI352" s="712"/>
      <c r="AJ352" s="712"/>
      <c r="AK352" s="712"/>
      <c r="AL352" s="712"/>
      <c r="AM352" s="712"/>
      <c r="AN352" s="712"/>
      <c r="AO352" s="712"/>
    </row>
    <row r="353">
      <c r="G353" s="712"/>
      <c r="H353" s="712"/>
      <c r="I353" s="712"/>
      <c r="J353" s="712"/>
      <c r="K353" s="712"/>
      <c r="L353" s="712"/>
      <c r="M353" s="712"/>
      <c r="N353" s="712"/>
      <c r="O353" s="712"/>
      <c r="P353" s="712"/>
      <c r="Q353" s="712"/>
      <c r="R353" s="712"/>
      <c r="S353" s="712"/>
      <c r="T353" s="712"/>
      <c r="U353" s="712"/>
      <c r="V353" s="712"/>
      <c r="W353" s="712"/>
      <c r="X353" s="712"/>
      <c r="Y353" s="712"/>
      <c r="Z353" s="712"/>
      <c r="AA353" s="712"/>
      <c r="AB353" s="712"/>
      <c r="AC353" s="712"/>
      <c r="AD353" s="712"/>
      <c r="AE353" s="712"/>
      <c r="AF353" s="712"/>
      <c r="AG353" s="712"/>
      <c r="AH353" s="712"/>
      <c r="AI353" s="712"/>
      <c r="AJ353" s="712"/>
      <c r="AK353" s="712"/>
      <c r="AL353" s="712"/>
      <c r="AM353" s="712"/>
      <c r="AN353" s="712"/>
      <c r="AO353" s="712"/>
    </row>
    <row r="354">
      <c r="G354" s="712"/>
      <c r="H354" s="712"/>
      <c r="I354" s="712"/>
      <c r="J354" s="712"/>
      <c r="K354" s="712"/>
      <c r="L354" s="712"/>
      <c r="M354" s="712"/>
      <c r="N354" s="712"/>
      <c r="O354" s="712"/>
      <c r="P354" s="712"/>
      <c r="Q354" s="712"/>
      <c r="R354" s="712"/>
      <c r="S354" s="712"/>
      <c r="T354" s="712"/>
      <c r="U354" s="712"/>
      <c r="V354" s="712"/>
      <c r="W354" s="712"/>
      <c r="X354" s="712"/>
      <c r="Y354" s="712"/>
      <c r="Z354" s="712"/>
      <c r="AA354" s="712"/>
      <c r="AB354" s="712"/>
      <c r="AC354" s="712"/>
      <c r="AD354" s="712"/>
      <c r="AE354" s="712"/>
      <c r="AF354" s="712"/>
      <c r="AG354" s="712"/>
      <c r="AH354" s="712"/>
      <c r="AI354" s="712"/>
      <c r="AJ354" s="712"/>
      <c r="AK354" s="712"/>
      <c r="AL354" s="712"/>
      <c r="AM354" s="712"/>
      <c r="AN354" s="712"/>
      <c r="AO354" s="712"/>
    </row>
    <row r="355">
      <c r="G355" s="712"/>
      <c r="H355" s="712"/>
      <c r="I355" s="712"/>
      <c r="J355" s="712"/>
      <c r="K355" s="712"/>
      <c r="L355" s="712"/>
      <c r="M355" s="712"/>
      <c r="N355" s="712"/>
      <c r="O355" s="712"/>
      <c r="P355" s="712"/>
      <c r="Q355" s="712"/>
      <c r="R355" s="712"/>
      <c r="S355" s="712"/>
      <c r="T355" s="712"/>
      <c r="U355" s="712"/>
      <c r="V355" s="712"/>
      <c r="W355" s="712"/>
      <c r="X355" s="712"/>
      <c r="Y355" s="712"/>
      <c r="Z355" s="712"/>
      <c r="AA355" s="712"/>
      <c r="AB355" s="712"/>
      <c r="AC355" s="712"/>
      <c r="AD355" s="712"/>
      <c r="AE355" s="712"/>
      <c r="AF355" s="712"/>
      <c r="AG355" s="712"/>
      <c r="AH355" s="712"/>
      <c r="AI355" s="712"/>
      <c r="AJ355" s="712"/>
      <c r="AK355" s="712"/>
      <c r="AL355" s="712"/>
      <c r="AM355" s="712"/>
      <c r="AN355" s="712"/>
      <c r="AO355" s="712"/>
    </row>
    <row r="356">
      <c r="G356" s="712"/>
      <c r="H356" s="712"/>
      <c r="I356" s="712"/>
      <c r="J356" s="712"/>
      <c r="K356" s="712"/>
      <c r="L356" s="712"/>
      <c r="M356" s="712"/>
      <c r="N356" s="712"/>
      <c r="O356" s="712"/>
      <c r="P356" s="712"/>
      <c r="Q356" s="712"/>
      <c r="R356" s="712"/>
      <c r="S356" s="712"/>
      <c r="T356" s="712"/>
      <c r="U356" s="712"/>
      <c r="V356" s="712"/>
      <c r="W356" s="712"/>
      <c r="X356" s="712"/>
      <c r="Y356" s="712"/>
      <c r="Z356" s="712"/>
      <c r="AA356" s="712"/>
      <c r="AB356" s="712"/>
      <c r="AC356" s="712"/>
      <c r="AD356" s="712"/>
      <c r="AE356" s="712"/>
      <c r="AF356" s="712"/>
      <c r="AG356" s="712"/>
      <c r="AH356" s="712"/>
      <c r="AI356" s="712"/>
      <c r="AJ356" s="712"/>
      <c r="AK356" s="712"/>
      <c r="AL356" s="712"/>
      <c r="AM356" s="712"/>
      <c r="AN356" s="712"/>
      <c r="AO356" s="712"/>
    </row>
    <row r="357">
      <c r="G357" s="712"/>
      <c r="H357" s="712"/>
      <c r="I357" s="712"/>
      <c r="J357" s="712"/>
      <c r="K357" s="712"/>
      <c r="L357" s="712"/>
      <c r="M357" s="712"/>
      <c r="N357" s="712"/>
      <c r="O357" s="712"/>
      <c r="P357" s="712"/>
      <c r="Q357" s="712"/>
      <c r="R357" s="712"/>
      <c r="S357" s="712"/>
      <c r="T357" s="712"/>
      <c r="U357" s="712"/>
      <c r="V357" s="712"/>
      <c r="W357" s="712"/>
      <c r="X357" s="712"/>
      <c r="Y357" s="712"/>
      <c r="Z357" s="712"/>
      <c r="AA357" s="712"/>
      <c r="AB357" s="712"/>
      <c r="AC357" s="712"/>
      <c r="AD357" s="712"/>
      <c r="AE357" s="712"/>
      <c r="AF357" s="712"/>
      <c r="AG357" s="712"/>
      <c r="AH357" s="712"/>
      <c r="AI357" s="712"/>
      <c r="AJ357" s="712"/>
      <c r="AK357" s="712"/>
      <c r="AL357" s="712"/>
      <c r="AM357" s="712"/>
      <c r="AN357" s="712"/>
      <c r="AO357" s="712"/>
    </row>
    <row r="358">
      <c r="G358" s="712"/>
      <c r="H358" s="712"/>
      <c r="I358" s="712"/>
      <c r="J358" s="712"/>
      <c r="K358" s="712"/>
      <c r="L358" s="712"/>
      <c r="M358" s="712"/>
      <c r="N358" s="712"/>
      <c r="O358" s="712"/>
      <c r="P358" s="712"/>
      <c r="Q358" s="712"/>
      <c r="R358" s="712"/>
      <c r="S358" s="712"/>
      <c r="T358" s="712"/>
      <c r="U358" s="712"/>
      <c r="V358" s="712"/>
      <c r="W358" s="712"/>
      <c r="X358" s="712"/>
      <c r="Y358" s="712"/>
      <c r="Z358" s="712"/>
      <c r="AA358" s="712"/>
      <c r="AB358" s="712"/>
      <c r="AC358" s="712"/>
      <c r="AD358" s="712"/>
      <c r="AE358" s="712"/>
      <c r="AF358" s="712"/>
      <c r="AG358" s="712"/>
      <c r="AH358" s="712"/>
      <c r="AI358" s="712"/>
      <c r="AJ358" s="712"/>
      <c r="AK358" s="712"/>
      <c r="AL358" s="712"/>
      <c r="AM358" s="712"/>
      <c r="AN358" s="712"/>
      <c r="AO358" s="712"/>
    </row>
    <row r="359">
      <c r="G359" s="712"/>
      <c r="H359" s="712"/>
      <c r="I359" s="712"/>
      <c r="J359" s="712"/>
      <c r="K359" s="712"/>
      <c r="L359" s="712"/>
      <c r="M359" s="712"/>
      <c r="N359" s="712"/>
      <c r="O359" s="712"/>
      <c r="P359" s="712"/>
      <c r="Q359" s="712"/>
      <c r="R359" s="712"/>
      <c r="S359" s="712"/>
      <c r="T359" s="712"/>
      <c r="U359" s="712"/>
      <c r="V359" s="712"/>
      <c r="W359" s="712"/>
      <c r="X359" s="712"/>
      <c r="Y359" s="712"/>
      <c r="Z359" s="712"/>
      <c r="AA359" s="712"/>
      <c r="AB359" s="712"/>
      <c r="AC359" s="712"/>
      <c r="AD359" s="712"/>
      <c r="AE359" s="712"/>
      <c r="AF359" s="712"/>
      <c r="AG359" s="712"/>
      <c r="AH359" s="712"/>
      <c r="AI359" s="712"/>
      <c r="AJ359" s="712"/>
      <c r="AK359" s="712"/>
      <c r="AL359" s="712"/>
      <c r="AM359" s="712"/>
      <c r="AN359" s="712"/>
      <c r="AO359" s="712"/>
    </row>
    <row r="360">
      <c r="G360" s="712"/>
      <c r="H360" s="712"/>
      <c r="I360" s="712"/>
      <c r="J360" s="712"/>
      <c r="K360" s="712"/>
      <c r="L360" s="712"/>
      <c r="M360" s="712"/>
      <c r="N360" s="712"/>
      <c r="O360" s="712"/>
      <c r="P360" s="712"/>
      <c r="Q360" s="712"/>
      <c r="R360" s="712"/>
      <c r="S360" s="712"/>
      <c r="T360" s="712"/>
      <c r="U360" s="712"/>
      <c r="V360" s="712"/>
      <c r="W360" s="712"/>
      <c r="X360" s="712"/>
      <c r="Y360" s="712"/>
      <c r="Z360" s="712"/>
      <c r="AA360" s="712"/>
      <c r="AB360" s="712"/>
      <c r="AC360" s="712"/>
      <c r="AD360" s="712"/>
      <c r="AE360" s="712"/>
      <c r="AF360" s="712"/>
      <c r="AG360" s="712"/>
      <c r="AH360" s="712"/>
      <c r="AI360" s="712"/>
      <c r="AJ360" s="712"/>
      <c r="AK360" s="712"/>
      <c r="AL360" s="712"/>
      <c r="AM360" s="712"/>
      <c r="AN360" s="712"/>
      <c r="AO360" s="712"/>
    </row>
    <row r="361">
      <c r="G361" s="712"/>
      <c r="H361" s="712"/>
      <c r="I361" s="712"/>
      <c r="J361" s="712"/>
      <c r="K361" s="712"/>
      <c r="L361" s="712"/>
      <c r="M361" s="712"/>
      <c r="N361" s="712"/>
      <c r="O361" s="712"/>
      <c r="P361" s="712"/>
      <c r="Q361" s="712"/>
      <c r="R361" s="712"/>
      <c r="S361" s="712"/>
      <c r="T361" s="712"/>
      <c r="U361" s="712"/>
      <c r="V361" s="712"/>
      <c r="W361" s="712"/>
      <c r="X361" s="712"/>
      <c r="Y361" s="712"/>
      <c r="Z361" s="712"/>
      <c r="AA361" s="712"/>
      <c r="AB361" s="712"/>
      <c r="AC361" s="712"/>
      <c r="AD361" s="712"/>
      <c r="AE361" s="712"/>
      <c r="AF361" s="712"/>
      <c r="AG361" s="712"/>
      <c r="AH361" s="712"/>
      <c r="AI361" s="712"/>
      <c r="AJ361" s="712"/>
      <c r="AK361" s="712"/>
      <c r="AL361" s="712"/>
      <c r="AM361" s="712"/>
      <c r="AN361" s="712"/>
      <c r="AO361" s="712"/>
    </row>
    <row r="362">
      <c r="G362" s="712"/>
      <c r="H362" s="712"/>
      <c r="I362" s="712"/>
      <c r="J362" s="712"/>
      <c r="K362" s="712"/>
      <c r="L362" s="712"/>
      <c r="M362" s="712"/>
      <c r="N362" s="712"/>
      <c r="O362" s="712"/>
      <c r="P362" s="712"/>
      <c r="Q362" s="712"/>
      <c r="R362" s="712"/>
      <c r="S362" s="712"/>
      <c r="T362" s="712"/>
      <c r="U362" s="712"/>
      <c r="V362" s="712"/>
      <c r="W362" s="712"/>
      <c r="X362" s="712"/>
      <c r="Y362" s="712"/>
      <c r="Z362" s="712"/>
      <c r="AA362" s="712"/>
      <c r="AB362" s="712"/>
      <c r="AC362" s="712"/>
      <c r="AD362" s="712"/>
      <c r="AE362" s="712"/>
      <c r="AF362" s="712"/>
      <c r="AG362" s="712"/>
      <c r="AH362" s="712"/>
      <c r="AI362" s="712"/>
      <c r="AJ362" s="712"/>
      <c r="AK362" s="712"/>
      <c r="AL362" s="712"/>
      <c r="AM362" s="712"/>
      <c r="AN362" s="712"/>
      <c r="AO362" s="712"/>
    </row>
    <row r="363">
      <c r="G363" s="712"/>
      <c r="H363" s="712"/>
      <c r="I363" s="712"/>
      <c r="J363" s="712"/>
      <c r="K363" s="712"/>
      <c r="L363" s="712"/>
      <c r="M363" s="712"/>
      <c r="N363" s="712"/>
      <c r="O363" s="712"/>
      <c r="P363" s="712"/>
      <c r="Q363" s="712"/>
      <c r="R363" s="712"/>
      <c r="S363" s="712"/>
      <c r="T363" s="712"/>
      <c r="U363" s="712"/>
      <c r="V363" s="712"/>
      <c r="W363" s="712"/>
      <c r="X363" s="712"/>
      <c r="Y363" s="712"/>
      <c r="Z363" s="712"/>
      <c r="AA363" s="712"/>
      <c r="AB363" s="712"/>
      <c r="AC363" s="712"/>
      <c r="AD363" s="712"/>
      <c r="AE363" s="712"/>
      <c r="AF363" s="712"/>
      <c r="AG363" s="712"/>
      <c r="AH363" s="712"/>
      <c r="AI363" s="712"/>
      <c r="AJ363" s="712"/>
      <c r="AK363" s="712"/>
      <c r="AL363" s="712"/>
      <c r="AM363" s="712"/>
      <c r="AN363" s="712"/>
      <c r="AO363" s="712"/>
    </row>
    <row r="364">
      <c r="G364" s="712"/>
      <c r="H364" s="712"/>
      <c r="I364" s="712"/>
      <c r="J364" s="712"/>
      <c r="K364" s="712"/>
      <c r="L364" s="712"/>
      <c r="M364" s="712"/>
      <c r="N364" s="712"/>
      <c r="O364" s="712"/>
      <c r="P364" s="712"/>
      <c r="Q364" s="712"/>
      <c r="R364" s="712"/>
      <c r="S364" s="712"/>
      <c r="T364" s="712"/>
      <c r="U364" s="712"/>
      <c r="V364" s="712"/>
      <c r="W364" s="712"/>
      <c r="X364" s="712"/>
      <c r="Y364" s="712"/>
      <c r="Z364" s="712"/>
      <c r="AA364" s="712"/>
      <c r="AB364" s="712"/>
      <c r="AC364" s="712"/>
      <c r="AD364" s="712"/>
      <c r="AE364" s="712"/>
      <c r="AF364" s="712"/>
      <c r="AG364" s="712"/>
      <c r="AH364" s="712"/>
      <c r="AI364" s="712"/>
      <c r="AJ364" s="712"/>
      <c r="AK364" s="712"/>
      <c r="AL364" s="712"/>
      <c r="AM364" s="712"/>
      <c r="AN364" s="712"/>
      <c r="AO364" s="712"/>
    </row>
    <row r="365">
      <c r="G365" s="712"/>
      <c r="H365" s="712"/>
      <c r="I365" s="712"/>
      <c r="J365" s="712"/>
      <c r="K365" s="712"/>
      <c r="L365" s="712"/>
      <c r="M365" s="712"/>
      <c r="N365" s="712"/>
      <c r="O365" s="712"/>
      <c r="P365" s="712"/>
      <c r="Q365" s="712"/>
      <c r="R365" s="712"/>
      <c r="S365" s="712"/>
      <c r="T365" s="712"/>
      <c r="U365" s="712"/>
      <c r="V365" s="712"/>
      <c r="W365" s="712"/>
      <c r="X365" s="712"/>
      <c r="Y365" s="712"/>
      <c r="Z365" s="712"/>
      <c r="AA365" s="712"/>
      <c r="AB365" s="712"/>
      <c r="AC365" s="712"/>
      <c r="AD365" s="712"/>
      <c r="AE365" s="712"/>
      <c r="AF365" s="712"/>
      <c r="AG365" s="712"/>
      <c r="AH365" s="712"/>
      <c r="AI365" s="712"/>
      <c r="AJ365" s="712"/>
      <c r="AK365" s="712"/>
      <c r="AL365" s="712"/>
      <c r="AM365" s="712"/>
      <c r="AN365" s="712"/>
      <c r="AO365" s="712"/>
    </row>
    <row r="366">
      <c r="G366" s="712"/>
      <c r="H366" s="712"/>
      <c r="I366" s="712"/>
      <c r="J366" s="712"/>
      <c r="K366" s="712"/>
      <c r="L366" s="712"/>
      <c r="M366" s="712"/>
      <c r="N366" s="712"/>
      <c r="O366" s="712"/>
      <c r="P366" s="712"/>
      <c r="Q366" s="712"/>
      <c r="R366" s="712"/>
      <c r="S366" s="712"/>
      <c r="T366" s="712"/>
      <c r="U366" s="712"/>
      <c r="V366" s="712"/>
      <c r="W366" s="712"/>
      <c r="X366" s="712"/>
      <c r="Y366" s="712"/>
      <c r="Z366" s="712"/>
      <c r="AA366" s="712"/>
      <c r="AB366" s="712"/>
      <c r="AC366" s="712"/>
      <c r="AD366" s="712"/>
      <c r="AE366" s="712"/>
      <c r="AF366" s="712"/>
      <c r="AG366" s="712"/>
      <c r="AH366" s="712"/>
      <c r="AI366" s="712"/>
      <c r="AJ366" s="712"/>
      <c r="AK366" s="712"/>
      <c r="AL366" s="712"/>
      <c r="AM366" s="712"/>
      <c r="AN366" s="712"/>
      <c r="AO366" s="712"/>
    </row>
    <row r="367">
      <c r="G367" s="712"/>
      <c r="H367" s="712"/>
      <c r="I367" s="712"/>
      <c r="J367" s="712"/>
      <c r="K367" s="712"/>
      <c r="L367" s="712"/>
      <c r="M367" s="712"/>
      <c r="N367" s="712"/>
      <c r="O367" s="712"/>
      <c r="P367" s="712"/>
      <c r="Q367" s="712"/>
      <c r="R367" s="712"/>
      <c r="S367" s="712"/>
      <c r="T367" s="712"/>
      <c r="U367" s="712"/>
      <c r="V367" s="712"/>
      <c r="W367" s="712"/>
      <c r="X367" s="712"/>
      <c r="Y367" s="712"/>
      <c r="Z367" s="712"/>
      <c r="AA367" s="712"/>
      <c r="AB367" s="712"/>
      <c r="AC367" s="712"/>
      <c r="AD367" s="712"/>
      <c r="AE367" s="712"/>
      <c r="AF367" s="712"/>
      <c r="AG367" s="712"/>
      <c r="AH367" s="712"/>
      <c r="AI367" s="712"/>
      <c r="AJ367" s="712"/>
      <c r="AK367" s="712"/>
      <c r="AL367" s="712"/>
      <c r="AM367" s="712"/>
      <c r="AN367" s="712"/>
      <c r="AO367" s="712"/>
    </row>
    <row r="368">
      <c r="G368" s="712"/>
      <c r="H368" s="712"/>
      <c r="I368" s="712"/>
      <c r="J368" s="712"/>
      <c r="K368" s="712"/>
      <c r="L368" s="712"/>
      <c r="M368" s="712"/>
      <c r="N368" s="712"/>
      <c r="O368" s="712"/>
      <c r="P368" s="712"/>
      <c r="Q368" s="712"/>
      <c r="R368" s="712"/>
      <c r="S368" s="712"/>
      <c r="T368" s="712"/>
      <c r="U368" s="712"/>
      <c r="V368" s="712"/>
      <c r="W368" s="712"/>
      <c r="X368" s="712"/>
      <c r="Y368" s="712"/>
      <c r="Z368" s="712"/>
      <c r="AA368" s="712"/>
      <c r="AB368" s="712"/>
      <c r="AC368" s="712"/>
      <c r="AD368" s="712"/>
      <c r="AE368" s="712"/>
      <c r="AF368" s="712"/>
      <c r="AG368" s="712"/>
      <c r="AH368" s="712"/>
      <c r="AI368" s="712"/>
      <c r="AJ368" s="712"/>
      <c r="AK368" s="712"/>
      <c r="AL368" s="712"/>
      <c r="AM368" s="712"/>
      <c r="AN368" s="712"/>
      <c r="AO368" s="712"/>
    </row>
    <row r="369">
      <c r="G369" s="712"/>
      <c r="H369" s="712"/>
      <c r="I369" s="712"/>
      <c r="J369" s="712"/>
      <c r="K369" s="712"/>
      <c r="L369" s="712"/>
      <c r="M369" s="712"/>
      <c r="N369" s="712"/>
      <c r="O369" s="712"/>
      <c r="P369" s="712"/>
      <c r="Q369" s="712"/>
      <c r="R369" s="712"/>
      <c r="S369" s="712"/>
      <c r="T369" s="712"/>
      <c r="U369" s="712"/>
      <c r="V369" s="712"/>
      <c r="W369" s="712"/>
      <c r="X369" s="712"/>
      <c r="Y369" s="712"/>
      <c r="Z369" s="712"/>
      <c r="AA369" s="712"/>
      <c r="AB369" s="712"/>
      <c r="AC369" s="712"/>
      <c r="AD369" s="712"/>
      <c r="AE369" s="712"/>
      <c r="AF369" s="712"/>
      <c r="AG369" s="712"/>
      <c r="AH369" s="712"/>
      <c r="AI369" s="712"/>
      <c r="AJ369" s="712"/>
      <c r="AK369" s="712"/>
      <c r="AL369" s="712"/>
      <c r="AM369" s="712"/>
      <c r="AN369" s="712"/>
      <c r="AO369" s="712"/>
    </row>
    <row r="370">
      <c r="G370" s="712"/>
      <c r="H370" s="712"/>
      <c r="I370" s="712"/>
      <c r="J370" s="712"/>
      <c r="K370" s="712"/>
      <c r="L370" s="712"/>
      <c r="M370" s="712"/>
      <c r="N370" s="712"/>
      <c r="O370" s="712"/>
      <c r="P370" s="712"/>
      <c r="Q370" s="712"/>
      <c r="R370" s="712"/>
      <c r="S370" s="712"/>
      <c r="T370" s="712"/>
      <c r="U370" s="712"/>
      <c r="V370" s="712"/>
      <c r="W370" s="712"/>
      <c r="X370" s="712"/>
      <c r="Y370" s="712"/>
      <c r="Z370" s="712"/>
      <c r="AA370" s="712"/>
      <c r="AB370" s="712"/>
      <c r="AC370" s="712"/>
      <c r="AD370" s="712"/>
      <c r="AE370" s="712"/>
      <c r="AF370" s="712"/>
      <c r="AG370" s="712"/>
      <c r="AH370" s="712"/>
      <c r="AI370" s="712"/>
      <c r="AJ370" s="712"/>
      <c r="AK370" s="712"/>
      <c r="AL370" s="712"/>
      <c r="AM370" s="712"/>
      <c r="AN370" s="712"/>
      <c r="AO370" s="712"/>
    </row>
    <row r="371">
      <c r="G371" s="712"/>
      <c r="H371" s="712"/>
      <c r="I371" s="712"/>
      <c r="J371" s="712"/>
      <c r="K371" s="712"/>
      <c r="L371" s="712"/>
      <c r="M371" s="712"/>
      <c r="N371" s="712"/>
      <c r="O371" s="712"/>
      <c r="P371" s="712"/>
      <c r="Q371" s="712"/>
      <c r="R371" s="712"/>
      <c r="S371" s="712"/>
      <c r="T371" s="712"/>
      <c r="U371" s="712"/>
      <c r="V371" s="712"/>
      <c r="W371" s="712"/>
      <c r="X371" s="712"/>
      <c r="Y371" s="712"/>
      <c r="Z371" s="712"/>
      <c r="AA371" s="712"/>
      <c r="AB371" s="712"/>
      <c r="AC371" s="712"/>
      <c r="AD371" s="712"/>
      <c r="AE371" s="712"/>
      <c r="AF371" s="712"/>
      <c r="AG371" s="712"/>
      <c r="AH371" s="712"/>
      <c r="AI371" s="712"/>
      <c r="AJ371" s="712"/>
      <c r="AK371" s="712"/>
      <c r="AL371" s="712"/>
      <c r="AM371" s="712"/>
      <c r="AN371" s="712"/>
      <c r="AO371" s="712"/>
    </row>
    <row r="372">
      <c r="G372" s="712"/>
      <c r="H372" s="712"/>
      <c r="I372" s="712"/>
      <c r="J372" s="712"/>
      <c r="K372" s="712"/>
      <c r="L372" s="712"/>
      <c r="M372" s="712"/>
      <c r="N372" s="712"/>
      <c r="O372" s="712"/>
      <c r="P372" s="712"/>
      <c r="Q372" s="712"/>
      <c r="R372" s="712"/>
      <c r="S372" s="712"/>
      <c r="T372" s="712"/>
      <c r="U372" s="712"/>
      <c r="V372" s="712"/>
      <c r="W372" s="712"/>
      <c r="X372" s="712"/>
      <c r="Y372" s="712"/>
      <c r="Z372" s="712"/>
      <c r="AA372" s="712"/>
      <c r="AB372" s="712"/>
      <c r="AC372" s="712"/>
      <c r="AD372" s="712"/>
      <c r="AE372" s="712"/>
      <c r="AF372" s="712"/>
      <c r="AG372" s="712"/>
      <c r="AH372" s="712"/>
      <c r="AI372" s="712"/>
      <c r="AJ372" s="712"/>
      <c r="AK372" s="712"/>
      <c r="AL372" s="712"/>
      <c r="AM372" s="712"/>
      <c r="AN372" s="712"/>
      <c r="AO372" s="712"/>
    </row>
    <row r="373">
      <c r="G373" s="712"/>
      <c r="H373" s="712"/>
      <c r="I373" s="712"/>
      <c r="J373" s="712"/>
      <c r="K373" s="712"/>
      <c r="L373" s="712"/>
      <c r="M373" s="712"/>
      <c r="N373" s="712"/>
      <c r="O373" s="712"/>
      <c r="P373" s="712"/>
      <c r="Q373" s="712"/>
      <c r="R373" s="712"/>
      <c r="S373" s="712"/>
      <c r="T373" s="712"/>
      <c r="U373" s="712"/>
      <c r="V373" s="712"/>
      <c r="W373" s="712"/>
      <c r="X373" s="712"/>
      <c r="Y373" s="712"/>
      <c r="Z373" s="712"/>
      <c r="AA373" s="712"/>
      <c r="AB373" s="712"/>
      <c r="AC373" s="712"/>
      <c r="AD373" s="712"/>
      <c r="AE373" s="712"/>
      <c r="AF373" s="712"/>
      <c r="AG373" s="712"/>
      <c r="AH373" s="712"/>
      <c r="AI373" s="712"/>
      <c r="AJ373" s="712"/>
      <c r="AK373" s="712"/>
      <c r="AL373" s="712"/>
      <c r="AM373" s="712"/>
      <c r="AN373" s="712"/>
      <c r="AO373" s="712"/>
    </row>
    <row r="374">
      <c r="G374" s="712"/>
      <c r="H374" s="712"/>
      <c r="I374" s="712"/>
      <c r="J374" s="712"/>
      <c r="K374" s="712"/>
      <c r="L374" s="712"/>
      <c r="M374" s="712"/>
      <c r="N374" s="712"/>
      <c r="O374" s="712"/>
      <c r="P374" s="712"/>
      <c r="Q374" s="712"/>
      <c r="R374" s="712"/>
      <c r="S374" s="712"/>
      <c r="T374" s="712"/>
      <c r="U374" s="712"/>
      <c r="V374" s="712"/>
      <c r="W374" s="712"/>
      <c r="X374" s="712"/>
      <c r="Y374" s="712"/>
      <c r="Z374" s="712"/>
      <c r="AA374" s="712"/>
      <c r="AB374" s="712"/>
      <c r="AC374" s="712"/>
      <c r="AD374" s="712"/>
      <c r="AE374" s="712"/>
      <c r="AF374" s="712"/>
      <c r="AG374" s="712"/>
      <c r="AH374" s="712"/>
      <c r="AI374" s="712"/>
      <c r="AJ374" s="712"/>
      <c r="AK374" s="712"/>
      <c r="AL374" s="712"/>
      <c r="AM374" s="712"/>
      <c r="AN374" s="712"/>
      <c r="AO374" s="712"/>
    </row>
    <row r="375">
      <c r="G375" s="712"/>
      <c r="H375" s="712"/>
      <c r="I375" s="712"/>
      <c r="J375" s="712"/>
      <c r="K375" s="712"/>
      <c r="L375" s="712"/>
      <c r="M375" s="712"/>
      <c r="N375" s="712"/>
      <c r="O375" s="712"/>
      <c r="P375" s="712"/>
      <c r="Q375" s="712"/>
      <c r="R375" s="712"/>
      <c r="S375" s="712"/>
      <c r="T375" s="712"/>
      <c r="U375" s="712"/>
      <c r="V375" s="712"/>
      <c r="W375" s="712"/>
      <c r="X375" s="712"/>
      <c r="Y375" s="712"/>
      <c r="Z375" s="712"/>
      <c r="AA375" s="712"/>
      <c r="AB375" s="712"/>
      <c r="AC375" s="712"/>
      <c r="AD375" s="712"/>
      <c r="AE375" s="712"/>
      <c r="AF375" s="712"/>
      <c r="AG375" s="712"/>
      <c r="AH375" s="712"/>
      <c r="AI375" s="712"/>
      <c r="AJ375" s="712"/>
      <c r="AK375" s="712"/>
      <c r="AL375" s="712"/>
      <c r="AM375" s="712"/>
      <c r="AN375" s="712"/>
      <c r="AO375" s="712"/>
    </row>
    <row r="376">
      <c r="G376" s="712"/>
      <c r="H376" s="712"/>
      <c r="I376" s="712"/>
      <c r="J376" s="712"/>
      <c r="K376" s="712"/>
      <c r="L376" s="712"/>
      <c r="M376" s="712"/>
      <c r="N376" s="712"/>
      <c r="O376" s="712"/>
      <c r="P376" s="712"/>
      <c r="Q376" s="712"/>
      <c r="R376" s="712"/>
      <c r="S376" s="712"/>
      <c r="T376" s="712"/>
      <c r="U376" s="712"/>
      <c r="V376" s="712"/>
      <c r="W376" s="712"/>
      <c r="X376" s="712"/>
      <c r="Y376" s="712"/>
      <c r="Z376" s="712"/>
      <c r="AA376" s="712"/>
      <c r="AB376" s="712"/>
      <c r="AC376" s="712"/>
      <c r="AD376" s="712"/>
      <c r="AE376" s="712"/>
      <c r="AF376" s="712"/>
      <c r="AG376" s="712"/>
      <c r="AH376" s="712"/>
      <c r="AI376" s="712"/>
      <c r="AJ376" s="712"/>
      <c r="AK376" s="712"/>
      <c r="AL376" s="712"/>
      <c r="AM376" s="712"/>
      <c r="AN376" s="712"/>
      <c r="AO376" s="712"/>
    </row>
    <row r="377">
      <c r="G377" s="712"/>
      <c r="H377" s="712"/>
      <c r="I377" s="712"/>
      <c r="J377" s="712"/>
      <c r="K377" s="712"/>
      <c r="L377" s="712"/>
      <c r="M377" s="712"/>
      <c r="N377" s="712"/>
      <c r="O377" s="712"/>
      <c r="P377" s="712"/>
      <c r="Q377" s="712"/>
      <c r="R377" s="712"/>
      <c r="S377" s="712"/>
      <c r="T377" s="712"/>
      <c r="U377" s="712"/>
      <c r="V377" s="712"/>
      <c r="W377" s="712"/>
      <c r="X377" s="712"/>
      <c r="Y377" s="712"/>
      <c r="Z377" s="712"/>
      <c r="AA377" s="712"/>
      <c r="AB377" s="712"/>
      <c r="AC377" s="712"/>
      <c r="AD377" s="712"/>
      <c r="AE377" s="712"/>
      <c r="AF377" s="712"/>
      <c r="AG377" s="712"/>
      <c r="AH377" s="712"/>
      <c r="AI377" s="712"/>
      <c r="AJ377" s="712"/>
      <c r="AK377" s="712"/>
      <c r="AL377" s="712"/>
      <c r="AM377" s="712"/>
      <c r="AN377" s="712"/>
      <c r="AO377" s="712"/>
    </row>
    <row r="378">
      <c r="G378" s="712"/>
      <c r="H378" s="712"/>
      <c r="I378" s="712"/>
      <c r="J378" s="712"/>
      <c r="K378" s="712"/>
      <c r="L378" s="712"/>
      <c r="M378" s="712"/>
      <c r="N378" s="712"/>
      <c r="O378" s="712"/>
      <c r="P378" s="712"/>
      <c r="Q378" s="712"/>
      <c r="R378" s="712"/>
      <c r="S378" s="712"/>
      <c r="T378" s="712"/>
      <c r="U378" s="712"/>
      <c r="V378" s="712"/>
      <c r="W378" s="712"/>
      <c r="X378" s="712"/>
      <c r="Y378" s="712"/>
      <c r="Z378" s="712"/>
      <c r="AA378" s="712"/>
      <c r="AB378" s="712"/>
      <c r="AC378" s="712"/>
      <c r="AD378" s="712"/>
      <c r="AE378" s="712"/>
      <c r="AF378" s="712"/>
      <c r="AG378" s="712"/>
      <c r="AH378" s="712"/>
      <c r="AI378" s="712"/>
      <c r="AJ378" s="712"/>
      <c r="AK378" s="712"/>
      <c r="AL378" s="712"/>
      <c r="AM378" s="712"/>
      <c r="AN378" s="712"/>
      <c r="AO378" s="712"/>
    </row>
    <row r="379">
      <c r="G379" s="712"/>
      <c r="H379" s="712"/>
      <c r="I379" s="712"/>
      <c r="J379" s="712"/>
      <c r="K379" s="712"/>
      <c r="L379" s="712"/>
      <c r="M379" s="712"/>
      <c r="N379" s="712"/>
      <c r="O379" s="712"/>
      <c r="P379" s="712"/>
      <c r="Q379" s="712"/>
      <c r="R379" s="712"/>
      <c r="S379" s="712"/>
      <c r="T379" s="712"/>
      <c r="U379" s="712"/>
      <c r="V379" s="712"/>
      <c r="W379" s="712"/>
      <c r="X379" s="712"/>
      <c r="Y379" s="712"/>
      <c r="Z379" s="712"/>
      <c r="AA379" s="712"/>
      <c r="AB379" s="712"/>
      <c r="AC379" s="712"/>
      <c r="AD379" s="712"/>
      <c r="AE379" s="712"/>
      <c r="AF379" s="712"/>
      <c r="AG379" s="712"/>
      <c r="AH379" s="712"/>
      <c r="AI379" s="712"/>
      <c r="AJ379" s="712"/>
      <c r="AK379" s="712"/>
      <c r="AL379" s="712"/>
      <c r="AM379" s="712"/>
      <c r="AN379" s="712"/>
      <c r="AO379" s="712"/>
    </row>
    <row r="380">
      <c r="G380" s="712"/>
      <c r="H380" s="712"/>
      <c r="I380" s="712"/>
      <c r="J380" s="712"/>
      <c r="K380" s="712"/>
      <c r="L380" s="712"/>
      <c r="M380" s="712"/>
      <c r="N380" s="712"/>
      <c r="O380" s="712"/>
      <c r="P380" s="712"/>
      <c r="Q380" s="712"/>
      <c r="R380" s="712"/>
      <c r="S380" s="712"/>
      <c r="T380" s="712"/>
      <c r="U380" s="712"/>
      <c r="V380" s="712"/>
      <c r="W380" s="712"/>
      <c r="X380" s="712"/>
      <c r="Y380" s="712"/>
      <c r="Z380" s="712"/>
      <c r="AA380" s="712"/>
      <c r="AB380" s="712"/>
      <c r="AC380" s="712"/>
      <c r="AD380" s="712"/>
      <c r="AE380" s="712"/>
      <c r="AF380" s="712"/>
      <c r="AG380" s="712"/>
      <c r="AH380" s="712"/>
      <c r="AI380" s="712"/>
      <c r="AJ380" s="712"/>
      <c r="AK380" s="712"/>
      <c r="AL380" s="712"/>
      <c r="AM380" s="712"/>
      <c r="AN380" s="712"/>
      <c r="AO380" s="712"/>
    </row>
    <row r="381">
      <c r="G381" s="712"/>
      <c r="H381" s="712"/>
      <c r="I381" s="712"/>
      <c r="J381" s="712"/>
      <c r="K381" s="712"/>
      <c r="L381" s="712"/>
      <c r="M381" s="712"/>
      <c r="N381" s="712"/>
      <c r="O381" s="712"/>
      <c r="P381" s="712"/>
      <c r="Q381" s="712"/>
      <c r="R381" s="712"/>
      <c r="S381" s="712"/>
      <c r="T381" s="712"/>
      <c r="U381" s="712"/>
      <c r="V381" s="712"/>
      <c r="W381" s="712"/>
      <c r="X381" s="712"/>
      <c r="Y381" s="712"/>
      <c r="Z381" s="712"/>
      <c r="AA381" s="712"/>
      <c r="AB381" s="712"/>
      <c r="AC381" s="712"/>
      <c r="AD381" s="712"/>
      <c r="AE381" s="712"/>
      <c r="AF381" s="712"/>
      <c r="AG381" s="712"/>
      <c r="AH381" s="712"/>
      <c r="AI381" s="712"/>
      <c r="AJ381" s="712"/>
      <c r="AK381" s="712"/>
      <c r="AL381" s="712"/>
      <c r="AM381" s="712"/>
      <c r="AN381" s="712"/>
      <c r="AO381" s="712"/>
    </row>
    <row r="382">
      <c r="G382" s="712"/>
      <c r="H382" s="712"/>
      <c r="I382" s="712"/>
      <c r="J382" s="712"/>
      <c r="K382" s="712"/>
      <c r="L382" s="712"/>
      <c r="M382" s="712"/>
      <c r="N382" s="712"/>
      <c r="O382" s="712"/>
      <c r="P382" s="712"/>
      <c r="Q382" s="712"/>
      <c r="R382" s="712"/>
      <c r="S382" s="712"/>
      <c r="T382" s="712"/>
      <c r="U382" s="712"/>
      <c r="V382" s="712"/>
      <c r="W382" s="712"/>
      <c r="X382" s="712"/>
      <c r="Y382" s="712"/>
      <c r="Z382" s="712"/>
      <c r="AA382" s="712"/>
      <c r="AB382" s="712"/>
      <c r="AC382" s="712"/>
      <c r="AD382" s="712"/>
      <c r="AE382" s="712"/>
      <c r="AF382" s="712"/>
      <c r="AG382" s="712"/>
      <c r="AH382" s="712"/>
      <c r="AI382" s="712"/>
      <c r="AJ382" s="712"/>
      <c r="AK382" s="712"/>
      <c r="AL382" s="712"/>
      <c r="AM382" s="712"/>
      <c r="AN382" s="712"/>
      <c r="AO382" s="712"/>
    </row>
    <row r="383">
      <c r="G383" s="712"/>
      <c r="H383" s="712"/>
      <c r="I383" s="712"/>
      <c r="J383" s="712"/>
      <c r="K383" s="712"/>
      <c r="L383" s="712"/>
      <c r="M383" s="712"/>
      <c r="N383" s="712"/>
      <c r="O383" s="712"/>
      <c r="P383" s="712"/>
      <c r="Q383" s="712"/>
      <c r="R383" s="712"/>
      <c r="S383" s="712"/>
      <c r="T383" s="712"/>
      <c r="U383" s="712"/>
      <c r="V383" s="712"/>
      <c r="W383" s="712"/>
      <c r="X383" s="712"/>
      <c r="Y383" s="712"/>
      <c r="Z383" s="712"/>
      <c r="AA383" s="712"/>
      <c r="AB383" s="712"/>
      <c r="AC383" s="712"/>
      <c r="AD383" s="712"/>
      <c r="AE383" s="712"/>
      <c r="AF383" s="712"/>
      <c r="AG383" s="712"/>
      <c r="AH383" s="712"/>
      <c r="AI383" s="712"/>
      <c r="AJ383" s="712"/>
      <c r="AK383" s="712"/>
      <c r="AL383" s="712"/>
      <c r="AM383" s="712"/>
      <c r="AN383" s="712"/>
      <c r="AO383" s="712"/>
    </row>
    <row r="384">
      <c r="G384" s="712"/>
      <c r="H384" s="712"/>
      <c r="I384" s="712"/>
      <c r="J384" s="712"/>
      <c r="K384" s="712"/>
      <c r="L384" s="712"/>
      <c r="M384" s="712"/>
      <c r="N384" s="712"/>
      <c r="O384" s="712"/>
      <c r="P384" s="712"/>
      <c r="Q384" s="712"/>
      <c r="R384" s="712"/>
      <c r="S384" s="712"/>
      <c r="T384" s="712"/>
      <c r="U384" s="712"/>
      <c r="V384" s="712"/>
      <c r="W384" s="712"/>
      <c r="X384" s="712"/>
      <c r="Y384" s="712"/>
      <c r="Z384" s="712"/>
      <c r="AA384" s="712"/>
      <c r="AB384" s="712"/>
      <c r="AC384" s="712"/>
      <c r="AD384" s="712"/>
      <c r="AE384" s="712"/>
      <c r="AF384" s="712"/>
      <c r="AG384" s="712"/>
      <c r="AH384" s="712"/>
      <c r="AI384" s="712"/>
      <c r="AJ384" s="712"/>
      <c r="AK384" s="712"/>
      <c r="AL384" s="712"/>
      <c r="AM384" s="712"/>
      <c r="AN384" s="712"/>
      <c r="AO384" s="712"/>
    </row>
    <row r="385">
      <c r="G385" s="712"/>
      <c r="H385" s="712"/>
      <c r="I385" s="712"/>
      <c r="J385" s="712"/>
      <c r="K385" s="712"/>
      <c r="L385" s="712"/>
      <c r="M385" s="712"/>
      <c r="N385" s="712"/>
      <c r="O385" s="712"/>
      <c r="P385" s="712"/>
      <c r="Q385" s="712"/>
      <c r="R385" s="712"/>
      <c r="S385" s="712"/>
      <c r="T385" s="712"/>
      <c r="U385" s="712"/>
      <c r="V385" s="712"/>
      <c r="W385" s="712"/>
      <c r="X385" s="712"/>
      <c r="Y385" s="712"/>
      <c r="Z385" s="712"/>
      <c r="AA385" s="712"/>
      <c r="AB385" s="712"/>
      <c r="AC385" s="712"/>
      <c r="AD385" s="712"/>
      <c r="AE385" s="712"/>
      <c r="AF385" s="712"/>
      <c r="AG385" s="712"/>
      <c r="AH385" s="712"/>
      <c r="AI385" s="712"/>
      <c r="AJ385" s="712"/>
      <c r="AK385" s="712"/>
      <c r="AL385" s="712"/>
      <c r="AM385" s="712"/>
      <c r="AN385" s="712"/>
      <c r="AO385" s="712"/>
    </row>
    <row r="386">
      <c r="G386" s="712"/>
      <c r="H386" s="712"/>
      <c r="I386" s="712"/>
      <c r="J386" s="712"/>
      <c r="K386" s="712"/>
      <c r="L386" s="712"/>
      <c r="M386" s="712"/>
      <c r="N386" s="712"/>
      <c r="O386" s="712"/>
      <c r="P386" s="712"/>
      <c r="Q386" s="712"/>
      <c r="R386" s="712"/>
      <c r="S386" s="712"/>
      <c r="T386" s="712"/>
      <c r="U386" s="712"/>
      <c r="V386" s="712"/>
      <c r="W386" s="712"/>
      <c r="X386" s="712"/>
      <c r="Y386" s="712"/>
      <c r="Z386" s="712"/>
      <c r="AA386" s="712"/>
      <c r="AB386" s="712"/>
      <c r="AC386" s="712"/>
      <c r="AD386" s="712"/>
      <c r="AE386" s="712"/>
      <c r="AF386" s="712"/>
      <c r="AG386" s="712"/>
      <c r="AH386" s="712"/>
      <c r="AI386" s="712"/>
      <c r="AJ386" s="712"/>
      <c r="AK386" s="712"/>
      <c r="AL386" s="712"/>
      <c r="AM386" s="712"/>
      <c r="AN386" s="712"/>
      <c r="AO386" s="712"/>
    </row>
    <row r="387">
      <c r="G387" s="712"/>
      <c r="H387" s="712"/>
      <c r="I387" s="712"/>
      <c r="J387" s="712"/>
      <c r="K387" s="712"/>
      <c r="L387" s="712"/>
      <c r="M387" s="712"/>
      <c r="N387" s="712"/>
      <c r="O387" s="712"/>
      <c r="P387" s="712"/>
      <c r="Q387" s="712"/>
      <c r="R387" s="712"/>
      <c r="S387" s="712"/>
      <c r="T387" s="712"/>
      <c r="U387" s="712"/>
      <c r="V387" s="712"/>
      <c r="W387" s="712"/>
      <c r="X387" s="712"/>
      <c r="Y387" s="712"/>
      <c r="Z387" s="712"/>
      <c r="AA387" s="712"/>
      <c r="AB387" s="712"/>
      <c r="AC387" s="712"/>
      <c r="AD387" s="712"/>
      <c r="AE387" s="712"/>
      <c r="AF387" s="712"/>
      <c r="AG387" s="712"/>
      <c r="AH387" s="712"/>
      <c r="AI387" s="712"/>
      <c r="AJ387" s="712"/>
      <c r="AK387" s="712"/>
      <c r="AL387" s="712"/>
      <c r="AM387" s="712"/>
      <c r="AN387" s="712"/>
      <c r="AO387" s="712"/>
    </row>
    <row r="388">
      <c r="G388" s="712"/>
      <c r="H388" s="712"/>
      <c r="I388" s="712"/>
      <c r="J388" s="712"/>
      <c r="K388" s="712"/>
      <c r="L388" s="712"/>
      <c r="M388" s="712"/>
      <c r="N388" s="712"/>
      <c r="O388" s="712"/>
      <c r="P388" s="712"/>
      <c r="Q388" s="712"/>
      <c r="R388" s="712"/>
      <c r="S388" s="712"/>
      <c r="T388" s="712"/>
      <c r="U388" s="712"/>
      <c r="V388" s="712"/>
      <c r="W388" s="712"/>
      <c r="X388" s="712"/>
      <c r="Y388" s="712"/>
      <c r="Z388" s="712"/>
      <c r="AA388" s="712"/>
      <c r="AB388" s="712"/>
      <c r="AC388" s="712"/>
      <c r="AD388" s="712"/>
      <c r="AE388" s="712"/>
      <c r="AF388" s="712"/>
      <c r="AG388" s="712"/>
      <c r="AH388" s="712"/>
      <c r="AI388" s="712"/>
      <c r="AJ388" s="712"/>
      <c r="AK388" s="712"/>
      <c r="AL388" s="712"/>
      <c r="AM388" s="712"/>
      <c r="AN388" s="712"/>
      <c r="AO388" s="712"/>
    </row>
    <row r="389">
      <c r="G389" s="712"/>
      <c r="H389" s="712"/>
      <c r="I389" s="712"/>
      <c r="J389" s="712"/>
      <c r="K389" s="712"/>
      <c r="L389" s="712"/>
      <c r="M389" s="712"/>
      <c r="N389" s="712"/>
      <c r="O389" s="712"/>
      <c r="P389" s="712"/>
      <c r="Q389" s="712"/>
      <c r="R389" s="712"/>
      <c r="S389" s="712"/>
      <c r="T389" s="712"/>
      <c r="U389" s="712"/>
      <c r="V389" s="712"/>
      <c r="W389" s="712"/>
      <c r="X389" s="712"/>
      <c r="Y389" s="712"/>
      <c r="Z389" s="712"/>
      <c r="AA389" s="712"/>
      <c r="AB389" s="712"/>
      <c r="AC389" s="712"/>
      <c r="AD389" s="712"/>
      <c r="AE389" s="712"/>
      <c r="AF389" s="712"/>
      <c r="AG389" s="712"/>
      <c r="AH389" s="712"/>
      <c r="AI389" s="712"/>
      <c r="AJ389" s="712"/>
      <c r="AK389" s="712"/>
      <c r="AL389" s="712"/>
      <c r="AM389" s="712"/>
      <c r="AN389" s="712"/>
      <c r="AO389" s="712"/>
    </row>
    <row r="390">
      <c r="G390" s="712"/>
      <c r="H390" s="712"/>
      <c r="I390" s="712"/>
      <c r="J390" s="712"/>
      <c r="K390" s="712"/>
      <c r="L390" s="712"/>
      <c r="M390" s="712"/>
      <c r="N390" s="712"/>
      <c r="O390" s="712"/>
      <c r="P390" s="712"/>
      <c r="Q390" s="712"/>
      <c r="R390" s="712"/>
      <c r="S390" s="712"/>
      <c r="T390" s="712"/>
      <c r="U390" s="712"/>
      <c r="V390" s="712"/>
      <c r="W390" s="712"/>
      <c r="X390" s="712"/>
      <c r="Y390" s="712"/>
      <c r="Z390" s="712"/>
      <c r="AA390" s="712"/>
      <c r="AB390" s="712"/>
      <c r="AC390" s="712"/>
      <c r="AD390" s="712"/>
      <c r="AE390" s="712"/>
      <c r="AF390" s="712"/>
      <c r="AG390" s="712"/>
      <c r="AH390" s="712"/>
      <c r="AI390" s="712"/>
      <c r="AJ390" s="712"/>
      <c r="AK390" s="712"/>
      <c r="AL390" s="712"/>
      <c r="AM390" s="712"/>
      <c r="AN390" s="712"/>
      <c r="AO390" s="712"/>
    </row>
    <row r="391">
      <c r="G391" s="712"/>
      <c r="H391" s="712"/>
      <c r="I391" s="712"/>
      <c r="J391" s="712"/>
      <c r="K391" s="712"/>
      <c r="L391" s="712"/>
      <c r="M391" s="712"/>
      <c r="N391" s="712"/>
      <c r="O391" s="712"/>
      <c r="P391" s="712"/>
      <c r="Q391" s="712"/>
      <c r="R391" s="712"/>
      <c r="S391" s="712"/>
      <c r="T391" s="712"/>
      <c r="U391" s="712"/>
      <c r="V391" s="712"/>
      <c r="W391" s="712"/>
      <c r="X391" s="712"/>
      <c r="Y391" s="712"/>
      <c r="Z391" s="712"/>
      <c r="AA391" s="712"/>
      <c r="AB391" s="712"/>
      <c r="AC391" s="712"/>
      <c r="AD391" s="712"/>
      <c r="AE391" s="712"/>
      <c r="AF391" s="712"/>
      <c r="AG391" s="712"/>
      <c r="AH391" s="712"/>
      <c r="AI391" s="712"/>
      <c r="AJ391" s="712"/>
      <c r="AK391" s="712"/>
      <c r="AL391" s="712"/>
      <c r="AM391" s="712"/>
      <c r="AN391" s="712"/>
      <c r="AO391" s="712"/>
    </row>
    <row r="392">
      <c r="G392" s="712"/>
      <c r="H392" s="712"/>
      <c r="I392" s="712"/>
      <c r="J392" s="712"/>
      <c r="K392" s="712"/>
      <c r="L392" s="712"/>
      <c r="M392" s="712"/>
      <c r="N392" s="712"/>
      <c r="O392" s="712"/>
      <c r="P392" s="712"/>
      <c r="Q392" s="712"/>
      <c r="R392" s="712"/>
      <c r="S392" s="712"/>
      <c r="T392" s="712"/>
      <c r="U392" s="712"/>
      <c r="V392" s="712"/>
      <c r="W392" s="712"/>
      <c r="X392" s="712"/>
      <c r="Y392" s="712"/>
      <c r="Z392" s="712"/>
      <c r="AA392" s="712"/>
      <c r="AB392" s="712"/>
      <c r="AC392" s="712"/>
      <c r="AD392" s="712"/>
      <c r="AE392" s="712"/>
      <c r="AF392" s="712"/>
      <c r="AG392" s="712"/>
      <c r="AH392" s="712"/>
      <c r="AI392" s="712"/>
      <c r="AJ392" s="712"/>
      <c r="AK392" s="712"/>
      <c r="AL392" s="712"/>
      <c r="AM392" s="712"/>
      <c r="AN392" s="712"/>
      <c r="AO392" s="712"/>
    </row>
    <row r="393">
      <c r="G393" s="712"/>
      <c r="H393" s="712"/>
      <c r="I393" s="712"/>
      <c r="J393" s="712"/>
      <c r="K393" s="712"/>
      <c r="L393" s="712"/>
      <c r="M393" s="712"/>
      <c r="N393" s="712"/>
      <c r="O393" s="712"/>
      <c r="P393" s="712"/>
      <c r="Q393" s="712"/>
      <c r="R393" s="712"/>
      <c r="S393" s="712"/>
      <c r="T393" s="712"/>
      <c r="U393" s="712"/>
      <c r="V393" s="712"/>
      <c r="W393" s="712"/>
      <c r="X393" s="712"/>
      <c r="Y393" s="712"/>
      <c r="Z393" s="712"/>
      <c r="AA393" s="712"/>
      <c r="AB393" s="712"/>
      <c r="AC393" s="712"/>
      <c r="AD393" s="712"/>
      <c r="AE393" s="712"/>
      <c r="AF393" s="712"/>
      <c r="AG393" s="712"/>
      <c r="AH393" s="712"/>
      <c r="AI393" s="712"/>
      <c r="AJ393" s="712"/>
      <c r="AK393" s="712"/>
      <c r="AL393" s="712"/>
      <c r="AM393" s="712"/>
      <c r="AN393" s="712"/>
      <c r="AO393" s="712"/>
    </row>
    <row r="394">
      <c r="G394" s="712"/>
      <c r="H394" s="712"/>
      <c r="I394" s="712"/>
      <c r="J394" s="712"/>
      <c r="K394" s="712"/>
      <c r="L394" s="712"/>
      <c r="M394" s="712"/>
      <c r="N394" s="712"/>
      <c r="O394" s="712"/>
      <c r="P394" s="712"/>
      <c r="Q394" s="712"/>
      <c r="R394" s="712"/>
      <c r="S394" s="712"/>
      <c r="T394" s="712"/>
      <c r="U394" s="712"/>
      <c r="V394" s="712"/>
      <c r="W394" s="712"/>
      <c r="X394" s="712"/>
      <c r="Y394" s="712"/>
      <c r="Z394" s="712"/>
      <c r="AA394" s="712"/>
      <c r="AB394" s="712"/>
      <c r="AC394" s="712"/>
      <c r="AD394" s="712"/>
      <c r="AE394" s="712"/>
      <c r="AF394" s="712"/>
      <c r="AG394" s="712"/>
      <c r="AH394" s="712"/>
      <c r="AI394" s="712"/>
      <c r="AJ394" s="712"/>
      <c r="AK394" s="712"/>
      <c r="AL394" s="712"/>
      <c r="AM394" s="712"/>
      <c r="AN394" s="712"/>
      <c r="AO394" s="712"/>
    </row>
    <row r="395">
      <c r="G395" s="712"/>
      <c r="H395" s="712"/>
      <c r="I395" s="712"/>
      <c r="J395" s="712"/>
      <c r="K395" s="712"/>
      <c r="L395" s="712"/>
      <c r="M395" s="712"/>
      <c r="N395" s="712"/>
      <c r="O395" s="712"/>
      <c r="P395" s="712"/>
      <c r="Q395" s="712"/>
      <c r="R395" s="712"/>
      <c r="S395" s="712"/>
      <c r="T395" s="712"/>
      <c r="U395" s="712"/>
      <c r="V395" s="712"/>
      <c r="W395" s="712"/>
      <c r="X395" s="712"/>
      <c r="Y395" s="712"/>
      <c r="Z395" s="712"/>
      <c r="AA395" s="712"/>
      <c r="AB395" s="712"/>
      <c r="AC395" s="712"/>
      <c r="AD395" s="712"/>
      <c r="AE395" s="712"/>
      <c r="AF395" s="712"/>
      <c r="AG395" s="712"/>
      <c r="AH395" s="712"/>
      <c r="AI395" s="712"/>
      <c r="AJ395" s="712"/>
      <c r="AK395" s="712"/>
      <c r="AL395" s="712"/>
      <c r="AM395" s="712"/>
      <c r="AN395" s="712"/>
      <c r="AO395" s="712"/>
    </row>
    <row r="396">
      <c r="G396" s="712"/>
      <c r="H396" s="712"/>
      <c r="I396" s="712"/>
      <c r="J396" s="712"/>
      <c r="K396" s="712"/>
      <c r="L396" s="712"/>
      <c r="M396" s="712"/>
      <c r="N396" s="712"/>
      <c r="O396" s="712"/>
      <c r="P396" s="712"/>
      <c r="Q396" s="712"/>
      <c r="R396" s="712"/>
      <c r="S396" s="712"/>
      <c r="T396" s="712"/>
      <c r="U396" s="712"/>
      <c r="V396" s="712"/>
      <c r="W396" s="712"/>
      <c r="X396" s="712"/>
      <c r="Y396" s="712"/>
      <c r="Z396" s="712"/>
      <c r="AA396" s="712"/>
      <c r="AB396" s="712"/>
      <c r="AC396" s="712"/>
      <c r="AD396" s="712"/>
      <c r="AE396" s="712"/>
      <c r="AF396" s="712"/>
      <c r="AG396" s="712"/>
      <c r="AH396" s="712"/>
      <c r="AI396" s="712"/>
      <c r="AJ396" s="712"/>
      <c r="AK396" s="712"/>
      <c r="AL396" s="712"/>
      <c r="AM396" s="712"/>
      <c r="AN396" s="712"/>
      <c r="AO396" s="712"/>
    </row>
    <row r="397">
      <c r="G397" s="712"/>
      <c r="H397" s="712"/>
      <c r="I397" s="712"/>
      <c r="J397" s="712"/>
      <c r="K397" s="712"/>
      <c r="L397" s="712"/>
      <c r="M397" s="712"/>
      <c r="N397" s="712"/>
      <c r="O397" s="712"/>
      <c r="P397" s="712"/>
      <c r="Q397" s="712"/>
      <c r="R397" s="712"/>
      <c r="S397" s="712"/>
      <c r="T397" s="712"/>
      <c r="U397" s="712"/>
      <c r="V397" s="712"/>
      <c r="W397" s="712"/>
      <c r="X397" s="712"/>
      <c r="Y397" s="712"/>
      <c r="Z397" s="712"/>
      <c r="AA397" s="712"/>
      <c r="AB397" s="712"/>
      <c r="AC397" s="712"/>
      <c r="AD397" s="712"/>
      <c r="AE397" s="712"/>
      <c r="AF397" s="712"/>
      <c r="AG397" s="712"/>
      <c r="AH397" s="712"/>
      <c r="AI397" s="712"/>
      <c r="AJ397" s="712"/>
      <c r="AK397" s="712"/>
      <c r="AL397" s="712"/>
      <c r="AM397" s="712"/>
      <c r="AN397" s="712"/>
      <c r="AO397" s="712"/>
    </row>
    <row r="398">
      <c r="G398" s="712"/>
      <c r="H398" s="712"/>
      <c r="I398" s="712"/>
      <c r="J398" s="712"/>
      <c r="K398" s="712"/>
      <c r="L398" s="712"/>
      <c r="M398" s="712"/>
      <c r="N398" s="712"/>
      <c r="O398" s="712"/>
      <c r="P398" s="712"/>
      <c r="Q398" s="712"/>
      <c r="R398" s="712"/>
      <c r="S398" s="712"/>
      <c r="T398" s="712"/>
      <c r="U398" s="712"/>
      <c r="V398" s="712"/>
      <c r="W398" s="712"/>
      <c r="X398" s="712"/>
      <c r="Y398" s="712"/>
      <c r="Z398" s="712"/>
      <c r="AA398" s="712"/>
      <c r="AB398" s="712"/>
      <c r="AC398" s="712"/>
      <c r="AD398" s="712"/>
      <c r="AE398" s="712"/>
      <c r="AF398" s="712"/>
      <c r="AG398" s="712"/>
      <c r="AH398" s="712"/>
      <c r="AI398" s="712"/>
      <c r="AJ398" s="712"/>
      <c r="AK398" s="712"/>
      <c r="AL398" s="712"/>
      <c r="AM398" s="712"/>
      <c r="AN398" s="712"/>
      <c r="AO398" s="712"/>
    </row>
    <row r="399">
      <c r="G399" s="712"/>
      <c r="H399" s="712"/>
      <c r="I399" s="712"/>
      <c r="J399" s="712"/>
      <c r="K399" s="712"/>
      <c r="L399" s="712"/>
      <c r="M399" s="712"/>
      <c r="N399" s="712"/>
      <c r="O399" s="712"/>
      <c r="P399" s="712"/>
      <c r="Q399" s="712"/>
      <c r="R399" s="712"/>
      <c r="S399" s="712"/>
      <c r="T399" s="712"/>
      <c r="U399" s="712"/>
      <c r="V399" s="712"/>
      <c r="W399" s="712"/>
      <c r="X399" s="712"/>
      <c r="Y399" s="712"/>
      <c r="Z399" s="712"/>
      <c r="AA399" s="712"/>
      <c r="AB399" s="712"/>
      <c r="AC399" s="712"/>
      <c r="AD399" s="712"/>
      <c r="AE399" s="712"/>
      <c r="AF399" s="712"/>
      <c r="AG399" s="712"/>
      <c r="AH399" s="712"/>
      <c r="AI399" s="712"/>
      <c r="AJ399" s="712"/>
      <c r="AK399" s="712"/>
      <c r="AL399" s="712"/>
      <c r="AM399" s="712"/>
      <c r="AN399" s="712"/>
      <c r="AO399" s="712"/>
    </row>
    <row r="400">
      <c r="G400" s="712"/>
      <c r="H400" s="712"/>
      <c r="I400" s="712"/>
      <c r="J400" s="712"/>
      <c r="K400" s="712"/>
      <c r="L400" s="712"/>
      <c r="M400" s="712"/>
      <c r="N400" s="712"/>
      <c r="O400" s="712"/>
      <c r="P400" s="712"/>
      <c r="Q400" s="712"/>
      <c r="R400" s="712"/>
      <c r="S400" s="712"/>
      <c r="T400" s="712"/>
      <c r="U400" s="712"/>
      <c r="V400" s="712"/>
      <c r="W400" s="712"/>
      <c r="X400" s="712"/>
      <c r="Y400" s="712"/>
      <c r="Z400" s="712"/>
      <c r="AA400" s="712"/>
      <c r="AB400" s="712"/>
      <c r="AC400" s="712"/>
      <c r="AD400" s="712"/>
      <c r="AE400" s="712"/>
      <c r="AF400" s="712"/>
      <c r="AG400" s="712"/>
      <c r="AH400" s="712"/>
      <c r="AI400" s="712"/>
      <c r="AJ400" s="712"/>
      <c r="AK400" s="712"/>
      <c r="AL400" s="712"/>
      <c r="AM400" s="712"/>
      <c r="AN400" s="712"/>
      <c r="AO400" s="712"/>
    </row>
    <row r="401">
      <c r="G401" s="712"/>
      <c r="H401" s="712"/>
      <c r="I401" s="712"/>
      <c r="J401" s="712"/>
      <c r="K401" s="712"/>
      <c r="L401" s="712"/>
      <c r="M401" s="712"/>
      <c r="N401" s="712"/>
      <c r="O401" s="712"/>
      <c r="P401" s="712"/>
      <c r="Q401" s="712"/>
      <c r="R401" s="712"/>
      <c r="S401" s="712"/>
      <c r="T401" s="712"/>
      <c r="U401" s="712"/>
      <c r="V401" s="712"/>
      <c r="W401" s="712"/>
      <c r="X401" s="712"/>
      <c r="Y401" s="712"/>
      <c r="Z401" s="712"/>
      <c r="AA401" s="712"/>
      <c r="AB401" s="712"/>
      <c r="AC401" s="712"/>
      <c r="AD401" s="712"/>
      <c r="AE401" s="712"/>
      <c r="AF401" s="712"/>
      <c r="AG401" s="712"/>
      <c r="AH401" s="712"/>
      <c r="AI401" s="712"/>
      <c r="AJ401" s="712"/>
      <c r="AK401" s="712"/>
      <c r="AL401" s="712"/>
      <c r="AM401" s="712"/>
      <c r="AN401" s="712"/>
      <c r="AO401" s="712"/>
    </row>
    <row r="402">
      <c r="G402" s="712"/>
      <c r="H402" s="712"/>
      <c r="I402" s="712"/>
      <c r="J402" s="712"/>
      <c r="K402" s="712"/>
      <c r="L402" s="712"/>
      <c r="M402" s="712"/>
      <c r="N402" s="712"/>
      <c r="O402" s="712"/>
      <c r="P402" s="712"/>
      <c r="Q402" s="712"/>
      <c r="R402" s="712"/>
      <c r="S402" s="712"/>
      <c r="T402" s="712"/>
      <c r="U402" s="712"/>
      <c r="V402" s="712"/>
      <c r="W402" s="712"/>
      <c r="X402" s="712"/>
      <c r="Y402" s="712"/>
      <c r="Z402" s="712"/>
      <c r="AA402" s="712"/>
      <c r="AB402" s="712"/>
      <c r="AC402" s="712"/>
      <c r="AD402" s="712"/>
      <c r="AE402" s="712"/>
      <c r="AF402" s="712"/>
      <c r="AG402" s="712"/>
      <c r="AH402" s="712"/>
      <c r="AI402" s="712"/>
      <c r="AJ402" s="712"/>
      <c r="AK402" s="712"/>
      <c r="AL402" s="712"/>
      <c r="AM402" s="712"/>
      <c r="AN402" s="712"/>
      <c r="AO402" s="712"/>
    </row>
    <row r="403">
      <c r="G403" s="712"/>
      <c r="H403" s="712"/>
      <c r="I403" s="712"/>
      <c r="J403" s="712"/>
      <c r="K403" s="712"/>
      <c r="L403" s="712"/>
      <c r="M403" s="712"/>
      <c r="N403" s="712"/>
      <c r="O403" s="712"/>
      <c r="P403" s="712"/>
      <c r="Q403" s="712"/>
      <c r="R403" s="712"/>
      <c r="S403" s="712"/>
      <c r="T403" s="712"/>
      <c r="U403" s="712"/>
      <c r="V403" s="712"/>
      <c r="W403" s="712"/>
      <c r="X403" s="712"/>
      <c r="Y403" s="712"/>
      <c r="Z403" s="712"/>
      <c r="AA403" s="712"/>
      <c r="AB403" s="712"/>
      <c r="AC403" s="712"/>
      <c r="AD403" s="712"/>
      <c r="AE403" s="712"/>
      <c r="AF403" s="712"/>
      <c r="AG403" s="712"/>
      <c r="AH403" s="712"/>
      <c r="AI403" s="712"/>
      <c r="AJ403" s="712"/>
      <c r="AK403" s="712"/>
      <c r="AL403" s="712"/>
      <c r="AM403" s="712"/>
      <c r="AN403" s="712"/>
      <c r="AO403" s="712"/>
    </row>
    <row r="404">
      <c r="G404" s="712"/>
      <c r="H404" s="712"/>
      <c r="I404" s="712"/>
      <c r="J404" s="712"/>
      <c r="K404" s="712"/>
      <c r="L404" s="712"/>
      <c r="M404" s="712"/>
      <c r="N404" s="712"/>
      <c r="O404" s="712"/>
      <c r="P404" s="712"/>
      <c r="Q404" s="712"/>
      <c r="R404" s="712"/>
      <c r="S404" s="712"/>
      <c r="T404" s="712"/>
      <c r="U404" s="712"/>
      <c r="V404" s="712"/>
      <c r="W404" s="712"/>
      <c r="X404" s="712"/>
      <c r="Y404" s="712"/>
      <c r="Z404" s="712"/>
      <c r="AA404" s="712"/>
      <c r="AB404" s="712"/>
      <c r="AC404" s="712"/>
      <c r="AD404" s="712"/>
      <c r="AE404" s="712"/>
      <c r="AF404" s="712"/>
      <c r="AG404" s="712"/>
      <c r="AH404" s="712"/>
      <c r="AI404" s="712"/>
      <c r="AJ404" s="712"/>
      <c r="AK404" s="712"/>
      <c r="AL404" s="712"/>
      <c r="AM404" s="712"/>
      <c r="AN404" s="712"/>
      <c r="AO404" s="712"/>
    </row>
    <row r="405">
      <c r="G405" s="712"/>
      <c r="H405" s="712"/>
      <c r="I405" s="712"/>
      <c r="J405" s="712"/>
      <c r="K405" s="712"/>
      <c r="L405" s="712"/>
      <c r="M405" s="712"/>
      <c r="N405" s="712"/>
      <c r="O405" s="712"/>
      <c r="P405" s="712"/>
      <c r="Q405" s="712"/>
      <c r="R405" s="712"/>
      <c r="S405" s="712"/>
      <c r="T405" s="712"/>
      <c r="U405" s="712"/>
      <c r="V405" s="712"/>
      <c r="W405" s="712"/>
      <c r="X405" s="712"/>
      <c r="Y405" s="712"/>
      <c r="Z405" s="712"/>
      <c r="AA405" s="712"/>
      <c r="AB405" s="712"/>
      <c r="AC405" s="712"/>
      <c r="AD405" s="712"/>
      <c r="AE405" s="712"/>
      <c r="AF405" s="712"/>
      <c r="AG405" s="712"/>
      <c r="AH405" s="712"/>
      <c r="AI405" s="712"/>
      <c r="AJ405" s="712"/>
      <c r="AK405" s="712"/>
      <c r="AL405" s="712"/>
      <c r="AM405" s="712"/>
      <c r="AN405" s="712"/>
      <c r="AO405" s="712"/>
    </row>
    <row r="406">
      <c r="G406" s="712"/>
      <c r="H406" s="712"/>
      <c r="I406" s="712"/>
      <c r="J406" s="712"/>
      <c r="K406" s="712"/>
      <c r="L406" s="712"/>
      <c r="M406" s="712"/>
      <c r="N406" s="712"/>
      <c r="O406" s="712"/>
      <c r="P406" s="712"/>
      <c r="Q406" s="712"/>
      <c r="R406" s="712"/>
      <c r="S406" s="712"/>
      <c r="T406" s="712"/>
      <c r="U406" s="712"/>
      <c r="V406" s="712"/>
      <c r="W406" s="712"/>
      <c r="X406" s="712"/>
      <c r="Y406" s="712"/>
      <c r="Z406" s="712"/>
      <c r="AA406" s="712"/>
      <c r="AB406" s="712"/>
      <c r="AC406" s="712"/>
      <c r="AD406" s="712"/>
      <c r="AE406" s="712"/>
      <c r="AF406" s="712"/>
      <c r="AG406" s="712"/>
      <c r="AH406" s="712"/>
      <c r="AI406" s="712"/>
      <c r="AJ406" s="712"/>
      <c r="AK406" s="712"/>
      <c r="AL406" s="712"/>
      <c r="AM406" s="712"/>
      <c r="AN406" s="712"/>
      <c r="AO406" s="712"/>
    </row>
    <row r="407">
      <c r="G407" s="712"/>
      <c r="H407" s="712"/>
      <c r="I407" s="712"/>
      <c r="J407" s="712"/>
      <c r="K407" s="712"/>
      <c r="L407" s="712"/>
      <c r="M407" s="712"/>
      <c r="N407" s="712"/>
      <c r="O407" s="712"/>
      <c r="P407" s="712"/>
      <c r="Q407" s="712"/>
      <c r="R407" s="712"/>
      <c r="S407" s="712"/>
      <c r="T407" s="712"/>
      <c r="U407" s="712"/>
      <c r="V407" s="712"/>
      <c r="W407" s="712"/>
      <c r="X407" s="712"/>
      <c r="Y407" s="712"/>
      <c r="Z407" s="712"/>
      <c r="AA407" s="712"/>
      <c r="AB407" s="712"/>
      <c r="AC407" s="712"/>
      <c r="AD407" s="712"/>
      <c r="AE407" s="712"/>
      <c r="AF407" s="712"/>
      <c r="AG407" s="712"/>
      <c r="AH407" s="712"/>
      <c r="AI407" s="712"/>
      <c r="AJ407" s="712"/>
      <c r="AK407" s="712"/>
      <c r="AL407" s="712"/>
      <c r="AM407" s="712"/>
      <c r="AN407" s="712"/>
      <c r="AO407" s="712"/>
    </row>
    <row r="408">
      <c r="G408" s="712"/>
      <c r="H408" s="712"/>
      <c r="I408" s="712"/>
      <c r="J408" s="712"/>
      <c r="K408" s="712"/>
      <c r="L408" s="712"/>
      <c r="M408" s="712"/>
      <c r="N408" s="712"/>
      <c r="O408" s="712"/>
      <c r="P408" s="712"/>
      <c r="Q408" s="712"/>
      <c r="R408" s="712"/>
      <c r="S408" s="712"/>
      <c r="T408" s="712"/>
      <c r="U408" s="712"/>
      <c r="V408" s="712"/>
      <c r="W408" s="712"/>
      <c r="X408" s="712"/>
      <c r="Y408" s="712"/>
      <c r="Z408" s="712"/>
      <c r="AA408" s="712"/>
      <c r="AB408" s="712"/>
      <c r="AC408" s="712"/>
      <c r="AD408" s="712"/>
      <c r="AE408" s="712"/>
      <c r="AF408" s="712"/>
      <c r="AG408" s="712"/>
      <c r="AH408" s="712"/>
      <c r="AI408" s="712"/>
      <c r="AJ408" s="712"/>
      <c r="AK408" s="712"/>
      <c r="AL408" s="712"/>
      <c r="AM408" s="712"/>
      <c r="AN408" s="712"/>
      <c r="AO408" s="712"/>
    </row>
    <row r="409">
      <c r="G409" s="712"/>
      <c r="H409" s="712"/>
      <c r="I409" s="712"/>
      <c r="J409" s="712"/>
      <c r="K409" s="712"/>
      <c r="L409" s="712"/>
      <c r="M409" s="712"/>
      <c r="N409" s="712"/>
      <c r="O409" s="712"/>
      <c r="P409" s="712"/>
      <c r="Q409" s="712"/>
      <c r="R409" s="712"/>
      <c r="S409" s="712"/>
      <c r="T409" s="712"/>
      <c r="U409" s="712"/>
      <c r="V409" s="712"/>
      <c r="W409" s="712"/>
      <c r="X409" s="712"/>
      <c r="Y409" s="712"/>
      <c r="Z409" s="712"/>
      <c r="AA409" s="712"/>
      <c r="AB409" s="712"/>
      <c r="AC409" s="712"/>
      <c r="AD409" s="712"/>
      <c r="AE409" s="712"/>
      <c r="AF409" s="712"/>
      <c r="AG409" s="712"/>
      <c r="AH409" s="712"/>
      <c r="AI409" s="712"/>
      <c r="AJ409" s="712"/>
      <c r="AK409" s="712"/>
      <c r="AL409" s="712"/>
      <c r="AM409" s="712"/>
      <c r="AN409" s="712"/>
      <c r="AO409" s="712"/>
    </row>
    <row r="410">
      <c r="G410" s="712"/>
      <c r="H410" s="712"/>
      <c r="I410" s="712"/>
      <c r="J410" s="712"/>
      <c r="K410" s="712"/>
      <c r="L410" s="712"/>
      <c r="M410" s="712"/>
      <c r="N410" s="712"/>
      <c r="O410" s="712"/>
      <c r="P410" s="712"/>
      <c r="Q410" s="712"/>
      <c r="R410" s="712"/>
      <c r="S410" s="712"/>
      <c r="T410" s="712"/>
      <c r="U410" s="712"/>
      <c r="V410" s="712"/>
      <c r="W410" s="712"/>
      <c r="X410" s="712"/>
      <c r="Y410" s="712"/>
      <c r="Z410" s="712"/>
      <c r="AA410" s="712"/>
      <c r="AB410" s="712"/>
      <c r="AC410" s="712"/>
      <c r="AD410" s="712"/>
      <c r="AE410" s="712"/>
      <c r="AF410" s="712"/>
      <c r="AG410" s="712"/>
      <c r="AH410" s="712"/>
      <c r="AI410" s="712"/>
      <c r="AJ410" s="712"/>
      <c r="AK410" s="712"/>
      <c r="AL410" s="712"/>
      <c r="AM410" s="712"/>
      <c r="AN410" s="712"/>
      <c r="AO410" s="712"/>
    </row>
    <row r="411">
      <c r="G411" s="712"/>
      <c r="H411" s="712"/>
      <c r="I411" s="712"/>
      <c r="J411" s="712"/>
      <c r="K411" s="712"/>
      <c r="L411" s="712"/>
      <c r="M411" s="712"/>
      <c r="N411" s="712"/>
      <c r="O411" s="712"/>
      <c r="P411" s="712"/>
      <c r="Q411" s="712"/>
      <c r="R411" s="712"/>
      <c r="S411" s="712"/>
      <c r="T411" s="712"/>
      <c r="U411" s="712"/>
      <c r="V411" s="712"/>
      <c r="W411" s="712"/>
      <c r="X411" s="712"/>
      <c r="Y411" s="712"/>
      <c r="Z411" s="712"/>
      <c r="AA411" s="712"/>
      <c r="AB411" s="712"/>
      <c r="AC411" s="712"/>
      <c r="AD411" s="712"/>
      <c r="AE411" s="712"/>
      <c r="AF411" s="712"/>
      <c r="AG411" s="712"/>
      <c r="AH411" s="712"/>
      <c r="AI411" s="712"/>
      <c r="AJ411" s="712"/>
      <c r="AK411" s="712"/>
      <c r="AL411" s="712"/>
      <c r="AM411" s="712"/>
      <c r="AN411" s="712"/>
      <c r="AO411" s="712"/>
    </row>
    <row r="412">
      <c r="G412" s="712"/>
      <c r="H412" s="712"/>
      <c r="I412" s="712"/>
      <c r="J412" s="712"/>
      <c r="K412" s="712"/>
      <c r="L412" s="712"/>
      <c r="M412" s="712"/>
      <c r="N412" s="712"/>
      <c r="O412" s="712"/>
      <c r="P412" s="712"/>
      <c r="Q412" s="712"/>
      <c r="R412" s="712"/>
      <c r="S412" s="712"/>
      <c r="T412" s="712"/>
      <c r="U412" s="712"/>
      <c r="V412" s="712"/>
      <c r="W412" s="712"/>
      <c r="X412" s="712"/>
      <c r="Y412" s="712"/>
      <c r="Z412" s="712"/>
      <c r="AA412" s="712"/>
      <c r="AB412" s="712"/>
      <c r="AC412" s="712"/>
      <c r="AD412" s="712"/>
      <c r="AE412" s="712"/>
      <c r="AF412" s="712"/>
      <c r="AG412" s="712"/>
      <c r="AH412" s="712"/>
      <c r="AI412" s="712"/>
      <c r="AJ412" s="712"/>
      <c r="AK412" s="712"/>
      <c r="AL412" s="712"/>
      <c r="AM412" s="712"/>
      <c r="AN412" s="712"/>
      <c r="AO412" s="712"/>
    </row>
    <row r="413">
      <c r="G413" s="712"/>
      <c r="H413" s="712"/>
      <c r="I413" s="712"/>
      <c r="J413" s="712"/>
      <c r="K413" s="712"/>
      <c r="L413" s="712"/>
      <c r="M413" s="712"/>
      <c r="N413" s="712"/>
      <c r="O413" s="712"/>
      <c r="P413" s="712"/>
      <c r="Q413" s="712"/>
      <c r="R413" s="712"/>
      <c r="S413" s="712"/>
      <c r="T413" s="712"/>
      <c r="U413" s="712"/>
      <c r="V413" s="712"/>
      <c r="W413" s="712"/>
      <c r="X413" s="712"/>
      <c r="Y413" s="712"/>
      <c r="Z413" s="712"/>
      <c r="AA413" s="712"/>
      <c r="AB413" s="712"/>
      <c r="AC413" s="712"/>
      <c r="AD413" s="712"/>
      <c r="AE413" s="712"/>
      <c r="AF413" s="712"/>
      <c r="AG413" s="712"/>
      <c r="AH413" s="712"/>
      <c r="AI413" s="712"/>
      <c r="AJ413" s="712"/>
      <c r="AK413" s="712"/>
      <c r="AL413" s="712"/>
      <c r="AM413" s="712"/>
      <c r="AN413" s="712"/>
      <c r="AO413" s="712"/>
    </row>
    <row r="414">
      <c r="G414" s="712"/>
      <c r="H414" s="712"/>
      <c r="I414" s="712"/>
      <c r="J414" s="712"/>
      <c r="K414" s="712"/>
      <c r="L414" s="712"/>
      <c r="M414" s="712"/>
      <c r="N414" s="712"/>
      <c r="O414" s="712"/>
      <c r="P414" s="712"/>
      <c r="Q414" s="712"/>
      <c r="R414" s="712"/>
      <c r="S414" s="712"/>
      <c r="T414" s="712"/>
      <c r="U414" s="712"/>
      <c r="V414" s="712"/>
      <c r="W414" s="712"/>
      <c r="X414" s="712"/>
      <c r="Y414" s="712"/>
      <c r="Z414" s="712"/>
      <c r="AA414" s="712"/>
      <c r="AB414" s="712"/>
      <c r="AC414" s="712"/>
      <c r="AD414" s="712"/>
      <c r="AE414" s="712"/>
      <c r="AF414" s="712"/>
      <c r="AG414" s="712"/>
      <c r="AH414" s="712"/>
      <c r="AI414" s="712"/>
      <c r="AJ414" s="712"/>
      <c r="AK414" s="712"/>
      <c r="AL414" s="712"/>
      <c r="AM414" s="712"/>
      <c r="AN414" s="712"/>
      <c r="AO414" s="712"/>
    </row>
    <row r="415">
      <c r="G415" s="712"/>
      <c r="H415" s="712"/>
      <c r="I415" s="712"/>
      <c r="J415" s="712"/>
      <c r="K415" s="712"/>
      <c r="L415" s="712"/>
      <c r="M415" s="712"/>
      <c r="N415" s="712"/>
      <c r="O415" s="712"/>
      <c r="P415" s="712"/>
      <c r="Q415" s="712"/>
      <c r="R415" s="712"/>
      <c r="S415" s="712"/>
      <c r="T415" s="712"/>
      <c r="U415" s="712"/>
      <c r="V415" s="712"/>
      <c r="W415" s="712"/>
      <c r="X415" s="712"/>
      <c r="Y415" s="712"/>
      <c r="Z415" s="712"/>
      <c r="AA415" s="712"/>
      <c r="AB415" s="712"/>
      <c r="AC415" s="712"/>
      <c r="AD415" s="712"/>
      <c r="AE415" s="712"/>
      <c r="AF415" s="712"/>
      <c r="AG415" s="712"/>
      <c r="AH415" s="712"/>
      <c r="AI415" s="712"/>
      <c r="AJ415" s="712"/>
      <c r="AK415" s="712"/>
      <c r="AL415" s="712"/>
      <c r="AM415" s="712"/>
      <c r="AN415" s="712"/>
      <c r="AO415" s="712"/>
    </row>
    <row r="416">
      <c r="G416" s="712"/>
      <c r="H416" s="712"/>
      <c r="I416" s="712"/>
      <c r="J416" s="712"/>
      <c r="K416" s="712"/>
      <c r="L416" s="712"/>
      <c r="M416" s="712"/>
      <c r="N416" s="712"/>
      <c r="O416" s="712"/>
      <c r="P416" s="712"/>
      <c r="Q416" s="712"/>
      <c r="R416" s="712"/>
      <c r="S416" s="712"/>
      <c r="T416" s="712"/>
      <c r="U416" s="712"/>
      <c r="V416" s="712"/>
      <c r="W416" s="712"/>
      <c r="X416" s="712"/>
      <c r="Y416" s="712"/>
      <c r="Z416" s="712"/>
      <c r="AA416" s="712"/>
      <c r="AB416" s="712"/>
      <c r="AC416" s="712"/>
      <c r="AD416" s="712"/>
      <c r="AE416" s="712"/>
      <c r="AF416" s="712"/>
      <c r="AG416" s="712"/>
      <c r="AH416" s="712"/>
      <c r="AI416" s="712"/>
      <c r="AJ416" s="712"/>
      <c r="AK416" s="712"/>
      <c r="AL416" s="712"/>
      <c r="AM416" s="712"/>
      <c r="AN416" s="712"/>
      <c r="AO416" s="712"/>
    </row>
    <row r="417">
      <c r="G417" s="712"/>
      <c r="H417" s="712"/>
      <c r="I417" s="712"/>
      <c r="J417" s="712"/>
      <c r="K417" s="712"/>
      <c r="L417" s="712"/>
      <c r="M417" s="712"/>
      <c r="N417" s="712"/>
      <c r="O417" s="712"/>
      <c r="P417" s="712"/>
      <c r="Q417" s="712"/>
      <c r="R417" s="712"/>
      <c r="S417" s="712"/>
      <c r="T417" s="712"/>
      <c r="U417" s="712"/>
      <c r="V417" s="712"/>
      <c r="W417" s="712"/>
      <c r="X417" s="712"/>
      <c r="Y417" s="712"/>
      <c r="Z417" s="712"/>
      <c r="AA417" s="712"/>
      <c r="AB417" s="712"/>
      <c r="AC417" s="712"/>
      <c r="AD417" s="712"/>
      <c r="AE417" s="712"/>
      <c r="AF417" s="712"/>
      <c r="AG417" s="712"/>
      <c r="AH417" s="712"/>
      <c r="AI417" s="712"/>
      <c r="AJ417" s="712"/>
      <c r="AK417" s="712"/>
      <c r="AL417" s="712"/>
      <c r="AM417" s="712"/>
      <c r="AN417" s="712"/>
      <c r="AO417" s="712"/>
    </row>
    <row r="418">
      <c r="G418" s="712"/>
      <c r="H418" s="712"/>
      <c r="I418" s="712"/>
      <c r="J418" s="712"/>
      <c r="K418" s="712"/>
      <c r="L418" s="712"/>
      <c r="M418" s="712"/>
      <c r="N418" s="712"/>
      <c r="O418" s="712"/>
      <c r="P418" s="712"/>
      <c r="Q418" s="712"/>
      <c r="R418" s="712"/>
      <c r="S418" s="712"/>
      <c r="T418" s="712"/>
      <c r="U418" s="712"/>
      <c r="V418" s="712"/>
      <c r="W418" s="712"/>
      <c r="X418" s="712"/>
      <c r="Y418" s="712"/>
      <c r="Z418" s="712"/>
      <c r="AA418" s="712"/>
      <c r="AB418" s="712"/>
      <c r="AC418" s="712"/>
      <c r="AD418" s="712"/>
      <c r="AE418" s="712"/>
      <c r="AF418" s="712"/>
      <c r="AG418" s="712"/>
      <c r="AH418" s="712"/>
      <c r="AI418" s="712"/>
      <c r="AJ418" s="712"/>
      <c r="AK418" s="712"/>
      <c r="AL418" s="712"/>
      <c r="AM418" s="712"/>
      <c r="AN418" s="712"/>
      <c r="AO418" s="712"/>
    </row>
    <row r="419">
      <c r="G419" s="712"/>
      <c r="H419" s="712"/>
      <c r="I419" s="712"/>
      <c r="J419" s="712"/>
      <c r="K419" s="712"/>
      <c r="L419" s="712"/>
      <c r="M419" s="712"/>
      <c r="N419" s="712"/>
      <c r="O419" s="712"/>
      <c r="P419" s="712"/>
      <c r="Q419" s="712"/>
      <c r="R419" s="712"/>
      <c r="S419" s="712"/>
      <c r="T419" s="712"/>
      <c r="U419" s="712"/>
      <c r="V419" s="712"/>
      <c r="W419" s="712"/>
      <c r="X419" s="712"/>
      <c r="Y419" s="712"/>
      <c r="Z419" s="712"/>
      <c r="AA419" s="712"/>
      <c r="AB419" s="712"/>
      <c r="AC419" s="712"/>
      <c r="AD419" s="712"/>
      <c r="AE419" s="712"/>
      <c r="AF419" s="712"/>
      <c r="AG419" s="712"/>
      <c r="AH419" s="712"/>
      <c r="AI419" s="712"/>
      <c r="AJ419" s="712"/>
      <c r="AK419" s="712"/>
      <c r="AL419" s="712"/>
      <c r="AM419" s="712"/>
      <c r="AN419" s="712"/>
      <c r="AO419" s="712"/>
    </row>
    <row r="420">
      <c r="G420" s="712"/>
      <c r="H420" s="712"/>
      <c r="I420" s="712"/>
      <c r="J420" s="712"/>
      <c r="K420" s="712"/>
      <c r="L420" s="712"/>
      <c r="M420" s="712"/>
      <c r="N420" s="712"/>
      <c r="O420" s="712"/>
      <c r="P420" s="712"/>
      <c r="Q420" s="712"/>
      <c r="R420" s="712"/>
      <c r="S420" s="712"/>
      <c r="T420" s="712"/>
      <c r="U420" s="712"/>
      <c r="V420" s="712"/>
      <c r="W420" s="712"/>
      <c r="X420" s="712"/>
      <c r="Y420" s="712"/>
      <c r="Z420" s="712"/>
      <c r="AA420" s="712"/>
      <c r="AB420" s="712"/>
      <c r="AC420" s="712"/>
      <c r="AD420" s="712"/>
      <c r="AE420" s="712"/>
      <c r="AF420" s="712"/>
      <c r="AG420" s="712"/>
      <c r="AH420" s="712"/>
      <c r="AI420" s="712"/>
      <c r="AJ420" s="712"/>
      <c r="AK420" s="712"/>
      <c r="AL420" s="712"/>
      <c r="AM420" s="712"/>
      <c r="AN420" s="712"/>
      <c r="AO420" s="712"/>
    </row>
    <row r="421">
      <c r="G421" s="712"/>
      <c r="H421" s="712"/>
      <c r="I421" s="712"/>
      <c r="J421" s="712"/>
      <c r="K421" s="712"/>
      <c r="L421" s="712"/>
      <c r="M421" s="712"/>
      <c r="N421" s="712"/>
      <c r="O421" s="712"/>
      <c r="P421" s="712"/>
      <c r="Q421" s="712"/>
      <c r="R421" s="712"/>
      <c r="S421" s="712"/>
      <c r="T421" s="712"/>
      <c r="U421" s="712"/>
      <c r="V421" s="712"/>
      <c r="W421" s="712"/>
      <c r="X421" s="712"/>
      <c r="Y421" s="712"/>
      <c r="Z421" s="712"/>
      <c r="AA421" s="712"/>
      <c r="AB421" s="712"/>
      <c r="AC421" s="712"/>
      <c r="AD421" s="712"/>
      <c r="AE421" s="712"/>
      <c r="AF421" s="712"/>
      <c r="AG421" s="712"/>
      <c r="AH421" s="712"/>
      <c r="AI421" s="712"/>
      <c r="AJ421" s="712"/>
      <c r="AK421" s="712"/>
      <c r="AL421" s="712"/>
      <c r="AM421" s="712"/>
      <c r="AN421" s="712"/>
      <c r="AO421" s="712"/>
    </row>
    <row r="422">
      <c r="G422" s="712"/>
      <c r="H422" s="712"/>
      <c r="I422" s="712"/>
      <c r="J422" s="712"/>
      <c r="K422" s="712"/>
      <c r="L422" s="712"/>
      <c r="M422" s="712"/>
      <c r="N422" s="712"/>
      <c r="O422" s="712"/>
      <c r="P422" s="712"/>
      <c r="Q422" s="712"/>
      <c r="R422" s="712"/>
      <c r="S422" s="712"/>
      <c r="T422" s="712"/>
      <c r="U422" s="712"/>
      <c r="V422" s="712"/>
      <c r="W422" s="712"/>
      <c r="X422" s="712"/>
      <c r="Y422" s="712"/>
      <c r="Z422" s="712"/>
      <c r="AA422" s="712"/>
      <c r="AB422" s="712"/>
      <c r="AC422" s="712"/>
      <c r="AD422" s="712"/>
      <c r="AE422" s="712"/>
      <c r="AF422" s="712"/>
      <c r="AG422" s="712"/>
      <c r="AH422" s="712"/>
      <c r="AI422" s="712"/>
      <c r="AJ422" s="712"/>
      <c r="AK422" s="712"/>
      <c r="AL422" s="712"/>
      <c r="AM422" s="712"/>
      <c r="AN422" s="712"/>
      <c r="AO422" s="712"/>
    </row>
    <row r="423">
      <c r="G423" s="712"/>
      <c r="H423" s="712"/>
      <c r="I423" s="712"/>
      <c r="J423" s="712"/>
      <c r="K423" s="712"/>
      <c r="L423" s="712"/>
      <c r="M423" s="712"/>
      <c r="N423" s="712"/>
      <c r="O423" s="712"/>
      <c r="P423" s="712"/>
      <c r="Q423" s="712"/>
      <c r="R423" s="712"/>
      <c r="S423" s="712"/>
      <c r="T423" s="712"/>
      <c r="U423" s="712"/>
      <c r="V423" s="712"/>
      <c r="W423" s="712"/>
      <c r="X423" s="712"/>
      <c r="Y423" s="712"/>
      <c r="Z423" s="712"/>
      <c r="AA423" s="712"/>
      <c r="AB423" s="712"/>
      <c r="AC423" s="712"/>
      <c r="AD423" s="712"/>
      <c r="AE423" s="712"/>
      <c r="AF423" s="712"/>
      <c r="AG423" s="712"/>
      <c r="AH423" s="712"/>
      <c r="AI423" s="712"/>
      <c r="AJ423" s="712"/>
      <c r="AK423" s="712"/>
      <c r="AL423" s="712"/>
      <c r="AM423" s="712"/>
      <c r="AN423" s="712"/>
      <c r="AO423" s="712"/>
    </row>
    <row r="424">
      <c r="G424" s="712"/>
      <c r="H424" s="712"/>
      <c r="I424" s="712"/>
      <c r="J424" s="712"/>
      <c r="K424" s="712"/>
      <c r="L424" s="712"/>
      <c r="M424" s="712"/>
      <c r="N424" s="712"/>
      <c r="O424" s="712"/>
      <c r="P424" s="712"/>
      <c r="Q424" s="712"/>
      <c r="R424" s="712"/>
      <c r="S424" s="712"/>
      <c r="T424" s="712"/>
      <c r="U424" s="712"/>
      <c r="V424" s="712"/>
      <c r="W424" s="712"/>
      <c r="X424" s="712"/>
      <c r="Y424" s="712"/>
      <c r="Z424" s="712"/>
      <c r="AA424" s="712"/>
      <c r="AB424" s="712"/>
      <c r="AC424" s="712"/>
      <c r="AD424" s="712"/>
      <c r="AE424" s="712"/>
      <c r="AF424" s="712"/>
      <c r="AG424" s="712"/>
      <c r="AH424" s="712"/>
      <c r="AI424" s="712"/>
      <c r="AJ424" s="712"/>
      <c r="AK424" s="712"/>
      <c r="AL424" s="712"/>
      <c r="AM424" s="712"/>
      <c r="AN424" s="712"/>
      <c r="AO424" s="712"/>
    </row>
    <row r="425">
      <c r="G425" s="712"/>
      <c r="H425" s="712"/>
      <c r="I425" s="712"/>
      <c r="J425" s="712"/>
      <c r="K425" s="712"/>
      <c r="L425" s="712"/>
      <c r="M425" s="712"/>
      <c r="N425" s="712"/>
      <c r="O425" s="712"/>
      <c r="P425" s="712"/>
      <c r="Q425" s="712"/>
      <c r="R425" s="712"/>
      <c r="S425" s="712"/>
      <c r="T425" s="712"/>
      <c r="U425" s="712"/>
      <c r="V425" s="712"/>
      <c r="W425" s="712"/>
      <c r="X425" s="712"/>
      <c r="Y425" s="712"/>
      <c r="Z425" s="712"/>
      <c r="AA425" s="712"/>
      <c r="AB425" s="712"/>
      <c r="AC425" s="712"/>
      <c r="AD425" s="712"/>
      <c r="AE425" s="712"/>
      <c r="AF425" s="712"/>
      <c r="AG425" s="712"/>
      <c r="AH425" s="712"/>
      <c r="AI425" s="712"/>
      <c r="AJ425" s="712"/>
      <c r="AK425" s="712"/>
      <c r="AL425" s="712"/>
      <c r="AM425" s="712"/>
      <c r="AN425" s="712"/>
      <c r="AO425" s="712"/>
    </row>
    <row r="426">
      <c r="G426" s="712"/>
      <c r="H426" s="712"/>
      <c r="I426" s="712"/>
      <c r="J426" s="712"/>
      <c r="K426" s="712"/>
      <c r="L426" s="712"/>
      <c r="M426" s="712"/>
      <c r="N426" s="712"/>
      <c r="O426" s="712"/>
      <c r="P426" s="712"/>
      <c r="Q426" s="712"/>
      <c r="R426" s="712"/>
      <c r="S426" s="712"/>
      <c r="T426" s="712"/>
      <c r="U426" s="712"/>
      <c r="V426" s="712"/>
      <c r="W426" s="712"/>
      <c r="X426" s="712"/>
      <c r="Y426" s="712"/>
      <c r="Z426" s="712"/>
      <c r="AA426" s="712"/>
      <c r="AB426" s="712"/>
      <c r="AC426" s="712"/>
      <c r="AD426" s="712"/>
      <c r="AE426" s="712"/>
      <c r="AF426" s="712"/>
      <c r="AG426" s="712"/>
      <c r="AH426" s="712"/>
      <c r="AI426" s="712"/>
      <c r="AJ426" s="712"/>
      <c r="AK426" s="712"/>
      <c r="AL426" s="712"/>
      <c r="AM426" s="712"/>
      <c r="AN426" s="712"/>
      <c r="AO426" s="712"/>
    </row>
    <row r="427">
      <c r="G427" s="712"/>
      <c r="H427" s="712"/>
      <c r="I427" s="712"/>
      <c r="J427" s="712"/>
      <c r="K427" s="712"/>
      <c r="L427" s="712"/>
      <c r="M427" s="712"/>
      <c r="N427" s="712"/>
      <c r="O427" s="712"/>
      <c r="P427" s="712"/>
      <c r="Q427" s="712"/>
      <c r="R427" s="712"/>
      <c r="S427" s="712"/>
      <c r="T427" s="712"/>
      <c r="U427" s="712"/>
      <c r="V427" s="712"/>
      <c r="W427" s="712"/>
      <c r="X427" s="712"/>
      <c r="Y427" s="712"/>
      <c r="Z427" s="712"/>
      <c r="AA427" s="712"/>
      <c r="AB427" s="712"/>
      <c r="AC427" s="712"/>
      <c r="AD427" s="712"/>
      <c r="AE427" s="712"/>
      <c r="AF427" s="712"/>
      <c r="AG427" s="712"/>
      <c r="AH427" s="712"/>
      <c r="AI427" s="712"/>
      <c r="AJ427" s="712"/>
      <c r="AK427" s="712"/>
      <c r="AL427" s="712"/>
      <c r="AM427" s="712"/>
      <c r="AN427" s="712"/>
      <c r="AO427" s="712"/>
    </row>
    <row r="428">
      <c r="G428" s="712"/>
      <c r="H428" s="712"/>
      <c r="I428" s="712"/>
      <c r="J428" s="712"/>
      <c r="K428" s="712"/>
      <c r="L428" s="712"/>
      <c r="M428" s="712"/>
      <c r="N428" s="712"/>
      <c r="O428" s="712"/>
      <c r="P428" s="712"/>
      <c r="Q428" s="712"/>
      <c r="R428" s="712"/>
      <c r="S428" s="712"/>
      <c r="T428" s="712"/>
      <c r="U428" s="712"/>
      <c r="V428" s="712"/>
      <c r="W428" s="712"/>
      <c r="X428" s="712"/>
      <c r="Y428" s="712"/>
      <c r="Z428" s="712"/>
      <c r="AA428" s="712"/>
      <c r="AB428" s="712"/>
      <c r="AC428" s="712"/>
      <c r="AD428" s="712"/>
      <c r="AE428" s="712"/>
      <c r="AF428" s="712"/>
      <c r="AG428" s="712"/>
      <c r="AH428" s="712"/>
      <c r="AI428" s="712"/>
      <c r="AJ428" s="712"/>
      <c r="AK428" s="712"/>
      <c r="AL428" s="712"/>
      <c r="AM428" s="712"/>
      <c r="AN428" s="712"/>
      <c r="AO428" s="712"/>
    </row>
    <row r="429">
      <c r="G429" s="712"/>
      <c r="H429" s="712"/>
      <c r="I429" s="712"/>
      <c r="J429" s="712"/>
      <c r="K429" s="712"/>
      <c r="L429" s="712"/>
      <c r="M429" s="712"/>
      <c r="N429" s="712"/>
      <c r="O429" s="712"/>
      <c r="P429" s="712"/>
      <c r="Q429" s="712"/>
      <c r="R429" s="712"/>
      <c r="S429" s="712"/>
      <c r="T429" s="712"/>
      <c r="U429" s="712"/>
      <c r="V429" s="712"/>
      <c r="W429" s="712"/>
      <c r="X429" s="712"/>
      <c r="Y429" s="712"/>
      <c r="Z429" s="712"/>
      <c r="AA429" s="712"/>
      <c r="AB429" s="712"/>
      <c r="AC429" s="712"/>
      <c r="AD429" s="712"/>
      <c r="AE429" s="712"/>
      <c r="AF429" s="712"/>
      <c r="AG429" s="712"/>
      <c r="AH429" s="712"/>
      <c r="AI429" s="712"/>
      <c r="AJ429" s="712"/>
      <c r="AK429" s="712"/>
      <c r="AL429" s="712"/>
      <c r="AM429" s="712"/>
      <c r="AN429" s="712"/>
      <c r="AO429" s="712"/>
    </row>
    <row r="430">
      <c r="G430" s="712"/>
      <c r="H430" s="712"/>
      <c r="I430" s="712"/>
      <c r="J430" s="712"/>
      <c r="K430" s="712"/>
      <c r="L430" s="712"/>
      <c r="M430" s="712"/>
      <c r="N430" s="712"/>
      <c r="O430" s="712"/>
      <c r="P430" s="712"/>
      <c r="Q430" s="712"/>
      <c r="R430" s="712"/>
      <c r="S430" s="712"/>
      <c r="T430" s="712"/>
      <c r="U430" s="712"/>
      <c r="V430" s="712"/>
      <c r="W430" s="712"/>
      <c r="X430" s="712"/>
      <c r="Y430" s="712"/>
      <c r="Z430" s="712"/>
      <c r="AA430" s="712"/>
      <c r="AB430" s="712"/>
      <c r="AC430" s="712"/>
      <c r="AD430" s="712"/>
      <c r="AE430" s="712"/>
      <c r="AF430" s="712"/>
      <c r="AG430" s="712"/>
      <c r="AH430" s="712"/>
      <c r="AI430" s="712"/>
      <c r="AJ430" s="712"/>
      <c r="AK430" s="712"/>
      <c r="AL430" s="712"/>
      <c r="AM430" s="712"/>
      <c r="AN430" s="712"/>
      <c r="AO430" s="712"/>
    </row>
    <row r="431">
      <c r="G431" s="712"/>
      <c r="H431" s="712"/>
      <c r="I431" s="712"/>
      <c r="J431" s="712"/>
      <c r="K431" s="712"/>
      <c r="L431" s="712"/>
      <c r="M431" s="712"/>
      <c r="N431" s="712"/>
      <c r="O431" s="712"/>
      <c r="P431" s="712"/>
      <c r="Q431" s="712"/>
      <c r="R431" s="712"/>
      <c r="S431" s="712"/>
      <c r="T431" s="712"/>
      <c r="U431" s="712"/>
      <c r="V431" s="712"/>
      <c r="W431" s="712"/>
      <c r="X431" s="712"/>
      <c r="Y431" s="712"/>
      <c r="Z431" s="712"/>
      <c r="AA431" s="712"/>
      <c r="AB431" s="712"/>
      <c r="AC431" s="712"/>
      <c r="AD431" s="712"/>
      <c r="AE431" s="712"/>
      <c r="AF431" s="712"/>
      <c r="AG431" s="712"/>
      <c r="AH431" s="712"/>
      <c r="AI431" s="712"/>
      <c r="AJ431" s="712"/>
      <c r="AK431" s="712"/>
      <c r="AL431" s="712"/>
      <c r="AM431" s="712"/>
      <c r="AN431" s="712"/>
      <c r="AO431" s="712"/>
    </row>
    <row r="432">
      <c r="G432" s="712"/>
      <c r="H432" s="712"/>
      <c r="I432" s="712"/>
      <c r="J432" s="712"/>
      <c r="K432" s="712"/>
      <c r="L432" s="712"/>
      <c r="M432" s="712"/>
      <c r="N432" s="712"/>
      <c r="O432" s="712"/>
      <c r="P432" s="712"/>
      <c r="Q432" s="712"/>
      <c r="R432" s="712"/>
      <c r="S432" s="712"/>
      <c r="T432" s="712"/>
      <c r="U432" s="712"/>
      <c r="V432" s="712"/>
      <c r="W432" s="712"/>
      <c r="X432" s="712"/>
      <c r="Y432" s="712"/>
      <c r="Z432" s="712"/>
      <c r="AA432" s="712"/>
      <c r="AB432" s="712"/>
      <c r="AC432" s="712"/>
      <c r="AD432" s="712"/>
      <c r="AE432" s="712"/>
      <c r="AF432" s="712"/>
      <c r="AG432" s="712"/>
      <c r="AH432" s="712"/>
      <c r="AI432" s="712"/>
      <c r="AJ432" s="712"/>
      <c r="AK432" s="712"/>
      <c r="AL432" s="712"/>
      <c r="AM432" s="712"/>
      <c r="AN432" s="712"/>
      <c r="AO432" s="712"/>
    </row>
    <row r="433">
      <c r="G433" s="712"/>
      <c r="H433" s="712"/>
      <c r="I433" s="712"/>
      <c r="J433" s="712"/>
      <c r="K433" s="712"/>
      <c r="L433" s="712"/>
      <c r="M433" s="712"/>
      <c r="N433" s="712"/>
      <c r="O433" s="712"/>
      <c r="P433" s="712"/>
      <c r="Q433" s="712"/>
      <c r="R433" s="712"/>
      <c r="S433" s="712"/>
      <c r="T433" s="712"/>
      <c r="U433" s="712"/>
      <c r="V433" s="712"/>
      <c r="W433" s="712"/>
      <c r="X433" s="712"/>
      <c r="Y433" s="712"/>
      <c r="Z433" s="712"/>
      <c r="AA433" s="712"/>
      <c r="AB433" s="712"/>
      <c r="AC433" s="712"/>
      <c r="AD433" s="712"/>
      <c r="AE433" s="712"/>
      <c r="AF433" s="712"/>
      <c r="AG433" s="712"/>
      <c r="AH433" s="712"/>
      <c r="AI433" s="712"/>
      <c r="AJ433" s="712"/>
      <c r="AK433" s="712"/>
      <c r="AL433" s="712"/>
      <c r="AM433" s="712"/>
      <c r="AN433" s="712"/>
      <c r="AO433" s="712"/>
    </row>
    <row r="434">
      <c r="G434" s="712"/>
      <c r="H434" s="712"/>
      <c r="I434" s="712"/>
      <c r="J434" s="712"/>
      <c r="K434" s="712"/>
      <c r="L434" s="712"/>
      <c r="M434" s="712"/>
      <c r="N434" s="712"/>
      <c r="O434" s="712"/>
      <c r="P434" s="712"/>
      <c r="Q434" s="712"/>
      <c r="R434" s="712"/>
      <c r="S434" s="712"/>
      <c r="T434" s="712"/>
      <c r="U434" s="712"/>
      <c r="V434" s="712"/>
      <c r="W434" s="712"/>
      <c r="X434" s="712"/>
      <c r="Y434" s="712"/>
      <c r="Z434" s="712"/>
      <c r="AA434" s="712"/>
      <c r="AB434" s="712"/>
      <c r="AC434" s="712"/>
      <c r="AD434" s="712"/>
      <c r="AE434" s="712"/>
      <c r="AF434" s="712"/>
      <c r="AG434" s="712"/>
      <c r="AH434" s="712"/>
      <c r="AI434" s="712"/>
      <c r="AJ434" s="712"/>
      <c r="AK434" s="712"/>
      <c r="AL434" s="712"/>
      <c r="AM434" s="712"/>
      <c r="AN434" s="712"/>
      <c r="AO434" s="712"/>
    </row>
    <row r="435">
      <c r="G435" s="712"/>
      <c r="H435" s="712"/>
      <c r="I435" s="712"/>
      <c r="J435" s="712"/>
      <c r="K435" s="712"/>
      <c r="L435" s="712"/>
      <c r="M435" s="712"/>
      <c r="N435" s="712"/>
      <c r="O435" s="712"/>
      <c r="P435" s="712"/>
      <c r="Q435" s="712"/>
      <c r="R435" s="712"/>
      <c r="S435" s="712"/>
      <c r="T435" s="712"/>
      <c r="U435" s="712"/>
      <c r="V435" s="712"/>
      <c r="W435" s="712"/>
      <c r="X435" s="712"/>
      <c r="Y435" s="712"/>
      <c r="Z435" s="712"/>
      <c r="AA435" s="712"/>
      <c r="AB435" s="712"/>
      <c r="AC435" s="712"/>
      <c r="AD435" s="712"/>
      <c r="AE435" s="712"/>
      <c r="AF435" s="712"/>
      <c r="AG435" s="712"/>
      <c r="AH435" s="712"/>
      <c r="AI435" s="712"/>
      <c r="AJ435" s="712"/>
      <c r="AK435" s="712"/>
      <c r="AL435" s="712"/>
      <c r="AM435" s="712"/>
      <c r="AN435" s="712"/>
      <c r="AO435" s="712"/>
    </row>
    <row r="436">
      <c r="G436" s="712"/>
      <c r="H436" s="712"/>
      <c r="I436" s="712"/>
      <c r="J436" s="712"/>
      <c r="K436" s="712"/>
      <c r="L436" s="712"/>
      <c r="M436" s="712"/>
      <c r="N436" s="712"/>
      <c r="O436" s="712"/>
      <c r="P436" s="712"/>
      <c r="Q436" s="712"/>
      <c r="R436" s="712"/>
      <c r="S436" s="712"/>
      <c r="T436" s="712"/>
      <c r="U436" s="712"/>
      <c r="V436" s="712"/>
      <c r="W436" s="712"/>
      <c r="X436" s="712"/>
      <c r="Y436" s="712"/>
      <c r="Z436" s="712"/>
      <c r="AA436" s="712"/>
      <c r="AB436" s="712"/>
      <c r="AC436" s="712"/>
      <c r="AD436" s="712"/>
      <c r="AE436" s="712"/>
      <c r="AF436" s="712"/>
      <c r="AG436" s="712"/>
      <c r="AH436" s="712"/>
      <c r="AI436" s="712"/>
      <c r="AJ436" s="712"/>
      <c r="AK436" s="712"/>
      <c r="AL436" s="712"/>
      <c r="AM436" s="712"/>
      <c r="AN436" s="712"/>
      <c r="AO436" s="712"/>
    </row>
    <row r="437">
      <c r="G437" s="712"/>
      <c r="H437" s="712"/>
      <c r="I437" s="712"/>
      <c r="J437" s="712"/>
      <c r="K437" s="712"/>
      <c r="L437" s="712"/>
      <c r="M437" s="712"/>
      <c r="N437" s="712"/>
      <c r="O437" s="712"/>
      <c r="P437" s="712"/>
      <c r="Q437" s="712"/>
      <c r="R437" s="712"/>
      <c r="S437" s="712"/>
      <c r="T437" s="712"/>
      <c r="U437" s="712"/>
      <c r="V437" s="712"/>
      <c r="W437" s="712"/>
      <c r="X437" s="712"/>
      <c r="Y437" s="712"/>
      <c r="Z437" s="712"/>
      <c r="AA437" s="712"/>
      <c r="AB437" s="712"/>
      <c r="AC437" s="712"/>
      <c r="AD437" s="712"/>
      <c r="AE437" s="712"/>
      <c r="AF437" s="712"/>
      <c r="AG437" s="712"/>
      <c r="AH437" s="712"/>
      <c r="AI437" s="712"/>
      <c r="AJ437" s="712"/>
      <c r="AK437" s="712"/>
      <c r="AL437" s="712"/>
      <c r="AM437" s="712"/>
      <c r="AN437" s="712"/>
      <c r="AO437" s="712"/>
    </row>
    <row r="438">
      <c r="G438" s="712"/>
      <c r="H438" s="712"/>
      <c r="I438" s="712"/>
      <c r="J438" s="712"/>
      <c r="K438" s="712"/>
      <c r="L438" s="712"/>
      <c r="M438" s="712"/>
      <c r="N438" s="712"/>
      <c r="O438" s="712"/>
      <c r="P438" s="712"/>
      <c r="Q438" s="712"/>
      <c r="R438" s="712"/>
      <c r="S438" s="712"/>
      <c r="T438" s="712"/>
      <c r="U438" s="712"/>
      <c r="V438" s="712"/>
      <c r="W438" s="712"/>
      <c r="X438" s="712"/>
      <c r="Y438" s="712"/>
      <c r="Z438" s="712"/>
      <c r="AA438" s="712"/>
      <c r="AB438" s="712"/>
      <c r="AC438" s="712"/>
      <c r="AD438" s="712"/>
      <c r="AE438" s="712"/>
      <c r="AF438" s="712"/>
      <c r="AG438" s="712"/>
      <c r="AH438" s="712"/>
      <c r="AI438" s="712"/>
      <c r="AJ438" s="712"/>
      <c r="AK438" s="712"/>
      <c r="AL438" s="712"/>
      <c r="AM438" s="712"/>
      <c r="AN438" s="712"/>
      <c r="AO438" s="712"/>
    </row>
    <row r="439">
      <c r="G439" s="712"/>
      <c r="H439" s="712"/>
      <c r="I439" s="712"/>
      <c r="J439" s="712"/>
      <c r="K439" s="712"/>
      <c r="L439" s="712"/>
      <c r="M439" s="712"/>
      <c r="N439" s="712"/>
      <c r="O439" s="712"/>
      <c r="P439" s="712"/>
      <c r="Q439" s="712"/>
      <c r="R439" s="712"/>
      <c r="S439" s="712"/>
      <c r="T439" s="712"/>
      <c r="U439" s="712"/>
      <c r="V439" s="712"/>
      <c r="W439" s="712"/>
      <c r="X439" s="712"/>
      <c r="Y439" s="712"/>
      <c r="Z439" s="712"/>
      <c r="AA439" s="712"/>
      <c r="AB439" s="712"/>
      <c r="AC439" s="712"/>
      <c r="AD439" s="712"/>
      <c r="AE439" s="712"/>
      <c r="AF439" s="712"/>
      <c r="AG439" s="712"/>
      <c r="AH439" s="712"/>
      <c r="AI439" s="712"/>
      <c r="AJ439" s="712"/>
      <c r="AK439" s="712"/>
      <c r="AL439" s="712"/>
      <c r="AM439" s="712"/>
      <c r="AN439" s="712"/>
      <c r="AO439" s="712"/>
    </row>
    <row r="440">
      <c r="G440" s="712"/>
      <c r="H440" s="712"/>
      <c r="I440" s="712"/>
      <c r="J440" s="712"/>
      <c r="K440" s="712"/>
      <c r="L440" s="712"/>
      <c r="M440" s="712"/>
      <c r="N440" s="712"/>
      <c r="O440" s="712"/>
      <c r="P440" s="712"/>
      <c r="Q440" s="712"/>
      <c r="R440" s="712"/>
      <c r="S440" s="712"/>
      <c r="T440" s="712"/>
      <c r="U440" s="712"/>
      <c r="V440" s="712"/>
      <c r="W440" s="712"/>
      <c r="X440" s="712"/>
      <c r="Y440" s="712"/>
      <c r="Z440" s="712"/>
      <c r="AA440" s="712"/>
      <c r="AB440" s="712"/>
      <c r="AC440" s="712"/>
      <c r="AD440" s="712"/>
      <c r="AE440" s="712"/>
      <c r="AF440" s="712"/>
      <c r="AG440" s="712"/>
      <c r="AH440" s="712"/>
      <c r="AI440" s="712"/>
      <c r="AJ440" s="712"/>
      <c r="AK440" s="712"/>
      <c r="AL440" s="712"/>
      <c r="AM440" s="712"/>
      <c r="AN440" s="712"/>
      <c r="AO440" s="712"/>
    </row>
    <row r="441">
      <c r="G441" s="712"/>
      <c r="H441" s="712"/>
      <c r="I441" s="712"/>
      <c r="J441" s="712"/>
      <c r="K441" s="712"/>
      <c r="L441" s="712"/>
      <c r="M441" s="712"/>
      <c r="N441" s="712"/>
      <c r="O441" s="712"/>
      <c r="P441" s="712"/>
      <c r="Q441" s="712"/>
      <c r="R441" s="712"/>
      <c r="S441" s="712"/>
      <c r="T441" s="712"/>
      <c r="U441" s="712"/>
      <c r="V441" s="712"/>
      <c r="W441" s="712"/>
      <c r="X441" s="712"/>
      <c r="Y441" s="712"/>
      <c r="Z441" s="712"/>
      <c r="AA441" s="712"/>
      <c r="AB441" s="712"/>
      <c r="AC441" s="712"/>
      <c r="AD441" s="712"/>
      <c r="AE441" s="712"/>
      <c r="AF441" s="712"/>
      <c r="AG441" s="712"/>
      <c r="AH441" s="712"/>
      <c r="AI441" s="712"/>
      <c r="AJ441" s="712"/>
      <c r="AK441" s="712"/>
      <c r="AL441" s="712"/>
      <c r="AM441" s="712"/>
      <c r="AN441" s="712"/>
      <c r="AO441" s="712"/>
    </row>
    <row r="442">
      <c r="G442" s="712"/>
      <c r="H442" s="712"/>
      <c r="I442" s="712"/>
      <c r="J442" s="712"/>
      <c r="K442" s="712"/>
      <c r="L442" s="712"/>
      <c r="M442" s="712"/>
      <c r="N442" s="712"/>
      <c r="O442" s="712"/>
      <c r="P442" s="712"/>
      <c r="Q442" s="712"/>
      <c r="R442" s="712"/>
      <c r="S442" s="712"/>
      <c r="T442" s="712"/>
      <c r="U442" s="712"/>
      <c r="V442" s="712"/>
      <c r="W442" s="712"/>
      <c r="X442" s="712"/>
      <c r="Y442" s="712"/>
      <c r="Z442" s="712"/>
      <c r="AA442" s="712"/>
      <c r="AB442" s="712"/>
      <c r="AC442" s="712"/>
      <c r="AD442" s="712"/>
      <c r="AE442" s="712"/>
      <c r="AF442" s="712"/>
      <c r="AG442" s="712"/>
      <c r="AH442" s="712"/>
      <c r="AI442" s="712"/>
      <c r="AJ442" s="712"/>
      <c r="AK442" s="712"/>
      <c r="AL442" s="712"/>
      <c r="AM442" s="712"/>
      <c r="AN442" s="712"/>
      <c r="AO442" s="712"/>
    </row>
    <row r="443">
      <c r="G443" s="712"/>
      <c r="H443" s="712"/>
      <c r="I443" s="712"/>
      <c r="J443" s="712"/>
      <c r="K443" s="712"/>
      <c r="L443" s="712"/>
      <c r="M443" s="712"/>
      <c r="N443" s="712"/>
      <c r="O443" s="712"/>
      <c r="P443" s="712"/>
      <c r="Q443" s="712"/>
      <c r="R443" s="712"/>
      <c r="S443" s="712"/>
      <c r="T443" s="712"/>
      <c r="U443" s="712"/>
      <c r="V443" s="712"/>
      <c r="W443" s="712"/>
      <c r="X443" s="712"/>
      <c r="Y443" s="712"/>
      <c r="Z443" s="712"/>
      <c r="AA443" s="712"/>
      <c r="AB443" s="712"/>
      <c r="AC443" s="712"/>
      <c r="AD443" s="712"/>
      <c r="AE443" s="712"/>
      <c r="AF443" s="712"/>
      <c r="AG443" s="712"/>
      <c r="AH443" s="712"/>
      <c r="AI443" s="712"/>
      <c r="AJ443" s="712"/>
      <c r="AK443" s="712"/>
      <c r="AL443" s="712"/>
      <c r="AM443" s="712"/>
      <c r="AN443" s="712"/>
      <c r="AO443" s="712"/>
    </row>
    <row r="444">
      <c r="G444" s="712"/>
      <c r="H444" s="712"/>
      <c r="I444" s="712"/>
      <c r="J444" s="712"/>
      <c r="K444" s="712"/>
      <c r="L444" s="712"/>
      <c r="M444" s="712"/>
      <c r="N444" s="712"/>
      <c r="O444" s="712"/>
      <c r="P444" s="712"/>
      <c r="Q444" s="712"/>
      <c r="R444" s="712"/>
      <c r="S444" s="712"/>
      <c r="T444" s="712"/>
      <c r="U444" s="712"/>
      <c r="V444" s="712"/>
      <c r="W444" s="712"/>
      <c r="X444" s="712"/>
      <c r="Y444" s="712"/>
      <c r="Z444" s="712"/>
      <c r="AA444" s="712"/>
      <c r="AB444" s="712"/>
      <c r="AC444" s="712"/>
      <c r="AD444" s="712"/>
      <c r="AE444" s="712"/>
      <c r="AF444" s="712"/>
      <c r="AG444" s="712"/>
      <c r="AH444" s="712"/>
      <c r="AI444" s="712"/>
      <c r="AJ444" s="712"/>
      <c r="AK444" s="712"/>
      <c r="AL444" s="712"/>
      <c r="AM444" s="712"/>
      <c r="AN444" s="712"/>
      <c r="AO444" s="712"/>
    </row>
    <row r="445">
      <c r="G445" s="712"/>
      <c r="H445" s="712"/>
      <c r="I445" s="712"/>
      <c r="J445" s="712"/>
      <c r="K445" s="712"/>
      <c r="L445" s="712"/>
      <c r="M445" s="712"/>
      <c r="N445" s="712"/>
      <c r="O445" s="712"/>
      <c r="P445" s="712"/>
      <c r="Q445" s="712"/>
      <c r="R445" s="712"/>
      <c r="S445" s="712"/>
      <c r="T445" s="712"/>
      <c r="U445" s="712"/>
      <c r="V445" s="712"/>
      <c r="W445" s="712"/>
      <c r="X445" s="712"/>
      <c r="Y445" s="712"/>
      <c r="Z445" s="712"/>
      <c r="AA445" s="712"/>
      <c r="AB445" s="712"/>
      <c r="AC445" s="712"/>
      <c r="AD445" s="712"/>
      <c r="AE445" s="712"/>
      <c r="AF445" s="712"/>
      <c r="AG445" s="712"/>
      <c r="AH445" s="712"/>
      <c r="AI445" s="712"/>
      <c r="AJ445" s="712"/>
      <c r="AK445" s="712"/>
      <c r="AL445" s="712"/>
      <c r="AM445" s="712"/>
      <c r="AN445" s="712"/>
      <c r="AO445" s="712"/>
    </row>
    <row r="446">
      <c r="G446" s="712"/>
      <c r="H446" s="712"/>
      <c r="I446" s="712"/>
      <c r="J446" s="712"/>
      <c r="K446" s="712"/>
      <c r="L446" s="712"/>
      <c r="M446" s="712"/>
      <c r="N446" s="712"/>
      <c r="O446" s="712"/>
      <c r="P446" s="712"/>
      <c r="Q446" s="712"/>
      <c r="R446" s="712"/>
      <c r="S446" s="712"/>
      <c r="T446" s="712"/>
      <c r="U446" s="712"/>
      <c r="V446" s="712"/>
      <c r="W446" s="712"/>
      <c r="X446" s="712"/>
      <c r="Y446" s="712"/>
      <c r="Z446" s="712"/>
      <c r="AA446" s="712"/>
      <c r="AB446" s="712"/>
      <c r="AC446" s="712"/>
      <c r="AD446" s="712"/>
      <c r="AE446" s="712"/>
      <c r="AF446" s="712"/>
      <c r="AG446" s="712"/>
      <c r="AH446" s="712"/>
      <c r="AI446" s="712"/>
      <c r="AJ446" s="712"/>
      <c r="AK446" s="712"/>
      <c r="AL446" s="712"/>
      <c r="AM446" s="712"/>
      <c r="AN446" s="712"/>
      <c r="AO446" s="712"/>
    </row>
    <row r="447">
      <c r="G447" s="712"/>
      <c r="H447" s="712"/>
      <c r="I447" s="712"/>
      <c r="J447" s="712"/>
      <c r="K447" s="712"/>
      <c r="L447" s="712"/>
      <c r="M447" s="712"/>
      <c r="N447" s="712"/>
      <c r="O447" s="712"/>
      <c r="P447" s="712"/>
      <c r="Q447" s="712"/>
      <c r="R447" s="712"/>
      <c r="S447" s="712"/>
      <c r="T447" s="712"/>
      <c r="U447" s="712"/>
      <c r="V447" s="712"/>
      <c r="W447" s="712"/>
      <c r="X447" s="712"/>
      <c r="Y447" s="712"/>
      <c r="Z447" s="712"/>
      <c r="AA447" s="712"/>
      <c r="AB447" s="712"/>
      <c r="AC447" s="712"/>
      <c r="AD447" s="712"/>
      <c r="AE447" s="712"/>
      <c r="AF447" s="712"/>
      <c r="AG447" s="712"/>
      <c r="AH447" s="712"/>
      <c r="AI447" s="712"/>
      <c r="AJ447" s="712"/>
      <c r="AK447" s="712"/>
      <c r="AL447" s="712"/>
      <c r="AM447" s="712"/>
      <c r="AN447" s="712"/>
      <c r="AO447" s="712"/>
    </row>
    <row r="448">
      <c r="G448" s="712"/>
      <c r="H448" s="712"/>
      <c r="I448" s="712"/>
      <c r="J448" s="712"/>
      <c r="K448" s="712"/>
      <c r="L448" s="712"/>
      <c r="M448" s="712"/>
      <c r="N448" s="712"/>
      <c r="O448" s="712"/>
      <c r="P448" s="712"/>
      <c r="Q448" s="712"/>
      <c r="R448" s="712"/>
      <c r="S448" s="712"/>
      <c r="T448" s="712"/>
      <c r="U448" s="712"/>
      <c r="V448" s="712"/>
      <c r="W448" s="712"/>
      <c r="X448" s="712"/>
      <c r="Y448" s="712"/>
      <c r="Z448" s="712"/>
      <c r="AA448" s="712"/>
      <c r="AB448" s="712"/>
      <c r="AC448" s="712"/>
      <c r="AD448" s="712"/>
      <c r="AE448" s="712"/>
      <c r="AF448" s="712"/>
      <c r="AG448" s="712"/>
      <c r="AH448" s="712"/>
      <c r="AI448" s="712"/>
      <c r="AJ448" s="712"/>
      <c r="AK448" s="712"/>
      <c r="AL448" s="712"/>
      <c r="AM448" s="712"/>
      <c r="AN448" s="712"/>
      <c r="AO448" s="712"/>
    </row>
    <row r="449">
      <c r="G449" s="712"/>
      <c r="H449" s="712"/>
      <c r="I449" s="712"/>
      <c r="J449" s="712"/>
      <c r="K449" s="712"/>
      <c r="L449" s="712"/>
      <c r="M449" s="712"/>
      <c r="N449" s="712"/>
      <c r="O449" s="712"/>
      <c r="P449" s="712"/>
      <c r="Q449" s="712"/>
      <c r="R449" s="712"/>
      <c r="S449" s="712"/>
      <c r="T449" s="712"/>
      <c r="U449" s="712"/>
      <c r="V449" s="712"/>
      <c r="W449" s="712"/>
      <c r="X449" s="712"/>
      <c r="Y449" s="712"/>
      <c r="Z449" s="712"/>
      <c r="AA449" s="712"/>
      <c r="AB449" s="712"/>
      <c r="AC449" s="712"/>
      <c r="AD449" s="712"/>
      <c r="AE449" s="712"/>
      <c r="AF449" s="712"/>
      <c r="AG449" s="712"/>
      <c r="AH449" s="712"/>
      <c r="AI449" s="712"/>
      <c r="AJ449" s="712"/>
      <c r="AK449" s="712"/>
      <c r="AL449" s="712"/>
      <c r="AM449" s="712"/>
      <c r="AN449" s="712"/>
      <c r="AO449" s="712"/>
    </row>
    <row r="450">
      <c r="G450" s="712"/>
      <c r="H450" s="712"/>
      <c r="I450" s="712"/>
      <c r="J450" s="712"/>
      <c r="K450" s="712"/>
      <c r="L450" s="712"/>
      <c r="M450" s="712"/>
      <c r="N450" s="712"/>
      <c r="O450" s="712"/>
      <c r="P450" s="712"/>
      <c r="Q450" s="712"/>
      <c r="R450" s="712"/>
      <c r="S450" s="712"/>
      <c r="T450" s="712"/>
      <c r="U450" s="712"/>
      <c r="V450" s="712"/>
      <c r="W450" s="712"/>
      <c r="X450" s="712"/>
      <c r="Y450" s="712"/>
      <c r="Z450" s="712"/>
      <c r="AA450" s="712"/>
      <c r="AB450" s="712"/>
      <c r="AC450" s="712"/>
      <c r="AD450" s="712"/>
      <c r="AE450" s="712"/>
      <c r="AF450" s="712"/>
      <c r="AG450" s="712"/>
      <c r="AH450" s="712"/>
      <c r="AI450" s="712"/>
      <c r="AJ450" s="712"/>
      <c r="AK450" s="712"/>
      <c r="AL450" s="712"/>
      <c r="AM450" s="712"/>
      <c r="AN450" s="712"/>
      <c r="AO450" s="712"/>
    </row>
    <row r="451">
      <c r="G451" s="712"/>
      <c r="H451" s="712"/>
      <c r="I451" s="712"/>
      <c r="J451" s="712"/>
      <c r="K451" s="712"/>
      <c r="L451" s="712"/>
      <c r="M451" s="712"/>
      <c r="N451" s="712"/>
      <c r="O451" s="712"/>
      <c r="P451" s="712"/>
      <c r="Q451" s="712"/>
      <c r="R451" s="712"/>
      <c r="S451" s="712"/>
      <c r="T451" s="712"/>
      <c r="U451" s="712"/>
      <c r="V451" s="712"/>
      <c r="W451" s="712"/>
      <c r="X451" s="712"/>
      <c r="Y451" s="712"/>
      <c r="Z451" s="712"/>
      <c r="AA451" s="712"/>
      <c r="AB451" s="712"/>
      <c r="AC451" s="712"/>
      <c r="AD451" s="712"/>
      <c r="AE451" s="712"/>
      <c r="AF451" s="712"/>
      <c r="AG451" s="712"/>
      <c r="AH451" s="712"/>
      <c r="AI451" s="712"/>
      <c r="AJ451" s="712"/>
      <c r="AK451" s="712"/>
      <c r="AL451" s="712"/>
      <c r="AM451" s="712"/>
      <c r="AN451" s="712"/>
      <c r="AO451" s="712"/>
    </row>
    <row r="452">
      <c r="G452" s="712"/>
      <c r="H452" s="712"/>
      <c r="I452" s="712"/>
      <c r="J452" s="712"/>
      <c r="K452" s="712"/>
      <c r="L452" s="712"/>
      <c r="M452" s="712"/>
      <c r="N452" s="712"/>
      <c r="O452" s="712"/>
      <c r="P452" s="712"/>
      <c r="Q452" s="712"/>
      <c r="R452" s="712"/>
      <c r="S452" s="712"/>
      <c r="T452" s="712"/>
      <c r="U452" s="712"/>
      <c r="V452" s="712"/>
      <c r="W452" s="712"/>
      <c r="X452" s="712"/>
      <c r="Y452" s="712"/>
      <c r="Z452" s="712"/>
      <c r="AA452" s="712"/>
      <c r="AB452" s="712"/>
      <c r="AC452" s="712"/>
      <c r="AD452" s="712"/>
      <c r="AE452" s="712"/>
      <c r="AF452" s="712"/>
      <c r="AG452" s="712"/>
      <c r="AH452" s="712"/>
      <c r="AI452" s="712"/>
      <c r="AJ452" s="712"/>
      <c r="AK452" s="712"/>
      <c r="AL452" s="712"/>
      <c r="AM452" s="712"/>
      <c r="AN452" s="712"/>
      <c r="AO452" s="712"/>
    </row>
    <row r="453">
      <c r="G453" s="712"/>
      <c r="H453" s="712"/>
      <c r="I453" s="712"/>
      <c r="J453" s="712"/>
      <c r="K453" s="712"/>
      <c r="L453" s="712"/>
      <c r="M453" s="712"/>
      <c r="N453" s="712"/>
      <c r="O453" s="712"/>
      <c r="P453" s="712"/>
      <c r="Q453" s="712"/>
      <c r="R453" s="712"/>
      <c r="S453" s="712"/>
      <c r="T453" s="712"/>
      <c r="U453" s="712"/>
      <c r="V453" s="712"/>
      <c r="W453" s="712"/>
      <c r="X453" s="712"/>
      <c r="Y453" s="712"/>
      <c r="Z453" s="712"/>
      <c r="AA453" s="712"/>
      <c r="AB453" s="712"/>
      <c r="AC453" s="712"/>
      <c r="AD453" s="712"/>
      <c r="AE453" s="712"/>
      <c r="AF453" s="712"/>
      <c r="AG453" s="712"/>
      <c r="AH453" s="712"/>
      <c r="AI453" s="712"/>
      <c r="AJ453" s="712"/>
      <c r="AK453" s="712"/>
      <c r="AL453" s="712"/>
      <c r="AM453" s="712"/>
      <c r="AN453" s="712"/>
      <c r="AO453" s="712"/>
    </row>
    <row r="454">
      <c r="G454" s="712"/>
      <c r="H454" s="712"/>
      <c r="I454" s="712"/>
      <c r="J454" s="712"/>
      <c r="K454" s="712"/>
      <c r="L454" s="712"/>
      <c r="M454" s="712"/>
      <c r="N454" s="712"/>
      <c r="O454" s="712"/>
      <c r="P454" s="712"/>
      <c r="Q454" s="712"/>
      <c r="R454" s="712"/>
      <c r="S454" s="712"/>
      <c r="T454" s="712"/>
      <c r="U454" s="712"/>
      <c r="V454" s="712"/>
      <c r="W454" s="712"/>
      <c r="X454" s="712"/>
      <c r="Y454" s="712"/>
      <c r="Z454" s="712"/>
      <c r="AA454" s="712"/>
      <c r="AB454" s="712"/>
      <c r="AC454" s="712"/>
      <c r="AD454" s="712"/>
      <c r="AE454" s="712"/>
      <c r="AF454" s="712"/>
      <c r="AG454" s="712"/>
      <c r="AH454" s="712"/>
      <c r="AI454" s="712"/>
      <c r="AJ454" s="712"/>
      <c r="AK454" s="712"/>
      <c r="AL454" s="712"/>
      <c r="AM454" s="712"/>
      <c r="AN454" s="712"/>
      <c r="AO454" s="712"/>
    </row>
    <row r="455">
      <c r="G455" s="712"/>
      <c r="H455" s="712"/>
      <c r="I455" s="712"/>
      <c r="J455" s="712"/>
      <c r="K455" s="712"/>
      <c r="L455" s="712"/>
      <c r="M455" s="712"/>
      <c r="N455" s="712"/>
      <c r="O455" s="712"/>
      <c r="P455" s="712"/>
      <c r="Q455" s="712"/>
      <c r="R455" s="712"/>
      <c r="S455" s="712"/>
      <c r="T455" s="712"/>
      <c r="U455" s="712"/>
      <c r="V455" s="712"/>
      <c r="W455" s="712"/>
      <c r="X455" s="712"/>
      <c r="Y455" s="712"/>
      <c r="Z455" s="712"/>
      <c r="AA455" s="712"/>
      <c r="AB455" s="712"/>
      <c r="AC455" s="712"/>
      <c r="AD455" s="712"/>
      <c r="AE455" s="712"/>
      <c r="AF455" s="712"/>
      <c r="AG455" s="712"/>
      <c r="AH455" s="712"/>
      <c r="AI455" s="712"/>
      <c r="AJ455" s="712"/>
      <c r="AK455" s="712"/>
      <c r="AL455" s="712"/>
      <c r="AM455" s="712"/>
      <c r="AN455" s="712"/>
      <c r="AO455" s="712"/>
    </row>
    <row r="456">
      <c r="G456" s="712"/>
      <c r="H456" s="712"/>
      <c r="I456" s="712"/>
      <c r="J456" s="712"/>
      <c r="K456" s="712"/>
      <c r="L456" s="712"/>
      <c r="M456" s="712"/>
      <c r="N456" s="712"/>
      <c r="O456" s="712"/>
      <c r="P456" s="712"/>
      <c r="Q456" s="712"/>
      <c r="R456" s="712"/>
      <c r="S456" s="712"/>
      <c r="T456" s="712"/>
      <c r="U456" s="712"/>
      <c r="V456" s="712"/>
      <c r="W456" s="712"/>
      <c r="X456" s="712"/>
      <c r="Y456" s="712"/>
      <c r="Z456" s="712"/>
      <c r="AA456" s="712"/>
      <c r="AB456" s="712"/>
      <c r="AC456" s="712"/>
      <c r="AD456" s="712"/>
      <c r="AE456" s="712"/>
      <c r="AF456" s="712"/>
      <c r="AG456" s="712"/>
      <c r="AH456" s="712"/>
      <c r="AI456" s="712"/>
      <c r="AJ456" s="712"/>
      <c r="AK456" s="712"/>
      <c r="AL456" s="712"/>
      <c r="AM456" s="712"/>
      <c r="AN456" s="712"/>
      <c r="AO456" s="712"/>
    </row>
    <row r="457">
      <c r="G457" s="712"/>
      <c r="H457" s="712"/>
      <c r="I457" s="712"/>
      <c r="J457" s="712"/>
      <c r="K457" s="712"/>
      <c r="L457" s="712"/>
      <c r="M457" s="712"/>
      <c r="N457" s="712"/>
      <c r="O457" s="712"/>
      <c r="P457" s="712"/>
      <c r="Q457" s="712"/>
      <c r="R457" s="712"/>
      <c r="S457" s="712"/>
      <c r="T457" s="712"/>
      <c r="U457" s="712"/>
      <c r="V457" s="712"/>
      <c r="W457" s="712"/>
      <c r="X457" s="712"/>
      <c r="Y457" s="712"/>
      <c r="Z457" s="712"/>
      <c r="AA457" s="712"/>
      <c r="AB457" s="712"/>
      <c r="AC457" s="712"/>
      <c r="AD457" s="712"/>
      <c r="AE457" s="712"/>
      <c r="AF457" s="712"/>
      <c r="AG457" s="712"/>
      <c r="AH457" s="712"/>
      <c r="AI457" s="712"/>
      <c r="AJ457" s="712"/>
      <c r="AK457" s="712"/>
      <c r="AL457" s="712"/>
      <c r="AM457" s="712"/>
      <c r="AN457" s="712"/>
      <c r="AO457" s="712"/>
    </row>
    <row r="458">
      <c r="G458" s="712"/>
      <c r="H458" s="712"/>
      <c r="I458" s="712"/>
      <c r="J458" s="712"/>
      <c r="K458" s="712"/>
      <c r="L458" s="712"/>
      <c r="M458" s="712"/>
      <c r="N458" s="712"/>
      <c r="O458" s="712"/>
      <c r="P458" s="712"/>
      <c r="Q458" s="712"/>
      <c r="R458" s="712"/>
      <c r="S458" s="712"/>
      <c r="T458" s="712"/>
      <c r="U458" s="712"/>
      <c r="V458" s="712"/>
      <c r="W458" s="712"/>
      <c r="X458" s="712"/>
      <c r="Y458" s="712"/>
      <c r="Z458" s="712"/>
      <c r="AA458" s="712"/>
      <c r="AB458" s="712"/>
      <c r="AC458" s="712"/>
      <c r="AD458" s="712"/>
      <c r="AE458" s="712"/>
      <c r="AF458" s="712"/>
      <c r="AG458" s="712"/>
      <c r="AH458" s="712"/>
      <c r="AI458" s="712"/>
      <c r="AJ458" s="712"/>
      <c r="AK458" s="712"/>
      <c r="AL458" s="712"/>
      <c r="AM458" s="712"/>
      <c r="AN458" s="712"/>
      <c r="AO458" s="712"/>
    </row>
    <row r="459">
      <c r="G459" s="712"/>
      <c r="H459" s="712"/>
      <c r="I459" s="712"/>
      <c r="J459" s="712"/>
      <c r="K459" s="712"/>
      <c r="L459" s="712"/>
      <c r="M459" s="712"/>
      <c r="N459" s="712"/>
      <c r="O459" s="712"/>
      <c r="P459" s="712"/>
      <c r="Q459" s="712"/>
      <c r="R459" s="712"/>
      <c r="S459" s="712"/>
      <c r="T459" s="712"/>
      <c r="U459" s="712"/>
      <c r="V459" s="712"/>
      <c r="W459" s="712"/>
      <c r="X459" s="712"/>
      <c r="Y459" s="712"/>
      <c r="Z459" s="712"/>
      <c r="AA459" s="712"/>
      <c r="AB459" s="712"/>
      <c r="AC459" s="712"/>
      <c r="AD459" s="712"/>
      <c r="AE459" s="712"/>
      <c r="AF459" s="712"/>
      <c r="AG459" s="712"/>
      <c r="AH459" s="712"/>
      <c r="AI459" s="712"/>
      <c r="AJ459" s="712"/>
      <c r="AK459" s="712"/>
      <c r="AL459" s="712"/>
      <c r="AM459" s="712"/>
      <c r="AN459" s="712"/>
      <c r="AO459" s="712"/>
    </row>
    <row r="460">
      <c r="G460" s="712"/>
      <c r="H460" s="712"/>
      <c r="I460" s="712"/>
      <c r="J460" s="712"/>
      <c r="K460" s="712"/>
      <c r="L460" s="712"/>
      <c r="M460" s="712"/>
      <c r="N460" s="712"/>
      <c r="O460" s="712"/>
      <c r="P460" s="712"/>
      <c r="Q460" s="712"/>
      <c r="R460" s="712"/>
      <c r="S460" s="712"/>
      <c r="T460" s="712"/>
      <c r="U460" s="712"/>
      <c r="V460" s="712"/>
      <c r="W460" s="712"/>
      <c r="X460" s="712"/>
      <c r="Y460" s="712"/>
      <c r="Z460" s="712"/>
      <c r="AA460" s="712"/>
      <c r="AB460" s="712"/>
      <c r="AC460" s="712"/>
      <c r="AD460" s="712"/>
      <c r="AE460" s="712"/>
      <c r="AF460" s="712"/>
      <c r="AG460" s="712"/>
      <c r="AH460" s="712"/>
      <c r="AI460" s="712"/>
      <c r="AJ460" s="712"/>
      <c r="AK460" s="712"/>
      <c r="AL460" s="712"/>
      <c r="AM460" s="712"/>
      <c r="AN460" s="712"/>
      <c r="AO460" s="712"/>
    </row>
    <row r="461">
      <c r="G461" s="712"/>
      <c r="H461" s="712"/>
      <c r="I461" s="712"/>
      <c r="J461" s="712"/>
      <c r="K461" s="712"/>
      <c r="L461" s="712"/>
      <c r="M461" s="712"/>
      <c r="N461" s="712"/>
      <c r="O461" s="712"/>
      <c r="P461" s="712"/>
      <c r="Q461" s="712"/>
      <c r="R461" s="712"/>
      <c r="S461" s="712"/>
      <c r="T461" s="712"/>
      <c r="U461" s="712"/>
      <c r="V461" s="712"/>
      <c r="W461" s="712"/>
      <c r="X461" s="712"/>
      <c r="Y461" s="712"/>
      <c r="Z461" s="712"/>
      <c r="AA461" s="712"/>
      <c r="AB461" s="712"/>
      <c r="AC461" s="712"/>
      <c r="AD461" s="712"/>
      <c r="AE461" s="712"/>
      <c r="AF461" s="712"/>
      <c r="AG461" s="712"/>
      <c r="AH461" s="712"/>
      <c r="AI461" s="712"/>
      <c r="AJ461" s="712"/>
      <c r="AK461" s="712"/>
      <c r="AL461" s="712"/>
      <c r="AM461" s="712"/>
      <c r="AN461" s="712"/>
      <c r="AO461" s="712"/>
    </row>
    <row r="462">
      <c r="G462" s="712"/>
      <c r="H462" s="712"/>
      <c r="I462" s="712"/>
      <c r="J462" s="712"/>
      <c r="K462" s="712"/>
      <c r="L462" s="712"/>
      <c r="M462" s="712"/>
      <c r="N462" s="712"/>
      <c r="O462" s="712"/>
      <c r="P462" s="712"/>
      <c r="Q462" s="712"/>
      <c r="R462" s="712"/>
      <c r="S462" s="712"/>
      <c r="T462" s="712"/>
      <c r="U462" s="712"/>
      <c r="V462" s="712"/>
      <c r="W462" s="712"/>
      <c r="X462" s="712"/>
      <c r="Y462" s="712"/>
      <c r="Z462" s="712"/>
      <c r="AA462" s="712"/>
      <c r="AB462" s="712"/>
      <c r="AC462" s="712"/>
      <c r="AD462" s="712"/>
      <c r="AE462" s="712"/>
      <c r="AF462" s="712"/>
      <c r="AG462" s="712"/>
      <c r="AH462" s="712"/>
      <c r="AI462" s="712"/>
      <c r="AJ462" s="712"/>
      <c r="AK462" s="712"/>
      <c r="AL462" s="712"/>
      <c r="AM462" s="712"/>
      <c r="AN462" s="712"/>
      <c r="AO462" s="712"/>
    </row>
    <row r="463">
      <c r="G463" s="712"/>
      <c r="H463" s="712"/>
      <c r="I463" s="712"/>
      <c r="J463" s="712"/>
      <c r="K463" s="712"/>
      <c r="L463" s="712"/>
      <c r="M463" s="712"/>
      <c r="N463" s="712"/>
      <c r="O463" s="712"/>
      <c r="P463" s="712"/>
      <c r="Q463" s="712"/>
      <c r="R463" s="712"/>
      <c r="S463" s="712"/>
      <c r="T463" s="712"/>
      <c r="U463" s="712"/>
      <c r="V463" s="712"/>
      <c r="W463" s="712"/>
      <c r="X463" s="712"/>
      <c r="Y463" s="712"/>
      <c r="Z463" s="712"/>
      <c r="AA463" s="712"/>
      <c r="AB463" s="712"/>
      <c r="AC463" s="712"/>
      <c r="AD463" s="712"/>
      <c r="AE463" s="712"/>
      <c r="AF463" s="712"/>
      <c r="AG463" s="712"/>
      <c r="AH463" s="712"/>
      <c r="AI463" s="712"/>
      <c r="AJ463" s="712"/>
      <c r="AK463" s="712"/>
      <c r="AL463" s="712"/>
      <c r="AM463" s="712"/>
      <c r="AN463" s="712"/>
      <c r="AO463" s="712"/>
    </row>
    <row r="464">
      <c r="G464" s="712"/>
      <c r="H464" s="712"/>
      <c r="I464" s="712"/>
      <c r="J464" s="712"/>
      <c r="K464" s="712"/>
      <c r="L464" s="712"/>
      <c r="M464" s="712"/>
      <c r="N464" s="712"/>
      <c r="O464" s="712"/>
      <c r="P464" s="712"/>
      <c r="Q464" s="712"/>
      <c r="R464" s="712"/>
      <c r="S464" s="712"/>
      <c r="T464" s="712"/>
      <c r="U464" s="712"/>
      <c r="V464" s="712"/>
      <c r="W464" s="712"/>
      <c r="X464" s="712"/>
      <c r="Y464" s="712"/>
      <c r="Z464" s="712"/>
      <c r="AA464" s="712"/>
      <c r="AB464" s="712"/>
      <c r="AC464" s="712"/>
      <c r="AD464" s="712"/>
      <c r="AE464" s="712"/>
      <c r="AF464" s="712"/>
      <c r="AG464" s="712"/>
      <c r="AH464" s="712"/>
      <c r="AI464" s="712"/>
      <c r="AJ464" s="712"/>
      <c r="AK464" s="712"/>
      <c r="AL464" s="712"/>
      <c r="AM464" s="712"/>
      <c r="AN464" s="712"/>
      <c r="AO464" s="712"/>
    </row>
    <row r="465">
      <c r="G465" s="712"/>
      <c r="H465" s="712"/>
      <c r="I465" s="712"/>
      <c r="J465" s="712"/>
      <c r="K465" s="712"/>
      <c r="L465" s="712"/>
      <c r="M465" s="712"/>
      <c r="N465" s="712"/>
      <c r="O465" s="712"/>
      <c r="P465" s="712"/>
      <c r="Q465" s="712"/>
      <c r="R465" s="712"/>
      <c r="S465" s="712"/>
      <c r="T465" s="712"/>
      <c r="U465" s="712"/>
      <c r="V465" s="712"/>
      <c r="W465" s="712"/>
      <c r="X465" s="712"/>
      <c r="Y465" s="712"/>
      <c r="Z465" s="712"/>
      <c r="AA465" s="712"/>
      <c r="AB465" s="712"/>
      <c r="AC465" s="712"/>
      <c r="AD465" s="712"/>
      <c r="AE465" s="712"/>
      <c r="AF465" s="712"/>
      <c r="AG465" s="712"/>
      <c r="AH465" s="712"/>
      <c r="AI465" s="712"/>
      <c r="AJ465" s="712"/>
      <c r="AK465" s="712"/>
      <c r="AL465" s="712"/>
      <c r="AM465" s="712"/>
      <c r="AN465" s="712"/>
      <c r="AO465" s="712"/>
    </row>
    <row r="466">
      <c r="G466" s="712"/>
      <c r="H466" s="712"/>
      <c r="I466" s="712"/>
      <c r="J466" s="712"/>
      <c r="K466" s="712"/>
      <c r="L466" s="712"/>
      <c r="M466" s="712"/>
      <c r="N466" s="712"/>
      <c r="O466" s="712"/>
      <c r="P466" s="712"/>
      <c r="Q466" s="712"/>
      <c r="R466" s="712"/>
      <c r="S466" s="712"/>
      <c r="T466" s="712"/>
      <c r="U466" s="712"/>
      <c r="V466" s="712"/>
      <c r="W466" s="712"/>
      <c r="X466" s="712"/>
      <c r="Y466" s="712"/>
      <c r="Z466" s="712"/>
      <c r="AA466" s="712"/>
      <c r="AB466" s="712"/>
      <c r="AC466" s="712"/>
      <c r="AD466" s="712"/>
      <c r="AE466" s="712"/>
      <c r="AF466" s="712"/>
      <c r="AG466" s="712"/>
      <c r="AH466" s="712"/>
      <c r="AI466" s="712"/>
      <c r="AJ466" s="712"/>
      <c r="AK466" s="712"/>
      <c r="AL466" s="712"/>
      <c r="AM466" s="712"/>
      <c r="AN466" s="712"/>
      <c r="AO466" s="712"/>
    </row>
    <row r="467">
      <c r="G467" s="712"/>
      <c r="H467" s="712"/>
      <c r="I467" s="712"/>
      <c r="J467" s="712"/>
      <c r="K467" s="712"/>
      <c r="L467" s="712"/>
      <c r="M467" s="712"/>
      <c r="N467" s="712"/>
      <c r="O467" s="712"/>
      <c r="P467" s="712"/>
      <c r="Q467" s="712"/>
      <c r="R467" s="712"/>
      <c r="S467" s="712"/>
      <c r="T467" s="712"/>
      <c r="U467" s="712"/>
      <c r="V467" s="712"/>
      <c r="W467" s="712"/>
      <c r="X467" s="712"/>
      <c r="Y467" s="712"/>
      <c r="Z467" s="712"/>
      <c r="AA467" s="712"/>
      <c r="AB467" s="712"/>
      <c r="AC467" s="712"/>
      <c r="AD467" s="712"/>
      <c r="AE467" s="712"/>
      <c r="AF467" s="712"/>
      <c r="AG467" s="712"/>
      <c r="AH467" s="712"/>
      <c r="AI467" s="712"/>
      <c r="AJ467" s="712"/>
      <c r="AK467" s="712"/>
      <c r="AL467" s="712"/>
      <c r="AM467" s="712"/>
      <c r="AN467" s="712"/>
      <c r="AO467" s="712"/>
    </row>
    <row r="468">
      <c r="G468" s="712"/>
      <c r="H468" s="712"/>
      <c r="I468" s="712"/>
      <c r="J468" s="712"/>
      <c r="K468" s="712"/>
      <c r="L468" s="712"/>
      <c r="M468" s="712"/>
      <c r="N468" s="712"/>
      <c r="O468" s="712"/>
      <c r="P468" s="712"/>
      <c r="Q468" s="712"/>
      <c r="R468" s="712"/>
      <c r="S468" s="712"/>
      <c r="T468" s="712"/>
      <c r="U468" s="712"/>
      <c r="V468" s="712"/>
      <c r="W468" s="712"/>
      <c r="X468" s="712"/>
      <c r="Y468" s="712"/>
      <c r="Z468" s="712"/>
      <c r="AA468" s="712"/>
      <c r="AB468" s="712"/>
      <c r="AC468" s="712"/>
      <c r="AD468" s="712"/>
      <c r="AE468" s="712"/>
      <c r="AF468" s="712"/>
      <c r="AG468" s="712"/>
      <c r="AH468" s="712"/>
      <c r="AI468" s="712"/>
      <c r="AJ468" s="712"/>
      <c r="AK468" s="712"/>
      <c r="AL468" s="712"/>
      <c r="AM468" s="712"/>
      <c r="AN468" s="712"/>
      <c r="AO468" s="712"/>
    </row>
    <row r="469">
      <c r="G469" s="712"/>
      <c r="H469" s="712"/>
      <c r="I469" s="712"/>
      <c r="J469" s="712"/>
      <c r="K469" s="712"/>
      <c r="L469" s="712"/>
      <c r="M469" s="712"/>
      <c r="N469" s="712"/>
      <c r="O469" s="712"/>
      <c r="P469" s="712"/>
      <c r="Q469" s="712"/>
      <c r="R469" s="712"/>
      <c r="S469" s="712"/>
      <c r="T469" s="712"/>
      <c r="U469" s="712"/>
      <c r="V469" s="712"/>
      <c r="W469" s="712"/>
      <c r="X469" s="712"/>
      <c r="Y469" s="712"/>
      <c r="Z469" s="712"/>
      <c r="AA469" s="712"/>
      <c r="AB469" s="712"/>
      <c r="AC469" s="712"/>
      <c r="AD469" s="712"/>
      <c r="AE469" s="712"/>
      <c r="AF469" s="712"/>
      <c r="AG469" s="712"/>
      <c r="AH469" s="712"/>
      <c r="AI469" s="712"/>
      <c r="AJ469" s="712"/>
      <c r="AK469" s="712"/>
      <c r="AL469" s="712"/>
      <c r="AM469" s="712"/>
      <c r="AN469" s="712"/>
      <c r="AO469" s="712"/>
    </row>
    <row r="470">
      <c r="G470" s="712"/>
      <c r="H470" s="712"/>
      <c r="I470" s="712"/>
      <c r="J470" s="712"/>
      <c r="K470" s="712"/>
      <c r="L470" s="712"/>
      <c r="M470" s="712"/>
      <c r="N470" s="712"/>
      <c r="O470" s="712"/>
      <c r="P470" s="712"/>
      <c r="Q470" s="712"/>
      <c r="R470" s="712"/>
      <c r="S470" s="712"/>
      <c r="T470" s="712"/>
      <c r="U470" s="712"/>
      <c r="V470" s="712"/>
      <c r="W470" s="712"/>
      <c r="X470" s="712"/>
      <c r="Y470" s="712"/>
      <c r="Z470" s="712"/>
      <c r="AA470" s="712"/>
      <c r="AB470" s="712"/>
      <c r="AC470" s="712"/>
      <c r="AD470" s="712"/>
      <c r="AE470" s="712"/>
      <c r="AF470" s="712"/>
      <c r="AG470" s="712"/>
      <c r="AH470" s="712"/>
      <c r="AI470" s="712"/>
      <c r="AJ470" s="712"/>
      <c r="AK470" s="712"/>
      <c r="AL470" s="712"/>
      <c r="AM470" s="712"/>
      <c r="AN470" s="712"/>
      <c r="AO470" s="712"/>
    </row>
    <row r="471">
      <c r="G471" s="712"/>
      <c r="H471" s="712"/>
      <c r="I471" s="712"/>
      <c r="J471" s="712"/>
      <c r="K471" s="712"/>
      <c r="L471" s="712"/>
      <c r="M471" s="712"/>
      <c r="N471" s="712"/>
      <c r="O471" s="712"/>
      <c r="P471" s="712"/>
      <c r="Q471" s="712"/>
      <c r="R471" s="712"/>
      <c r="S471" s="712"/>
      <c r="T471" s="712"/>
      <c r="U471" s="712"/>
      <c r="V471" s="712"/>
      <c r="W471" s="712"/>
      <c r="X471" s="712"/>
      <c r="Y471" s="712"/>
      <c r="Z471" s="712"/>
      <c r="AA471" s="712"/>
      <c r="AB471" s="712"/>
      <c r="AC471" s="712"/>
      <c r="AD471" s="712"/>
      <c r="AE471" s="712"/>
      <c r="AF471" s="712"/>
      <c r="AG471" s="712"/>
      <c r="AH471" s="712"/>
      <c r="AI471" s="712"/>
      <c r="AJ471" s="712"/>
      <c r="AK471" s="712"/>
      <c r="AL471" s="712"/>
      <c r="AM471" s="712"/>
      <c r="AN471" s="712"/>
      <c r="AO471" s="712"/>
    </row>
    <row r="472">
      <c r="G472" s="712"/>
      <c r="H472" s="712"/>
      <c r="I472" s="712"/>
      <c r="J472" s="712"/>
      <c r="K472" s="712"/>
      <c r="L472" s="712"/>
      <c r="M472" s="712"/>
      <c r="N472" s="712"/>
      <c r="O472" s="712"/>
      <c r="P472" s="712"/>
      <c r="Q472" s="712"/>
      <c r="R472" s="712"/>
      <c r="S472" s="712"/>
      <c r="T472" s="712"/>
      <c r="U472" s="712"/>
      <c r="V472" s="712"/>
      <c r="W472" s="712"/>
      <c r="X472" s="712"/>
      <c r="Y472" s="712"/>
      <c r="Z472" s="712"/>
      <c r="AA472" s="712"/>
      <c r="AB472" s="712"/>
      <c r="AC472" s="712"/>
      <c r="AD472" s="712"/>
      <c r="AE472" s="712"/>
      <c r="AF472" s="712"/>
      <c r="AG472" s="712"/>
      <c r="AH472" s="712"/>
      <c r="AI472" s="712"/>
      <c r="AJ472" s="712"/>
      <c r="AK472" s="712"/>
      <c r="AL472" s="712"/>
      <c r="AM472" s="712"/>
      <c r="AN472" s="712"/>
      <c r="AO472" s="712"/>
    </row>
    <row r="473">
      <c r="G473" s="712"/>
      <c r="H473" s="712"/>
      <c r="I473" s="712"/>
      <c r="J473" s="712"/>
      <c r="K473" s="712"/>
      <c r="L473" s="712"/>
      <c r="M473" s="712"/>
      <c r="N473" s="712"/>
      <c r="O473" s="712"/>
      <c r="P473" s="712"/>
      <c r="Q473" s="712"/>
      <c r="R473" s="712"/>
      <c r="S473" s="712"/>
      <c r="T473" s="712"/>
      <c r="U473" s="712"/>
      <c r="V473" s="712"/>
      <c r="W473" s="712"/>
      <c r="X473" s="712"/>
      <c r="Y473" s="712"/>
      <c r="Z473" s="712"/>
      <c r="AA473" s="712"/>
      <c r="AB473" s="712"/>
      <c r="AC473" s="712"/>
      <c r="AD473" s="712"/>
      <c r="AE473" s="712"/>
      <c r="AF473" s="712"/>
      <c r="AG473" s="712"/>
      <c r="AH473" s="712"/>
      <c r="AI473" s="712"/>
      <c r="AJ473" s="712"/>
      <c r="AK473" s="712"/>
      <c r="AL473" s="712"/>
      <c r="AM473" s="712"/>
      <c r="AN473" s="712"/>
      <c r="AO473" s="712"/>
    </row>
    <row r="474">
      <c r="G474" s="712"/>
      <c r="H474" s="712"/>
      <c r="I474" s="712"/>
      <c r="J474" s="712"/>
      <c r="K474" s="712"/>
      <c r="L474" s="712"/>
      <c r="M474" s="712"/>
      <c r="N474" s="712"/>
      <c r="O474" s="712"/>
      <c r="P474" s="712"/>
      <c r="Q474" s="712"/>
      <c r="R474" s="712"/>
      <c r="S474" s="712"/>
      <c r="T474" s="712"/>
      <c r="U474" s="712"/>
      <c r="V474" s="712"/>
      <c r="W474" s="712"/>
      <c r="X474" s="712"/>
      <c r="Y474" s="712"/>
      <c r="Z474" s="712"/>
      <c r="AA474" s="712"/>
      <c r="AB474" s="712"/>
      <c r="AC474" s="712"/>
      <c r="AD474" s="712"/>
      <c r="AE474" s="712"/>
      <c r="AF474" s="712"/>
      <c r="AG474" s="712"/>
      <c r="AH474" s="712"/>
      <c r="AI474" s="712"/>
      <c r="AJ474" s="712"/>
      <c r="AK474" s="712"/>
      <c r="AL474" s="712"/>
      <c r="AM474" s="712"/>
      <c r="AN474" s="712"/>
      <c r="AO474" s="712"/>
    </row>
    <row r="475">
      <c r="G475" s="712"/>
      <c r="H475" s="712"/>
      <c r="I475" s="712"/>
      <c r="J475" s="712"/>
      <c r="K475" s="712"/>
      <c r="L475" s="712"/>
      <c r="M475" s="712"/>
      <c r="N475" s="712"/>
      <c r="O475" s="712"/>
      <c r="P475" s="712"/>
      <c r="Q475" s="712"/>
      <c r="R475" s="712"/>
      <c r="S475" s="712"/>
      <c r="T475" s="712"/>
      <c r="U475" s="712"/>
      <c r="V475" s="712"/>
      <c r="W475" s="712"/>
      <c r="X475" s="712"/>
      <c r="Y475" s="712"/>
      <c r="Z475" s="712"/>
      <c r="AA475" s="712"/>
      <c r="AB475" s="712"/>
      <c r="AC475" s="712"/>
      <c r="AD475" s="712"/>
      <c r="AE475" s="712"/>
      <c r="AF475" s="712"/>
      <c r="AG475" s="712"/>
      <c r="AH475" s="712"/>
      <c r="AI475" s="712"/>
      <c r="AJ475" s="712"/>
      <c r="AK475" s="712"/>
      <c r="AL475" s="712"/>
      <c r="AM475" s="712"/>
      <c r="AN475" s="712"/>
      <c r="AO475" s="712"/>
    </row>
    <row r="476">
      <c r="G476" s="712"/>
      <c r="H476" s="712"/>
      <c r="I476" s="712"/>
      <c r="J476" s="712"/>
      <c r="K476" s="712"/>
      <c r="L476" s="712"/>
      <c r="M476" s="712"/>
      <c r="N476" s="712"/>
      <c r="O476" s="712"/>
      <c r="P476" s="712"/>
      <c r="Q476" s="712"/>
      <c r="R476" s="712"/>
      <c r="S476" s="712"/>
      <c r="T476" s="712"/>
      <c r="U476" s="712"/>
      <c r="V476" s="712"/>
      <c r="W476" s="712"/>
      <c r="X476" s="712"/>
      <c r="Y476" s="712"/>
      <c r="Z476" s="712"/>
      <c r="AA476" s="712"/>
      <c r="AB476" s="712"/>
      <c r="AC476" s="712"/>
      <c r="AD476" s="712"/>
      <c r="AE476" s="712"/>
      <c r="AF476" s="712"/>
      <c r="AG476" s="712"/>
      <c r="AH476" s="712"/>
      <c r="AI476" s="712"/>
      <c r="AJ476" s="712"/>
      <c r="AK476" s="712"/>
      <c r="AL476" s="712"/>
      <c r="AM476" s="712"/>
      <c r="AN476" s="712"/>
      <c r="AO476" s="712"/>
    </row>
    <row r="477">
      <c r="G477" s="712"/>
      <c r="H477" s="712"/>
      <c r="I477" s="712"/>
      <c r="J477" s="712"/>
      <c r="K477" s="712"/>
      <c r="L477" s="712"/>
      <c r="M477" s="712"/>
      <c r="N477" s="712"/>
      <c r="O477" s="712"/>
      <c r="P477" s="712"/>
      <c r="Q477" s="712"/>
      <c r="R477" s="712"/>
      <c r="S477" s="712"/>
      <c r="T477" s="712"/>
      <c r="U477" s="712"/>
      <c r="V477" s="712"/>
      <c r="W477" s="712"/>
      <c r="X477" s="712"/>
      <c r="Y477" s="712"/>
      <c r="Z477" s="712"/>
      <c r="AA477" s="712"/>
      <c r="AB477" s="712"/>
      <c r="AC477" s="712"/>
      <c r="AD477" s="712"/>
      <c r="AE477" s="712"/>
      <c r="AF477" s="712"/>
      <c r="AG477" s="712"/>
      <c r="AH477" s="712"/>
      <c r="AI477" s="712"/>
      <c r="AJ477" s="712"/>
      <c r="AK477" s="712"/>
      <c r="AL477" s="712"/>
      <c r="AM477" s="712"/>
      <c r="AN477" s="712"/>
      <c r="AO477" s="712"/>
    </row>
    <row r="478">
      <c r="G478" s="712"/>
      <c r="H478" s="712"/>
      <c r="I478" s="712"/>
      <c r="J478" s="712"/>
      <c r="K478" s="712"/>
      <c r="L478" s="712"/>
      <c r="M478" s="712"/>
      <c r="N478" s="712"/>
      <c r="O478" s="712"/>
      <c r="P478" s="712"/>
      <c r="Q478" s="712"/>
      <c r="R478" s="712"/>
      <c r="S478" s="712"/>
      <c r="T478" s="712"/>
      <c r="U478" s="712"/>
      <c r="V478" s="712"/>
      <c r="W478" s="712"/>
      <c r="X478" s="712"/>
      <c r="Y478" s="712"/>
      <c r="Z478" s="712"/>
      <c r="AA478" s="712"/>
      <c r="AB478" s="712"/>
      <c r="AC478" s="712"/>
      <c r="AD478" s="712"/>
      <c r="AE478" s="712"/>
      <c r="AF478" s="712"/>
      <c r="AG478" s="712"/>
      <c r="AH478" s="712"/>
      <c r="AI478" s="712"/>
      <c r="AJ478" s="712"/>
      <c r="AK478" s="712"/>
      <c r="AL478" s="712"/>
      <c r="AM478" s="712"/>
      <c r="AN478" s="712"/>
      <c r="AO478" s="712"/>
    </row>
    <row r="479">
      <c r="G479" s="712"/>
      <c r="H479" s="712"/>
      <c r="I479" s="712"/>
      <c r="J479" s="712"/>
      <c r="K479" s="712"/>
      <c r="L479" s="712"/>
      <c r="M479" s="712"/>
      <c r="N479" s="712"/>
      <c r="O479" s="712"/>
      <c r="P479" s="712"/>
      <c r="Q479" s="712"/>
      <c r="R479" s="712"/>
      <c r="S479" s="712"/>
      <c r="T479" s="712"/>
      <c r="U479" s="712"/>
      <c r="V479" s="712"/>
      <c r="W479" s="712"/>
      <c r="X479" s="712"/>
      <c r="Y479" s="712"/>
      <c r="Z479" s="712"/>
      <c r="AA479" s="712"/>
      <c r="AB479" s="712"/>
      <c r="AC479" s="712"/>
      <c r="AD479" s="712"/>
      <c r="AE479" s="712"/>
      <c r="AF479" s="712"/>
      <c r="AG479" s="712"/>
      <c r="AH479" s="712"/>
      <c r="AI479" s="712"/>
      <c r="AJ479" s="712"/>
      <c r="AK479" s="712"/>
      <c r="AL479" s="712"/>
      <c r="AM479" s="712"/>
      <c r="AN479" s="712"/>
      <c r="AO479" s="712"/>
    </row>
    <row r="480">
      <c r="G480" s="712"/>
      <c r="H480" s="712"/>
      <c r="I480" s="712"/>
      <c r="J480" s="712"/>
      <c r="K480" s="712"/>
      <c r="L480" s="712"/>
      <c r="M480" s="712"/>
      <c r="N480" s="712"/>
      <c r="O480" s="712"/>
      <c r="P480" s="712"/>
      <c r="Q480" s="712"/>
      <c r="R480" s="712"/>
      <c r="S480" s="712"/>
      <c r="T480" s="712"/>
      <c r="U480" s="712"/>
      <c r="V480" s="712"/>
      <c r="W480" s="712"/>
      <c r="X480" s="712"/>
      <c r="Y480" s="712"/>
      <c r="Z480" s="712"/>
      <c r="AA480" s="712"/>
      <c r="AB480" s="712"/>
      <c r="AC480" s="712"/>
      <c r="AD480" s="712"/>
      <c r="AE480" s="712"/>
      <c r="AF480" s="712"/>
      <c r="AG480" s="712"/>
      <c r="AH480" s="712"/>
      <c r="AI480" s="712"/>
      <c r="AJ480" s="712"/>
      <c r="AK480" s="712"/>
      <c r="AL480" s="712"/>
      <c r="AM480" s="712"/>
      <c r="AN480" s="712"/>
      <c r="AO480" s="712"/>
    </row>
    <row r="481">
      <c r="G481" s="712"/>
      <c r="H481" s="712"/>
      <c r="I481" s="712"/>
      <c r="J481" s="712"/>
      <c r="K481" s="712"/>
      <c r="L481" s="712"/>
      <c r="M481" s="712"/>
      <c r="N481" s="712"/>
      <c r="O481" s="712"/>
      <c r="P481" s="712"/>
      <c r="Q481" s="712"/>
      <c r="R481" s="712"/>
      <c r="S481" s="712"/>
      <c r="T481" s="712"/>
      <c r="U481" s="712"/>
      <c r="V481" s="712"/>
      <c r="W481" s="712"/>
      <c r="X481" s="712"/>
      <c r="Y481" s="712"/>
      <c r="Z481" s="712"/>
      <c r="AA481" s="712"/>
      <c r="AB481" s="712"/>
      <c r="AC481" s="712"/>
      <c r="AD481" s="712"/>
      <c r="AE481" s="712"/>
      <c r="AF481" s="712"/>
      <c r="AG481" s="712"/>
      <c r="AH481" s="712"/>
      <c r="AI481" s="712"/>
      <c r="AJ481" s="712"/>
      <c r="AK481" s="712"/>
      <c r="AL481" s="712"/>
      <c r="AM481" s="712"/>
      <c r="AN481" s="712"/>
      <c r="AO481" s="712"/>
    </row>
    <row r="482">
      <c r="G482" s="712"/>
      <c r="H482" s="712"/>
      <c r="I482" s="712"/>
      <c r="J482" s="712"/>
      <c r="K482" s="712"/>
      <c r="L482" s="712"/>
      <c r="M482" s="712"/>
      <c r="N482" s="712"/>
      <c r="O482" s="712"/>
      <c r="P482" s="712"/>
      <c r="Q482" s="712"/>
      <c r="R482" s="712"/>
      <c r="S482" s="712"/>
      <c r="T482" s="712"/>
      <c r="U482" s="712"/>
      <c r="V482" s="712"/>
      <c r="W482" s="712"/>
      <c r="X482" s="712"/>
      <c r="Y482" s="712"/>
      <c r="Z482" s="712"/>
      <c r="AA482" s="712"/>
      <c r="AB482" s="712"/>
      <c r="AC482" s="712"/>
      <c r="AD482" s="712"/>
      <c r="AE482" s="712"/>
      <c r="AF482" s="712"/>
      <c r="AG482" s="712"/>
      <c r="AH482" s="712"/>
      <c r="AI482" s="712"/>
      <c r="AJ482" s="712"/>
      <c r="AK482" s="712"/>
      <c r="AL482" s="712"/>
      <c r="AM482" s="712"/>
      <c r="AN482" s="712"/>
      <c r="AO482" s="712"/>
    </row>
    <row r="483">
      <c r="G483" s="712"/>
      <c r="H483" s="712"/>
      <c r="I483" s="712"/>
      <c r="J483" s="712"/>
      <c r="K483" s="712"/>
      <c r="L483" s="712"/>
      <c r="M483" s="712"/>
      <c r="N483" s="712"/>
      <c r="O483" s="712"/>
      <c r="P483" s="712"/>
      <c r="Q483" s="712"/>
      <c r="R483" s="712"/>
      <c r="S483" s="712"/>
      <c r="T483" s="712"/>
      <c r="U483" s="712"/>
      <c r="V483" s="712"/>
      <c r="W483" s="712"/>
      <c r="X483" s="712"/>
      <c r="Y483" s="712"/>
      <c r="Z483" s="712"/>
      <c r="AA483" s="712"/>
      <c r="AB483" s="712"/>
      <c r="AC483" s="712"/>
      <c r="AD483" s="712"/>
      <c r="AE483" s="712"/>
      <c r="AF483" s="712"/>
      <c r="AG483" s="712"/>
      <c r="AH483" s="712"/>
      <c r="AI483" s="712"/>
      <c r="AJ483" s="712"/>
      <c r="AK483" s="712"/>
      <c r="AL483" s="712"/>
      <c r="AM483" s="712"/>
      <c r="AN483" s="712"/>
      <c r="AO483" s="712"/>
    </row>
    <row r="484">
      <c r="G484" s="712"/>
      <c r="H484" s="712"/>
      <c r="I484" s="712"/>
      <c r="J484" s="712"/>
      <c r="K484" s="712"/>
      <c r="L484" s="712"/>
      <c r="M484" s="712"/>
      <c r="N484" s="712"/>
      <c r="O484" s="712"/>
      <c r="P484" s="712"/>
      <c r="Q484" s="712"/>
      <c r="R484" s="712"/>
      <c r="S484" s="712"/>
      <c r="T484" s="712"/>
      <c r="U484" s="712"/>
      <c r="V484" s="712"/>
      <c r="W484" s="712"/>
      <c r="X484" s="712"/>
      <c r="Y484" s="712"/>
      <c r="Z484" s="712"/>
      <c r="AA484" s="712"/>
      <c r="AB484" s="712"/>
      <c r="AC484" s="712"/>
      <c r="AD484" s="712"/>
      <c r="AE484" s="712"/>
      <c r="AF484" s="712"/>
      <c r="AG484" s="712"/>
      <c r="AH484" s="712"/>
      <c r="AI484" s="712"/>
      <c r="AJ484" s="712"/>
      <c r="AK484" s="712"/>
      <c r="AL484" s="712"/>
      <c r="AM484" s="712"/>
      <c r="AN484" s="712"/>
      <c r="AO484" s="712"/>
    </row>
    <row r="485">
      <c r="G485" s="712"/>
      <c r="H485" s="712"/>
      <c r="I485" s="712"/>
      <c r="J485" s="712"/>
      <c r="K485" s="712"/>
      <c r="L485" s="712"/>
      <c r="M485" s="712"/>
      <c r="N485" s="712"/>
      <c r="O485" s="712"/>
      <c r="P485" s="712"/>
      <c r="Q485" s="712"/>
      <c r="R485" s="712"/>
      <c r="S485" s="712"/>
      <c r="T485" s="712"/>
      <c r="U485" s="712"/>
      <c r="V485" s="712"/>
      <c r="W485" s="712"/>
      <c r="X485" s="712"/>
      <c r="Y485" s="712"/>
      <c r="Z485" s="712"/>
      <c r="AA485" s="712"/>
      <c r="AB485" s="712"/>
      <c r="AC485" s="712"/>
      <c r="AD485" s="712"/>
      <c r="AE485" s="712"/>
      <c r="AF485" s="712"/>
      <c r="AG485" s="712"/>
      <c r="AH485" s="712"/>
      <c r="AI485" s="712"/>
      <c r="AJ485" s="712"/>
      <c r="AK485" s="712"/>
      <c r="AL485" s="712"/>
      <c r="AM485" s="712"/>
      <c r="AN485" s="712"/>
      <c r="AO485" s="712"/>
    </row>
    <row r="486">
      <c r="G486" s="712"/>
      <c r="H486" s="712"/>
      <c r="I486" s="712"/>
      <c r="J486" s="712"/>
      <c r="K486" s="712"/>
      <c r="L486" s="712"/>
      <c r="M486" s="712"/>
      <c r="N486" s="712"/>
      <c r="O486" s="712"/>
      <c r="P486" s="712"/>
      <c r="Q486" s="712"/>
      <c r="R486" s="712"/>
      <c r="S486" s="712"/>
      <c r="T486" s="712"/>
      <c r="U486" s="712"/>
      <c r="V486" s="712"/>
      <c r="W486" s="712"/>
      <c r="X486" s="712"/>
      <c r="Y486" s="712"/>
      <c r="Z486" s="712"/>
      <c r="AA486" s="712"/>
      <c r="AB486" s="712"/>
      <c r="AC486" s="712"/>
      <c r="AD486" s="712"/>
      <c r="AE486" s="712"/>
      <c r="AF486" s="712"/>
      <c r="AG486" s="712"/>
      <c r="AH486" s="712"/>
      <c r="AI486" s="712"/>
      <c r="AJ486" s="712"/>
      <c r="AK486" s="712"/>
      <c r="AL486" s="712"/>
      <c r="AM486" s="712"/>
      <c r="AN486" s="712"/>
      <c r="AO486" s="712"/>
    </row>
    <row r="487">
      <c r="G487" s="712"/>
      <c r="H487" s="712"/>
      <c r="I487" s="712"/>
      <c r="J487" s="712"/>
      <c r="K487" s="712"/>
      <c r="L487" s="712"/>
      <c r="M487" s="712"/>
      <c r="N487" s="712"/>
      <c r="O487" s="712"/>
      <c r="P487" s="712"/>
      <c r="Q487" s="712"/>
      <c r="R487" s="712"/>
      <c r="S487" s="712"/>
      <c r="T487" s="712"/>
      <c r="U487" s="712"/>
      <c r="V487" s="712"/>
      <c r="W487" s="712"/>
      <c r="X487" s="712"/>
      <c r="Y487" s="712"/>
      <c r="Z487" s="712"/>
      <c r="AA487" s="712"/>
      <c r="AB487" s="712"/>
      <c r="AC487" s="712"/>
      <c r="AD487" s="712"/>
      <c r="AE487" s="712"/>
      <c r="AF487" s="712"/>
      <c r="AG487" s="712"/>
      <c r="AH487" s="712"/>
      <c r="AI487" s="712"/>
      <c r="AJ487" s="712"/>
      <c r="AK487" s="712"/>
      <c r="AL487" s="712"/>
      <c r="AM487" s="712"/>
      <c r="AN487" s="712"/>
      <c r="AO487" s="712"/>
    </row>
    <row r="488">
      <c r="G488" s="712"/>
      <c r="H488" s="712"/>
      <c r="I488" s="712"/>
      <c r="J488" s="712"/>
      <c r="K488" s="712"/>
      <c r="L488" s="712"/>
      <c r="M488" s="712"/>
      <c r="N488" s="712"/>
      <c r="O488" s="712"/>
      <c r="P488" s="712"/>
      <c r="Q488" s="712"/>
      <c r="R488" s="712"/>
      <c r="S488" s="712"/>
      <c r="T488" s="712"/>
      <c r="U488" s="712"/>
      <c r="V488" s="712"/>
      <c r="W488" s="712"/>
      <c r="X488" s="712"/>
      <c r="Y488" s="712"/>
      <c r="Z488" s="712"/>
      <c r="AA488" s="712"/>
      <c r="AB488" s="712"/>
      <c r="AC488" s="712"/>
      <c r="AD488" s="712"/>
      <c r="AE488" s="712"/>
      <c r="AF488" s="712"/>
      <c r="AG488" s="712"/>
      <c r="AH488" s="712"/>
      <c r="AI488" s="712"/>
      <c r="AJ488" s="712"/>
      <c r="AK488" s="712"/>
      <c r="AL488" s="712"/>
      <c r="AM488" s="712"/>
      <c r="AN488" s="712"/>
      <c r="AO488" s="712"/>
    </row>
    <row r="489">
      <c r="G489" s="712"/>
      <c r="H489" s="712"/>
      <c r="I489" s="712"/>
      <c r="J489" s="712"/>
      <c r="K489" s="712"/>
      <c r="L489" s="712"/>
      <c r="M489" s="712"/>
      <c r="N489" s="712"/>
      <c r="O489" s="712"/>
      <c r="P489" s="712"/>
      <c r="Q489" s="712"/>
      <c r="R489" s="712"/>
      <c r="S489" s="712"/>
      <c r="T489" s="712"/>
      <c r="U489" s="712"/>
      <c r="V489" s="712"/>
      <c r="W489" s="712"/>
      <c r="X489" s="712"/>
      <c r="Y489" s="712"/>
      <c r="Z489" s="712"/>
      <c r="AA489" s="712"/>
      <c r="AB489" s="712"/>
      <c r="AC489" s="712"/>
      <c r="AD489" s="712"/>
      <c r="AE489" s="712"/>
      <c r="AF489" s="712"/>
      <c r="AG489" s="712"/>
      <c r="AH489" s="712"/>
      <c r="AI489" s="712"/>
      <c r="AJ489" s="712"/>
      <c r="AK489" s="712"/>
      <c r="AL489" s="712"/>
      <c r="AM489" s="712"/>
      <c r="AN489" s="712"/>
      <c r="AO489" s="712"/>
    </row>
    <row r="490">
      <c r="G490" s="712"/>
      <c r="H490" s="712"/>
      <c r="I490" s="712"/>
      <c r="J490" s="712"/>
      <c r="K490" s="712"/>
      <c r="L490" s="712"/>
      <c r="M490" s="712"/>
      <c r="N490" s="712"/>
      <c r="O490" s="712"/>
      <c r="P490" s="712"/>
      <c r="Q490" s="712"/>
      <c r="R490" s="712"/>
      <c r="S490" s="712"/>
      <c r="T490" s="712"/>
      <c r="U490" s="712"/>
      <c r="V490" s="712"/>
      <c r="W490" s="712"/>
      <c r="X490" s="712"/>
      <c r="Y490" s="712"/>
      <c r="Z490" s="712"/>
      <c r="AA490" s="712"/>
      <c r="AB490" s="712"/>
      <c r="AC490" s="712"/>
      <c r="AD490" s="712"/>
      <c r="AE490" s="712"/>
      <c r="AF490" s="712"/>
      <c r="AG490" s="712"/>
      <c r="AH490" s="712"/>
      <c r="AI490" s="712"/>
      <c r="AJ490" s="712"/>
      <c r="AK490" s="712"/>
      <c r="AL490" s="712"/>
      <c r="AM490" s="712"/>
      <c r="AN490" s="712"/>
      <c r="AO490" s="712"/>
    </row>
    <row r="491">
      <c r="G491" s="712"/>
      <c r="H491" s="712"/>
      <c r="I491" s="712"/>
      <c r="J491" s="712"/>
      <c r="K491" s="712"/>
      <c r="L491" s="712"/>
      <c r="M491" s="712"/>
      <c r="N491" s="712"/>
      <c r="O491" s="712"/>
      <c r="P491" s="712"/>
      <c r="Q491" s="712"/>
      <c r="R491" s="712"/>
      <c r="S491" s="712"/>
      <c r="T491" s="712"/>
      <c r="U491" s="712"/>
      <c r="V491" s="712"/>
      <c r="W491" s="712"/>
      <c r="X491" s="712"/>
      <c r="Y491" s="712"/>
      <c r="Z491" s="712"/>
      <c r="AA491" s="712"/>
      <c r="AB491" s="712"/>
      <c r="AC491" s="712"/>
      <c r="AD491" s="712"/>
      <c r="AE491" s="712"/>
      <c r="AF491" s="712"/>
      <c r="AG491" s="712"/>
      <c r="AH491" s="712"/>
      <c r="AI491" s="712"/>
      <c r="AJ491" s="712"/>
      <c r="AK491" s="712"/>
      <c r="AL491" s="712"/>
      <c r="AM491" s="712"/>
      <c r="AN491" s="712"/>
      <c r="AO491" s="712"/>
    </row>
    <row r="492">
      <c r="G492" s="712"/>
      <c r="H492" s="712"/>
      <c r="I492" s="712"/>
      <c r="J492" s="712"/>
      <c r="K492" s="712"/>
      <c r="L492" s="712"/>
      <c r="M492" s="712"/>
      <c r="N492" s="712"/>
      <c r="O492" s="712"/>
      <c r="P492" s="712"/>
      <c r="Q492" s="712"/>
      <c r="R492" s="712"/>
      <c r="S492" s="712"/>
      <c r="T492" s="712"/>
      <c r="U492" s="712"/>
      <c r="V492" s="712"/>
      <c r="W492" s="712"/>
      <c r="X492" s="712"/>
      <c r="Y492" s="712"/>
      <c r="Z492" s="712"/>
      <c r="AA492" s="712"/>
      <c r="AB492" s="712"/>
      <c r="AC492" s="712"/>
      <c r="AD492" s="712"/>
      <c r="AE492" s="712"/>
      <c r="AF492" s="712"/>
      <c r="AG492" s="712"/>
      <c r="AH492" s="712"/>
      <c r="AI492" s="712"/>
      <c r="AJ492" s="712"/>
      <c r="AK492" s="712"/>
      <c r="AL492" s="712"/>
      <c r="AM492" s="712"/>
      <c r="AN492" s="712"/>
      <c r="AO492" s="712"/>
    </row>
    <row r="493">
      <c r="G493" s="712"/>
      <c r="H493" s="712"/>
      <c r="I493" s="712"/>
      <c r="J493" s="712"/>
      <c r="K493" s="712"/>
      <c r="L493" s="712"/>
      <c r="M493" s="712"/>
      <c r="N493" s="712"/>
      <c r="O493" s="712"/>
      <c r="P493" s="712"/>
      <c r="Q493" s="712"/>
      <c r="R493" s="712"/>
      <c r="S493" s="712"/>
      <c r="T493" s="712"/>
      <c r="U493" s="712"/>
      <c r="V493" s="712"/>
      <c r="W493" s="712"/>
      <c r="X493" s="712"/>
      <c r="Y493" s="712"/>
      <c r="Z493" s="712"/>
      <c r="AA493" s="712"/>
      <c r="AB493" s="712"/>
      <c r="AC493" s="712"/>
      <c r="AD493" s="712"/>
      <c r="AE493" s="712"/>
      <c r="AF493" s="712"/>
      <c r="AG493" s="712"/>
      <c r="AH493" s="712"/>
      <c r="AI493" s="712"/>
      <c r="AJ493" s="712"/>
      <c r="AK493" s="712"/>
      <c r="AL493" s="712"/>
      <c r="AM493" s="712"/>
      <c r="AN493" s="712"/>
      <c r="AO493" s="712"/>
    </row>
    <row r="494">
      <c r="G494" s="712"/>
      <c r="H494" s="712"/>
      <c r="I494" s="712"/>
      <c r="J494" s="712"/>
      <c r="K494" s="712"/>
      <c r="L494" s="712"/>
      <c r="M494" s="712"/>
      <c r="N494" s="712"/>
      <c r="O494" s="712"/>
      <c r="P494" s="712"/>
      <c r="Q494" s="712"/>
      <c r="R494" s="712"/>
      <c r="S494" s="712"/>
      <c r="T494" s="712"/>
      <c r="U494" s="712"/>
      <c r="V494" s="712"/>
      <c r="W494" s="712"/>
      <c r="X494" s="712"/>
      <c r="Y494" s="712"/>
      <c r="Z494" s="712"/>
      <c r="AA494" s="712"/>
      <c r="AB494" s="712"/>
      <c r="AC494" s="712"/>
      <c r="AD494" s="712"/>
      <c r="AE494" s="712"/>
      <c r="AF494" s="712"/>
      <c r="AG494" s="712"/>
      <c r="AH494" s="712"/>
      <c r="AI494" s="712"/>
      <c r="AJ494" s="712"/>
      <c r="AK494" s="712"/>
      <c r="AL494" s="712"/>
      <c r="AM494" s="712"/>
      <c r="AN494" s="712"/>
      <c r="AO494" s="712"/>
    </row>
    <row r="495">
      <c r="G495" s="712"/>
      <c r="H495" s="712"/>
      <c r="I495" s="712"/>
      <c r="J495" s="712"/>
      <c r="K495" s="712"/>
      <c r="L495" s="712"/>
      <c r="M495" s="712"/>
      <c r="N495" s="712"/>
      <c r="O495" s="712"/>
      <c r="P495" s="712"/>
      <c r="Q495" s="712"/>
      <c r="R495" s="712"/>
      <c r="S495" s="712"/>
      <c r="T495" s="712"/>
      <c r="U495" s="712"/>
      <c r="V495" s="712"/>
      <c r="W495" s="712"/>
      <c r="X495" s="712"/>
      <c r="Y495" s="712"/>
      <c r="Z495" s="712"/>
      <c r="AA495" s="712"/>
      <c r="AB495" s="712"/>
      <c r="AC495" s="712"/>
      <c r="AD495" s="712"/>
      <c r="AE495" s="712"/>
      <c r="AF495" s="712"/>
      <c r="AG495" s="712"/>
      <c r="AH495" s="712"/>
      <c r="AI495" s="712"/>
      <c r="AJ495" s="712"/>
      <c r="AK495" s="712"/>
      <c r="AL495" s="712"/>
      <c r="AM495" s="712"/>
      <c r="AN495" s="712"/>
      <c r="AO495" s="712"/>
    </row>
    <row r="496">
      <c r="G496" s="712"/>
      <c r="H496" s="712"/>
      <c r="I496" s="712"/>
      <c r="J496" s="712"/>
      <c r="K496" s="712"/>
      <c r="L496" s="712"/>
      <c r="M496" s="712"/>
      <c r="N496" s="712"/>
      <c r="O496" s="712"/>
      <c r="P496" s="712"/>
      <c r="Q496" s="712"/>
      <c r="R496" s="712"/>
      <c r="S496" s="712"/>
      <c r="T496" s="712"/>
      <c r="U496" s="712"/>
      <c r="V496" s="712"/>
      <c r="W496" s="712"/>
      <c r="X496" s="712"/>
      <c r="Y496" s="712"/>
      <c r="Z496" s="712"/>
      <c r="AA496" s="712"/>
      <c r="AB496" s="712"/>
      <c r="AC496" s="712"/>
      <c r="AD496" s="712"/>
      <c r="AE496" s="712"/>
      <c r="AF496" s="712"/>
      <c r="AG496" s="712"/>
      <c r="AH496" s="712"/>
      <c r="AI496" s="712"/>
      <c r="AJ496" s="712"/>
      <c r="AK496" s="712"/>
      <c r="AL496" s="712"/>
      <c r="AM496" s="712"/>
      <c r="AN496" s="712"/>
      <c r="AO496" s="712"/>
    </row>
    <row r="497">
      <c r="G497" s="712"/>
      <c r="H497" s="712"/>
      <c r="I497" s="712"/>
      <c r="J497" s="712"/>
      <c r="K497" s="712"/>
      <c r="L497" s="712"/>
      <c r="M497" s="712"/>
      <c r="N497" s="712"/>
      <c r="O497" s="712"/>
      <c r="P497" s="712"/>
      <c r="Q497" s="712"/>
      <c r="R497" s="712"/>
      <c r="S497" s="712"/>
      <c r="T497" s="712"/>
      <c r="U497" s="712"/>
      <c r="V497" s="712"/>
      <c r="W497" s="712"/>
      <c r="X497" s="712"/>
      <c r="Y497" s="712"/>
      <c r="Z497" s="712"/>
      <c r="AA497" s="712"/>
      <c r="AB497" s="712"/>
      <c r="AC497" s="712"/>
      <c r="AD497" s="712"/>
      <c r="AE497" s="712"/>
      <c r="AF497" s="712"/>
      <c r="AG497" s="712"/>
      <c r="AH497" s="712"/>
      <c r="AI497" s="712"/>
      <c r="AJ497" s="712"/>
      <c r="AK497" s="712"/>
      <c r="AL497" s="712"/>
      <c r="AM497" s="712"/>
      <c r="AN497" s="712"/>
      <c r="AO497" s="712"/>
    </row>
    <row r="498">
      <c r="G498" s="712"/>
      <c r="H498" s="712"/>
      <c r="I498" s="712"/>
      <c r="J498" s="712"/>
      <c r="K498" s="712"/>
      <c r="L498" s="712"/>
      <c r="M498" s="712"/>
      <c r="N498" s="712"/>
      <c r="O498" s="712"/>
      <c r="P498" s="712"/>
      <c r="Q498" s="712"/>
      <c r="R498" s="712"/>
      <c r="S498" s="712"/>
      <c r="T498" s="712"/>
      <c r="U498" s="712"/>
      <c r="V498" s="712"/>
      <c r="W498" s="712"/>
      <c r="X498" s="712"/>
      <c r="Y498" s="712"/>
      <c r="Z498" s="712"/>
      <c r="AA498" s="712"/>
      <c r="AB498" s="712"/>
      <c r="AC498" s="712"/>
      <c r="AD498" s="712"/>
      <c r="AE498" s="712"/>
      <c r="AF498" s="712"/>
      <c r="AG498" s="712"/>
      <c r="AH498" s="712"/>
      <c r="AI498" s="712"/>
      <c r="AJ498" s="712"/>
      <c r="AK498" s="712"/>
      <c r="AL498" s="712"/>
      <c r="AM498" s="712"/>
      <c r="AN498" s="712"/>
      <c r="AO498" s="712"/>
    </row>
    <row r="499">
      <c r="G499" s="712"/>
      <c r="H499" s="712"/>
      <c r="I499" s="712"/>
      <c r="J499" s="712"/>
      <c r="K499" s="712"/>
      <c r="L499" s="712"/>
      <c r="M499" s="712"/>
      <c r="N499" s="712"/>
      <c r="O499" s="712"/>
      <c r="P499" s="712"/>
      <c r="Q499" s="712"/>
      <c r="R499" s="712"/>
      <c r="S499" s="712"/>
      <c r="T499" s="712"/>
      <c r="U499" s="712"/>
      <c r="V499" s="712"/>
      <c r="W499" s="712"/>
      <c r="X499" s="712"/>
      <c r="Y499" s="712"/>
      <c r="Z499" s="712"/>
      <c r="AA499" s="712"/>
      <c r="AB499" s="712"/>
      <c r="AC499" s="712"/>
      <c r="AD499" s="712"/>
      <c r="AE499" s="712"/>
      <c r="AF499" s="712"/>
      <c r="AG499" s="712"/>
      <c r="AH499" s="712"/>
      <c r="AI499" s="712"/>
      <c r="AJ499" s="712"/>
      <c r="AK499" s="712"/>
      <c r="AL499" s="712"/>
      <c r="AM499" s="712"/>
      <c r="AN499" s="712"/>
      <c r="AO499" s="712"/>
    </row>
    <row r="500">
      <c r="G500" s="712"/>
      <c r="H500" s="712"/>
      <c r="I500" s="712"/>
      <c r="J500" s="712"/>
      <c r="K500" s="712"/>
      <c r="L500" s="712"/>
      <c r="M500" s="712"/>
      <c r="N500" s="712"/>
      <c r="O500" s="712"/>
      <c r="P500" s="712"/>
      <c r="Q500" s="712"/>
      <c r="R500" s="712"/>
      <c r="S500" s="712"/>
      <c r="T500" s="712"/>
      <c r="U500" s="712"/>
      <c r="V500" s="712"/>
      <c r="W500" s="712"/>
      <c r="X500" s="712"/>
      <c r="Y500" s="712"/>
      <c r="Z500" s="712"/>
      <c r="AA500" s="712"/>
      <c r="AB500" s="712"/>
      <c r="AC500" s="712"/>
      <c r="AD500" s="712"/>
      <c r="AE500" s="712"/>
      <c r="AF500" s="712"/>
      <c r="AG500" s="712"/>
      <c r="AH500" s="712"/>
      <c r="AI500" s="712"/>
      <c r="AJ500" s="712"/>
      <c r="AK500" s="712"/>
      <c r="AL500" s="712"/>
      <c r="AM500" s="712"/>
      <c r="AN500" s="712"/>
      <c r="AO500" s="712"/>
    </row>
    <row r="501">
      <c r="G501" s="712"/>
      <c r="H501" s="712"/>
      <c r="I501" s="712"/>
      <c r="J501" s="712"/>
      <c r="K501" s="712"/>
      <c r="L501" s="712"/>
      <c r="M501" s="712"/>
      <c r="N501" s="712"/>
      <c r="O501" s="712"/>
      <c r="P501" s="712"/>
      <c r="Q501" s="712"/>
      <c r="R501" s="712"/>
      <c r="S501" s="712"/>
      <c r="T501" s="712"/>
      <c r="U501" s="712"/>
      <c r="V501" s="712"/>
      <c r="W501" s="712"/>
      <c r="X501" s="712"/>
      <c r="Y501" s="712"/>
      <c r="Z501" s="712"/>
      <c r="AA501" s="712"/>
      <c r="AB501" s="712"/>
      <c r="AC501" s="712"/>
      <c r="AD501" s="712"/>
      <c r="AE501" s="712"/>
      <c r="AF501" s="712"/>
      <c r="AG501" s="712"/>
      <c r="AH501" s="712"/>
      <c r="AI501" s="712"/>
      <c r="AJ501" s="712"/>
      <c r="AK501" s="712"/>
      <c r="AL501" s="712"/>
      <c r="AM501" s="712"/>
      <c r="AN501" s="712"/>
      <c r="AO501" s="712"/>
    </row>
    <row r="502">
      <c r="G502" s="712"/>
      <c r="H502" s="712"/>
      <c r="I502" s="712"/>
      <c r="J502" s="712"/>
      <c r="K502" s="712"/>
      <c r="L502" s="712"/>
      <c r="M502" s="712"/>
      <c r="N502" s="712"/>
      <c r="O502" s="712"/>
      <c r="P502" s="712"/>
      <c r="Q502" s="712"/>
      <c r="R502" s="712"/>
      <c r="S502" s="712"/>
      <c r="T502" s="712"/>
      <c r="U502" s="712"/>
      <c r="V502" s="712"/>
      <c r="W502" s="712"/>
      <c r="X502" s="712"/>
      <c r="Y502" s="712"/>
      <c r="Z502" s="712"/>
      <c r="AA502" s="712"/>
      <c r="AB502" s="712"/>
      <c r="AC502" s="712"/>
      <c r="AD502" s="712"/>
      <c r="AE502" s="712"/>
      <c r="AF502" s="712"/>
      <c r="AG502" s="712"/>
      <c r="AH502" s="712"/>
      <c r="AI502" s="712"/>
      <c r="AJ502" s="712"/>
      <c r="AK502" s="712"/>
      <c r="AL502" s="712"/>
      <c r="AM502" s="712"/>
      <c r="AN502" s="712"/>
      <c r="AO502" s="712"/>
    </row>
    <row r="503">
      <c r="G503" s="712"/>
      <c r="H503" s="712"/>
      <c r="I503" s="712"/>
      <c r="J503" s="712"/>
      <c r="K503" s="712"/>
      <c r="L503" s="712"/>
      <c r="M503" s="712"/>
      <c r="N503" s="712"/>
      <c r="O503" s="712"/>
      <c r="P503" s="712"/>
      <c r="Q503" s="712"/>
      <c r="R503" s="712"/>
      <c r="S503" s="712"/>
      <c r="T503" s="712"/>
      <c r="U503" s="712"/>
      <c r="V503" s="712"/>
      <c r="W503" s="712"/>
      <c r="X503" s="712"/>
      <c r="Y503" s="712"/>
      <c r="Z503" s="712"/>
      <c r="AA503" s="712"/>
      <c r="AB503" s="712"/>
      <c r="AC503" s="712"/>
      <c r="AD503" s="712"/>
      <c r="AE503" s="712"/>
      <c r="AF503" s="712"/>
      <c r="AG503" s="712"/>
      <c r="AH503" s="712"/>
      <c r="AI503" s="712"/>
      <c r="AJ503" s="712"/>
      <c r="AK503" s="712"/>
      <c r="AL503" s="712"/>
      <c r="AM503" s="712"/>
      <c r="AN503" s="712"/>
      <c r="AO503" s="712"/>
    </row>
    <row r="504">
      <c r="G504" s="712"/>
      <c r="H504" s="712"/>
      <c r="I504" s="712"/>
      <c r="J504" s="712"/>
      <c r="K504" s="712"/>
      <c r="L504" s="712"/>
      <c r="M504" s="712"/>
      <c r="N504" s="712"/>
      <c r="O504" s="712"/>
      <c r="P504" s="712"/>
      <c r="Q504" s="712"/>
      <c r="R504" s="712"/>
      <c r="S504" s="712"/>
      <c r="T504" s="712"/>
      <c r="U504" s="712"/>
      <c r="V504" s="712"/>
      <c r="W504" s="712"/>
      <c r="X504" s="712"/>
      <c r="Y504" s="712"/>
      <c r="Z504" s="712"/>
      <c r="AA504" s="712"/>
      <c r="AB504" s="712"/>
      <c r="AC504" s="712"/>
      <c r="AD504" s="712"/>
      <c r="AE504" s="712"/>
      <c r="AF504" s="712"/>
      <c r="AG504" s="712"/>
      <c r="AH504" s="712"/>
      <c r="AI504" s="712"/>
      <c r="AJ504" s="712"/>
      <c r="AK504" s="712"/>
      <c r="AL504" s="712"/>
      <c r="AM504" s="712"/>
      <c r="AN504" s="712"/>
      <c r="AO504" s="712"/>
    </row>
    <row r="505">
      <c r="G505" s="712"/>
      <c r="H505" s="712"/>
      <c r="I505" s="712"/>
      <c r="J505" s="712"/>
      <c r="K505" s="712"/>
      <c r="L505" s="712"/>
      <c r="M505" s="712"/>
      <c r="N505" s="712"/>
      <c r="O505" s="712"/>
      <c r="P505" s="712"/>
      <c r="Q505" s="712"/>
      <c r="R505" s="712"/>
      <c r="S505" s="712"/>
      <c r="T505" s="712"/>
      <c r="U505" s="712"/>
      <c r="V505" s="712"/>
      <c r="W505" s="712"/>
      <c r="X505" s="712"/>
      <c r="Y505" s="712"/>
      <c r="Z505" s="712"/>
      <c r="AA505" s="712"/>
      <c r="AB505" s="712"/>
      <c r="AC505" s="712"/>
      <c r="AD505" s="712"/>
      <c r="AE505" s="712"/>
      <c r="AF505" s="712"/>
      <c r="AG505" s="712"/>
      <c r="AH505" s="712"/>
      <c r="AI505" s="712"/>
      <c r="AJ505" s="712"/>
      <c r="AK505" s="712"/>
      <c r="AL505" s="712"/>
      <c r="AM505" s="712"/>
      <c r="AN505" s="712"/>
      <c r="AO505" s="712"/>
    </row>
    <row r="506">
      <c r="G506" s="712"/>
      <c r="H506" s="712"/>
      <c r="I506" s="712"/>
      <c r="J506" s="712"/>
      <c r="K506" s="712"/>
      <c r="L506" s="712"/>
      <c r="M506" s="712"/>
      <c r="N506" s="712"/>
      <c r="O506" s="712"/>
      <c r="P506" s="712"/>
      <c r="Q506" s="712"/>
      <c r="R506" s="712"/>
      <c r="S506" s="712"/>
      <c r="T506" s="712"/>
      <c r="U506" s="712"/>
      <c r="V506" s="712"/>
      <c r="W506" s="712"/>
      <c r="X506" s="712"/>
      <c r="Y506" s="712"/>
      <c r="Z506" s="712"/>
      <c r="AA506" s="712"/>
      <c r="AB506" s="712"/>
      <c r="AC506" s="712"/>
      <c r="AD506" s="712"/>
      <c r="AE506" s="712"/>
      <c r="AF506" s="712"/>
      <c r="AG506" s="712"/>
      <c r="AH506" s="712"/>
      <c r="AI506" s="712"/>
      <c r="AJ506" s="712"/>
      <c r="AK506" s="712"/>
      <c r="AL506" s="712"/>
      <c r="AM506" s="712"/>
      <c r="AN506" s="712"/>
      <c r="AO506" s="712"/>
    </row>
    <row r="507">
      <c r="G507" s="712"/>
      <c r="H507" s="712"/>
      <c r="I507" s="712"/>
      <c r="J507" s="712"/>
      <c r="K507" s="712"/>
      <c r="L507" s="712"/>
      <c r="M507" s="712"/>
      <c r="N507" s="712"/>
      <c r="O507" s="712"/>
      <c r="P507" s="712"/>
      <c r="Q507" s="712"/>
      <c r="R507" s="712"/>
      <c r="S507" s="712"/>
      <c r="T507" s="712"/>
      <c r="U507" s="712"/>
      <c r="V507" s="712"/>
      <c r="W507" s="712"/>
      <c r="X507" s="712"/>
      <c r="Y507" s="712"/>
      <c r="Z507" s="712"/>
      <c r="AA507" s="712"/>
      <c r="AB507" s="712"/>
      <c r="AC507" s="712"/>
      <c r="AD507" s="712"/>
      <c r="AE507" s="712"/>
      <c r="AF507" s="712"/>
      <c r="AG507" s="712"/>
      <c r="AH507" s="712"/>
      <c r="AI507" s="712"/>
      <c r="AJ507" s="712"/>
      <c r="AK507" s="712"/>
      <c r="AL507" s="712"/>
      <c r="AM507" s="712"/>
      <c r="AN507" s="712"/>
      <c r="AO507" s="712"/>
    </row>
    <row r="508">
      <c r="G508" s="712"/>
      <c r="H508" s="712"/>
      <c r="I508" s="712"/>
      <c r="J508" s="712"/>
      <c r="K508" s="712"/>
      <c r="L508" s="712"/>
      <c r="M508" s="712"/>
      <c r="N508" s="712"/>
      <c r="O508" s="712"/>
      <c r="P508" s="712"/>
      <c r="Q508" s="712"/>
      <c r="R508" s="712"/>
      <c r="S508" s="712"/>
      <c r="T508" s="712"/>
      <c r="U508" s="712"/>
      <c r="V508" s="712"/>
      <c r="W508" s="712"/>
      <c r="X508" s="712"/>
      <c r="Y508" s="712"/>
      <c r="Z508" s="712"/>
      <c r="AA508" s="712"/>
      <c r="AB508" s="712"/>
      <c r="AC508" s="712"/>
      <c r="AD508" s="712"/>
      <c r="AE508" s="712"/>
      <c r="AF508" s="712"/>
      <c r="AG508" s="712"/>
      <c r="AH508" s="712"/>
      <c r="AI508" s="712"/>
      <c r="AJ508" s="712"/>
      <c r="AK508" s="712"/>
      <c r="AL508" s="712"/>
      <c r="AM508" s="712"/>
      <c r="AN508" s="712"/>
      <c r="AO508" s="712"/>
    </row>
    <row r="509">
      <c r="G509" s="712"/>
      <c r="H509" s="712"/>
      <c r="I509" s="712"/>
      <c r="J509" s="712"/>
      <c r="K509" s="712"/>
      <c r="L509" s="712"/>
      <c r="M509" s="712"/>
      <c r="N509" s="712"/>
      <c r="O509" s="712"/>
      <c r="P509" s="712"/>
      <c r="Q509" s="712"/>
      <c r="R509" s="712"/>
      <c r="S509" s="712"/>
      <c r="T509" s="712"/>
      <c r="U509" s="712"/>
      <c r="V509" s="712"/>
      <c r="W509" s="712"/>
      <c r="X509" s="712"/>
      <c r="Y509" s="712"/>
      <c r="Z509" s="712"/>
      <c r="AA509" s="712"/>
      <c r="AB509" s="712"/>
      <c r="AC509" s="712"/>
      <c r="AD509" s="712"/>
      <c r="AE509" s="712"/>
      <c r="AF509" s="712"/>
      <c r="AG509" s="712"/>
      <c r="AH509" s="712"/>
      <c r="AI509" s="712"/>
      <c r="AJ509" s="712"/>
      <c r="AK509" s="712"/>
      <c r="AL509" s="712"/>
      <c r="AM509" s="712"/>
      <c r="AN509" s="712"/>
      <c r="AO509" s="712"/>
    </row>
    <row r="510">
      <c r="G510" s="712"/>
      <c r="H510" s="712"/>
      <c r="I510" s="712"/>
      <c r="J510" s="712"/>
      <c r="K510" s="712"/>
      <c r="L510" s="712"/>
      <c r="M510" s="712"/>
      <c r="N510" s="712"/>
      <c r="O510" s="712"/>
      <c r="P510" s="712"/>
      <c r="Q510" s="712"/>
      <c r="R510" s="712"/>
      <c r="S510" s="712"/>
      <c r="T510" s="712"/>
      <c r="U510" s="712"/>
      <c r="V510" s="712"/>
      <c r="W510" s="712"/>
      <c r="X510" s="712"/>
      <c r="Y510" s="712"/>
      <c r="Z510" s="712"/>
      <c r="AA510" s="712"/>
      <c r="AB510" s="712"/>
      <c r="AC510" s="712"/>
      <c r="AD510" s="712"/>
      <c r="AE510" s="712"/>
      <c r="AF510" s="712"/>
      <c r="AG510" s="712"/>
      <c r="AH510" s="712"/>
      <c r="AI510" s="712"/>
      <c r="AJ510" s="712"/>
      <c r="AK510" s="712"/>
      <c r="AL510" s="712"/>
      <c r="AM510" s="712"/>
      <c r="AN510" s="712"/>
      <c r="AO510" s="712"/>
    </row>
    <row r="511">
      <c r="G511" s="712"/>
      <c r="H511" s="712"/>
      <c r="I511" s="712"/>
      <c r="J511" s="712"/>
      <c r="K511" s="712"/>
      <c r="L511" s="712"/>
      <c r="M511" s="712"/>
      <c r="N511" s="712"/>
      <c r="O511" s="712"/>
      <c r="P511" s="712"/>
      <c r="Q511" s="712"/>
      <c r="R511" s="712"/>
      <c r="S511" s="712"/>
      <c r="T511" s="712"/>
      <c r="U511" s="712"/>
      <c r="V511" s="712"/>
      <c r="W511" s="712"/>
      <c r="X511" s="712"/>
      <c r="Y511" s="712"/>
      <c r="Z511" s="712"/>
      <c r="AA511" s="712"/>
      <c r="AB511" s="712"/>
      <c r="AC511" s="712"/>
      <c r="AD511" s="712"/>
      <c r="AE511" s="712"/>
      <c r="AF511" s="712"/>
      <c r="AG511" s="712"/>
      <c r="AH511" s="712"/>
      <c r="AI511" s="712"/>
      <c r="AJ511" s="712"/>
      <c r="AK511" s="712"/>
      <c r="AL511" s="712"/>
      <c r="AM511" s="712"/>
      <c r="AN511" s="712"/>
      <c r="AO511" s="712"/>
    </row>
    <row r="512">
      <c r="G512" s="712"/>
      <c r="H512" s="712"/>
      <c r="I512" s="712"/>
      <c r="J512" s="712"/>
      <c r="K512" s="712"/>
      <c r="L512" s="712"/>
      <c r="M512" s="712"/>
      <c r="N512" s="712"/>
      <c r="O512" s="712"/>
      <c r="P512" s="712"/>
      <c r="Q512" s="712"/>
      <c r="R512" s="712"/>
      <c r="S512" s="712"/>
      <c r="T512" s="712"/>
      <c r="U512" s="712"/>
      <c r="V512" s="712"/>
      <c r="W512" s="712"/>
      <c r="X512" s="712"/>
      <c r="Y512" s="712"/>
      <c r="Z512" s="712"/>
      <c r="AA512" s="712"/>
      <c r="AB512" s="712"/>
      <c r="AC512" s="712"/>
      <c r="AD512" s="712"/>
      <c r="AE512" s="712"/>
      <c r="AF512" s="712"/>
      <c r="AG512" s="712"/>
      <c r="AH512" s="712"/>
      <c r="AI512" s="712"/>
      <c r="AJ512" s="712"/>
      <c r="AK512" s="712"/>
      <c r="AL512" s="712"/>
      <c r="AM512" s="712"/>
      <c r="AN512" s="712"/>
      <c r="AO512" s="712"/>
    </row>
    <row r="513">
      <c r="G513" s="712"/>
      <c r="H513" s="712"/>
      <c r="I513" s="712"/>
      <c r="J513" s="712"/>
      <c r="K513" s="712"/>
      <c r="L513" s="712"/>
      <c r="M513" s="712"/>
      <c r="N513" s="712"/>
      <c r="O513" s="712"/>
      <c r="P513" s="712"/>
      <c r="Q513" s="712"/>
      <c r="R513" s="712"/>
      <c r="S513" s="712"/>
      <c r="T513" s="712"/>
      <c r="U513" s="712"/>
      <c r="V513" s="712"/>
      <c r="W513" s="712"/>
      <c r="X513" s="712"/>
      <c r="Y513" s="712"/>
      <c r="Z513" s="712"/>
      <c r="AA513" s="712"/>
      <c r="AB513" s="712"/>
      <c r="AC513" s="712"/>
      <c r="AD513" s="712"/>
      <c r="AE513" s="712"/>
      <c r="AF513" s="712"/>
      <c r="AG513" s="712"/>
      <c r="AH513" s="712"/>
      <c r="AI513" s="712"/>
      <c r="AJ513" s="712"/>
      <c r="AK513" s="712"/>
      <c r="AL513" s="712"/>
      <c r="AM513" s="712"/>
      <c r="AN513" s="712"/>
      <c r="AO513" s="712"/>
    </row>
    <row r="514">
      <c r="G514" s="712"/>
      <c r="H514" s="712"/>
      <c r="I514" s="712"/>
      <c r="J514" s="712"/>
      <c r="K514" s="712"/>
      <c r="L514" s="712"/>
      <c r="M514" s="712"/>
      <c r="N514" s="712"/>
      <c r="O514" s="712"/>
      <c r="P514" s="712"/>
      <c r="Q514" s="712"/>
      <c r="R514" s="712"/>
      <c r="S514" s="712"/>
      <c r="T514" s="712"/>
      <c r="U514" s="712"/>
      <c r="V514" s="712"/>
      <c r="W514" s="712"/>
      <c r="X514" s="712"/>
      <c r="Y514" s="712"/>
      <c r="Z514" s="712"/>
      <c r="AA514" s="712"/>
      <c r="AB514" s="712"/>
      <c r="AC514" s="712"/>
      <c r="AD514" s="712"/>
      <c r="AE514" s="712"/>
      <c r="AF514" s="712"/>
      <c r="AG514" s="712"/>
      <c r="AH514" s="712"/>
      <c r="AI514" s="712"/>
      <c r="AJ514" s="712"/>
      <c r="AK514" s="712"/>
      <c r="AL514" s="712"/>
      <c r="AM514" s="712"/>
      <c r="AN514" s="712"/>
      <c r="AO514" s="712"/>
    </row>
    <row r="515">
      <c r="G515" s="712"/>
      <c r="H515" s="712"/>
      <c r="I515" s="712"/>
      <c r="J515" s="712"/>
      <c r="K515" s="712"/>
      <c r="L515" s="712"/>
      <c r="M515" s="712"/>
      <c r="N515" s="712"/>
      <c r="O515" s="712"/>
      <c r="P515" s="712"/>
      <c r="Q515" s="712"/>
      <c r="R515" s="712"/>
      <c r="S515" s="712"/>
      <c r="T515" s="712"/>
      <c r="U515" s="712"/>
      <c r="V515" s="712"/>
      <c r="W515" s="712"/>
      <c r="X515" s="712"/>
      <c r="Y515" s="712"/>
      <c r="Z515" s="712"/>
      <c r="AA515" s="712"/>
      <c r="AB515" s="712"/>
      <c r="AC515" s="712"/>
      <c r="AD515" s="712"/>
      <c r="AE515" s="712"/>
      <c r="AF515" s="712"/>
      <c r="AG515" s="712"/>
      <c r="AH515" s="712"/>
      <c r="AI515" s="712"/>
      <c r="AJ515" s="712"/>
      <c r="AK515" s="712"/>
      <c r="AL515" s="712"/>
      <c r="AM515" s="712"/>
      <c r="AN515" s="712"/>
      <c r="AO515" s="712"/>
    </row>
    <row r="516">
      <c r="G516" s="712"/>
      <c r="H516" s="712"/>
      <c r="I516" s="712"/>
      <c r="J516" s="712"/>
      <c r="K516" s="712"/>
      <c r="L516" s="712"/>
      <c r="M516" s="712"/>
      <c r="N516" s="712"/>
      <c r="O516" s="712"/>
      <c r="P516" s="712"/>
      <c r="Q516" s="712"/>
      <c r="R516" s="712"/>
      <c r="S516" s="712"/>
      <c r="T516" s="712"/>
      <c r="U516" s="712"/>
      <c r="V516" s="712"/>
      <c r="W516" s="712"/>
      <c r="X516" s="712"/>
      <c r="Y516" s="712"/>
      <c r="Z516" s="712"/>
      <c r="AA516" s="712"/>
      <c r="AB516" s="712"/>
      <c r="AC516" s="712"/>
      <c r="AD516" s="712"/>
      <c r="AE516" s="712"/>
      <c r="AF516" s="712"/>
      <c r="AG516" s="712"/>
      <c r="AH516" s="712"/>
      <c r="AI516" s="712"/>
      <c r="AJ516" s="712"/>
      <c r="AK516" s="712"/>
      <c r="AL516" s="712"/>
      <c r="AM516" s="712"/>
      <c r="AN516" s="712"/>
      <c r="AO516" s="712"/>
    </row>
    <row r="517">
      <c r="G517" s="712"/>
      <c r="H517" s="712"/>
      <c r="I517" s="712"/>
      <c r="J517" s="712"/>
      <c r="K517" s="712"/>
      <c r="L517" s="712"/>
      <c r="M517" s="712"/>
      <c r="N517" s="712"/>
      <c r="O517" s="712"/>
      <c r="P517" s="712"/>
      <c r="Q517" s="712"/>
      <c r="R517" s="712"/>
      <c r="S517" s="712"/>
      <c r="T517" s="712"/>
      <c r="U517" s="712"/>
      <c r="V517" s="712"/>
      <c r="W517" s="712"/>
      <c r="X517" s="712"/>
      <c r="Y517" s="712"/>
      <c r="Z517" s="712"/>
      <c r="AA517" s="712"/>
      <c r="AB517" s="712"/>
      <c r="AC517" s="712"/>
      <c r="AD517" s="712"/>
      <c r="AE517" s="712"/>
      <c r="AF517" s="712"/>
      <c r="AG517" s="712"/>
      <c r="AH517" s="712"/>
      <c r="AI517" s="712"/>
      <c r="AJ517" s="712"/>
      <c r="AK517" s="712"/>
      <c r="AL517" s="712"/>
      <c r="AM517" s="712"/>
      <c r="AN517" s="712"/>
      <c r="AO517" s="712"/>
    </row>
    <row r="518">
      <c r="G518" s="712"/>
      <c r="H518" s="712"/>
      <c r="I518" s="712"/>
      <c r="J518" s="712"/>
      <c r="K518" s="712"/>
      <c r="L518" s="712"/>
      <c r="M518" s="712"/>
      <c r="N518" s="712"/>
      <c r="O518" s="712"/>
      <c r="P518" s="712"/>
      <c r="Q518" s="712"/>
      <c r="R518" s="712"/>
      <c r="S518" s="712"/>
      <c r="T518" s="712"/>
      <c r="U518" s="712"/>
      <c r="V518" s="712"/>
      <c r="W518" s="712"/>
      <c r="X518" s="712"/>
      <c r="Y518" s="712"/>
      <c r="Z518" s="712"/>
      <c r="AA518" s="712"/>
      <c r="AB518" s="712"/>
      <c r="AC518" s="712"/>
      <c r="AD518" s="712"/>
      <c r="AE518" s="712"/>
      <c r="AF518" s="712"/>
      <c r="AG518" s="712"/>
      <c r="AH518" s="712"/>
      <c r="AI518" s="712"/>
      <c r="AJ518" s="712"/>
      <c r="AK518" s="712"/>
      <c r="AL518" s="712"/>
      <c r="AM518" s="712"/>
      <c r="AN518" s="712"/>
      <c r="AO518" s="712"/>
    </row>
    <row r="519">
      <c r="G519" s="712"/>
      <c r="H519" s="712"/>
      <c r="I519" s="712"/>
      <c r="J519" s="712"/>
      <c r="K519" s="712"/>
      <c r="L519" s="712"/>
      <c r="M519" s="712"/>
      <c r="N519" s="712"/>
      <c r="O519" s="712"/>
      <c r="P519" s="712"/>
      <c r="Q519" s="712"/>
      <c r="R519" s="712"/>
      <c r="S519" s="712"/>
      <c r="T519" s="712"/>
      <c r="U519" s="712"/>
      <c r="V519" s="712"/>
      <c r="W519" s="712"/>
      <c r="X519" s="712"/>
      <c r="Y519" s="712"/>
      <c r="Z519" s="712"/>
      <c r="AA519" s="712"/>
      <c r="AB519" s="712"/>
      <c r="AC519" s="712"/>
      <c r="AD519" s="712"/>
      <c r="AE519" s="712"/>
      <c r="AF519" s="712"/>
      <c r="AG519" s="712"/>
      <c r="AH519" s="712"/>
      <c r="AI519" s="712"/>
      <c r="AJ519" s="712"/>
      <c r="AK519" s="712"/>
      <c r="AL519" s="712"/>
      <c r="AM519" s="712"/>
      <c r="AN519" s="712"/>
      <c r="AO519" s="712"/>
    </row>
    <row r="520">
      <c r="G520" s="712"/>
      <c r="H520" s="712"/>
      <c r="I520" s="712"/>
      <c r="J520" s="712"/>
      <c r="K520" s="712"/>
      <c r="L520" s="712"/>
      <c r="M520" s="712"/>
      <c r="N520" s="712"/>
      <c r="O520" s="712"/>
      <c r="P520" s="712"/>
      <c r="Q520" s="712"/>
      <c r="R520" s="712"/>
      <c r="S520" s="712"/>
      <c r="T520" s="712"/>
      <c r="U520" s="712"/>
      <c r="V520" s="712"/>
      <c r="W520" s="712"/>
      <c r="X520" s="712"/>
      <c r="Y520" s="712"/>
      <c r="Z520" s="712"/>
      <c r="AA520" s="712"/>
      <c r="AB520" s="712"/>
      <c r="AC520" s="712"/>
      <c r="AD520" s="712"/>
      <c r="AE520" s="712"/>
      <c r="AF520" s="712"/>
      <c r="AG520" s="712"/>
      <c r="AH520" s="712"/>
      <c r="AI520" s="712"/>
      <c r="AJ520" s="712"/>
      <c r="AK520" s="712"/>
      <c r="AL520" s="712"/>
      <c r="AM520" s="712"/>
      <c r="AN520" s="712"/>
      <c r="AO520" s="712"/>
    </row>
    <row r="521">
      <c r="G521" s="712"/>
      <c r="H521" s="712"/>
      <c r="I521" s="712"/>
      <c r="J521" s="712"/>
      <c r="K521" s="712"/>
      <c r="L521" s="712"/>
      <c r="M521" s="712"/>
      <c r="N521" s="712"/>
      <c r="O521" s="712"/>
      <c r="P521" s="712"/>
      <c r="Q521" s="712"/>
      <c r="R521" s="712"/>
      <c r="S521" s="712"/>
      <c r="T521" s="712"/>
      <c r="U521" s="712"/>
      <c r="V521" s="712"/>
      <c r="W521" s="712"/>
      <c r="X521" s="712"/>
      <c r="Y521" s="712"/>
      <c r="Z521" s="712"/>
      <c r="AA521" s="712"/>
      <c r="AB521" s="712"/>
      <c r="AC521" s="712"/>
      <c r="AD521" s="712"/>
      <c r="AE521" s="712"/>
      <c r="AF521" s="712"/>
      <c r="AG521" s="712"/>
      <c r="AH521" s="712"/>
      <c r="AI521" s="712"/>
      <c r="AJ521" s="712"/>
      <c r="AK521" s="712"/>
      <c r="AL521" s="712"/>
      <c r="AM521" s="712"/>
      <c r="AN521" s="712"/>
      <c r="AO521" s="712"/>
    </row>
    <row r="522">
      <c r="G522" s="712"/>
      <c r="H522" s="712"/>
      <c r="I522" s="712"/>
      <c r="J522" s="712"/>
      <c r="K522" s="712"/>
      <c r="L522" s="712"/>
      <c r="M522" s="712"/>
      <c r="N522" s="712"/>
      <c r="O522" s="712"/>
      <c r="P522" s="712"/>
      <c r="Q522" s="712"/>
      <c r="R522" s="712"/>
      <c r="S522" s="712"/>
      <c r="T522" s="712"/>
      <c r="U522" s="712"/>
      <c r="V522" s="712"/>
      <c r="W522" s="712"/>
      <c r="X522" s="712"/>
      <c r="Y522" s="712"/>
      <c r="Z522" s="712"/>
      <c r="AA522" s="712"/>
      <c r="AB522" s="712"/>
      <c r="AC522" s="712"/>
      <c r="AD522" s="712"/>
      <c r="AE522" s="712"/>
      <c r="AF522" s="712"/>
      <c r="AG522" s="712"/>
      <c r="AH522" s="712"/>
      <c r="AI522" s="712"/>
      <c r="AJ522" s="712"/>
      <c r="AK522" s="712"/>
      <c r="AL522" s="712"/>
      <c r="AM522" s="712"/>
      <c r="AN522" s="712"/>
      <c r="AO522" s="712"/>
    </row>
    <row r="523">
      <c r="G523" s="712"/>
      <c r="H523" s="712"/>
      <c r="I523" s="712"/>
      <c r="J523" s="712"/>
      <c r="K523" s="712"/>
      <c r="L523" s="712"/>
      <c r="M523" s="712"/>
      <c r="N523" s="712"/>
      <c r="O523" s="712"/>
      <c r="P523" s="712"/>
      <c r="Q523" s="712"/>
      <c r="R523" s="712"/>
      <c r="S523" s="712"/>
      <c r="T523" s="712"/>
      <c r="U523" s="712"/>
      <c r="V523" s="712"/>
      <c r="W523" s="712"/>
      <c r="X523" s="712"/>
      <c r="Y523" s="712"/>
      <c r="Z523" s="712"/>
      <c r="AA523" s="712"/>
      <c r="AB523" s="712"/>
      <c r="AC523" s="712"/>
      <c r="AD523" s="712"/>
      <c r="AE523" s="712"/>
      <c r="AF523" s="712"/>
      <c r="AG523" s="712"/>
      <c r="AH523" s="712"/>
      <c r="AI523" s="712"/>
      <c r="AJ523" s="712"/>
      <c r="AK523" s="712"/>
      <c r="AL523" s="712"/>
      <c r="AM523" s="712"/>
      <c r="AN523" s="712"/>
      <c r="AO523" s="712"/>
    </row>
    <row r="524">
      <c r="G524" s="712"/>
      <c r="H524" s="712"/>
      <c r="I524" s="712"/>
      <c r="J524" s="712"/>
      <c r="K524" s="712"/>
      <c r="L524" s="712"/>
      <c r="M524" s="712"/>
      <c r="N524" s="712"/>
      <c r="O524" s="712"/>
      <c r="P524" s="712"/>
      <c r="Q524" s="712"/>
      <c r="R524" s="712"/>
      <c r="S524" s="712"/>
      <c r="T524" s="712"/>
      <c r="U524" s="712"/>
      <c r="V524" s="712"/>
      <c r="W524" s="712"/>
      <c r="X524" s="712"/>
      <c r="Y524" s="712"/>
      <c r="Z524" s="712"/>
      <c r="AA524" s="712"/>
      <c r="AB524" s="712"/>
      <c r="AC524" s="712"/>
      <c r="AD524" s="712"/>
      <c r="AE524" s="712"/>
      <c r="AF524" s="712"/>
      <c r="AG524" s="712"/>
      <c r="AH524" s="712"/>
      <c r="AI524" s="712"/>
      <c r="AJ524" s="712"/>
      <c r="AK524" s="712"/>
      <c r="AL524" s="712"/>
      <c r="AM524" s="712"/>
      <c r="AN524" s="712"/>
      <c r="AO524" s="712"/>
    </row>
    <row r="525">
      <c r="G525" s="712"/>
      <c r="H525" s="712"/>
      <c r="I525" s="712"/>
      <c r="J525" s="712"/>
      <c r="K525" s="712"/>
      <c r="L525" s="712"/>
      <c r="M525" s="712"/>
      <c r="N525" s="712"/>
      <c r="O525" s="712"/>
      <c r="P525" s="712"/>
      <c r="Q525" s="712"/>
      <c r="R525" s="712"/>
      <c r="S525" s="712"/>
      <c r="T525" s="712"/>
      <c r="U525" s="712"/>
      <c r="V525" s="712"/>
      <c r="W525" s="712"/>
      <c r="X525" s="712"/>
      <c r="Y525" s="712"/>
      <c r="Z525" s="712"/>
      <c r="AA525" s="712"/>
      <c r="AB525" s="712"/>
      <c r="AC525" s="712"/>
      <c r="AD525" s="712"/>
      <c r="AE525" s="712"/>
      <c r="AF525" s="712"/>
      <c r="AG525" s="712"/>
      <c r="AH525" s="712"/>
      <c r="AI525" s="712"/>
      <c r="AJ525" s="712"/>
      <c r="AK525" s="712"/>
      <c r="AL525" s="712"/>
      <c r="AM525" s="712"/>
      <c r="AN525" s="712"/>
      <c r="AO525" s="712"/>
    </row>
    <row r="526">
      <c r="G526" s="712"/>
      <c r="H526" s="712"/>
      <c r="I526" s="712"/>
      <c r="J526" s="712"/>
      <c r="K526" s="712"/>
      <c r="L526" s="712"/>
      <c r="M526" s="712"/>
      <c r="N526" s="712"/>
      <c r="O526" s="712"/>
      <c r="P526" s="712"/>
      <c r="Q526" s="712"/>
      <c r="R526" s="712"/>
      <c r="S526" s="712"/>
      <c r="T526" s="712"/>
      <c r="U526" s="712"/>
      <c r="V526" s="712"/>
      <c r="W526" s="712"/>
      <c r="X526" s="712"/>
      <c r="Y526" s="712"/>
      <c r="Z526" s="712"/>
      <c r="AA526" s="712"/>
      <c r="AB526" s="712"/>
      <c r="AC526" s="712"/>
      <c r="AD526" s="712"/>
      <c r="AE526" s="712"/>
      <c r="AF526" s="712"/>
      <c r="AG526" s="712"/>
      <c r="AH526" s="712"/>
      <c r="AI526" s="712"/>
      <c r="AJ526" s="712"/>
      <c r="AK526" s="712"/>
      <c r="AL526" s="712"/>
      <c r="AM526" s="712"/>
      <c r="AN526" s="712"/>
      <c r="AO526" s="712"/>
    </row>
    <row r="527">
      <c r="G527" s="712"/>
      <c r="H527" s="712"/>
      <c r="I527" s="712"/>
      <c r="J527" s="712"/>
      <c r="K527" s="712"/>
      <c r="L527" s="712"/>
      <c r="M527" s="712"/>
      <c r="N527" s="712"/>
      <c r="O527" s="712"/>
      <c r="P527" s="712"/>
      <c r="Q527" s="712"/>
      <c r="R527" s="712"/>
      <c r="S527" s="712"/>
      <c r="T527" s="712"/>
      <c r="U527" s="712"/>
      <c r="V527" s="712"/>
      <c r="W527" s="712"/>
      <c r="X527" s="712"/>
      <c r="Y527" s="712"/>
      <c r="Z527" s="712"/>
      <c r="AA527" s="712"/>
      <c r="AB527" s="712"/>
      <c r="AC527" s="712"/>
      <c r="AD527" s="712"/>
      <c r="AE527" s="712"/>
      <c r="AF527" s="712"/>
      <c r="AG527" s="712"/>
      <c r="AH527" s="712"/>
      <c r="AI527" s="712"/>
      <c r="AJ527" s="712"/>
      <c r="AK527" s="712"/>
      <c r="AL527" s="712"/>
      <c r="AM527" s="712"/>
      <c r="AN527" s="712"/>
      <c r="AO527" s="712"/>
    </row>
    <row r="528">
      <c r="G528" s="712"/>
      <c r="H528" s="712"/>
      <c r="I528" s="712"/>
      <c r="J528" s="712"/>
      <c r="K528" s="712"/>
      <c r="L528" s="712"/>
      <c r="M528" s="712"/>
      <c r="N528" s="712"/>
      <c r="O528" s="712"/>
      <c r="P528" s="712"/>
      <c r="Q528" s="712"/>
      <c r="R528" s="712"/>
      <c r="S528" s="712"/>
      <c r="T528" s="712"/>
      <c r="U528" s="712"/>
      <c r="V528" s="712"/>
      <c r="W528" s="712"/>
      <c r="X528" s="712"/>
      <c r="Y528" s="712"/>
      <c r="Z528" s="712"/>
      <c r="AA528" s="712"/>
      <c r="AB528" s="712"/>
      <c r="AC528" s="712"/>
      <c r="AD528" s="712"/>
      <c r="AE528" s="712"/>
      <c r="AF528" s="712"/>
      <c r="AG528" s="712"/>
      <c r="AH528" s="712"/>
      <c r="AI528" s="712"/>
      <c r="AJ528" s="712"/>
      <c r="AK528" s="712"/>
      <c r="AL528" s="712"/>
      <c r="AM528" s="712"/>
      <c r="AN528" s="712"/>
      <c r="AO528" s="712"/>
    </row>
    <row r="529">
      <c r="G529" s="712"/>
      <c r="H529" s="712"/>
      <c r="I529" s="712"/>
      <c r="J529" s="712"/>
      <c r="K529" s="712"/>
      <c r="L529" s="712"/>
      <c r="M529" s="712"/>
      <c r="N529" s="712"/>
      <c r="O529" s="712"/>
      <c r="P529" s="712"/>
      <c r="Q529" s="712"/>
      <c r="R529" s="712"/>
      <c r="S529" s="712"/>
      <c r="T529" s="712"/>
      <c r="U529" s="712"/>
      <c r="V529" s="712"/>
      <c r="W529" s="712"/>
      <c r="X529" s="712"/>
      <c r="Y529" s="712"/>
      <c r="Z529" s="712"/>
      <c r="AA529" s="712"/>
      <c r="AB529" s="712"/>
      <c r="AC529" s="712"/>
      <c r="AD529" s="712"/>
      <c r="AE529" s="712"/>
      <c r="AF529" s="712"/>
      <c r="AG529" s="712"/>
      <c r="AH529" s="712"/>
      <c r="AI529" s="712"/>
      <c r="AJ529" s="712"/>
      <c r="AK529" s="712"/>
      <c r="AL529" s="712"/>
      <c r="AM529" s="712"/>
      <c r="AN529" s="712"/>
      <c r="AO529" s="712"/>
    </row>
    <row r="530">
      <c r="G530" s="712"/>
      <c r="H530" s="712"/>
      <c r="I530" s="712"/>
      <c r="J530" s="712"/>
      <c r="K530" s="712"/>
      <c r="L530" s="712"/>
      <c r="M530" s="712"/>
      <c r="N530" s="712"/>
      <c r="O530" s="712"/>
      <c r="P530" s="712"/>
      <c r="Q530" s="712"/>
      <c r="R530" s="712"/>
      <c r="S530" s="712"/>
      <c r="T530" s="712"/>
      <c r="U530" s="712"/>
      <c r="V530" s="712"/>
      <c r="W530" s="712"/>
      <c r="X530" s="712"/>
      <c r="Y530" s="712"/>
      <c r="Z530" s="712"/>
      <c r="AA530" s="712"/>
      <c r="AB530" s="712"/>
      <c r="AC530" s="712"/>
      <c r="AD530" s="712"/>
      <c r="AE530" s="712"/>
      <c r="AF530" s="712"/>
      <c r="AG530" s="712"/>
      <c r="AH530" s="712"/>
      <c r="AI530" s="712"/>
      <c r="AJ530" s="712"/>
      <c r="AK530" s="712"/>
      <c r="AL530" s="712"/>
      <c r="AM530" s="712"/>
      <c r="AN530" s="712"/>
      <c r="AO530" s="712"/>
    </row>
    <row r="531">
      <c r="G531" s="712"/>
      <c r="H531" s="712"/>
      <c r="I531" s="712"/>
      <c r="J531" s="712"/>
      <c r="K531" s="712"/>
      <c r="L531" s="712"/>
      <c r="M531" s="712"/>
      <c r="N531" s="712"/>
      <c r="O531" s="712"/>
      <c r="P531" s="712"/>
      <c r="Q531" s="712"/>
      <c r="R531" s="712"/>
      <c r="S531" s="712"/>
      <c r="T531" s="712"/>
      <c r="U531" s="712"/>
      <c r="V531" s="712"/>
      <c r="W531" s="712"/>
      <c r="X531" s="712"/>
      <c r="Y531" s="712"/>
      <c r="Z531" s="712"/>
      <c r="AA531" s="712"/>
      <c r="AB531" s="712"/>
      <c r="AC531" s="712"/>
      <c r="AD531" s="712"/>
      <c r="AE531" s="712"/>
      <c r="AF531" s="712"/>
      <c r="AG531" s="712"/>
      <c r="AH531" s="712"/>
      <c r="AI531" s="712"/>
      <c r="AJ531" s="712"/>
      <c r="AK531" s="712"/>
      <c r="AL531" s="712"/>
      <c r="AM531" s="712"/>
      <c r="AN531" s="712"/>
      <c r="AO531" s="712"/>
    </row>
    <row r="532">
      <c r="G532" s="712"/>
      <c r="H532" s="712"/>
      <c r="I532" s="712"/>
      <c r="J532" s="712"/>
      <c r="K532" s="712"/>
      <c r="L532" s="712"/>
      <c r="M532" s="712"/>
      <c r="N532" s="712"/>
      <c r="O532" s="712"/>
      <c r="P532" s="712"/>
      <c r="Q532" s="712"/>
      <c r="R532" s="712"/>
      <c r="S532" s="712"/>
      <c r="T532" s="712"/>
      <c r="U532" s="712"/>
      <c r="V532" s="712"/>
      <c r="W532" s="712"/>
      <c r="X532" s="712"/>
      <c r="Y532" s="712"/>
      <c r="Z532" s="712"/>
      <c r="AA532" s="712"/>
      <c r="AB532" s="712"/>
      <c r="AC532" s="712"/>
      <c r="AD532" s="712"/>
      <c r="AE532" s="712"/>
      <c r="AF532" s="712"/>
      <c r="AG532" s="712"/>
      <c r="AH532" s="712"/>
      <c r="AI532" s="712"/>
      <c r="AJ532" s="712"/>
      <c r="AK532" s="712"/>
      <c r="AL532" s="712"/>
      <c r="AM532" s="712"/>
      <c r="AN532" s="712"/>
      <c r="AO532" s="712"/>
    </row>
    <row r="533">
      <c r="G533" s="712"/>
      <c r="H533" s="712"/>
      <c r="I533" s="712"/>
      <c r="J533" s="712"/>
      <c r="K533" s="712"/>
      <c r="L533" s="712"/>
      <c r="M533" s="712"/>
      <c r="N533" s="712"/>
      <c r="O533" s="712"/>
      <c r="P533" s="712"/>
      <c r="Q533" s="712"/>
      <c r="R533" s="712"/>
      <c r="S533" s="712"/>
      <c r="T533" s="712"/>
      <c r="U533" s="712"/>
      <c r="V533" s="712"/>
      <c r="W533" s="712"/>
      <c r="X533" s="712"/>
      <c r="Y533" s="712"/>
      <c r="Z533" s="712"/>
      <c r="AA533" s="712"/>
      <c r="AB533" s="712"/>
      <c r="AC533" s="712"/>
      <c r="AD533" s="712"/>
      <c r="AE533" s="712"/>
      <c r="AF533" s="712"/>
      <c r="AG533" s="712"/>
      <c r="AH533" s="712"/>
      <c r="AI533" s="712"/>
      <c r="AJ533" s="712"/>
      <c r="AK533" s="712"/>
      <c r="AL533" s="712"/>
      <c r="AM533" s="712"/>
      <c r="AN533" s="712"/>
      <c r="AO533" s="712"/>
    </row>
    <row r="534">
      <c r="G534" s="712"/>
      <c r="H534" s="712"/>
      <c r="I534" s="712"/>
      <c r="J534" s="712"/>
      <c r="K534" s="712"/>
      <c r="L534" s="712"/>
      <c r="M534" s="712"/>
      <c r="N534" s="712"/>
      <c r="O534" s="712"/>
      <c r="P534" s="712"/>
      <c r="Q534" s="712"/>
      <c r="R534" s="712"/>
      <c r="S534" s="712"/>
      <c r="T534" s="712"/>
      <c r="U534" s="712"/>
      <c r="V534" s="712"/>
      <c r="W534" s="712"/>
      <c r="X534" s="712"/>
      <c r="Y534" s="712"/>
      <c r="Z534" s="712"/>
      <c r="AA534" s="712"/>
      <c r="AB534" s="712"/>
      <c r="AC534" s="712"/>
      <c r="AD534" s="712"/>
      <c r="AE534" s="712"/>
      <c r="AF534" s="712"/>
      <c r="AG534" s="712"/>
      <c r="AH534" s="712"/>
      <c r="AI534" s="712"/>
      <c r="AJ534" s="712"/>
      <c r="AK534" s="712"/>
      <c r="AL534" s="712"/>
      <c r="AM534" s="712"/>
      <c r="AN534" s="712"/>
      <c r="AO534" s="712"/>
    </row>
    <row r="535">
      <c r="G535" s="712"/>
      <c r="H535" s="712"/>
      <c r="I535" s="712"/>
      <c r="J535" s="712"/>
      <c r="K535" s="712"/>
      <c r="L535" s="712"/>
      <c r="M535" s="712"/>
      <c r="N535" s="712"/>
      <c r="O535" s="712"/>
      <c r="P535" s="712"/>
      <c r="Q535" s="712"/>
      <c r="R535" s="712"/>
      <c r="S535" s="712"/>
      <c r="T535" s="712"/>
      <c r="U535" s="712"/>
      <c r="V535" s="712"/>
      <c r="W535" s="712"/>
      <c r="X535" s="712"/>
      <c r="Y535" s="712"/>
      <c r="Z535" s="712"/>
      <c r="AA535" s="712"/>
      <c r="AB535" s="712"/>
      <c r="AC535" s="712"/>
      <c r="AD535" s="712"/>
      <c r="AE535" s="712"/>
      <c r="AF535" s="712"/>
      <c r="AG535" s="712"/>
      <c r="AH535" s="712"/>
      <c r="AI535" s="712"/>
      <c r="AJ535" s="712"/>
      <c r="AK535" s="712"/>
      <c r="AL535" s="712"/>
      <c r="AM535" s="712"/>
      <c r="AN535" s="712"/>
      <c r="AO535" s="712"/>
    </row>
    <row r="536">
      <c r="G536" s="712"/>
      <c r="H536" s="712"/>
      <c r="I536" s="712"/>
      <c r="J536" s="712"/>
      <c r="K536" s="712"/>
      <c r="L536" s="712"/>
      <c r="M536" s="712"/>
      <c r="N536" s="712"/>
      <c r="O536" s="712"/>
      <c r="P536" s="712"/>
      <c r="Q536" s="712"/>
      <c r="R536" s="712"/>
      <c r="S536" s="712"/>
      <c r="T536" s="712"/>
      <c r="U536" s="712"/>
      <c r="V536" s="712"/>
      <c r="W536" s="712"/>
      <c r="X536" s="712"/>
      <c r="Y536" s="712"/>
      <c r="Z536" s="712"/>
      <c r="AA536" s="712"/>
      <c r="AB536" s="712"/>
      <c r="AC536" s="712"/>
      <c r="AD536" s="712"/>
      <c r="AE536" s="712"/>
      <c r="AF536" s="712"/>
      <c r="AG536" s="712"/>
      <c r="AH536" s="712"/>
      <c r="AI536" s="712"/>
      <c r="AJ536" s="712"/>
      <c r="AK536" s="712"/>
      <c r="AL536" s="712"/>
      <c r="AM536" s="712"/>
      <c r="AN536" s="712"/>
      <c r="AO536" s="712"/>
    </row>
    <row r="537">
      <c r="G537" s="712"/>
      <c r="H537" s="712"/>
      <c r="I537" s="712"/>
      <c r="J537" s="712"/>
      <c r="K537" s="712"/>
      <c r="L537" s="712"/>
      <c r="M537" s="712"/>
      <c r="N537" s="712"/>
      <c r="O537" s="712"/>
      <c r="P537" s="712"/>
      <c r="Q537" s="712"/>
      <c r="R537" s="712"/>
      <c r="S537" s="712"/>
      <c r="T537" s="712"/>
      <c r="U537" s="712"/>
      <c r="V537" s="712"/>
      <c r="W537" s="712"/>
      <c r="X537" s="712"/>
      <c r="Y537" s="712"/>
      <c r="Z537" s="712"/>
      <c r="AA537" s="712"/>
      <c r="AB537" s="712"/>
      <c r="AC537" s="712"/>
      <c r="AD537" s="712"/>
      <c r="AE537" s="712"/>
      <c r="AF537" s="712"/>
      <c r="AG537" s="712"/>
      <c r="AH537" s="712"/>
      <c r="AI537" s="712"/>
      <c r="AJ537" s="712"/>
      <c r="AK537" s="712"/>
      <c r="AL537" s="712"/>
      <c r="AM537" s="712"/>
      <c r="AN537" s="712"/>
      <c r="AO537" s="712"/>
    </row>
    <row r="538">
      <c r="G538" s="712"/>
      <c r="H538" s="712"/>
      <c r="I538" s="712"/>
      <c r="J538" s="712"/>
      <c r="K538" s="712"/>
      <c r="L538" s="712"/>
      <c r="M538" s="712"/>
      <c r="N538" s="712"/>
      <c r="O538" s="712"/>
      <c r="P538" s="712"/>
      <c r="Q538" s="712"/>
      <c r="R538" s="712"/>
      <c r="S538" s="712"/>
      <c r="T538" s="712"/>
      <c r="U538" s="712"/>
      <c r="V538" s="712"/>
      <c r="W538" s="712"/>
      <c r="X538" s="712"/>
      <c r="Y538" s="712"/>
      <c r="Z538" s="712"/>
      <c r="AA538" s="712"/>
      <c r="AB538" s="712"/>
      <c r="AC538" s="712"/>
      <c r="AD538" s="712"/>
      <c r="AE538" s="712"/>
      <c r="AF538" s="712"/>
      <c r="AG538" s="712"/>
      <c r="AH538" s="712"/>
      <c r="AI538" s="712"/>
      <c r="AJ538" s="712"/>
      <c r="AK538" s="712"/>
      <c r="AL538" s="712"/>
      <c r="AM538" s="712"/>
      <c r="AN538" s="712"/>
      <c r="AO538" s="712"/>
    </row>
    <row r="539">
      <c r="G539" s="712"/>
      <c r="H539" s="712"/>
      <c r="I539" s="712"/>
      <c r="J539" s="712"/>
      <c r="K539" s="712"/>
      <c r="L539" s="712"/>
      <c r="M539" s="712"/>
      <c r="N539" s="712"/>
      <c r="O539" s="712"/>
      <c r="P539" s="712"/>
      <c r="Q539" s="712"/>
      <c r="R539" s="712"/>
      <c r="S539" s="712"/>
      <c r="T539" s="712"/>
      <c r="U539" s="712"/>
      <c r="V539" s="712"/>
      <c r="W539" s="712"/>
      <c r="X539" s="712"/>
      <c r="Y539" s="712"/>
      <c r="Z539" s="712"/>
      <c r="AA539" s="712"/>
      <c r="AB539" s="712"/>
      <c r="AC539" s="712"/>
      <c r="AD539" s="712"/>
      <c r="AE539" s="712"/>
      <c r="AF539" s="712"/>
      <c r="AG539" s="712"/>
      <c r="AH539" s="712"/>
      <c r="AI539" s="712"/>
      <c r="AJ539" s="712"/>
      <c r="AK539" s="712"/>
      <c r="AL539" s="712"/>
      <c r="AM539" s="712"/>
      <c r="AN539" s="712"/>
      <c r="AO539" s="712"/>
    </row>
    <row r="540">
      <c r="G540" s="712"/>
      <c r="H540" s="712"/>
      <c r="I540" s="712"/>
      <c r="J540" s="712"/>
      <c r="K540" s="712"/>
      <c r="L540" s="712"/>
      <c r="M540" s="712"/>
      <c r="N540" s="712"/>
      <c r="O540" s="712"/>
      <c r="P540" s="712"/>
      <c r="Q540" s="712"/>
      <c r="R540" s="712"/>
      <c r="S540" s="712"/>
      <c r="T540" s="712"/>
      <c r="U540" s="712"/>
      <c r="V540" s="712"/>
      <c r="W540" s="712"/>
      <c r="X540" s="712"/>
      <c r="Y540" s="712"/>
      <c r="Z540" s="712"/>
      <c r="AA540" s="712"/>
      <c r="AB540" s="712"/>
      <c r="AC540" s="712"/>
      <c r="AD540" s="712"/>
      <c r="AE540" s="712"/>
      <c r="AF540" s="712"/>
      <c r="AG540" s="712"/>
      <c r="AH540" s="712"/>
      <c r="AI540" s="712"/>
      <c r="AJ540" s="712"/>
      <c r="AK540" s="712"/>
      <c r="AL540" s="712"/>
      <c r="AM540" s="712"/>
      <c r="AN540" s="712"/>
      <c r="AO540" s="712"/>
    </row>
    <row r="541">
      <c r="G541" s="712"/>
      <c r="H541" s="712"/>
      <c r="I541" s="712"/>
      <c r="J541" s="712"/>
      <c r="K541" s="712"/>
      <c r="L541" s="712"/>
      <c r="M541" s="712"/>
      <c r="N541" s="712"/>
      <c r="O541" s="712"/>
      <c r="P541" s="712"/>
      <c r="Q541" s="712"/>
      <c r="R541" s="712"/>
      <c r="S541" s="712"/>
      <c r="T541" s="712"/>
      <c r="U541" s="712"/>
      <c r="V541" s="712"/>
      <c r="W541" s="712"/>
      <c r="X541" s="712"/>
      <c r="Y541" s="712"/>
      <c r="Z541" s="712"/>
      <c r="AA541" s="712"/>
      <c r="AB541" s="712"/>
      <c r="AC541" s="712"/>
      <c r="AD541" s="712"/>
      <c r="AE541" s="712"/>
      <c r="AF541" s="712"/>
      <c r="AG541" s="712"/>
      <c r="AH541" s="712"/>
      <c r="AI541" s="712"/>
      <c r="AJ541" s="712"/>
      <c r="AK541" s="712"/>
      <c r="AL541" s="712"/>
      <c r="AM541" s="712"/>
      <c r="AN541" s="712"/>
      <c r="AO541" s="712"/>
    </row>
    <row r="542">
      <c r="G542" s="712"/>
      <c r="H542" s="712"/>
      <c r="I542" s="712"/>
      <c r="J542" s="712"/>
      <c r="K542" s="712"/>
      <c r="L542" s="712"/>
      <c r="M542" s="712"/>
      <c r="N542" s="712"/>
      <c r="O542" s="712"/>
      <c r="P542" s="712"/>
      <c r="Q542" s="712"/>
      <c r="R542" s="712"/>
      <c r="S542" s="712"/>
      <c r="T542" s="712"/>
      <c r="U542" s="712"/>
      <c r="V542" s="712"/>
      <c r="W542" s="712"/>
      <c r="X542" s="712"/>
      <c r="Y542" s="712"/>
      <c r="Z542" s="712"/>
      <c r="AA542" s="712"/>
      <c r="AB542" s="712"/>
      <c r="AC542" s="712"/>
      <c r="AD542" s="712"/>
      <c r="AE542" s="712"/>
      <c r="AF542" s="712"/>
      <c r="AG542" s="712"/>
      <c r="AH542" s="712"/>
      <c r="AI542" s="712"/>
      <c r="AJ542" s="712"/>
      <c r="AK542" s="712"/>
      <c r="AL542" s="712"/>
      <c r="AM542" s="712"/>
      <c r="AN542" s="712"/>
      <c r="AO542" s="712"/>
    </row>
    <row r="543">
      <c r="G543" s="712"/>
      <c r="H543" s="712"/>
      <c r="I543" s="712"/>
      <c r="J543" s="712"/>
      <c r="K543" s="712"/>
      <c r="L543" s="712"/>
      <c r="M543" s="712"/>
      <c r="N543" s="712"/>
      <c r="O543" s="712"/>
      <c r="P543" s="712"/>
      <c r="Q543" s="712"/>
      <c r="R543" s="712"/>
      <c r="S543" s="712"/>
      <c r="T543" s="712"/>
      <c r="U543" s="712"/>
      <c r="V543" s="712"/>
      <c r="W543" s="712"/>
      <c r="X543" s="712"/>
      <c r="Y543" s="712"/>
      <c r="Z543" s="712"/>
      <c r="AA543" s="712"/>
      <c r="AB543" s="712"/>
      <c r="AC543" s="712"/>
      <c r="AD543" s="712"/>
      <c r="AE543" s="712"/>
      <c r="AF543" s="712"/>
      <c r="AG543" s="712"/>
      <c r="AH543" s="712"/>
      <c r="AI543" s="712"/>
      <c r="AJ543" s="712"/>
      <c r="AK543" s="712"/>
      <c r="AL543" s="712"/>
      <c r="AM543" s="712"/>
      <c r="AN543" s="712"/>
      <c r="AO543" s="712"/>
    </row>
    <row r="544">
      <c r="G544" s="712"/>
      <c r="H544" s="712"/>
      <c r="I544" s="712"/>
      <c r="J544" s="712"/>
      <c r="K544" s="712"/>
      <c r="L544" s="712"/>
      <c r="M544" s="712"/>
      <c r="N544" s="712"/>
      <c r="O544" s="712"/>
      <c r="P544" s="712"/>
      <c r="Q544" s="712"/>
      <c r="R544" s="712"/>
      <c r="S544" s="712"/>
      <c r="T544" s="712"/>
      <c r="U544" s="712"/>
      <c r="V544" s="712"/>
      <c r="W544" s="712"/>
      <c r="X544" s="712"/>
      <c r="Y544" s="712"/>
      <c r="Z544" s="712"/>
      <c r="AA544" s="712"/>
      <c r="AB544" s="712"/>
      <c r="AC544" s="712"/>
      <c r="AD544" s="712"/>
      <c r="AE544" s="712"/>
      <c r="AF544" s="712"/>
      <c r="AG544" s="712"/>
      <c r="AH544" s="712"/>
      <c r="AI544" s="712"/>
      <c r="AJ544" s="712"/>
      <c r="AK544" s="712"/>
      <c r="AL544" s="712"/>
      <c r="AM544" s="712"/>
      <c r="AN544" s="712"/>
      <c r="AO544" s="712"/>
    </row>
    <row r="545">
      <c r="G545" s="712"/>
      <c r="H545" s="712"/>
      <c r="I545" s="712"/>
      <c r="J545" s="712"/>
      <c r="K545" s="712"/>
      <c r="L545" s="712"/>
      <c r="M545" s="712"/>
      <c r="N545" s="712"/>
      <c r="O545" s="712"/>
      <c r="P545" s="712"/>
      <c r="Q545" s="712"/>
      <c r="R545" s="712"/>
      <c r="S545" s="712"/>
      <c r="T545" s="712"/>
      <c r="U545" s="712"/>
      <c r="V545" s="712"/>
      <c r="W545" s="712"/>
      <c r="X545" s="712"/>
      <c r="Y545" s="712"/>
      <c r="Z545" s="712"/>
      <c r="AA545" s="712"/>
      <c r="AB545" s="712"/>
      <c r="AC545" s="712"/>
      <c r="AD545" s="712"/>
      <c r="AE545" s="712"/>
      <c r="AF545" s="712"/>
      <c r="AG545" s="712"/>
      <c r="AH545" s="712"/>
      <c r="AI545" s="712"/>
      <c r="AJ545" s="712"/>
      <c r="AK545" s="712"/>
      <c r="AL545" s="712"/>
      <c r="AM545" s="712"/>
      <c r="AN545" s="712"/>
      <c r="AO545" s="712"/>
    </row>
    <row r="546">
      <c r="G546" s="712"/>
      <c r="H546" s="712"/>
      <c r="I546" s="712"/>
      <c r="J546" s="712"/>
      <c r="K546" s="712"/>
      <c r="L546" s="712"/>
      <c r="M546" s="712"/>
      <c r="N546" s="712"/>
      <c r="O546" s="712"/>
      <c r="P546" s="712"/>
      <c r="Q546" s="712"/>
      <c r="R546" s="712"/>
      <c r="S546" s="712"/>
      <c r="T546" s="712"/>
      <c r="U546" s="712"/>
      <c r="V546" s="712"/>
      <c r="W546" s="712"/>
      <c r="X546" s="712"/>
      <c r="Y546" s="712"/>
      <c r="Z546" s="712"/>
      <c r="AA546" s="712"/>
      <c r="AB546" s="712"/>
      <c r="AC546" s="712"/>
      <c r="AD546" s="712"/>
      <c r="AE546" s="712"/>
      <c r="AF546" s="712"/>
      <c r="AG546" s="712"/>
      <c r="AH546" s="712"/>
      <c r="AI546" s="712"/>
      <c r="AJ546" s="712"/>
      <c r="AK546" s="712"/>
      <c r="AL546" s="712"/>
      <c r="AM546" s="712"/>
      <c r="AN546" s="712"/>
      <c r="AO546" s="712"/>
    </row>
    <row r="547">
      <c r="G547" s="712"/>
      <c r="H547" s="712"/>
      <c r="I547" s="712"/>
      <c r="J547" s="712"/>
      <c r="K547" s="712"/>
      <c r="L547" s="712"/>
      <c r="M547" s="712"/>
      <c r="N547" s="712"/>
      <c r="O547" s="712"/>
      <c r="P547" s="712"/>
      <c r="Q547" s="712"/>
      <c r="R547" s="712"/>
      <c r="S547" s="712"/>
      <c r="T547" s="712"/>
      <c r="U547" s="712"/>
      <c r="V547" s="712"/>
      <c r="W547" s="712"/>
      <c r="X547" s="712"/>
      <c r="Y547" s="712"/>
      <c r="Z547" s="712"/>
      <c r="AA547" s="712"/>
      <c r="AB547" s="712"/>
      <c r="AC547" s="712"/>
      <c r="AD547" s="712"/>
      <c r="AE547" s="712"/>
      <c r="AF547" s="712"/>
      <c r="AG547" s="712"/>
      <c r="AH547" s="712"/>
      <c r="AI547" s="712"/>
      <c r="AJ547" s="712"/>
      <c r="AK547" s="712"/>
      <c r="AL547" s="712"/>
      <c r="AM547" s="712"/>
      <c r="AN547" s="712"/>
      <c r="AO547" s="712"/>
    </row>
    <row r="548">
      <c r="G548" s="712"/>
      <c r="H548" s="712"/>
      <c r="I548" s="712"/>
      <c r="J548" s="712"/>
      <c r="K548" s="712"/>
      <c r="L548" s="712"/>
      <c r="M548" s="712"/>
      <c r="N548" s="712"/>
      <c r="O548" s="712"/>
      <c r="P548" s="712"/>
      <c r="Q548" s="712"/>
      <c r="R548" s="712"/>
      <c r="S548" s="712"/>
      <c r="T548" s="712"/>
      <c r="U548" s="712"/>
      <c r="V548" s="712"/>
      <c r="W548" s="712"/>
      <c r="X548" s="712"/>
      <c r="Y548" s="712"/>
      <c r="Z548" s="712"/>
      <c r="AA548" s="712"/>
      <c r="AB548" s="712"/>
      <c r="AC548" s="712"/>
      <c r="AD548" s="712"/>
      <c r="AE548" s="712"/>
      <c r="AF548" s="712"/>
      <c r="AG548" s="712"/>
      <c r="AH548" s="712"/>
      <c r="AI548" s="712"/>
      <c r="AJ548" s="712"/>
      <c r="AK548" s="712"/>
      <c r="AL548" s="712"/>
      <c r="AM548" s="712"/>
      <c r="AN548" s="712"/>
      <c r="AO548" s="712"/>
    </row>
    <row r="549">
      <c r="G549" s="712"/>
      <c r="H549" s="712"/>
      <c r="I549" s="712"/>
      <c r="J549" s="712"/>
      <c r="K549" s="712"/>
      <c r="L549" s="712"/>
      <c r="M549" s="712"/>
      <c r="N549" s="712"/>
      <c r="O549" s="712"/>
      <c r="P549" s="712"/>
      <c r="Q549" s="712"/>
      <c r="R549" s="712"/>
      <c r="S549" s="712"/>
      <c r="T549" s="712"/>
      <c r="U549" s="712"/>
      <c r="V549" s="712"/>
      <c r="W549" s="712"/>
      <c r="X549" s="712"/>
      <c r="Y549" s="712"/>
      <c r="Z549" s="712"/>
      <c r="AA549" s="712"/>
      <c r="AB549" s="712"/>
      <c r="AC549" s="712"/>
      <c r="AD549" s="712"/>
      <c r="AE549" s="712"/>
      <c r="AF549" s="712"/>
      <c r="AG549" s="712"/>
      <c r="AH549" s="712"/>
      <c r="AI549" s="712"/>
      <c r="AJ549" s="712"/>
      <c r="AK549" s="712"/>
      <c r="AL549" s="712"/>
      <c r="AM549" s="712"/>
      <c r="AN549" s="712"/>
      <c r="AO549" s="712"/>
    </row>
    <row r="550">
      <c r="G550" s="712"/>
      <c r="H550" s="712"/>
      <c r="I550" s="712"/>
      <c r="J550" s="712"/>
      <c r="K550" s="712"/>
      <c r="L550" s="712"/>
      <c r="M550" s="712"/>
      <c r="N550" s="712"/>
      <c r="O550" s="712"/>
      <c r="P550" s="712"/>
      <c r="Q550" s="712"/>
      <c r="R550" s="712"/>
      <c r="S550" s="712"/>
      <c r="T550" s="712"/>
      <c r="U550" s="712"/>
      <c r="V550" s="712"/>
      <c r="W550" s="712"/>
      <c r="X550" s="712"/>
      <c r="Y550" s="712"/>
      <c r="Z550" s="712"/>
      <c r="AA550" s="712"/>
      <c r="AB550" s="712"/>
      <c r="AC550" s="712"/>
      <c r="AD550" s="712"/>
      <c r="AE550" s="712"/>
      <c r="AF550" s="712"/>
      <c r="AG550" s="712"/>
      <c r="AH550" s="712"/>
      <c r="AI550" s="712"/>
      <c r="AJ550" s="712"/>
      <c r="AK550" s="712"/>
      <c r="AL550" s="712"/>
      <c r="AM550" s="712"/>
      <c r="AN550" s="712"/>
      <c r="AO550" s="712"/>
    </row>
    <row r="551">
      <c r="G551" s="712"/>
      <c r="H551" s="712"/>
      <c r="I551" s="712"/>
      <c r="J551" s="712"/>
      <c r="K551" s="712"/>
      <c r="L551" s="712"/>
      <c r="M551" s="712"/>
      <c r="N551" s="712"/>
      <c r="O551" s="712"/>
      <c r="P551" s="712"/>
      <c r="Q551" s="712"/>
      <c r="R551" s="712"/>
      <c r="S551" s="712"/>
      <c r="T551" s="712"/>
      <c r="U551" s="712"/>
      <c r="V551" s="712"/>
      <c r="W551" s="712"/>
      <c r="X551" s="712"/>
      <c r="Y551" s="712"/>
      <c r="Z551" s="712"/>
      <c r="AA551" s="712"/>
      <c r="AB551" s="712"/>
      <c r="AC551" s="712"/>
      <c r="AD551" s="712"/>
      <c r="AE551" s="712"/>
      <c r="AF551" s="712"/>
      <c r="AG551" s="712"/>
      <c r="AH551" s="712"/>
      <c r="AI551" s="712"/>
      <c r="AJ551" s="712"/>
      <c r="AK551" s="712"/>
      <c r="AL551" s="712"/>
      <c r="AM551" s="712"/>
      <c r="AN551" s="712"/>
      <c r="AO551" s="712"/>
    </row>
    <row r="552">
      <c r="G552" s="712"/>
      <c r="H552" s="712"/>
      <c r="I552" s="712"/>
      <c r="J552" s="712"/>
      <c r="K552" s="712"/>
      <c r="L552" s="712"/>
      <c r="M552" s="712"/>
      <c r="N552" s="712"/>
      <c r="O552" s="712"/>
      <c r="P552" s="712"/>
      <c r="Q552" s="712"/>
      <c r="R552" s="712"/>
      <c r="S552" s="712"/>
      <c r="T552" s="712"/>
      <c r="U552" s="712"/>
      <c r="V552" s="712"/>
      <c r="W552" s="712"/>
      <c r="X552" s="712"/>
      <c r="Y552" s="712"/>
      <c r="Z552" s="712"/>
      <c r="AA552" s="712"/>
      <c r="AB552" s="712"/>
      <c r="AC552" s="712"/>
      <c r="AD552" s="712"/>
      <c r="AE552" s="712"/>
      <c r="AF552" s="712"/>
      <c r="AG552" s="712"/>
      <c r="AH552" s="712"/>
      <c r="AI552" s="712"/>
      <c r="AJ552" s="712"/>
      <c r="AK552" s="712"/>
      <c r="AL552" s="712"/>
      <c r="AM552" s="712"/>
      <c r="AN552" s="712"/>
      <c r="AO552" s="712"/>
    </row>
    <row r="553">
      <c r="G553" s="712"/>
      <c r="H553" s="712"/>
      <c r="I553" s="712"/>
      <c r="J553" s="712"/>
      <c r="K553" s="712"/>
      <c r="L553" s="712"/>
      <c r="M553" s="712"/>
      <c r="N553" s="712"/>
      <c r="O553" s="712"/>
      <c r="P553" s="712"/>
      <c r="Q553" s="712"/>
      <c r="R553" s="712"/>
      <c r="S553" s="712"/>
      <c r="T553" s="712"/>
      <c r="U553" s="712"/>
      <c r="V553" s="712"/>
      <c r="W553" s="712"/>
      <c r="X553" s="712"/>
      <c r="Y553" s="712"/>
      <c r="Z553" s="712"/>
      <c r="AA553" s="712"/>
      <c r="AB553" s="712"/>
      <c r="AC553" s="712"/>
      <c r="AD553" s="712"/>
      <c r="AE553" s="712"/>
      <c r="AF553" s="712"/>
      <c r="AG553" s="712"/>
      <c r="AH553" s="712"/>
      <c r="AI553" s="712"/>
      <c r="AJ553" s="712"/>
      <c r="AK553" s="712"/>
      <c r="AL553" s="712"/>
      <c r="AM553" s="712"/>
      <c r="AN553" s="712"/>
      <c r="AO553" s="712"/>
    </row>
    <row r="554">
      <c r="G554" s="712"/>
      <c r="H554" s="712"/>
      <c r="I554" s="712"/>
      <c r="J554" s="712"/>
      <c r="K554" s="712"/>
      <c r="L554" s="712"/>
      <c r="M554" s="712"/>
      <c r="N554" s="712"/>
      <c r="O554" s="712"/>
      <c r="P554" s="712"/>
      <c r="Q554" s="712"/>
      <c r="R554" s="712"/>
      <c r="S554" s="712"/>
      <c r="T554" s="712"/>
      <c r="U554" s="712"/>
      <c r="V554" s="712"/>
      <c r="W554" s="712"/>
      <c r="X554" s="712"/>
      <c r="Y554" s="712"/>
      <c r="Z554" s="712"/>
      <c r="AA554" s="712"/>
      <c r="AB554" s="712"/>
      <c r="AC554" s="712"/>
      <c r="AD554" s="712"/>
      <c r="AE554" s="712"/>
      <c r="AF554" s="712"/>
      <c r="AG554" s="712"/>
      <c r="AH554" s="712"/>
      <c r="AI554" s="712"/>
      <c r="AJ554" s="712"/>
      <c r="AK554" s="712"/>
      <c r="AL554" s="712"/>
      <c r="AM554" s="712"/>
      <c r="AN554" s="712"/>
      <c r="AO554" s="712"/>
    </row>
    <row r="555">
      <c r="G555" s="712"/>
      <c r="H555" s="712"/>
      <c r="I555" s="712"/>
      <c r="J555" s="712"/>
      <c r="K555" s="712"/>
      <c r="L555" s="712"/>
      <c r="M555" s="712"/>
      <c r="N555" s="712"/>
      <c r="O555" s="712"/>
      <c r="P555" s="712"/>
      <c r="Q555" s="712"/>
      <c r="R555" s="712"/>
      <c r="S555" s="712"/>
      <c r="T555" s="712"/>
      <c r="U555" s="712"/>
      <c r="V555" s="712"/>
      <c r="W555" s="712"/>
      <c r="X555" s="712"/>
      <c r="Y555" s="712"/>
      <c r="Z555" s="712"/>
      <c r="AA555" s="712"/>
      <c r="AB555" s="712"/>
      <c r="AC555" s="712"/>
      <c r="AD555" s="712"/>
      <c r="AE555" s="712"/>
      <c r="AF555" s="712"/>
      <c r="AG555" s="712"/>
      <c r="AH555" s="712"/>
      <c r="AI555" s="712"/>
      <c r="AJ555" s="712"/>
      <c r="AK555" s="712"/>
      <c r="AL555" s="712"/>
      <c r="AM555" s="712"/>
      <c r="AN555" s="712"/>
      <c r="AO555" s="712"/>
    </row>
    <row r="556">
      <c r="G556" s="712"/>
      <c r="H556" s="712"/>
      <c r="I556" s="712"/>
      <c r="J556" s="712"/>
      <c r="K556" s="712"/>
      <c r="L556" s="712"/>
      <c r="M556" s="712"/>
      <c r="N556" s="712"/>
      <c r="O556" s="712"/>
      <c r="P556" s="712"/>
      <c r="Q556" s="712"/>
      <c r="R556" s="712"/>
      <c r="S556" s="712"/>
      <c r="T556" s="712"/>
      <c r="U556" s="712"/>
      <c r="V556" s="712"/>
      <c r="W556" s="712"/>
      <c r="X556" s="712"/>
      <c r="Y556" s="712"/>
      <c r="Z556" s="712"/>
      <c r="AA556" s="712"/>
      <c r="AB556" s="712"/>
      <c r="AC556" s="712"/>
      <c r="AD556" s="712"/>
      <c r="AE556" s="712"/>
      <c r="AF556" s="712"/>
      <c r="AG556" s="712"/>
      <c r="AH556" s="712"/>
      <c r="AI556" s="712"/>
      <c r="AJ556" s="712"/>
      <c r="AK556" s="712"/>
      <c r="AL556" s="712"/>
      <c r="AM556" s="712"/>
      <c r="AN556" s="712"/>
      <c r="AO556" s="712"/>
    </row>
    <row r="557">
      <c r="G557" s="712"/>
      <c r="H557" s="712"/>
      <c r="I557" s="712"/>
      <c r="J557" s="712"/>
      <c r="K557" s="712"/>
      <c r="L557" s="712"/>
      <c r="M557" s="712"/>
      <c r="N557" s="712"/>
      <c r="O557" s="712"/>
      <c r="P557" s="712"/>
      <c r="Q557" s="712"/>
      <c r="R557" s="712"/>
      <c r="S557" s="712"/>
      <c r="T557" s="712"/>
      <c r="U557" s="712"/>
      <c r="V557" s="712"/>
      <c r="W557" s="712"/>
      <c r="X557" s="712"/>
      <c r="Y557" s="712"/>
      <c r="Z557" s="712"/>
      <c r="AA557" s="712"/>
      <c r="AB557" s="712"/>
      <c r="AC557" s="712"/>
      <c r="AD557" s="712"/>
      <c r="AE557" s="712"/>
      <c r="AF557" s="712"/>
      <c r="AG557" s="712"/>
      <c r="AH557" s="712"/>
      <c r="AI557" s="712"/>
      <c r="AJ557" s="712"/>
      <c r="AK557" s="712"/>
      <c r="AL557" s="712"/>
      <c r="AM557" s="712"/>
      <c r="AN557" s="712"/>
      <c r="AO557" s="712"/>
    </row>
    <row r="558">
      <c r="G558" s="712"/>
      <c r="H558" s="712"/>
      <c r="I558" s="712"/>
      <c r="J558" s="712"/>
      <c r="K558" s="712"/>
      <c r="L558" s="712"/>
      <c r="M558" s="712"/>
      <c r="N558" s="712"/>
      <c r="O558" s="712"/>
      <c r="P558" s="712"/>
      <c r="Q558" s="712"/>
      <c r="R558" s="712"/>
      <c r="S558" s="712"/>
      <c r="T558" s="712"/>
      <c r="U558" s="712"/>
      <c r="V558" s="712"/>
      <c r="W558" s="712"/>
      <c r="X558" s="712"/>
      <c r="Y558" s="712"/>
      <c r="Z558" s="712"/>
      <c r="AA558" s="712"/>
      <c r="AB558" s="712"/>
      <c r="AC558" s="712"/>
      <c r="AD558" s="712"/>
      <c r="AE558" s="712"/>
      <c r="AF558" s="712"/>
      <c r="AG558" s="712"/>
      <c r="AH558" s="712"/>
      <c r="AI558" s="712"/>
      <c r="AJ558" s="712"/>
      <c r="AK558" s="712"/>
      <c r="AL558" s="712"/>
      <c r="AM558" s="712"/>
      <c r="AN558" s="712"/>
      <c r="AO558" s="712"/>
    </row>
    <row r="559">
      <c r="G559" s="712"/>
      <c r="H559" s="712"/>
      <c r="I559" s="712"/>
      <c r="J559" s="712"/>
      <c r="K559" s="712"/>
      <c r="L559" s="712"/>
      <c r="M559" s="712"/>
      <c r="N559" s="712"/>
      <c r="O559" s="712"/>
      <c r="P559" s="712"/>
      <c r="Q559" s="712"/>
      <c r="R559" s="712"/>
      <c r="S559" s="712"/>
      <c r="T559" s="712"/>
      <c r="U559" s="712"/>
      <c r="V559" s="712"/>
      <c r="W559" s="712"/>
      <c r="X559" s="712"/>
      <c r="Y559" s="712"/>
      <c r="Z559" s="712"/>
      <c r="AA559" s="712"/>
      <c r="AB559" s="712"/>
      <c r="AC559" s="712"/>
      <c r="AD559" s="712"/>
      <c r="AE559" s="712"/>
      <c r="AF559" s="712"/>
      <c r="AG559" s="712"/>
      <c r="AH559" s="712"/>
      <c r="AI559" s="712"/>
      <c r="AJ559" s="712"/>
      <c r="AK559" s="712"/>
      <c r="AL559" s="712"/>
      <c r="AM559" s="712"/>
      <c r="AN559" s="712"/>
      <c r="AO559" s="712"/>
    </row>
    <row r="560">
      <c r="G560" s="712"/>
      <c r="H560" s="712"/>
      <c r="I560" s="712"/>
      <c r="J560" s="712"/>
      <c r="K560" s="712"/>
      <c r="L560" s="712"/>
      <c r="M560" s="712"/>
      <c r="N560" s="712"/>
      <c r="O560" s="712"/>
      <c r="P560" s="712"/>
      <c r="Q560" s="712"/>
      <c r="R560" s="712"/>
      <c r="S560" s="712"/>
      <c r="T560" s="712"/>
      <c r="U560" s="712"/>
      <c r="V560" s="712"/>
      <c r="W560" s="712"/>
      <c r="X560" s="712"/>
      <c r="Y560" s="712"/>
      <c r="Z560" s="712"/>
      <c r="AA560" s="712"/>
      <c r="AB560" s="712"/>
      <c r="AC560" s="712"/>
      <c r="AD560" s="712"/>
      <c r="AE560" s="712"/>
      <c r="AF560" s="712"/>
      <c r="AG560" s="712"/>
      <c r="AH560" s="712"/>
      <c r="AI560" s="712"/>
      <c r="AJ560" s="712"/>
      <c r="AK560" s="712"/>
      <c r="AL560" s="712"/>
      <c r="AM560" s="712"/>
      <c r="AN560" s="712"/>
      <c r="AO560" s="712"/>
    </row>
    <row r="561">
      <c r="G561" s="712"/>
      <c r="H561" s="712"/>
      <c r="I561" s="712"/>
      <c r="J561" s="712"/>
      <c r="K561" s="712"/>
      <c r="L561" s="712"/>
      <c r="M561" s="712"/>
      <c r="N561" s="712"/>
      <c r="O561" s="712"/>
      <c r="P561" s="712"/>
      <c r="Q561" s="712"/>
      <c r="R561" s="712"/>
      <c r="S561" s="712"/>
      <c r="T561" s="712"/>
      <c r="U561" s="712"/>
      <c r="V561" s="712"/>
      <c r="W561" s="712"/>
      <c r="X561" s="712"/>
      <c r="Y561" s="712"/>
      <c r="Z561" s="712"/>
      <c r="AA561" s="712"/>
      <c r="AB561" s="712"/>
      <c r="AC561" s="712"/>
      <c r="AD561" s="712"/>
      <c r="AE561" s="712"/>
      <c r="AF561" s="712"/>
      <c r="AG561" s="712"/>
      <c r="AH561" s="712"/>
      <c r="AI561" s="712"/>
      <c r="AJ561" s="712"/>
      <c r="AK561" s="712"/>
      <c r="AL561" s="712"/>
      <c r="AM561" s="712"/>
      <c r="AN561" s="712"/>
      <c r="AO561" s="712"/>
    </row>
    <row r="562">
      <c r="G562" s="712"/>
      <c r="H562" s="712"/>
      <c r="I562" s="712"/>
      <c r="J562" s="712"/>
      <c r="K562" s="712"/>
      <c r="L562" s="712"/>
      <c r="M562" s="712"/>
      <c r="N562" s="712"/>
      <c r="O562" s="712"/>
      <c r="P562" s="712"/>
      <c r="Q562" s="712"/>
      <c r="R562" s="712"/>
      <c r="S562" s="712"/>
      <c r="T562" s="712"/>
      <c r="U562" s="712"/>
      <c r="V562" s="712"/>
      <c r="W562" s="712"/>
      <c r="X562" s="712"/>
      <c r="Y562" s="712"/>
      <c r="Z562" s="712"/>
      <c r="AA562" s="712"/>
      <c r="AB562" s="712"/>
      <c r="AC562" s="712"/>
      <c r="AD562" s="712"/>
      <c r="AE562" s="712"/>
      <c r="AF562" s="712"/>
      <c r="AG562" s="712"/>
      <c r="AH562" s="712"/>
      <c r="AI562" s="712"/>
      <c r="AJ562" s="712"/>
      <c r="AK562" s="712"/>
      <c r="AL562" s="712"/>
      <c r="AM562" s="712"/>
      <c r="AN562" s="712"/>
      <c r="AO562" s="712"/>
    </row>
    <row r="563">
      <c r="G563" s="712"/>
      <c r="H563" s="712"/>
      <c r="I563" s="712"/>
      <c r="J563" s="712"/>
      <c r="K563" s="712"/>
      <c r="L563" s="712"/>
      <c r="M563" s="712"/>
      <c r="N563" s="712"/>
      <c r="O563" s="712"/>
      <c r="P563" s="712"/>
      <c r="Q563" s="712"/>
      <c r="R563" s="712"/>
      <c r="S563" s="712"/>
      <c r="T563" s="712"/>
      <c r="U563" s="712"/>
      <c r="V563" s="712"/>
      <c r="W563" s="712"/>
      <c r="X563" s="712"/>
      <c r="Y563" s="712"/>
      <c r="Z563" s="712"/>
      <c r="AA563" s="712"/>
      <c r="AB563" s="712"/>
      <c r="AC563" s="712"/>
      <c r="AD563" s="712"/>
      <c r="AE563" s="712"/>
      <c r="AF563" s="712"/>
      <c r="AG563" s="712"/>
      <c r="AH563" s="712"/>
      <c r="AI563" s="712"/>
      <c r="AJ563" s="712"/>
      <c r="AK563" s="712"/>
      <c r="AL563" s="712"/>
      <c r="AM563" s="712"/>
      <c r="AN563" s="712"/>
      <c r="AO563" s="712"/>
    </row>
    <row r="564">
      <c r="G564" s="712"/>
      <c r="H564" s="712"/>
      <c r="I564" s="712"/>
      <c r="J564" s="712"/>
      <c r="K564" s="712"/>
      <c r="L564" s="712"/>
      <c r="M564" s="712"/>
      <c r="N564" s="712"/>
      <c r="O564" s="712"/>
      <c r="P564" s="712"/>
      <c r="Q564" s="712"/>
      <c r="R564" s="712"/>
      <c r="S564" s="712"/>
      <c r="T564" s="712"/>
      <c r="U564" s="712"/>
      <c r="V564" s="712"/>
      <c r="W564" s="712"/>
      <c r="X564" s="712"/>
      <c r="Y564" s="712"/>
      <c r="Z564" s="712"/>
      <c r="AA564" s="712"/>
      <c r="AB564" s="712"/>
      <c r="AC564" s="712"/>
      <c r="AD564" s="712"/>
      <c r="AE564" s="712"/>
      <c r="AF564" s="712"/>
      <c r="AG564" s="712"/>
      <c r="AH564" s="712"/>
      <c r="AI564" s="712"/>
      <c r="AJ564" s="712"/>
      <c r="AK564" s="712"/>
      <c r="AL564" s="712"/>
      <c r="AM564" s="712"/>
      <c r="AN564" s="712"/>
      <c r="AO564" s="712"/>
    </row>
    <row r="565">
      <c r="G565" s="712"/>
      <c r="H565" s="712"/>
      <c r="I565" s="712"/>
      <c r="J565" s="712"/>
      <c r="K565" s="712"/>
      <c r="L565" s="712"/>
      <c r="M565" s="712"/>
      <c r="N565" s="712"/>
      <c r="O565" s="712"/>
      <c r="P565" s="712"/>
      <c r="Q565" s="712"/>
      <c r="R565" s="712"/>
      <c r="S565" s="712"/>
      <c r="T565" s="712"/>
      <c r="U565" s="712"/>
      <c r="V565" s="712"/>
      <c r="W565" s="712"/>
      <c r="X565" s="712"/>
      <c r="Y565" s="712"/>
      <c r="Z565" s="712"/>
      <c r="AA565" s="712"/>
      <c r="AB565" s="712"/>
      <c r="AC565" s="712"/>
      <c r="AD565" s="712"/>
      <c r="AE565" s="712"/>
      <c r="AF565" s="712"/>
      <c r="AG565" s="712"/>
      <c r="AH565" s="712"/>
      <c r="AI565" s="712"/>
      <c r="AJ565" s="712"/>
      <c r="AK565" s="712"/>
      <c r="AL565" s="712"/>
      <c r="AM565" s="712"/>
      <c r="AN565" s="712"/>
      <c r="AO565" s="712"/>
    </row>
    <row r="566">
      <c r="G566" s="712"/>
      <c r="H566" s="712"/>
      <c r="I566" s="712"/>
      <c r="J566" s="712"/>
      <c r="K566" s="712"/>
      <c r="L566" s="712"/>
      <c r="M566" s="712"/>
      <c r="N566" s="712"/>
      <c r="O566" s="712"/>
      <c r="P566" s="712"/>
      <c r="Q566" s="712"/>
      <c r="R566" s="712"/>
      <c r="S566" s="712"/>
      <c r="T566" s="712"/>
      <c r="U566" s="712"/>
      <c r="V566" s="712"/>
      <c r="W566" s="712"/>
      <c r="X566" s="712"/>
      <c r="Y566" s="712"/>
      <c r="Z566" s="712"/>
      <c r="AA566" s="712"/>
      <c r="AB566" s="712"/>
      <c r="AC566" s="712"/>
      <c r="AD566" s="712"/>
      <c r="AE566" s="712"/>
      <c r="AF566" s="712"/>
      <c r="AG566" s="712"/>
      <c r="AH566" s="712"/>
      <c r="AI566" s="712"/>
      <c r="AJ566" s="712"/>
      <c r="AK566" s="712"/>
      <c r="AL566" s="712"/>
      <c r="AM566" s="712"/>
      <c r="AN566" s="712"/>
      <c r="AO566" s="712"/>
    </row>
    <row r="567">
      <c r="G567" s="712"/>
      <c r="H567" s="712"/>
      <c r="I567" s="712"/>
      <c r="J567" s="712"/>
      <c r="K567" s="712"/>
      <c r="L567" s="712"/>
      <c r="M567" s="712"/>
      <c r="N567" s="712"/>
      <c r="O567" s="712"/>
      <c r="P567" s="712"/>
      <c r="Q567" s="712"/>
      <c r="R567" s="712"/>
      <c r="S567" s="712"/>
      <c r="T567" s="712"/>
      <c r="U567" s="712"/>
      <c r="V567" s="712"/>
      <c r="W567" s="712"/>
      <c r="X567" s="712"/>
      <c r="Y567" s="712"/>
      <c r="Z567" s="712"/>
      <c r="AA567" s="712"/>
      <c r="AB567" s="712"/>
      <c r="AC567" s="712"/>
      <c r="AD567" s="712"/>
      <c r="AE567" s="712"/>
      <c r="AF567" s="712"/>
      <c r="AG567" s="712"/>
      <c r="AH567" s="712"/>
      <c r="AI567" s="712"/>
      <c r="AJ567" s="712"/>
      <c r="AK567" s="712"/>
      <c r="AL567" s="712"/>
      <c r="AM567" s="712"/>
      <c r="AN567" s="712"/>
      <c r="AO567" s="712"/>
    </row>
    <row r="568">
      <c r="G568" s="712"/>
      <c r="H568" s="712"/>
      <c r="I568" s="712"/>
      <c r="J568" s="712"/>
      <c r="K568" s="712"/>
      <c r="L568" s="712"/>
      <c r="M568" s="712"/>
      <c r="N568" s="712"/>
      <c r="O568" s="712"/>
      <c r="P568" s="712"/>
      <c r="Q568" s="712"/>
      <c r="R568" s="712"/>
      <c r="S568" s="712"/>
      <c r="T568" s="712"/>
      <c r="U568" s="712"/>
      <c r="V568" s="712"/>
      <c r="W568" s="712"/>
      <c r="X568" s="712"/>
      <c r="Y568" s="712"/>
      <c r="Z568" s="712"/>
      <c r="AA568" s="712"/>
      <c r="AB568" s="712"/>
      <c r="AC568" s="712"/>
      <c r="AD568" s="712"/>
      <c r="AE568" s="712"/>
      <c r="AF568" s="712"/>
      <c r="AG568" s="712"/>
      <c r="AH568" s="712"/>
      <c r="AI568" s="712"/>
      <c r="AJ568" s="712"/>
      <c r="AK568" s="712"/>
      <c r="AL568" s="712"/>
      <c r="AM568" s="712"/>
      <c r="AN568" s="712"/>
      <c r="AO568" s="712"/>
    </row>
    <row r="569">
      <c r="G569" s="712"/>
      <c r="H569" s="712"/>
      <c r="I569" s="712"/>
      <c r="J569" s="712"/>
      <c r="K569" s="712"/>
      <c r="L569" s="712"/>
      <c r="M569" s="712"/>
      <c r="N569" s="712"/>
      <c r="O569" s="712"/>
      <c r="P569" s="712"/>
      <c r="Q569" s="712"/>
      <c r="R569" s="712"/>
      <c r="S569" s="712"/>
      <c r="T569" s="712"/>
      <c r="U569" s="712"/>
      <c r="V569" s="712"/>
      <c r="W569" s="712"/>
      <c r="X569" s="712"/>
      <c r="Y569" s="712"/>
      <c r="Z569" s="712"/>
      <c r="AA569" s="712"/>
      <c r="AB569" s="712"/>
      <c r="AC569" s="712"/>
      <c r="AD569" s="712"/>
      <c r="AE569" s="712"/>
      <c r="AF569" s="712"/>
      <c r="AG569" s="712"/>
      <c r="AH569" s="712"/>
      <c r="AI569" s="712"/>
      <c r="AJ569" s="712"/>
      <c r="AK569" s="712"/>
      <c r="AL569" s="712"/>
      <c r="AM569" s="712"/>
      <c r="AN569" s="712"/>
      <c r="AO569" s="712"/>
    </row>
    <row r="570">
      <c r="G570" s="712"/>
      <c r="H570" s="712"/>
      <c r="I570" s="712"/>
      <c r="J570" s="712"/>
      <c r="K570" s="712"/>
      <c r="L570" s="712"/>
      <c r="M570" s="712"/>
      <c r="N570" s="712"/>
      <c r="O570" s="712"/>
      <c r="P570" s="712"/>
      <c r="Q570" s="712"/>
      <c r="R570" s="712"/>
      <c r="S570" s="712"/>
      <c r="T570" s="712"/>
      <c r="U570" s="712"/>
      <c r="V570" s="712"/>
      <c r="W570" s="712"/>
      <c r="X570" s="712"/>
      <c r="Y570" s="712"/>
      <c r="Z570" s="712"/>
      <c r="AA570" s="712"/>
      <c r="AB570" s="712"/>
      <c r="AC570" s="712"/>
      <c r="AD570" s="712"/>
      <c r="AE570" s="712"/>
      <c r="AF570" s="712"/>
      <c r="AG570" s="712"/>
      <c r="AH570" s="712"/>
      <c r="AI570" s="712"/>
      <c r="AJ570" s="712"/>
      <c r="AK570" s="712"/>
      <c r="AL570" s="712"/>
      <c r="AM570" s="712"/>
      <c r="AN570" s="712"/>
      <c r="AO570" s="712"/>
    </row>
    <row r="571">
      <c r="G571" s="712"/>
      <c r="H571" s="712"/>
      <c r="I571" s="712"/>
      <c r="J571" s="712"/>
      <c r="K571" s="712"/>
      <c r="L571" s="712"/>
      <c r="M571" s="712"/>
      <c r="N571" s="712"/>
      <c r="O571" s="712"/>
      <c r="P571" s="712"/>
      <c r="Q571" s="712"/>
      <c r="R571" s="712"/>
      <c r="S571" s="712"/>
      <c r="T571" s="712"/>
      <c r="U571" s="712"/>
      <c r="V571" s="712"/>
      <c r="W571" s="712"/>
      <c r="X571" s="712"/>
      <c r="Y571" s="712"/>
      <c r="Z571" s="712"/>
      <c r="AA571" s="712"/>
      <c r="AB571" s="712"/>
      <c r="AC571" s="712"/>
      <c r="AD571" s="712"/>
      <c r="AE571" s="712"/>
      <c r="AF571" s="712"/>
      <c r="AG571" s="712"/>
      <c r="AH571" s="712"/>
      <c r="AI571" s="712"/>
      <c r="AJ571" s="712"/>
      <c r="AK571" s="712"/>
      <c r="AL571" s="712"/>
      <c r="AM571" s="712"/>
      <c r="AN571" s="712"/>
      <c r="AO571" s="712"/>
    </row>
    <row r="572">
      <c r="G572" s="712"/>
      <c r="H572" s="712"/>
      <c r="I572" s="712"/>
      <c r="J572" s="712"/>
      <c r="K572" s="712"/>
      <c r="L572" s="712"/>
      <c r="M572" s="712"/>
      <c r="N572" s="712"/>
      <c r="O572" s="712"/>
      <c r="P572" s="712"/>
      <c r="Q572" s="712"/>
      <c r="R572" s="712"/>
      <c r="S572" s="712"/>
      <c r="T572" s="712"/>
      <c r="U572" s="712"/>
      <c r="V572" s="712"/>
      <c r="W572" s="712"/>
      <c r="X572" s="712"/>
      <c r="Y572" s="712"/>
      <c r="Z572" s="712"/>
      <c r="AA572" s="712"/>
      <c r="AB572" s="712"/>
      <c r="AC572" s="712"/>
      <c r="AD572" s="712"/>
      <c r="AE572" s="712"/>
      <c r="AF572" s="712"/>
      <c r="AG572" s="712"/>
      <c r="AH572" s="712"/>
      <c r="AI572" s="712"/>
      <c r="AJ572" s="712"/>
      <c r="AK572" s="712"/>
      <c r="AL572" s="712"/>
      <c r="AM572" s="712"/>
      <c r="AN572" s="712"/>
      <c r="AO572" s="712"/>
    </row>
    <row r="573">
      <c r="G573" s="712"/>
      <c r="H573" s="712"/>
      <c r="I573" s="712"/>
      <c r="J573" s="712"/>
      <c r="K573" s="712"/>
      <c r="L573" s="712"/>
      <c r="M573" s="712"/>
      <c r="N573" s="712"/>
      <c r="O573" s="712"/>
      <c r="P573" s="712"/>
      <c r="Q573" s="712"/>
      <c r="R573" s="712"/>
      <c r="S573" s="712"/>
      <c r="T573" s="712"/>
      <c r="U573" s="712"/>
      <c r="V573" s="712"/>
      <c r="W573" s="712"/>
      <c r="X573" s="712"/>
      <c r="Y573" s="712"/>
      <c r="Z573" s="712"/>
      <c r="AA573" s="712"/>
      <c r="AB573" s="712"/>
      <c r="AC573" s="712"/>
      <c r="AD573" s="712"/>
      <c r="AE573" s="712"/>
      <c r="AF573" s="712"/>
      <c r="AG573" s="712"/>
      <c r="AH573" s="712"/>
      <c r="AI573" s="712"/>
      <c r="AJ573" s="712"/>
      <c r="AK573" s="712"/>
      <c r="AL573" s="712"/>
      <c r="AM573" s="712"/>
      <c r="AN573" s="712"/>
      <c r="AO573" s="712"/>
    </row>
    <row r="574">
      <c r="G574" s="712"/>
      <c r="H574" s="712"/>
      <c r="I574" s="712"/>
      <c r="J574" s="712"/>
      <c r="K574" s="712"/>
      <c r="L574" s="712"/>
      <c r="M574" s="712"/>
      <c r="N574" s="712"/>
      <c r="O574" s="712"/>
      <c r="P574" s="712"/>
      <c r="Q574" s="712"/>
      <c r="R574" s="712"/>
      <c r="S574" s="712"/>
      <c r="T574" s="712"/>
      <c r="U574" s="712"/>
      <c r="V574" s="712"/>
      <c r="W574" s="712"/>
      <c r="X574" s="712"/>
      <c r="Y574" s="712"/>
      <c r="Z574" s="712"/>
      <c r="AA574" s="712"/>
      <c r="AB574" s="712"/>
      <c r="AC574" s="712"/>
      <c r="AD574" s="712"/>
      <c r="AE574" s="712"/>
      <c r="AF574" s="712"/>
      <c r="AG574" s="712"/>
      <c r="AH574" s="712"/>
      <c r="AI574" s="712"/>
      <c r="AJ574" s="712"/>
      <c r="AK574" s="712"/>
      <c r="AL574" s="712"/>
      <c r="AM574" s="712"/>
      <c r="AN574" s="712"/>
      <c r="AO574" s="712"/>
    </row>
    <row r="575">
      <c r="G575" s="712"/>
      <c r="H575" s="712"/>
      <c r="I575" s="712"/>
      <c r="J575" s="712"/>
      <c r="K575" s="712"/>
      <c r="L575" s="712"/>
      <c r="M575" s="712"/>
      <c r="N575" s="712"/>
      <c r="O575" s="712"/>
      <c r="P575" s="712"/>
      <c r="Q575" s="712"/>
      <c r="R575" s="712"/>
      <c r="S575" s="712"/>
      <c r="T575" s="712"/>
      <c r="U575" s="712"/>
      <c r="V575" s="712"/>
      <c r="W575" s="712"/>
      <c r="X575" s="712"/>
      <c r="Y575" s="712"/>
      <c r="Z575" s="712"/>
      <c r="AA575" s="712"/>
      <c r="AB575" s="712"/>
      <c r="AC575" s="712"/>
      <c r="AD575" s="712"/>
      <c r="AE575" s="712"/>
      <c r="AF575" s="712"/>
      <c r="AG575" s="712"/>
      <c r="AH575" s="712"/>
      <c r="AI575" s="712"/>
      <c r="AJ575" s="712"/>
      <c r="AK575" s="712"/>
      <c r="AL575" s="712"/>
      <c r="AM575" s="712"/>
      <c r="AN575" s="712"/>
      <c r="AO575" s="712"/>
    </row>
    <row r="576">
      <c r="G576" s="712"/>
      <c r="H576" s="712"/>
      <c r="I576" s="712"/>
      <c r="J576" s="712"/>
      <c r="K576" s="712"/>
      <c r="L576" s="712"/>
      <c r="M576" s="712"/>
      <c r="N576" s="712"/>
      <c r="O576" s="712"/>
      <c r="P576" s="712"/>
      <c r="Q576" s="712"/>
      <c r="R576" s="712"/>
      <c r="S576" s="712"/>
      <c r="T576" s="712"/>
      <c r="U576" s="712"/>
      <c r="V576" s="712"/>
      <c r="W576" s="712"/>
      <c r="X576" s="712"/>
      <c r="Y576" s="712"/>
      <c r="Z576" s="712"/>
      <c r="AA576" s="712"/>
      <c r="AB576" s="712"/>
      <c r="AC576" s="712"/>
      <c r="AD576" s="712"/>
      <c r="AE576" s="712"/>
      <c r="AF576" s="712"/>
      <c r="AG576" s="712"/>
      <c r="AH576" s="712"/>
      <c r="AI576" s="712"/>
      <c r="AJ576" s="712"/>
      <c r="AK576" s="712"/>
      <c r="AL576" s="712"/>
      <c r="AM576" s="712"/>
      <c r="AN576" s="712"/>
      <c r="AO576" s="712"/>
    </row>
    <row r="577">
      <c r="G577" s="712"/>
      <c r="H577" s="712"/>
      <c r="I577" s="712"/>
      <c r="J577" s="712"/>
      <c r="K577" s="712"/>
      <c r="L577" s="712"/>
      <c r="M577" s="712"/>
      <c r="N577" s="712"/>
      <c r="O577" s="712"/>
      <c r="P577" s="712"/>
      <c r="Q577" s="712"/>
      <c r="R577" s="712"/>
      <c r="S577" s="712"/>
      <c r="T577" s="712"/>
      <c r="U577" s="712"/>
      <c r="V577" s="712"/>
      <c r="W577" s="712"/>
      <c r="X577" s="712"/>
      <c r="Y577" s="712"/>
      <c r="Z577" s="712"/>
      <c r="AA577" s="712"/>
      <c r="AB577" s="712"/>
      <c r="AC577" s="712"/>
      <c r="AD577" s="712"/>
      <c r="AE577" s="712"/>
      <c r="AF577" s="712"/>
      <c r="AG577" s="712"/>
      <c r="AH577" s="712"/>
      <c r="AI577" s="712"/>
      <c r="AJ577" s="712"/>
      <c r="AK577" s="712"/>
      <c r="AL577" s="712"/>
      <c r="AM577" s="712"/>
      <c r="AN577" s="712"/>
      <c r="AO577" s="712"/>
    </row>
    <row r="578">
      <c r="G578" s="712"/>
      <c r="H578" s="712"/>
      <c r="I578" s="712"/>
      <c r="J578" s="712"/>
      <c r="K578" s="712"/>
      <c r="L578" s="712"/>
      <c r="M578" s="712"/>
      <c r="N578" s="712"/>
      <c r="O578" s="712"/>
      <c r="P578" s="712"/>
      <c r="Q578" s="712"/>
      <c r="R578" s="712"/>
      <c r="S578" s="712"/>
      <c r="T578" s="712"/>
      <c r="U578" s="712"/>
      <c r="V578" s="712"/>
      <c r="W578" s="712"/>
      <c r="X578" s="712"/>
      <c r="Y578" s="712"/>
      <c r="Z578" s="712"/>
      <c r="AA578" s="712"/>
      <c r="AB578" s="712"/>
      <c r="AC578" s="712"/>
      <c r="AD578" s="712"/>
      <c r="AE578" s="712"/>
      <c r="AF578" s="712"/>
      <c r="AG578" s="712"/>
      <c r="AH578" s="712"/>
      <c r="AI578" s="712"/>
      <c r="AJ578" s="712"/>
      <c r="AK578" s="712"/>
      <c r="AL578" s="712"/>
      <c r="AM578" s="712"/>
      <c r="AN578" s="712"/>
      <c r="AO578" s="712"/>
    </row>
    <row r="579">
      <c r="G579" s="712"/>
      <c r="H579" s="712"/>
      <c r="I579" s="712"/>
      <c r="J579" s="712"/>
      <c r="K579" s="712"/>
      <c r="L579" s="712"/>
      <c r="M579" s="712"/>
      <c r="N579" s="712"/>
      <c r="O579" s="712"/>
      <c r="P579" s="712"/>
      <c r="Q579" s="712"/>
      <c r="R579" s="712"/>
      <c r="S579" s="712"/>
      <c r="T579" s="712"/>
      <c r="U579" s="712"/>
      <c r="V579" s="712"/>
      <c r="W579" s="712"/>
      <c r="X579" s="712"/>
      <c r="Y579" s="712"/>
      <c r="Z579" s="712"/>
      <c r="AA579" s="712"/>
      <c r="AB579" s="712"/>
      <c r="AC579" s="712"/>
      <c r="AD579" s="712"/>
      <c r="AE579" s="712"/>
      <c r="AF579" s="712"/>
      <c r="AG579" s="712"/>
      <c r="AH579" s="712"/>
      <c r="AI579" s="712"/>
      <c r="AJ579" s="712"/>
      <c r="AK579" s="712"/>
      <c r="AL579" s="712"/>
      <c r="AM579" s="712"/>
      <c r="AN579" s="712"/>
      <c r="AO579" s="712"/>
    </row>
    <row r="580">
      <c r="G580" s="712"/>
      <c r="H580" s="712"/>
      <c r="I580" s="712"/>
      <c r="J580" s="712"/>
      <c r="K580" s="712"/>
      <c r="L580" s="712"/>
      <c r="M580" s="712"/>
      <c r="N580" s="712"/>
      <c r="O580" s="712"/>
      <c r="P580" s="712"/>
      <c r="Q580" s="712"/>
      <c r="R580" s="712"/>
      <c r="S580" s="712"/>
      <c r="T580" s="712"/>
      <c r="U580" s="712"/>
      <c r="V580" s="712"/>
      <c r="W580" s="712"/>
      <c r="X580" s="712"/>
      <c r="Y580" s="712"/>
      <c r="Z580" s="712"/>
      <c r="AA580" s="712"/>
      <c r="AB580" s="712"/>
      <c r="AC580" s="712"/>
      <c r="AD580" s="712"/>
      <c r="AE580" s="712"/>
      <c r="AF580" s="712"/>
      <c r="AG580" s="712"/>
      <c r="AH580" s="712"/>
      <c r="AI580" s="712"/>
      <c r="AJ580" s="712"/>
      <c r="AK580" s="712"/>
      <c r="AL580" s="712"/>
      <c r="AM580" s="712"/>
      <c r="AN580" s="712"/>
      <c r="AO580" s="712"/>
    </row>
    <row r="581">
      <c r="G581" s="712"/>
      <c r="H581" s="712"/>
      <c r="I581" s="712"/>
      <c r="J581" s="712"/>
      <c r="K581" s="712"/>
      <c r="L581" s="712"/>
      <c r="M581" s="712"/>
      <c r="N581" s="712"/>
      <c r="O581" s="712"/>
      <c r="P581" s="712"/>
      <c r="Q581" s="712"/>
      <c r="R581" s="712"/>
      <c r="S581" s="712"/>
      <c r="T581" s="712"/>
      <c r="U581" s="712"/>
      <c r="V581" s="712"/>
      <c r="W581" s="712"/>
      <c r="X581" s="712"/>
      <c r="Y581" s="712"/>
      <c r="Z581" s="712"/>
      <c r="AA581" s="712"/>
      <c r="AB581" s="712"/>
      <c r="AC581" s="712"/>
      <c r="AD581" s="712"/>
      <c r="AE581" s="712"/>
      <c r="AF581" s="712"/>
      <c r="AG581" s="712"/>
      <c r="AH581" s="712"/>
      <c r="AI581" s="712"/>
      <c r="AJ581" s="712"/>
      <c r="AK581" s="712"/>
      <c r="AL581" s="712"/>
      <c r="AM581" s="712"/>
      <c r="AN581" s="712"/>
      <c r="AO581" s="712"/>
    </row>
    <row r="582">
      <c r="G582" s="712"/>
      <c r="H582" s="712"/>
      <c r="I582" s="712"/>
      <c r="J582" s="712"/>
      <c r="K582" s="712"/>
      <c r="L582" s="712"/>
      <c r="M582" s="712"/>
      <c r="N582" s="712"/>
      <c r="O582" s="712"/>
      <c r="P582" s="712"/>
      <c r="Q582" s="712"/>
      <c r="R582" s="712"/>
      <c r="S582" s="712"/>
      <c r="T582" s="712"/>
      <c r="U582" s="712"/>
      <c r="V582" s="712"/>
      <c r="W582" s="712"/>
      <c r="X582" s="712"/>
      <c r="Y582" s="712"/>
      <c r="Z582" s="712"/>
      <c r="AA582" s="712"/>
      <c r="AB582" s="712"/>
      <c r="AC582" s="712"/>
      <c r="AD582" s="712"/>
      <c r="AE582" s="712"/>
      <c r="AF582" s="712"/>
      <c r="AG582" s="712"/>
      <c r="AH582" s="712"/>
      <c r="AI582" s="712"/>
      <c r="AJ582" s="712"/>
      <c r="AK582" s="712"/>
      <c r="AL582" s="712"/>
      <c r="AM582" s="712"/>
      <c r="AN582" s="712"/>
      <c r="AO582" s="712"/>
    </row>
    <row r="583">
      <c r="G583" s="712"/>
      <c r="H583" s="712"/>
      <c r="I583" s="712"/>
      <c r="J583" s="712"/>
      <c r="K583" s="712"/>
      <c r="L583" s="712"/>
      <c r="M583" s="712"/>
      <c r="N583" s="712"/>
      <c r="O583" s="712"/>
      <c r="P583" s="712"/>
      <c r="Q583" s="712"/>
      <c r="R583" s="712"/>
      <c r="S583" s="712"/>
      <c r="T583" s="712"/>
      <c r="U583" s="712"/>
      <c r="V583" s="712"/>
      <c r="W583" s="712"/>
      <c r="X583" s="712"/>
      <c r="Y583" s="712"/>
      <c r="Z583" s="712"/>
      <c r="AA583" s="712"/>
      <c r="AB583" s="712"/>
      <c r="AC583" s="712"/>
      <c r="AD583" s="712"/>
      <c r="AE583" s="712"/>
      <c r="AF583" s="712"/>
      <c r="AG583" s="712"/>
      <c r="AH583" s="712"/>
      <c r="AI583" s="712"/>
      <c r="AJ583" s="712"/>
      <c r="AK583" s="712"/>
      <c r="AL583" s="712"/>
      <c r="AM583" s="712"/>
      <c r="AN583" s="712"/>
      <c r="AO583" s="712"/>
    </row>
    <row r="584">
      <c r="G584" s="712"/>
      <c r="H584" s="712"/>
      <c r="I584" s="712"/>
      <c r="J584" s="712"/>
      <c r="K584" s="712"/>
      <c r="L584" s="712"/>
      <c r="M584" s="712"/>
      <c r="N584" s="712"/>
      <c r="O584" s="712"/>
      <c r="P584" s="712"/>
      <c r="Q584" s="712"/>
      <c r="R584" s="712"/>
      <c r="S584" s="712"/>
      <c r="T584" s="712"/>
      <c r="U584" s="712"/>
      <c r="V584" s="712"/>
      <c r="W584" s="712"/>
      <c r="X584" s="712"/>
      <c r="Y584" s="712"/>
      <c r="Z584" s="712"/>
      <c r="AA584" s="712"/>
      <c r="AB584" s="712"/>
      <c r="AC584" s="712"/>
      <c r="AD584" s="712"/>
      <c r="AE584" s="712"/>
      <c r="AF584" s="712"/>
      <c r="AG584" s="712"/>
      <c r="AH584" s="712"/>
      <c r="AI584" s="712"/>
      <c r="AJ584" s="712"/>
      <c r="AK584" s="712"/>
      <c r="AL584" s="712"/>
      <c r="AM584" s="712"/>
      <c r="AN584" s="712"/>
      <c r="AO584" s="712"/>
    </row>
    <row r="585">
      <c r="G585" s="712"/>
      <c r="H585" s="712"/>
      <c r="I585" s="712"/>
      <c r="J585" s="712"/>
      <c r="K585" s="712"/>
      <c r="L585" s="712"/>
      <c r="M585" s="712"/>
      <c r="N585" s="712"/>
      <c r="O585" s="712"/>
      <c r="P585" s="712"/>
      <c r="Q585" s="712"/>
      <c r="R585" s="712"/>
      <c r="S585" s="712"/>
      <c r="T585" s="712"/>
      <c r="U585" s="712"/>
      <c r="V585" s="712"/>
      <c r="W585" s="712"/>
      <c r="X585" s="712"/>
      <c r="Y585" s="712"/>
      <c r="Z585" s="712"/>
      <c r="AA585" s="712"/>
      <c r="AB585" s="712"/>
      <c r="AC585" s="712"/>
      <c r="AD585" s="712"/>
      <c r="AE585" s="712"/>
      <c r="AF585" s="712"/>
      <c r="AG585" s="712"/>
      <c r="AH585" s="712"/>
      <c r="AI585" s="712"/>
      <c r="AJ585" s="712"/>
      <c r="AK585" s="712"/>
      <c r="AL585" s="712"/>
      <c r="AM585" s="712"/>
      <c r="AN585" s="712"/>
      <c r="AO585" s="712"/>
    </row>
    <row r="586">
      <c r="G586" s="712"/>
      <c r="H586" s="712"/>
      <c r="I586" s="712"/>
      <c r="J586" s="712"/>
      <c r="K586" s="712"/>
      <c r="L586" s="712"/>
      <c r="M586" s="712"/>
      <c r="N586" s="712"/>
      <c r="O586" s="712"/>
      <c r="P586" s="712"/>
      <c r="Q586" s="712"/>
      <c r="R586" s="712"/>
      <c r="S586" s="712"/>
      <c r="T586" s="712"/>
      <c r="U586" s="712"/>
      <c r="V586" s="712"/>
      <c r="W586" s="712"/>
      <c r="X586" s="712"/>
      <c r="Y586" s="712"/>
      <c r="Z586" s="712"/>
      <c r="AA586" s="712"/>
      <c r="AB586" s="712"/>
      <c r="AC586" s="712"/>
      <c r="AD586" s="712"/>
      <c r="AE586" s="712"/>
      <c r="AF586" s="712"/>
      <c r="AG586" s="712"/>
      <c r="AH586" s="712"/>
      <c r="AI586" s="712"/>
      <c r="AJ586" s="712"/>
      <c r="AK586" s="712"/>
      <c r="AL586" s="712"/>
      <c r="AM586" s="712"/>
      <c r="AN586" s="712"/>
      <c r="AO586" s="712"/>
    </row>
    <row r="587">
      <c r="G587" s="712"/>
      <c r="H587" s="712"/>
      <c r="I587" s="712"/>
      <c r="J587" s="712"/>
      <c r="K587" s="712"/>
      <c r="L587" s="712"/>
      <c r="M587" s="712"/>
      <c r="N587" s="712"/>
      <c r="O587" s="712"/>
      <c r="P587" s="712"/>
      <c r="Q587" s="712"/>
      <c r="R587" s="712"/>
      <c r="S587" s="712"/>
      <c r="T587" s="712"/>
      <c r="U587" s="712"/>
      <c r="V587" s="712"/>
      <c r="W587" s="712"/>
      <c r="X587" s="712"/>
      <c r="Y587" s="712"/>
      <c r="Z587" s="712"/>
      <c r="AA587" s="712"/>
      <c r="AB587" s="712"/>
      <c r="AC587" s="712"/>
      <c r="AD587" s="712"/>
      <c r="AE587" s="712"/>
      <c r="AF587" s="712"/>
      <c r="AG587" s="712"/>
      <c r="AH587" s="712"/>
      <c r="AI587" s="712"/>
      <c r="AJ587" s="712"/>
      <c r="AK587" s="712"/>
      <c r="AL587" s="712"/>
      <c r="AM587" s="712"/>
      <c r="AN587" s="712"/>
      <c r="AO587" s="712"/>
    </row>
    <row r="588">
      <c r="G588" s="712"/>
      <c r="H588" s="712"/>
      <c r="I588" s="712"/>
      <c r="J588" s="712"/>
      <c r="K588" s="712"/>
      <c r="L588" s="712"/>
      <c r="M588" s="712"/>
      <c r="N588" s="712"/>
      <c r="O588" s="712"/>
      <c r="P588" s="712"/>
      <c r="Q588" s="712"/>
      <c r="R588" s="712"/>
      <c r="S588" s="712"/>
      <c r="T588" s="712"/>
      <c r="U588" s="712"/>
      <c r="V588" s="712"/>
      <c r="W588" s="712"/>
      <c r="X588" s="712"/>
      <c r="Y588" s="712"/>
      <c r="Z588" s="712"/>
      <c r="AA588" s="712"/>
      <c r="AB588" s="712"/>
      <c r="AC588" s="712"/>
      <c r="AD588" s="712"/>
      <c r="AE588" s="712"/>
      <c r="AF588" s="712"/>
      <c r="AG588" s="712"/>
      <c r="AH588" s="712"/>
      <c r="AI588" s="712"/>
      <c r="AJ588" s="712"/>
      <c r="AK588" s="712"/>
      <c r="AL588" s="712"/>
      <c r="AM588" s="712"/>
      <c r="AN588" s="712"/>
      <c r="AO588" s="712"/>
    </row>
    <row r="589">
      <c r="G589" s="712"/>
      <c r="H589" s="712"/>
      <c r="I589" s="712"/>
      <c r="J589" s="712"/>
      <c r="K589" s="712"/>
      <c r="L589" s="712"/>
      <c r="M589" s="712"/>
      <c r="N589" s="712"/>
      <c r="O589" s="712"/>
      <c r="P589" s="712"/>
      <c r="Q589" s="712"/>
      <c r="R589" s="712"/>
      <c r="S589" s="712"/>
      <c r="T589" s="712"/>
      <c r="U589" s="712"/>
      <c r="V589" s="712"/>
      <c r="W589" s="712"/>
      <c r="X589" s="712"/>
      <c r="Y589" s="712"/>
      <c r="Z589" s="712"/>
      <c r="AA589" s="712"/>
      <c r="AB589" s="712"/>
      <c r="AC589" s="712"/>
      <c r="AD589" s="712"/>
      <c r="AE589" s="712"/>
      <c r="AF589" s="712"/>
      <c r="AG589" s="712"/>
      <c r="AH589" s="712"/>
      <c r="AI589" s="712"/>
      <c r="AJ589" s="712"/>
      <c r="AK589" s="712"/>
      <c r="AL589" s="712"/>
      <c r="AM589" s="712"/>
      <c r="AN589" s="712"/>
      <c r="AO589" s="712"/>
    </row>
    <row r="590">
      <c r="G590" s="712"/>
      <c r="H590" s="712"/>
      <c r="I590" s="712"/>
      <c r="J590" s="712"/>
      <c r="K590" s="712"/>
      <c r="L590" s="712"/>
      <c r="M590" s="712"/>
      <c r="N590" s="712"/>
      <c r="O590" s="712"/>
      <c r="P590" s="712"/>
      <c r="Q590" s="712"/>
      <c r="R590" s="712"/>
      <c r="S590" s="712"/>
      <c r="T590" s="712"/>
      <c r="U590" s="712"/>
      <c r="V590" s="712"/>
      <c r="W590" s="712"/>
      <c r="X590" s="712"/>
      <c r="Y590" s="712"/>
      <c r="Z590" s="712"/>
      <c r="AA590" s="712"/>
      <c r="AB590" s="712"/>
      <c r="AC590" s="712"/>
      <c r="AD590" s="712"/>
      <c r="AE590" s="712"/>
      <c r="AF590" s="712"/>
      <c r="AG590" s="712"/>
      <c r="AH590" s="712"/>
      <c r="AI590" s="712"/>
      <c r="AJ590" s="712"/>
      <c r="AK590" s="712"/>
      <c r="AL590" s="712"/>
      <c r="AM590" s="712"/>
      <c r="AN590" s="712"/>
      <c r="AO590" s="712"/>
    </row>
    <row r="591">
      <c r="G591" s="712"/>
      <c r="H591" s="712"/>
      <c r="I591" s="712"/>
      <c r="J591" s="712"/>
      <c r="K591" s="712"/>
      <c r="L591" s="712"/>
      <c r="M591" s="712"/>
      <c r="N591" s="712"/>
      <c r="O591" s="712"/>
      <c r="P591" s="712"/>
      <c r="Q591" s="712"/>
      <c r="R591" s="712"/>
      <c r="S591" s="712"/>
      <c r="T591" s="712"/>
      <c r="U591" s="712"/>
      <c r="V591" s="712"/>
      <c r="W591" s="712"/>
      <c r="X591" s="712"/>
      <c r="Y591" s="712"/>
      <c r="Z591" s="712"/>
      <c r="AA591" s="712"/>
      <c r="AB591" s="712"/>
      <c r="AC591" s="712"/>
      <c r="AD591" s="712"/>
      <c r="AE591" s="712"/>
      <c r="AF591" s="712"/>
      <c r="AG591" s="712"/>
      <c r="AH591" s="712"/>
      <c r="AI591" s="712"/>
      <c r="AJ591" s="712"/>
      <c r="AK591" s="712"/>
      <c r="AL591" s="712"/>
      <c r="AM591" s="712"/>
      <c r="AN591" s="712"/>
      <c r="AO591" s="712"/>
    </row>
    <row r="592">
      <c r="G592" s="712"/>
      <c r="H592" s="712"/>
      <c r="I592" s="712"/>
      <c r="J592" s="712"/>
      <c r="K592" s="712"/>
      <c r="L592" s="712"/>
      <c r="M592" s="712"/>
      <c r="N592" s="712"/>
      <c r="O592" s="712"/>
      <c r="P592" s="712"/>
      <c r="Q592" s="712"/>
      <c r="R592" s="712"/>
      <c r="S592" s="712"/>
      <c r="T592" s="712"/>
      <c r="U592" s="712"/>
      <c r="V592" s="712"/>
      <c r="W592" s="712"/>
      <c r="X592" s="712"/>
      <c r="Y592" s="712"/>
      <c r="Z592" s="712"/>
      <c r="AA592" s="712"/>
      <c r="AB592" s="712"/>
      <c r="AC592" s="712"/>
      <c r="AD592" s="712"/>
      <c r="AE592" s="712"/>
      <c r="AF592" s="712"/>
      <c r="AG592" s="712"/>
      <c r="AH592" s="712"/>
      <c r="AI592" s="712"/>
      <c r="AJ592" s="712"/>
      <c r="AK592" s="712"/>
      <c r="AL592" s="712"/>
      <c r="AM592" s="712"/>
      <c r="AN592" s="712"/>
      <c r="AO592" s="712"/>
    </row>
    <row r="593">
      <c r="G593" s="712"/>
      <c r="H593" s="712"/>
      <c r="I593" s="712"/>
      <c r="J593" s="712"/>
      <c r="K593" s="712"/>
      <c r="L593" s="712"/>
      <c r="M593" s="712"/>
      <c r="N593" s="712"/>
      <c r="O593" s="712"/>
      <c r="P593" s="712"/>
      <c r="Q593" s="712"/>
      <c r="R593" s="712"/>
      <c r="S593" s="712"/>
      <c r="T593" s="712"/>
      <c r="U593" s="712"/>
      <c r="V593" s="712"/>
      <c r="W593" s="712"/>
      <c r="X593" s="712"/>
      <c r="Y593" s="712"/>
      <c r="Z593" s="712"/>
      <c r="AA593" s="712"/>
      <c r="AB593" s="712"/>
      <c r="AC593" s="712"/>
      <c r="AD593" s="712"/>
      <c r="AE593" s="712"/>
      <c r="AF593" s="712"/>
      <c r="AG593" s="712"/>
      <c r="AH593" s="712"/>
      <c r="AI593" s="712"/>
      <c r="AJ593" s="712"/>
      <c r="AK593" s="712"/>
      <c r="AL593" s="712"/>
      <c r="AM593" s="712"/>
      <c r="AN593" s="712"/>
      <c r="AO593" s="712"/>
    </row>
    <row r="594">
      <c r="G594" s="712"/>
      <c r="H594" s="712"/>
      <c r="I594" s="712"/>
      <c r="J594" s="712"/>
      <c r="K594" s="712"/>
      <c r="L594" s="712"/>
      <c r="M594" s="712"/>
      <c r="N594" s="712"/>
      <c r="O594" s="712"/>
      <c r="P594" s="712"/>
      <c r="Q594" s="712"/>
      <c r="R594" s="712"/>
      <c r="S594" s="712"/>
      <c r="T594" s="712"/>
      <c r="U594" s="712"/>
      <c r="V594" s="712"/>
      <c r="W594" s="712"/>
      <c r="X594" s="712"/>
      <c r="Y594" s="712"/>
      <c r="Z594" s="712"/>
      <c r="AA594" s="712"/>
      <c r="AB594" s="712"/>
      <c r="AC594" s="712"/>
      <c r="AD594" s="712"/>
      <c r="AE594" s="712"/>
      <c r="AF594" s="712"/>
      <c r="AG594" s="712"/>
      <c r="AH594" s="712"/>
      <c r="AI594" s="712"/>
      <c r="AJ594" s="712"/>
      <c r="AK594" s="712"/>
      <c r="AL594" s="712"/>
      <c r="AM594" s="712"/>
      <c r="AN594" s="712"/>
      <c r="AO594" s="712"/>
    </row>
    <row r="595">
      <c r="G595" s="712"/>
      <c r="H595" s="712"/>
      <c r="I595" s="712"/>
      <c r="J595" s="712"/>
      <c r="K595" s="712"/>
      <c r="L595" s="712"/>
      <c r="M595" s="712"/>
      <c r="N595" s="712"/>
      <c r="O595" s="712"/>
      <c r="P595" s="712"/>
      <c r="Q595" s="712"/>
      <c r="R595" s="712"/>
      <c r="S595" s="712"/>
      <c r="T595" s="712"/>
      <c r="U595" s="712"/>
      <c r="V595" s="712"/>
      <c r="W595" s="712"/>
      <c r="X595" s="712"/>
      <c r="Y595" s="712"/>
      <c r="Z595" s="712"/>
      <c r="AA595" s="712"/>
      <c r="AB595" s="712"/>
      <c r="AC595" s="712"/>
      <c r="AD595" s="712"/>
      <c r="AE595" s="712"/>
      <c r="AF595" s="712"/>
      <c r="AG595" s="712"/>
      <c r="AH595" s="712"/>
      <c r="AI595" s="712"/>
      <c r="AJ595" s="712"/>
      <c r="AK595" s="712"/>
      <c r="AL595" s="712"/>
      <c r="AM595" s="712"/>
      <c r="AN595" s="712"/>
      <c r="AO595" s="712"/>
    </row>
    <row r="596">
      <c r="G596" s="712"/>
      <c r="H596" s="712"/>
      <c r="I596" s="712"/>
      <c r="J596" s="712"/>
      <c r="K596" s="712"/>
      <c r="L596" s="712"/>
      <c r="M596" s="712"/>
      <c r="N596" s="712"/>
      <c r="O596" s="712"/>
      <c r="P596" s="712"/>
      <c r="Q596" s="712"/>
      <c r="R596" s="712"/>
      <c r="S596" s="712"/>
      <c r="T596" s="712"/>
      <c r="U596" s="712"/>
      <c r="V596" s="712"/>
      <c r="W596" s="712"/>
      <c r="X596" s="712"/>
      <c r="Y596" s="712"/>
      <c r="Z596" s="712"/>
      <c r="AA596" s="712"/>
      <c r="AB596" s="712"/>
      <c r="AC596" s="712"/>
      <c r="AD596" s="712"/>
      <c r="AE596" s="712"/>
      <c r="AF596" s="712"/>
      <c r="AG596" s="712"/>
      <c r="AH596" s="712"/>
      <c r="AI596" s="712"/>
      <c r="AJ596" s="712"/>
      <c r="AK596" s="712"/>
      <c r="AL596" s="712"/>
      <c r="AM596" s="712"/>
      <c r="AN596" s="712"/>
      <c r="AO596" s="712"/>
    </row>
    <row r="597">
      <c r="G597" s="712"/>
      <c r="H597" s="712"/>
      <c r="I597" s="712"/>
      <c r="J597" s="712"/>
      <c r="K597" s="712"/>
      <c r="L597" s="712"/>
      <c r="M597" s="712"/>
      <c r="N597" s="712"/>
      <c r="O597" s="712"/>
      <c r="P597" s="712"/>
      <c r="Q597" s="712"/>
      <c r="R597" s="712"/>
      <c r="S597" s="712"/>
      <c r="T597" s="712"/>
      <c r="U597" s="712"/>
      <c r="V597" s="712"/>
      <c r="W597" s="712"/>
      <c r="X597" s="712"/>
      <c r="Y597" s="712"/>
      <c r="Z597" s="712"/>
      <c r="AA597" s="712"/>
      <c r="AB597" s="712"/>
      <c r="AC597" s="712"/>
      <c r="AD597" s="712"/>
      <c r="AE597" s="712"/>
      <c r="AF597" s="712"/>
      <c r="AG597" s="712"/>
      <c r="AH597" s="712"/>
      <c r="AI597" s="712"/>
      <c r="AJ597" s="712"/>
      <c r="AK597" s="712"/>
      <c r="AL597" s="712"/>
      <c r="AM597" s="712"/>
      <c r="AN597" s="712"/>
      <c r="AO597" s="712"/>
    </row>
    <row r="598">
      <c r="G598" s="712"/>
      <c r="H598" s="712"/>
      <c r="I598" s="712"/>
      <c r="J598" s="712"/>
      <c r="K598" s="712"/>
      <c r="L598" s="712"/>
      <c r="M598" s="712"/>
      <c r="N598" s="712"/>
      <c r="O598" s="712"/>
      <c r="P598" s="712"/>
      <c r="Q598" s="712"/>
      <c r="R598" s="712"/>
      <c r="S598" s="712"/>
      <c r="T598" s="712"/>
      <c r="U598" s="712"/>
      <c r="V598" s="712"/>
      <c r="W598" s="712"/>
      <c r="X598" s="712"/>
      <c r="Y598" s="712"/>
      <c r="Z598" s="712"/>
      <c r="AA598" s="712"/>
      <c r="AB598" s="712"/>
      <c r="AC598" s="712"/>
      <c r="AD598" s="712"/>
      <c r="AE598" s="712"/>
      <c r="AF598" s="712"/>
      <c r="AG598" s="712"/>
      <c r="AH598" s="712"/>
      <c r="AI598" s="712"/>
      <c r="AJ598" s="712"/>
      <c r="AK598" s="712"/>
      <c r="AL598" s="712"/>
      <c r="AM598" s="712"/>
      <c r="AN598" s="712"/>
      <c r="AO598" s="712"/>
    </row>
    <row r="599">
      <c r="G599" s="712"/>
      <c r="H599" s="712"/>
      <c r="I599" s="712"/>
      <c r="J599" s="712"/>
      <c r="K599" s="712"/>
      <c r="L599" s="712"/>
      <c r="M599" s="712"/>
      <c r="N599" s="712"/>
      <c r="O599" s="712"/>
      <c r="P599" s="712"/>
      <c r="Q599" s="712"/>
      <c r="R599" s="712"/>
      <c r="S599" s="712"/>
      <c r="T599" s="712"/>
      <c r="U599" s="712"/>
      <c r="V599" s="712"/>
      <c r="W599" s="712"/>
      <c r="X599" s="712"/>
      <c r="Y599" s="712"/>
      <c r="Z599" s="712"/>
      <c r="AA599" s="712"/>
      <c r="AB599" s="712"/>
      <c r="AC599" s="712"/>
      <c r="AD599" s="712"/>
      <c r="AE599" s="712"/>
      <c r="AF599" s="712"/>
      <c r="AG599" s="712"/>
      <c r="AH599" s="712"/>
      <c r="AI599" s="712"/>
      <c r="AJ599" s="712"/>
      <c r="AK599" s="712"/>
      <c r="AL599" s="712"/>
      <c r="AM599" s="712"/>
      <c r="AN599" s="712"/>
      <c r="AO599" s="712"/>
    </row>
    <row r="600">
      <c r="G600" s="712"/>
      <c r="H600" s="712"/>
      <c r="I600" s="712"/>
      <c r="J600" s="712"/>
      <c r="K600" s="712"/>
      <c r="L600" s="712"/>
      <c r="M600" s="712"/>
      <c r="N600" s="712"/>
      <c r="O600" s="712"/>
      <c r="P600" s="712"/>
      <c r="Q600" s="712"/>
      <c r="R600" s="712"/>
      <c r="S600" s="712"/>
      <c r="T600" s="712"/>
      <c r="U600" s="712"/>
      <c r="V600" s="712"/>
      <c r="W600" s="712"/>
      <c r="X600" s="712"/>
      <c r="Y600" s="712"/>
      <c r="Z600" s="712"/>
      <c r="AA600" s="712"/>
      <c r="AB600" s="712"/>
      <c r="AC600" s="712"/>
      <c r="AD600" s="712"/>
      <c r="AE600" s="712"/>
      <c r="AF600" s="712"/>
      <c r="AG600" s="712"/>
      <c r="AH600" s="712"/>
      <c r="AI600" s="712"/>
      <c r="AJ600" s="712"/>
      <c r="AK600" s="712"/>
      <c r="AL600" s="712"/>
      <c r="AM600" s="712"/>
      <c r="AN600" s="712"/>
      <c r="AO600" s="712"/>
    </row>
    <row r="601">
      <c r="G601" s="712"/>
      <c r="H601" s="712"/>
      <c r="I601" s="712"/>
      <c r="J601" s="712"/>
      <c r="K601" s="712"/>
      <c r="L601" s="712"/>
      <c r="M601" s="712"/>
      <c r="N601" s="712"/>
      <c r="O601" s="712"/>
      <c r="P601" s="712"/>
      <c r="Q601" s="712"/>
      <c r="R601" s="712"/>
      <c r="S601" s="712"/>
      <c r="T601" s="712"/>
      <c r="U601" s="712"/>
      <c r="V601" s="712"/>
      <c r="W601" s="712"/>
      <c r="X601" s="712"/>
      <c r="Y601" s="712"/>
      <c r="Z601" s="712"/>
      <c r="AA601" s="712"/>
      <c r="AB601" s="712"/>
      <c r="AC601" s="712"/>
      <c r="AD601" s="712"/>
      <c r="AE601" s="712"/>
      <c r="AF601" s="712"/>
      <c r="AG601" s="712"/>
      <c r="AH601" s="712"/>
      <c r="AI601" s="712"/>
      <c r="AJ601" s="712"/>
      <c r="AK601" s="712"/>
      <c r="AL601" s="712"/>
      <c r="AM601" s="712"/>
      <c r="AN601" s="712"/>
      <c r="AO601" s="712"/>
    </row>
    <row r="602">
      <c r="G602" s="712"/>
      <c r="H602" s="712"/>
      <c r="I602" s="712"/>
      <c r="J602" s="712"/>
      <c r="K602" s="712"/>
      <c r="L602" s="712"/>
      <c r="M602" s="712"/>
      <c r="N602" s="712"/>
      <c r="O602" s="712"/>
      <c r="P602" s="712"/>
      <c r="Q602" s="712"/>
      <c r="R602" s="712"/>
      <c r="S602" s="712"/>
      <c r="T602" s="712"/>
      <c r="U602" s="712"/>
      <c r="V602" s="712"/>
      <c r="W602" s="712"/>
      <c r="X602" s="712"/>
      <c r="Y602" s="712"/>
      <c r="Z602" s="712"/>
      <c r="AA602" s="712"/>
      <c r="AB602" s="712"/>
      <c r="AC602" s="712"/>
      <c r="AD602" s="712"/>
      <c r="AE602" s="712"/>
      <c r="AF602" s="712"/>
      <c r="AG602" s="712"/>
      <c r="AH602" s="712"/>
      <c r="AI602" s="712"/>
      <c r="AJ602" s="712"/>
      <c r="AK602" s="712"/>
      <c r="AL602" s="712"/>
      <c r="AM602" s="712"/>
      <c r="AN602" s="712"/>
      <c r="AO602" s="712"/>
    </row>
    <row r="603">
      <c r="G603" s="712"/>
      <c r="H603" s="712"/>
      <c r="I603" s="712"/>
      <c r="J603" s="712"/>
      <c r="K603" s="712"/>
      <c r="L603" s="712"/>
      <c r="M603" s="712"/>
      <c r="N603" s="712"/>
      <c r="O603" s="712"/>
      <c r="P603" s="712"/>
      <c r="Q603" s="712"/>
      <c r="R603" s="712"/>
      <c r="S603" s="712"/>
      <c r="T603" s="712"/>
      <c r="U603" s="712"/>
      <c r="V603" s="712"/>
      <c r="W603" s="712"/>
      <c r="X603" s="712"/>
      <c r="Y603" s="712"/>
      <c r="Z603" s="712"/>
      <c r="AA603" s="712"/>
      <c r="AB603" s="712"/>
      <c r="AC603" s="712"/>
      <c r="AD603" s="712"/>
      <c r="AE603" s="712"/>
      <c r="AF603" s="712"/>
      <c r="AG603" s="712"/>
      <c r="AH603" s="712"/>
      <c r="AI603" s="712"/>
      <c r="AJ603" s="712"/>
      <c r="AK603" s="712"/>
      <c r="AL603" s="712"/>
      <c r="AM603" s="712"/>
      <c r="AN603" s="712"/>
      <c r="AO603" s="712"/>
    </row>
    <row r="604">
      <c r="G604" s="712"/>
      <c r="H604" s="712"/>
      <c r="I604" s="712"/>
      <c r="J604" s="712"/>
      <c r="K604" s="712"/>
      <c r="L604" s="712"/>
      <c r="M604" s="712"/>
      <c r="N604" s="712"/>
      <c r="O604" s="712"/>
      <c r="P604" s="712"/>
      <c r="Q604" s="712"/>
      <c r="R604" s="712"/>
      <c r="S604" s="712"/>
      <c r="T604" s="712"/>
      <c r="U604" s="712"/>
      <c r="V604" s="712"/>
      <c r="W604" s="712"/>
      <c r="X604" s="712"/>
      <c r="Y604" s="712"/>
      <c r="Z604" s="712"/>
      <c r="AA604" s="712"/>
      <c r="AB604" s="712"/>
      <c r="AC604" s="712"/>
      <c r="AD604" s="712"/>
      <c r="AE604" s="712"/>
      <c r="AF604" s="712"/>
      <c r="AG604" s="712"/>
      <c r="AH604" s="712"/>
      <c r="AI604" s="712"/>
      <c r="AJ604" s="712"/>
      <c r="AK604" s="712"/>
      <c r="AL604" s="712"/>
      <c r="AM604" s="712"/>
      <c r="AN604" s="712"/>
      <c r="AO604" s="712"/>
    </row>
    <row r="605">
      <c r="G605" s="712"/>
      <c r="H605" s="712"/>
      <c r="I605" s="712"/>
      <c r="J605" s="712"/>
      <c r="K605" s="712"/>
      <c r="L605" s="712"/>
      <c r="M605" s="712"/>
      <c r="N605" s="712"/>
      <c r="O605" s="712"/>
      <c r="P605" s="712"/>
      <c r="Q605" s="712"/>
      <c r="R605" s="712"/>
      <c r="S605" s="712"/>
      <c r="T605" s="712"/>
      <c r="U605" s="712"/>
      <c r="V605" s="712"/>
      <c r="W605" s="712"/>
      <c r="X605" s="712"/>
      <c r="Y605" s="712"/>
      <c r="Z605" s="712"/>
      <c r="AA605" s="712"/>
      <c r="AB605" s="712"/>
      <c r="AC605" s="712"/>
      <c r="AD605" s="712"/>
      <c r="AE605" s="712"/>
      <c r="AF605" s="712"/>
      <c r="AG605" s="712"/>
      <c r="AH605" s="712"/>
      <c r="AI605" s="712"/>
      <c r="AJ605" s="712"/>
      <c r="AK605" s="712"/>
      <c r="AL605" s="712"/>
      <c r="AM605" s="712"/>
      <c r="AN605" s="712"/>
      <c r="AO605" s="712"/>
    </row>
    <row r="606">
      <c r="G606" s="712"/>
      <c r="H606" s="712"/>
      <c r="I606" s="712"/>
      <c r="J606" s="712"/>
      <c r="K606" s="712"/>
      <c r="L606" s="712"/>
      <c r="M606" s="712"/>
      <c r="N606" s="712"/>
      <c r="O606" s="712"/>
      <c r="P606" s="712"/>
      <c r="Q606" s="712"/>
      <c r="R606" s="712"/>
      <c r="S606" s="712"/>
      <c r="T606" s="712"/>
      <c r="U606" s="712"/>
      <c r="V606" s="712"/>
      <c r="W606" s="712"/>
      <c r="X606" s="712"/>
      <c r="Y606" s="712"/>
      <c r="Z606" s="712"/>
      <c r="AA606" s="712"/>
      <c r="AB606" s="712"/>
      <c r="AC606" s="712"/>
      <c r="AD606" s="712"/>
      <c r="AE606" s="712"/>
      <c r="AF606" s="712"/>
      <c r="AG606" s="712"/>
      <c r="AH606" s="712"/>
      <c r="AI606" s="712"/>
      <c r="AJ606" s="712"/>
      <c r="AK606" s="712"/>
      <c r="AL606" s="712"/>
      <c r="AM606" s="712"/>
      <c r="AN606" s="712"/>
      <c r="AO606" s="712"/>
    </row>
    <row r="607">
      <c r="G607" s="712"/>
      <c r="H607" s="712"/>
      <c r="I607" s="712"/>
      <c r="J607" s="712"/>
      <c r="K607" s="712"/>
      <c r="L607" s="712"/>
      <c r="M607" s="712"/>
      <c r="N607" s="712"/>
      <c r="O607" s="712"/>
      <c r="P607" s="712"/>
      <c r="Q607" s="712"/>
      <c r="R607" s="712"/>
      <c r="S607" s="712"/>
      <c r="T607" s="712"/>
      <c r="U607" s="712"/>
      <c r="V607" s="712"/>
      <c r="W607" s="712"/>
      <c r="X607" s="712"/>
      <c r="Y607" s="712"/>
      <c r="Z607" s="712"/>
      <c r="AA607" s="712"/>
      <c r="AB607" s="712"/>
      <c r="AC607" s="712"/>
      <c r="AD607" s="712"/>
      <c r="AE607" s="712"/>
      <c r="AF607" s="712"/>
      <c r="AG607" s="712"/>
      <c r="AH607" s="712"/>
      <c r="AI607" s="712"/>
      <c r="AJ607" s="712"/>
      <c r="AK607" s="712"/>
      <c r="AL607" s="712"/>
      <c r="AM607" s="712"/>
      <c r="AN607" s="712"/>
      <c r="AO607" s="712"/>
    </row>
    <row r="608">
      <c r="G608" s="712"/>
      <c r="H608" s="712"/>
      <c r="I608" s="712"/>
      <c r="J608" s="712"/>
      <c r="K608" s="712"/>
      <c r="L608" s="712"/>
      <c r="M608" s="712"/>
      <c r="N608" s="712"/>
      <c r="O608" s="712"/>
      <c r="P608" s="712"/>
      <c r="Q608" s="712"/>
      <c r="R608" s="712"/>
      <c r="S608" s="712"/>
      <c r="T608" s="712"/>
      <c r="U608" s="712"/>
      <c r="V608" s="712"/>
      <c r="W608" s="712"/>
      <c r="X608" s="712"/>
      <c r="Y608" s="712"/>
      <c r="Z608" s="712"/>
      <c r="AA608" s="712"/>
      <c r="AB608" s="712"/>
      <c r="AC608" s="712"/>
      <c r="AD608" s="712"/>
      <c r="AE608" s="712"/>
      <c r="AF608" s="712"/>
      <c r="AG608" s="712"/>
      <c r="AH608" s="712"/>
      <c r="AI608" s="712"/>
      <c r="AJ608" s="712"/>
      <c r="AK608" s="712"/>
      <c r="AL608" s="712"/>
      <c r="AM608" s="712"/>
      <c r="AN608" s="712"/>
      <c r="AO608" s="712"/>
    </row>
    <row r="609">
      <c r="G609" s="712"/>
      <c r="H609" s="712"/>
      <c r="I609" s="712"/>
      <c r="J609" s="712"/>
      <c r="K609" s="712"/>
      <c r="L609" s="712"/>
      <c r="M609" s="712"/>
      <c r="N609" s="712"/>
      <c r="O609" s="712"/>
      <c r="P609" s="712"/>
      <c r="Q609" s="712"/>
      <c r="R609" s="712"/>
      <c r="S609" s="712"/>
      <c r="T609" s="712"/>
      <c r="U609" s="712"/>
      <c r="V609" s="712"/>
      <c r="W609" s="712"/>
      <c r="X609" s="712"/>
      <c r="Y609" s="712"/>
      <c r="Z609" s="712"/>
      <c r="AA609" s="712"/>
      <c r="AB609" s="712"/>
      <c r="AC609" s="712"/>
      <c r="AD609" s="712"/>
      <c r="AE609" s="712"/>
      <c r="AF609" s="712"/>
      <c r="AG609" s="712"/>
      <c r="AH609" s="712"/>
      <c r="AI609" s="712"/>
      <c r="AJ609" s="712"/>
      <c r="AK609" s="712"/>
      <c r="AL609" s="712"/>
      <c r="AM609" s="712"/>
      <c r="AN609" s="712"/>
      <c r="AO609" s="712"/>
    </row>
    <row r="610">
      <c r="G610" s="712"/>
      <c r="H610" s="712"/>
      <c r="I610" s="712"/>
      <c r="J610" s="712"/>
      <c r="K610" s="712"/>
      <c r="L610" s="712"/>
      <c r="M610" s="712"/>
      <c r="N610" s="712"/>
      <c r="O610" s="712"/>
      <c r="P610" s="712"/>
      <c r="Q610" s="712"/>
      <c r="R610" s="712"/>
      <c r="S610" s="712"/>
      <c r="T610" s="712"/>
      <c r="U610" s="712"/>
      <c r="V610" s="712"/>
      <c r="W610" s="712"/>
      <c r="X610" s="712"/>
      <c r="Y610" s="712"/>
      <c r="Z610" s="712"/>
      <c r="AA610" s="712"/>
      <c r="AB610" s="712"/>
      <c r="AC610" s="712"/>
      <c r="AD610" s="712"/>
      <c r="AE610" s="712"/>
      <c r="AF610" s="712"/>
      <c r="AG610" s="712"/>
      <c r="AH610" s="712"/>
      <c r="AI610" s="712"/>
      <c r="AJ610" s="712"/>
      <c r="AK610" s="712"/>
      <c r="AL610" s="712"/>
      <c r="AM610" s="712"/>
      <c r="AN610" s="712"/>
      <c r="AO610" s="712"/>
    </row>
    <row r="611">
      <c r="G611" s="712"/>
      <c r="H611" s="712"/>
      <c r="I611" s="712"/>
      <c r="J611" s="712"/>
      <c r="K611" s="712"/>
      <c r="L611" s="712"/>
      <c r="M611" s="712"/>
      <c r="N611" s="712"/>
      <c r="O611" s="712"/>
      <c r="P611" s="712"/>
      <c r="Q611" s="712"/>
      <c r="R611" s="712"/>
      <c r="S611" s="712"/>
      <c r="T611" s="712"/>
      <c r="U611" s="712"/>
      <c r="V611" s="712"/>
      <c r="W611" s="712"/>
      <c r="X611" s="712"/>
      <c r="Y611" s="712"/>
      <c r="Z611" s="712"/>
      <c r="AA611" s="712"/>
      <c r="AB611" s="712"/>
      <c r="AC611" s="712"/>
      <c r="AD611" s="712"/>
      <c r="AE611" s="712"/>
      <c r="AF611" s="712"/>
      <c r="AG611" s="712"/>
      <c r="AH611" s="712"/>
      <c r="AI611" s="712"/>
      <c r="AJ611" s="712"/>
      <c r="AK611" s="712"/>
      <c r="AL611" s="712"/>
      <c r="AM611" s="712"/>
      <c r="AN611" s="712"/>
      <c r="AO611" s="712"/>
    </row>
    <row r="612">
      <c r="G612" s="712"/>
      <c r="H612" s="712"/>
      <c r="I612" s="712"/>
      <c r="J612" s="712"/>
      <c r="K612" s="712"/>
      <c r="L612" s="712"/>
      <c r="M612" s="712"/>
      <c r="N612" s="712"/>
      <c r="O612" s="712"/>
      <c r="P612" s="712"/>
      <c r="Q612" s="712"/>
      <c r="R612" s="712"/>
      <c r="S612" s="712"/>
      <c r="T612" s="712"/>
      <c r="U612" s="712"/>
      <c r="V612" s="712"/>
      <c r="W612" s="712"/>
      <c r="X612" s="712"/>
      <c r="Y612" s="712"/>
      <c r="Z612" s="712"/>
      <c r="AA612" s="712"/>
      <c r="AB612" s="712"/>
      <c r="AC612" s="712"/>
      <c r="AD612" s="712"/>
      <c r="AE612" s="712"/>
      <c r="AF612" s="712"/>
      <c r="AG612" s="712"/>
      <c r="AH612" s="712"/>
      <c r="AI612" s="712"/>
      <c r="AJ612" s="712"/>
      <c r="AK612" s="712"/>
      <c r="AL612" s="712"/>
      <c r="AM612" s="712"/>
      <c r="AN612" s="712"/>
      <c r="AO612" s="712"/>
    </row>
    <row r="613">
      <c r="G613" s="712"/>
      <c r="H613" s="712"/>
      <c r="I613" s="712"/>
      <c r="J613" s="712"/>
      <c r="K613" s="712"/>
      <c r="L613" s="712"/>
      <c r="M613" s="712"/>
      <c r="N613" s="712"/>
      <c r="O613" s="712"/>
      <c r="P613" s="712"/>
      <c r="Q613" s="712"/>
      <c r="R613" s="712"/>
      <c r="S613" s="712"/>
      <c r="T613" s="712"/>
      <c r="U613" s="712"/>
      <c r="V613" s="712"/>
      <c r="W613" s="712"/>
      <c r="X613" s="712"/>
      <c r="Y613" s="712"/>
      <c r="Z613" s="712"/>
      <c r="AA613" s="712"/>
      <c r="AB613" s="712"/>
      <c r="AC613" s="712"/>
      <c r="AD613" s="712"/>
      <c r="AE613" s="712"/>
      <c r="AF613" s="712"/>
      <c r="AG613" s="712"/>
      <c r="AH613" s="712"/>
      <c r="AI613" s="712"/>
      <c r="AJ613" s="712"/>
      <c r="AK613" s="712"/>
      <c r="AL613" s="712"/>
      <c r="AM613" s="712"/>
      <c r="AN613" s="712"/>
      <c r="AO613" s="712"/>
    </row>
    <row r="614">
      <c r="G614" s="712"/>
      <c r="H614" s="712"/>
      <c r="I614" s="712"/>
      <c r="J614" s="712"/>
      <c r="K614" s="712"/>
      <c r="L614" s="712"/>
      <c r="M614" s="712"/>
      <c r="N614" s="712"/>
      <c r="O614" s="712"/>
      <c r="P614" s="712"/>
      <c r="Q614" s="712"/>
      <c r="R614" s="712"/>
      <c r="S614" s="712"/>
      <c r="T614" s="712"/>
      <c r="U614" s="712"/>
      <c r="V614" s="712"/>
      <c r="W614" s="712"/>
      <c r="X614" s="712"/>
      <c r="Y614" s="712"/>
      <c r="Z614" s="712"/>
      <c r="AA614" s="712"/>
      <c r="AB614" s="712"/>
      <c r="AC614" s="712"/>
      <c r="AD614" s="712"/>
      <c r="AE614" s="712"/>
      <c r="AF614" s="712"/>
      <c r="AG614" s="712"/>
      <c r="AH614" s="712"/>
      <c r="AI614" s="712"/>
      <c r="AJ614" s="712"/>
      <c r="AK614" s="712"/>
      <c r="AL614" s="712"/>
      <c r="AM614" s="712"/>
      <c r="AN614" s="712"/>
      <c r="AO614" s="712"/>
    </row>
    <row r="615">
      <c r="G615" s="712"/>
      <c r="H615" s="712"/>
      <c r="I615" s="712"/>
      <c r="J615" s="712"/>
      <c r="K615" s="712"/>
      <c r="L615" s="712"/>
      <c r="M615" s="712"/>
      <c r="N615" s="712"/>
      <c r="O615" s="712"/>
      <c r="P615" s="712"/>
      <c r="Q615" s="712"/>
      <c r="R615" s="712"/>
      <c r="S615" s="712"/>
      <c r="T615" s="712"/>
      <c r="U615" s="712"/>
      <c r="V615" s="712"/>
      <c r="W615" s="712"/>
      <c r="X615" s="712"/>
      <c r="Y615" s="712"/>
      <c r="Z615" s="712"/>
      <c r="AA615" s="712"/>
      <c r="AB615" s="712"/>
      <c r="AC615" s="712"/>
      <c r="AD615" s="712"/>
      <c r="AE615" s="712"/>
      <c r="AF615" s="712"/>
      <c r="AG615" s="712"/>
      <c r="AH615" s="712"/>
      <c r="AI615" s="712"/>
      <c r="AJ615" s="712"/>
      <c r="AK615" s="712"/>
      <c r="AL615" s="712"/>
      <c r="AM615" s="712"/>
      <c r="AN615" s="712"/>
      <c r="AO615" s="712"/>
    </row>
    <row r="616">
      <c r="G616" s="712"/>
      <c r="H616" s="712"/>
      <c r="I616" s="712"/>
      <c r="J616" s="712"/>
      <c r="K616" s="712"/>
      <c r="L616" s="712"/>
      <c r="M616" s="712"/>
      <c r="N616" s="712"/>
      <c r="O616" s="712"/>
      <c r="P616" s="712"/>
      <c r="Q616" s="712"/>
      <c r="R616" s="712"/>
      <c r="S616" s="712"/>
      <c r="T616" s="712"/>
      <c r="U616" s="712"/>
      <c r="V616" s="712"/>
      <c r="W616" s="712"/>
      <c r="X616" s="712"/>
      <c r="Y616" s="712"/>
      <c r="Z616" s="712"/>
      <c r="AA616" s="712"/>
      <c r="AB616" s="712"/>
      <c r="AC616" s="712"/>
      <c r="AD616" s="712"/>
      <c r="AE616" s="712"/>
      <c r="AF616" s="712"/>
      <c r="AG616" s="712"/>
      <c r="AH616" s="712"/>
      <c r="AI616" s="712"/>
      <c r="AJ616" s="712"/>
      <c r="AK616" s="712"/>
      <c r="AL616" s="712"/>
      <c r="AM616" s="712"/>
      <c r="AN616" s="712"/>
      <c r="AO616" s="712"/>
    </row>
    <row r="617">
      <c r="G617" s="712"/>
      <c r="H617" s="712"/>
      <c r="I617" s="712"/>
      <c r="J617" s="712"/>
      <c r="K617" s="712"/>
      <c r="L617" s="712"/>
      <c r="M617" s="712"/>
      <c r="N617" s="712"/>
      <c r="O617" s="712"/>
      <c r="P617" s="712"/>
      <c r="Q617" s="712"/>
      <c r="R617" s="712"/>
      <c r="S617" s="712"/>
      <c r="T617" s="712"/>
      <c r="U617" s="712"/>
      <c r="V617" s="712"/>
      <c r="W617" s="712"/>
      <c r="X617" s="712"/>
      <c r="Y617" s="712"/>
      <c r="Z617" s="712"/>
      <c r="AA617" s="712"/>
      <c r="AB617" s="712"/>
      <c r="AC617" s="712"/>
      <c r="AD617" s="712"/>
      <c r="AE617" s="712"/>
      <c r="AF617" s="712"/>
      <c r="AG617" s="712"/>
      <c r="AH617" s="712"/>
      <c r="AI617" s="712"/>
      <c r="AJ617" s="712"/>
      <c r="AK617" s="712"/>
      <c r="AL617" s="712"/>
      <c r="AM617" s="712"/>
      <c r="AN617" s="712"/>
      <c r="AO617" s="712"/>
    </row>
    <row r="618">
      <c r="G618" s="712"/>
      <c r="H618" s="712"/>
      <c r="I618" s="712"/>
      <c r="J618" s="712"/>
      <c r="K618" s="712"/>
      <c r="L618" s="712"/>
      <c r="M618" s="712"/>
      <c r="N618" s="712"/>
      <c r="O618" s="712"/>
      <c r="P618" s="712"/>
      <c r="Q618" s="712"/>
      <c r="R618" s="712"/>
      <c r="S618" s="712"/>
      <c r="T618" s="712"/>
      <c r="U618" s="712"/>
      <c r="V618" s="712"/>
      <c r="W618" s="712"/>
      <c r="X618" s="712"/>
      <c r="Y618" s="712"/>
      <c r="Z618" s="712"/>
      <c r="AA618" s="712"/>
      <c r="AB618" s="712"/>
      <c r="AC618" s="712"/>
      <c r="AD618" s="712"/>
      <c r="AE618" s="712"/>
      <c r="AF618" s="712"/>
      <c r="AG618" s="712"/>
      <c r="AH618" s="712"/>
      <c r="AI618" s="712"/>
      <c r="AJ618" s="712"/>
      <c r="AK618" s="712"/>
      <c r="AL618" s="712"/>
      <c r="AM618" s="712"/>
      <c r="AN618" s="712"/>
      <c r="AO618" s="712"/>
    </row>
    <row r="619">
      <c r="G619" s="712"/>
      <c r="H619" s="712"/>
      <c r="I619" s="712"/>
      <c r="J619" s="712"/>
      <c r="K619" s="712"/>
      <c r="L619" s="712"/>
      <c r="M619" s="712"/>
      <c r="N619" s="712"/>
      <c r="O619" s="712"/>
      <c r="P619" s="712"/>
      <c r="Q619" s="712"/>
      <c r="R619" s="712"/>
      <c r="S619" s="712"/>
      <c r="T619" s="712"/>
      <c r="U619" s="712"/>
      <c r="V619" s="712"/>
      <c r="W619" s="712"/>
      <c r="X619" s="712"/>
      <c r="Y619" s="712"/>
      <c r="Z619" s="712"/>
      <c r="AA619" s="712"/>
      <c r="AB619" s="712"/>
      <c r="AC619" s="712"/>
      <c r="AD619" s="712"/>
      <c r="AE619" s="712"/>
      <c r="AF619" s="712"/>
      <c r="AG619" s="712"/>
      <c r="AH619" s="712"/>
      <c r="AI619" s="712"/>
      <c r="AJ619" s="712"/>
      <c r="AK619" s="712"/>
      <c r="AL619" s="712"/>
      <c r="AM619" s="712"/>
      <c r="AN619" s="712"/>
      <c r="AO619" s="712"/>
    </row>
    <row r="620">
      <c r="G620" s="712"/>
      <c r="H620" s="712"/>
      <c r="I620" s="712"/>
      <c r="J620" s="712"/>
      <c r="K620" s="712"/>
      <c r="L620" s="712"/>
      <c r="M620" s="712"/>
      <c r="N620" s="712"/>
      <c r="O620" s="712"/>
      <c r="P620" s="712"/>
      <c r="Q620" s="712"/>
      <c r="R620" s="712"/>
      <c r="S620" s="712"/>
      <c r="T620" s="712"/>
      <c r="U620" s="712"/>
      <c r="V620" s="712"/>
      <c r="W620" s="712"/>
      <c r="X620" s="712"/>
      <c r="Y620" s="712"/>
      <c r="Z620" s="712"/>
      <c r="AA620" s="712"/>
      <c r="AB620" s="712"/>
      <c r="AC620" s="712"/>
      <c r="AD620" s="712"/>
      <c r="AE620" s="712"/>
      <c r="AF620" s="712"/>
      <c r="AG620" s="712"/>
      <c r="AH620" s="712"/>
      <c r="AI620" s="712"/>
      <c r="AJ620" s="712"/>
      <c r="AK620" s="712"/>
      <c r="AL620" s="712"/>
      <c r="AM620" s="712"/>
      <c r="AN620" s="712"/>
      <c r="AO620" s="712"/>
    </row>
    <row r="621">
      <c r="G621" s="712"/>
      <c r="H621" s="712"/>
      <c r="I621" s="712"/>
      <c r="J621" s="712"/>
      <c r="K621" s="712"/>
      <c r="L621" s="712"/>
      <c r="M621" s="712"/>
      <c r="N621" s="712"/>
      <c r="O621" s="712"/>
      <c r="P621" s="712"/>
      <c r="Q621" s="712"/>
      <c r="R621" s="712"/>
      <c r="S621" s="712"/>
      <c r="T621" s="712"/>
      <c r="U621" s="712"/>
      <c r="V621" s="712"/>
      <c r="W621" s="712"/>
      <c r="X621" s="712"/>
      <c r="Y621" s="712"/>
      <c r="Z621" s="712"/>
      <c r="AA621" s="712"/>
      <c r="AB621" s="712"/>
      <c r="AC621" s="712"/>
      <c r="AD621" s="712"/>
      <c r="AE621" s="712"/>
      <c r="AF621" s="712"/>
      <c r="AG621" s="712"/>
      <c r="AH621" s="712"/>
      <c r="AI621" s="712"/>
      <c r="AJ621" s="712"/>
      <c r="AK621" s="712"/>
      <c r="AL621" s="712"/>
      <c r="AM621" s="712"/>
      <c r="AN621" s="712"/>
      <c r="AO621" s="712"/>
    </row>
    <row r="622">
      <c r="G622" s="712"/>
      <c r="H622" s="712"/>
      <c r="I622" s="712"/>
      <c r="J622" s="712"/>
      <c r="K622" s="712"/>
      <c r="L622" s="712"/>
      <c r="M622" s="712"/>
      <c r="N622" s="712"/>
      <c r="O622" s="712"/>
      <c r="P622" s="712"/>
      <c r="Q622" s="712"/>
      <c r="R622" s="712"/>
      <c r="S622" s="712"/>
      <c r="T622" s="712"/>
      <c r="U622" s="712"/>
      <c r="V622" s="712"/>
      <c r="W622" s="712"/>
      <c r="X622" s="712"/>
      <c r="Y622" s="712"/>
      <c r="Z622" s="712"/>
      <c r="AA622" s="712"/>
      <c r="AB622" s="712"/>
      <c r="AC622" s="712"/>
      <c r="AD622" s="712"/>
      <c r="AE622" s="712"/>
      <c r="AF622" s="712"/>
      <c r="AG622" s="712"/>
      <c r="AH622" s="712"/>
      <c r="AI622" s="712"/>
      <c r="AJ622" s="712"/>
      <c r="AK622" s="712"/>
      <c r="AL622" s="712"/>
      <c r="AM622" s="712"/>
      <c r="AN622" s="712"/>
      <c r="AO622" s="712"/>
    </row>
    <row r="623">
      <c r="G623" s="712"/>
      <c r="H623" s="712"/>
      <c r="I623" s="712"/>
      <c r="J623" s="712"/>
      <c r="K623" s="712"/>
      <c r="L623" s="712"/>
      <c r="M623" s="712"/>
      <c r="N623" s="712"/>
      <c r="O623" s="712"/>
      <c r="P623" s="712"/>
      <c r="Q623" s="712"/>
      <c r="R623" s="712"/>
      <c r="S623" s="712"/>
      <c r="T623" s="712"/>
      <c r="U623" s="712"/>
      <c r="V623" s="712"/>
      <c r="W623" s="712"/>
      <c r="X623" s="712"/>
      <c r="Y623" s="712"/>
      <c r="Z623" s="712"/>
      <c r="AA623" s="712"/>
      <c r="AB623" s="712"/>
      <c r="AC623" s="712"/>
      <c r="AD623" s="712"/>
      <c r="AE623" s="712"/>
      <c r="AF623" s="712"/>
      <c r="AG623" s="712"/>
      <c r="AH623" s="712"/>
      <c r="AI623" s="712"/>
      <c r="AJ623" s="712"/>
      <c r="AK623" s="712"/>
      <c r="AL623" s="712"/>
      <c r="AM623" s="712"/>
      <c r="AN623" s="712"/>
      <c r="AO623" s="712"/>
    </row>
    <row r="624">
      <c r="G624" s="712"/>
      <c r="H624" s="712"/>
      <c r="I624" s="712"/>
      <c r="J624" s="712"/>
      <c r="K624" s="712"/>
      <c r="L624" s="712"/>
      <c r="M624" s="712"/>
      <c r="N624" s="712"/>
      <c r="O624" s="712"/>
      <c r="P624" s="712"/>
      <c r="Q624" s="712"/>
      <c r="R624" s="712"/>
      <c r="S624" s="712"/>
      <c r="T624" s="712"/>
      <c r="U624" s="712"/>
      <c r="V624" s="712"/>
      <c r="W624" s="712"/>
      <c r="X624" s="712"/>
      <c r="Y624" s="712"/>
      <c r="Z624" s="712"/>
      <c r="AA624" s="712"/>
      <c r="AB624" s="712"/>
      <c r="AC624" s="712"/>
      <c r="AD624" s="712"/>
      <c r="AE624" s="712"/>
      <c r="AF624" s="712"/>
      <c r="AG624" s="712"/>
      <c r="AH624" s="712"/>
      <c r="AI624" s="712"/>
      <c r="AJ624" s="712"/>
      <c r="AK624" s="712"/>
      <c r="AL624" s="712"/>
      <c r="AM624" s="712"/>
      <c r="AN624" s="712"/>
      <c r="AO624" s="712"/>
    </row>
    <row r="625">
      <c r="G625" s="712"/>
      <c r="H625" s="712"/>
      <c r="I625" s="712"/>
      <c r="J625" s="712"/>
      <c r="K625" s="712"/>
      <c r="L625" s="712"/>
      <c r="M625" s="712"/>
      <c r="N625" s="712"/>
      <c r="O625" s="712"/>
      <c r="P625" s="712"/>
      <c r="Q625" s="712"/>
      <c r="R625" s="712"/>
      <c r="S625" s="712"/>
      <c r="T625" s="712"/>
      <c r="U625" s="712"/>
      <c r="V625" s="712"/>
      <c r="W625" s="712"/>
      <c r="X625" s="712"/>
      <c r="Y625" s="712"/>
      <c r="Z625" s="712"/>
      <c r="AA625" s="712"/>
      <c r="AB625" s="712"/>
      <c r="AC625" s="712"/>
      <c r="AD625" s="712"/>
      <c r="AE625" s="712"/>
      <c r="AF625" s="712"/>
      <c r="AG625" s="712"/>
      <c r="AH625" s="712"/>
      <c r="AI625" s="712"/>
      <c r="AJ625" s="712"/>
      <c r="AK625" s="712"/>
      <c r="AL625" s="712"/>
      <c r="AM625" s="712"/>
      <c r="AN625" s="712"/>
      <c r="AO625" s="712"/>
    </row>
    <row r="626">
      <c r="G626" s="712"/>
      <c r="H626" s="712"/>
      <c r="I626" s="712"/>
      <c r="J626" s="712"/>
      <c r="K626" s="712"/>
      <c r="L626" s="712"/>
      <c r="M626" s="712"/>
      <c r="N626" s="712"/>
      <c r="O626" s="712"/>
      <c r="P626" s="712"/>
      <c r="Q626" s="712"/>
      <c r="R626" s="712"/>
      <c r="S626" s="712"/>
      <c r="T626" s="712"/>
      <c r="U626" s="712"/>
      <c r="V626" s="712"/>
      <c r="W626" s="712"/>
      <c r="X626" s="712"/>
      <c r="Y626" s="712"/>
      <c r="Z626" s="712"/>
      <c r="AA626" s="712"/>
      <c r="AB626" s="712"/>
      <c r="AC626" s="712"/>
      <c r="AD626" s="712"/>
      <c r="AE626" s="712"/>
      <c r="AF626" s="712"/>
      <c r="AG626" s="712"/>
      <c r="AH626" s="712"/>
      <c r="AI626" s="712"/>
      <c r="AJ626" s="712"/>
      <c r="AK626" s="712"/>
      <c r="AL626" s="712"/>
      <c r="AM626" s="712"/>
      <c r="AN626" s="712"/>
      <c r="AO626" s="712"/>
    </row>
    <row r="627">
      <c r="G627" s="712"/>
      <c r="H627" s="712"/>
      <c r="I627" s="712"/>
      <c r="J627" s="712"/>
      <c r="K627" s="712"/>
      <c r="L627" s="712"/>
      <c r="M627" s="712"/>
      <c r="N627" s="712"/>
      <c r="O627" s="712"/>
      <c r="P627" s="712"/>
      <c r="Q627" s="712"/>
      <c r="R627" s="712"/>
      <c r="S627" s="712"/>
      <c r="T627" s="712"/>
      <c r="U627" s="712"/>
      <c r="V627" s="712"/>
      <c r="W627" s="712"/>
      <c r="X627" s="712"/>
      <c r="Y627" s="712"/>
      <c r="Z627" s="712"/>
      <c r="AA627" s="712"/>
      <c r="AB627" s="712"/>
      <c r="AC627" s="712"/>
      <c r="AD627" s="712"/>
      <c r="AE627" s="712"/>
      <c r="AF627" s="712"/>
      <c r="AG627" s="712"/>
      <c r="AH627" s="712"/>
      <c r="AI627" s="712"/>
      <c r="AJ627" s="712"/>
      <c r="AK627" s="712"/>
      <c r="AL627" s="712"/>
      <c r="AM627" s="712"/>
      <c r="AN627" s="712"/>
      <c r="AO627" s="712"/>
    </row>
    <row r="628">
      <c r="G628" s="712"/>
      <c r="H628" s="712"/>
      <c r="I628" s="712"/>
      <c r="J628" s="712"/>
      <c r="K628" s="712"/>
      <c r="L628" s="712"/>
      <c r="M628" s="712"/>
      <c r="N628" s="712"/>
      <c r="O628" s="712"/>
      <c r="P628" s="712"/>
      <c r="Q628" s="712"/>
      <c r="R628" s="712"/>
      <c r="S628" s="712"/>
      <c r="T628" s="712"/>
      <c r="U628" s="712"/>
      <c r="V628" s="712"/>
      <c r="W628" s="712"/>
      <c r="X628" s="712"/>
      <c r="Y628" s="712"/>
      <c r="Z628" s="712"/>
      <c r="AA628" s="712"/>
      <c r="AB628" s="712"/>
      <c r="AC628" s="712"/>
      <c r="AD628" s="712"/>
      <c r="AE628" s="712"/>
      <c r="AF628" s="712"/>
      <c r="AG628" s="712"/>
      <c r="AH628" s="712"/>
      <c r="AI628" s="712"/>
      <c r="AJ628" s="712"/>
      <c r="AK628" s="712"/>
      <c r="AL628" s="712"/>
      <c r="AM628" s="712"/>
      <c r="AN628" s="712"/>
      <c r="AO628" s="712"/>
    </row>
    <row r="629">
      <c r="G629" s="712"/>
      <c r="H629" s="712"/>
      <c r="I629" s="712"/>
      <c r="J629" s="712"/>
      <c r="K629" s="712"/>
      <c r="L629" s="712"/>
      <c r="M629" s="712"/>
      <c r="N629" s="712"/>
      <c r="O629" s="712"/>
      <c r="P629" s="712"/>
      <c r="Q629" s="712"/>
      <c r="R629" s="712"/>
      <c r="S629" s="712"/>
      <c r="T629" s="712"/>
      <c r="U629" s="712"/>
      <c r="V629" s="712"/>
      <c r="W629" s="712"/>
      <c r="X629" s="712"/>
      <c r="Y629" s="712"/>
      <c r="Z629" s="712"/>
      <c r="AA629" s="712"/>
      <c r="AB629" s="712"/>
      <c r="AC629" s="712"/>
      <c r="AD629" s="712"/>
      <c r="AE629" s="712"/>
      <c r="AF629" s="712"/>
      <c r="AG629" s="712"/>
      <c r="AH629" s="712"/>
      <c r="AI629" s="712"/>
      <c r="AJ629" s="712"/>
      <c r="AK629" s="712"/>
      <c r="AL629" s="712"/>
      <c r="AM629" s="712"/>
      <c r="AN629" s="712"/>
      <c r="AO629" s="712"/>
    </row>
    <row r="630">
      <c r="G630" s="712"/>
      <c r="H630" s="712"/>
      <c r="I630" s="712"/>
      <c r="J630" s="712"/>
      <c r="K630" s="712"/>
      <c r="L630" s="712"/>
      <c r="M630" s="712"/>
      <c r="N630" s="712"/>
      <c r="O630" s="712"/>
      <c r="P630" s="712"/>
      <c r="Q630" s="712"/>
      <c r="R630" s="712"/>
      <c r="S630" s="712"/>
      <c r="T630" s="712"/>
      <c r="U630" s="712"/>
      <c r="V630" s="712"/>
      <c r="W630" s="712"/>
      <c r="X630" s="712"/>
      <c r="Y630" s="712"/>
      <c r="Z630" s="712"/>
      <c r="AA630" s="712"/>
      <c r="AB630" s="712"/>
      <c r="AC630" s="712"/>
      <c r="AD630" s="712"/>
      <c r="AE630" s="712"/>
      <c r="AF630" s="712"/>
      <c r="AG630" s="712"/>
      <c r="AH630" s="712"/>
      <c r="AI630" s="712"/>
      <c r="AJ630" s="712"/>
      <c r="AK630" s="712"/>
      <c r="AL630" s="712"/>
      <c r="AM630" s="712"/>
      <c r="AN630" s="712"/>
      <c r="AO630" s="712"/>
    </row>
    <row r="631">
      <c r="G631" s="712"/>
      <c r="H631" s="712"/>
      <c r="I631" s="712"/>
      <c r="J631" s="712"/>
      <c r="K631" s="712"/>
      <c r="L631" s="712"/>
      <c r="M631" s="712"/>
      <c r="N631" s="712"/>
      <c r="O631" s="712"/>
      <c r="P631" s="712"/>
      <c r="Q631" s="712"/>
      <c r="R631" s="712"/>
      <c r="S631" s="712"/>
      <c r="T631" s="712"/>
      <c r="U631" s="712"/>
      <c r="V631" s="712"/>
      <c r="W631" s="712"/>
      <c r="X631" s="712"/>
      <c r="Y631" s="712"/>
      <c r="Z631" s="712"/>
      <c r="AA631" s="712"/>
      <c r="AB631" s="712"/>
      <c r="AC631" s="712"/>
      <c r="AD631" s="712"/>
      <c r="AE631" s="712"/>
      <c r="AF631" s="712"/>
      <c r="AG631" s="712"/>
      <c r="AH631" s="712"/>
      <c r="AI631" s="712"/>
      <c r="AJ631" s="712"/>
      <c r="AK631" s="712"/>
      <c r="AL631" s="712"/>
      <c r="AM631" s="712"/>
      <c r="AN631" s="712"/>
      <c r="AO631" s="712"/>
    </row>
    <row r="632">
      <c r="G632" s="712"/>
      <c r="H632" s="712"/>
      <c r="I632" s="712"/>
      <c r="J632" s="712"/>
      <c r="K632" s="712"/>
      <c r="L632" s="712"/>
      <c r="M632" s="712"/>
      <c r="N632" s="712"/>
      <c r="O632" s="712"/>
      <c r="P632" s="712"/>
      <c r="Q632" s="712"/>
      <c r="R632" s="712"/>
      <c r="S632" s="712"/>
      <c r="T632" s="712"/>
      <c r="U632" s="712"/>
      <c r="V632" s="712"/>
      <c r="W632" s="712"/>
      <c r="X632" s="712"/>
      <c r="Y632" s="712"/>
      <c r="Z632" s="712"/>
      <c r="AA632" s="712"/>
      <c r="AB632" s="712"/>
      <c r="AC632" s="712"/>
      <c r="AD632" s="712"/>
      <c r="AE632" s="712"/>
      <c r="AF632" s="712"/>
      <c r="AG632" s="712"/>
      <c r="AH632" s="712"/>
      <c r="AI632" s="712"/>
      <c r="AJ632" s="712"/>
      <c r="AK632" s="712"/>
      <c r="AL632" s="712"/>
      <c r="AM632" s="712"/>
      <c r="AN632" s="712"/>
      <c r="AO632" s="712"/>
    </row>
    <row r="633">
      <c r="G633" s="712"/>
      <c r="H633" s="712"/>
      <c r="I633" s="712"/>
      <c r="J633" s="712"/>
      <c r="K633" s="712"/>
      <c r="L633" s="712"/>
      <c r="M633" s="712"/>
      <c r="N633" s="712"/>
      <c r="O633" s="712"/>
      <c r="P633" s="712"/>
      <c r="Q633" s="712"/>
      <c r="R633" s="712"/>
      <c r="S633" s="712"/>
      <c r="T633" s="712"/>
      <c r="U633" s="712"/>
      <c r="V633" s="712"/>
      <c r="W633" s="712"/>
      <c r="X633" s="712"/>
      <c r="Y633" s="712"/>
      <c r="Z633" s="712"/>
      <c r="AA633" s="712"/>
      <c r="AB633" s="712"/>
      <c r="AC633" s="712"/>
      <c r="AD633" s="712"/>
      <c r="AE633" s="712"/>
      <c r="AF633" s="712"/>
      <c r="AG633" s="712"/>
      <c r="AH633" s="712"/>
      <c r="AI633" s="712"/>
      <c r="AJ633" s="712"/>
      <c r="AK633" s="712"/>
      <c r="AL633" s="712"/>
      <c r="AM633" s="712"/>
      <c r="AN633" s="712"/>
      <c r="AO633" s="712"/>
    </row>
    <row r="634">
      <c r="G634" s="712"/>
      <c r="H634" s="712"/>
      <c r="I634" s="712"/>
      <c r="J634" s="712"/>
      <c r="K634" s="712"/>
      <c r="L634" s="712"/>
      <c r="M634" s="712"/>
      <c r="N634" s="712"/>
      <c r="O634" s="712"/>
      <c r="P634" s="712"/>
      <c r="Q634" s="712"/>
      <c r="R634" s="712"/>
      <c r="S634" s="712"/>
      <c r="T634" s="712"/>
      <c r="U634" s="712"/>
      <c r="V634" s="712"/>
      <c r="W634" s="712"/>
      <c r="X634" s="712"/>
      <c r="Y634" s="712"/>
      <c r="Z634" s="712"/>
      <c r="AA634" s="712"/>
      <c r="AB634" s="712"/>
      <c r="AC634" s="712"/>
      <c r="AD634" s="712"/>
      <c r="AE634" s="712"/>
      <c r="AF634" s="712"/>
      <c r="AG634" s="712"/>
      <c r="AH634" s="712"/>
      <c r="AI634" s="712"/>
      <c r="AJ634" s="712"/>
      <c r="AK634" s="712"/>
      <c r="AL634" s="712"/>
      <c r="AM634" s="712"/>
      <c r="AN634" s="712"/>
      <c r="AO634" s="712"/>
    </row>
    <row r="635">
      <c r="G635" s="712"/>
      <c r="H635" s="712"/>
      <c r="I635" s="712"/>
      <c r="J635" s="712"/>
      <c r="K635" s="712"/>
      <c r="L635" s="712"/>
      <c r="M635" s="712"/>
      <c r="N635" s="712"/>
      <c r="O635" s="712"/>
      <c r="P635" s="712"/>
      <c r="Q635" s="712"/>
      <c r="R635" s="712"/>
      <c r="S635" s="712"/>
      <c r="T635" s="712"/>
      <c r="U635" s="712"/>
      <c r="V635" s="712"/>
      <c r="W635" s="712"/>
      <c r="X635" s="712"/>
      <c r="Y635" s="712"/>
      <c r="Z635" s="712"/>
      <c r="AA635" s="712"/>
      <c r="AB635" s="712"/>
      <c r="AC635" s="712"/>
      <c r="AD635" s="712"/>
      <c r="AE635" s="712"/>
      <c r="AF635" s="712"/>
      <c r="AG635" s="712"/>
      <c r="AH635" s="712"/>
      <c r="AI635" s="712"/>
      <c r="AJ635" s="712"/>
      <c r="AK635" s="712"/>
      <c r="AL635" s="712"/>
      <c r="AM635" s="712"/>
      <c r="AN635" s="712"/>
      <c r="AO635" s="712"/>
    </row>
    <row r="636">
      <c r="G636" s="712"/>
      <c r="H636" s="712"/>
      <c r="I636" s="712"/>
      <c r="J636" s="712"/>
      <c r="K636" s="712"/>
      <c r="L636" s="712"/>
      <c r="M636" s="712"/>
      <c r="N636" s="712"/>
      <c r="O636" s="712"/>
      <c r="P636" s="712"/>
      <c r="Q636" s="712"/>
      <c r="R636" s="712"/>
      <c r="S636" s="712"/>
      <c r="T636" s="712"/>
      <c r="U636" s="712"/>
      <c r="V636" s="712"/>
      <c r="W636" s="712"/>
      <c r="X636" s="712"/>
      <c r="Y636" s="712"/>
      <c r="Z636" s="712"/>
      <c r="AA636" s="712"/>
      <c r="AB636" s="712"/>
      <c r="AC636" s="712"/>
      <c r="AD636" s="712"/>
      <c r="AE636" s="712"/>
      <c r="AF636" s="712"/>
      <c r="AG636" s="712"/>
      <c r="AH636" s="712"/>
      <c r="AI636" s="712"/>
      <c r="AJ636" s="712"/>
      <c r="AK636" s="712"/>
      <c r="AL636" s="712"/>
      <c r="AM636" s="712"/>
      <c r="AN636" s="712"/>
      <c r="AO636" s="712"/>
    </row>
    <row r="637">
      <c r="G637" s="712"/>
      <c r="H637" s="712"/>
      <c r="I637" s="712"/>
      <c r="J637" s="712"/>
      <c r="K637" s="712"/>
      <c r="L637" s="712"/>
      <c r="M637" s="712"/>
      <c r="N637" s="712"/>
      <c r="O637" s="712"/>
      <c r="P637" s="712"/>
      <c r="Q637" s="712"/>
      <c r="R637" s="712"/>
      <c r="S637" s="712"/>
      <c r="T637" s="712"/>
      <c r="U637" s="712"/>
      <c r="V637" s="712"/>
      <c r="W637" s="712"/>
      <c r="X637" s="712"/>
      <c r="Y637" s="712"/>
      <c r="Z637" s="712"/>
      <c r="AA637" s="712"/>
      <c r="AB637" s="712"/>
      <c r="AC637" s="712"/>
      <c r="AD637" s="712"/>
      <c r="AE637" s="712"/>
      <c r="AF637" s="712"/>
      <c r="AG637" s="712"/>
      <c r="AH637" s="712"/>
      <c r="AI637" s="712"/>
      <c r="AJ637" s="712"/>
      <c r="AK637" s="712"/>
      <c r="AL637" s="712"/>
      <c r="AM637" s="712"/>
      <c r="AN637" s="712"/>
      <c r="AO637" s="712"/>
    </row>
    <row r="638">
      <c r="G638" s="712"/>
      <c r="H638" s="712"/>
      <c r="I638" s="712"/>
      <c r="J638" s="712"/>
      <c r="K638" s="712"/>
      <c r="L638" s="712"/>
      <c r="M638" s="712"/>
      <c r="N638" s="712"/>
      <c r="O638" s="712"/>
      <c r="P638" s="712"/>
      <c r="Q638" s="712"/>
      <c r="R638" s="712"/>
      <c r="S638" s="712"/>
      <c r="T638" s="712"/>
      <c r="U638" s="712"/>
      <c r="V638" s="712"/>
      <c r="W638" s="712"/>
      <c r="X638" s="712"/>
      <c r="Y638" s="712"/>
      <c r="Z638" s="712"/>
      <c r="AA638" s="712"/>
      <c r="AB638" s="712"/>
      <c r="AC638" s="712"/>
      <c r="AD638" s="712"/>
      <c r="AE638" s="712"/>
      <c r="AF638" s="712"/>
      <c r="AG638" s="712"/>
      <c r="AH638" s="712"/>
      <c r="AI638" s="712"/>
      <c r="AJ638" s="712"/>
      <c r="AK638" s="712"/>
      <c r="AL638" s="712"/>
      <c r="AM638" s="712"/>
      <c r="AN638" s="712"/>
      <c r="AO638" s="712"/>
    </row>
    <row r="639">
      <c r="G639" s="712"/>
      <c r="H639" s="712"/>
      <c r="I639" s="712"/>
      <c r="J639" s="712"/>
      <c r="K639" s="712"/>
      <c r="L639" s="712"/>
      <c r="M639" s="712"/>
      <c r="N639" s="712"/>
      <c r="O639" s="712"/>
      <c r="P639" s="712"/>
      <c r="Q639" s="712"/>
      <c r="R639" s="712"/>
      <c r="S639" s="712"/>
      <c r="T639" s="712"/>
      <c r="U639" s="712"/>
      <c r="V639" s="712"/>
      <c r="W639" s="712"/>
      <c r="X639" s="712"/>
      <c r="Y639" s="712"/>
      <c r="Z639" s="712"/>
      <c r="AA639" s="712"/>
      <c r="AB639" s="712"/>
      <c r="AC639" s="712"/>
      <c r="AD639" s="712"/>
      <c r="AE639" s="712"/>
      <c r="AF639" s="712"/>
      <c r="AG639" s="712"/>
      <c r="AH639" s="712"/>
      <c r="AI639" s="712"/>
      <c r="AJ639" s="712"/>
      <c r="AK639" s="712"/>
      <c r="AL639" s="712"/>
      <c r="AM639" s="712"/>
      <c r="AN639" s="712"/>
      <c r="AO639" s="712"/>
    </row>
    <row r="640">
      <c r="G640" s="712"/>
      <c r="H640" s="712"/>
      <c r="I640" s="712"/>
      <c r="J640" s="712"/>
      <c r="K640" s="712"/>
      <c r="L640" s="712"/>
      <c r="M640" s="712"/>
      <c r="N640" s="712"/>
      <c r="O640" s="712"/>
      <c r="P640" s="712"/>
      <c r="Q640" s="712"/>
      <c r="R640" s="712"/>
      <c r="S640" s="712"/>
      <c r="T640" s="712"/>
      <c r="U640" s="712"/>
      <c r="V640" s="712"/>
      <c r="W640" s="712"/>
      <c r="X640" s="712"/>
      <c r="Y640" s="712"/>
      <c r="Z640" s="712"/>
      <c r="AA640" s="712"/>
      <c r="AB640" s="712"/>
      <c r="AC640" s="712"/>
      <c r="AD640" s="712"/>
      <c r="AE640" s="712"/>
      <c r="AF640" s="712"/>
      <c r="AG640" s="712"/>
      <c r="AH640" s="712"/>
      <c r="AI640" s="712"/>
      <c r="AJ640" s="712"/>
      <c r="AK640" s="712"/>
      <c r="AL640" s="712"/>
      <c r="AM640" s="712"/>
      <c r="AN640" s="712"/>
      <c r="AO640" s="712"/>
    </row>
    <row r="641">
      <c r="G641" s="712"/>
      <c r="H641" s="712"/>
      <c r="I641" s="712"/>
      <c r="J641" s="712"/>
      <c r="K641" s="712"/>
      <c r="L641" s="712"/>
      <c r="M641" s="712"/>
      <c r="N641" s="712"/>
      <c r="O641" s="712"/>
      <c r="P641" s="712"/>
      <c r="Q641" s="712"/>
      <c r="R641" s="712"/>
      <c r="S641" s="712"/>
      <c r="T641" s="712"/>
      <c r="U641" s="712"/>
      <c r="V641" s="712"/>
      <c r="W641" s="712"/>
      <c r="X641" s="712"/>
      <c r="Y641" s="712"/>
      <c r="Z641" s="712"/>
      <c r="AA641" s="712"/>
      <c r="AB641" s="712"/>
      <c r="AC641" s="712"/>
      <c r="AD641" s="712"/>
      <c r="AE641" s="712"/>
      <c r="AF641" s="712"/>
      <c r="AG641" s="712"/>
      <c r="AH641" s="712"/>
      <c r="AI641" s="712"/>
      <c r="AJ641" s="712"/>
      <c r="AK641" s="712"/>
      <c r="AL641" s="712"/>
      <c r="AM641" s="712"/>
      <c r="AN641" s="712"/>
      <c r="AO641" s="712"/>
    </row>
    <row r="642">
      <c r="G642" s="712"/>
      <c r="H642" s="712"/>
      <c r="I642" s="712"/>
      <c r="J642" s="712"/>
      <c r="K642" s="712"/>
      <c r="L642" s="712"/>
      <c r="M642" s="712"/>
      <c r="N642" s="712"/>
      <c r="O642" s="712"/>
      <c r="P642" s="712"/>
      <c r="Q642" s="712"/>
      <c r="R642" s="712"/>
      <c r="S642" s="712"/>
      <c r="T642" s="712"/>
      <c r="U642" s="712"/>
      <c r="V642" s="712"/>
      <c r="W642" s="712"/>
      <c r="X642" s="712"/>
      <c r="Y642" s="712"/>
      <c r="Z642" s="712"/>
      <c r="AA642" s="712"/>
      <c r="AB642" s="712"/>
      <c r="AC642" s="712"/>
      <c r="AD642" s="712"/>
      <c r="AE642" s="712"/>
      <c r="AF642" s="712"/>
      <c r="AG642" s="712"/>
      <c r="AH642" s="712"/>
      <c r="AI642" s="712"/>
      <c r="AJ642" s="712"/>
      <c r="AK642" s="712"/>
      <c r="AL642" s="712"/>
      <c r="AM642" s="712"/>
      <c r="AN642" s="712"/>
      <c r="AO642" s="712"/>
    </row>
    <row r="643">
      <c r="G643" s="712"/>
      <c r="H643" s="712"/>
      <c r="I643" s="712"/>
      <c r="J643" s="712"/>
      <c r="K643" s="712"/>
      <c r="L643" s="712"/>
      <c r="M643" s="712"/>
      <c r="N643" s="712"/>
      <c r="O643" s="712"/>
      <c r="P643" s="712"/>
      <c r="Q643" s="712"/>
      <c r="R643" s="712"/>
      <c r="S643" s="712"/>
      <c r="T643" s="712"/>
      <c r="U643" s="712"/>
      <c r="V643" s="712"/>
      <c r="W643" s="712"/>
      <c r="X643" s="712"/>
      <c r="Y643" s="712"/>
      <c r="Z643" s="712"/>
      <c r="AA643" s="712"/>
      <c r="AB643" s="712"/>
      <c r="AC643" s="712"/>
      <c r="AD643" s="712"/>
      <c r="AE643" s="712"/>
      <c r="AF643" s="712"/>
      <c r="AG643" s="712"/>
      <c r="AH643" s="712"/>
      <c r="AI643" s="712"/>
      <c r="AJ643" s="712"/>
      <c r="AK643" s="712"/>
      <c r="AL643" s="712"/>
      <c r="AM643" s="712"/>
      <c r="AN643" s="712"/>
      <c r="AO643" s="712"/>
    </row>
    <row r="644">
      <c r="G644" s="712"/>
      <c r="H644" s="712"/>
      <c r="I644" s="712"/>
      <c r="J644" s="712"/>
      <c r="K644" s="712"/>
      <c r="L644" s="712"/>
      <c r="M644" s="712"/>
      <c r="N644" s="712"/>
      <c r="O644" s="712"/>
      <c r="P644" s="712"/>
      <c r="Q644" s="712"/>
      <c r="R644" s="712"/>
      <c r="S644" s="712"/>
      <c r="T644" s="712"/>
      <c r="U644" s="712"/>
      <c r="V644" s="712"/>
      <c r="W644" s="712"/>
      <c r="X644" s="712"/>
      <c r="Y644" s="712"/>
      <c r="Z644" s="712"/>
      <c r="AA644" s="712"/>
      <c r="AB644" s="712"/>
      <c r="AC644" s="712"/>
      <c r="AD644" s="712"/>
      <c r="AE644" s="712"/>
      <c r="AF644" s="712"/>
      <c r="AG644" s="712"/>
      <c r="AH644" s="712"/>
      <c r="AI644" s="712"/>
      <c r="AJ644" s="712"/>
      <c r="AK644" s="712"/>
      <c r="AL644" s="712"/>
      <c r="AM644" s="712"/>
      <c r="AN644" s="712"/>
      <c r="AO644" s="712"/>
    </row>
    <row r="645">
      <c r="G645" s="712"/>
      <c r="H645" s="712"/>
      <c r="I645" s="712"/>
      <c r="J645" s="712"/>
      <c r="K645" s="712"/>
      <c r="L645" s="712"/>
      <c r="M645" s="712"/>
      <c r="N645" s="712"/>
      <c r="O645" s="712"/>
      <c r="P645" s="712"/>
      <c r="Q645" s="712"/>
      <c r="R645" s="712"/>
      <c r="S645" s="712"/>
      <c r="T645" s="712"/>
      <c r="U645" s="712"/>
      <c r="V645" s="712"/>
      <c r="W645" s="712"/>
      <c r="X645" s="712"/>
      <c r="Y645" s="712"/>
      <c r="Z645" s="712"/>
      <c r="AA645" s="712"/>
      <c r="AB645" s="712"/>
      <c r="AC645" s="712"/>
      <c r="AD645" s="712"/>
      <c r="AE645" s="712"/>
      <c r="AF645" s="712"/>
      <c r="AG645" s="712"/>
      <c r="AH645" s="712"/>
      <c r="AI645" s="712"/>
      <c r="AJ645" s="712"/>
      <c r="AK645" s="712"/>
      <c r="AL645" s="712"/>
      <c r="AM645" s="712"/>
      <c r="AN645" s="712"/>
      <c r="AO645" s="712"/>
    </row>
    <row r="646">
      <c r="G646" s="712"/>
      <c r="H646" s="712"/>
      <c r="I646" s="712"/>
      <c r="J646" s="712"/>
      <c r="K646" s="712"/>
      <c r="L646" s="712"/>
      <c r="M646" s="712"/>
      <c r="N646" s="712"/>
      <c r="O646" s="712"/>
      <c r="P646" s="712"/>
      <c r="Q646" s="712"/>
      <c r="R646" s="712"/>
      <c r="S646" s="712"/>
      <c r="T646" s="712"/>
      <c r="U646" s="712"/>
      <c r="V646" s="712"/>
      <c r="W646" s="712"/>
      <c r="X646" s="712"/>
      <c r="Y646" s="712"/>
      <c r="Z646" s="712"/>
      <c r="AA646" s="712"/>
      <c r="AB646" s="712"/>
      <c r="AC646" s="712"/>
      <c r="AD646" s="712"/>
      <c r="AE646" s="712"/>
      <c r="AF646" s="712"/>
      <c r="AG646" s="712"/>
      <c r="AH646" s="712"/>
      <c r="AI646" s="712"/>
      <c r="AJ646" s="712"/>
      <c r="AK646" s="712"/>
      <c r="AL646" s="712"/>
      <c r="AM646" s="712"/>
      <c r="AN646" s="712"/>
      <c r="AO646" s="712"/>
    </row>
    <row r="647">
      <c r="G647" s="712"/>
      <c r="H647" s="712"/>
      <c r="I647" s="712"/>
      <c r="J647" s="712"/>
      <c r="K647" s="712"/>
      <c r="L647" s="712"/>
      <c r="M647" s="712"/>
      <c r="N647" s="712"/>
      <c r="O647" s="712"/>
      <c r="P647" s="712"/>
      <c r="Q647" s="712"/>
      <c r="R647" s="712"/>
      <c r="S647" s="712"/>
      <c r="T647" s="712"/>
      <c r="U647" s="712"/>
      <c r="V647" s="712"/>
      <c r="W647" s="712"/>
      <c r="X647" s="712"/>
      <c r="Y647" s="712"/>
      <c r="Z647" s="712"/>
      <c r="AA647" s="712"/>
      <c r="AB647" s="712"/>
      <c r="AC647" s="712"/>
      <c r="AD647" s="712"/>
      <c r="AE647" s="712"/>
      <c r="AF647" s="712"/>
      <c r="AG647" s="712"/>
      <c r="AH647" s="712"/>
      <c r="AI647" s="712"/>
      <c r="AJ647" s="712"/>
      <c r="AK647" s="712"/>
      <c r="AL647" s="712"/>
      <c r="AM647" s="712"/>
      <c r="AN647" s="712"/>
      <c r="AO647" s="712"/>
    </row>
    <row r="648">
      <c r="G648" s="712"/>
      <c r="H648" s="712"/>
      <c r="I648" s="712"/>
      <c r="J648" s="712"/>
      <c r="K648" s="712"/>
      <c r="L648" s="712"/>
      <c r="M648" s="712"/>
      <c r="N648" s="712"/>
      <c r="O648" s="712"/>
      <c r="P648" s="712"/>
      <c r="Q648" s="712"/>
      <c r="R648" s="712"/>
      <c r="S648" s="712"/>
      <c r="T648" s="712"/>
      <c r="U648" s="712"/>
      <c r="V648" s="712"/>
      <c r="W648" s="712"/>
      <c r="X648" s="712"/>
      <c r="Y648" s="712"/>
      <c r="Z648" s="712"/>
      <c r="AA648" s="712"/>
      <c r="AB648" s="712"/>
      <c r="AC648" s="712"/>
      <c r="AD648" s="712"/>
      <c r="AE648" s="712"/>
      <c r="AF648" s="712"/>
      <c r="AG648" s="712"/>
      <c r="AH648" s="712"/>
      <c r="AI648" s="712"/>
      <c r="AJ648" s="712"/>
      <c r="AK648" s="712"/>
      <c r="AL648" s="712"/>
      <c r="AM648" s="712"/>
      <c r="AN648" s="712"/>
      <c r="AO648" s="712"/>
    </row>
    <row r="649">
      <c r="G649" s="712"/>
      <c r="H649" s="712"/>
      <c r="I649" s="712"/>
      <c r="J649" s="712"/>
      <c r="K649" s="712"/>
      <c r="L649" s="712"/>
      <c r="M649" s="712"/>
      <c r="N649" s="712"/>
      <c r="O649" s="712"/>
      <c r="P649" s="712"/>
      <c r="Q649" s="712"/>
      <c r="R649" s="712"/>
      <c r="S649" s="712"/>
      <c r="T649" s="712"/>
      <c r="U649" s="712"/>
      <c r="V649" s="712"/>
      <c r="W649" s="712"/>
      <c r="X649" s="712"/>
      <c r="Y649" s="712"/>
      <c r="Z649" s="712"/>
      <c r="AA649" s="712"/>
      <c r="AB649" s="712"/>
      <c r="AC649" s="712"/>
      <c r="AD649" s="712"/>
      <c r="AE649" s="712"/>
      <c r="AF649" s="712"/>
      <c r="AG649" s="712"/>
      <c r="AH649" s="712"/>
      <c r="AI649" s="712"/>
      <c r="AJ649" s="712"/>
      <c r="AK649" s="712"/>
      <c r="AL649" s="712"/>
      <c r="AM649" s="712"/>
      <c r="AN649" s="712"/>
      <c r="AO649" s="712"/>
    </row>
    <row r="650">
      <c r="G650" s="712"/>
      <c r="H650" s="712"/>
      <c r="I650" s="712"/>
      <c r="J650" s="712"/>
      <c r="K650" s="712"/>
      <c r="L650" s="712"/>
      <c r="M650" s="712"/>
      <c r="N650" s="712"/>
      <c r="O650" s="712"/>
      <c r="P650" s="712"/>
      <c r="Q650" s="712"/>
      <c r="R650" s="712"/>
      <c r="S650" s="712"/>
      <c r="T650" s="712"/>
      <c r="U650" s="712"/>
      <c r="V650" s="712"/>
      <c r="W650" s="712"/>
      <c r="X650" s="712"/>
      <c r="Y650" s="712"/>
      <c r="Z650" s="712"/>
      <c r="AA650" s="712"/>
      <c r="AB650" s="712"/>
      <c r="AC650" s="712"/>
      <c r="AD650" s="712"/>
      <c r="AE650" s="712"/>
      <c r="AF650" s="712"/>
      <c r="AG650" s="712"/>
      <c r="AH650" s="712"/>
      <c r="AI650" s="712"/>
      <c r="AJ650" s="712"/>
      <c r="AK650" s="712"/>
      <c r="AL650" s="712"/>
      <c r="AM650" s="712"/>
      <c r="AN650" s="712"/>
      <c r="AO650" s="712"/>
    </row>
    <row r="651">
      <c r="G651" s="712"/>
      <c r="H651" s="712"/>
      <c r="I651" s="712"/>
      <c r="J651" s="712"/>
      <c r="K651" s="712"/>
      <c r="L651" s="712"/>
      <c r="M651" s="712"/>
      <c r="N651" s="712"/>
      <c r="O651" s="712"/>
      <c r="P651" s="712"/>
      <c r="Q651" s="712"/>
      <c r="R651" s="712"/>
      <c r="S651" s="712"/>
      <c r="T651" s="712"/>
      <c r="U651" s="712"/>
      <c r="V651" s="712"/>
      <c r="W651" s="712"/>
      <c r="X651" s="712"/>
      <c r="Y651" s="712"/>
      <c r="Z651" s="712"/>
      <c r="AA651" s="712"/>
      <c r="AB651" s="712"/>
      <c r="AC651" s="712"/>
      <c r="AD651" s="712"/>
      <c r="AE651" s="712"/>
      <c r="AF651" s="712"/>
      <c r="AG651" s="712"/>
      <c r="AH651" s="712"/>
      <c r="AI651" s="712"/>
      <c r="AJ651" s="712"/>
      <c r="AK651" s="712"/>
      <c r="AL651" s="712"/>
      <c r="AM651" s="712"/>
      <c r="AN651" s="712"/>
      <c r="AO651" s="712"/>
    </row>
    <row r="652">
      <c r="G652" s="712"/>
      <c r="H652" s="712"/>
      <c r="I652" s="712"/>
      <c r="J652" s="712"/>
      <c r="K652" s="712"/>
      <c r="L652" s="712"/>
      <c r="M652" s="712"/>
      <c r="N652" s="712"/>
      <c r="O652" s="712"/>
      <c r="P652" s="712"/>
      <c r="Q652" s="712"/>
      <c r="R652" s="712"/>
      <c r="S652" s="712"/>
      <c r="T652" s="712"/>
      <c r="U652" s="712"/>
      <c r="V652" s="712"/>
      <c r="W652" s="712"/>
      <c r="X652" s="712"/>
      <c r="Y652" s="712"/>
      <c r="Z652" s="712"/>
      <c r="AA652" s="712"/>
      <c r="AB652" s="712"/>
      <c r="AC652" s="712"/>
      <c r="AD652" s="712"/>
      <c r="AE652" s="712"/>
      <c r="AF652" s="712"/>
      <c r="AG652" s="712"/>
      <c r="AH652" s="712"/>
      <c r="AI652" s="712"/>
      <c r="AJ652" s="712"/>
      <c r="AK652" s="712"/>
      <c r="AL652" s="712"/>
      <c r="AM652" s="712"/>
      <c r="AN652" s="712"/>
      <c r="AO652" s="712"/>
    </row>
    <row r="653">
      <c r="G653" s="712"/>
      <c r="H653" s="712"/>
      <c r="I653" s="712"/>
      <c r="J653" s="712"/>
      <c r="K653" s="712"/>
      <c r="L653" s="712"/>
      <c r="M653" s="712"/>
      <c r="N653" s="712"/>
      <c r="O653" s="712"/>
      <c r="P653" s="712"/>
      <c r="Q653" s="712"/>
      <c r="R653" s="712"/>
      <c r="S653" s="712"/>
      <c r="T653" s="712"/>
      <c r="U653" s="712"/>
      <c r="V653" s="712"/>
      <c r="W653" s="712"/>
      <c r="X653" s="712"/>
      <c r="Y653" s="712"/>
      <c r="Z653" s="712"/>
      <c r="AA653" s="712"/>
      <c r="AB653" s="712"/>
      <c r="AC653" s="712"/>
      <c r="AD653" s="712"/>
      <c r="AE653" s="712"/>
      <c r="AF653" s="712"/>
      <c r="AG653" s="712"/>
      <c r="AH653" s="712"/>
      <c r="AI653" s="712"/>
      <c r="AJ653" s="712"/>
      <c r="AK653" s="712"/>
      <c r="AL653" s="712"/>
      <c r="AM653" s="712"/>
      <c r="AN653" s="712"/>
      <c r="AO653" s="712"/>
    </row>
    <row r="654">
      <c r="G654" s="712"/>
      <c r="H654" s="712"/>
      <c r="I654" s="712"/>
      <c r="J654" s="712"/>
      <c r="K654" s="712"/>
      <c r="L654" s="712"/>
      <c r="M654" s="712"/>
      <c r="N654" s="712"/>
      <c r="O654" s="712"/>
      <c r="P654" s="712"/>
      <c r="Q654" s="712"/>
      <c r="R654" s="712"/>
      <c r="S654" s="712"/>
      <c r="T654" s="712"/>
      <c r="U654" s="712"/>
      <c r="V654" s="712"/>
      <c r="W654" s="712"/>
      <c r="X654" s="712"/>
      <c r="Y654" s="712"/>
      <c r="Z654" s="712"/>
      <c r="AA654" s="712"/>
      <c r="AB654" s="712"/>
      <c r="AC654" s="712"/>
      <c r="AD654" s="712"/>
      <c r="AE654" s="712"/>
      <c r="AF654" s="712"/>
      <c r="AG654" s="712"/>
      <c r="AH654" s="712"/>
      <c r="AI654" s="712"/>
      <c r="AJ654" s="712"/>
      <c r="AK654" s="712"/>
      <c r="AL654" s="712"/>
      <c r="AM654" s="712"/>
      <c r="AN654" s="712"/>
      <c r="AO654" s="712"/>
    </row>
    <row r="655">
      <c r="G655" s="712"/>
      <c r="H655" s="712"/>
      <c r="I655" s="712"/>
      <c r="J655" s="712"/>
      <c r="K655" s="712"/>
      <c r="L655" s="712"/>
      <c r="M655" s="712"/>
      <c r="N655" s="712"/>
      <c r="O655" s="712"/>
      <c r="P655" s="712"/>
      <c r="Q655" s="712"/>
      <c r="R655" s="712"/>
      <c r="S655" s="712"/>
      <c r="T655" s="712"/>
      <c r="U655" s="712"/>
      <c r="V655" s="712"/>
      <c r="W655" s="712"/>
      <c r="X655" s="712"/>
      <c r="Y655" s="712"/>
      <c r="Z655" s="712"/>
      <c r="AA655" s="712"/>
      <c r="AB655" s="712"/>
      <c r="AC655" s="712"/>
      <c r="AD655" s="712"/>
      <c r="AE655" s="712"/>
      <c r="AF655" s="712"/>
      <c r="AG655" s="712"/>
      <c r="AH655" s="712"/>
      <c r="AI655" s="712"/>
      <c r="AJ655" s="712"/>
      <c r="AK655" s="712"/>
      <c r="AL655" s="712"/>
      <c r="AM655" s="712"/>
      <c r="AN655" s="712"/>
      <c r="AO655" s="712"/>
    </row>
    <row r="656">
      <c r="G656" s="712"/>
      <c r="H656" s="712"/>
      <c r="I656" s="712"/>
      <c r="J656" s="712"/>
      <c r="K656" s="712"/>
      <c r="L656" s="712"/>
      <c r="M656" s="712"/>
      <c r="N656" s="712"/>
      <c r="O656" s="712"/>
      <c r="P656" s="712"/>
      <c r="Q656" s="712"/>
      <c r="R656" s="712"/>
      <c r="S656" s="712"/>
      <c r="T656" s="712"/>
      <c r="U656" s="712"/>
      <c r="V656" s="712"/>
      <c r="W656" s="712"/>
      <c r="X656" s="712"/>
      <c r="Y656" s="712"/>
      <c r="Z656" s="712"/>
      <c r="AA656" s="712"/>
      <c r="AB656" s="712"/>
      <c r="AC656" s="712"/>
      <c r="AD656" s="712"/>
      <c r="AE656" s="712"/>
      <c r="AF656" s="712"/>
      <c r="AG656" s="712"/>
      <c r="AH656" s="712"/>
      <c r="AI656" s="712"/>
      <c r="AJ656" s="712"/>
      <c r="AK656" s="712"/>
      <c r="AL656" s="712"/>
      <c r="AM656" s="712"/>
      <c r="AN656" s="712"/>
      <c r="AO656" s="712"/>
    </row>
    <row r="657">
      <c r="G657" s="712"/>
      <c r="H657" s="712"/>
      <c r="I657" s="712"/>
      <c r="J657" s="712"/>
      <c r="K657" s="712"/>
      <c r="L657" s="712"/>
      <c r="M657" s="712"/>
      <c r="N657" s="712"/>
      <c r="O657" s="712"/>
      <c r="P657" s="712"/>
      <c r="Q657" s="712"/>
      <c r="R657" s="712"/>
      <c r="S657" s="712"/>
      <c r="T657" s="712"/>
      <c r="U657" s="712"/>
      <c r="V657" s="712"/>
      <c r="W657" s="712"/>
      <c r="X657" s="712"/>
      <c r="Y657" s="712"/>
      <c r="Z657" s="712"/>
      <c r="AA657" s="712"/>
      <c r="AB657" s="712"/>
      <c r="AC657" s="712"/>
      <c r="AD657" s="712"/>
      <c r="AE657" s="712"/>
      <c r="AF657" s="712"/>
      <c r="AG657" s="712"/>
      <c r="AH657" s="712"/>
      <c r="AI657" s="712"/>
      <c r="AJ657" s="712"/>
      <c r="AK657" s="712"/>
      <c r="AL657" s="712"/>
      <c r="AM657" s="712"/>
      <c r="AN657" s="712"/>
      <c r="AO657" s="712"/>
    </row>
    <row r="658">
      <c r="G658" s="712"/>
      <c r="H658" s="712"/>
      <c r="I658" s="712"/>
      <c r="J658" s="712"/>
      <c r="K658" s="712"/>
      <c r="L658" s="712"/>
      <c r="M658" s="712"/>
      <c r="N658" s="712"/>
      <c r="O658" s="712"/>
      <c r="P658" s="712"/>
      <c r="Q658" s="712"/>
      <c r="R658" s="712"/>
      <c r="S658" s="712"/>
      <c r="T658" s="712"/>
      <c r="U658" s="712"/>
      <c r="V658" s="712"/>
      <c r="W658" s="712"/>
      <c r="X658" s="712"/>
      <c r="Y658" s="712"/>
      <c r="Z658" s="712"/>
      <c r="AA658" s="712"/>
      <c r="AB658" s="712"/>
      <c r="AC658" s="712"/>
      <c r="AD658" s="712"/>
      <c r="AE658" s="712"/>
      <c r="AF658" s="712"/>
      <c r="AG658" s="712"/>
      <c r="AH658" s="712"/>
      <c r="AI658" s="712"/>
      <c r="AJ658" s="712"/>
      <c r="AK658" s="712"/>
      <c r="AL658" s="712"/>
      <c r="AM658" s="712"/>
      <c r="AN658" s="712"/>
      <c r="AO658" s="712"/>
    </row>
    <row r="659">
      <c r="G659" s="712"/>
      <c r="H659" s="712"/>
      <c r="I659" s="712"/>
      <c r="J659" s="712"/>
      <c r="K659" s="712"/>
      <c r="L659" s="712"/>
      <c r="M659" s="712"/>
      <c r="N659" s="712"/>
      <c r="O659" s="712"/>
      <c r="P659" s="712"/>
      <c r="Q659" s="712"/>
      <c r="R659" s="712"/>
      <c r="S659" s="712"/>
      <c r="T659" s="712"/>
      <c r="U659" s="712"/>
      <c r="V659" s="712"/>
      <c r="W659" s="712"/>
      <c r="X659" s="712"/>
      <c r="Y659" s="712"/>
      <c r="Z659" s="712"/>
      <c r="AA659" s="712"/>
      <c r="AB659" s="712"/>
      <c r="AC659" s="712"/>
      <c r="AD659" s="712"/>
      <c r="AE659" s="712"/>
      <c r="AF659" s="712"/>
      <c r="AG659" s="712"/>
      <c r="AH659" s="712"/>
      <c r="AI659" s="712"/>
      <c r="AJ659" s="712"/>
      <c r="AK659" s="712"/>
      <c r="AL659" s="712"/>
      <c r="AM659" s="712"/>
      <c r="AN659" s="712"/>
      <c r="AO659" s="712"/>
    </row>
    <row r="660">
      <c r="G660" s="712"/>
      <c r="H660" s="712"/>
      <c r="I660" s="712"/>
      <c r="J660" s="712"/>
      <c r="K660" s="712"/>
      <c r="L660" s="712"/>
      <c r="M660" s="712"/>
      <c r="N660" s="712"/>
      <c r="O660" s="712"/>
      <c r="P660" s="712"/>
      <c r="Q660" s="712"/>
      <c r="R660" s="712"/>
      <c r="S660" s="712"/>
      <c r="T660" s="712"/>
      <c r="U660" s="712"/>
      <c r="V660" s="712"/>
      <c r="W660" s="712"/>
      <c r="X660" s="712"/>
      <c r="Y660" s="712"/>
      <c r="Z660" s="712"/>
      <c r="AA660" s="712"/>
      <c r="AB660" s="712"/>
      <c r="AC660" s="712"/>
      <c r="AD660" s="712"/>
      <c r="AE660" s="712"/>
      <c r="AF660" s="712"/>
      <c r="AG660" s="712"/>
      <c r="AH660" s="712"/>
      <c r="AI660" s="712"/>
      <c r="AJ660" s="712"/>
      <c r="AK660" s="712"/>
      <c r="AL660" s="712"/>
      <c r="AM660" s="712"/>
      <c r="AN660" s="712"/>
      <c r="AO660" s="712"/>
    </row>
    <row r="661">
      <c r="G661" s="712"/>
      <c r="H661" s="712"/>
      <c r="I661" s="712"/>
      <c r="J661" s="712"/>
      <c r="K661" s="712"/>
      <c r="L661" s="712"/>
      <c r="M661" s="712"/>
      <c r="N661" s="712"/>
      <c r="O661" s="712"/>
      <c r="P661" s="712"/>
      <c r="Q661" s="712"/>
      <c r="R661" s="712"/>
      <c r="S661" s="712"/>
      <c r="T661" s="712"/>
      <c r="U661" s="712"/>
      <c r="V661" s="712"/>
      <c r="W661" s="712"/>
      <c r="X661" s="712"/>
      <c r="Y661" s="712"/>
      <c r="Z661" s="712"/>
      <c r="AA661" s="712"/>
      <c r="AB661" s="712"/>
      <c r="AC661" s="712"/>
      <c r="AD661" s="712"/>
      <c r="AE661" s="712"/>
      <c r="AF661" s="712"/>
      <c r="AG661" s="712"/>
      <c r="AH661" s="712"/>
      <c r="AI661" s="712"/>
      <c r="AJ661" s="712"/>
      <c r="AK661" s="712"/>
      <c r="AL661" s="712"/>
      <c r="AM661" s="712"/>
      <c r="AN661" s="712"/>
      <c r="AO661" s="712"/>
    </row>
    <row r="662">
      <c r="G662" s="712"/>
      <c r="H662" s="712"/>
      <c r="I662" s="712"/>
      <c r="J662" s="712"/>
      <c r="K662" s="712"/>
      <c r="L662" s="712"/>
      <c r="M662" s="712"/>
      <c r="N662" s="712"/>
      <c r="O662" s="712"/>
      <c r="P662" s="712"/>
      <c r="Q662" s="712"/>
      <c r="R662" s="712"/>
      <c r="S662" s="712"/>
      <c r="T662" s="712"/>
      <c r="U662" s="712"/>
      <c r="V662" s="712"/>
      <c r="W662" s="712"/>
      <c r="X662" s="712"/>
      <c r="Y662" s="712"/>
      <c r="Z662" s="712"/>
      <c r="AA662" s="712"/>
      <c r="AB662" s="712"/>
      <c r="AC662" s="712"/>
      <c r="AD662" s="712"/>
      <c r="AE662" s="712"/>
      <c r="AF662" s="712"/>
      <c r="AG662" s="712"/>
      <c r="AH662" s="712"/>
      <c r="AI662" s="712"/>
      <c r="AJ662" s="712"/>
      <c r="AK662" s="712"/>
      <c r="AL662" s="712"/>
      <c r="AM662" s="712"/>
      <c r="AN662" s="712"/>
      <c r="AO662" s="712"/>
    </row>
    <row r="663">
      <c r="G663" s="712"/>
      <c r="H663" s="712"/>
      <c r="I663" s="712"/>
      <c r="J663" s="712"/>
      <c r="K663" s="712"/>
      <c r="L663" s="712"/>
      <c r="M663" s="712"/>
      <c r="N663" s="712"/>
      <c r="O663" s="712"/>
      <c r="P663" s="712"/>
      <c r="Q663" s="712"/>
      <c r="R663" s="712"/>
      <c r="S663" s="712"/>
      <c r="T663" s="712"/>
      <c r="U663" s="712"/>
      <c r="V663" s="712"/>
      <c r="W663" s="712"/>
      <c r="X663" s="712"/>
      <c r="Y663" s="712"/>
      <c r="Z663" s="712"/>
      <c r="AA663" s="712"/>
      <c r="AB663" s="712"/>
      <c r="AC663" s="712"/>
      <c r="AD663" s="712"/>
      <c r="AE663" s="712"/>
      <c r="AF663" s="712"/>
      <c r="AG663" s="712"/>
      <c r="AH663" s="712"/>
      <c r="AI663" s="712"/>
      <c r="AJ663" s="712"/>
      <c r="AK663" s="712"/>
      <c r="AL663" s="712"/>
      <c r="AM663" s="712"/>
      <c r="AN663" s="712"/>
      <c r="AO663" s="712"/>
    </row>
    <row r="664">
      <c r="G664" s="712"/>
      <c r="H664" s="712"/>
      <c r="I664" s="712"/>
      <c r="J664" s="712"/>
      <c r="K664" s="712"/>
      <c r="L664" s="712"/>
      <c r="M664" s="712"/>
      <c r="N664" s="712"/>
      <c r="O664" s="712"/>
      <c r="P664" s="712"/>
      <c r="Q664" s="712"/>
      <c r="R664" s="712"/>
      <c r="S664" s="712"/>
      <c r="T664" s="712"/>
      <c r="U664" s="712"/>
      <c r="V664" s="712"/>
      <c r="W664" s="712"/>
      <c r="X664" s="712"/>
      <c r="Y664" s="712"/>
      <c r="Z664" s="712"/>
      <c r="AA664" s="712"/>
      <c r="AB664" s="712"/>
      <c r="AC664" s="712"/>
      <c r="AD664" s="712"/>
      <c r="AE664" s="712"/>
      <c r="AF664" s="712"/>
      <c r="AG664" s="712"/>
      <c r="AH664" s="712"/>
      <c r="AI664" s="712"/>
      <c r="AJ664" s="712"/>
      <c r="AK664" s="712"/>
      <c r="AL664" s="712"/>
      <c r="AM664" s="712"/>
      <c r="AN664" s="712"/>
      <c r="AO664" s="712"/>
    </row>
    <row r="665">
      <c r="G665" s="712"/>
      <c r="H665" s="712"/>
      <c r="I665" s="712"/>
      <c r="J665" s="712"/>
      <c r="K665" s="712"/>
      <c r="L665" s="712"/>
      <c r="M665" s="712"/>
      <c r="N665" s="712"/>
      <c r="O665" s="712"/>
      <c r="P665" s="712"/>
      <c r="Q665" s="712"/>
      <c r="R665" s="712"/>
      <c r="S665" s="712"/>
      <c r="T665" s="712"/>
      <c r="U665" s="712"/>
      <c r="V665" s="712"/>
      <c r="W665" s="712"/>
      <c r="X665" s="712"/>
      <c r="Y665" s="712"/>
      <c r="Z665" s="712"/>
      <c r="AA665" s="712"/>
      <c r="AB665" s="712"/>
      <c r="AC665" s="712"/>
      <c r="AD665" s="712"/>
      <c r="AE665" s="712"/>
      <c r="AF665" s="712"/>
      <c r="AG665" s="712"/>
      <c r="AH665" s="712"/>
      <c r="AI665" s="712"/>
      <c r="AJ665" s="712"/>
      <c r="AK665" s="712"/>
      <c r="AL665" s="712"/>
      <c r="AM665" s="712"/>
      <c r="AN665" s="712"/>
      <c r="AO665" s="712"/>
    </row>
    <row r="666">
      <c r="G666" s="712"/>
      <c r="H666" s="712"/>
      <c r="I666" s="712"/>
      <c r="J666" s="712"/>
      <c r="K666" s="712"/>
      <c r="L666" s="712"/>
      <c r="M666" s="712"/>
      <c r="N666" s="712"/>
      <c r="O666" s="712"/>
      <c r="P666" s="712"/>
      <c r="Q666" s="712"/>
      <c r="R666" s="712"/>
      <c r="S666" s="712"/>
      <c r="T666" s="712"/>
      <c r="U666" s="712"/>
      <c r="V666" s="712"/>
      <c r="W666" s="712"/>
      <c r="X666" s="712"/>
      <c r="Y666" s="712"/>
      <c r="Z666" s="712"/>
      <c r="AA666" s="712"/>
      <c r="AB666" s="712"/>
      <c r="AC666" s="712"/>
      <c r="AD666" s="712"/>
      <c r="AE666" s="712"/>
      <c r="AF666" s="712"/>
      <c r="AG666" s="712"/>
      <c r="AH666" s="712"/>
      <c r="AI666" s="712"/>
      <c r="AJ666" s="712"/>
      <c r="AK666" s="712"/>
      <c r="AL666" s="712"/>
      <c r="AM666" s="712"/>
      <c r="AN666" s="712"/>
      <c r="AO666" s="712"/>
    </row>
    <row r="667">
      <c r="G667" s="712"/>
      <c r="H667" s="712"/>
      <c r="I667" s="712"/>
      <c r="J667" s="712"/>
      <c r="K667" s="712"/>
      <c r="L667" s="712"/>
      <c r="M667" s="712"/>
      <c r="N667" s="712"/>
      <c r="O667" s="712"/>
      <c r="P667" s="712"/>
      <c r="Q667" s="712"/>
      <c r="R667" s="712"/>
      <c r="S667" s="712"/>
      <c r="T667" s="712"/>
      <c r="U667" s="712"/>
      <c r="V667" s="712"/>
      <c r="W667" s="712"/>
      <c r="X667" s="712"/>
      <c r="Y667" s="712"/>
      <c r="Z667" s="712"/>
      <c r="AA667" s="712"/>
      <c r="AB667" s="712"/>
      <c r="AC667" s="712"/>
      <c r="AD667" s="712"/>
      <c r="AE667" s="712"/>
      <c r="AF667" s="712"/>
      <c r="AG667" s="712"/>
      <c r="AH667" s="712"/>
      <c r="AI667" s="712"/>
      <c r="AJ667" s="712"/>
      <c r="AK667" s="712"/>
      <c r="AL667" s="712"/>
      <c r="AM667" s="712"/>
      <c r="AN667" s="712"/>
      <c r="AO667" s="712"/>
    </row>
    <row r="668">
      <c r="G668" s="712"/>
      <c r="H668" s="712"/>
      <c r="I668" s="712"/>
      <c r="J668" s="712"/>
      <c r="K668" s="712"/>
      <c r="L668" s="712"/>
      <c r="M668" s="712"/>
      <c r="N668" s="712"/>
      <c r="O668" s="712"/>
      <c r="P668" s="712"/>
      <c r="Q668" s="712"/>
      <c r="R668" s="712"/>
      <c r="S668" s="712"/>
      <c r="T668" s="712"/>
      <c r="U668" s="712"/>
      <c r="V668" s="712"/>
      <c r="W668" s="712"/>
      <c r="X668" s="712"/>
      <c r="Y668" s="712"/>
      <c r="Z668" s="712"/>
      <c r="AA668" s="712"/>
      <c r="AB668" s="712"/>
      <c r="AC668" s="712"/>
      <c r="AD668" s="712"/>
      <c r="AE668" s="712"/>
      <c r="AF668" s="712"/>
      <c r="AG668" s="712"/>
      <c r="AH668" s="712"/>
      <c r="AI668" s="712"/>
      <c r="AJ668" s="712"/>
      <c r="AK668" s="712"/>
      <c r="AL668" s="712"/>
      <c r="AM668" s="712"/>
      <c r="AN668" s="712"/>
      <c r="AO668" s="712"/>
    </row>
    <row r="669">
      <c r="G669" s="712"/>
      <c r="H669" s="712"/>
      <c r="I669" s="712"/>
      <c r="J669" s="712"/>
      <c r="K669" s="712"/>
      <c r="L669" s="712"/>
      <c r="M669" s="712"/>
      <c r="N669" s="712"/>
      <c r="O669" s="712"/>
      <c r="P669" s="712"/>
      <c r="Q669" s="712"/>
      <c r="R669" s="712"/>
      <c r="S669" s="712"/>
      <c r="T669" s="712"/>
      <c r="U669" s="712"/>
      <c r="V669" s="712"/>
      <c r="W669" s="712"/>
      <c r="X669" s="712"/>
      <c r="Y669" s="712"/>
      <c r="Z669" s="712"/>
      <c r="AA669" s="712"/>
      <c r="AB669" s="712"/>
      <c r="AC669" s="712"/>
      <c r="AD669" s="712"/>
      <c r="AE669" s="712"/>
      <c r="AF669" s="712"/>
      <c r="AG669" s="712"/>
      <c r="AH669" s="712"/>
      <c r="AI669" s="712"/>
      <c r="AJ669" s="712"/>
      <c r="AK669" s="712"/>
      <c r="AL669" s="712"/>
      <c r="AM669" s="712"/>
      <c r="AN669" s="712"/>
      <c r="AO669" s="712"/>
    </row>
    <row r="670">
      <c r="G670" s="712"/>
      <c r="H670" s="712"/>
      <c r="I670" s="712"/>
      <c r="J670" s="712"/>
      <c r="K670" s="712"/>
      <c r="L670" s="712"/>
      <c r="M670" s="712"/>
      <c r="N670" s="712"/>
      <c r="O670" s="712"/>
      <c r="P670" s="712"/>
      <c r="Q670" s="712"/>
      <c r="R670" s="712"/>
      <c r="S670" s="712"/>
      <c r="T670" s="712"/>
      <c r="U670" s="712"/>
      <c r="V670" s="712"/>
      <c r="W670" s="712"/>
      <c r="X670" s="712"/>
      <c r="Y670" s="712"/>
      <c r="Z670" s="712"/>
      <c r="AA670" s="712"/>
      <c r="AB670" s="712"/>
      <c r="AC670" s="712"/>
      <c r="AD670" s="712"/>
      <c r="AE670" s="712"/>
      <c r="AF670" s="712"/>
      <c r="AG670" s="712"/>
      <c r="AH670" s="712"/>
      <c r="AI670" s="712"/>
      <c r="AJ670" s="712"/>
      <c r="AK670" s="712"/>
      <c r="AL670" s="712"/>
      <c r="AM670" s="712"/>
      <c r="AN670" s="712"/>
      <c r="AO670" s="712"/>
    </row>
    <row r="671">
      <c r="G671" s="712"/>
      <c r="H671" s="712"/>
      <c r="I671" s="712"/>
      <c r="J671" s="712"/>
      <c r="K671" s="712"/>
      <c r="L671" s="712"/>
      <c r="M671" s="712"/>
      <c r="N671" s="712"/>
      <c r="O671" s="712"/>
      <c r="P671" s="712"/>
      <c r="Q671" s="712"/>
      <c r="R671" s="712"/>
      <c r="S671" s="712"/>
      <c r="T671" s="712"/>
      <c r="U671" s="712"/>
      <c r="V671" s="712"/>
      <c r="W671" s="712"/>
      <c r="X671" s="712"/>
      <c r="Y671" s="712"/>
      <c r="Z671" s="712"/>
      <c r="AA671" s="712"/>
      <c r="AB671" s="712"/>
      <c r="AC671" s="712"/>
      <c r="AD671" s="712"/>
      <c r="AE671" s="712"/>
      <c r="AF671" s="712"/>
      <c r="AG671" s="712"/>
      <c r="AH671" s="712"/>
      <c r="AI671" s="712"/>
      <c r="AJ671" s="712"/>
      <c r="AK671" s="712"/>
      <c r="AL671" s="712"/>
      <c r="AM671" s="712"/>
      <c r="AN671" s="712"/>
      <c r="AO671" s="712"/>
    </row>
    <row r="672">
      <c r="G672" s="712"/>
      <c r="H672" s="712"/>
      <c r="I672" s="712"/>
      <c r="J672" s="712"/>
      <c r="K672" s="712"/>
      <c r="L672" s="712"/>
      <c r="M672" s="712"/>
      <c r="N672" s="712"/>
      <c r="O672" s="712"/>
      <c r="P672" s="712"/>
      <c r="Q672" s="712"/>
      <c r="R672" s="712"/>
      <c r="S672" s="712"/>
      <c r="T672" s="712"/>
      <c r="U672" s="712"/>
      <c r="V672" s="712"/>
      <c r="W672" s="712"/>
      <c r="X672" s="712"/>
      <c r="Y672" s="712"/>
      <c r="Z672" s="712"/>
      <c r="AA672" s="712"/>
      <c r="AB672" s="712"/>
      <c r="AC672" s="712"/>
      <c r="AD672" s="712"/>
      <c r="AE672" s="712"/>
      <c r="AF672" s="712"/>
      <c r="AG672" s="712"/>
      <c r="AH672" s="712"/>
      <c r="AI672" s="712"/>
      <c r="AJ672" s="712"/>
      <c r="AK672" s="712"/>
      <c r="AL672" s="712"/>
      <c r="AM672" s="712"/>
      <c r="AN672" s="712"/>
      <c r="AO672" s="712"/>
    </row>
    <row r="673">
      <c r="G673" s="712"/>
      <c r="H673" s="712"/>
      <c r="I673" s="712"/>
      <c r="J673" s="712"/>
      <c r="K673" s="712"/>
      <c r="L673" s="712"/>
      <c r="M673" s="712"/>
      <c r="N673" s="712"/>
      <c r="O673" s="712"/>
      <c r="P673" s="712"/>
      <c r="Q673" s="712"/>
      <c r="R673" s="712"/>
      <c r="S673" s="712"/>
      <c r="T673" s="712"/>
      <c r="U673" s="712"/>
      <c r="V673" s="712"/>
      <c r="W673" s="712"/>
      <c r="X673" s="712"/>
      <c r="Y673" s="712"/>
      <c r="Z673" s="712"/>
      <c r="AA673" s="712"/>
      <c r="AB673" s="712"/>
      <c r="AC673" s="712"/>
      <c r="AD673" s="712"/>
      <c r="AE673" s="712"/>
      <c r="AF673" s="712"/>
      <c r="AG673" s="712"/>
      <c r="AH673" s="712"/>
      <c r="AI673" s="712"/>
      <c r="AJ673" s="712"/>
      <c r="AK673" s="712"/>
      <c r="AL673" s="712"/>
      <c r="AM673" s="712"/>
      <c r="AN673" s="712"/>
      <c r="AO673" s="712"/>
    </row>
    <row r="674">
      <c r="G674" s="712"/>
      <c r="H674" s="712"/>
      <c r="I674" s="712"/>
      <c r="J674" s="712"/>
      <c r="K674" s="712"/>
      <c r="L674" s="712"/>
      <c r="M674" s="712"/>
      <c r="N674" s="712"/>
      <c r="O674" s="712"/>
      <c r="P674" s="712"/>
      <c r="Q674" s="712"/>
      <c r="R674" s="712"/>
      <c r="S674" s="712"/>
      <c r="T674" s="712"/>
      <c r="U674" s="712"/>
      <c r="V674" s="712"/>
      <c r="W674" s="712"/>
      <c r="X674" s="712"/>
      <c r="Y674" s="712"/>
      <c r="Z674" s="712"/>
      <c r="AA674" s="712"/>
      <c r="AB674" s="712"/>
      <c r="AC674" s="712"/>
      <c r="AD674" s="712"/>
      <c r="AE674" s="712"/>
      <c r="AF674" s="712"/>
      <c r="AG674" s="712"/>
      <c r="AH674" s="712"/>
      <c r="AI674" s="712"/>
      <c r="AJ674" s="712"/>
      <c r="AK674" s="712"/>
      <c r="AL674" s="712"/>
      <c r="AM674" s="712"/>
      <c r="AN674" s="712"/>
      <c r="AO674" s="712"/>
    </row>
    <row r="675">
      <c r="G675" s="712"/>
      <c r="H675" s="712"/>
      <c r="I675" s="712"/>
      <c r="J675" s="712"/>
      <c r="K675" s="712"/>
      <c r="L675" s="712"/>
      <c r="M675" s="712"/>
      <c r="N675" s="712"/>
      <c r="O675" s="712"/>
      <c r="P675" s="712"/>
      <c r="Q675" s="712"/>
      <c r="R675" s="712"/>
      <c r="S675" s="712"/>
      <c r="T675" s="712"/>
      <c r="U675" s="712"/>
      <c r="V675" s="712"/>
      <c r="W675" s="712"/>
      <c r="X675" s="712"/>
      <c r="Y675" s="712"/>
      <c r="Z675" s="712"/>
      <c r="AA675" s="712"/>
      <c r="AB675" s="712"/>
      <c r="AC675" s="712"/>
      <c r="AD675" s="712"/>
      <c r="AE675" s="712"/>
      <c r="AF675" s="712"/>
      <c r="AG675" s="712"/>
      <c r="AH675" s="712"/>
      <c r="AI675" s="712"/>
      <c r="AJ675" s="712"/>
      <c r="AK675" s="712"/>
      <c r="AL675" s="712"/>
      <c r="AM675" s="712"/>
      <c r="AN675" s="712"/>
      <c r="AO675" s="712"/>
    </row>
    <row r="676">
      <c r="G676" s="712"/>
      <c r="H676" s="712"/>
      <c r="I676" s="712"/>
      <c r="J676" s="712"/>
      <c r="K676" s="712"/>
      <c r="L676" s="712"/>
      <c r="M676" s="712"/>
      <c r="N676" s="712"/>
      <c r="O676" s="712"/>
      <c r="P676" s="712"/>
      <c r="Q676" s="712"/>
      <c r="R676" s="712"/>
      <c r="S676" s="712"/>
      <c r="T676" s="712"/>
      <c r="U676" s="712"/>
      <c r="V676" s="712"/>
      <c r="W676" s="712"/>
      <c r="X676" s="712"/>
      <c r="Y676" s="712"/>
      <c r="Z676" s="712"/>
      <c r="AA676" s="712"/>
      <c r="AB676" s="712"/>
      <c r="AC676" s="712"/>
      <c r="AD676" s="712"/>
      <c r="AE676" s="712"/>
      <c r="AF676" s="712"/>
      <c r="AG676" s="712"/>
      <c r="AH676" s="712"/>
      <c r="AI676" s="712"/>
      <c r="AJ676" s="712"/>
      <c r="AK676" s="712"/>
      <c r="AL676" s="712"/>
      <c r="AM676" s="712"/>
      <c r="AN676" s="712"/>
      <c r="AO676" s="712"/>
    </row>
    <row r="677">
      <c r="G677" s="712"/>
      <c r="H677" s="712"/>
      <c r="I677" s="712"/>
      <c r="J677" s="712"/>
      <c r="K677" s="712"/>
      <c r="L677" s="712"/>
      <c r="M677" s="712"/>
      <c r="N677" s="712"/>
      <c r="O677" s="712"/>
      <c r="P677" s="712"/>
      <c r="Q677" s="712"/>
      <c r="R677" s="712"/>
      <c r="S677" s="712"/>
      <c r="T677" s="712"/>
      <c r="U677" s="712"/>
      <c r="V677" s="712"/>
      <c r="W677" s="712"/>
      <c r="X677" s="712"/>
      <c r="Y677" s="712"/>
      <c r="Z677" s="712"/>
      <c r="AA677" s="712"/>
      <c r="AB677" s="712"/>
      <c r="AC677" s="712"/>
      <c r="AD677" s="712"/>
      <c r="AE677" s="712"/>
      <c r="AF677" s="712"/>
      <c r="AG677" s="712"/>
      <c r="AH677" s="712"/>
      <c r="AI677" s="712"/>
      <c r="AJ677" s="712"/>
      <c r="AK677" s="712"/>
      <c r="AL677" s="712"/>
      <c r="AM677" s="712"/>
      <c r="AN677" s="712"/>
      <c r="AO677" s="712"/>
    </row>
    <row r="678">
      <c r="G678" s="712"/>
      <c r="H678" s="712"/>
      <c r="I678" s="712"/>
      <c r="J678" s="712"/>
      <c r="K678" s="712"/>
      <c r="L678" s="712"/>
      <c r="M678" s="712"/>
      <c r="N678" s="712"/>
      <c r="O678" s="712"/>
      <c r="P678" s="712"/>
      <c r="Q678" s="712"/>
      <c r="R678" s="712"/>
      <c r="S678" s="712"/>
      <c r="T678" s="712"/>
      <c r="U678" s="712"/>
      <c r="V678" s="712"/>
      <c r="W678" s="712"/>
      <c r="X678" s="712"/>
      <c r="Y678" s="712"/>
      <c r="Z678" s="712"/>
      <c r="AA678" s="712"/>
      <c r="AB678" s="712"/>
      <c r="AC678" s="712"/>
      <c r="AD678" s="712"/>
      <c r="AE678" s="712"/>
      <c r="AF678" s="712"/>
      <c r="AG678" s="712"/>
      <c r="AH678" s="712"/>
      <c r="AI678" s="712"/>
      <c r="AJ678" s="712"/>
      <c r="AK678" s="712"/>
      <c r="AL678" s="712"/>
      <c r="AM678" s="712"/>
      <c r="AN678" s="712"/>
      <c r="AO678" s="712"/>
    </row>
    <row r="679">
      <c r="G679" s="712"/>
      <c r="H679" s="712"/>
      <c r="I679" s="712"/>
      <c r="J679" s="712"/>
      <c r="K679" s="712"/>
      <c r="L679" s="712"/>
      <c r="M679" s="712"/>
      <c r="N679" s="712"/>
      <c r="O679" s="712"/>
      <c r="P679" s="712"/>
      <c r="Q679" s="712"/>
      <c r="R679" s="712"/>
      <c r="S679" s="712"/>
      <c r="T679" s="712"/>
      <c r="U679" s="712"/>
      <c r="V679" s="712"/>
      <c r="W679" s="712"/>
      <c r="X679" s="712"/>
      <c r="Y679" s="712"/>
      <c r="Z679" s="712"/>
      <c r="AA679" s="712"/>
      <c r="AB679" s="712"/>
      <c r="AC679" s="712"/>
      <c r="AD679" s="712"/>
      <c r="AE679" s="712"/>
      <c r="AF679" s="712"/>
      <c r="AG679" s="712"/>
      <c r="AH679" s="712"/>
      <c r="AI679" s="712"/>
      <c r="AJ679" s="712"/>
      <c r="AK679" s="712"/>
      <c r="AL679" s="712"/>
      <c r="AM679" s="712"/>
      <c r="AN679" s="712"/>
      <c r="AO679" s="712"/>
    </row>
    <row r="680">
      <c r="G680" s="712"/>
      <c r="H680" s="712"/>
      <c r="I680" s="712"/>
      <c r="J680" s="712"/>
      <c r="K680" s="712"/>
      <c r="L680" s="712"/>
      <c r="M680" s="712"/>
      <c r="N680" s="712"/>
      <c r="O680" s="712"/>
      <c r="P680" s="712"/>
      <c r="Q680" s="712"/>
      <c r="R680" s="712"/>
      <c r="S680" s="712"/>
      <c r="T680" s="712"/>
      <c r="U680" s="712"/>
      <c r="V680" s="712"/>
      <c r="W680" s="712"/>
      <c r="X680" s="712"/>
      <c r="Y680" s="712"/>
      <c r="Z680" s="712"/>
      <c r="AA680" s="712"/>
      <c r="AB680" s="712"/>
      <c r="AC680" s="712"/>
      <c r="AD680" s="712"/>
      <c r="AE680" s="712"/>
      <c r="AF680" s="712"/>
      <c r="AG680" s="712"/>
      <c r="AH680" s="712"/>
      <c r="AI680" s="712"/>
      <c r="AJ680" s="712"/>
      <c r="AK680" s="712"/>
      <c r="AL680" s="712"/>
      <c r="AM680" s="712"/>
      <c r="AN680" s="712"/>
      <c r="AO680" s="712"/>
    </row>
    <row r="681">
      <c r="G681" s="712"/>
      <c r="H681" s="712"/>
      <c r="I681" s="712"/>
      <c r="J681" s="712"/>
      <c r="K681" s="712"/>
      <c r="L681" s="712"/>
      <c r="M681" s="712"/>
      <c r="N681" s="712"/>
      <c r="O681" s="712"/>
      <c r="P681" s="712"/>
      <c r="Q681" s="712"/>
      <c r="R681" s="712"/>
      <c r="S681" s="712"/>
      <c r="T681" s="712"/>
      <c r="U681" s="712"/>
      <c r="V681" s="712"/>
      <c r="W681" s="712"/>
      <c r="X681" s="712"/>
      <c r="Y681" s="712"/>
      <c r="Z681" s="712"/>
      <c r="AA681" s="712"/>
      <c r="AB681" s="712"/>
      <c r="AC681" s="712"/>
      <c r="AD681" s="712"/>
      <c r="AE681" s="712"/>
      <c r="AF681" s="712"/>
      <c r="AG681" s="712"/>
      <c r="AH681" s="712"/>
      <c r="AI681" s="712"/>
      <c r="AJ681" s="712"/>
      <c r="AK681" s="712"/>
      <c r="AL681" s="712"/>
      <c r="AM681" s="712"/>
      <c r="AN681" s="712"/>
      <c r="AO681" s="712"/>
    </row>
    <row r="682">
      <c r="G682" s="712"/>
      <c r="H682" s="712"/>
      <c r="I682" s="712"/>
      <c r="J682" s="712"/>
      <c r="K682" s="712"/>
      <c r="L682" s="712"/>
      <c r="M682" s="712"/>
      <c r="N682" s="712"/>
      <c r="O682" s="712"/>
      <c r="P682" s="712"/>
      <c r="Q682" s="712"/>
      <c r="R682" s="712"/>
      <c r="S682" s="712"/>
      <c r="T682" s="712"/>
      <c r="U682" s="712"/>
      <c r="V682" s="712"/>
      <c r="W682" s="712"/>
      <c r="X682" s="712"/>
      <c r="Y682" s="712"/>
      <c r="Z682" s="712"/>
      <c r="AA682" s="712"/>
      <c r="AB682" s="712"/>
      <c r="AC682" s="712"/>
      <c r="AD682" s="712"/>
      <c r="AE682" s="712"/>
      <c r="AF682" s="712"/>
      <c r="AG682" s="712"/>
      <c r="AH682" s="712"/>
      <c r="AI682" s="712"/>
      <c r="AJ682" s="712"/>
      <c r="AK682" s="712"/>
      <c r="AL682" s="712"/>
      <c r="AM682" s="712"/>
      <c r="AN682" s="712"/>
      <c r="AO682" s="712"/>
    </row>
    <row r="683">
      <c r="G683" s="712"/>
      <c r="H683" s="712"/>
      <c r="I683" s="712"/>
      <c r="J683" s="712"/>
      <c r="K683" s="712"/>
      <c r="L683" s="712"/>
      <c r="M683" s="712"/>
      <c r="N683" s="712"/>
      <c r="O683" s="712"/>
      <c r="P683" s="712"/>
      <c r="Q683" s="712"/>
      <c r="R683" s="712"/>
      <c r="S683" s="712"/>
      <c r="T683" s="712"/>
      <c r="U683" s="712"/>
      <c r="V683" s="712"/>
      <c r="W683" s="712"/>
      <c r="X683" s="712"/>
      <c r="Y683" s="712"/>
      <c r="Z683" s="712"/>
      <c r="AA683" s="712"/>
      <c r="AB683" s="712"/>
      <c r="AC683" s="712"/>
      <c r="AD683" s="712"/>
      <c r="AE683" s="712"/>
      <c r="AF683" s="712"/>
      <c r="AG683" s="712"/>
      <c r="AH683" s="712"/>
      <c r="AI683" s="712"/>
      <c r="AJ683" s="712"/>
      <c r="AK683" s="712"/>
      <c r="AL683" s="712"/>
      <c r="AM683" s="712"/>
      <c r="AN683" s="712"/>
      <c r="AO683" s="712"/>
    </row>
    <row r="684">
      <c r="G684" s="712"/>
      <c r="H684" s="712"/>
      <c r="I684" s="712"/>
      <c r="J684" s="712"/>
      <c r="K684" s="712"/>
      <c r="L684" s="712"/>
      <c r="M684" s="712"/>
      <c r="N684" s="712"/>
      <c r="O684" s="712"/>
      <c r="P684" s="712"/>
      <c r="Q684" s="712"/>
      <c r="R684" s="712"/>
      <c r="S684" s="712"/>
      <c r="T684" s="712"/>
      <c r="U684" s="712"/>
      <c r="V684" s="712"/>
      <c r="W684" s="712"/>
      <c r="X684" s="712"/>
      <c r="Y684" s="712"/>
      <c r="Z684" s="712"/>
      <c r="AA684" s="712"/>
      <c r="AB684" s="712"/>
      <c r="AC684" s="712"/>
      <c r="AD684" s="712"/>
      <c r="AE684" s="712"/>
      <c r="AF684" s="712"/>
      <c r="AG684" s="712"/>
      <c r="AH684" s="712"/>
      <c r="AI684" s="712"/>
      <c r="AJ684" s="712"/>
      <c r="AK684" s="712"/>
      <c r="AL684" s="712"/>
      <c r="AM684" s="712"/>
      <c r="AN684" s="712"/>
      <c r="AO684" s="712"/>
    </row>
    <row r="685">
      <c r="G685" s="712"/>
      <c r="H685" s="712"/>
      <c r="I685" s="712"/>
      <c r="J685" s="712"/>
      <c r="K685" s="712"/>
      <c r="L685" s="712"/>
      <c r="M685" s="712"/>
      <c r="N685" s="712"/>
      <c r="O685" s="712"/>
      <c r="P685" s="712"/>
      <c r="Q685" s="712"/>
      <c r="R685" s="712"/>
      <c r="S685" s="712"/>
      <c r="T685" s="712"/>
      <c r="U685" s="712"/>
      <c r="V685" s="712"/>
      <c r="W685" s="712"/>
      <c r="X685" s="712"/>
      <c r="Y685" s="712"/>
      <c r="Z685" s="712"/>
      <c r="AA685" s="712"/>
      <c r="AB685" s="712"/>
      <c r="AC685" s="712"/>
      <c r="AD685" s="712"/>
      <c r="AE685" s="712"/>
      <c r="AF685" s="712"/>
      <c r="AG685" s="712"/>
      <c r="AH685" s="712"/>
      <c r="AI685" s="712"/>
      <c r="AJ685" s="712"/>
      <c r="AK685" s="712"/>
      <c r="AL685" s="712"/>
      <c r="AM685" s="712"/>
      <c r="AN685" s="712"/>
      <c r="AO685" s="712"/>
    </row>
    <row r="686">
      <c r="G686" s="712"/>
      <c r="H686" s="712"/>
      <c r="I686" s="712"/>
      <c r="J686" s="712"/>
      <c r="K686" s="712"/>
      <c r="L686" s="712"/>
      <c r="M686" s="712"/>
      <c r="N686" s="712"/>
      <c r="O686" s="712"/>
      <c r="P686" s="712"/>
      <c r="Q686" s="712"/>
      <c r="R686" s="712"/>
      <c r="S686" s="712"/>
      <c r="T686" s="712"/>
      <c r="U686" s="712"/>
      <c r="V686" s="712"/>
      <c r="W686" s="712"/>
      <c r="X686" s="712"/>
      <c r="Y686" s="712"/>
      <c r="Z686" s="712"/>
      <c r="AA686" s="712"/>
      <c r="AB686" s="712"/>
      <c r="AC686" s="712"/>
      <c r="AD686" s="712"/>
      <c r="AE686" s="712"/>
      <c r="AF686" s="712"/>
      <c r="AG686" s="712"/>
      <c r="AH686" s="712"/>
      <c r="AI686" s="712"/>
      <c r="AJ686" s="712"/>
      <c r="AK686" s="712"/>
      <c r="AL686" s="712"/>
      <c r="AM686" s="712"/>
      <c r="AN686" s="712"/>
      <c r="AO686" s="712"/>
    </row>
    <row r="687">
      <c r="G687" s="712"/>
      <c r="H687" s="712"/>
      <c r="I687" s="712"/>
      <c r="J687" s="712"/>
      <c r="K687" s="712"/>
      <c r="L687" s="712"/>
      <c r="M687" s="712"/>
      <c r="N687" s="712"/>
      <c r="O687" s="712"/>
      <c r="P687" s="712"/>
      <c r="Q687" s="712"/>
      <c r="R687" s="712"/>
      <c r="S687" s="712"/>
      <c r="T687" s="712"/>
      <c r="U687" s="712"/>
      <c r="V687" s="712"/>
      <c r="W687" s="712"/>
      <c r="X687" s="712"/>
      <c r="Y687" s="712"/>
      <c r="Z687" s="712"/>
      <c r="AA687" s="712"/>
      <c r="AB687" s="712"/>
      <c r="AC687" s="712"/>
      <c r="AD687" s="712"/>
      <c r="AE687" s="712"/>
      <c r="AF687" s="712"/>
      <c r="AG687" s="712"/>
      <c r="AH687" s="712"/>
      <c r="AI687" s="712"/>
      <c r="AJ687" s="712"/>
      <c r="AK687" s="712"/>
      <c r="AL687" s="712"/>
      <c r="AM687" s="712"/>
      <c r="AN687" s="712"/>
      <c r="AO687" s="712"/>
    </row>
    <row r="688">
      <c r="G688" s="712"/>
      <c r="H688" s="712"/>
      <c r="I688" s="712"/>
      <c r="J688" s="712"/>
      <c r="K688" s="712"/>
      <c r="L688" s="712"/>
      <c r="M688" s="712"/>
      <c r="N688" s="712"/>
      <c r="O688" s="712"/>
      <c r="P688" s="712"/>
      <c r="Q688" s="712"/>
      <c r="R688" s="712"/>
      <c r="S688" s="712"/>
      <c r="T688" s="712"/>
      <c r="U688" s="712"/>
      <c r="V688" s="712"/>
      <c r="W688" s="712"/>
      <c r="X688" s="712"/>
      <c r="Y688" s="712"/>
      <c r="Z688" s="712"/>
      <c r="AA688" s="712"/>
      <c r="AB688" s="712"/>
      <c r="AC688" s="712"/>
      <c r="AD688" s="712"/>
      <c r="AE688" s="712"/>
      <c r="AF688" s="712"/>
      <c r="AG688" s="712"/>
      <c r="AH688" s="712"/>
      <c r="AI688" s="712"/>
      <c r="AJ688" s="712"/>
      <c r="AK688" s="712"/>
      <c r="AL688" s="712"/>
      <c r="AM688" s="712"/>
      <c r="AN688" s="712"/>
      <c r="AO688" s="712"/>
    </row>
    <row r="689">
      <c r="G689" s="712"/>
      <c r="H689" s="712"/>
      <c r="I689" s="712"/>
      <c r="J689" s="712"/>
      <c r="K689" s="712"/>
      <c r="L689" s="712"/>
      <c r="M689" s="712"/>
      <c r="N689" s="712"/>
      <c r="O689" s="712"/>
      <c r="P689" s="712"/>
      <c r="Q689" s="712"/>
      <c r="R689" s="712"/>
      <c r="S689" s="712"/>
      <c r="T689" s="712"/>
      <c r="U689" s="712"/>
      <c r="V689" s="712"/>
      <c r="W689" s="712"/>
      <c r="X689" s="712"/>
      <c r="Y689" s="712"/>
      <c r="Z689" s="712"/>
      <c r="AA689" s="712"/>
      <c r="AB689" s="712"/>
      <c r="AC689" s="712"/>
      <c r="AD689" s="712"/>
      <c r="AE689" s="712"/>
      <c r="AF689" s="712"/>
      <c r="AG689" s="712"/>
      <c r="AH689" s="712"/>
      <c r="AI689" s="712"/>
      <c r="AJ689" s="712"/>
      <c r="AK689" s="712"/>
      <c r="AL689" s="712"/>
      <c r="AM689" s="712"/>
      <c r="AN689" s="712"/>
      <c r="AO689" s="712"/>
    </row>
    <row r="690">
      <c r="G690" s="712"/>
      <c r="H690" s="712"/>
      <c r="I690" s="712"/>
      <c r="J690" s="712"/>
      <c r="K690" s="712"/>
      <c r="L690" s="712"/>
      <c r="M690" s="712"/>
      <c r="N690" s="712"/>
      <c r="O690" s="712"/>
      <c r="P690" s="712"/>
      <c r="Q690" s="712"/>
      <c r="R690" s="712"/>
      <c r="S690" s="712"/>
      <c r="T690" s="712"/>
      <c r="U690" s="712"/>
      <c r="V690" s="712"/>
      <c r="W690" s="712"/>
      <c r="X690" s="712"/>
      <c r="Y690" s="712"/>
      <c r="Z690" s="712"/>
      <c r="AA690" s="712"/>
      <c r="AB690" s="712"/>
      <c r="AC690" s="712"/>
      <c r="AD690" s="712"/>
      <c r="AE690" s="712"/>
      <c r="AF690" s="712"/>
      <c r="AG690" s="712"/>
      <c r="AH690" s="712"/>
      <c r="AI690" s="712"/>
      <c r="AJ690" s="712"/>
      <c r="AK690" s="712"/>
      <c r="AL690" s="712"/>
      <c r="AM690" s="712"/>
      <c r="AN690" s="712"/>
      <c r="AO690" s="712"/>
    </row>
    <row r="691">
      <c r="G691" s="712"/>
      <c r="H691" s="712"/>
      <c r="I691" s="712"/>
      <c r="J691" s="712"/>
      <c r="K691" s="712"/>
      <c r="L691" s="712"/>
      <c r="M691" s="712"/>
      <c r="N691" s="712"/>
      <c r="O691" s="712"/>
      <c r="P691" s="712"/>
      <c r="Q691" s="712"/>
      <c r="R691" s="712"/>
      <c r="S691" s="712"/>
      <c r="T691" s="712"/>
      <c r="U691" s="712"/>
      <c r="V691" s="712"/>
      <c r="W691" s="712"/>
      <c r="X691" s="712"/>
      <c r="Y691" s="712"/>
      <c r="Z691" s="712"/>
      <c r="AA691" s="712"/>
      <c r="AB691" s="712"/>
      <c r="AC691" s="712"/>
      <c r="AD691" s="712"/>
      <c r="AE691" s="712"/>
      <c r="AF691" s="712"/>
      <c r="AG691" s="712"/>
      <c r="AH691" s="712"/>
      <c r="AI691" s="712"/>
      <c r="AJ691" s="712"/>
      <c r="AK691" s="712"/>
      <c r="AL691" s="712"/>
      <c r="AM691" s="712"/>
      <c r="AN691" s="712"/>
      <c r="AO691" s="712"/>
    </row>
    <row r="692">
      <c r="G692" s="712"/>
      <c r="H692" s="712"/>
      <c r="I692" s="712"/>
      <c r="J692" s="712"/>
      <c r="K692" s="712"/>
      <c r="L692" s="712"/>
      <c r="M692" s="712"/>
      <c r="N692" s="712"/>
      <c r="O692" s="712"/>
      <c r="P692" s="712"/>
      <c r="Q692" s="712"/>
      <c r="R692" s="712"/>
      <c r="S692" s="712"/>
      <c r="T692" s="712"/>
      <c r="U692" s="712"/>
      <c r="V692" s="712"/>
      <c r="W692" s="712"/>
      <c r="X692" s="712"/>
      <c r="Y692" s="712"/>
      <c r="Z692" s="712"/>
      <c r="AA692" s="712"/>
      <c r="AB692" s="712"/>
      <c r="AC692" s="712"/>
      <c r="AD692" s="712"/>
      <c r="AE692" s="712"/>
      <c r="AF692" s="712"/>
      <c r="AG692" s="712"/>
      <c r="AH692" s="712"/>
      <c r="AI692" s="712"/>
      <c r="AJ692" s="712"/>
      <c r="AK692" s="712"/>
      <c r="AL692" s="712"/>
      <c r="AM692" s="712"/>
      <c r="AN692" s="712"/>
      <c r="AO692" s="712"/>
    </row>
    <row r="693">
      <c r="G693" s="712"/>
      <c r="H693" s="712"/>
      <c r="I693" s="712"/>
      <c r="J693" s="712"/>
      <c r="K693" s="712"/>
      <c r="L693" s="712"/>
      <c r="M693" s="712"/>
      <c r="N693" s="712"/>
      <c r="O693" s="712"/>
      <c r="P693" s="712"/>
      <c r="Q693" s="712"/>
      <c r="R693" s="712"/>
      <c r="S693" s="712"/>
      <c r="T693" s="712"/>
      <c r="U693" s="712"/>
      <c r="V693" s="712"/>
      <c r="W693" s="712"/>
      <c r="X693" s="712"/>
      <c r="Y693" s="712"/>
      <c r="Z693" s="712"/>
      <c r="AA693" s="712"/>
      <c r="AB693" s="712"/>
      <c r="AC693" s="712"/>
      <c r="AD693" s="712"/>
      <c r="AE693" s="712"/>
      <c r="AF693" s="712"/>
      <c r="AG693" s="712"/>
      <c r="AH693" s="712"/>
      <c r="AI693" s="712"/>
      <c r="AJ693" s="712"/>
      <c r="AK693" s="712"/>
      <c r="AL693" s="712"/>
      <c r="AM693" s="712"/>
      <c r="AN693" s="712"/>
      <c r="AO693" s="712"/>
    </row>
    <row r="694">
      <c r="G694" s="712"/>
      <c r="H694" s="712"/>
      <c r="I694" s="712"/>
      <c r="J694" s="712"/>
      <c r="K694" s="712"/>
      <c r="L694" s="712"/>
      <c r="M694" s="712"/>
      <c r="N694" s="712"/>
      <c r="O694" s="712"/>
      <c r="P694" s="712"/>
      <c r="Q694" s="712"/>
      <c r="R694" s="712"/>
      <c r="S694" s="712"/>
      <c r="T694" s="712"/>
      <c r="U694" s="712"/>
      <c r="V694" s="712"/>
      <c r="W694" s="712"/>
      <c r="X694" s="712"/>
      <c r="Y694" s="712"/>
      <c r="Z694" s="712"/>
      <c r="AA694" s="712"/>
      <c r="AB694" s="712"/>
      <c r="AC694" s="712"/>
      <c r="AD694" s="712"/>
      <c r="AE694" s="712"/>
      <c r="AF694" s="712"/>
      <c r="AG694" s="712"/>
      <c r="AH694" s="712"/>
      <c r="AI694" s="712"/>
      <c r="AJ694" s="712"/>
      <c r="AK694" s="712"/>
      <c r="AL694" s="712"/>
      <c r="AM694" s="712"/>
      <c r="AN694" s="712"/>
      <c r="AO694" s="712"/>
    </row>
    <row r="695">
      <c r="G695" s="712"/>
      <c r="H695" s="712"/>
      <c r="I695" s="712"/>
      <c r="J695" s="712"/>
      <c r="K695" s="712"/>
      <c r="L695" s="712"/>
      <c r="M695" s="712"/>
      <c r="N695" s="712"/>
      <c r="O695" s="712"/>
      <c r="P695" s="712"/>
      <c r="Q695" s="712"/>
      <c r="R695" s="712"/>
      <c r="S695" s="712"/>
      <c r="T695" s="712"/>
      <c r="U695" s="712"/>
      <c r="V695" s="712"/>
      <c r="W695" s="712"/>
      <c r="X695" s="712"/>
      <c r="Y695" s="712"/>
      <c r="Z695" s="712"/>
      <c r="AA695" s="712"/>
      <c r="AB695" s="712"/>
      <c r="AC695" s="712"/>
      <c r="AD695" s="712"/>
      <c r="AE695" s="712"/>
      <c r="AF695" s="712"/>
      <c r="AG695" s="712"/>
      <c r="AH695" s="712"/>
      <c r="AI695" s="712"/>
      <c r="AJ695" s="712"/>
      <c r="AK695" s="712"/>
      <c r="AL695" s="712"/>
      <c r="AM695" s="712"/>
      <c r="AN695" s="712"/>
      <c r="AO695" s="712"/>
    </row>
    <row r="696">
      <c r="G696" s="712"/>
      <c r="H696" s="712"/>
      <c r="I696" s="712"/>
      <c r="J696" s="712"/>
      <c r="K696" s="712"/>
      <c r="L696" s="712"/>
      <c r="M696" s="712"/>
      <c r="N696" s="712"/>
      <c r="O696" s="712"/>
      <c r="P696" s="712"/>
      <c r="Q696" s="712"/>
      <c r="R696" s="712"/>
      <c r="S696" s="712"/>
      <c r="T696" s="712"/>
      <c r="U696" s="712"/>
      <c r="V696" s="712"/>
      <c r="W696" s="712"/>
      <c r="X696" s="712"/>
      <c r="Y696" s="712"/>
      <c r="Z696" s="712"/>
      <c r="AA696" s="712"/>
      <c r="AB696" s="712"/>
      <c r="AC696" s="712"/>
      <c r="AD696" s="712"/>
      <c r="AE696" s="712"/>
      <c r="AF696" s="712"/>
      <c r="AG696" s="712"/>
      <c r="AH696" s="712"/>
      <c r="AI696" s="712"/>
      <c r="AJ696" s="712"/>
      <c r="AK696" s="712"/>
      <c r="AL696" s="712"/>
      <c r="AM696" s="712"/>
      <c r="AN696" s="712"/>
      <c r="AO696" s="712"/>
    </row>
    <row r="697">
      <c r="G697" s="712"/>
      <c r="H697" s="712"/>
      <c r="I697" s="712"/>
      <c r="J697" s="712"/>
      <c r="K697" s="712"/>
      <c r="L697" s="712"/>
      <c r="M697" s="712"/>
      <c r="N697" s="712"/>
      <c r="O697" s="712"/>
      <c r="P697" s="712"/>
      <c r="Q697" s="712"/>
      <c r="R697" s="712"/>
      <c r="S697" s="712"/>
      <c r="T697" s="712"/>
      <c r="U697" s="712"/>
      <c r="V697" s="712"/>
      <c r="W697" s="712"/>
      <c r="X697" s="712"/>
      <c r="Y697" s="712"/>
      <c r="Z697" s="712"/>
      <c r="AA697" s="712"/>
      <c r="AB697" s="712"/>
      <c r="AC697" s="712"/>
      <c r="AD697" s="712"/>
      <c r="AE697" s="712"/>
      <c r="AF697" s="712"/>
      <c r="AG697" s="712"/>
      <c r="AH697" s="712"/>
      <c r="AI697" s="712"/>
      <c r="AJ697" s="712"/>
      <c r="AK697" s="712"/>
      <c r="AL697" s="712"/>
      <c r="AM697" s="712"/>
      <c r="AN697" s="712"/>
      <c r="AO697" s="712"/>
    </row>
    <row r="698">
      <c r="G698" s="712"/>
      <c r="H698" s="712"/>
      <c r="I698" s="712"/>
      <c r="J698" s="712"/>
      <c r="K698" s="712"/>
      <c r="L698" s="712"/>
      <c r="M698" s="712"/>
      <c r="N698" s="712"/>
      <c r="O698" s="712"/>
      <c r="P698" s="712"/>
      <c r="Q698" s="712"/>
      <c r="R698" s="712"/>
      <c r="S698" s="712"/>
      <c r="T698" s="712"/>
      <c r="U698" s="712"/>
      <c r="V698" s="712"/>
      <c r="W698" s="712"/>
      <c r="X698" s="712"/>
      <c r="Y698" s="712"/>
      <c r="Z698" s="712"/>
      <c r="AA698" s="712"/>
      <c r="AB698" s="712"/>
      <c r="AC698" s="712"/>
      <c r="AD698" s="712"/>
      <c r="AE698" s="712"/>
      <c r="AF698" s="712"/>
      <c r="AG698" s="712"/>
      <c r="AH698" s="712"/>
      <c r="AI698" s="712"/>
      <c r="AJ698" s="712"/>
      <c r="AK698" s="712"/>
      <c r="AL698" s="712"/>
      <c r="AM698" s="712"/>
      <c r="AN698" s="712"/>
      <c r="AO698" s="712"/>
    </row>
    <row r="699">
      <c r="G699" s="712"/>
      <c r="H699" s="712"/>
      <c r="I699" s="712"/>
      <c r="J699" s="712"/>
      <c r="K699" s="712"/>
      <c r="L699" s="712"/>
      <c r="M699" s="712"/>
      <c r="N699" s="712"/>
      <c r="O699" s="712"/>
      <c r="P699" s="712"/>
      <c r="Q699" s="712"/>
      <c r="R699" s="712"/>
      <c r="S699" s="712"/>
      <c r="T699" s="712"/>
      <c r="U699" s="712"/>
      <c r="V699" s="712"/>
      <c r="W699" s="712"/>
      <c r="X699" s="712"/>
      <c r="Y699" s="712"/>
      <c r="Z699" s="712"/>
      <c r="AA699" s="712"/>
      <c r="AB699" s="712"/>
      <c r="AC699" s="712"/>
      <c r="AD699" s="712"/>
      <c r="AE699" s="712"/>
      <c r="AF699" s="712"/>
      <c r="AG699" s="712"/>
      <c r="AH699" s="712"/>
      <c r="AI699" s="712"/>
      <c r="AJ699" s="712"/>
      <c r="AK699" s="712"/>
      <c r="AL699" s="712"/>
      <c r="AM699" s="712"/>
      <c r="AN699" s="712"/>
      <c r="AO699" s="712"/>
    </row>
    <row r="700">
      <c r="G700" s="712"/>
      <c r="H700" s="712"/>
      <c r="I700" s="712"/>
      <c r="J700" s="712"/>
      <c r="K700" s="712"/>
      <c r="L700" s="712"/>
      <c r="M700" s="712"/>
      <c r="N700" s="712"/>
      <c r="O700" s="712"/>
      <c r="P700" s="712"/>
      <c r="Q700" s="712"/>
      <c r="R700" s="712"/>
      <c r="S700" s="712"/>
      <c r="T700" s="712"/>
      <c r="U700" s="712"/>
      <c r="V700" s="712"/>
      <c r="W700" s="712"/>
      <c r="X700" s="712"/>
      <c r="Y700" s="712"/>
      <c r="Z700" s="712"/>
      <c r="AA700" s="712"/>
      <c r="AB700" s="712"/>
      <c r="AC700" s="712"/>
      <c r="AD700" s="712"/>
      <c r="AE700" s="712"/>
      <c r="AF700" s="712"/>
      <c r="AG700" s="712"/>
      <c r="AH700" s="712"/>
      <c r="AI700" s="712"/>
      <c r="AJ700" s="712"/>
      <c r="AK700" s="712"/>
      <c r="AL700" s="712"/>
      <c r="AM700" s="712"/>
      <c r="AN700" s="712"/>
      <c r="AO700" s="712"/>
    </row>
    <row r="701">
      <c r="G701" s="712"/>
      <c r="H701" s="712"/>
      <c r="I701" s="712"/>
      <c r="J701" s="712"/>
      <c r="K701" s="712"/>
      <c r="L701" s="712"/>
      <c r="M701" s="712"/>
      <c r="N701" s="712"/>
      <c r="O701" s="712"/>
      <c r="P701" s="712"/>
      <c r="Q701" s="712"/>
      <c r="R701" s="712"/>
      <c r="S701" s="712"/>
      <c r="T701" s="712"/>
      <c r="U701" s="712"/>
      <c r="V701" s="712"/>
      <c r="W701" s="712"/>
      <c r="X701" s="712"/>
      <c r="Y701" s="712"/>
      <c r="Z701" s="712"/>
      <c r="AA701" s="712"/>
      <c r="AB701" s="712"/>
      <c r="AC701" s="712"/>
      <c r="AD701" s="712"/>
      <c r="AE701" s="712"/>
      <c r="AF701" s="712"/>
      <c r="AG701" s="712"/>
      <c r="AH701" s="712"/>
      <c r="AI701" s="712"/>
      <c r="AJ701" s="712"/>
      <c r="AK701" s="712"/>
      <c r="AL701" s="712"/>
      <c r="AM701" s="712"/>
      <c r="AN701" s="712"/>
      <c r="AO701" s="712"/>
    </row>
    <row r="702">
      <c r="G702" s="712"/>
      <c r="H702" s="712"/>
      <c r="I702" s="712"/>
      <c r="J702" s="712"/>
      <c r="K702" s="712"/>
      <c r="L702" s="712"/>
      <c r="M702" s="712"/>
      <c r="N702" s="712"/>
      <c r="O702" s="712"/>
      <c r="P702" s="712"/>
      <c r="Q702" s="712"/>
      <c r="R702" s="712"/>
      <c r="S702" s="712"/>
      <c r="T702" s="712"/>
      <c r="U702" s="712"/>
      <c r="V702" s="712"/>
      <c r="W702" s="712"/>
      <c r="X702" s="712"/>
      <c r="Y702" s="712"/>
      <c r="Z702" s="712"/>
      <c r="AA702" s="712"/>
      <c r="AB702" s="712"/>
      <c r="AC702" s="712"/>
      <c r="AD702" s="712"/>
      <c r="AE702" s="712"/>
      <c r="AF702" s="712"/>
      <c r="AG702" s="712"/>
      <c r="AH702" s="712"/>
      <c r="AI702" s="712"/>
      <c r="AJ702" s="712"/>
      <c r="AK702" s="712"/>
      <c r="AL702" s="712"/>
      <c r="AM702" s="712"/>
      <c r="AN702" s="712"/>
      <c r="AO702" s="712"/>
    </row>
    <row r="703">
      <c r="G703" s="712"/>
      <c r="H703" s="712"/>
      <c r="I703" s="712"/>
      <c r="J703" s="712"/>
      <c r="K703" s="712"/>
      <c r="L703" s="712"/>
      <c r="M703" s="712"/>
      <c r="N703" s="712"/>
      <c r="O703" s="712"/>
      <c r="P703" s="712"/>
      <c r="Q703" s="712"/>
      <c r="R703" s="712"/>
      <c r="S703" s="712"/>
      <c r="T703" s="712"/>
      <c r="U703" s="712"/>
      <c r="V703" s="712"/>
      <c r="W703" s="712"/>
      <c r="X703" s="712"/>
      <c r="Y703" s="712"/>
      <c r="Z703" s="712"/>
      <c r="AA703" s="712"/>
      <c r="AB703" s="712"/>
      <c r="AC703" s="712"/>
      <c r="AD703" s="712"/>
      <c r="AE703" s="712"/>
      <c r="AF703" s="712"/>
      <c r="AG703" s="712"/>
      <c r="AH703" s="712"/>
      <c r="AI703" s="712"/>
      <c r="AJ703" s="712"/>
      <c r="AK703" s="712"/>
      <c r="AL703" s="712"/>
      <c r="AM703" s="712"/>
      <c r="AN703" s="712"/>
      <c r="AO703" s="712"/>
    </row>
    <row r="704">
      <c r="G704" s="712"/>
      <c r="H704" s="712"/>
      <c r="I704" s="712"/>
      <c r="J704" s="712"/>
      <c r="K704" s="712"/>
      <c r="L704" s="712"/>
      <c r="M704" s="712"/>
      <c r="N704" s="712"/>
      <c r="O704" s="712"/>
      <c r="P704" s="712"/>
      <c r="Q704" s="712"/>
      <c r="R704" s="712"/>
      <c r="S704" s="712"/>
      <c r="T704" s="712"/>
      <c r="U704" s="712"/>
      <c r="V704" s="712"/>
      <c r="W704" s="712"/>
      <c r="X704" s="712"/>
      <c r="Y704" s="712"/>
      <c r="Z704" s="712"/>
      <c r="AA704" s="712"/>
      <c r="AB704" s="712"/>
      <c r="AC704" s="712"/>
      <c r="AD704" s="712"/>
      <c r="AE704" s="712"/>
      <c r="AF704" s="712"/>
      <c r="AG704" s="712"/>
      <c r="AH704" s="712"/>
      <c r="AI704" s="712"/>
      <c r="AJ704" s="712"/>
      <c r="AK704" s="712"/>
      <c r="AL704" s="712"/>
      <c r="AM704" s="712"/>
      <c r="AN704" s="712"/>
      <c r="AO704" s="712"/>
    </row>
    <row r="705">
      <c r="G705" s="712"/>
      <c r="H705" s="712"/>
      <c r="I705" s="712"/>
      <c r="J705" s="712"/>
      <c r="K705" s="712"/>
      <c r="L705" s="712"/>
      <c r="M705" s="712"/>
      <c r="N705" s="712"/>
      <c r="O705" s="712"/>
      <c r="P705" s="712"/>
      <c r="Q705" s="712"/>
      <c r="R705" s="712"/>
      <c r="S705" s="712"/>
      <c r="T705" s="712"/>
      <c r="U705" s="712"/>
      <c r="V705" s="712"/>
      <c r="W705" s="712"/>
      <c r="X705" s="712"/>
      <c r="Y705" s="712"/>
      <c r="Z705" s="712"/>
      <c r="AA705" s="712"/>
      <c r="AB705" s="712"/>
      <c r="AC705" s="712"/>
      <c r="AD705" s="712"/>
      <c r="AE705" s="712"/>
      <c r="AF705" s="712"/>
      <c r="AG705" s="712"/>
      <c r="AH705" s="712"/>
      <c r="AI705" s="712"/>
      <c r="AJ705" s="712"/>
      <c r="AK705" s="712"/>
      <c r="AL705" s="712"/>
      <c r="AM705" s="712"/>
      <c r="AN705" s="712"/>
      <c r="AO705" s="712"/>
    </row>
    <row r="706">
      <c r="G706" s="712"/>
      <c r="H706" s="712"/>
      <c r="I706" s="712"/>
      <c r="J706" s="712"/>
      <c r="K706" s="712"/>
      <c r="L706" s="712"/>
      <c r="M706" s="712"/>
      <c r="N706" s="712"/>
      <c r="O706" s="712"/>
      <c r="P706" s="712"/>
      <c r="Q706" s="712"/>
      <c r="R706" s="712"/>
      <c r="S706" s="712"/>
      <c r="T706" s="712"/>
      <c r="U706" s="712"/>
      <c r="V706" s="712"/>
      <c r="W706" s="712"/>
      <c r="X706" s="712"/>
      <c r="Y706" s="712"/>
      <c r="Z706" s="712"/>
      <c r="AA706" s="712"/>
      <c r="AB706" s="712"/>
      <c r="AC706" s="712"/>
      <c r="AD706" s="712"/>
      <c r="AE706" s="712"/>
      <c r="AF706" s="712"/>
      <c r="AG706" s="712"/>
      <c r="AH706" s="712"/>
      <c r="AI706" s="712"/>
      <c r="AJ706" s="712"/>
      <c r="AK706" s="712"/>
      <c r="AL706" s="712"/>
      <c r="AM706" s="712"/>
      <c r="AN706" s="712"/>
      <c r="AO706" s="712"/>
    </row>
    <row r="707">
      <c r="G707" s="712"/>
      <c r="H707" s="712"/>
      <c r="I707" s="712"/>
      <c r="J707" s="712"/>
      <c r="K707" s="712"/>
      <c r="L707" s="712"/>
      <c r="M707" s="712"/>
      <c r="N707" s="712"/>
      <c r="O707" s="712"/>
      <c r="P707" s="712"/>
      <c r="Q707" s="712"/>
      <c r="R707" s="712"/>
      <c r="S707" s="712"/>
      <c r="T707" s="712"/>
      <c r="U707" s="712"/>
      <c r="V707" s="712"/>
      <c r="W707" s="712"/>
      <c r="X707" s="712"/>
      <c r="Y707" s="712"/>
      <c r="Z707" s="712"/>
      <c r="AA707" s="712"/>
      <c r="AB707" s="712"/>
      <c r="AC707" s="712"/>
      <c r="AD707" s="712"/>
      <c r="AE707" s="712"/>
      <c r="AF707" s="712"/>
      <c r="AG707" s="712"/>
      <c r="AH707" s="712"/>
      <c r="AI707" s="712"/>
      <c r="AJ707" s="712"/>
      <c r="AK707" s="712"/>
      <c r="AL707" s="712"/>
      <c r="AM707" s="712"/>
      <c r="AN707" s="712"/>
      <c r="AO707" s="712"/>
    </row>
    <row r="708">
      <c r="G708" s="712"/>
      <c r="H708" s="712"/>
      <c r="I708" s="712"/>
      <c r="J708" s="712"/>
      <c r="K708" s="712"/>
      <c r="L708" s="712"/>
      <c r="M708" s="712"/>
      <c r="N708" s="712"/>
      <c r="O708" s="712"/>
      <c r="P708" s="712"/>
      <c r="Q708" s="712"/>
      <c r="R708" s="712"/>
      <c r="S708" s="712"/>
      <c r="T708" s="712"/>
      <c r="U708" s="712"/>
      <c r="V708" s="712"/>
      <c r="W708" s="712"/>
      <c r="X708" s="712"/>
      <c r="Y708" s="712"/>
      <c r="Z708" s="712"/>
      <c r="AA708" s="712"/>
      <c r="AB708" s="712"/>
      <c r="AC708" s="712"/>
      <c r="AD708" s="712"/>
      <c r="AE708" s="712"/>
      <c r="AF708" s="712"/>
      <c r="AG708" s="712"/>
      <c r="AH708" s="712"/>
      <c r="AI708" s="712"/>
      <c r="AJ708" s="712"/>
      <c r="AK708" s="712"/>
      <c r="AL708" s="712"/>
      <c r="AM708" s="712"/>
      <c r="AN708" s="712"/>
      <c r="AO708" s="712"/>
    </row>
    <row r="709">
      <c r="G709" s="712"/>
      <c r="H709" s="712"/>
      <c r="I709" s="712"/>
      <c r="J709" s="712"/>
      <c r="K709" s="712"/>
      <c r="L709" s="712"/>
      <c r="M709" s="712"/>
      <c r="N709" s="712"/>
      <c r="O709" s="712"/>
      <c r="P709" s="712"/>
      <c r="Q709" s="712"/>
      <c r="R709" s="712"/>
      <c r="S709" s="712"/>
      <c r="T709" s="712"/>
      <c r="U709" s="712"/>
      <c r="V709" s="712"/>
      <c r="W709" s="712"/>
      <c r="X709" s="712"/>
      <c r="Y709" s="712"/>
      <c r="Z709" s="712"/>
      <c r="AA709" s="712"/>
      <c r="AB709" s="712"/>
      <c r="AC709" s="712"/>
      <c r="AD709" s="712"/>
      <c r="AE709" s="712"/>
      <c r="AF709" s="712"/>
      <c r="AG709" s="712"/>
      <c r="AH709" s="712"/>
      <c r="AI709" s="712"/>
      <c r="AJ709" s="712"/>
      <c r="AK709" s="712"/>
      <c r="AL709" s="712"/>
      <c r="AM709" s="712"/>
      <c r="AN709" s="712"/>
      <c r="AO709" s="712"/>
    </row>
    <row r="710">
      <c r="G710" s="712"/>
      <c r="H710" s="712"/>
      <c r="I710" s="712"/>
      <c r="J710" s="712"/>
      <c r="K710" s="712"/>
      <c r="L710" s="712"/>
      <c r="M710" s="712"/>
      <c r="N710" s="712"/>
      <c r="O710" s="712"/>
      <c r="P710" s="712"/>
      <c r="Q710" s="712"/>
      <c r="R710" s="712"/>
      <c r="S710" s="712"/>
      <c r="T710" s="712"/>
      <c r="U710" s="712"/>
      <c r="V710" s="712"/>
      <c r="W710" s="712"/>
      <c r="X710" s="712"/>
      <c r="Y710" s="712"/>
      <c r="Z710" s="712"/>
      <c r="AA710" s="712"/>
      <c r="AB710" s="712"/>
      <c r="AC710" s="712"/>
      <c r="AD710" s="712"/>
      <c r="AE710" s="712"/>
      <c r="AF710" s="712"/>
      <c r="AG710" s="712"/>
      <c r="AH710" s="712"/>
      <c r="AI710" s="712"/>
      <c r="AJ710" s="712"/>
      <c r="AK710" s="712"/>
      <c r="AL710" s="712"/>
      <c r="AM710" s="712"/>
      <c r="AN710" s="712"/>
      <c r="AO710" s="712"/>
    </row>
    <row r="711">
      <c r="G711" s="712"/>
      <c r="H711" s="712"/>
      <c r="I711" s="712"/>
      <c r="J711" s="712"/>
      <c r="K711" s="712"/>
      <c r="L711" s="712"/>
      <c r="M711" s="712"/>
      <c r="N711" s="712"/>
      <c r="O711" s="712"/>
      <c r="P711" s="712"/>
      <c r="Q711" s="712"/>
      <c r="R711" s="712"/>
      <c r="S711" s="712"/>
      <c r="T711" s="712"/>
      <c r="U711" s="712"/>
      <c r="V711" s="712"/>
      <c r="W711" s="712"/>
      <c r="X711" s="712"/>
      <c r="Y711" s="712"/>
      <c r="Z711" s="712"/>
      <c r="AA711" s="712"/>
      <c r="AB711" s="712"/>
      <c r="AC711" s="712"/>
      <c r="AD711" s="712"/>
      <c r="AE711" s="712"/>
      <c r="AF711" s="712"/>
      <c r="AG711" s="712"/>
      <c r="AH711" s="712"/>
      <c r="AI711" s="712"/>
      <c r="AJ711" s="712"/>
      <c r="AK711" s="712"/>
      <c r="AL711" s="712"/>
      <c r="AM711" s="712"/>
      <c r="AN711" s="712"/>
      <c r="AO711" s="712"/>
    </row>
    <row r="712">
      <c r="G712" s="712"/>
      <c r="H712" s="712"/>
      <c r="I712" s="712"/>
      <c r="J712" s="712"/>
      <c r="K712" s="712"/>
      <c r="L712" s="712"/>
      <c r="M712" s="712"/>
      <c r="N712" s="712"/>
      <c r="O712" s="712"/>
      <c r="P712" s="712"/>
      <c r="Q712" s="712"/>
      <c r="R712" s="712"/>
      <c r="S712" s="712"/>
      <c r="T712" s="712"/>
      <c r="U712" s="712"/>
      <c r="V712" s="712"/>
      <c r="W712" s="712"/>
      <c r="X712" s="712"/>
      <c r="Y712" s="712"/>
      <c r="Z712" s="712"/>
      <c r="AA712" s="712"/>
      <c r="AB712" s="712"/>
      <c r="AC712" s="712"/>
      <c r="AD712" s="712"/>
      <c r="AE712" s="712"/>
      <c r="AF712" s="712"/>
      <c r="AG712" s="712"/>
      <c r="AH712" s="712"/>
      <c r="AI712" s="712"/>
      <c r="AJ712" s="712"/>
      <c r="AK712" s="712"/>
      <c r="AL712" s="712"/>
      <c r="AM712" s="712"/>
      <c r="AN712" s="712"/>
      <c r="AO712" s="712"/>
    </row>
    <row r="713">
      <c r="G713" s="712"/>
      <c r="H713" s="712"/>
      <c r="I713" s="712"/>
      <c r="J713" s="712"/>
      <c r="K713" s="712"/>
      <c r="L713" s="712"/>
      <c r="M713" s="712"/>
      <c r="N713" s="712"/>
      <c r="O713" s="712"/>
      <c r="P713" s="712"/>
      <c r="Q713" s="712"/>
      <c r="R713" s="712"/>
      <c r="S713" s="712"/>
      <c r="T713" s="712"/>
      <c r="U713" s="712"/>
      <c r="V713" s="712"/>
      <c r="W713" s="712"/>
      <c r="X713" s="712"/>
      <c r="Y713" s="712"/>
      <c r="Z713" s="712"/>
      <c r="AA713" s="712"/>
      <c r="AB713" s="712"/>
      <c r="AC713" s="712"/>
      <c r="AD713" s="712"/>
      <c r="AE713" s="712"/>
      <c r="AF713" s="712"/>
      <c r="AG713" s="712"/>
      <c r="AH713" s="712"/>
      <c r="AI713" s="712"/>
      <c r="AJ713" s="712"/>
      <c r="AK713" s="712"/>
      <c r="AL713" s="712"/>
      <c r="AM713" s="712"/>
      <c r="AN713" s="712"/>
      <c r="AO713" s="712"/>
    </row>
    <row r="714">
      <c r="G714" s="712"/>
      <c r="H714" s="712"/>
      <c r="I714" s="712"/>
      <c r="J714" s="712"/>
      <c r="K714" s="712"/>
      <c r="L714" s="712"/>
      <c r="M714" s="712"/>
      <c r="N714" s="712"/>
      <c r="O714" s="712"/>
      <c r="P714" s="712"/>
      <c r="Q714" s="712"/>
      <c r="R714" s="712"/>
      <c r="S714" s="712"/>
      <c r="T714" s="712"/>
      <c r="U714" s="712"/>
      <c r="V714" s="712"/>
      <c r="W714" s="712"/>
      <c r="X714" s="712"/>
      <c r="Y714" s="712"/>
      <c r="Z714" s="712"/>
      <c r="AA714" s="712"/>
      <c r="AB714" s="712"/>
      <c r="AC714" s="712"/>
      <c r="AD714" s="712"/>
      <c r="AE714" s="712"/>
      <c r="AF714" s="712"/>
      <c r="AG714" s="712"/>
      <c r="AH714" s="712"/>
      <c r="AI714" s="712"/>
      <c r="AJ714" s="712"/>
      <c r="AK714" s="712"/>
      <c r="AL714" s="712"/>
      <c r="AM714" s="712"/>
      <c r="AN714" s="712"/>
      <c r="AO714" s="712"/>
    </row>
    <row r="715">
      <c r="G715" s="712"/>
      <c r="H715" s="712"/>
      <c r="I715" s="712"/>
      <c r="J715" s="712"/>
      <c r="K715" s="712"/>
      <c r="L715" s="712"/>
      <c r="M715" s="712"/>
      <c r="N715" s="712"/>
      <c r="O715" s="712"/>
      <c r="P715" s="712"/>
      <c r="Q715" s="712"/>
      <c r="R715" s="712"/>
      <c r="S715" s="712"/>
      <c r="T715" s="712"/>
      <c r="U715" s="712"/>
      <c r="V715" s="712"/>
      <c r="W715" s="712"/>
      <c r="X715" s="712"/>
      <c r="Y715" s="712"/>
      <c r="Z715" s="712"/>
      <c r="AA715" s="712"/>
      <c r="AB715" s="712"/>
      <c r="AC715" s="712"/>
      <c r="AD715" s="712"/>
      <c r="AE715" s="712"/>
      <c r="AF715" s="712"/>
      <c r="AG715" s="712"/>
      <c r="AH715" s="712"/>
      <c r="AI715" s="712"/>
      <c r="AJ715" s="712"/>
      <c r="AK715" s="712"/>
      <c r="AL715" s="712"/>
      <c r="AM715" s="712"/>
      <c r="AN715" s="712"/>
      <c r="AO715" s="712"/>
    </row>
    <row r="716">
      <c r="G716" s="712"/>
      <c r="H716" s="712"/>
      <c r="I716" s="712"/>
      <c r="J716" s="712"/>
      <c r="K716" s="712"/>
      <c r="L716" s="712"/>
      <c r="M716" s="712"/>
      <c r="N716" s="712"/>
      <c r="O716" s="712"/>
      <c r="P716" s="712"/>
      <c r="Q716" s="712"/>
      <c r="R716" s="712"/>
      <c r="S716" s="712"/>
      <c r="T716" s="712"/>
      <c r="U716" s="712"/>
      <c r="V716" s="712"/>
      <c r="W716" s="712"/>
      <c r="X716" s="712"/>
      <c r="Y716" s="712"/>
      <c r="Z716" s="712"/>
      <c r="AA716" s="712"/>
      <c r="AB716" s="712"/>
      <c r="AC716" s="712"/>
      <c r="AD716" s="712"/>
      <c r="AE716" s="712"/>
      <c r="AF716" s="712"/>
      <c r="AG716" s="712"/>
      <c r="AH716" s="712"/>
      <c r="AI716" s="712"/>
      <c r="AJ716" s="712"/>
      <c r="AK716" s="712"/>
      <c r="AL716" s="712"/>
      <c r="AM716" s="712"/>
      <c r="AN716" s="712"/>
      <c r="AO716" s="712"/>
    </row>
    <row r="717">
      <c r="G717" s="712"/>
      <c r="H717" s="712"/>
      <c r="I717" s="712"/>
      <c r="J717" s="712"/>
      <c r="K717" s="712"/>
      <c r="L717" s="712"/>
      <c r="M717" s="712"/>
      <c r="N717" s="712"/>
      <c r="O717" s="712"/>
      <c r="P717" s="712"/>
      <c r="Q717" s="712"/>
      <c r="R717" s="712"/>
      <c r="S717" s="712"/>
      <c r="T717" s="712"/>
      <c r="U717" s="712"/>
      <c r="V717" s="712"/>
      <c r="W717" s="712"/>
      <c r="X717" s="712"/>
      <c r="Y717" s="712"/>
      <c r="Z717" s="712"/>
      <c r="AA717" s="712"/>
      <c r="AB717" s="712"/>
      <c r="AC717" s="712"/>
      <c r="AD717" s="712"/>
      <c r="AE717" s="712"/>
      <c r="AF717" s="712"/>
      <c r="AG717" s="712"/>
      <c r="AH717" s="712"/>
      <c r="AI717" s="712"/>
      <c r="AJ717" s="712"/>
      <c r="AK717" s="712"/>
      <c r="AL717" s="712"/>
      <c r="AM717" s="712"/>
      <c r="AN717" s="712"/>
      <c r="AO717" s="712"/>
    </row>
    <row r="718">
      <c r="G718" s="712"/>
      <c r="H718" s="712"/>
      <c r="I718" s="712"/>
      <c r="J718" s="712"/>
      <c r="K718" s="712"/>
      <c r="L718" s="712"/>
      <c r="M718" s="712"/>
      <c r="N718" s="712"/>
      <c r="O718" s="712"/>
      <c r="P718" s="712"/>
      <c r="Q718" s="712"/>
      <c r="R718" s="712"/>
      <c r="S718" s="712"/>
      <c r="T718" s="712"/>
      <c r="U718" s="712"/>
      <c r="V718" s="712"/>
      <c r="W718" s="712"/>
      <c r="X718" s="712"/>
      <c r="Y718" s="712"/>
      <c r="Z718" s="712"/>
      <c r="AA718" s="712"/>
      <c r="AB718" s="712"/>
      <c r="AC718" s="712"/>
      <c r="AD718" s="712"/>
      <c r="AE718" s="712"/>
      <c r="AF718" s="712"/>
      <c r="AG718" s="712"/>
      <c r="AH718" s="712"/>
      <c r="AI718" s="712"/>
      <c r="AJ718" s="712"/>
      <c r="AK718" s="712"/>
      <c r="AL718" s="712"/>
      <c r="AM718" s="712"/>
      <c r="AN718" s="712"/>
      <c r="AO718" s="712"/>
    </row>
    <row r="719">
      <c r="G719" s="712"/>
      <c r="H719" s="712"/>
      <c r="I719" s="712"/>
      <c r="J719" s="712"/>
      <c r="K719" s="712"/>
      <c r="L719" s="712"/>
      <c r="M719" s="712"/>
      <c r="N719" s="712"/>
      <c r="O719" s="712"/>
      <c r="P719" s="712"/>
      <c r="Q719" s="712"/>
      <c r="R719" s="712"/>
      <c r="S719" s="712"/>
      <c r="T719" s="712"/>
      <c r="U719" s="712"/>
      <c r="V719" s="712"/>
      <c r="W719" s="712"/>
      <c r="X719" s="712"/>
      <c r="Y719" s="712"/>
      <c r="Z719" s="712"/>
      <c r="AA719" s="712"/>
      <c r="AB719" s="712"/>
      <c r="AC719" s="712"/>
      <c r="AD719" s="712"/>
      <c r="AE719" s="712"/>
      <c r="AF719" s="712"/>
      <c r="AG719" s="712"/>
      <c r="AH719" s="712"/>
      <c r="AI719" s="712"/>
      <c r="AJ719" s="712"/>
      <c r="AK719" s="712"/>
      <c r="AL719" s="712"/>
      <c r="AM719" s="712"/>
      <c r="AN719" s="712"/>
      <c r="AO719" s="712"/>
    </row>
    <row r="720">
      <c r="G720" s="712"/>
      <c r="H720" s="712"/>
      <c r="I720" s="712"/>
      <c r="J720" s="712"/>
      <c r="K720" s="712"/>
      <c r="L720" s="712"/>
      <c r="M720" s="712"/>
      <c r="N720" s="712"/>
      <c r="O720" s="712"/>
      <c r="P720" s="712"/>
      <c r="Q720" s="712"/>
      <c r="R720" s="712"/>
      <c r="S720" s="712"/>
      <c r="T720" s="712"/>
      <c r="U720" s="712"/>
      <c r="V720" s="712"/>
      <c r="W720" s="712"/>
      <c r="X720" s="712"/>
      <c r="Y720" s="712"/>
      <c r="Z720" s="712"/>
      <c r="AA720" s="712"/>
      <c r="AB720" s="712"/>
      <c r="AC720" s="712"/>
      <c r="AD720" s="712"/>
      <c r="AE720" s="712"/>
      <c r="AF720" s="712"/>
      <c r="AG720" s="712"/>
      <c r="AH720" s="712"/>
      <c r="AI720" s="712"/>
      <c r="AJ720" s="712"/>
      <c r="AK720" s="712"/>
      <c r="AL720" s="712"/>
      <c r="AM720" s="712"/>
      <c r="AN720" s="712"/>
      <c r="AO720" s="712"/>
    </row>
    <row r="721">
      <c r="G721" s="712"/>
      <c r="H721" s="712"/>
      <c r="I721" s="712"/>
      <c r="J721" s="712"/>
      <c r="K721" s="712"/>
      <c r="L721" s="712"/>
      <c r="M721" s="712"/>
      <c r="N721" s="712"/>
      <c r="O721" s="712"/>
      <c r="P721" s="712"/>
      <c r="Q721" s="712"/>
      <c r="R721" s="712"/>
      <c r="S721" s="712"/>
      <c r="T721" s="712"/>
      <c r="U721" s="712"/>
      <c r="V721" s="712"/>
      <c r="W721" s="712"/>
      <c r="X721" s="712"/>
      <c r="Y721" s="712"/>
      <c r="Z721" s="712"/>
      <c r="AA721" s="712"/>
      <c r="AB721" s="712"/>
      <c r="AC721" s="712"/>
      <c r="AD721" s="712"/>
      <c r="AE721" s="712"/>
      <c r="AF721" s="712"/>
      <c r="AG721" s="712"/>
      <c r="AH721" s="712"/>
      <c r="AI721" s="712"/>
      <c r="AJ721" s="712"/>
      <c r="AK721" s="712"/>
      <c r="AL721" s="712"/>
      <c r="AM721" s="712"/>
      <c r="AN721" s="712"/>
      <c r="AO721" s="712"/>
    </row>
    <row r="722">
      <c r="G722" s="712"/>
      <c r="H722" s="712"/>
      <c r="I722" s="712"/>
      <c r="J722" s="712"/>
      <c r="K722" s="712"/>
      <c r="L722" s="712"/>
      <c r="M722" s="712"/>
      <c r="N722" s="712"/>
      <c r="O722" s="712"/>
      <c r="P722" s="712"/>
      <c r="Q722" s="712"/>
      <c r="R722" s="712"/>
      <c r="S722" s="712"/>
      <c r="T722" s="712"/>
      <c r="U722" s="712"/>
      <c r="V722" s="712"/>
      <c r="W722" s="712"/>
      <c r="X722" s="712"/>
      <c r="Y722" s="712"/>
      <c r="Z722" s="712"/>
      <c r="AA722" s="712"/>
      <c r="AB722" s="712"/>
      <c r="AC722" s="712"/>
      <c r="AD722" s="712"/>
      <c r="AE722" s="712"/>
      <c r="AF722" s="712"/>
      <c r="AG722" s="712"/>
      <c r="AH722" s="712"/>
      <c r="AI722" s="712"/>
      <c r="AJ722" s="712"/>
      <c r="AK722" s="712"/>
      <c r="AL722" s="712"/>
      <c r="AM722" s="712"/>
      <c r="AN722" s="712"/>
      <c r="AO722" s="712"/>
    </row>
    <row r="723">
      <c r="G723" s="712"/>
      <c r="H723" s="712"/>
      <c r="I723" s="712"/>
      <c r="J723" s="712"/>
      <c r="K723" s="712"/>
      <c r="L723" s="712"/>
      <c r="M723" s="712"/>
      <c r="N723" s="712"/>
      <c r="O723" s="712"/>
      <c r="P723" s="712"/>
      <c r="Q723" s="712"/>
      <c r="R723" s="712"/>
      <c r="S723" s="712"/>
      <c r="T723" s="712"/>
      <c r="U723" s="712"/>
      <c r="V723" s="712"/>
      <c r="W723" s="712"/>
      <c r="X723" s="712"/>
      <c r="Y723" s="712"/>
      <c r="Z723" s="712"/>
      <c r="AA723" s="712"/>
      <c r="AB723" s="712"/>
      <c r="AC723" s="712"/>
      <c r="AD723" s="712"/>
      <c r="AE723" s="712"/>
      <c r="AF723" s="712"/>
      <c r="AG723" s="712"/>
      <c r="AH723" s="712"/>
      <c r="AI723" s="712"/>
      <c r="AJ723" s="712"/>
      <c r="AK723" s="712"/>
      <c r="AL723" s="712"/>
      <c r="AM723" s="712"/>
      <c r="AN723" s="712"/>
      <c r="AO723" s="712"/>
    </row>
    <row r="724">
      <c r="G724" s="712"/>
      <c r="H724" s="712"/>
      <c r="I724" s="712"/>
      <c r="J724" s="712"/>
      <c r="K724" s="712"/>
      <c r="L724" s="712"/>
      <c r="M724" s="712"/>
      <c r="N724" s="712"/>
      <c r="O724" s="712"/>
      <c r="P724" s="712"/>
      <c r="Q724" s="712"/>
      <c r="R724" s="712"/>
      <c r="S724" s="712"/>
      <c r="T724" s="712"/>
      <c r="U724" s="712"/>
      <c r="V724" s="712"/>
      <c r="W724" s="712"/>
      <c r="X724" s="712"/>
      <c r="Y724" s="712"/>
      <c r="Z724" s="712"/>
      <c r="AA724" s="712"/>
      <c r="AB724" s="712"/>
      <c r="AC724" s="712"/>
      <c r="AD724" s="712"/>
      <c r="AE724" s="712"/>
      <c r="AF724" s="712"/>
      <c r="AG724" s="712"/>
      <c r="AH724" s="712"/>
      <c r="AI724" s="712"/>
      <c r="AJ724" s="712"/>
      <c r="AK724" s="712"/>
      <c r="AL724" s="712"/>
      <c r="AM724" s="712"/>
      <c r="AN724" s="712"/>
      <c r="AO724" s="712"/>
    </row>
    <row r="725">
      <c r="G725" s="712"/>
      <c r="H725" s="712"/>
      <c r="I725" s="712"/>
      <c r="J725" s="712"/>
      <c r="K725" s="712"/>
      <c r="L725" s="712"/>
      <c r="M725" s="712"/>
      <c r="N725" s="712"/>
      <c r="O725" s="712"/>
      <c r="P725" s="712"/>
      <c r="Q725" s="712"/>
      <c r="R725" s="712"/>
      <c r="S725" s="712"/>
      <c r="T725" s="712"/>
      <c r="U725" s="712"/>
      <c r="V725" s="712"/>
      <c r="W725" s="712"/>
      <c r="X725" s="712"/>
      <c r="Y725" s="712"/>
      <c r="Z725" s="712"/>
      <c r="AA725" s="712"/>
      <c r="AB725" s="712"/>
      <c r="AC725" s="712"/>
      <c r="AD725" s="712"/>
      <c r="AE725" s="712"/>
      <c r="AF725" s="712"/>
      <c r="AG725" s="712"/>
      <c r="AH725" s="712"/>
      <c r="AI725" s="712"/>
      <c r="AJ725" s="712"/>
      <c r="AK725" s="712"/>
      <c r="AL725" s="712"/>
      <c r="AM725" s="712"/>
      <c r="AN725" s="712"/>
      <c r="AO725" s="712"/>
    </row>
    <row r="726">
      <c r="G726" s="712"/>
      <c r="H726" s="712"/>
      <c r="I726" s="712"/>
      <c r="J726" s="712"/>
      <c r="K726" s="712"/>
      <c r="L726" s="712"/>
      <c r="M726" s="712"/>
      <c r="N726" s="712"/>
      <c r="O726" s="712"/>
      <c r="P726" s="712"/>
      <c r="Q726" s="712"/>
      <c r="R726" s="712"/>
      <c r="S726" s="712"/>
      <c r="T726" s="712"/>
      <c r="U726" s="712"/>
      <c r="V726" s="712"/>
      <c r="W726" s="712"/>
      <c r="X726" s="712"/>
      <c r="Y726" s="712"/>
      <c r="Z726" s="712"/>
      <c r="AA726" s="712"/>
      <c r="AB726" s="712"/>
      <c r="AC726" s="712"/>
      <c r="AD726" s="712"/>
      <c r="AE726" s="712"/>
      <c r="AF726" s="712"/>
      <c r="AG726" s="712"/>
      <c r="AH726" s="712"/>
      <c r="AI726" s="712"/>
      <c r="AJ726" s="712"/>
      <c r="AK726" s="712"/>
      <c r="AL726" s="712"/>
      <c r="AM726" s="712"/>
      <c r="AN726" s="712"/>
      <c r="AO726" s="712"/>
    </row>
    <row r="727">
      <c r="G727" s="712"/>
      <c r="H727" s="712"/>
      <c r="I727" s="712"/>
      <c r="J727" s="712"/>
      <c r="K727" s="712"/>
      <c r="L727" s="712"/>
      <c r="M727" s="712"/>
      <c r="N727" s="712"/>
      <c r="O727" s="712"/>
      <c r="P727" s="712"/>
      <c r="Q727" s="712"/>
      <c r="R727" s="712"/>
      <c r="S727" s="712"/>
      <c r="T727" s="712"/>
      <c r="U727" s="712"/>
      <c r="V727" s="712"/>
      <c r="W727" s="712"/>
      <c r="X727" s="712"/>
      <c r="Y727" s="712"/>
      <c r="Z727" s="712"/>
      <c r="AA727" s="712"/>
      <c r="AB727" s="712"/>
      <c r="AC727" s="712"/>
      <c r="AD727" s="712"/>
      <c r="AE727" s="712"/>
      <c r="AF727" s="712"/>
      <c r="AG727" s="712"/>
      <c r="AH727" s="712"/>
      <c r="AI727" s="712"/>
      <c r="AJ727" s="712"/>
      <c r="AK727" s="712"/>
      <c r="AL727" s="712"/>
      <c r="AM727" s="712"/>
      <c r="AN727" s="712"/>
      <c r="AO727" s="712"/>
    </row>
    <row r="728">
      <c r="G728" s="712"/>
      <c r="H728" s="712"/>
      <c r="I728" s="712"/>
      <c r="J728" s="712"/>
      <c r="K728" s="712"/>
      <c r="L728" s="712"/>
      <c r="M728" s="712"/>
      <c r="N728" s="712"/>
      <c r="O728" s="712"/>
      <c r="P728" s="712"/>
      <c r="Q728" s="712"/>
      <c r="R728" s="712"/>
      <c r="S728" s="712"/>
      <c r="T728" s="712"/>
      <c r="U728" s="712"/>
      <c r="V728" s="712"/>
      <c r="W728" s="712"/>
      <c r="X728" s="712"/>
      <c r="Y728" s="712"/>
      <c r="Z728" s="712"/>
      <c r="AA728" s="712"/>
      <c r="AB728" s="712"/>
      <c r="AC728" s="712"/>
      <c r="AD728" s="712"/>
      <c r="AE728" s="712"/>
      <c r="AF728" s="712"/>
      <c r="AG728" s="712"/>
      <c r="AH728" s="712"/>
      <c r="AI728" s="712"/>
      <c r="AJ728" s="712"/>
      <c r="AK728" s="712"/>
      <c r="AL728" s="712"/>
      <c r="AM728" s="712"/>
      <c r="AN728" s="712"/>
      <c r="AO728" s="712"/>
    </row>
    <row r="729">
      <c r="G729" s="712"/>
      <c r="H729" s="712"/>
      <c r="I729" s="712"/>
      <c r="J729" s="712"/>
      <c r="K729" s="712"/>
      <c r="L729" s="712"/>
      <c r="M729" s="712"/>
      <c r="N729" s="712"/>
      <c r="O729" s="712"/>
      <c r="P729" s="712"/>
      <c r="Q729" s="712"/>
      <c r="R729" s="712"/>
      <c r="S729" s="712"/>
      <c r="T729" s="712"/>
      <c r="U729" s="712"/>
      <c r="V729" s="712"/>
      <c r="W729" s="712"/>
      <c r="X729" s="712"/>
      <c r="Y729" s="712"/>
      <c r="Z729" s="712"/>
      <c r="AA729" s="712"/>
      <c r="AB729" s="712"/>
      <c r="AC729" s="712"/>
      <c r="AD729" s="712"/>
      <c r="AE729" s="712"/>
      <c r="AF729" s="712"/>
      <c r="AG729" s="712"/>
      <c r="AH729" s="712"/>
      <c r="AI729" s="712"/>
      <c r="AJ729" s="712"/>
      <c r="AK729" s="712"/>
      <c r="AL729" s="712"/>
      <c r="AM729" s="712"/>
      <c r="AN729" s="712"/>
      <c r="AO729" s="712"/>
    </row>
    <row r="730">
      <c r="G730" s="712"/>
      <c r="H730" s="712"/>
      <c r="I730" s="712"/>
      <c r="J730" s="712"/>
      <c r="K730" s="712"/>
      <c r="L730" s="712"/>
      <c r="M730" s="712"/>
      <c r="N730" s="712"/>
      <c r="O730" s="712"/>
      <c r="P730" s="712"/>
      <c r="Q730" s="712"/>
      <c r="R730" s="712"/>
      <c r="S730" s="712"/>
      <c r="T730" s="712"/>
      <c r="U730" s="712"/>
      <c r="V730" s="712"/>
      <c r="W730" s="712"/>
      <c r="X730" s="712"/>
      <c r="Y730" s="712"/>
      <c r="Z730" s="712"/>
      <c r="AA730" s="712"/>
      <c r="AB730" s="712"/>
      <c r="AC730" s="712"/>
      <c r="AD730" s="712"/>
      <c r="AE730" s="712"/>
      <c r="AF730" s="712"/>
      <c r="AG730" s="712"/>
      <c r="AH730" s="712"/>
      <c r="AI730" s="712"/>
      <c r="AJ730" s="712"/>
      <c r="AK730" s="712"/>
      <c r="AL730" s="712"/>
      <c r="AM730" s="712"/>
      <c r="AN730" s="712"/>
      <c r="AO730" s="712"/>
    </row>
    <row r="731">
      <c r="G731" s="712"/>
      <c r="H731" s="712"/>
      <c r="I731" s="712"/>
      <c r="J731" s="712"/>
      <c r="K731" s="712"/>
      <c r="L731" s="712"/>
      <c r="M731" s="712"/>
      <c r="N731" s="712"/>
      <c r="O731" s="712"/>
      <c r="P731" s="712"/>
      <c r="Q731" s="712"/>
      <c r="R731" s="712"/>
      <c r="S731" s="712"/>
      <c r="T731" s="712"/>
      <c r="U731" s="712"/>
      <c r="V731" s="712"/>
      <c r="W731" s="712"/>
      <c r="X731" s="712"/>
      <c r="Y731" s="712"/>
      <c r="Z731" s="712"/>
      <c r="AA731" s="712"/>
      <c r="AB731" s="712"/>
      <c r="AC731" s="712"/>
      <c r="AD731" s="712"/>
      <c r="AE731" s="712"/>
      <c r="AF731" s="712"/>
      <c r="AG731" s="712"/>
      <c r="AH731" s="712"/>
      <c r="AI731" s="712"/>
      <c r="AJ731" s="712"/>
      <c r="AK731" s="712"/>
      <c r="AL731" s="712"/>
      <c r="AM731" s="712"/>
      <c r="AN731" s="712"/>
      <c r="AO731" s="712"/>
    </row>
    <row r="732">
      <c r="G732" s="712"/>
      <c r="H732" s="712"/>
      <c r="I732" s="712"/>
      <c r="J732" s="712"/>
      <c r="K732" s="712"/>
      <c r="L732" s="712"/>
      <c r="M732" s="712"/>
      <c r="N732" s="712"/>
      <c r="O732" s="712"/>
      <c r="P732" s="712"/>
      <c r="Q732" s="712"/>
      <c r="R732" s="712"/>
      <c r="S732" s="712"/>
      <c r="T732" s="712"/>
      <c r="U732" s="712"/>
      <c r="V732" s="712"/>
      <c r="W732" s="712"/>
      <c r="X732" s="712"/>
      <c r="Y732" s="712"/>
      <c r="Z732" s="712"/>
      <c r="AA732" s="712"/>
      <c r="AB732" s="712"/>
      <c r="AC732" s="712"/>
      <c r="AD732" s="712"/>
      <c r="AE732" s="712"/>
      <c r="AF732" s="712"/>
      <c r="AG732" s="712"/>
      <c r="AH732" s="712"/>
      <c r="AI732" s="712"/>
      <c r="AJ732" s="712"/>
      <c r="AK732" s="712"/>
      <c r="AL732" s="712"/>
      <c r="AM732" s="712"/>
      <c r="AN732" s="712"/>
      <c r="AO732" s="712"/>
    </row>
    <row r="733">
      <c r="G733" s="712"/>
      <c r="H733" s="712"/>
      <c r="I733" s="712"/>
      <c r="J733" s="712"/>
      <c r="K733" s="712"/>
      <c r="L733" s="712"/>
      <c r="M733" s="712"/>
      <c r="N733" s="712"/>
      <c r="O733" s="712"/>
      <c r="P733" s="712"/>
      <c r="Q733" s="712"/>
      <c r="R733" s="712"/>
      <c r="S733" s="712"/>
      <c r="T733" s="712"/>
      <c r="U733" s="712"/>
      <c r="V733" s="712"/>
      <c r="W733" s="712"/>
      <c r="X733" s="712"/>
      <c r="Y733" s="712"/>
      <c r="Z733" s="712"/>
      <c r="AA733" s="712"/>
      <c r="AB733" s="712"/>
      <c r="AC733" s="712"/>
      <c r="AD733" s="712"/>
      <c r="AE733" s="712"/>
      <c r="AF733" s="712"/>
      <c r="AG733" s="712"/>
      <c r="AH733" s="712"/>
      <c r="AI733" s="712"/>
      <c r="AJ733" s="712"/>
      <c r="AK733" s="712"/>
      <c r="AL733" s="712"/>
      <c r="AM733" s="712"/>
      <c r="AN733" s="712"/>
      <c r="AO733" s="712"/>
    </row>
    <row r="734">
      <c r="G734" s="712"/>
      <c r="H734" s="712"/>
      <c r="I734" s="712"/>
      <c r="J734" s="712"/>
      <c r="K734" s="712"/>
      <c r="L734" s="712"/>
      <c r="M734" s="712"/>
      <c r="N734" s="712"/>
      <c r="O734" s="712"/>
      <c r="P734" s="712"/>
      <c r="Q734" s="712"/>
      <c r="R734" s="712"/>
      <c r="S734" s="712"/>
      <c r="T734" s="712"/>
      <c r="U734" s="712"/>
      <c r="V734" s="712"/>
      <c r="W734" s="712"/>
      <c r="X734" s="712"/>
      <c r="Y734" s="712"/>
      <c r="Z734" s="712"/>
      <c r="AA734" s="712"/>
      <c r="AB734" s="712"/>
      <c r="AC734" s="712"/>
      <c r="AD734" s="712"/>
      <c r="AE734" s="712"/>
      <c r="AF734" s="712"/>
      <c r="AG734" s="712"/>
      <c r="AH734" s="712"/>
      <c r="AI734" s="712"/>
      <c r="AJ734" s="712"/>
      <c r="AK734" s="712"/>
      <c r="AL734" s="712"/>
      <c r="AM734" s="712"/>
      <c r="AN734" s="712"/>
      <c r="AO734" s="712"/>
    </row>
    <row r="735">
      <c r="G735" s="712"/>
      <c r="H735" s="712"/>
      <c r="I735" s="712"/>
      <c r="J735" s="712"/>
      <c r="K735" s="712"/>
      <c r="L735" s="712"/>
      <c r="M735" s="712"/>
      <c r="N735" s="712"/>
      <c r="O735" s="712"/>
      <c r="P735" s="712"/>
      <c r="Q735" s="712"/>
      <c r="R735" s="712"/>
      <c r="S735" s="712"/>
      <c r="T735" s="712"/>
      <c r="U735" s="712"/>
      <c r="V735" s="712"/>
      <c r="W735" s="712"/>
      <c r="X735" s="712"/>
      <c r="Y735" s="712"/>
      <c r="Z735" s="712"/>
      <c r="AA735" s="712"/>
      <c r="AB735" s="712"/>
      <c r="AC735" s="712"/>
      <c r="AD735" s="712"/>
      <c r="AE735" s="712"/>
      <c r="AF735" s="712"/>
      <c r="AG735" s="712"/>
      <c r="AH735" s="712"/>
      <c r="AI735" s="712"/>
      <c r="AJ735" s="712"/>
      <c r="AK735" s="712"/>
      <c r="AL735" s="712"/>
      <c r="AM735" s="712"/>
      <c r="AN735" s="712"/>
      <c r="AO735" s="712"/>
    </row>
    <row r="736">
      <c r="G736" s="712"/>
      <c r="H736" s="712"/>
      <c r="I736" s="712"/>
      <c r="J736" s="712"/>
      <c r="K736" s="712"/>
      <c r="L736" s="712"/>
      <c r="M736" s="712"/>
      <c r="N736" s="712"/>
      <c r="O736" s="712"/>
      <c r="P736" s="712"/>
      <c r="Q736" s="712"/>
      <c r="R736" s="712"/>
      <c r="S736" s="712"/>
      <c r="T736" s="712"/>
      <c r="U736" s="712"/>
      <c r="V736" s="712"/>
      <c r="W736" s="712"/>
      <c r="X736" s="712"/>
      <c r="Y736" s="712"/>
      <c r="Z736" s="712"/>
      <c r="AA736" s="712"/>
      <c r="AB736" s="712"/>
      <c r="AC736" s="712"/>
      <c r="AD736" s="712"/>
      <c r="AE736" s="712"/>
      <c r="AF736" s="712"/>
      <c r="AG736" s="712"/>
      <c r="AH736" s="712"/>
      <c r="AI736" s="712"/>
      <c r="AJ736" s="712"/>
      <c r="AK736" s="712"/>
      <c r="AL736" s="712"/>
      <c r="AM736" s="712"/>
      <c r="AN736" s="712"/>
      <c r="AO736" s="712"/>
    </row>
    <row r="737">
      <c r="G737" s="712"/>
      <c r="H737" s="712"/>
      <c r="I737" s="712"/>
      <c r="J737" s="712"/>
      <c r="K737" s="712"/>
      <c r="L737" s="712"/>
      <c r="M737" s="712"/>
      <c r="N737" s="712"/>
      <c r="O737" s="712"/>
      <c r="P737" s="712"/>
      <c r="Q737" s="712"/>
      <c r="R737" s="712"/>
      <c r="S737" s="712"/>
      <c r="T737" s="712"/>
      <c r="U737" s="712"/>
      <c r="V737" s="712"/>
      <c r="W737" s="712"/>
      <c r="X737" s="712"/>
      <c r="Y737" s="712"/>
      <c r="Z737" s="712"/>
      <c r="AA737" s="712"/>
      <c r="AB737" s="712"/>
      <c r="AC737" s="712"/>
      <c r="AD737" s="712"/>
      <c r="AE737" s="712"/>
      <c r="AF737" s="712"/>
      <c r="AG737" s="712"/>
      <c r="AH737" s="712"/>
      <c r="AI737" s="712"/>
      <c r="AJ737" s="712"/>
      <c r="AK737" s="712"/>
      <c r="AL737" s="712"/>
      <c r="AM737" s="712"/>
      <c r="AN737" s="712"/>
      <c r="AO737" s="712"/>
    </row>
    <row r="738">
      <c r="G738" s="712"/>
      <c r="H738" s="712"/>
      <c r="I738" s="712"/>
      <c r="J738" s="712"/>
      <c r="K738" s="712"/>
      <c r="L738" s="712"/>
      <c r="M738" s="712"/>
      <c r="N738" s="712"/>
      <c r="O738" s="712"/>
      <c r="P738" s="712"/>
      <c r="Q738" s="712"/>
      <c r="R738" s="712"/>
      <c r="S738" s="712"/>
      <c r="T738" s="712"/>
      <c r="U738" s="712"/>
      <c r="V738" s="712"/>
      <c r="W738" s="712"/>
      <c r="X738" s="712"/>
      <c r="Y738" s="712"/>
      <c r="Z738" s="712"/>
      <c r="AA738" s="712"/>
      <c r="AB738" s="712"/>
      <c r="AC738" s="712"/>
      <c r="AD738" s="712"/>
      <c r="AE738" s="712"/>
      <c r="AF738" s="712"/>
      <c r="AG738" s="712"/>
      <c r="AH738" s="712"/>
      <c r="AI738" s="712"/>
      <c r="AJ738" s="712"/>
      <c r="AK738" s="712"/>
      <c r="AL738" s="712"/>
      <c r="AM738" s="712"/>
      <c r="AN738" s="712"/>
      <c r="AO738" s="712"/>
    </row>
    <row r="739">
      <c r="G739" s="712"/>
      <c r="H739" s="712"/>
      <c r="I739" s="712"/>
      <c r="J739" s="712"/>
      <c r="K739" s="712"/>
      <c r="L739" s="712"/>
      <c r="M739" s="712"/>
      <c r="N739" s="712"/>
      <c r="O739" s="712"/>
      <c r="P739" s="712"/>
      <c r="Q739" s="712"/>
      <c r="R739" s="712"/>
      <c r="S739" s="712"/>
      <c r="T739" s="712"/>
      <c r="U739" s="712"/>
      <c r="V739" s="712"/>
      <c r="W739" s="712"/>
      <c r="X739" s="712"/>
      <c r="Y739" s="712"/>
      <c r="Z739" s="712"/>
      <c r="AA739" s="712"/>
      <c r="AB739" s="712"/>
      <c r="AC739" s="712"/>
      <c r="AD739" s="712"/>
      <c r="AE739" s="712"/>
      <c r="AF739" s="712"/>
      <c r="AG739" s="712"/>
      <c r="AH739" s="712"/>
      <c r="AI739" s="712"/>
      <c r="AJ739" s="712"/>
      <c r="AK739" s="712"/>
      <c r="AL739" s="712"/>
      <c r="AM739" s="712"/>
      <c r="AN739" s="712"/>
      <c r="AO739" s="712"/>
    </row>
    <row r="740">
      <c r="G740" s="712"/>
      <c r="H740" s="712"/>
      <c r="I740" s="712"/>
      <c r="J740" s="712"/>
      <c r="K740" s="712"/>
      <c r="L740" s="712"/>
      <c r="M740" s="712"/>
      <c r="N740" s="712"/>
      <c r="O740" s="712"/>
      <c r="P740" s="712"/>
      <c r="Q740" s="712"/>
      <c r="R740" s="712"/>
      <c r="S740" s="712"/>
      <c r="T740" s="712"/>
      <c r="U740" s="712"/>
      <c r="V740" s="712"/>
      <c r="W740" s="712"/>
      <c r="X740" s="712"/>
      <c r="Y740" s="712"/>
      <c r="Z740" s="712"/>
      <c r="AA740" s="712"/>
      <c r="AB740" s="712"/>
      <c r="AC740" s="712"/>
      <c r="AD740" s="712"/>
      <c r="AE740" s="712"/>
      <c r="AF740" s="712"/>
      <c r="AG740" s="712"/>
      <c r="AH740" s="712"/>
      <c r="AI740" s="712"/>
      <c r="AJ740" s="712"/>
      <c r="AK740" s="712"/>
      <c r="AL740" s="712"/>
      <c r="AM740" s="712"/>
      <c r="AN740" s="712"/>
      <c r="AO740" s="712"/>
    </row>
    <row r="741">
      <c r="G741" s="712"/>
      <c r="H741" s="712"/>
      <c r="I741" s="712"/>
      <c r="J741" s="712"/>
      <c r="K741" s="712"/>
      <c r="L741" s="712"/>
      <c r="M741" s="712"/>
      <c r="N741" s="712"/>
      <c r="O741" s="712"/>
      <c r="P741" s="712"/>
      <c r="Q741" s="712"/>
      <c r="R741" s="712"/>
      <c r="S741" s="712"/>
      <c r="T741" s="712"/>
      <c r="U741" s="712"/>
      <c r="V741" s="712"/>
      <c r="W741" s="712"/>
      <c r="X741" s="712"/>
      <c r="Y741" s="712"/>
      <c r="Z741" s="712"/>
      <c r="AA741" s="712"/>
      <c r="AB741" s="712"/>
      <c r="AC741" s="712"/>
      <c r="AD741" s="712"/>
      <c r="AE741" s="712"/>
      <c r="AF741" s="712"/>
      <c r="AG741" s="712"/>
      <c r="AH741" s="712"/>
      <c r="AI741" s="712"/>
      <c r="AJ741" s="712"/>
      <c r="AK741" s="712"/>
      <c r="AL741" s="712"/>
      <c r="AM741" s="712"/>
      <c r="AN741" s="712"/>
      <c r="AO741" s="712"/>
    </row>
    <row r="742">
      <c r="G742" s="712"/>
      <c r="H742" s="712"/>
      <c r="I742" s="712"/>
      <c r="J742" s="712"/>
      <c r="K742" s="712"/>
      <c r="L742" s="712"/>
      <c r="M742" s="712"/>
      <c r="N742" s="712"/>
      <c r="O742" s="712"/>
      <c r="P742" s="712"/>
      <c r="Q742" s="712"/>
      <c r="R742" s="712"/>
      <c r="S742" s="712"/>
      <c r="T742" s="712"/>
      <c r="U742" s="712"/>
      <c r="V742" s="712"/>
      <c r="W742" s="712"/>
      <c r="X742" s="712"/>
      <c r="Y742" s="712"/>
      <c r="Z742" s="712"/>
      <c r="AA742" s="712"/>
      <c r="AB742" s="712"/>
      <c r="AC742" s="712"/>
      <c r="AD742" s="712"/>
      <c r="AE742" s="712"/>
      <c r="AF742" s="712"/>
      <c r="AG742" s="712"/>
      <c r="AH742" s="712"/>
      <c r="AI742" s="712"/>
      <c r="AJ742" s="712"/>
      <c r="AK742" s="712"/>
      <c r="AL742" s="712"/>
      <c r="AM742" s="712"/>
      <c r="AN742" s="712"/>
      <c r="AO742" s="712"/>
    </row>
    <row r="743">
      <c r="G743" s="712"/>
      <c r="H743" s="712"/>
      <c r="I743" s="712"/>
      <c r="J743" s="712"/>
      <c r="K743" s="712"/>
      <c r="L743" s="712"/>
      <c r="M743" s="712"/>
      <c r="N743" s="712"/>
      <c r="O743" s="712"/>
      <c r="P743" s="712"/>
      <c r="Q743" s="712"/>
      <c r="R743" s="712"/>
      <c r="S743" s="712"/>
      <c r="T743" s="712"/>
      <c r="U743" s="712"/>
      <c r="V743" s="712"/>
      <c r="W743" s="712"/>
      <c r="X743" s="712"/>
      <c r="Y743" s="712"/>
      <c r="Z743" s="712"/>
      <c r="AA743" s="712"/>
      <c r="AB743" s="712"/>
      <c r="AC743" s="712"/>
      <c r="AD743" s="712"/>
      <c r="AE743" s="712"/>
      <c r="AF743" s="712"/>
      <c r="AG743" s="712"/>
      <c r="AH743" s="712"/>
      <c r="AI743" s="712"/>
      <c r="AJ743" s="712"/>
      <c r="AK743" s="712"/>
      <c r="AL743" s="712"/>
      <c r="AM743" s="712"/>
      <c r="AN743" s="712"/>
      <c r="AO743" s="712"/>
    </row>
    <row r="744">
      <c r="G744" s="712"/>
      <c r="H744" s="712"/>
      <c r="I744" s="712"/>
      <c r="J744" s="712"/>
      <c r="K744" s="712"/>
      <c r="L744" s="712"/>
      <c r="M744" s="712"/>
      <c r="N744" s="712"/>
      <c r="O744" s="712"/>
      <c r="P744" s="712"/>
      <c r="Q744" s="712"/>
      <c r="R744" s="712"/>
      <c r="S744" s="712"/>
      <c r="T744" s="712"/>
      <c r="U744" s="712"/>
      <c r="V744" s="712"/>
      <c r="W744" s="712"/>
      <c r="X744" s="712"/>
      <c r="Y744" s="712"/>
      <c r="Z744" s="712"/>
      <c r="AA744" s="712"/>
      <c r="AB744" s="712"/>
      <c r="AC744" s="712"/>
      <c r="AD744" s="712"/>
      <c r="AE744" s="712"/>
      <c r="AF744" s="712"/>
      <c r="AG744" s="712"/>
      <c r="AH744" s="712"/>
      <c r="AI744" s="712"/>
      <c r="AJ744" s="712"/>
      <c r="AK744" s="712"/>
      <c r="AL744" s="712"/>
      <c r="AM744" s="712"/>
      <c r="AN744" s="712"/>
      <c r="AO744" s="712"/>
    </row>
    <row r="745">
      <c r="G745" s="712"/>
      <c r="H745" s="712"/>
      <c r="I745" s="712"/>
      <c r="J745" s="712"/>
      <c r="K745" s="712"/>
      <c r="L745" s="712"/>
      <c r="M745" s="712"/>
      <c r="N745" s="712"/>
      <c r="O745" s="712"/>
      <c r="P745" s="712"/>
      <c r="Q745" s="712"/>
      <c r="R745" s="712"/>
      <c r="S745" s="712"/>
      <c r="T745" s="712"/>
      <c r="U745" s="712"/>
      <c r="V745" s="712"/>
      <c r="W745" s="712"/>
      <c r="X745" s="712"/>
      <c r="Y745" s="712"/>
      <c r="Z745" s="712"/>
      <c r="AA745" s="712"/>
      <c r="AB745" s="712"/>
      <c r="AC745" s="712"/>
      <c r="AD745" s="712"/>
      <c r="AE745" s="712"/>
      <c r="AF745" s="712"/>
      <c r="AG745" s="712"/>
      <c r="AH745" s="712"/>
      <c r="AI745" s="712"/>
      <c r="AJ745" s="712"/>
      <c r="AK745" s="712"/>
      <c r="AL745" s="712"/>
      <c r="AM745" s="712"/>
      <c r="AN745" s="712"/>
      <c r="AO745" s="712"/>
    </row>
    <row r="746">
      <c r="G746" s="712"/>
      <c r="H746" s="712"/>
      <c r="I746" s="712"/>
      <c r="J746" s="712"/>
      <c r="K746" s="712"/>
      <c r="L746" s="712"/>
      <c r="M746" s="712"/>
      <c r="N746" s="712"/>
      <c r="O746" s="712"/>
      <c r="P746" s="712"/>
      <c r="Q746" s="712"/>
      <c r="R746" s="712"/>
      <c r="S746" s="712"/>
      <c r="T746" s="712"/>
      <c r="U746" s="712"/>
      <c r="V746" s="712"/>
      <c r="W746" s="712"/>
      <c r="X746" s="712"/>
      <c r="Y746" s="712"/>
      <c r="Z746" s="712"/>
      <c r="AA746" s="712"/>
      <c r="AB746" s="712"/>
      <c r="AC746" s="712"/>
      <c r="AD746" s="712"/>
      <c r="AE746" s="712"/>
      <c r="AF746" s="712"/>
      <c r="AG746" s="712"/>
      <c r="AH746" s="712"/>
      <c r="AI746" s="712"/>
      <c r="AJ746" s="712"/>
      <c r="AK746" s="712"/>
      <c r="AL746" s="712"/>
      <c r="AM746" s="712"/>
      <c r="AN746" s="712"/>
      <c r="AO746" s="712"/>
    </row>
    <row r="747">
      <c r="G747" s="712"/>
      <c r="H747" s="712"/>
      <c r="I747" s="712"/>
      <c r="J747" s="712"/>
      <c r="K747" s="712"/>
      <c r="L747" s="712"/>
      <c r="M747" s="712"/>
      <c r="N747" s="712"/>
      <c r="O747" s="712"/>
      <c r="P747" s="712"/>
      <c r="Q747" s="712"/>
      <c r="R747" s="712"/>
      <c r="S747" s="712"/>
      <c r="T747" s="712"/>
      <c r="U747" s="712"/>
      <c r="V747" s="712"/>
      <c r="W747" s="712"/>
      <c r="X747" s="712"/>
      <c r="Y747" s="712"/>
      <c r="Z747" s="712"/>
      <c r="AA747" s="712"/>
      <c r="AB747" s="712"/>
      <c r="AC747" s="712"/>
      <c r="AD747" s="712"/>
      <c r="AE747" s="712"/>
      <c r="AF747" s="712"/>
      <c r="AG747" s="712"/>
      <c r="AH747" s="712"/>
      <c r="AI747" s="712"/>
      <c r="AJ747" s="712"/>
      <c r="AK747" s="712"/>
      <c r="AL747" s="712"/>
      <c r="AM747" s="712"/>
      <c r="AN747" s="712"/>
      <c r="AO747" s="712"/>
    </row>
    <row r="748">
      <c r="G748" s="712"/>
      <c r="H748" s="712"/>
      <c r="I748" s="712"/>
      <c r="J748" s="712"/>
      <c r="K748" s="712"/>
      <c r="L748" s="712"/>
      <c r="M748" s="712"/>
      <c r="N748" s="712"/>
      <c r="O748" s="712"/>
      <c r="P748" s="712"/>
      <c r="Q748" s="712"/>
      <c r="R748" s="712"/>
      <c r="S748" s="712"/>
      <c r="T748" s="712"/>
      <c r="U748" s="712"/>
      <c r="V748" s="712"/>
      <c r="W748" s="712"/>
      <c r="X748" s="712"/>
      <c r="Y748" s="712"/>
      <c r="Z748" s="712"/>
      <c r="AA748" s="712"/>
      <c r="AB748" s="712"/>
      <c r="AC748" s="712"/>
      <c r="AD748" s="712"/>
      <c r="AE748" s="712"/>
      <c r="AF748" s="712"/>
      <c r="AG748" s="712"/>
      <c r="AH748" s="712"/>
      <c r="AI748" s="712"/>
      <c r="AJ748" s="712"/>
      <c r="AK748" s="712"/>
      <c r="AL748" s="712"/>
      <c r="AM748" s="712"/>
      <c r="AN748" s="712"/>
      <c r="AO748" s="712"/>
    </row>
    <row r="749">
      <c r="G749" s="712"/>
      <c r="H749" s="712"/>
      <c r="I749" s="712"/>
      <c r="J749" s="712"/>
      <c r="K749" s="712"/>
      <c r="L749" s="712"/>
      <c r="M749" s="712"/>
      <c r="N749" s="712"/>
      <c r="O749" s="712"/>
      <c r="P749" s="712"/>
      <c r="Q749" s="712"/>
      <c r="R749" s="712"/>
      <c r="S749" s="712"/>
      <c r="T749" s="712"/>
      <c r="U749" s="712"/>
      <c r="V749" s="712"/>
      <c r="W749" s="712"/>
      <c r="X749" s="712"/>
      <c r="Y749" s="712"/>
      <c r="Z749" s="712"/>
      <c r="AA749" s="712"/>
      <c r="AB749" s="712"/>
      <c r="AC749" s="712"/>
      <c r="AD749" s="712"/>
      <c r="AE749" s="712"/>
      <c r="AF749" s="712"/>
      <c r="AG749" s="712"/>
      <c r="AH749" s="712"/>
      <c r="AI749" s="712"/>
      <c r="AJ749" s="712"/>
      <c r="AK749" s="712"/>
      <c r="AL749" s="712"/>
      <c r="AM749" s="712"/>
      <c r="AN749" s="712"/>
      <c r="AO749" s="712"/>
    </row>
    <row r="750">
      <c r="G750" s="712"/>
      <c r="H750" s="712"/>
      <c r="I750" s="712"/>
      <c r="J750" s="712"/>
      <c r="K750" s="712"/>
      <c r="L750" s="712"/>
      <c r="M750" s="712"/>
      <c r="N750" s="712"/>
      <c r="O750" s="712"/>
      <c r="P750" s="712"/>
      <c r="Q750" s="712"/>
      <c r="R750" s="712"/>
      <c r="S750" s="712"/>
      <c r="T750" s="712"/>
      <c r="U750" s="712"/>
      <c r="V750" s="712"/>
      <c r="W750" s="712"/>
      <c r="X750" s="712"/>
      <c r="Y750" s="712"/>
      <c r="Z750" s="712"/>
      <c r="AA750" s="712"/>
      <c r="AB750" s="712"/>
      <c r="AC750" s="712"/>
      <c r="AD750" s="712"/>
      <c r="AE750" s="712"/>
      <c r="AF750" s="712"/>
      <c r="AG750" s="712"/>
      <c r="AH750" s="712"/>
      <c r="AI750" s="712"/>
      <c r="AJ750" s="712"/>
      <c r="AK750" s="712"/>
      <c r="AL750" s="712"/>
      <c r="AM750" s="712"/>
      <c r="AN750" s="712"/>
      <c r="AO750" s="712"/>
    </row>
    <row r="751">
      <c r="G751" s="712"/>
      <c r="H751" s="712"/>
      <c r="I751" s="712"/>
      <c r="J751" s="712"/>
      <c r="K751" s="712"/>
      <c r="L751" s="712"/>
      <c r="M751" s="712"/>
      <c r="N751" s="712"/>
      <c r="O751" s="712"/>
      <c r="P751" s="712"/>
      <c r="Q751" s="712"/>
      <c r="R751" s="712"/>
      <c r="S751" s="712"/>
      <c r="T751" s="712"/>
      <c r="U751" s="712"/>
      <c r="V751" s="712"/>
      <c r="W751" s="712"/>
      <c r="X751" s="712"/>
      <c r="Y751" s="712"/>
      <c r="Z751" s="712"/>
      <c r="AA751" s="712"/>
      <c r="AB751" s="712"/>
      <c r="AC751" s="712"/>
      <c r="AD751" s="712"/>
      <c r="AE751" s="712"/>
      <c r="AF751" s="712"/>
      <c r="AG751" s="712"/>
      <c r="AH751" s="712"/>
      <c r="AI751" s="712"/>
      <c r="AJ751" s="712"/>
      <c r="AK751" s="712"/>
      <c r="AL751" s="712"/>
      <c r="AM751" s="712"/>
      <c r="AN751" s="712"/>
      <c r="AO751" s="712"/>
    </row>
    <row r="752">
      <c r="G752" s="712"/>
      <c r="H752" s="712"/>
      <c r="I752" s="712"/>
      <c r="J752" s="712"/>
      <c r="K752" s="712"/>
      <c r="L752" s="712"/>
      <c r="M752" s="712"/>
      <c r="N752" s="712"/>
      <c r="O752" s="712"/>
      <c r="P752" s="712"/>
      <c r="Q752" s="712"/>
      <c r="R752" s="712"/>
      <c r="S752" s="712"/>
      <c r="T752" s="712"/>
      <c r="U752" s="712"/>
      <c r="V752" s="712"/>
      <c r="W752" s="712"/>
      <c r="X752" s="712"/>
      <c r="Y752" s="712"/>
      <c r="Z752" s="712"/>
      <c r="AA752" s="712"/>
      <c r="AB752" s="712"/>
      <c r="AC752" s="712"/>
      <c r="AD752" s="712"/>
      <c r="AE752" s="712"/>
      <c r="AF752" s="712"/>
      <c r="AG752" s="712"/>
      <c r="AH752" s="712"/>
      <c r="AI752" s="712"/>
      <c r="AJ752" s="712"/>
      <c r="AK752" s="712"/>
      <c r="AL752" s="712"/>
      <c r="AM752" s="712"/>
      <c r="AN752" s="712"/>
      <c r="AO752" s="712"/>
    </row>
    <row r="753">
      <c r="G753" s="712"/>
      <c r="H753" s="712"/>
      <c r="I753" s="712"/>
      <c r="J753" s="712"/>
      <c r="K753" s="712"/>
      <c r="L753" s="712"/>
      <c r="M753" s="712"/>
      <c r="N753" s="712"/>
      <c r="O753" s="712"/>
      <c r="P753" s="712"/>
      <c r="Q753" s="712"/>
      <c r="R753" s="712"/>
      <c r="S753" s="712"/>
      <c r="T753" s="712"/>
      <c r="U753" s="712"/>
      <c r="V753" s="712"/>
      <c r="W753" s="712"/>
      <c r="X753" s="712"/>
      <c r="Y753" s="712"/>
      <c r="Z753" s="712"/>
      <c r="AA753" s="712"/>
      <c r="AB753" s="712"/>
      <c r="AC753" s="712"/>
      <c r="AD753" s="712"/>
      <c r="AE753" s="712"/>
      <c r="AF753" s="712"/>
      <c r="AG753" s="712"/>
      <c r="AH753" s="712"/>
      <c r="AI753" s="712"/>
      <c r="AJ753" s="712"/>
      <c r="AK753" s="712"/>
      <c r="AL753" s="712"/>
      <c r="AM753" s="712"/>
      <c r="AN753" s="712"/>
      <c r="AO753" s="712"/>
    </row>
    <row r="754">
      <c r="G754" s="712"/>
      <c r="H754" s="712"/>
      <c r="I754" s="712"/>
      <c r="J754" s="712"/>
      <c r="K754" s="712"/>
      <c r="L754" s="712"/>
      <c r="M754" s="712"/>
      <c r="N754" s="712"/>
      <c r="O754" s="712"/>
      <c r="P754" s="712"/>
      <c r="Q754" s="712"/>
      <c r="R754" s="712"/>
      <c r="S754" s="712"/>
      <c r="T754" s="712"/>
      <c r="U754" s="712"/>
      <c r="V754" s="712"/>
      <c r="W754" s="712"/>
      <c r="X754" s="712"/>
      <c r="Y754" s="712"/>
      <c r="Z754" s="712"/>
      <c r="AA754" s="712"/>
      <c r="AB754" s="712"/>
      <c r="AC754" s="712"/>
      <c r="AD754" s="712"/>
      <c r="AE754" s="712"/>
      <c r="AF754" s="712"/>
      <c r="AG754" s="712"/>
      <c r="AH754" s="712"/>
      <c r="AI754" s="712"/>
      <c r="AJ754" s="712"/>
      <c r="AK754" s="712"/>
      <c r="AL754" s="712"/>
      <c r="AM754" s="712"/>
      <c r="AN754" s="712"/>
      <c r="AO754" s="712"/>
    </row>
    <row r="755">
      <c r="G755" s="712"/>
      <c r="H755" s="712"/>
      <c r="I755" s="712"/>
      <c r="J755" s="712"/>
      <c r="K755" s="712"/>
      <c r="L755" s="712"/>
      <c r="M755" s="712"/>
      <c r="N755" s="712"/>
      <c r="O755" s="712"/>
      <c r="P755" s="712"/>
      <c r="Q755" s="712"/>
      <c r="R755" s="712"/>
      <c r="S755" s="712"/>
      <c r="T755" s="712"/>
      <c r="U755" s="712"/>
      <c r="V755" s="712"/>
      <c r="W755" s="712"/>
      <c r="X755" s="712"/>
      <c r="Y755" s="712"/>
      <c r="Z755" s="712"/>
      <c r="AA755" s="712"/>
      <c r="AB755" s="712"/>
      <c r="AC755" s="712"/>
      <c r="AD755" s="712"/>
      <c r="AE755" s="712"/>
      <c r="AF755" s="712"/>
      <c r="AG755" s="712"/>
      <c r="AH755" s="712"/>
      <c r="AI755" s="712"/>
      <c r="AJ755" s="712"/>
      <c r="AK755" s="712"/>
      <c r="AL755" s="712"/>
      <c r="AM755" s="712"/>
      <c r="AN755" s="712"/>
      <c r="AO755" s="712"/>
    </row>
    <row r="756">
      <c r="G756" s="712"/>
      <c r="H756" s="712"/>
      <c r="I756" s="712"/>
      <c r="J756" s="712"/>
      <c r="K756" s="712"/>
      <c r="L756" s="712"/>
      <c r="M756" s="712"/>
      <c r="N756" s="712"/>
      <c r="O756" s="712"/>
      <c r="P756" s="712"/>
      <c r="Q756" s="712"/>
      <c r="R756" s="712"/>
      <c r="S756" s="712"/>
      <c r="T756" s="712"/>
      <c r="U756" s="712"/>
      <c r="V756" s="712"/>
      <c r="W756" s="712"/>
      <c r="X756" s="712"/>
      <c r="Y756" s="712"/>
      <c r="Z756" s="712"/>
      <c r="AA756" s="712"/>
      <c r="AB756" s="712"/>
      <c r="AC756" s="712"/>
      <c r="AD756" s="712"/>
      <c r="AE756" s="712"/>
      <c r="AF756" s="712"/>
      <c r="AG756" s="712"/>
      <c r="AH756" s="712"/>
      <c r="AI756" s="712"/>
      <c r="AJ756" s="712"/>
      <c r="AK756" s="712"/>
      <c r="AL756" s="712"/>
      <c r="AM756" s="712"/>
      <c r="AN756" s="712"/>
      <c r="AO756" s="712"/>
    </row>
    <row r="757">
      <c r="G757" s="712"/>
      <c r="H757" s="712"/>
      <c r="I757" s="712"/>
      <c r="J757" s="712"/>
      <c r="K757" s="712"/>
      <c r="L757" s="712"/>
      <c r="M757" s="712"/>
      <c r="N757" s="712"/>
      <c r="O757" s="712"/>
      <c r="P757" s="712"/>
      <c r="Q757" s="712"/>
      <c r="R757" s="712"/>
      <c r="S757" s="712"/>
      <c r="T757" s="712"/>
      <c r="U757" s="712"/>
      <c r="V757" s="712"/>
      <c r="W757" s="712"/>
      <c r="X757" s="712"/>
      <c r="Y757" s="712"/>
      <c r="Z757" s="712"/>
      <c r="AA757" s="712"/>
      <c r="AB757" s="712"/>
      <c r="AC757" s="712"/>
      <c r="AD757" s="712"/>
      <c r="AE757" s="712"/>
      <c r="AF757" s="712"/>
      <c r="AG757" s="712"/>
      <c r="AH757" s="712"/>
      <c r="AI757" s="712"/>
      <c r="AJ757" s="712"/>
      <c r="AK757" s="712"/>
      <c r="AL757" s="712"/>
      <c r="AM757" s="712"/>
      <c r="AN757" s="712"/>
      <c r="AO757" s="712"/>
    </row>
    <row r="758">
      <c r="G758" s="712"/>
      <c r="H758" s="712"/>
      <c r="I758" s="712"/>
      <c r="J758" s="712"/>
      <c r="K758" s="712"/>
      <c r="L758" s="712"/>
      <c r="M758" s="712"/>
      <c r="N758" s="712"/>
      <c r="O758" s="712"/>
      <c r="P758" s="712"/>
      <c r="Q758" s="712"/>
      <c r="R758" s="712"/>
      <c r="S758" s="712"/>
      <c r="T758" s="712"/>
      <c r="U758" s="712"/>
      <c r="V758" s="712"/>
      <c r="W758" s="712"/>
      <c r="X758" s="712"/>
      <c r="Y758" s="712"/>
      <c r="Z758" s="712"/>
      <c r="AA758" s="712"/>
      <c r="AB758" s="712"/>
      <c r="AC758" s="712"/>
      <c r="AD758" s="712"/>
      <c r="AE758" s="712"/>
      <c r="AF758" s="712"/>
      <c r="AG758" s="712"/>
      <c r="AH758" s="712"/>
      <c r="AI758" s="712"/>
      <c r="AJ758" s="712"/>
      <c r="AK758" s="712"/>
      <c r="AL758" s="712"/>
      <c r="AM758" s="712"/>
      <c r="AN758" s="712"/>
      <c r="AO758" s="712"/>
    </row>
    <row r="759">
      <c r="G759" s="712"/>
      <c r="H759" s="712"/>
      <c r="I759" s="712"/>
      <c r="J759" s="712"/>
      <c r="K759" s="712"/>
      <c r="L759" s="712"/>
      <c r="M759" s="712"/>
      <c r="N759" s="712"/>
      <c r="O759" s="712"/>
      <c r="P759" s="712"/>
      <c r="Q759" s="712"/>
      <c r="R759" s="712"/>
      <c r="S759" s="712"/>
      <c r="T759" s="712"/>
      <c r="U759" s="712"/>
      <c r="V759" s="712"/>
      <c r="W759" s="712"/>
      <c r="X759" s="712"/>
      <c r="Y759" s="712"/>
      <c r="Z759" s="712"/>
      <c r="AA759" s="712"/>
      <c r="AB759" s="712"/>
      <c r="AC759" s="712"/>
      <c r="AD759" s="712"/>
      <c r="AE759" s="712"/>
      <c r="AF759" s="712"/>
      <c r="AG759" s="712"/>
      <c r="AH759" s="712"/>
      <c r="AI759" s="712"/>
      <c r="AJ759" s="712"/>
      <c r="AK759" s="712"/>
      <c r="AL759" s="712"/>
      <c r="AM759" s="712"/>
      <c r="AN759" s="712"/>
      <c r="AO759" s="712"/>
    </row>
    <row r="760">
      <c r="G760" s="712"/>
      <c r="H760" s="712"/>
      <c r="I760" s="712"/>
      <c r="J760" s="712"/>
      <c r="K760" s="712"/>
      <c r="L760" s="712"/>
      <c r="M760" s="712"/>
      <c r="N760" s="712"/>
      <c r="O760" s="712"/>
      <c r="P760" s="712"/>
      <c r="Q760" s="712"/>
      <c r="R760" s="712"/>
      <c r="S760" s="712"/>
      <c r="T760" s="712"/>
      <c r="U760" s="712"/>
      <c r="V760" s="712"/>
      <c r="W760" s="712"/>
      <c r="X760" s="712"/>
      <c r="Y760" s="712"/>
      <c r="Z760" s="712"/>
      <c r="AA760" s="712"/>
      <c r="AB760" s="712"/>
      <c r="AC760" s="712"/>
      <c r="AD760" s="712"/>
      <c r="AE760" s="712"/>
      <c r="AF760" s="712"/>
      <c r="AG760" s="712"/>
      <c r="AH760" s="712"/>
      <c r="AI760" s="712"/>
      <c r="AJ760" s="712"/>
      <c r="AK760" s="712"/>
      <c r="AL760" s="712"/>
      <c r="AM760" s="712"/>
      <c r="AN760" s="712"/>
      <c r="AO760" s="712"/>
    </row>
    <row r="761">
      <c r="G761" s="712"/>
      <c r="H761" s="712"/>
      <c r="I761" s="712"/>
      <c r="J761" s="712"/>
      <c r="K761" s="712"/>
      <c r="L761" s="712"/>
      <c r="M761" s="712"/>
      <c r="N761" s="712"/>
      <c r="O761" s="712"/>
      <c r="P761" s="712"/>
      <c r="Q761" s="712"/>
      <c r="R761" s="712"/>
      <c r="S761" s="712"/>
      <c r="T761" s="712"/>
      <c r="U761" s="712"/>
      <c r="V761" s="712"/>
      <c r="W761" s="712"/>
      <c r="X761" s="712"/>
      <c r="Y761" s="712"/>
      <c r="Z761" s="712"/>
      <c r="AA761" s="712"/>
      <c r="AB761" s="712"/>
      <c r="AC761" s="712"/>
      <c r="AD761" s="712"/>
      <c r="AE761" s="712"/>
      <c r="AF761" s="712"/>
      <c r="AG761" s="712"/>
      <c r="AH761" s="712"/>
      <c r="AI761" s="712"/>
      <c r="AJ761" s="712"/>
      <c r="AK761" s="712"/>
      <c r="AL761" s="712"/>
      <c r="AM761" s="712"/>
      <c r="AN761" s="712"/>
      <c r="AO761" s="712"/>
    </row>
    <row r="762">
      <c r="G762" s="712"/>
      <c r="H762" s="712"/>
      <c r="I762" s="712"/>
      <c r="J762" s="712"/>
      <c r="K762" s="712"/>
      <c r="L762" s="712"/>
      <c r="M762" s="712"/>
      <c r="N762" s="712"/>
      <c r="O762" s="712"/>
      <c r="P762" s="712"/>
      <c r="Q762" s="712"/>
      <c r="R762" s="712"/>
      <c r="S762" s="712"/>
      <c r="T762" s="712"/>
      <c r="U762" s="712"/>
      <c r="V762" s="712"/>
      <c r="W762" s="712"/>
      <c r="X762" s="712"/>
      <c r="Y762" s="712"/>
      <c r="Z762" s="712"/>
      <c r="AA762" s="712"/>
      <c r="AB762" s="712"/>
      <c r="AC762" s="712"/>
      <c r="AD762" s="712"/>
      <c r="AE762" s="712"/>
      <c r="AF762" s="712"/>
      <c r="AG762" s="712"/>
      <c r="AH762" s="712"/>
      <c r="AI762" s="712"/>
      <c r="AJ762" s="712"/>
      <c r="AK762" s="712"/>
      <c r="AL762" s="712"/>
      <c r="AM762" s="712"/>
      <c r="AN762" s="712"/>
      <c r="AO762" s="712"/>
    </row>
    <row r="763">
      <c r="G763" s="712"/>
      <c r="H763" s="712"/>
      <c r="I763" s="712"/>
      <c r="J763" s="712"/>
      <c r="K763" s="712"/>
      <c r="L763" s="712"/>
      <c r="M763" s="712"/>
      <c r="N763" s="712"/>
      <c r="O763" s="712"/>
      <c r="P763" s="712"/>
      <c r="Q763" s="712"/>
      <c r="R763" s="712"/>
      <c r="S763" s="712"/>
      <c r="T763" s="712"/>
      <c r="U763" s="712"/>
      <c r="V763" s="712"/>
      <c r="W763" s="712"/>
      <c r="X763" s="712"/>
      <c r="Y763" s="712"/>
      <c r="Z763" s="712"/>
      <c r="AA763" s="712"/>
      <c r="AB763" s="712"/>
      <c r="AC763" s="712"/>
      <c r="AD763" s="712"/>
      <c r="AE763" s="712"/>
      <c r="AF763" s="712"/>
      <c r="AG763" s="712"/>
      <c r="AH763" s="712"/>
      <c r="AI763" s="712"/>
      <c r="AJ763" s="712"/>
      <c r="AK763" s="712"/>
      <c r="AL763" s="712"/>
      <c r="AM763" s="712"/>
      <c r="AN763" s="712"/>
      <c r="AO763" s="712"/>
    </row>
    <row r="764">
      <c r="G764" s="712"/>
      <c r="H764" s="712"/>
      <c r="I764" s="712"/>
      <c r="J764" s="712"/>
      <c r="K764" s="712"/>
      <c r="L764" s="712"/>
      <c r="M764" s="712"/>
      <c r="N764" s="712"/>
      <c r="O764" s="712"/>
      <c r="P764" s="712"/>
      <c r="Q764" s="712"/>
      <c r="R764" s="712"/>
      <c r="S764" s="712"/>
      <c r="T764" s="712"/>
      <c r="U764" s="712"/>
      <c r="V764" s="712"/>
      <c r="W764" s="712"/>
      <c r="X764" s="712"/>
      <c r="Y764" s="712"/>
      <c r="Z764" s="712"/>
      <c r="AA764" s="712"/>
      <c r="AB764" s="712"/>
      <c r="AC764" s="712"/>
      <c r="AD764" s="712"/>
      <c r="AE764" s="712"/>
      <c r="AF764" s="712"/>
      <c r="AG764" s="712"/>
      <c r="AH764" s="712"/>
      <c r="AI764" s="712"/>
      <c r="AJ764" s="712"/>
      <c r="AK764" s="712"/>
      <c r="AL764" s="712"/>
      <c r="AM764" s="712"/>
      <c r="AN764" s="712"/>
      <c r="AO764" s="712"/>
    </row>
    <row r="765">
      <c r="G765" s="712"/>
      <c r="H765" s="712"/>
      <c r="I765" s="712"/>
      <c r="J765" s="712"/>
      <c r="K765" s="712"/>
      <c r="L765" s="712"/>
      <c r="M765" s="712"/>
      <c r="N765" s="712"/>
      <c r="O765" s="712"/>
      <c r="P765" s="712"/>
      <c r="Q765" s="712"/>
      <c r="R765" s="712"/>
      <c r="S765" s="712"/>
      <c r="T765" s="712"/>
      <c r="U765" s="712"/>
      <c r="V765" s="712"/>
      <c r="W765" s="712"/>
      <c r="X765" s="712"/>
      <c r="Y765" s="712"/>
      <c r="Z765" s="712"/>
      <c r="AA765" s="712"/>
      <c r="AB765" s="712"/>
      <c r="AC765" s="712"/>
      <c r="AD765" s="712"/>
      <c r="AE765" s="712"/>
      <c r="AF765" s="712"/>
      <c r="AG765" s="712"/>
      <c r="AH765" s="712"/>
      <c r="AI765" s="712"/>
      <c r="AJ765" s="712"/>
      <c r="AK765" s="712"/>
      <c r="AL765" s="712"/>
      <c r="AM765" s="712"/>
      <c r="AN765" s="712"/>
      <c r="AO765" s="712"/>
    </row>
    <row r="766">
      <c r="G766" s="712"/>
      <c r="H766" s="712"/>
      <c r="I766" s="712"/>
      <c r="J766" s="712"/>
      <c r="K766" s="712"/>
      <c r="L766" s="712"/>
      <c r="M766" s="712"/>
      <c r="N766" s="712"/>
      <c r="O766" s="712"/>
      <c r="P766" s="712"/>
      <c r="Q766" s="712"/>
      <c r="R766" s="712"/>
      <c r="S766" s="712"/>
      <c r="T766" s="712"/>
      <c r="U766" s="712"/>
      <c r="V766" s="712"/>
      <c r="W766" s="712"/>
      <c r="X766" s="712"/>
      <c r="Y766" s="712"/>
      <c r="Z766" s="712"/>
      <c r="AA766" s="712"/>
      <c r="AB766" s="712"/>
      <c r="AC766" s="712"/>
      <c r="AD766" s="712"/>
      <c r="AE766" s="712"/>
      <c r="AF766" s="712"/>
      <c r="AG766" s="712"/>
      <c r="AH766" s="712"/>
      <c r="AI766" s="712"/>
      <c r="AJ766" s="712"/>
      <c r="AK766" s="712"/>
      <c r="AL766" s="712"/>
      <c r="AM766" s="712"/>
      <c r="AN766" s="712"/>
      <c r="AO766" s="712"/>
    </row>
    <row r="767">
      <c r="G767" s="712"/>
      <c r="H767" s="712"/>
      <c r="I767" s="712"/>
      <c r="J767" s="712"/>
      <c r="K767" s="712"/>
      <c r="L767" s="712"/>
      <c r="M767" s="712"/>
      <c r="N767" s="712"/>
      <c r="O767" s="712"/>
      <c r="P767" s="712"/>
      <c r="Q767" s="712"/>
      <c r="R767" s="712"/>
      <c r="S767" s="712"/>
      <c r="T767" s="712"/>
      <c r="U767" s="712"/>
      <c r="V767" s="712"/>
      <c r="W767" s="712"/>
      <c r="X767" s="712"/>
      <c r="Y767" s="712"/>
      <c r="Z767" s="712"/>
      <c r="AA767" s="712"/>
      <c r="AB767" s="712"/>
      <c r="AC767" s="712"/>
      <c r="AD767" s="712"/>
      <c r="AE767" s="712"/>
      <c r="AF767" s="712"/>
      <c r="AG767" s="712"/>
      <c r="AH767" s="712"/>
      <c r="AI767" s="712"/>
      <c r="AJ767" s="712"/>
      <c r="AK767" s="712"/>
      <c r="AL767" s="712"/>
      <c r="AM767" s="712"/>
      <c r="AN767" s="712"/>
      <c r="AO767" s="712"/>
    </row>
    <row r="768">
      <c r="G768" s="712"/>
      <c r="H768" s="712"/>
      <c r="I768" s="712"/>
      <c r="J768" s="712"/>
      <c r="K768" s="712"/>
      <c r="L768" s="712"/>
      <c r="M768" s="712"/>
      <c r="N768" s="712"/>
      <c r="O768" s="712"/>
      <c r="P768" s="712"/>
      <c r="Q768" s="712"/>
      <c r="R768" s="712"/>
      <c r="S768" s="712"/>
      <c r="T768" s="712"/>
      <c r="U768" s="712"/>
      <c r="V768" s="712"/>
      <c r="W768" s="712"/>
      <c r="X768" s="712"/>
      <c r="Y768" s="712"/>
      <c r="Z768" s="712"/>
      <c r="AA768" s="712"/>
      <c r="AB768" s="712"/>
      <c r="AC768" s="712"/>
      <c r="AD768" s="712"/>
      <c r="AE768" s="712"/>
      <c r="AF768" s="712"/>
      <c r="AG768" s="712"/>
      <c r="AH768" s="712"/>
      <c r="AI768" s="712"/>
      <c r="AJ768" s="712"/>
      <c r="AK768" s="712"/>
      <c r="AL768" s="712"/>
      <c r="AM768" s="712"/>
      <c r="AN768" s="712"/>
      <c r="AO768" s="712"/>
    </row>
    <row r="769">
      <c r="G769" s="712"/>
      <c r="H769" s="712"/>
      <c r="I769" s="712"/>
      <c r="J769" s="712"/>
      <c r="K769" s="712"/>
      <c r="L769" s="712"/>
      <c r="M769" s="712"/>
      <c r="N769" s="712"/>
      <c r="O769" s="712"/>
      <c r="P769" s="712"/>
      <c r="Q769" s="712"/>
      <c r="R769" s="712"/>
      <c r="S769" s="712"/>
      <c r="T769" s="712"/>
      <c r="U769" s="712"/>
      <c r="V769" s="712"/>
      <c r="W769" s="712"/>
      <c r="X769" s="712"/>
      <c r="Y769" s="712"/>
      <c r="Z769" s="712"/>
      <c r="AA769" s="712"/>
      <c r="AB769" s="712"/>
      <c r="AC769" s="712"/>
      <c r="AD769" s="712"/>
      <c r="AE769" s="712"/>
      <c r="AF769" s="712"/>
      <c r="AG769" s="712"/>
      <c r="AH769" s="712"/>
      <c r="AI769" s="712"/>
      <c r="AJ769" s="712"/>
      <c r="AK769" s="712"/>
      <c r="AL769" s="712"/>
      <c r="AM769" s="712"/>
      <c r="AN769" s="712"/>
      <c r="AO769" s="712"/>
    </row>
    <row r="770">
      <c r="G770" s="712"/>
      <c r="H770" s="712"/>
      <c r="I770" s="712"/>
      <c r="J770" s="712"/>
      <c r="K770" s="712"/>
      <c r="L770" s="712"/>
      <c r="M770" s="712"/>
      <c r="N770" s="712"/>
      <c r="O770" s="712"/>
      <c r="P770" s="712"/>
      <c r="Q770" s="712"/>
      <c r="R770" s="712"/>
      <c r="S770" s="712"/>
      <c r="T770" s="712"/>
      <c r="U770" s="712"/>
      <c r="V770" s="712"/>
      <c r="W770" s="712"/>
      <c r="X770" s="712"/>
      <c r="Y770" s="712"/>
      <c r="Z770" s="712"/>
      <c r="AA770" s="712"/>
      <c r="AB770" s="712"/>
      <c r="AC770" s="712"/>
      <c r="AD770" s="712"/>
      <c r="AE770" s="712"/>
      <c r="AF770" s="712"/>
      <c r="AG770" s="712"/>
      <c r="AH770" s="712"/>
      <c r="AI770" s="712"/>
      <c r="AJ770" s="712"/>
      <c r="AK770" s="712"/>
      <c r="AL770" s="712"/>
      <c r="AM770" s="712"/>
      <c r="AN770" s="712"/>
      <c r="AO770" s="712"/>
    </row>
    <row r="771">
      <c r="G771" s="712"/>
      <c r="H771" s="712"/>
      <c r="I771" s="712"/>
      <c r="J771" s="712"/>
      <c r="K771" s="712"/>
      <c r="L771" s="712"/>
      <c r="M771" s="712"/>
      <c r="N771" s="712"/>
      <c r="O771" s="712"/>
      <c r="P771" s="712"/>
      <c r="Q771" s="712"/>
      <c r="R771" s="712"/>
      <c r="S771" s="712"/>
      <c r="T771" s="712"/>
      <c r="U771" s="712"/>
      <c r="V771" s="712"/>
      <c r="W771" s="712"/>
      <c r="X771" s="712"/>
      <c r="Y771" s="712"/>
      <c r="Z771" s="712"/>
      <c r="AA771" s="712"/>
      <c r="AB771" s="712"/>
      <c r="AC771" s="712"/>
      <c r="AD771" s="712"/>
      <c r="AE771" s="712"/>
      <c r="AF771" s="712"/>
      <c r="AG771" s="712"/>
      <c r="AH771" s="712"/>
      <c r="AI771" s="712"/>
      <c r="AJ771" s="712"/>
      <c r="AK771" s="712"/>
      <c r="AL771" s="712"/>
      <c r="AM771" s="712"/>
      <c r="AN771" s="712"/>
      <c r="AO771" s="712"/>
    </row>
    <row r="772">
      <c r="G772" s="712"/>
      <c r="H772" s="712"/>
      <c r="I772" s="712"/>
      <c r="J772" s="712"/>
      <c r="K772" s="712"/>
      <c r="L772" s="712"/>
      <c r="M772" s="712"/>
      <c r="N772" s="712"/>
      <c r="O772" s="712"/>
      <c r="P772" s="712"/>
      <c r="Q772" s="712"/>
      <c r="R772" s="712"/>
      <c r="S772" s="712"/>
      <c r="T772" s="712"/>
      <c r="U772" s="712"/>
      <c r="V772" s="712"/>
      <c r="W772" s="712"/>
      <c r="X772" s="712"/>
      <c r="Y772" s="712"/>
      <c r="Z772" s="712"/>
      <c r="AA772" s="712"/>
      <c r="AB772" s="712"/>
      <c r="AC772" s="712"/>
      <c r="AD772" s="712"/>
      <c r="AE772" s="712"/>
      <c r="AF772" s="712"/>
      <c r="AG772" s="712"/>
      <c r="AH772" s="712"/>
      <c r="AI772" s="712"/>
      <c r="AJ772" s="712"/>
      <c r="AK772" s="712"/>
      <c r="AL772" s="712"/>
      <c r="AM772" s="712"/>
      <c r="AN772" s="712"/>
      <c r="AO772" s="712"/>
    </row>
    <row r="773">
      <c r="G773" s="712"/>
      <c r="H773" s="712"/>
      <c r="I773" s="712"/>
      <c r="J773" s="712"/>
      <c r="K773" s="712"/>
      <c r="L773" s="712"/>
      <c r="M773" s="712"/>
      <c r="N773" s="712"/>
      <c r="O773" s="712"/>
      <c r="P773" s="712"/>
      <c r="Q773" s="712"/>
      <c r="R773" s="712"/>
      <c r="S773" s="712"/>
      <c r="T773" s="712"/>
      <c r="U773" s="712"/>
      <c r="V773" s="712"/>
      <c r="W773" s="712"/>
      <c r="X773" s="712"/>
      <c r="Y773" s="712"/>
      <c r="Z773" s="712"/>
      <c r="AA773" s="712"/>
      <c r="AB773" s="712"/>
      <c r="AC773" s="712"/>
      <c r="AD773" s="712"/>
      <c r="AE773" s="712"/>
      <c r="AF773" s="712"/>
      <c r="AG773" s="712"/>
      <c r="AH773" s="712"/>
      <c r="AI773" s="712"/>
      <c r="AJ773" s="712"/>
      <c r="AK773" s="712"/>
      <c r="AL773" s="712"/>
      <c r="AM773" s="712"/>
      <c r="AN773" s="712"/>
      <c r="AO773" s="712"/>
    </row>
    <row r="774">
      <c r="G774" s="712"/>
      <c r="H774" s="712"/>
      <c r="I774" s="712"/>
      <c r="J774" s="712"/>
      <c r="K774" s="712"/>
      <c r="L774" s="712"/>
      <c r="M774" s="712"/>
      <c r="N774" s="712"/>
      <c r="O774" s="712"/>
      <c r="P774" s="712"/>
      <c r="Q774" s="712"/>
      <c r="R774" s="712"/>
      <c r="S774" s="712"/>
      <c r="T774" s="712"/>
      <c r="U774" s="712"/>
      <c r="V774" s="712"/>
      <c r="W774" s="712"/>
      <c r="X774" s="712"/>
      <c r="Y774" s="712"/>
      <c r="Z774" s="712"/>
      <c r="AA774" s="712"/>
      <c r="AB774" s="712"/>
      <c r="AC774" s="712"/>
      <c r="AD774" s="712"/>
      <c r="AE774" s="712"/>
      <c r="AF774" s="712"/>
      <c r="AG774" s="712"/>
      <c r="AH774" s="712"/>
      <c r="AI774" s="712"/>
      <c r="AJ774" s="712"/>
      <c r="AK774" s="712"/>
      <c r="AL774" s="712"/>
      <c r="AM774" s="712"/>
      <c r="AN774" s="712"/>
      <c r="AO774" s="712"/>
    </row>
    <row r="775">
      <c r="G775" s="712"/>
      <c r="H775" s="712"/>
      <c r="I775" s="712"/>
      <c r="J775" s="712"/>
      <c r="K775" s="712"/>
      <c r="L775" s="712"/>
      <c r="M775" s="712"/>
      <c r="N775" s="712"/>
      <c r="O775" s="712"/>
      <c r="P775" s="712"/>
      <c r="Q775" s="712"/>
      <c r="R775" s="712"/>
      <c r="S775" s="712"/>
      <c r="T775" s="712"/>
      <c r="U775" s="712"/>
      <c r="V775" s="712"/>
      <c r="W775" s="712"/>
      <c r="X775" s="712"/>
      <c r="Y775" s="712"/>
      <c r="Z775" s="712"/>
      <c r="AA775" s="712"/>
      <c r="AB775" s="712"/>
      <c r="AC775" s="712"/>
      <c r="AD775" s="712"/>
      <c r="AE775" s="712"/>
      <c r="AF775" s="712"/>
      <c r="AG775" s="712"/>
      <c r="AH775" s="712"/>
      <c r="AI775" s="712"/>
      <c r="AJ775" s="712"/>
      <c r="AK775" s="712"/>
      <c r="AL775" s="712"/>
      <c r="AM775" s="712"/>
      <c r="AN775" s="712"/>
      <c r="AO775" s="712"/>
    </row>
    <row r="776">
      <c r="G776" s="712"/>
      <c r="H776" s="712"/>
      <c r="I776" s="712"/>
      <c r="J776" s="712"/>
      <c r="K776" s="712"/>
      <c r="L776" s="712"/>
      <c r="M776" s="712"/>
      <c r="N776" s="712"/>
      <c r="O776" s="712"/>
      <c r="P776" s="712"/>
      <c r="Q776" s="712"/>
      <c r="R776" s="712"/>
      <c r="S776" s="712"/>
      <c r="T776" s="712"/>
      <c r="U776" s="712"/>
      <c r="V776" s="712"/>
      <c r="W776" s="712"/>
      <c r="X776" s="712"/>
      <c r="Y776" s="712"/>
      <c r="Z776" s="712"/>
      <c r="AA776" s="712"/>
      <c r="AB776" s="712"/>
      <c r="AC776" s="712"/>
      <c r="AD776" s="712"/>
      <c r="AE776" s="712"/>
      <c r="AF776" s="712"/>
      <c r="AG776" s="712"/>
      <c r="AH776" s="712"/>
      <c r="AI776" s="712"/>
      <c r="AJ776" s="712"/>
      <c r="AK776" s="712"/>
      <c r="AL776" s="712"/>
      <c r="AM776" s="712"/>
      <c r="AN776" s="712"/>
      <c r="AO776" s="712"/>
    </row>
    <row r="777">
      <c r="G777" s="712"/>
      <c r="H777" s="712"/>
      <c r="I777" s="712"/>
      <c r="J777" s="712"/>
      <c r="K777" s="712"/>
      <c r="L777" s="712"/>
      <c r="M777" s="712"/>
      <c r="N777" s="712"/>
      <c r="O777" s="712"/>
      <c r="P777" s="712"/>
      <c r="Q777" s="712"/>
      <c r="R777" s="712"/>
      <c r="S777" s="712"/>
      <c r="T777" s="712"/>
      <c r="U777" s="712"/>
      <c r="V777" s="712"/>
      <c r="W777" s="712"/>
      <c r="X777" s="712"/>
      <c r="Y777" s="712"/>
      <c r="Z777" s="712"/>
      <c r="AA777" s="712"/>
      <c r="AB777" s="712"/>
      <c r="AC777" s="712"/>
      <c r="AD777" s="712"/>
      <c r="AE777" s="712"/>
      <c r="AF777" s="712"/>
      <c r="AG777" s="712"/>
      <c r="AH777" s="712"/>
      <c r="AI777" s="712"/>
      <c r="AJ777" s="712"/>
      <c r="AK777" s="712"/>
      <c r="AL777" s="712"/>
      <c r="AM777" s="712"/>
      <c r="AN777" s="712"/>
      <c r="AO777" s="712"/>
    </row>
    <row r="778">
      <c r="G778" s="712"/>
      <c r="H778" s="712"/>
      <c r="I778" s="712"/>
      <c r="J778" s="712"/>
      <c r="K778" s="712"/>
      <c r="L778" s="712"/>
      <c r="M778" s="712"/>
      <c r="N778" s="712"/>
      <c r="O778" s="712"/>
      <c r="P778" s="712"/>
      <c r="Q778" s="712"/>
      <c r="R778" s="712"/>
      <c r="S778" s="712"/>
      <c r="T778" s="712"/>
      <c r="U778" s="712"/>
      <c r="V778" s="712"/>
      <c r="W778" s="712"/>
      <c r="X778" s="712"/>
      <c r="Y778" s="712"/>
      <c r="Z778" s="712"/>
      <c r="AA778" s="712"/>
      <c r="AB778" s="712"/>
      <c r="AC778" s="712"/>
      <c r="AD778" s="712"/>
      <c r="AE778" s="712"/>
      <c r="AF778" s="712"/>
      <c r="AG778" s="712"/>
      <c r="AH778" s="712"/>
      <c r="AI778" s="712"/>
      <c r="AJ778" s="712"/>
      <c r="AK778" s="712"/>
      <c r="AL778" s="712"/>
      <c r="AM778" s="712"/>
      <c r="AN778" s="712"/>
      <c r="AO778" s="712"/>
    </row>
    <row r="779">
      <c r="G779" s="712"/>
      <c r="H779" s="712"/>
      <c r="I779" s="712"/>
      <c r="J779" s="712"/>
      <c r="K779" s="712"/>
      <c r="L779" s="712"/>
      <c r="M779" s="712"/>
      <c r="N779" s="712"/>
      <c r="O779" s="712"/>
      <c r="P779" s="712"/>
      <c r="Q779" s="712"/>
      <c r="R779" s="712"/>
      <c r="S779" s="712"/>
      <c r="T779" s="712"/>
      <c r="U779" s="712"/>
      <c r="V779" s="712"/>
      <c r="W779" s="712"/>
      <c r="X779" s="712"/>
      <c r="Y779" s="712"/>
      <c r="Z779" s="712"/>
      <c r="AA779" s="712"/>
      <c r="AB779" s="712"/>
      <c r="AC779" s="712"/>
      <c r="AD779" s="712"/>
      <c r="AE779" s="712"/>
      <c r="AF779" s="712"/>
      <c r="AG779" s="712"/>
      <c r="AH779" s="712"/>
      <c r="AI779" s="712"/>
      <c r="AJ779" s="712"/>
      <c r="AK779" s="712"/>
      <c r="AL779" s="712"/>
      <c r="AM779" s="712"/>
      <c r="AN779" s="712"/>
      <c r="AO779" s="712"/>
    </row>
    <row r="780">
      <c r="G780" s="712"/>
      <c r="H780" s="712"/>
      <c r="I780" s="712"/>
      <c r="J780" s="712"/>
      <c r="K780" s="712"/>
      <c r="L780" s="712"/>
      <c r="M780" s="712"/>
      <c r="N780" s="712"/>
      <c r="O780" s="712"/>
      <c r="P780" s="712"/>
      <c r="Q780" s="712"/>
      <c r="R780" s="712"/>
      <c r="S780" s="712"/>
      <c r="T780" s="712"/>
      <c r="U780" s="712"/>
      <c r="V780" s="712"/>
      <c r="W780" s="712"/>
      <c r="X780" s="712"/>
      <c r="Y780" s="712"/>
      <c r="Z780" s="712"/>
      <c r="AA780" s="712"/>
      <c r="AB780" s="712"/>
      <c r="AC780" s="712"/>
      <c r="AD780" s="712"/>
      <c r="AE780" s="712"/>
      <c r="AF780" s="712"/>
      <c r="AG780" s="712"/>
      <c r="AH780" s="712"/>
      <c r="AI780" s="712"/>
      <c r="AJ780" s="712"/>
      <c r="AK780" s="712"/>
      <c r="AL780" s="712"/>
      <c r="AM780" s="712"/>
      <c r="AN780" s="712"/>
      <c r="AO780" s="712"/>
    </row>
    <row r="781">
      <c r="G781" s="712"/>
      <c r="H781" s="712"/>
      <c r="I781" s="712"/>
      <c r="J781" s="712"/>
      <c r="K781" s="712"/>
      <c r="L781" s="712"/>
      <c r="M781" s="712"/>
      <c r="N781" s="712"/>
      <c r="O781" s="712"/>
      <c r="P781" s="712"/>
      <c r="Q781" s="712"/>
      <c r="R781" s="712"/>
      <c r="S781" s="712"/>
      <c r="T781" s="712"/>
      <c r="U781" s="712"/>
      <c r="V781" s="712"/>
      <c r="W781" s="712"/>
      <c r="X781" s="712"/>
      <c r="Y781" s="712"/>
      <c r="Z781" s="712"/>
      <c r="AA781" s="712"/>
      <c r="AB781" s="712"/>
      <c r="AC781" s="712"/>
      <c r="AD781" s="712"/>
      <c r="AE781" s="712"/>
      <c r="AF781" s="712"/>
      <c r="AG781" s="712"/>
      <c r="AH781" s="712"/>
      <c r="AI781" s="712"/>
      <c r="AJ781" s="712"/>
      <c r="AK781" s="712"/>
      <c r="AL781" s="712"/>
      <c r="AM781" s="712"/>
      <c r="AN781" s="712"/>
      <c r="AO781" s="712"/>
    </row>
    <row r="782">
      <c r="G782" s="712"/>
      <c r="H782" s="712"/>
      <c r="I782" s="712"/>
      <c r="J782" s="712"/>
      <c r="K782" s="712"/>
      <c r="L782" s="712"/>
      <c r="M782" s="712"/>
      <c r="N782" s="712"/>
      <c r="O782" s="712"/>
      <c r="P782" s="712"/>
      <c r="Q782" s="712"/>
      <c r="R782" s="712"/>
      <c r="S782" s="712"/>
      <c r="T782" s="712"/>
      <c r="U782" s="712"/>
      <c r="V782" s="712"/>
      <c r="W782" s="712"/>
      <c r="X782" s="712"/>
      <c r="Y782" s="712"/>
      <c r="Z782" s="712"/>
      <c r="AA782" s="712"/>
      <c r="AB782" s="712"/>
      <c r="AC782" s="712"/>
      <c r="AD782" s="712"/>
      <c r="AE782" s="712"/>
      <c r="AF782" s="712"/>
      <c r="AG782" s="712"/>
      <c r="AH782" s="712"/>
      <c r="AI782" s="712"/>
      <c r="AJ782" s="712"/>
      <c r="AK782" s="712"/>
      <c r="AL782" s="712"/>
      <c r="AM782" s="712"/>
      <c r="AN782" s="712"/>
      <c r="AO782" s="712"/>
    </row>
    <row r="783">
      <c r="G783" s="712"/>
      <c r="H783" s="712"/>
      <c r="I783" s="712"/>
      <c r="J783" s="712"/>
      <c r="K783" s="712"/>
      <c r="L783" s="712"/>
      <c r="M783" s="712"/>
      <c r="N783" s="712"/>
      <c r="O783" s="712"/>
      <c r="P783" s="712"/>
      <c r="Q783" s="712"/>
      <c r="R783" s="712"/>
      <c r="S783" s="712"/>
      <c r="T783" s="712"/>
      <c r="U783" s="712"/>
      <c r="V783" s="712"/>
      <c r="W783" s="712"/>
      <c r="X783" s="712"/>
      <c r="Y783" s="712"/>
      <c r="Z783" s="712"/>
      <c r="AA783" s="712"/>
      <c r="AB783" s="712"/>
      <c r="AC783" s="712"/>
      <c r="AD783" s="712"/>
      <c r="AE783" s="712"/>
      <c r="AF783" s="712"/>
      <c r="AG783" s="712"/>
      <c r="AH783" s="712"/>
      <c r="AI783" s="712"/>
      <c r="AJ783" s="712"/>
      <c r="AK783" s="712"/>
      <c r="AL783" s="712"/>
      <c r="AM783" s="712"/>
      <c r="AN783" s="712"/>
      <c r="AO783" s="712"/>
    </row>
    <row r="784">
      <c r="G784" s="712"/>
      <c r="H784" s="712"/>
      <c r="I784" s="712"/>
      <c r="J784" s="712"/>
      <c r="K784" s="712"/>
      <c r="L784" s="712"/>
      <c r="M784" s="712"/>
      <c r="N784" s="712"/>
      <c r="O784" s="712"/>
      <c r="P784" s="712"/>
      <c r="Q784" s="712"/>
      <c r="R784" s="712"/>
      <c r="S784" s="712"/>
      <c r="T784" s="712"/>
      <c r="U784" s="712"/>
      <c r="V784" s="712"/>
      <c r="W784" s="712"/>
      <c r="X784" s="712"/>
      <c r="Y784" s="712"/>
      <c r="Z784" s="712"/>
      <c r="AA784" s="712"/>
      <c r="AB784" s="712"/>
      <c r="AC784" s="712"/>
      <c r="AD784" s="712"/>
      <c r="AE784" s="712"/>
      <c r="AF784" s="712"/>
      <c r="AG784" s="712"/>
      <c r="AH784" s="712"/>
      <c r="AI784" s="712"/>
      <c r="AJ784" s="712"/>
      <c r="AK784" s="712"/>
      <c r="AL784" s="712"/>
      <c r="AM784" s="712"/>
      <c r="AN784" s="712"/>
      <c r="AO784" s="712"/>
    </row>
    <row r="785">
      <c r="G785" s="712"/>
      <c r="H785" s="712"/>
      <c r="I785" s="712"/>
      <c r="J785" s="712"/>
      <c r="K785" s="712"/>
      <c r="L785" s="712"/>
      <c r="M785" s="712"/>
      <c r="N785" s="712"/>
      <c r="O785" s="712"/>
      <c r="P785" s="712"/>
      <c r="Q785" s="712"/>
      <c r="R785" s="712"/>
      <c r="S785" s="712"/>
      <c r="T785" s="712"/>
      <c r="U785" s="712"/>
      <c r="V785" s="712"/>
      <c r="W785" s="712"/>
      <c r="X785" s="712"/>
      <c r="Y785" s="712"/>
      <c r="Z785" s="712"/>
      <c r="AA785" s="712"/>
      <c r="AB785" s="712"/>
      <c r="AC785" s="712"/>
      <c r="AD785" s="712"/>
      <c r="AE785" s="712"/>
      <c r="AF785" s="712"/>
      <c r="AG785" s="712"/>
      <c r="AH785" s="712"/>
      <c r="AI785" s="712"/>
      <c r="AJ785" s="712"/>
      <c r="AK785" s="712"/>
      <c r="AL785" s="712"/>
      <c r="AM785" s="712"/>
      <c r="AN785" s="712"/>
      <c r="AO785" s="712"/>
    </row>
    <row r="786">
      <c r="G786" s="712"/>
      <c r="H786" s="712"/>
      <c r="I786" s="712"/>
      <c r="J786" s="712"/>
      <c r="K786" s="712"/>
      <c r="L786" s="712"/>
      <c r="M786" s="712"/>
      <c r="N786" s="712"/>
      <c r="O786" s="712"/>
      <c r="P786" s="712"/>
      <c r="Q786" s="712"/>
      <c r="R786" s="712"/>
      <c r="S786" s="712"/>
      <c r="T786" s="712"/>
      <c r="U786" s="712"/>
      <c r="V786" s="712"/>
      <c r="W786" s="712"/>
      <c r="X786" s="712"/>
      <c r="Y786" s="712"/>
      <c r="Z786" s="712"/>
      <c r="AA786" s="712"/>
      <c r="AB786" s="712"/>
      <c r="AC786" s="712"/>
      <c r="AD786" s="712"/>
      <c r="AE786" s="712"/>
      <c r="AF786" s="712"/>
      <c r="AG786" s="712"/>
      <c r="AH786" s="712"/>
      <c r="AI786" s="712"/>
      <c r="AJ786" s="712"/>
      <c r="AK786" s="712"/>
      <c r="AL786" s="712"/>
      <c r="AM786" s="712"/>
      <c r="AN786" s="712"/>
      <c r="AO786" s="712"/>
    </row>
    <row r="787">
      <c r="G787" s="712"/>
      <c r="H787" s="712"/>
      <c r="I787" s="712"/>
      <c r="J787" s="712"/>
      <c r="K787" s="712"/>
      <c r="L787" s="712"/>
      <c r="M787" s="712"/>
      <c r="N787" s="712"/>
      <c r="O787" s="712"/>
      <c r="P787" s="712"/>
      <c r="Q787" s="712"/>
      <c r="R787" s="712"/>
      <c r="S787" s="712"/>
      <c r="T787" s="712"/>
      <c r="U787" s="712"/>
      <c r="V787" s="712"/>
      <c r="W787" s="712"/>
      <c r="X787" s="712"/>
      <c r="Y787" s="712"/>
      <c r="Z787" s="712"/>
      <c r="AA787" s="712"/>
      <c r="AB787" s="712"/>
      <c r="AC787" s="712"/>
      <c r="AD787" s="712"/>
      <c r="AE787" s="712"/>
      <c r="AF787" s="712"/>
      <c r="AG787" s="712"/>
      <c r="AH787" s="712"/>
      <c r="AI787" s="712"/>
      <c r="AJ787" s="712"/>
      <c r="AK787" s="712"/>
      <c r="AL787" s="712"/>
      <c r="AM787" s="712"/>
      <c r="AN787" s="712"/>
      <c r="AO787" s="712"/>
    </row>
    <row r="788">
      <c r="G788" s="712"/>
      <c r="H788" s="712"/>
      <c r="I788" s="712"/>
      <c r="J788" s="712"/>
      <c r="K788" s="712"/>
      <c r="L788" s="712"/>
      <c r="M788" s="712"/>
      <c r="N788" s="712"/>
      <c r="O788" s="712"/>
      <c r="P788" s="712"/>
      <c r="Q788" s="712"/>
      <c r="R788" s="712"/>
      <c r="S788" s="712"/>
      <c r="T788" s="712"/>
      <c r="U788" s="712"/>
      <c r="V788" s="712"/>
      <c r="W788" s="712"/>
      <c r="X788" s="712"/>
      <c r="Y788" s="712"/>
      <c r="Z788" s="712"/>
      <c r="AA788" s="712"/>
      <c r="AB788" s="712"/>
      <c r="AC788" s="712"/>
      <c r="AD788" s="712"/>
      <c r="AE788" s="712"/>
      <c r="AF788" s="712"/>
      <c r="AG788" s="712"/>
      <c r="AH788" s="712"/>
      <c r="AI788" s="712"/>
      <c r="AJ788" s="712"/>
      <c r="AK788" s="712"/>
      <c r="AL788" s="712"/>
      <c r="AM788" s="712"/>
      <c r="AN788" s="712"/>
      <c r="AO788" s="712"/>
    </row>
    <row r="789">
      <c r="G789" s="712"/>
      <c r="H789" s="712"/>
      <c r="I789" s="712"/>
      <c r="J789" s="712"/>
      <c r="K789" s="712"/>
      <c r="L789" s="712"/>
      <c r="M789" s="712"/>
      <c r="N789" s="712"/>
      <c r="O789" s="712"/>
      <c r="P789" s="712"/>
      <c r="Q789" s="712"/>
      <c r="R789" s="712"/>
      <c r="S789" s="712"/>
      <c r="T789" s="712"/>
      <c r="U789" s="712"/>
      <c r="V789" s="712"/>
      <c r="W789" s="712"/>
      <c r="X789" s="712"/>
      <c r="Y789" s="712"/>
      <c r="Z789" s="712"/>
      <c r="AA789" s="712"/>
      <c r="AB789" s="712"/>
      <c r="AC789" s="712"/>
      <c r="AD789" s="712"/>
      <c r="AE789" s="712"/>
      <c r="AF789" s="712"/>
      <c r="AG789" s="712"/>
      <c r="AH789" s="712"/>
      <c r="AI789" s="712"/>
      <c r="AJ789" s="712"/>
      <c r="AK789" s="712"/>
      <c r="AL789" s="712"/>
      <c r="AM789" s="712"/>
      <c r="AN789" s="712"/>
      <c r="AO789" s="712"/>
    </row>
    <row r="790">
      <c r="G790" s="712"/>
      <c r="H790" s="712"/>
      <c r="I790" s="712"/>
      <c r="J790" s="712"/>
      <c r="K790" s="712"/>
      <c r="L790" s="712"/>
      <c r="M790" s="712"/>
      <c r="N790" s="712"/>
      <c r="O790" s="712"/>
      <c r="P790" s="712"/>
      <c r="Q790" s="712"/>
      <c r="R790" s="712"/>
      <c r="S790" s="712"/>
      <c r="T790" s="712"/>
      <c r="U790" s="712"/>
      <c r="V790" s="712"/>
      <c r="W790" s="712"/>
      <c r="X790" s="712"/>
      <c r="Y790" s="712"/>
      <c r="Z790" s="712"/>
      <c r="AA790" s="712"/>
      <c r="AB790" s="712"/>
      <c r="AC790" s="712"/>
      <c r="AD790" s="712"/>
      <c r="AE790" s="712"/>
      <c r="AF790" s="712"/>
      <c r="AG790" s="712"/>
      <c r="AH790" s="712"/>
      <c r="AI790" s="712"/>
      <c r="AJ790" s="712"/>
      <c r="AK790" s="712"/>
      <c r="AL790" s="712"/>
      <c r="AM790" s="712"/>
      <c r="AN790" s="712"/>
      <c r="AO790" s="712"/>
    </row>
    <row r="791">
      <c r="G791" s="712"/>
      <c r="H791" s="712"/>
      <c r="I791" s="712"/>
      <c r="J791" s="712"/>
      <c r="K791" s="712"/>
      <c r="L791" s="712"/>
      <c r="M791" s="712"/>
      <c r="N791" s="712"/>
      <c r="O791" s="712"/>
      <c r="P791" s="712"/>
      <c r="Q791" s="712"/>
      <c r="R791" s="712"/>
      <c r="S791" s="712"/>
      <c r="T791" s="712"/>
      <c r="U791" s="712"/>
      <c r="V791" s="712"/>
      <c r="W791" s="712"/>
      <c r="X791" s="712"/>
      <c r="Y791" s="712"/>
      <c r="Z791" s="712"/>
      <c r="AA791" s="712"/>
      <c r="AB791" s="712"/>
      <c r="AC791" s="712"/>
      <c r="AD791" s="712"/>
      <c r="AE791" s="712"/>
      <c r="AF791" s="712"/>
      <c r="AG791" s="712"/>
      <c r="AH791" s="712"/>
      <c r="AI791" s="712"/>
      <c r="AJ791" s="712"/>
      <c r="AK791" s="712"/>
      <c r="AL791" s="712"/>
      <c r="AM791" s="712"/>
      <c r="AN791" s="712"/>
      <c r="AO791" s="712"/>
    </row>
    <row r="792">
      <c r="G792" s="712"/>
      <c r="H792" s="712"/>
      <c r="I792" s="712"/>
      <c r="J792" s="712"/>
      <c r="K792" s="712"/>
      <c r="L792" s="712"/>
      <c r="M792" s="712"/>
      <c r="N792" s="712"/>
      <c r="O792" s="712"/>
      <c r="P792" s="712"/>
      <c r="Q792" s="712"/>
      <c r="R792" s="712"/>
      <c r="S792" s="712"/>
      <c r="T792" s="712"/>
      <c r="U792" s="712"/>
      <c r="V792" s="712"/>
      <c r="W792" s="712"/>
      <c r="X792" s="712"/>
      <c r="Y792" s="712"/>
      <c r="Z792" s="712"/>
      <c r="AA792" s="712"/>
      <c r="AB792" s="712"/>
      <c r="AC792" s="712"/>
      <c r="AD792" s="712"/>
      <c r="AE792" s="712"/>
      <c r="AF792" s="712"/>
      <c r="AG792" s="712"/>
      <c r="AH792" s="712"/>
      <c r="AI792" s="712"/>
      <c r="AJ792" s="712"/>
      <c r="AK792" s="712"/>
      <c r="AL792" s="712"/>
      <c r="AM792" s="712"/>
      <c r="AN792" s="712"/>
      <c r="AO792" s="712"/>
    </row>
    <row r="793">
      <c r="G793" s="712"/>
      <c r="H793" s="712"/>
      <c r="I793" s="712"/>
      <c r="J793" s="712"/>
      <c r="K793" s="712"/>
      <c r="L793" s="712"/>
      <c r="M793" s="712"/>
      <c r="N793" s="712"/>
      <c r="O793" s="712"/>
      <c r="P793" s="712"/>
      <c r="Q793" s="712"/>
      <c r="R793" s="712"/>
      <c r="S793" s="712"/>
      <c r="T793" s="712"/>
      <c r="U793" s="712"/>
      <c r="V793" s="712"/>
      <c r="W793" s="712"/>
      <c r="X793" s="712"/>
      <c r="Y793" s="712"/>
      <c r="Z793" s="712"/>
      <c r="AA793" s="712"/>
      <c r="AB793" s="712"/>
      <c r="AC793" s="712"/>
      <c r="AD793" s="712"/>
      <c r="AE793" s="712"/>
      <c r="AF793" s="712"/>
      <c r="AG793" s="712"/>
      <c r="AH793" s="712"/>
      <c r="AI793" s="712"/>
      <c r="AJ793" s="712"/>
      <c r="AK793" s="712"/>
      <c r="AL793" s="712"/>
      <c r="AM793" s="712"/>
      <c r="AN793" s="712"/>
      <c r="AO793" s="712"/>
    </row>
    <row r="794">
      <c r="G794" s="712"/>
      <c r="H794" s="712"/>
      <c r="I794" s="712"/>
      <c r="J794" s="712"/>
      <c r="K794" s="712"/>
      <c r="L794" s="712"/>
      <c r="M794" s="712"/>
      <c r="N794" s="712"/>
      <c r="O794" s="712"/>
      <c r="P794" s="712"/>
      <c r="Q794" s="712"/>
      <c r="R794" s="712"/>
      <c r="S794" s="712"/>
      <c r="T794" s="712"/>
      <c r="U794" s="712"/>
      <c r="V794" s="712"/>
      <c r="W794" s="712"/>
      <c r="X794" s="712"/>
      <c r="Y794" s="712"/>
      <c r="Z794" s="712"/>
      <c r="AA794" s="712"/>
      <c r="AB794" s="712"/>
      <c r="AC794" s="712"/>
      <c r="AD794" s="712"/>
      <c r="AE794" s="712"/>
      <c r="AF794" s="712"/>
      <c r="AG794" s="712"/>
      <c r="AH794" s="712"/>
      <c r="AI794" s="712"/>
      <c r="AJ794" s="712"/>
      <c r="AK794" s="712"/>
      <c r="AL794" s="712"/>
      <c r="AM794" s="712"/>
      <c r="AN794" s="712"/>
      <c r="AO794" s="712"/>
    </row>
    <row r="795">
      <c r="G795" s="712"/>
      <c r="H795" s="712"/>
      <c r="I795" s="712"/>
      <c r="J795" s="712"/>
      <c r="K795" s="712"/>
      <c r="L795" s="712"/>
      <c r="M795" s="712"/>
      <c r="N795" s="712"/>
      <c r="O795" s="712"/>
      <c r="P795" s="712"/>
      <c r="Q795" s="712"/>
      <c r="R795" s="712"/>
      <c r="S795" s="712"/>
      <c r="T795" s="712"/>
      <c r="U795" s="712"/>
      <c r="V795" s="712"/>
      <c r="W795" s="712"/>
      <c r="X795" s="712"/>
      <c r="Y795" s="712"/>
      <c r="Z795" s="712"/>
      <c r="AA795" s="712"/>
      <c r="AB795" s="712"/>
      <c r="AC795" s="712"/>
      <c r="AD795" s="712"/>
      <c r="AE795" s="712"/>
      <c r="AF795" s="712"/>
      <c r="AG795" s="712"/>
      <c r="AH795" s="712"/>
      <c r="AI795" s="712"/>
      <c r="AJ795" s="712"/>
      <c r="AK795" s="712"/>
      <c r="AL795" s="712"/>
      <c r="AM795" s="712"/>
      <c r="AN795" s="712"/>
      <c r="AO795" s="712"/>
    </row>
    <row r="796">
      <c r="G796" s="712"/>
      <c r="H796" s="712"/>
      <c r="I796" s="712"/>
      <c r="J796" s="712"/>
      <c r="K796" s="712"/>
      <c r="L796" s="712"/>
      <c r="M796" s="712"/>
      <c r="N796" s="712"/>
      <c r="O796" s="712"/>
      <c r="P796" s="712"/>
      <c r="Q796" s="712"/>
      <c r="R796" s="712"/>
      <c r="S796" s="712"/>
      <c r="T796" s="712"/>
      <c r="U796" s="712"/>
      <c r="V796" s="712"/>
      <c r="W796" s="712"/>
      <c r="X796" s="712"/>
      <c r="Y796" s="712"/>
      <c r="Z796" s="712"/>
      <c r="AA796" s="712"/>
      <c r="AB796" s="712"/>
      <c r="AC796" s="712"/>
      <c r="AD796" s="712"/>
      <c r="AE796" s="712"/>
      <c r="AF796" s="712"/>
      <c r="AG796" s="712"/>
      <c r="AH796" s="712"/>
      <c r="AI796" s="712"/>
      <c r="AJ796" s="712"/>
      <c r="AK796" s="712"/>
      <c r="AL796" s="712"/>
      <c r="AM796" s="712"/>
      <c r="AN796" s="712"/>
      <c r="AO796" s="712"/>
    </row>
    <row r="797">
      <c r="G797" s="712"/>
      <c r="H797" s="712"/>
      <c r="I797" s="712"/>
      <c r="J797" s="712"/>
      <c r="K797" s="712"/>
      <c r="L797" s="712"/>
      <c r="M797" s="712"/>
      <c r="N797" s="712"/>
      <c r="O797" s="712"/>
      <c r="P797" s="712"/>
      <c r="Q797" s="712"/>
      <c r="R797" s="712"/>
      <c r="S797" s="712"/>
      <c r="T797" s="712"/>
      <c r="U797" s="712"/>
      <c r="V797" s="712"/>
      <c r="W797" s="712"/>
      <c r="X797" s="712"/>
      <c r="Y797" s="712"/>
      <c r="Z797" s="712"/>
      <c r="AA797" s="712"/>
      <c r="AB797" s="712"/>
      <c r="AC797" s="712"/>
      <c r="AD797" s="712"/>
      <c r="AE797" s="712"/>
      <c r="AF797" s="712"/>
      <c r="AG797" s="712"/>
      <c r="AH797" s="712"/>
      <c r="AI797" s="712"/>
      <c r="AJ797" s="712"/>
      <c r="AK797" s="712"/>
      <c r="AL797" s="712"/>
      <c r="AM797" s="712"/>
      <c r="AN797" s="712"/>
      <c r="AO797" s="712"/>
    </row>
    <row r="798">
      <c r="G798" s="712"/>
      <c r="H798" s="712"/>
      <c r="I798" s="712"/>
      <c r="J798" s="712"/>
      <c r="K798" s="712"/>
      <c r="L798" s="712"/>
      <c r="M798" s="712"/>
      <c r="N798" s="712"/>
      <c r="O798" s="712"/>
      <c r="P798" s="712"/>
      <c r="Q798" s="712"/>
      <c r="R798" s="712"/>
      <c r="S798" s="712"/>
      <c r="T798" s="712"/>
      <c r="U798" s="712"/>
      <c r="V798" s="712"/>
      <c r="W798" s="712"/>
      <c r="X798" s="712"/>
      <c r="Y798" s="712"/>
      <c r="Z798" s="712"/>
      <c r="AA798" s="712"/>
      <c r="AB798" s="712"/>
      <c r="AC798" s="712"/>
      <c r="AD798" s="712"/>
      <c r="AE798" s="712"/>
      <c r="AF798" s="712"/>
      <c r="AG798" s="712"/>
      <c r="AH798" s="712"/>
      <c r="AI798" s="712"/>
      <c r="AJ798" s="712"/>
      <c r="AK798" s="712"/>
      <c r="AL798" s="712"/>
      <c r="AM798" s="712"/>
      <c r="AN798" s="712"/>
      <c r="AO798" s="712"/>
    </row>
    <row r="799">
      <c r="G799" s="712"/>
      <c r="H799" s="712"/>
      <c r="I799" s="712"/>
      <c r="J799" s="712"/>
      <c r="K799" s="712"/>
      <c r="L799" s="712"/>
      <c r="M799" s="712"/>
      <c r="N799" s="712"/>
      <c r="O799" s="712"/>
      <c r="P799" s="712"/>
      <c r="Q799" s="712"/>
      <c r="R799" s="712"/>
      <c r="S799" s="712"/>
      <c r="T799" s="712"/>
      <c r="U799" s="712"/>
      <c r="V799" s="712"/>
      <c r="W799" s="712"/>
      <c r="X799" s="712"/>
      <c r="Y799" s="712"/>
      <c r="Z799" s="712"/>
      <c r="AA799" s="712"/>
      <c r="AB799" s="712"/>
      <c r="AC799" s="712"/>
      <c r="AD799" s="712"/>
      <c r="AE799" s="712"/>
      <c r="AF799" s="712"/>
      <c r="AG799" s="712"/>
      <c r="AH799" s="712"/>
      <c r="AI799" s="712"/>
      <c r="AJ799" s="712"/>
      <c r="AK799" s="712"/>
      <c r="AL799" s="712"/>
      <c r="AM799" s="712"/>
      <c r="AN799" s="712"/>
      <c r="AO799" s="712"/>
    </row>
    <row r="800">
      <c r="G800" s="712"/>
      <c r="H800" s="712"/>
      <c r="I800" s="712"/>
      <c r="J800" s="712"/>
      <c r="K800" s="712"/>
      <c r="L800" s="712"/>
      <c r="M800" s="712"/>
      <c r="N800" s="712"/>
      <c r="O800" s="712"/>
      <c r="P800" s="712"/>
      <c r="Q800" s="712"/>
      <c r="R800" s="712"/>
      <c r="S800" s="712"/>
      <c r="T800" s="712"/>
      <c r="U800" s="712"/>
      <c r="V800" s="712"/>
      <c r="W800" s="712"/>
      <c r="X800" s="712"/>
      <c r="Y800" s="712"/>
      <c r="Z800" s="712"/>
      <c r="AA800" s="712"/>
      <c r="AB800" s="712"/>
      <c r="AC800" s="712"/>
      <c r="AD800" s="712"/>
      <c r="AE800" s="712"/>
      <c r="AF800" s="712"/>
      <c r="AG800" s="712"/>
      <c r="AH800" s="712"/>
      <c r="AI800" s="712"/>
      <c r="AJ800" s="712"/>
      <c r="AK800" s="712"/>
      <c r="AL800" s="712"/>
      <c r="AM800" s="712"/>
      <c r="AN800" s="712"/>
      <c r="AO800" s="712"/>
    </row>
    <row r="801">
      <c r="G801" s="712"/>
      <c r="H801" s="712"/>
      <c r="I801" s="712"/>
      <c r="J801" s="712"/>
      <c r="K801" s="712"/>
      <c r="L801" s="712"/>
      <c r="M801" s="712"/>
      <c r="N801" s="712"/>
      <c r="O801" s="712"/>
      <c r="P801" s="712"/>
      <c r="Q801" s="712"/>
      <c r="R801" s="712"/>
      <c r="S801" s="712"/>
      <c r="T801" s="712"/>
      <c r="U801" s="712"/>
      <c r="V801" s="712"/>
      <c r="W801" s="712"/>
      <c r="X801" s="712"/>
      <c r="Y801" s="712"/>
      <c r="Z801" s="712"/>
      <c r="AA801" s="712"/>
      <c r="AB801" s="712"/>
      <c r="AC801" s="712"/>
      <c r="AD801" s="712"/>
      <c r="AE801" s="712"/>
      <c r="AF801" s="712"/>
      <c r="AG801" s="712"/>
      <c r="AH801" s="712"/>
      <c r="AI801" s="712"/>
      <c r="AJ801" s="712"/>
      <c r="AK801" s="712"/>
      <c r="AL801" s="712"/>
      <c r="AM801" s="712"/>
      <c r="AN801" s="712"/>
      <c r="AO801" s="712"/>
    </row>
    <row r="802">
      <c r="G802" s="712"/>
      <c r="H802" s="712"/>
      <c r="I802" s="712"/>
      <c r="J802" s="712"/>
      <c r="K802" s="712"/>
      <c r="L802" s="712"/>
      <c r="M802" s="712"/>
      <c r="N802" s="712"/>
      <c r="O802" s="712"/>
      <c r="P802" s="712"/>
      <c r="Q802" s="712"/>
      <c r="R802" s="712"/>
      <c r="S802" s="712"/>
      <c r="T802" s="712"/>
      <c r="U802" s="712"/>
      <c r="V802" s="712"/>
      <c r="W802" s="712"/>
      <c r="X802" s="712"/>
      <c r="Y802" s="712"/>
      <c r="Z802" s="712"/>
      <c r="AA802" s="712"/>
      <c r="AB802" s="712"/>
      <c r="AC802" s="712"/>
      <c r="AD802" s="712"/>
      <c r="AE802" s="712"/>
      <c r="AF802" s="712"/>
      <c r="AG802" s="712"/>
      <c r="AH802" s="712"/>
      <c r="AI802" s="712"/>
      <c r="AJ802" s="712"/>
      <c r="AK802" s="712"/>
      <c r="AL802" s="712"/>
      <c r="AM802" s="712"/>
      <c r="AN802" s="712"/>
      <c r="AO802" s="712"/>
    </row>
    <row r="803">
      <c r="G803" s="712"/>
      <c r="H803" s="712"/>
      <c r="I803" s="712"/>
      <c r="J803" s="712"/>
      <c r="K803" s="712"/>
      <c r="L803" s="712"/>
      <c r="M803" s="712"/>
      <c r="N803" s="712"/>
      <c r="O803" s="712"/>
      <c r="P803" s="712"/>
      <c r="Q803" s="712"/>
      <c r="R803" s="712"/>
      <c r="S803" s="712"/>
      <c r="T803" s="712"/>
      <c r="U803" s="712"/>
      <c r="V803" s="712"/>
      <c r="W803" s="712"/>
      <c r="X803" s="712"/>
      <c r="Y803" s="712"/>
      <c r="Z803" s="712"/>
      <c r="AA803" s="712"/>
      <c r="AB803" s="712"/>
      <c r="AC803" s="712"/>
      <c r="AD803" s="712"/>
      <c r="AE803" s="712"/>
      <c r="AF803" s="712"/>
      <c r="AG803" s="712"/>
      <c r="AH803" s="712"/>
      <c r="AI803" s="712"/>
      <c r="AJ803" s="712"/>
      <c r="AK803" s="712"/>
      <c r="AL803" s="712"/>
      <c r="AM803" s="712"/>
      <c r="AN803" s="712"/>
      <c r="AO803" s="712"/>
    </row>
    <row r="804">
      <c r="G804" s="712"/>
      <c r="H804" s="712"/>
      <c r="I804" s="712"/>
      <c r="J804" s="712"/>
      <c r="K804" s="712"/>
      <c r="L804" s="712"/>
      <c r="M804" s="712"/>
      <c r="N804" s="712"/>
      <c r="O804" s="712"/>
      <c r="P804" s="712"/>
      <c r="Q804" s="712"/>
      <c r="R804" s="712"/>
      <c r="S804" s="712"/>
      <c r="T804" s="712"/>
      <c r="U804" s="712"/>
      <c r="V804" s="712"/>
      <c r="W804" s="712"/>
      <c r="X804" s="712"/>
      <c r="Y804" s="712"/>
      <c r="Z804" s="712"/>
      <c r="AA804" s="712"/>
      <c r="AB804" s="712"/>
      <c r="AC804" s="712"/>
      <c r="AD804" s="712"/>
      <c r="AE804" s="712"/>
      <c r="AF804" s="712"/>
      <c r="AG804" s="712"/>
      <c r="AH804" s="712"/>
      <c r="AI804" s="712"/>
      <c r="AJ804" s="712"/>
      <c r="AK804" s="712"/>
      <c r="AL804" s="712"/>
      <c r="AM804" s="712"/>
      <c r="AN804" s="712"/>
      <c r="AO804" s="712"/>
    </row>
    <row r="805">
      <c r="G805" s="712"/>
      <c r="H805" s="712"/>
      <c r="I805" s="712"/>
      <c r="J805" s="712"/>
      <c r="K805" s="712"/>
      <c r="L805" s="712"/>
      <c r="M805" s="712"/>
      <c r="N805" s="712"/>
      <c r="O805" s="712"/>
      <c r="P805" s="712"/>
      <c r="Q805" s="712"/>
      <c r="R805" s="712"/>
      <c r="S805" s="712"/>
      <c r="T805" s="712"/>
      <c r="U805" s="712"/>
      <c r="V805" s="712"/>
      <c r="W805" s="712"/>
      <c r="X805" s="712"/>
      <c r="Y805" s="712"/>
      <c r="Z805" s="712"/>
      <c r="AA805" s="712"/>
      <c r="AB805" s="712"/>
      <c r="AC805" s="712"/>
      <c r="AD805" s="712"/>
      <c r="AE805" s="712"/>
      <c r="AF805" s="712"/>
      <c r="AG805" s="712"/>
      <c r="AH805" s="712"/>
      <c r="AI805" s="712"/>
      <c r="AJ805" s="712"/>
      <c r="AK805" s="712"/>
      <c r="AL805" s="712"/>
      <c r="AM805" s="712"/>
      <c r="AN805" s="712"/>
      <c r="AO805" s="712"/>
    </row>
    <row r="806">
      <c r="G806" s="712"/>
      <c r="H806" s="712"/>
      <c r="I806" s="712"/>
      <c r="J806" s="712"/>
      <c r="K806" s="712"/>
      <c r="L806" s="712"/>
      <c r="M806" s="712"/>
      <c r="N806" s="712"/>
      <c r="O806" s="712"/>
      <c r="P806" s="712"/>
      <c r="Q806" s="712"/>
      <c r="R806" s="712"/>
      <c r="S806" s="712"/>
      <c r="T806" s="712"/>
      <c r="U806" s="712"/>
      <c r="V806" s="712"/>
      <c r="W806" s="712"/>
      <c r="X806" s="712"/>
      <c r="Y806" s="712"/>
      <c r="Z806" s="712"/>
      <c r="AA806" s="712"/>
      <c r="AB806" s="712"/>
      <c r="AC806" s="712"/>
      <c r="AD806" s="712"/>
      <c r="AE806" s="712"/>
      <c r="AF806" s="712"/>
      <c r="AG806" s="712"/>
      <c r="AH806" s="712"/>
      <c r="AI806" s="712"/>
      <c r="AJ806" s="712"/>
      <c r="AK806" s="712"/>
      <c r="AL806" s="712"/>
      <c r="AM806" s="712"/>
      <c r="AN806" s="712"/>
      <c r="AO806" s="712"/>
    </row>
    <row r="807">
      <c r="G807" s="712"/>
      <c r="H807" s="712"/>
      <c r="I807" s="712"/>
      <c r="J807" s="712"/>
      <c r="K807" s="712"/>
      <c r="L807" s="712"/>
      <c r="M807" s="712"/>
      <c r="N807" s="712"/>
      <c r="O807" s="712"/>
      <c r="P807" s="712"/>
      <c r="Q807" s="712"/>
      <c r="R807" s="712"/>
      <c r="S807" s="712"/>
      <c r="T807" s="712"/>
      <c r="U807" s="712"/>
      <c r="V807" s="712"/>
      <c r="W807" s="712"/>
      <c r="X807" s="712"/>
      <c r="Y807" s="712"/>
      <c r="Z807" s="712"/>
      <c r="AA807" s="712"/>
      <c r="AB807" s="712"/>
      <c r="AC807" s="712"/>
      <c r="AD807" s="712"/>
      <c r="AE807" s="712"/>
      <c r="AF807" s="712"/>
      <c r="AG807" s="712"/>
      <c r="AH807" s="712"/>
      <c r="AI807" s="712"/>
      <c r="AJ807" s="712"/>
      <c r="AK807" s="712"/>
      <c r="AL807" s="712"/>
      <c r="AM807" s="712"/>
      <c r="AN807" s="712"/>
      <c r="AO807" s="712"/>
    </row>
    <row r="808">
      <c r="G808" s="712"/>
      <c r="H808" s="712"/>
      <c r="I808" s="712"/>
      <c r="J808" s="712"/>
      <c r="K808" s="712"/>
      <c r="L808" s="712"/>
      <c r="M808" s="712"/>
      <c r="N808" s="712"/>
      <c r="O808" s="712"/>
      <c r="P808" s="712"/>
      <c r="Q808" s="712"/>
      <c r="R808" s="712"/>
      <c r="S808" s="712"/>
      <c r="T808" s="712"/>
      <c r="U808" s="712"/>
      <c r="V808" s="712"/>
      <c r="W808" s="712"/>
      <c r="X808" s="712"/>
      <c r="Y808" s="712"/>
      <c r="Z808" s="712"/>
      <c r="AA808" s="712"/>
      <c r="AB808" s="712"/>
      <c r="AC808" s="712"/>
      <c r="AD808" s="712"/>
      <c r="AE808" s="712"/>
      <c r="AF808" s="712"/>
      <c r="AG808" s="712"/>
      <c r="AH808" s="712"/>
      <c r="AI808" s="712"/>
      <c r="AJ808" s="712"/>
      <c r="AK808" s="712"/>
      <c r="AL808" s="712"/>
      <c r="AM808" s="712"/>
      <c r="AN808" s="712"/>
      <c r="AO808" s="712"/>
    </row>
    <row r="809">
      <c r="G809" s="712"/>
      <c r="H809" s="712"/>
      <c r="I809" s="712"/>
      <c r="J809" s="712"/>
      <c r="K809" s="712"/>
      <c r="L809" s="712"/>
      <c r="M809" s="712"/>
      <c r="N809" s="712"/>
      <c r="O809" s="712"/>
      <c r="P809" s="712"/>
      <c r="Q809" s="712"/>
      <c r="R809" s="712"/>
      <c r="S809" s="712"/>
      <c r="T809" s="712"/>
      <c r="U809" s="712"/>
      <c r="V809" s="712"/>
      <c r="W809" s="712"/>
      <c r="X809" s="712"/>
      <c r="Y809" s="712"/>
      <c r="Z809" s="712"/>
      <c r="AA809" s="712"/>
      <c r="AB809" s="712"/>
      <c r="AC809" s="712"/>
      <c r="AD809" s="712"/>
      <c r="AE809" s="712"/>
      <c r="AF809" s="712"/>
      <c r="AG809" s="712"/>
      <c r="AH809" s="712"/>
      <c r="AI809" s="712"/>
      <c r="AJ809" s="712"/>
      <c r="AK809" s="712"/>
      <c r="AL809" s="712"/>
      <c r="AM809" s="712"/>
      <c r="AN809" s="712"/>
      <c r="AO809" s="712"/>
    </row>
    <row r="810">
      <c r="G810" s="712"/>
      <c r="H810" s="712"/>
      <c r="I810" s="712"/>
      <c r="J810" s="712"/>
      <c r="K810" s="712"/>
      <c r="L810" s="712"/>
      <c r="M810" s="712"/>
      <c r="N810" s="712"/>
      <c r="O810" s="712"/>
      <c r="P810" s="712"/>
      <c r="Q810" s="712"/>
      <c r="R810" s="712"/>
      <c r="S810" s="712"/>
      <c r="T810" s="712"/>
      <c r="U810" s="712"/>
      <c r="V810" s="712"/>
      <c r="W810" s="712"/>
      <c r="X810" s="712"/>
      <c r="Y810" s="712"/>
      <c r="Z810" s="712"/>
      <c r="AA810" s="712"/>
      <c r="AB810" s="712"/>
      <c r="AC810" s="712"/>
      <c r="AD810" s="712"/>
      <c r="AE810" s="712"/>
      <c r="AF810" s="712"/>
      <c r="AG810" s="712"/>
      <c r="AH810" s="712"/>
      <c r="AI810" s="712"/>
      <c r="AJ810" s="712"/>
      <c r="AK810" s="712"/>
      <c r="AL810" s="712"/>
      <c r="AM810" s="712"/>
      <c r="AN810" s="712"/>
      <c r="AO810" s="712"/>
    </row>
    <row r="811">
      <c r="G811" s="712"/>
      <c r="H811" s="712"/>
      <c r="I811" s="712"/>
      <c r="J811" s="712"/>
      <c r="K811" s="712"/>
      <c r="L811" s="712"/>
      <c r="M811" s="712"/>
      <c r="N811" s="712"/>
      <c r="O811" s="712"/>
      <c r="P811" s="712"/>
      <c r="Q811" s="712"/>
      <c r="R811" s="712"/>
      <c r="S811" s="712"/>
      <c r="T811" s="712"/>
      <c r="U811" s="712"/>
      <c r="V811" s="712"/>
      <c r="W811" s="712"/>
      <c r="X811" s="712"/>
      <c r="Y811" s="712"/>
      <c r="Z811" s="712"/>
      <c r="AA811" s="712"/>
      <c r="AB811" s="712"/>
      <c r="AC811" s="712"/>
      <c r="AD811" s="712"/>
      <c r="AE811" s="712"/>
      <c r="AF811" s="712"/>
      <c r="AG811" s="712"/>
      <c r="AH811" s="712"/>
      <c r="AI811" s="712"/>
      <c r="AJ811" s="712"/>
      <c r="AK811" s="712"/>
      <c r="AL811" s="712"/>
      <c r="AM811" s="712"/>
      <c r="AN811" s="712"/>
      <c r="AO811" s="712"/>
    </row>
    <row r="812">
      <c r="G812" s="712"/>
      <c r="H812" s="712"/>
      <c r="I812" s="712"/>
      <c r="J812" s="712"/>
      <c r="K812" s="712"/>
      <c r="L812" s="712"/>
      <c r="M812" s="712"/>
      <c r="N812" s="712"/>
      <c r="O812" s="712"/>
      <c r="P812" s="712"/>
      <c r="Q812" s="712"/>
      <c r="R812" s="712"/>
      <c r="S812" s="712"/>
      <c r="T812" s="712"/>
      <c r="U812" s="712"/>
      <c r="V812" s="712"/>
      <c r="W812" s="712"/>
      <c r="X812" s="712"/>
      <c r="Y812" s="712"/>
      <c r="Z812" s="712"/>
      <c r="AA812" s="712"/>
      <c r="AB812" s="712"/>
      <c r="AC812" s="712"/>
      <c r="AD812" s="712"/>
      <c r="AE812" s="712"/>
      <c r="AF812" s="712"/>
      <c r="AG812" s="712"/>
      <c r="AH812" s="712"/>
      <c r="AI812" s="712"/>
      <c r="AJ812" s="712"/>
      <c r="AK812" s="712"/>
      <c r="AL812" s="712"/>
      <c r="AM812" s="712"/>
      <c r="AN812" s="712"/>
      <c r="AO812" s="712"/>
    </row>
    <row r="813">
      <c r="G813" s="712"/>
      <c r="H813" s="712"/>
      <c r="I813" s="712"/>
      <c r="J813" s="712"/>
      <c r="K813" s="712"/>
      <c r="L813" s="712"/>
      <c r="M813" s="712"/>
      <c r="N813" s="712"/>
      <c r="O813" s="712"/>
      <c r="P813" s="712"/>
      <c r="Q813" s="712"/>
      <c r="R813" s="712"/>
      <c r="S813" s="712"/>
      <c r="T813" s="712"/>
      <c r="U813" s="712"/>
      <c r="V813" s="712"/>
      <c r="W813" s="712"/>
      <c r="X813" s="712"/>
      <c r="Y813" s="712"/>
      <c r="Z813" s="712"/>
      <c r="AA813" s="712"/>
      <c r="AB813" s="712"/>
      <c r="AC813" s="712"/>
      <c r="AD813" s="712"/>
      <c r="AE813" s="712"/>
      <c r="AF813" s="712"/>
      <c r="AG813" s="712"/>
      <c r="AH813" s="712"/>
      <c r="AI813" s="712"/>
      <c r="AJ813" s="712"/>
      <c r="AK813" s="712"/>
      <c r="AL813" s="712"/>
      <c r="AM813" s="712"/>
      <c r="AN813" s="712"/>
      <c r="AO813" s="712"/>
    </row>
    <row r="814">
      <c r="G814" s="712"/>
      <c r="H814" s="712"/>
      <c r="I814" s="712"/>
      <c r="J814" s="712"/>
      <c r="K814" s="712"/>
      <c r="L814" s="712"/>
      <c r="M814" s="712"/>
      <c r="N814" s="712"/>
      <c r="O814" s="712"/>
      <c r="P814" s="712"/>
      <c r="Q814" s="712"/>
      <c r="R814" s="712"/>
      <c r="S814" s="712"/>
      <c r="T814" s="712"/>
      <c r="U814" s="712"/>
      <c r="V814" s="712"/>
      <c r="W814" s="712"/>
      <c r="X814" s="712"/>
      <c r="Y814" s="712"/>
      <c r="Z814" s="712"/>
      <c r="AA814" s="712"/>
      <c r="AB814" s="712"/>
      <c r="AC814" s="712"/>
      <c r="AD814" s="712"/>
      <c r="AE814" s="712"/>
      <c r="AF814" s="712"/>
      <c r="AG814" s="712"/>
      <c r="AH814" s="712"/>
      <c r="AI814" s="712"/>
      <c r="AJ814" s="712"/>
      <c r="AK814" s="712"/>
      <c r="AL814" s="712"/>
      <c r="AM814" s="712"/>
      <c r="AN814" s="712"/>
      <c r="AO814" s="712"/>
    </row>
    <row r="815">
      <c r="G815" s="712"/>
      <c r="H815" s="712"/>
      <c r="I815" s="712"/>
      <c r="J815" s="712"/>
      <c r="K815" s="712"/>
      <c r="L815" s="712"/>
      <c r="M815" s="712"/>
      <c r="N815" s="712"/>
      <c r="O815" s="712"/>
      <c r="P815" s="712"/>
      <c r="Q815" s="712"/>
      <c r="R815" s="712"/>
      <c r="S815" s="712"/>
      <c r="T815" s="712"/>
      <c r="U815" s="712"/>
      <c r="V815" s="712"/>
      <c r="W815" s="712"/>
      <c r="X815" s="712"/>
      <c r="Y815" s="712"/>
      <c r="Z815" s="712"/>
      <c r="AA815" s="712"/>
      <c r="AB815" s="712"/>
      <c r="AC815" s="712"/>
      <c r="AD815" s="712"/>
      <c r="AE815" s="712"/>
      <c r="AF815" s="712"/>
      <c r="AG815" s="712"/>
      <c r="AH815" s="712"/>
      <c r="AI815" s="712"/>
      <c r="AJ815" s="712"/>
      <c r="AK815" s="712"/>
      <c r="AL815" s="712"/>
      <c r="AM815" s="712"/>
      <c r="AN815" s="712"/>
      <c r="AO815" s="712"/>
    </row>
    <row r="816">
      <c r="G816" s="712"/>
      <c r="H816" s="712"/>
      <c r="I816" s="712"/>
      <c r="J816" s="712"/>
      <c r="K816" s="712"/>
      <c r="L816" s="712"/>
      <c r="M816" s="712"/>
      <c r="N816" s="712"/>
      <c r="O816" s="712"/>
      <c r="P816" s="712"/>
      <c r="Q816" s="712"/>
      <c r="R816" s="712"/>
      <c r="S816" s="712"/>
      <c r="T816" s="712"/>
      <c r="U816" s="712"/>
      <c r="V816" s="712"/>
      <c r="W816" s="712"/>
      <c r="X816" s="712"/>
      <c r="Y816" s="712"/>
      <c r="Z816" s="712"/>
      <c r="AA816" s="712"/>
      <c r="AB816" s="712"/>
      <c r="AC816" s="712"/>
      <c r="AD816" s="712"/>
      <c r="AE816" s="712"/>
      <c r="AF816" s="712"/>
      <c r="AG816" s="712"/>
      <c r="AH816" s="712"/>
      <c r="AI816" s="712"/>
      <c r="AJ816" s="712"/>
      <c r="AK816" s="712"/>
      <c r="AL816" s="712"/>
      <c r="AM816" s="712"/>
      <c r="AN816" s="712"/>
      <c r="AO816" s="712"/>
    </row>
    <row r="817">
      <c r="G817" s="712"/>
      <c r="H817" s="712"/>
      <c r="I817" s="712"/>
      <c r="J817" s="712"/>
      <c r="K817" s="712"/>
      <c r="L817" s="712"/>
      <c r="M817" s="712"/>
      <c r="N817" s="712"/>
      <c r="O817" s="712"/>
      <c r="P817" s="712"/>
      <c r="Q817" s="712"/>
      <c r="R817" s="712"/>
      <c r="S817" s="712"/>
      <c r="T817" s="712"/>
      <c r="U817" s="712"/>
      <c r="V817" s="712"/>
      <c r="W817" s="712"/>
      <c r="X817" s="712"/>
      <c r="Y817" s="712"/>
      <c r="Z817" s="712"/>
      <c r="AA817" s="712"/>
      <c r="AB817" s="712"/>
      <c r="AC817" s="712"/>
      <c r="AD817" s="712"/>
      <c r="AE817" s="712"/>
      <c r="AF817" s="712"/>
      <c r="AG817" s="712"/>
      <c r="AH817" s="712"/>
      <c r="AI817" s="712"/>
      <c r="AJ817" s="712"/>
      <c r="AK817" s="712"/>
      <c r="AL817" s="712"/>
      <c r="AM817" s="712"/>
      <c r="AN817" s="712"/>
      <c r="AO817" s="712"/>
    </row>
    <row r="818">
      <c r="G818" s="712"/>
      <c r="H818" s="712"/>
      <c r="I818" s="712"/>
      <c r="J818" s="712"/>
      <c r="K818" s="712"/>
      <c r="L818" s="712"/>
      <c r="M818" s="712"/>
      <c r="N818" s="712"/>
      <c r="O818" s="712"/>
      <c r="P818" s="712"/>
      <c r="Q818" s="712"/>
      <c r="R818" s="712"/>
      <c r="S818" s="712"/>
      <c r="T818" s="712"/>
      <c r="U818" s="712"/>
      <c r="V818" s="712"/>
      <c r="W818" s="712"/>
      <c r="X818" s="712"/>
      <c r="Y818" s="712"/>
      <c r="Z818" s="712"/>
      <c r="AA818" s="712"/>
      <c r="AB818" s="712"/>
      <c r="AC818" s="712"/>
      <c r="AD818" s="712"/>
      <c r="AE818" s="712"/>
      <c r="AF818" s="712"/>
      <c r="AG818" s="712"/>
      <c r="AH818" s="712"/>
      <c r="AI818" s="712"/>
      <c r="AJ818" s="712"/>
      <c r="AK818" s="712"/>
      <c r="AL818" s="712"/>
      <c r="AM818" s="712"/>
      <c r="AN818" s="712"/>
      <c r="AO818" s="712"/>
    </row>
    <row r="819">
      <c r="G819" s="712"/>
      <c r="H819" s="712"/>
      <c r="I819" s="712"/>
      <c r="J819" s="712"/>
      <c r="K819" s="712"/>
      <c r="L819" s="712"/>
      <c r="M819" s="712"/>
      <c r="N819" s="712"/>
      <c r="O819" s="712"/>
      <c r="P819" s="712"/>
      <c r="Q819" s="712"/>
      <c r="R819" s="712"/>
      <c r="S819" s="712"/>
      <c r="T819" s="712"/>
      <c r="U819" s="712"/>
      <c r="V819" s="712"/>
      <c r="W819" s="712"/>
      <c r="X819" s="712"/>
      <c r="Y819" s="712"/>
      <c r="Z819" s="712"/>
      <c r="AA819" s="712"/>
      <c r="AB819" s="712"/>
      <c r="AC819" s="712"/>
      <c r="AD819" s="712"/>
      <c r="AE819" s="712"/>
      <c r="AF819" s="712"/>
      <c r="AG819" s="712"/>
      <c r="AH819" s="712"/>
      <c r="AI819" s="712"/>
      <c r="AJ819" s="712"/>
      <c r="AK819" s="712"/>
      <c r="AL819" s="712"/>
      <c r="AM819" s="712"/>
      <c r="AN819" s="712"/>
      <c r="AO819" s="712"/>
    </row>
    <row r="820">
      <c r="G820" s="712"/>
      <c r="H820" s="712"/>
      <c r="I820" s="712"/>
      <c r="J820" s="712"/>
      <c r="K820" s="712"/>
      <c r="L820" s="712"/>
      <c r="M820" s="712"/>
      <c r="N820" s="712"/>
      <c r="O820" s="712"/>
      <c r="P820" s="712"/>
      <c r="Q820" s="712"/>
      <c r="R820" s="712"/>
      <c r="S820" s="712"/>
      <c r="T820" s="712"/>
      <c r="U820" s="712"/>
      <c r="V820" s="712"/>
      <c r="W820" s="712"/>
      <c r="X820" s="712"/>
      <c r="Y820" s="712"/>
      <c r="Z820" s="712"/>
      <c r="AA820" s="712"/>
      <c r="AB820" s="712"/>
      <c r="AC820" s="712"/>
      <c r="AD820" s="712"/>
      <c r="AE820" s="712"/>
      <c r="AF820" s="712"/>
      <c r="AG820" s="712"/>
      <c r="AH820" s="712"/>
      <c r="AI820" s="712"/>
      <c r="AJ820" s="712"/>
      <c r="AK820" s="712"/>
      <c r="AL820" s="712"/>
      <c r="AM820" s="712"/>
      <c r="AN820" s="712"/>
      <c r="AO820" s="712"/>
    </row>
    <row r="821">
      <c r="G821" s="712"/>
      <c r="H821" s="712"/>
      <c r="I821" s="712"/>
      <c r="J821" s="712"/>
      <c r="K821" s="712"/>
      <c r="L821" s="712"/>
      <c r="M821" s="712"/>
      <c r="N821" s="712"/>
      <c r="O821" s="712"/>
      <c r="P821" s="712"/>
      <c r="Q821" s="712"/>
      <c r="R821" s="712"/>
      <c r="S821" s="712"/>
      <c r="T821" s="712"/>
      <c r="U821" s="712"/>
      <c r="V821" s="712"/>
      <c r="W821" s="712"/>
      <c r="X821" s="712"/>
      <c r="Y821" s="712"/>
      <c r="Z821" s="712"/>
      <c r="AA821" s="712"/>
      <c r="AB821" s="712"/>
      <c r="AC821" s="712"/>
      <c r="AD821" s="712"/>
      <c r="AE821" s="712"/>
      <c r="AF821" s="712"/>
      <c r="AG821" s="712"/>
      <c r="AH821" s="712"/>
      <c r="AI821" s="712"/>
      <c r="AJ821" s="712"/>
      <c r="AK821" s="712"/>
      <c r="AL821" s="712"/>
      <c r="AM821" s="712"/>
      <c r="AN821" s="712"/>
      <c r="AO821" s="712"/>
    </row>
    <row r="822">
      <c r="G822" s="712"/>
      <c r="H822" s="712"/>
      <c r="I822" s="712"/>
      <c r="J822" s="712"/>
      <c r="K822" s="712"/>
      <c r="L822" s="712"/>
      <c r="M822" s="712"/>
      <c r="N822" s="712"/>
      <c r="O822" s="712"/>
      <c r="P822" s="712"/>
      <c r="Q822" s="712"/>
      <c r="R822" s="712"/>
      <c r="S822" s="712"/>
      <c r="T822" s="712"/>
      <c r="U822" s="712"/>
      <c r="V822" s="712"/>
      <c r="W822" s="712"/>
      <c r="X822" s="712"/>
      <c r="Y822" s="712"/>
      <c r="Z822" s="712"/>
      <c r="AA822" s="712"/>
      <c r="AB822" s="712"/>
      <c r="AC822" s="712"/>
      <c r="AD822" s="712"/>
      <c r="AE822" s="712"/>
      <c r="AF822" s="712"/>
      <c r="AG822" s="712"/>
      <c r="AH822" s="712"/>
      <c r="AI822" s="712"/>
      <c r="AJ822" s="712"/>
      <c r="AK822" s="712"/>
      <c r="AL822" s="712"/>
      <c r="AM822" s="712"/>
      <c r="AN822" s="712"/>
      <c r="AO822" s="712"/>
    </row>
    <row r="823">
      <c r="G823" s="712"/>
      <c r="H823" s="712"/>
      <c r="I823" s="712"/>
      <c r="J823" s="712"/>
      <c r="K823" s="712"/>
      <c r="L823" s="712"/>
      <c r="M823" s="712"/>
      <c r="N823" s="712"/>
      <c r="O823" s="712"/>
      <c r="P823" s="712"/>
      <c r="Q823" s="712"/>
      <c r="R823" s="712"/>
      <c r="S823" s="712"/>
      <c r="T823" s="712"/>
      <c r="U823" s="712"/>
      <c r="V823" s="712"/>
      <c r="W823" s="712"/>
      <c r="X823" s="712"/>
      <c r="Y823" s="712"/>
      <c r="Z823" s="712"/>
      <c r="AA823" s="712"/>
      <c r="AB823" s="712"/>
      <c r="AC823" s="712"/>
      <c r="AD823" s="712"/>
      <c r="AE823" s="712"/>
      <c r="AF823" s="712"/>
      <c r="AG823" s="712"/>
      <c r="AH823" s="712"/>
      <c r="AI823" s="712"/>
      <c r="AJ823" s="712"/>
      <c r="AK823" s="712"/>
      <c r="AL823" s="712"/>
      <c r="AM823" s="712"/>
      <c r="AN823" s="712"/>
      <c r="AO823" s="712"/>
    </row>
    <row r="824">
      <c r="G824" s="712"/>
      <c r="H824" s="712"/>
      <c r="I824" s="712"/>
      <c r="J824" s="712"/>
      <c r="K824" s="712"/>
      <c r="L824" s="712"/>
      <c r="M824" s="712"/>
      <c r="N824" s="712"/>
      <c r="O824" s="712"/>
      <c r="P824" s="712"/>
      <c r="Q824" s="712"/>
      <c r="R824" s="712"/>
      <c r="S824" s="712"/>
      <c r="T824" s="712"/>
      <c r="U824" s="712"/>
      <c r="V824" s="712"/>
      <c r="W824" s="712"/>
      <c r="X824" s="712"/>
      <c r="Y824" s="712"/>
      <c r="Z824" s="712"/>
      <c r="AA824" s="712"/>
      <c r="AB824" s="712"/>
      <c r="AC824" s="712"/>
      <c r="AD824" s="712"/>
      <c r="AE824" s="712"/>
      <c r="AF824" s="712"/>
      <c r="AG824" s="712"/>
      <c r="AH824" s="712"/>
      <c r="AI824" s="712"/>
      <c r="AJ824" s="712"/>
      <c r="AK824" s="712"/>
      <c r="AL824" s="712"/>
      <c r="AM824" s="712"/>
      <c r="AN824" s="712"/>
      <c r="AO824" s="712"/>
    </row>
    <row r="825">
      <c r="G825" s="712"/>
      <c r="H825" s="712"/>
      <c r="I825" s="712"/>
      <c r="J825" s="712"/>
      <c r="K825" s="712"/>
      <c r="L825" s="712"/>
      <c r="M825" s="712"/>
      <c r="N825" s="712"/>
      <c r="O825" s="712"/>
      <c r="P825" s="712"/>
      <c r="Q825" s="712"/>
      <c r="R825" s="712"/>
      <c r="S825" s="712"/>
      <c r="T825" s="712"/>
      <c r="U825" s="712"/>
      <c r="V825" s="712"/>
      <c r="W825" s="712"/>
      <c r="X825" s="712"/>
      <c r="Y825" s="712"/>
      <c r="Z825" s="712"/>
      <c r="AA825" s="712"/>
      <c r="AB825" s="712"/>
      <c r="AC825" s="712"/>
      <c r="AD825" s="712"/>
      <c r="AE825" s="712"/>
      <c r="AF825" s="712"/>
      <c r="AG825" s="712"/>
      <c r="AH825" s="712"/>
      <c r="AI825" s="712"/>
      <c r="AJ825" s="712"/>
      <c r="AK825" s="712"/>
      <c r="AL825" s="712"/>
      <c r="AM825" s="712"/>
      <c r="AN825" s="712"/>
      <c r="AO825" s="712"/>
    </row>
    <row r="826">
      <c r="G826" s="712"/>
      <c r="H826" s="712"/>
      <c r="I826" s="712"/>
      <c r="J826" s="712"/>
      <c r="K826" s="712"/>
      <c r="L826" s="712"/>
      <c r="M826" s="712"/>
      <c r="N826" s="712"/>
      <c r="O826" s="712"/>
      <c r="P826" s="712"/>
      <c r="Q826" s="712"/>
      <c r="R826" s="712"/>
      <c r="S826" s="712"/>
      <c r="T826" s="712"/>
      <c r="U826" s="712"/>
      <c r="V826" s="712"/>
      <c r="W826" s="712"/>
      <c r="X826" s="712"/>
      <c r="Y826" s="712"/>
      <c r="Z826" s="712"/>
      <c r="AA826" s="712"/>
      <c r="AB826" s="712"/>
      <c r="AC826" s="712"/>
      <c r="AD826" s="712"/>
      <c r="AE826" s="712"/>
      <c r="AF826" s="712"/>
      <c r="AG826" s="712"/>
      <c r="AH826" s="712"/>
      <c r="AI826" s="712"/>
      <c r="AJ826" s="712"/>
      <c r="AK826" s="712"/>
      <c r="AL826" s="712"/>
      <c r="AM826" s="712"/>
      <c r="AN826" s="712"/>
      <c r="AO826" s="712"/>
    </row>
    <row r="827">
      <c r="G827" s="712"/>
      <c r="H827" s="712"/>
      <c r="I827" s="712"/>
      <c r="J827" s="712"/>
      <c r="K827" s="712"/>
      <c r="L827" s="712"/>
      <c r="M827" s="712"/>
      <c r="N827" s="712"/>
      <c r="O827" s="712"/>
      <c r="P827" s="712"/>
      <c r="Q827" s="712"/>
      <c r="R827" s="712"/>
      <c r="S827" s="712"/>
      <c r="T827" s="712"/>
      <c r="U827" s="712"/>
      <c r="V827" s="712"/>
      <c r="W827" s="712"/>
      <c r="X827" s="712"/>
      <c r="Y827" s="712"/>
      <c r="Z827" s="712"/>
      <c r="AA827" s="712"/>
      <c r="AB827" s="712"/>
      <c r="AC827" s="712"/>
      <c r="AD827" s="712"/>
      <c r="AE827" s="712"/>
      <c r="AF827" s="712"/>
      <c r="AG827" s="712"/>
      <c r="AH827" s="712"/>
      <c r="AI827" s="712"/>
      <c r="AJ827" s="712"/>
      <c r="AK827" s="712"/>
      <c r="AL827" s="712"/>
      <c r="AM827" s="712"/>
      <c r="AN827" s="712"/>
      <c r="AO827" s="712"/>
    </row>
    <row r="828">
      <c r="G828" s="712"/>
      <c r="H828" s="712"/>
      <c r="I828" s="712"/>
      <c r="J828" s="712"/>
      <c r="K828" s="712"/>
      <c r="L828" s="712"/>
      <c r="M828" s="712"/>
      <c r="N828" s="712"/>
      <c r="O828" s="712"/>
      <c r="P828" s="712"/>
      <c r="Q828" s="712"/>
      <c r="R828" s="712"/>
      <c r="S828" s="712"/>
      <c r="T828" s="712"/>
      <c r="U828" s="712"/>
      <c r="V828" s="712"/>
      <c r="W828" s="712"/>
      <c r="X828" s="712"/>
      <c r="Y828" s="712"/>
      <c r="Z828" s="712"/>
      <c r="AA828" s="712"/>
      <c r="AB828" s="712"/>
      <c r="AC828" s="712"/>
      <c r="AD828" s="712"/>
      <c r="AE828" s="712"/>
      <c r="AF828" s="712"/>
      <c r="AG828" s="712"/>
      <c r="AH828" s="712"/>
      <c r="AI828" s="712"/>
      <c r="AJ828" s="712"/>
      <c r="AK828" s="712"/>
      <c r="AL828" s="712"/>
      <c r="AM828" s="712"/>
      <c r="AN828" s="712"/>
      <c r="AO828" s="712"/>
    </row>
    <row r="829">
      <c r="G829" s="712"/>
      <c r="H829" s="712"/>
      <c r="I829" s="712"/>
      <c r="J829" s="712"/>
      <c r="K829" s="712"/>
      <c r="L829" s="712"/>
      <c r="M829" s="712"/>
      <c r="N829" s="712"/>
      <c r="O829" s="712"/>
      <c r="P829" s="712"/>
      <c r="Q829" s="712"/>
      <c r="R829" s="712"/>
      <c r="S829" s="712"/>
      <c r="T829" s="712"/>
      <c r="U829" s="712"/>
      <c r="V829" s="712"/>
      <c r="W829" s="712"/>
      <c r="X829" s="712"/>
      <c r="Y829" s="712"/>
      <c r="Z829" s="712"/>
      <c r="AA829" s="712"/>
      <c r="AB829" s="712"/>
      <c r="AC829" s="712"/>
      <c r="AD829" s="712"/>
      <c r="AE829" s="712"/>
      <c r="AF829" s="712"/>
      <c r="AG829" s="712"/>
      <c r="AH829" s="712"/>
      <c r="AI829" s="712"/>
      <c r="AJ829" s="712"/>
      <c r="AK829" s="712"/>
      <c r="AL829" s="712"/>
      <c r="AM829" s="712"/>
      <c r="AN829" s="712"/>
      <c r="AO829" s="712"/>
    </row>
    <row r="830">
      <c r="G830" s="712"/>
      <c r="H830" s="712"/>
      <c r="I830" s="712"/>
      <c r="J830" s="712"/>
      <c r="K830" s="712"/>
      <c r="L830" s="712"/>
      <c r="M830" s="712"/>
      <c r="N830" s="712"/>
      <c r="O830" s="712"/>
      <c r="P830" s="712"/>
      <c r="Q830" s="712"/>
      <c r="R830" s="712"/>
      <c r="S830" s="712"/>
      <c r="T830" s="712"/>
      <c r="U830" s="712"/>
      <c r="V830" s="712"/>
      <c r="W830" s="712"/>
      <c r="X830" s="712"/>
      <c r="Y830" s="712"/>
      <c r="Z830" s="712"/>
      <c r="AA830" s="712"/>
      <c r="AB830" s="712"/>
      <c r="AC830" s="712"/>
      <c r="AD830" s="712"/>
      <c r="AE830" s="712"/>
      <c r="AF830" s="712"/>
      <c r="AG830" s="712"/>
      <c r="AH830" s="712"/>
      <c r="AI830" s="712"/>
      <c r="AJ830" s="712"/>
      <c r="AK830" s="712"/>
      <c r="AL830" s="712"/>
      <c r="AM830" s="712"/>
      <c r="AN830" s="712"/>
      <c r="AO830" s="712"/>
    </row>
    <row r="831">
      <c r="G831" s="712"/>
      <c r="H831" s="712"/>
      <c r="I831" s="712"/>
      <c r="J831" s="712"/>
      <c r="K831" s="712"/>
      <c r="L831" s="712"/>
      <c r="M831" s="712"/>
      <c r="N831" s="712"/>
      <c r="O831" s="712"/>
      <c r="P831" s="712"/>
      <c r="Q831" s="712"/>
      <c r="R831" s="712"/>
      <c r="S831" s="712"/>
      <c r="T831" s="712"/>
      <c r="U831" s="712"/>
      <c r="V831" s="712"/>
      <c r="W831" s="712"/>
      <c r="X831" s="712"/>
      <c r="Y831" s="712"/>
      <c r="Z831" s="712"/>
      <c r="AA831" s="712"/>
      <c r="AB831" s="712"/>
      <c r="AC831" s="712"/>
      <c r="AD831" s="712"/>
      <c r="AE831" s="712"/>
      <c r="AF831" s="712"/>
      <c r="AG831" s="712"/>
      <c r="AH831" s="712"/>
      <c r="AI831" s="712"/>
      <c r="AJ831" s="712"/>
      <c r="AK831" s="712"/>
      <c r="AL831" s="712"/>
      <c r="AM831" s="712"/>
      <c r="AN831" s="712"/>
      <c r="AO831" s="712"/>
    </row>
    <row r="832">
      <c r="G832" s="712"/>
      <c r="H832" s="712"/>
      <c r="I832" s="712"/>
      <c r="J832" s="712"/>
      <c r="K832" s="712"/>
      <c r="L832" s="712"/>
      <c r="M832" s="712"/>
      <c r="N832" s="712"/>
      <c r="O832" s="712"/>
      <c r="P832" s="712"/>
      <c r="Q832" s="712"/>
      <c r="R832" s="712"/>
      <c r="S832" s="712"/>
      <c r="T832" s="712"/>
      <c r="U832" s="712"/>
      <c r="V832" s="712"/>
      <c r="W832" s="712"/>
      <c r="X832" s="712"/>
      <c r="Y832" s="712"/>
      <c r="Z832" s="712"/>
      <c r="AA832" s="712"/>
      <c r="AB832" s="712"/>
      <c r="AC832" s="712"/>
      <c r="AD832" s="712"/>
      <c r="AE832" s="712"/>
      <c r="AF832" s="712"/>
      <c r="AG832" s="712"/>
      <c r="AH832" s="712"/>
      <c r="AI832" s="712"/>
      <c r="AJ832" s="712"/>
      <c r="AK832" s="712"/>
      <c r="AL832" s="712"/>
      <c r="AM832" s="712"/>
      <c r="AN832" s="712"/>
      <c r="AO832" s="712"/>
    </row>
    <row r="833">
      <c r="G833" s="712"/>
      <c r="H833" s="712"/>
      <c r="I833" s="712"/>
      <c r="J833" s="712"/>
      <c r="K833" s="712"/>
      <c r="L833" s="712"/>
      <c r="M833" s="712"/>
      <c r="N833" s="712"/>
      <c r="O833" s="712"/>
      <c r="P833" s="712"/>
      <c r="Q833" s="712"/>
      <c r="R833" s="712"/>
      <c r="S833" s="712"/>
      <c r="T833" s="712"/>
      <c r="U833" s="712"/>
      <c r="V833" s="712"/>
      <c r="W833" s="712"/>
      <c r="X833" s="712"/>
      <c r="Y833" s="712"/>
      <c r="Z833" s="712"/>
      <c r="AA833" s="712"/>
      <c r="AB833" s="712"/>
      <c r="AC833" s="712"/>
      <c r="AD833" s="712"/>
      <c r="AE833" s="712"/>
      <c r="AF833" s="712"/>
      <c r="AG833" s="712"/>
      <c r="AH833" s="712"/>
      <c r="AI833" s="712"/>
      <c r="AJ833" s="712"/>
      <c r="AK833" s="712"/>
      <c r="AL833" s="712"/>
      <c r="AM833" s="712"/>
      <c r="AN833" s="712"/>
      <c r="AO833" s="712"/>
    </row>
    <row r="834">
      <c r="G834" s="712"/>
      <c r="H834" s="712"/>
      <c r="I834" s="712"/>
      <c r="J834" s="712"/>
      <c r="K834" s="712"/>
      <c r="L834" s="712"/>
      <c r="M834" s="712"/>
      <c r="N834" s="712"/>
      <c r="O834" s="712"/>
      <c r="P834" s="712"/>
      <c r="Q834" s="712"/>
      <c r="R834" s="712"/>
      <c r="S834" s="712"/>
      <c r="T834" s="712"/>
      <c r="U834" s="712"/>
      <c r="V834" s="712"/>
      <c r="W834" s="712"/>
      <c r="X834" s="712"/>
      <c r="Y834" s="712"/>
      <c r="Z834" s="712"/>
      <c r="AA834" s="712"/>
      <c r="AB834" s="712"/>
      <c r="AC834" s="712"/>
      <c r="AD834" s="712"/>
      <c r="AE834" s="712"/>
      <c r="AF834" s="712"/>
      <c r="AG834" s="712"/>
      <c r="AH834" s="712"/>
      <c r="AI834" s="712"/>
      <c r="AJ834" s="712"/>
      <c r="AK834" s="712"/>
      <c r="AL834" s="712"/>
      <c r="AM834" s="712"/>
      <c r="AN834" s="712"/>
      <c r="AO834" s="712"/>
    </row>
    <row r="835">
      <c r="G835" s="712"/>
      <c r="H835" s="712"/>
      <c r="I835" s="712"/>
      <c r="J835" s="712"/>
      <c r="K835" s="712"/>
      <c r="L835" s="712"/>
      <c r="M835" s="712"/>
      <c r="N835" s="712"/>
      <c r="O835" s="712"/>
      <c r="P835" s="712"/>
      <c r="Q835" s="712"/>
      <c r="R835" s="712"/>
      <c r="S835" s="712"/>
      <c r="T835" s="712"/>
      <c r="U835" s="712"/>
      <c r="V835" s="712"/>
      <c r="W835" s="712"/>
      <c r="X835" s="712"/>
      <c r="Y835" s="712"/>
      <c r="Z835" s="712"/>
      <c r="AA835" s="712"/>
      <c r="AB835" s="712"/>
      <c r="AC835" s="712"/>
      <c r="AD835" s="712"/>
      <c r="AE835" s="712"/>
      <c r="AF835" s="712"/>
      <c r="AG835" s="712"/>
      <c r="AH835" s="712"/>
      <c r="AI835" s="712"/>
      <c r="AJ835" s="712"/>
      <c r="AK835" s="712"/>
      <c r="AL835" s="712"/>
      <c r="AM835" s="712"/>
      <c r="AN835" s="712"/>
      <c r="AO835" s="712"/>
    </row>
    <row r="836">
      <c r="G836" s="712"/>
      <c r="H836" s="712"/>
      <c r="I836" s="712"/>
      <c r="J836" s="712"/>
      <c r="K836" s="712"/>
      <c r="L836" s="712"/>
      <c r="M836" s="712"/>
      <c r="N836" s="712"/>
      <c r="O836" s="712"/>
      <c r="P836" s="712"/>
      <c r="Q836" s="712"/>
      <c r="R836" s="712"/>
      <c r="S836" s="712"/>
      <c r="T836" s="712"/>
      <c r="U836" s="712"/>
      <c r="V836" s="712"/>
      <c r="W836" s="712"/>
      <c r="X836" s="712"/>
      <c r="Y836" s="712"/>
      <c r="Z836" s="712"/>
      <c r="AA836" s="712"/>
      <c r="AB836" s="712"/>
      <c r="AC836" s="712"/>
      <c r="AD836" s="712"/>
      <c r="AE836" s="712"/>
      <c r="AF836" s="712"/>
      <c r="AG836" s="712"/>
      <c r="AH836" s="712"/>
      <c r="AI836" s="712"/>
      <c r="AJ836" s="712"/>
      <c r="AK836" s="712"/>
      <c r="AL836" s="712"/>
      <c r="AM836" s="712"/>
      <c r="AN836" s="712"/>
      <c r="AO836" s="712"/>
    </row>
    <row r="837">
      <c r="G837" s="712"/>
      <c r="H837" s="712"/>
      <c r="I837" s="712"/>
      <c r="J837" s="712"/>
      <c r="K837" s="712"/>
      <c r="L837" s="712"/>
      <c r="M837" s="712"/>
      <c r="N837" s="712"/>
      <c r="O837" s="712"/>
      <c r="P837" s="712"/>
      <c r="Q837" s="712"/>
      <c r="R837" s="712"/>
      <c r="S837" s="712"/>
      <c r="T837" s="712"/>
      <c r="U837" s="712"/>
      <c r="V837" s="712"/>
      <c r="W837" s="712"/>
      <c r="X837" s="712"/>
      <c r="Y837" s="712"/>
      <c r="Z837" s="712"/>
      <c r="AA837" s="712"/>
      <c r="AB837" s="712"/>
      <c r="AC837" s="712"/>
      <c r="AD837" s="712"/>
      <c r="AE837" s="712"/>
      <c r="AF837" s="712"/>
      <c r="AG837" s="712"/>
      <c r="AH837" s="712"/>
      <c r="AI837" s="712"/>
      <c r="AJ837" s="712"/>
      <c r="AK837" s="712"/>
      <c r="AL837" s="712"/>
      <c r="AM837" s="712"/>
      <c r="AN837" s="712"/>
      <c r="AO837" s="712"/>
    </row>
    <row r="838">
      <c r="G838" s="712"/>
      <c r="H838" s="712"/>
      <c r="I838" s="712"/>
      <c r="J838" s="712"/>
      <c r="K838" s="712"/>
      <c r="L838" s="712"/>
      <c r="M838" s="712"/>
      <c r="N838" s="712"/>
      <c r="O838" s="712"/>
      <c r="P838" s="712"/>
      <c r="Q838" s="712"/>
      <c r="R838" s="712"/>
      <c r="S838" s="712"/>
      <c r="T838" s="712"/>
      <c r="U838" s="712"/>
      <c r="V838" s="712"/>
      <c r="W838" s="712"/>
      <c r="X838" s="712"/>
      <c r="Y838" s="712"/>
      <c r="Z838" s="712"/>
      <c r="AA838" s="712"/>
      <c r="AB838" s="712"/>
      <c r="AC838" s="712"/>
      <c r="AD838" s="712"/>
      <c r="AE838" s="712"/>
      <c r="AF838" s="712"/>
      <c r="AG838" s="712"/>
      <c r="AH838" s="712"/>
      <c r="AI838" s="712"/>
      <c r="AJ838" s="712"/>
      <c r="AK838" s="712"/>
      <c r="AL838" s="712"/>
      <c r="AM838" s="712"/>
      <c r="AN838" s="712"/>
      <c r="AO838" s="712"/>
    </row>
    <row r="839">
      <c r="G839" s="712"/>
      <c r="H839" s="712"/>
      <c r="I839" s="712"/>
      <c r="J839" s="712"/>
      <c r="K839" s="712"/>
      <c r="L839" s="712"/>
      <c r="M839" s="712"/>
      <c r="N839" s="712"/>
      <c r="O839" s="712"/>
      <c r="P839" s="712"/>
      <c r="Q839" s="712"/>
      <c r="R839" s="712"/>
      <c r="S839" s="712"/>
      <c r="T839" s="712"/>
      <c r="U839" s="712"/>
      <c r="V839" s="712"/>
      <c r="W839" s="712"/>
      <c r="X839" s="712"/>
      <c r="Y839" s="712"/>
      <c r="Z839" s="712"/>
      <c r="AA839" s="712"/>
      <c r="AB839" s="712"/>
      <c r="AC839" s="712"/>
      <c r="AD839" s="712"/>
      <c r="AE839" s="712"/>
      <c r="AF839" s="712"/>
      <c r="AG839" s="712"/>
      <c r="AH839" s="712"/>
      <c r="AI839" s="712"/>
      <c r="AJ839" s="712"/>
      <c r="AK839" s="712"/>
      <c r="AL839" s="712"/>
      <c r="AM839" s="712"/>
      <c r="AN839" s="712"/>
      <c r="AO839" s="712"/>
    </row>
    <row r="840">
      <c r="G840" s="712"/>
      <c r="H840" s="712"/>
      <c r="I840" s="712"/>
      <c r="J840" s="712"/>
      <c r="K840" s="712"/>
      <c r="L840" s="712"/>
      <c r="M840" s="712"/>
      <c r="N840" s="712"/>
      <c r="O840" s="712"/>
      <c r="P840" s="712"/>
      <c r="Q840" s="712"/>
      <c r="R840" s="712"/>
      <c r="S840" s="712"/>
      <c r="T840" s="712"/>
      <c r="U840" s="712"/>
      <c r="V840" s="712"/>
      <c r="W840" s="712"/>
      <c r="X840" s="712"/>
      <c r="Y840" s="712"/>
      <c r="Z840" s="712"/>
      <c r="AA840" s="712"/>
      <c r="AB840" s="712"/>
      <c r="AC840" s="712"/>
      <c r="AD840" s="712"/>
      <c r="AE840" s="712"/>
      <c r="AF840" s="712"/>
      <c r="AG840" s="712"/>
      <c r="AH840" s="712"/>
      <c r="AI840" s="712"/>
      <c r="AJ840" s="712"/>
      <c r="AK840" s="712"/>
      <c r="AL840" s="712"/>
      <c r="AM840" s="712"/>
      <c r="AN840" s="712"/>
      <c r="AO840" s="712"/>
    </row>
    <row r="841">
      <c r="G841" s="712"/>
      <c r="H841" s="712"/>
      <c r="I841" s="712"/>
      <c r="J841" s="712"/>
      <c r="K841" s="712"/>
      <c r="L841" s="712"/>
      <c r="M841" s="712"/>
      <c r="N841" s="712"/>
      <c r="O841" s="712"/>
      <c r="P841" s="712"/>
      <c r="Q841" s="712"/>
      <c r="R841" s="712"/>
      <c r="S841" s="712"/>
      <c r="T841" s="712"/>
      <c r="U841" s="712"/>
      <c r="V841" s="712"/>
      <c r="W841" s="712"/>
      <c r="X841" s="712"/>
      <c r="Y841" s="712"/>
      <c r="Z841" s="712"/>
      <c r="AA841" s="712"/>
      <c r="AB841" s="712"/>
      <c r="AC841" s="712"/>
      <c r="AD841" s="712"/>
      <c r="AE841" s="712"/>
      <c r="AF841" s="712"/>
      <c r="AG841" s="712"/>
      <c r="AH841" s="712"/>
      <c r="AI841" s="712"/>
      <c r="AJ841" s="712"/>
      <c r="AK841" s="712"/>
      <c r="AL841" s="712"/>
      <c r="AM841" s="712"/>
      <c r="AN841" s="712"/>
      <c r="AO841" s="712"/>
    </row>
    <row r="842">
      <c r="G842" s="712"/>
      <c r="H842" s="712"/>
      <c r="I842" s="712"/>
      <c r="J842" s="712"/>
      <c r="K842" s="712"/>
      <c r="L842" s="712"/>
      <c r="M842" s="712"/>
      <c r="N842" s="712"/>
      <c r="O842" s="712"/>
      <c r="P842" s="712"/>
      <c r="Q842" s="712"/>
      <c r="R842" s="712"/>
      <c r="S842" s="712"/>
      <c r="T842" s="712"/>
      <c r="U842" s="712"/>
      <c r="V842" s="712"/>
      <c r="W842" s="712"/>
      <c r="X842" s="712"/>
      <c r="Y842" s="712"/>
      <c r="Z842" s="712"/>
      <c r="AA842" s="712"/>
      <c r="AB842" s="712"/>
      <c r="AC842" s="712"/>
      <c r="AD842" s="712"/>
      <c r="AE842" s="712"/>
      <c r="AF842" s="712"/>
      <c r="AG842" s="712"/>
      <c r="AH842" s="712"/>
      <c r="AI842" s="712"/>
      <c r="AJ842" s="712"/>
      <c r="AK842" s="712"/>
      <c r="AL842" s="712"/>
      <c r="AM842" s="712"/>
      <c r="AN842" s="712"/>
      <c r="AO842" s="712"/>
    </row>
    <row r="843">
      <c r="G843" s="712"/>
      <c r="H843" s="712"/>
      <c r="I843" s="712"/>
      <c r="J843" s="712"/>
      <c r="K843" s="712"/>
      <c r="L843" s="712"/>
      <c r="M843" s="712"/>
      <c r="N843" s="712"/>
      <c r="O843" s="712"/>
      <c r="P843" s="712"/>
      <c r="Q843" s="712"/>
      <c r="R843" s="712"/>
      <c r="S843" s="712"/>
      <c r="T843" s="712"/>
      <c r="U843" s="712"/>
      <c r="V843" s="712"/>
      <c r="W843" s="712"/>
      <c r="X843" s="712"/>
      <c r="Y843" s="712"/>
      <c r="Z843" s="712"/>
      <c r="AA843" s="712"/>
      <c r="AB843" s="712"/>
      <c r="AC843" s="712"/>
      <c r="AD843" s="712"/>
      <c r="AE843" s="712"/>
      <c r="AF843" s="712"/>
      <c r="AG843" s="712"/>
      <c r="AH843" s="712"/>
      <c r="AI843" s="712"/>
      <c r="AJ843" s="712"/>
      <c r="AK843" s="712"/>
      <c r="AL843" s="712"/>
      <c r="AM843" s="712"/>
      <c r="AN843" s="712"/>
      <c r="AO843" s="712"/>
    </row>
    <row r="844">
      <c r="G844" s="712"/>
      <c r="H844" s="712"/>
      <c r="I844" s="712"/>
      <c r="J844" s="712"/>
      <c r="K844" s="712"/>
      <c r="L844" s="712"/>
      <c r="M844" s="712"/>
      <c r="N844" s="712"/>
      <c r="O844" s="712"/>
      <c r="P844" s="712"/>
      <c r="Q844" s="712"/>
      <c r="R844" s="712"/>
      <c r="S844" s="712"/>
      <c r="T844" s="712"/>
      <c r="U844" s="712"/>
      <c r="V844" s="712"/>
      <c r="W844" s="712"/>
      <c r="X844" s="712"/>
      <c r="Y844" s="712"/>
      <c r="Z844" s="712"/>
      <c r="AA844" s="712"/>
      <c r="AB844" s="712"/>
      <c r="AC844" s="712"/>
      <c r="AD844" s="712"/>
      <c r="AE844" s="712"/>
      <c r="AF844" s="712"/>
      <c r="AG844" s="712"/>
      <c r="AH844" s="712"/>
      <c r="AI844" s="712"/>
      <c r="AJ844" s="712"/>
      <c r="AK844" s="712"/>
      <c r="AL844" s="712"/>
      <c r="AM844" s="712"/>
      <c r="AN844" s="712"/>
      <c r="AO844" s="712"/>
    </row>
    <row r="845">
      <c r="G845" s="712"/>
      <c r="H845" s="712"/>
      <c r="I845" s="712"/>
      <c r="J845" s="712"/>
      <c r="K845" s="712"/>
      <c r="L845" s="712"/>
      <c r="M845" s="712"/>
      <c r="N845" s="712"/>
      <c r="O845" s="712"/>
      <c r="P845" s="712"/>
      <c r="Q845" s="712"/>
      <c r="R845" s="712"/>
      <c r="S845" s="712"/>
      <c r="T845" s="712"/>
      <c r="U845" s="712"/>
      <c r="V845" s="712"/>
      <c r="W845" s="712"/>
      <c r="X845" s="712"/>
      <c r="Y845" s="712"/>
      <c r="Z845" s="712"/>
      <c r="AA845" s="712"/>
      <c r="AB845" s="712"/>
      <c r="AC845" s="712"/>
      <c r="AD845" s="712"/>
      <c r="AE845" s="712"/>
      <c r="AF845" s="712"/>
      <c r="AG845" s="712"/>
      <c r="AH845" s="712"/>
      <c r="AI845" s="712"/>
      <c r="AJ845" s="712"/>
      <c r="AK845" s="712"/>
      <c r="AL845" s="712"/>
      <c r="AM845" s="712"/>
      <c r="AN845" s="712"/>
      <c r="AO845" s="712"/>
    </row>
    <row r="846">
      <c r="G846" s="712"/>
      <c r="H846" s="712"/>
      <c r="I846" s="712"/>
      <c r="J846" s="712"/>
      <c r="K846" s="712"/>
      <c r="L846" s="712"/>
      <c r="M846" s="712"/>
      <c r="N846" s="712"/>
      <c r="O846" s="712"/>
      <c r="P846" s="712"/>
      <c r="Q846" s="712"/>
      <c r="R846" s="712"/>
      <c r="S846" s="712"/>
      <c r="T846" s="712"/>
      <c r="U846" s="712"/>
      <c r="V846" s="712"/>
      <c r="W846" s="712"/>
      <c r="X846" s="712"/>
      <c r="Y846" s="712"/>
      <c r="Z846" s="712"/>
      <c r="AA846" s="712"/>
      <c r="AB846" s="712"/>
      <c r="AC846" s="712"/>
      <c r="AD846" s="712"/>
      <c r="AE846" s="712"/>
      <c r="AF846" s="712"/>
      <c r="AG846" s="712"/>
      <c r="AH846" s="712"/>
      <c r="AI846" s="712"/>
      <c r="AJ846" s="712"/>
      <c r="AK846" s="712"/>
      <c r="AL846" s="712"/>
      <c r="AM846" s="712"/>
      <c r="AN846" s="712"/>
      <c r="AO846" s="712"/>
    </row>
    <row r="847">
      <c r="G847" s="712"/>
      <c r="H847" s="712"/>
      <c r="I847" s="712"/>
      <c r="J847" s="712"/>
      <c r="K847" s="712"/>
      <c r="L847" s="712"/>
      <c r="M847" s="712"/>
      <c r="N847" s="712"/>
      <c r="O847" s="712"/>
      <c r="P847" s="712"/>
      <c r="Q847" s="712"/>
      <c r="R847" s="712"/>
      <c r="S847" s="712"/>
      <c r="T847" s="712"/>
      <c r="U847" s="712"/>
      <c r="V847" s="712"/>
      <c r="W847" s="712"/>
      <c r="X847" s="712"/>
      <c r="Y847" s="712"/>
      <c r="Z847" s="712"/>
      <c r="AA847" s="712"/>
      <c r="AB847" s="712"/>
      <c r="AC847" s="712"/>
      <c r="AD847" s="712"/>
      <c r="AE847" s="712"/>
      <c r="AF847" s="712"/>
      <c r="AG847" s="712"/>
      <c r="AH847" s="712"/>
      <c r="AI847" s="712"/>
      <c r="AJ847" s="712"/>
      <c r="AK847" s="712"/>
      <c r="AL847" s="712"/>
      <c r="AM847" s="712"/>
      <c r="AN847" s="712"/>
      <c r="AO847" s="712"/>
    </row>
    <row r="848">
      <c r="G848" s="712"/>
      <c r="H848" s="712"/>
      <c r="I848" s="712"/>
      <c r="J848" s="712"/>
      <c r="K848" s="712"/>
      <c r="L848" s="712"/>
      <c r="M848" s="712"/>
      <c r="N848" s="712"/>
      <c r="O848" s="712"/>
      <c r="P848" s="712"/>
      <c r="Q848" s="712"/>
      <c r="R848" s="712"/>
      <c r="S848" s="712"/>
      <c r="T848" s="712"/>
      <c r="U848" s="712"/>
      <c r="V848" s="712"/>
      <c r="W848" s="712"/>
      <c r="X848" s="712"/>
      <c r="Y848" s="712"/>
      <c r="Z848" s="712"/>
      <c r="AA848" s="712"/>
      <c r="AB848" s="712"/>
      <c r="AC848" s="712"/>
      <c r="AD848" s="712"/>
      <c r="AE848" s="712"/>
      <c r="AF848" s="712"/>
      <c r="AG848" s="712"/>
      <c r="AH848" s="712"/>
      <c r="AI848" s="712"/>
      <c r="AJ848" s="712"/>
      <c r="AK848" s="712"/>
      <c r="AL848" s="712"/>
      <c r="AM848" s="712"/>
      <c r="AN848" s="712"/>
      <c r="AO848" s="712"/>
    </row>
    <row r="849">
      <c r="G849" s="712"/>
      <c r="H849" s="712"/>
      <c r="I849" s="712"/>
      <c r="J849" s="712"/>
      <c r="K849" s="712"/>
      <c r="L849" s="712"/>
      <c r="M849" s="712"/>
      <c r="N849" s="712"/>
      <c r="O849" s="712"/>
      <c r="P849" s="712"/>
      <c r="Q849" s="712"/>
      <c r="R849" s="712"/>
      <c r="S849" s="712"/>
      <c r="T849" s="712"/>
      <c r="U849" s="712"/>
      <c r="V849" s="712"/>
      <c r="W849" s="712"/>
      <c r="X849" s="712"/>
      <c r="Y849" s="712"/>
      <c r="Z849" s="712"/>
      <c r="AA849" s="712"/>
      <c r="AB849" s="712"/>
      <c r="AC849" s="712"/>
      <c r="AD849" s="712"/>
      <c r="AE849" s="712"/>
      <c r="AF849" s="712"/>
      <c r="AG849" s="712"/>
      <c r="AH849" s="712"/>
      <c r="AI849" s="712"/>
      <c r="AJ849" s="712"/>
      <c r="AK849" s="712"/>
      <c r="AL849" s="712"/>
      <c r="AM849" s="712"/>
      <c r="AN849" s="712"/>
      <c r="AO849" s="712"/>
    </row>
    <row r="850">
      <c r="G850" s="712"/>
      <c r="H850" s="712"/>
      <c r="I850" s="712"/>
      <c r="J850" s="712"/>
      <c r="K850" s="712"/>
      <c r="L850" s="712"/>
      <c r="M850" s="712"/>
      <c r="N850" s="712"/>
      <c r="O850" s="712"/>
      <c r="P850" s="712"/>
      <c r="Q850" s="712"/>
      <c r="R850" s="712"/>
      <c r="S850" s="712"/>
      <c r="T850" s="712"/>
      <c r="U850" s="712"/>
      <c r="V850" s="712"/>
      <c r="W850" s="712"/>
      <c r="X850" s="712"/>
      <c r="Y850" s="712"/>
      <c r="Z850" s="712"/>
      <c r="AA850" s="712"/>
      <c r="AB850" s="712"/>
      <c r="AC850" s="712"/>
      <c r="AD850" s="712"/>
      <c r="AE850" s="712"/>
      <c r="AF850" s="712"/>
      <c r="AG850" s="712"/>
      <c r="AH850" s="712"/>
      <c r="AI850" s="712"/>
      <c r="AJ850" s="712"/>
      <c r="AK850" s="712"/>
      <c r="AL850" s="712"/>
      <c r="AM850" s="712"/>
      <c r="AN850" s="712"/>
      <c r="AO850" s="712"/>
    </row>
    <row r="851">
      <c r="G851" s="712"/>
      <c r="H851" s="712"/>
      <c r="I851" s="712"/>
      <c r="J851" s="712"/>
      <c r="K851" s="712"/>
      <c r="L851" s="712"/>
      <c r="M851" s="712"/>
      <c r="N851" s="712"/>
      <c r="O851" s="712"/>
      <c r="P851" s="712"/>
      <c r="Q851" s="712"/>
      <c r="R851" s="712"/>
      <c r="S851" s="712"/>
      <c r="T851" s="712"/>
      <c r="U851" s="712"/>
      <c r="V851" s="712"/>
      <c r="W851" s="712"/>
      <c r="X851" s="712"/>
      <c r="Y851" s="712"/>
      <c r="Z851" s="712"/>
      <c r="AA851" s="712"/>
      <c r="AB851" s="712"/>
      <c r="AC851" s="712"/>
      <c r="AD851" s="712"/>
      <c r="AE851" s="712"/>
      <c r="AF851" s="712"/>
      <c r="AG851" s="712"/>
      <c r="AH851" s="712"/>
      <c r="AI851" s="712"/>
      <c r="AJ851" s="712"/>
      <c r="AK851" s="712"/>
      <c r="AL851" s="712"/>
      <c r="AM851" s="712"/>
      <c r="AN851" s="712"/>
      <c r="AO851" s="712"/>
    </row>
    <row r="852">
      <c r="G852" s="712"/>
      <c r="H852" s="712"/>
      <c r="I852" s="712"/>
      <c r="J852" s="712"/>
      <c r="K852" s="712"/>
      <c r="L852" s="712"/>
      <c r="M852" s="712"/>
      <c r="N852" s="712"/>
      <c r="O852" s="712"/>
      <c r="P852" s="712"/>
      <c r="Q852" s="712"/>
      <c r="R852" s="712"/>
      <c r="S852" s="712"/>
      <c r="T852" s="712"/>
      <c r="U852" s="712"/>
      <c r="V852" s="712"/>
      <c r="W852" s="712"/>
      <c r="X852" s="712"/>
      <c r="Y852" s="712"/>
      <c r="Z852" s="712"/>
      <c r="AA852" s="712"/>
      <c r="AB852" s="712"/>
      <c r="AC852" s="712"/>
      <c r="AD852" s="712"/>
      <c r="AE852" s="712"/>
      <c r="AF852" s="712"/>
      <c r="AG852" s="712"/>
      <c r="AH852" s="712"/>
      <c r="AI852" s="712"/>
      <c r="AJ852" s="712"/>
      <c r="AK852" s="712"/>
      <c r="AL852" s="712"/>
      <c r="AM852" s="712"/>
      <c r="AN852" s="712"/>
      <c r="AO852" s="712"/>
    </row>
    <row r="853">
      <c r="G853" s="712"/>
      <c r="H853" s="712"/>
      <c r="I853" s="712"/>
      <c r="J853" s="712"/>
      <c r="K853" s="712"/>
      <c r="L853" s="712"/>
      <c r="M853" s="712"/>
      <c r="N853" s="712"/>
      <c r="O853" s="712"/>
      <c r="P853" s="712"/>
      <c r="Q853" s="712"/>
      <c r="R853" s="712"/>
      <c r="S853" s="712"/>
      <c r="T853" s="712"/>
      <c r="U853" s="712"/>
      <c r="V853" s="712"/>
      <c r="W853" s="712"/>
      <c r="X853" s="712"/>
      <c r="Y853" s="712"/>
      <c r="Z853" s="712"/>
      <c r="AA853" s="712"/>
      <c r="AB853" s="712"/>
      <c r="AC853" s="712"/>
      <c r="AD853" s="712"/>
      <c r="AE853" s="712"/>
      <c r="AF853" s="712"/>
      <c r="AG853" s="712"/>
      <c r="AH853" s="712"/>
      <c r="AI853" s="712"/>
      <c r="AJ853" s="712"/>
      <c r="AK853" s="712"/>
      <c r="AL853" s="712"/>
      <c r="AM853" s="712"/>
      <c r="AN853" s="712"/>
      <c r="AO853" s="712"/>
    </row>
    <row r="854">
      <c r="G854" s="712"/>
      <c r="H854" s="712"/>
      <c r="I854" s="712"/>
      <c r="J854" s="712"/>
      <c r="K854" s="712"/>
      <c r="L854" s="712"/>
      <c r="M854" s="712"/>
      <c r="N854" s="712"/>
      <c r="O854" s="712"/>
      <c r="P854" s="712"/>
      <c r="Q854" s="712"/>
      <c r="R854" s="712"/>
      <c r="S854" s="712"/>
      <c r="T854" s="712"/>
      <c r="U854" s="712"/>
      <c r="V854" s="712"/>
      <c r="W854" s="712"/>
      <c r="X854" s="712"/>
      <c r="Y854" s="712"/>
      <c r="Z854" s="712"/>
      <c r="AA854" s="712"/>
      <c r="AB854" s="712"/>
      <c r="AC854" s="712"/>
      <c r="AD854" s="712"/>
      <c r="AE854" s="712"/>
      <c r="AF854" s="712"/>
      <c r="AG854" s="712"/>
      <c r="AH854" s="712"/>
      <c r="AI854" s="712"/>
      <c r="AJ854" s="712"/>
      <c r="AK854" s="712"/>
      <c r="AL854" s="712"/>
      <c r="AM854" s="712"/>
      <c r="AN854" s="712"/>
      <c r="AO854" s="712"/>
    </row>
    <row r="855">
      <c r="G855" s="712"/>
      <c r="H855" s="712"/>
      <c r="I855" s="712"/>
      <c r="J855" s="712"/>
      <c r="K855" s="712"/>
      <c r="L855" s="712"/>
      <c r="M855" s="712"/>
      <c r="N855" s="712"/>
      <c r="O855" s="712"/>
      <c r="P855" s="712"/>
      <c r="Q855" s="712"/>
      <c r="R855" s="712"/>
      <c r="S855" s="712"/>
      <c r="T855" s="712"/>
      <c r="U855" s="712"/>
      <c r="V855" s="712"/>
      <c r="W855" s="712"/>
      <c r="X855" s="712"/>
      <c r="Y855" s="712"/>
      <c r="Z855" s="712"/>
      <c r="AA855" s="712"/>
      <c r="AB855" s="712"/>
      <c r="AC855" s="712"/>
      <c r="AD855" s="712"/>
      <c r="AE855" s="712"/>
      <c r="AF855" s="712"/>
      <c r="AG855" s="712"/>
      <c r="AH855" s="712"/>
      <c r="AI855" s="712"/>
      <c r="AJ855" s="712"/>
      <c r="AK855" s="712"/>
      <c r="AL855" s="712"/>
      <c r="AM855" s="712"/>
      <c r="AN855" s="712"/>
      <c r="AO855" s="712"/>
    </row>
    <row r="856">
      <c r="G856" s="712"/>
      <c r="H856" s="712"/>
      <c r="I856" s="712"/>
      <c r="J856" s="712"/>
      <c r="K856" s="712"/>
      <c r="L856" s="712"/>
      <c r="M856" s="712"/>
      <c r="N856" s="712"/>
      <c r="O856" s="712"/>
      <c r="P856" s="712"/>
      <c r="Q856" s="712"/>
      <c r="R856" s="712"/>
      <c r="S856" s="712"/>
      <c r="T856" s="712"/>
      <c r="U856" s="712"/>
      <c r="V856" s="712"/>
      <c r="W856" s="712"/>
      <c r="X856" s="712"/>
      <c r="Y856" s="712"/>
      <c r="Z856" s="712"/>
      <c r="AA856" s="712"/>
      <c r="AB856" s="712"/>
      <c r="AC856" s="712"/>
      <c r="AD856" s="712"/>
      <c r="AE856" s="712"/>
      <c r="AF856" s="712"/>
      <c r="AG856" s="712"/>
      <c r="AH856" s="712"/>
      <c r="AI856" s="712"/>
      <c r="AJ856" s="712"/>
      <c r="AK856" s="712"/>
      <c r="AL856" s="712"/>
      <c r="AM856" s="712"/>
      <c r="AN856" s="712"/>
      <c r="AO856" s="712"/>
    </row>
    <row r="857">
      <c r="G857" s="712"/>
      <c r="H857" s="712"/>
      <c r="I857" s="712"/>
      <c r="J857" s="712"/>
      <c r="K857" s="712"/>
      <c r="L857" s="712"/>
      <c r="M857" s="712"/>
      <c r="N857" s="712"/>
      <c r="O857" s="712"/>
      <c r="P857" s="712"/>
      <c r="Q857" s="712"/>
      <c r="R857" s="712"/>
      <c r="S857" s="712"/>
      <c r="T857" s="712"/>
      <c r="U857" s="712"/>
      <c r="V857" s="712"/>
      <c r="W857" s="712"/>
      <c r="X857" s="712"/>
      <c r="Y857" s="712"/>
      <c r="Z857" s="712"/>
      <c r="AA857" s="712"/>
      <c r="AB857" s="712"/>
      <c r="AC857" s="712"/>
      <c r="AD857" s="712"/>
      <c r="AE857" s="712"/>
      <c r="AF857" s="712"/>
      <c r="AG857" s="712"/>
      <c r="AH857" s="712"/>
      <c r="AI857" s="712"/>
      <c r="AJ857" s="712"/>
      <c r="AK857" s="712"/>
      <c r="AL857" s="712"/>
      <c r="AM857" s="712"/>
      <c r="AN857" s="712"/>
      <c r="AO857" s="712"/>
    </row>
    <row r="858">
      <c r="G858" s="712"/>
      <c r="H858" s="712"/>
      <c r="I858" s="712"/>
      <c r="J858" s="712"/>
      <c r="K858" s="712"/>
      <c r="L858" s="712"/>
      <c r="M858" s="712"/>
      <c r="N858" s="712"/>
      <c r="O858" s="712"/>
      <c r="P858" s="712"/>
      <c r="Q858" s="712"/>
      <c r="R858" s="712"/>
      <c r="S858" s="712"/>
      <c r="T858" s="712"/>
      <c r="U858" s="712"/>
      <c r="V858" s="712"/>
      <c r="W858" s="712"/>
      <c r="X858" s="712"/>
      <c r="Y858" s="712"/>
      <c r="Z858" s="712"/>
      <c r="AA858" s="712"/>
      <c r="AB858" s="712"/>
      <c r="AC858" s="712"/>
      <c r="AD858" s="712"/>
      <c r="AE858" s="712"/>
      <c r="AF858" s="712"/>
      <c r="AG858" s="712"/>
      <c r="AH858" s="712"/>
      <c r="AI858" s="712"/>
      <c r="AJ858" s="712"/>
      <c r="AK858" s="712"/>
      <c r="AL858" s="712"/>
      <c r="AM858" s="712"/>
      <c r="AN858" s="712"/>
      <c r="AO858" s="712"/>
    </row>
    <row r="859">
      <c r="G859" s="712"/>
      <c r="H859" s="712"/>
      <c r="I859" s="712"/>
      <c r="J859" s="712"/>
      <c r="K859" s="712"/>
      <c r="L859" s="712"/>
      <c r="M859" s="712"/>
      <c r="N859" s="712"/>
      <c r="O859" s="712"/>
      <c r="P859" s="712"/>
      <c r="Q859" s="712"/>
      <c r="R859" s="712"/>
      <c r="S859" s="712"/>
      <c r="T859" s="712"/>
      <c r="U859" s="712"/>
      <c r="V859" s="712"/>
      <c r="W859" s="712"/>
      <c r="X859" s="712"/>
      <c r="Y859" s="712"/>
      <c r="Z859" s="712"/>
      <c r="AA859" s="712"/>
      <c r="AB859" s="712"/>
      <c r="AC859" s="712"/>
      <c r="AD859" s="712"/>
      <c r="AE859" s="712"/>
      <c r="AF859" s="712"/>
      <c r="AG859" s="712"/>
      <c r="AH859" s="712"/>
      <c r="AI859" s="712"/>
      <c r="AJ859" s="712"/>
      <c r="AK859" s="712"/>
      <c r="AL859" s="712"/>
      <c r="AM859" s="712"/>
      <c r="AN859" s="712"/>
      <c r="AO859" s="712"/>
    </row>
    <row r="860">
      <c r="G860" s="712"/>
      <c r="H860" s="712"/>
      <c r="I860" s="712"/>
      <c r="J860" s="712"/>
      <c r="K860" s="712"/>
      <c r="L860" s="712"/>
      <c r="M860" s="712"/>
      <c r="N860" s="712"/>
      <c r="O860" s="712"/>
      <c r="P860" s="712"/>
      <c r="Q860" s="712"/>
      <c r="R860" s="712"/>
      <c r="S860" s="712"/>
      <c r="T860" s="712"/>
      <c r="U860" s="712"/>
      <c r="V860" s="712"/>
      <c r="W860" s="712"/>
      <c r="X860" s="712"/>
      <c r="Y860" s="712"/>
      <c r="Z860" s="712"/>
      <c r="AA860" s="712"/>
      <c r="AB860" s="712"/>
      <c r="AC860" s="712"/>
      <c r="AD860" s="712"/>
      <c r="AE860" s="712"/>
      <c r="AF860" s="712"/>
      <c r="AG860" s="712"/>
      <c r="AH860" s="712"/>
      <c r="AI860" s="712"/>
      <c r="AJ860" s="712"/>
      <c r="AK860" s="712"/>
      <c r="AL860" s="712"/>
      <c r="AM860" s="712"/>
      <c r="AN860" s="712"/>
      <c r="AO860" s="712"/>
    </row>
    <row r="861">
      <c r="G861" s="712"/>
      <c r="H861" s="712"/>
      <c r="I861" s="712"/>
      <c r="J861" s="712"/>
      <c r="K861" s="712"/>
      <c r="L861" s="712"/>
      <c r="M861" s="712"/>
      <c r="N861" s="712"/>
      <c r="O861" s="712"/>
      <c r="P861" s="712"/>
      <c r="Q861" s="712"/>
      <c r="R861" s="712"/>
      <c r="S861" s="712"/>
      <c r="T861" s="712"/>
      <c r="U861" s="712"/>
      <c r="V861" s="712"/>
      <c r="W861" s="712"/>
      <c r="X861" s="712"/>
      <c r="Y861" s="712"/>
      <c r="Z861" s="712"/>
      <c r="AA861" s="712"/>
      <c r="AB861" s="712"/>
      <c r="AC861" s="712"/>
      <c r="AD861" s="712"/>
      <c r="AE861" s="712"/>
      <c r="AF861" s="712"/>
      <c r="AG861" s="712"/>
      <c r="AH861" s="712"/>
      <c r="AI861" s="712"/>
      <c r="AJ861" s="712"/>
      <c r="AK861" s="712"/>
      <c r="AL861" s="712"/>
      <c r="AM861" s="712"/>
      <c r="AN861" s="712"/>
      <c r="AO861" s="712"/>
    </row>
    <row r="862">
      <c r="G862" s="712"/>
      <c r="H862" s="712"/>
      <c r="I862" s="712"/>
      <c r="J862" s="712"/>
      <c r="K862" s="712"/>
      <c r="L862" s="712"/>
      <c r="M862" s="712"/>
      <c r="N862" s="712"/>
      <c r="O862" s="712"/>
      <c r="P862" s="712"/>
      <c r="Q862" s="712"/>
      <c r="R862" s="712"/>
      <c r="S862" s="712"/>
      <c r="T862" s="712"/>
      <c r="U862" s="712"/>
      <c r="V862" s="712"/>
      <c r="W862" s="712"/>
      <c r="X862" s="712"/>
      <c r="Y862" s="712"/>
      <c r="Z862" s="712"/>
      <c r="AA862" s="712"/>
      <c r="AB862" s="712"/>
      <c r="AC862" s="712"/>
      <c r="AD862" s="712"/>
      <c r="AE862" s="712"/>
      <c r="AF862" s="712"/>
      <c r="AG862" s="712"/>
      <c r="AH862" s="712"/>
      <c r="AI862" s="712"/>
      <c r="AJ862" s="712"/>
      <c r="AK862" s="712"/>
      <c r="AL862" s="712"/>
      <c r="AM862" s="712"/>
      <c r="AN862" s="712"/>
      <c r="AO862" s="712"/>
    </row>
    <row r="863">
      <c r="G863" s="712"/>
      <c r="H863" s="712"/>
      <c r="I863" s="712"/>
      <c r="J863" s="712"/>
      <c r="K863" s="712"/>
      <c r="L863" s="712"/>
      <c r="M863" s="712"/>
      <c r="N863" s="712"/>
      <c r="O863" s="712"/>
      <c r="P863" s="712"/>
      <c r="Q863" s="712"/>
      <c r="R863" s="712"/>
      <c r="S863" s="712"/>
      <c r="T863" s="712"/>
      <c r="U863" s="712"/>
      <c r="V863" s="712"/>
      <c r="W863" s="712"/>
      <c r="X863" s="712"/>
      <c r="Y863" s="712"/>
      <c r="Z863" s="712"/>
      <c r="AA863" s="712"/>
      <c r="AB863" s="712"/>
      <c r="AC863" s="712"/>
      <c r="AD863" s="712"/>
      <c r="AE863" s="712"/>
      <c r="AF863" s="712"/>
      <c r="AG863" s="712"/>
      <c r="AH863" s="712"/>
      <c r="AI863" s="712"/>
      <c r="AJ863" s="712"/>
      <c r="AK863" s="712"/>
      <c r="AL863" s="712"/>
      <c r="AM863" s="712"/>
      <c r="AN863" s="712"/>
      <c r="AO863" s="712"/>
    </row>
    <row r="864">
      <c r="G864" s="712"/>
      <c r="H864" s="712"/>
      <c r="I864" s="712"/>
      <c r="J864" s="712"/>
      <c r="K864" s="712"/>
      <c r="L864" s="712"/>
      <c r="M864" s="712"/>
      <c r="N864" s="712"/>
      <c r="O864" s="712"/>
      <c r="P864" s="712"/>
      <c r="Q864" s="712"/>
      <c r="R864" s="712"/>
      <c r="S864" s="712"/>
      <c r="T864" s="712"/>
      <c r="U864" s="712"/>
      <c r="V864" s="712"/>
      <c r="W864" s="712"/>
      <c r="X864" s="712"/>
      <c r="Y864" s="712"/>
      <c r="Z864" s="712"/>
      <c r="AA864" s="712"/>
      <c r="AB864" s="712"/>
      <c r="AC864" s="712"/>
      <c r="AD864" s="712"/>
      <c r="AE864" s="712"/>
      <c r="AF864" s="712"/>
      <c r="AG864" s="712"/>
      <c r="AH864" s="712"/>
      <c r="AI864" s="712"/>
      <c r="AJ864" s="712"/>
      <c r="AK864" s="712"/>
      <c r="AL864" s="712"/>
      <c r="AM864" s="712"/>
      <c r="AN864" s="712"/>
      <c r="AO864" s="712"/>
    </row>
    <row r="865">
      <c r="G865" s="712"/>
      <c r="H865" s="712"/>
      <c r="I865" s="712"/>
      <c r="J865" s="712"/>
      <c r="K865" s="712"/>
      <c r="L865" s="712"/>
      <c r="M865" s="712"/>
      <c r="N865" s="712"/>
      <c r="O865" s="712"/>
      <c r="P865" s="712"/>
      <c r="Q865" s="712"/>
      <c r="R865" s="712"/>
      <c r="S865" s="712"/>
      <c r="T865" s="712"/>
      <c r="U865" s="712"/>
      <c r="V865" s="712"/>
      <c r="W865" s="712"/>
      <c r="X865" s="712"/>
      <c r="Y865" s="712"/>
      <c r="Z865" s="712"/>
      <c r="AA865" s="712"/>
      <c r="AB865" s="712"/>
      <c r="AC865" s="712"/>
      <c r="AD865" s="712"/>
      <c r="AE865" s="712"/>
      <c r="AF865" s="712"/>
      <c r="AG865" s="712"/>
      <c r="AH865" s="712"/>
      <c r="AI865" s="712"/>
      <c r="AJ865" s="712"/>
      <c r="AK865" s="712"/>
      <c r="AL865" s="712"/>
      <c r="AM865" s="712"/>
      <c r="AN865" s="712"/>
      <c r="AO865" s="712"/>
    </row>
    <row r="866">
      <c r="G866" s="712"/>
      <c r="H866" s="712"/>
      <c r="I866" s="712"/>
      <c r="J866" s="712"/>
      <c r="K866" s="712"/>
      <c r="L866" s="712"/>
      <c r="M866" s="712"/>
      <c r="N866" s="712"/>
      <c r="O866" s="712"/>
      <c r="P866" s="712"/>
      <c r="Q866" s="712"/>
      <c r="R866" s="712"/>
      <c r="S866" s="712"/>
      <c r="T866" s="712"/>
      <c r="U866" s="712"/>
      <c r="V866" s="712"/>
      <c r="W866" s="712"/>
      <c r="X866" s="712"/>
      <c r="Y866" s="712"/>
      <c r="Z866" s="712"/>
      <c r="AA866" s="712"/>
      <c r="AB866" s="712"/>
      <c r="AC866" s="712"/>
      <c r="AD866" s="712"/>
      <c r="AE866" s="712"/>
      <c r="AF866" s="712"/>
      <c r="AG866" s="712"/>
      <c r="AH866" s="712"/>
      <c r="AI866" s="712"/>
      <c r="AJ866" s="712"/>
      <c r="AK866" s="712"/>
      <c r="AL866" s="712"/>
      <c r="AM866" s="712"/>
      <c r="AN866" s="712"/>
      <c r="AO866" s="712"/>
    </row>
    <row r="867">
      <c r="G867" s="712"/>
      <c r="H867" s="712"/>
      <c r="I867" s="712"/>
      <c r="J867" s="712"/>
      <c r="K867" s="712"/>
      <c r="L867" s="712"/>
      <c r="M867" s="712"/>
      <c r="N867" s="712"/>
      <c r="O867" s="712"/>
      <c r="P867" s="712"/>
      <c r="Q867" s="712"/>
      <c r="R867" s="712"/>
      <c r="S867" s="712"/>
      <c r="T867" s="712"/>
      <c r="U867" s="712"/>
      <c r="V867" s="712"/>
      <c r="W867" s="712"/>
      <c r="X867" s="712"/>
      <c r="Y867" s="712"/>
      <c r="Z867" s="712"/>
      <c r="AA867" s="712"/>
      <c r="AB867" s="712"/>
      <c r="AC867" s="712"/>
      <c r="AD867" s="712"/>
      <c r="AE867" s="712"/>
      <c r="AF867" s="712"/>
      <c r="AG867" s="712"/>
      <c r="AH867" s="712"/>
      <c r="AI867" s="712"/>
      <c r="AJ867" s="712"/>
      <c r="AK867" s="712"/>
      <c r="AL867" s="712"/>
      <c r="AM867" s="712"/>
      <c r="AN867" s="712"/>
      <c r="AO867" s="712"/>
    </row>
    <row r="868">
      <c r="G868" s="712"/>
      <c r="H868" s="712"/>
      <c r="I868" s="712"/>
      <c r="J868" s="712"/>
      <c r="K868" s="712"/>
      <c r="L868" s="712"/>
      <c r="M868" s="712"/>
      <c r="N868" s="712"/>
      <c r="O868" s="712"/>
      <c r="P868" s="712"/>
      <c r="Q868" s="712"/>
      <c r="R868" s="712"/>
      <c r="S868" s="712"/>
      <c r="T868" s="712"/>
      <c r="U868" s="712"/>
      <c r="V868" s="712"/>
      <c r="W868" s="712"/>
      <c r="X868" s="712"/>
      <c r="Y868" s="712"/>
      <c r="Z868" s="712"/>
      <c r="AA868" s="712"/>
      <c r="AB868" s="712"/>
      <c r="AC868" s="712"/>
      <c r="AD868" s="712"/>
      <c r="AE868" s="712"/>
      <c r="AF868" s="712"/>
      <c r="AG868" s="712"/>
      <c r="AH868" s="712"/>
      <c r="AI868" s="712"/>
      <c r="AJ868" s="712"/>
      <c r="AK868" s="712"/>
      <c r="AL868" s="712"/>
      <c r="AM868" s="712"/>
      <c r="AN868" s="712"/>
      <c r="AO868" s="712"/>
    </row>
    <row r="869">
      <c r="G869" s="712"/>
      <c r="H869" s="712"/>
      <c r="I869" s="712"/>
      <c r="J869" s="712"/>
      <c r="K869" s="712"/>
      <c r="L869" s="712"/>
      <c r="M869" s="712"/>
      <c r="N869" s="712"/>
      <c r="O869" s="712"/>
      <c r="P869" s="712"/>
      <c r="Q869" s="712"/>
      <c r="R869" s="712"/>
      <c r="S869" s="712"/>
      <c r="T869" s="712"/>
      <c r="U869" s="712"/>
      <c r="V869" s="712"/>
      <c r="W869" s="712"/>
      <c r="X869" s="712"/>
      <c r="Y869" s="712"/>
      <c r="Z869" s="712"/>
      <c r="AA869" s="712"/>
      <c r="AB869" s="712"/>
      <c r="AC869" s="712"/>
      <c r="AD869" s="712"/>
      <c r="AE869" s="712"/>
      <c r="AF869" s="712"/>
      <c r="AG869" s="712"/>
      <c r="AH869" s="712"/>
      <c r="AI869" s="712"/>
      <c r="AJ869" s="712"/>
      <c r="AK869" s="712"/>
      <c r="AL869" s="712"/>
      <c r="AM869" s="712"/>
      <c r="AN869" s="712"/>
      <c r="AO869" s="712"/>
    </row>
    <row r="870">
      <c r="G870" s="712"/>
      <c r="H870" s="712"/>
      <c r="I870" s="712"/>
      <c r="J870" s="712"/>
      <c r="K870" s="712"/>
      <c r="L870" s="712"/>
      <c r="M870" s="712"/>
      <c r="N870" s="712"/>
      <c r="O870" s="712"/>
      <c r="P870" s="712"/>
      <c r="Q870" s="712"/>
      <c r="R870" s="712"/>
      <c r="S870" s="712"/>
      <c r="T870" s="712"/>
      <c r="U870" s="712"/>
      <c r="V870" s="712"/>
      <c r="W870" s="712"/>
      <c r="X870" s="712"/>
      <c r="Y870" s="712"/>
      <c r="Z870" s="712"/>
      <c r="AA870" s="712"/>
      <c r="AB870" s="712"/>
      <c r="AC870" s="712"/>
      <c r="AD870" s="712"/>
      <c r="AE870" s="712"/>
      <c r="AF870" s="712"/>
      <c r="AG870" s="712"/>
      <c r="AH870" s="712"/>
      <c r="AI870" s="712"/>
      <c r="AJ870" s="712"/>
      <c r="AK870" s="712"/>
      <c r="AL870" s="712"/>
      <c r="AM870" s="712"/>
      <c r="AN870" s="712"/>
      <c r="AO870" s="712"/>
    </row>
    <row r="871">
      <c r="G871" s="712"/>
      <c r="H871" s="712"/>
      <c r="I871" s="712"/>
      <c r="J871" s="712"/>
      <c r="K871" s="712"/>
      <c r="L871" s="712"/>
      <c r="M871" s="712"/>
      <c r="N871" s="712"/>
      <c r="O871" s="712"/>
      <c r="P871" s="712"/>
      <c r="Q871" s="712"/>
      <c r="R871" s="712"/>
      <c r="S871" s="712"/>
      <c r="T871" s="712"/>
      <c r="U871" s="712"/>
      <c r="V871" s="712"/>
      <c r="W871" s="712"/>
      <c r="X871" s="712"/>
      <c r="Y871" s="712"/>
      <c r="Z871" s="712"/>
      <c r="AA871" s="712"/>
      <c r="AB871" s="712"/>
      <c r="AC871" s="712"/>
      <c r="AD871" s="712"/>
      <c r="AE871" s="712"/>
      <c r="AF871" s="712"/>
      <c r="AG871" s="712"/>
      <c r="AH871" s="712"/>
      <c r="AI871" s="712"/>
      <c r="AJ871" s="712"/>
      <c r="AK871" s="712"/>
      <c r="AL871" s="712"/>
      <c r="AM871" s="712"/>
      <c r="AN871" s="712"/>
      <c r="AO871" s="712"/>
    </row>
    <row r="872">
      <c r="G872" s="712"/>
      <c r="H872" s="712"/>
      <c r="I872" s="712"/>
      <c r="J872" s="712"/>
      <c r="K872" s="712"/>
      <c r="L872" s="712"/>
      <c r="M872" s="712"/>
      <c r="N872" s="712"/>
      <c r="O872" s="712"/>
      <c r="P872" s="712"/>
      <c r="Q872" s="712"/>
      <c r="R872" s="712"/>
      <c r="S872" s="712"/>
      <c r="T872" s="712"/>
      <c r="U872" s="712"/>
      <c r="V872" s="712"/>
      <c r="W872" s="712"/>
      <c r="X872" s="712"/>
      <c r="Y872" s="712"/>
      <c r="Z872" s="712"/>
      <c r="AA872" s="712"/>
      <c r="AB872" s="712"/>
      <c r="AC872" s="712"/>
      <c r="AD872" s="712"/>
      <c r="AE872" s="712"/>
      <c r="AF872" s="712"/>
      <c r="AG872" s="712"/>
      <c r="AH872" s="712"/>
      <c r="AI872" s="712"/>
      <c r="AJ872" s="712"/>
      <c r="AK872" s="712"/>
      <c r="AL872" s="712"/>
      <c r="AM872" s="712"/>
      <c r="AN872" s="712"/>
      <c r="AO872" s="712"/>
    </row>
    <row r="873">
      <c r="G873" s="712"/>
      <c r="H873" s="712"/>
      <c r="I873" s="712"/>
      <c r="J873" s="712"/>
      <c r="K873" s="712"/>
      <c r="L873" s="712"/>
      <c r="M873" s="712"/>
      <c r="N873" s="712"/>
      <c r="O873" s="712"/>
      <c r="P873" s="712"/>
      <c r="Q873" s="712"/>
      <c r="R873" s="712"/>
      <c r="S873" s="712"/>
      <c r="T873" s="712"/>
      <c r="U873" s="712"/>
      <c r="V873" s="712"/>
      <c r="W873" s="712"/>
      <c r="X873" s="712"/>
      <c r="Y873" s="712"/>
      <c r="Z873" s="712"/>
      <c r="AA873" s="712"/>
      <c r="AB873" s="712"/>
      <c r="AC873" s="712"/>
      <c r="AD873" s="712"/>
      <c r="AE873" s="712"/>
      <c r="AF873" s="712"/>
      <c r="AG873" s="712"/>
      <c r="AH873" s="712"/>
      <c r="AI873" s="712"/>
      <c r="AJ873" s="712"/>
      <c r="AK873" s="712"/>
      <c r="AL873" s="712"/>
      <c r="AM873" s="712"/>
      <c r="AN873" s="712"/>
      <c r="AO873" s="712"/>
    </row>
    <row r="874">
      <c r="G874" s="712"/>
      <c r="H874" s="712"/>
      <c r="I874" s="712"/>
      <c r="J874" s="712"/>
      <c r="K874" s="712"/>
      <c r="L874" s="712"/>
      <c r="M874" s="712"/>
      <c r="N874" s="712"/>
      <c r="O874" s="712"/>
      <c r="P874" s="712"/>
      <c r="Q874" s="712"/>
      <c r="R874" s="712"/>
      <c r="S874" s="712"/>
      <c r="T874" s="712"/>
      <c r="U874" s="712"/>
      <c r="V874" s="712"/>
      <c r="W874" s="712"/>
      <c r="X874" s="712"/>
      <c r="Y874" s="712"/>
      <c r="Z874" s="712"/>
      <c r="AA874" s="712"/>
      <c r="AB874" s="712"/>
      <c r="AC874" s="712"/>
      <c r="AD874" s="712"/>
      <c r="AE874" s="712"/>
      <c r="AF874" s="712"/>
      <c r="AG874" s="712"/>
      <c r="AH874" s="712"/>
      <c r="AI874" s="712"/>
      <c r="AJ874" s="712"/>
      <c r="AK874" s="712"/>
      <c r="AL874" s="712"/>
      <c r="AM874" s="712"/>
      <c r="AN874" s="712"/>
      <c r="AO874" s="712"/>
    </row>
    <row r="875">
      <c r="G875" s="712"/>
      <c r="H875" s="712"/>
      <c r="I875" s="712"/>
      <c r="J875" s="712"/>
      <c r="K875" s="712"/>
      <c r="L875" s="712"/>
      <c r="M875" s="712"/>
      <c r="N875" s="712"/>
      <c r="O875" s="712"/>
      <c r="P875" s="712"/>
      <c r="Q875" s="712"/>
      <c r="R875" s="712"/>
      <c r="S875" s="712"/>
      <c r="T875" s="712"/>
      <c r="U875" s="712"/>
      <c r="V875" s="712"/>
      <c r="W875" s="712"/>
      <c r="X875" s="712"/>
      <c r="Y875" s="712"/>
      <c r="Z875" s="712"/>
      <c r="AA875" s="712"/>
      <c r="AB875" s="712"/>
      <c r="AC875" s="712"/>
      <c r="AD875" s="712"/>
      <c r="AE875" s="712"/>
      <c r="AF875" s="712"/>
      <c r="AG875" s="712"/>
      <c r="AH875" s="712"/>
      <c r="AI875" s="712"/>
      <c r="AJ875" s="712"/>
      <c r="AK875" s="712"/>
      <c r="AL875" s="712"/>
      <c r="AM875" s="712"/>
      <c r="AN875" s="712"/>
      <c r="AO875" s="712"/>
    </row>
    <row r="876">
      <c r="G876" s="712"/>
      <c r="H876" s="712"/>
      <c r="I876" s="712"/>
      <c r="J876" s="712"/>
      <c r="K876" s="712"/>
      <c r="L876" s="712"/>
      <c r="M876" s="712"/>
      <c r="N876" s="712"/>
      <c r="O876" s="712"/>
      <c r="P876" s="712"/>
      <c r="Q876" s="712"/>
      <c r="R876" s="712"/>
      <c r="S876" s="712"/>
      <c r="T876" s="712"/>
      <c r="U876" s="712"/>
      <c r="V876" s="712"/>
      <c r="W876" s="712"/>
      <c r="X876" s="712"/>
      <c r="Y876" s="712"/>
      <c r="Z876" s="712"/>
      <c r="AA876" s="712"/>
      <c r="AB876" s="712"/>
      <c r="AC876" s="712"/>
      <c r="AD876" s="712"/>
      <c r="AE876" s="712"/>
      <c r="AF876" s="712"/>
      <c r="AG876" s="712"/>
      <c r="AH876" s="712"/>
      <c r="AI876" s="712"/>
      <c r="AJ876" s="712"/>
      <c r="AK876" s="712"/>
      <c r="AL876" s="712"/>
      <c r="AM876" s="712"/>
      <c r="AN876" s="712"/>
      <c r="AO876" s="712"/>
    </row>
    <row r="877">
      <c r="G877" s="712"/>
      <c r="H877" s="712"/>
      <c r="I877" s="712"/>
      <c r="J877" s="712"/>
      <c r="K877" s="712"/>
      <c r="L877" s="712"/>
      <c r="M877" s="712"/>
      <c r="N877" s="712"/>
      <c r="O877" s="712"/>
      <c r="P877" s="712"/>
      <c r="Q877" s="712"/>
      <c r="R877" s="712"/>
      <c r="S877" s="712"/>
      <c r="T877" s="712"/>
      <c r="U877" s="712"/>
      <c r="V877" s="712"/>
      <c r="W877" s="712"/>
      <c r="X877" s="712"/>
      <c r="Y877" s="712"/>
      <c r="Z877" s="712"/>
      <c r="AA877" s="712"/>
      <c r="AB877" s="712"/>
      <c r="AC877" s="712"/>
      <c r="AD877" s="712"/>
      <c r="AE877" s="712"/>
      <c r="AF877" s="712"/>
      <c r="AG877" s="712"/>
      <c r="AH877" s="712"/>
      <c r="AI877" s="712"/>
      <c r="AJ877" s="712"/>
      <c r="AK877" s="712"/>
      <c r="AL877" s="712"/>
      <c r="AM877" s="712"/>
      <c r="AN877" s="712"/>
      <c r="AO877" s="712"/>
    </row>
    <row r="878">
      <c r="G878" s="712"/>
      <c r="H878" s="712"/>
      <c r="I878" s="712"/>
      <c r="J878" s="712"/>
      <c r="K878" s="712"/>
      <c r="L878" s="712"/>
      <c r="M878" s="712"/>
      <c r="N878" s="712"/>
      <c r="O878" s="712"/>
      <c r="P878" s="712"/>
      <c r="Q878" s="712"/>
      <c r="R878" s="712"/>
      <c r="S878" s="712"/>
      <c r="T878" s="712"/>
      <c r="U878" s="712"/>
      <c r="V878" s="712"/>
      <c r="W878" s="712"/>
      <c r="X878" s="712"/>
      <c r="Y878" s="712"/>
      <c r="Z878" s="712"/>
      <c r="AA878" s="712"/>
      <c r="AB878" s="712"/>
      <c r="AC878" s="712"/>
      <c r="AD878" s="712"/>
      <c r="AE878" s="712"/>
      <c r="AF878" s="712"/>
      <c r="AG878" s="712"/>
      <c r="AH878" s="712"/>
      <c r="AI878" s="712"/>
      <c r="AJ878" s="712"/>
      <c r="AK878" s="712"/>
      <c r="AL878" s="712"/>
      <c r="AM878" s="712"/>
      <c r="AN878" s="712"/>
      <c r="AO878" s="712"/>
    </row>
    <row r="879">
      <c r="G879" s="712"/>
      <c r="H879" s="712"/>
      <c r="I879" s="712"/>
      <c r="J879" s="712"/>
      <c r="K879" s="712"/>
      <c r="L879" s="712"/>
      <c r="M879" s="712"/>
      <c r="N879" s="712"/>
      <c r="O879" s="712"/>
      <c r="P879" s="712"/>
      <c r="Q879" s="712"/>
      <c r="R879" s="712"/>
      <c r="S879" s="712"/>
      <c r="T879" s="712"/>
      <c r="U879" s="712"/>
      <c r="V879" s="712"/>
      <c r="W879" s="712"/>
      <c r="X879" s="712"/>
      <c r="Y879" s="712"/>
      <c r="Z879" s="712"/>
      <c r="AA879" s="712"/>
      <c r="AB879" s="712"/>
      <c r="AC879" s="712"/>
      <c r="AD879" s="712"/>
      <c r="AE879" s="712"/>
      <c r="AF879" s="712"/>
      <c r="AG879" s="712"/>
      <c r="AH879" s="712"/>
      <c r="AI879" s="712"/>
      <c r="AJ879" s="712"/>
      <c r="AK879" s="712"/>
      <c r="AL879" s="712"/>
      <c r="AM879" s="712"/>
      <c r="AN879" s="712"/>
      <c r="AO879" s="712"/>
    </row>
    <row r="880">
      <c r="G880" s="712"/>
      <c r="H880" s="712"/>
      <c r="I880" s="712"/>
      <c r="J880" s="712"/>
      <c r="K880" s="712"/>
      <c r="L880" s="712"/>
      <c r="M880" s="712"/>
      <c r="N880" s="712"/>
      <c r="O880" s="712"/>
      <c r="P880" s="712"/>
      <c r="Q880" s="712"/>
      <c r="R880" s="712"/>
      <c r="S880" s="712"/>
      <c r="T880" s="712"/>
      <c r="U880" s="712"/>
      <c r="V880" s="712"/>
      <c r="W880" s="712"/>
      <c r="X880" s="712"/>
      <c r="Y880" s="712"/>
      <c r="Z880" s="712"/>
      <c r="AA880" s="712"/>
      <c r="AB880" s="712"/>
      <c r="AC880" s="712"/>
      <c r="AD880" s="712"/>
      <c r="AE880" s="712"/>
      <c r="AF880" s="712"/>
      <c r="AG880" s="712"/>
      <c r="AH880" s="712"/>
      <c r="AI880" s="712"/>
      <c r="AJ880" s="712"/>
      <c r="AK880" s="712"/>
      <c r="AL880" s="712"/>
      <c r="AM880" s="712"/>
      <c r="AN880" s="712"/>
      <c r="AO880" s="712"/>
    </row>
    <row r="881">
      <c r="G881" s="712"/>
      <c r="H881" s="712"/>
      <c r="I881" s="712"/>
      <c r="J881" s="712"/>
      <c r="K881" s="712"/>
      <c r="L881" s="712"/>
      <c r="M881" s="712"/>
      <c r="N881" s="712"/>
      <c r="O881" s="712"/>
      <c r="P881" s="712"/>
      <c r="Q881" s="712"/>
      <c r="R881" s="712"/>
      <c r="S881" s="712"/>
      <c r="T881" s="712"/>
      <c r="U881" s="712"/>
      <c r="V881" s="712"/>
      <c r="W881" s="712"/>
      <c r="X881" s="712"/>
      <c r="Y881" s="712"/>
      <c r="Z881" s="712"/>
      <c r="AA881" s="712"/>
      <c r="AB881" s="712"/>
      <c r="AC881" s="712"/>
      <c r="AD881" s="712"/>
      <c r="AE881" s="712"/>
      <c r="AF881" s="712"/>
      <c r="AG881" s="712"/>
      <c r="AH881" s="712"/>
      <c r="AI881" s="712"/>
      <c r="AJ881" s="712"/>
      <c r="AK881" s="712"/>
      <c r="AL881" s="712"/>
      <c r="AM881" s="712"/>
      <c r="AN881" s="712"/>
      <c r="AO881" s="712"/>
    </row>
    <row r="882">
      <c r="G882" s="712"/>
      <c r="H882" s="712"/>
      <c r="I882" s="712"/>
      <c r="J882" s="712"/>
      <c r="K882" s="712"/>
      <c r="L882" s="712"/>
      <c r="M882" s="712"/>
      <c r="N882" s="712"/>
      <c r="O882" s="712"/>
      <c r="P882" s="712"/>
      <c r="Q882" s="712"/>
      <c r="R882" s="712"/>
      <c r="S882" s="712"/>
      <c r="T882" s="712"/>
      <c r="U882" s="712"/>
      <c r="V882" s="712"/>
      <c r="W882" s="712"/>
      <c r="X882" s="712"/>
      <c r="Y882" s="712"/>
      <c r="Z882" s="712"/>
      <c r="AA882" s="712"/>
      <c r="AB882" s="712"/>
      <c r="AC882" s="712"/>
      <c r="AD882" s="712"/>
      <c r="AE882" s="712"/>
      <c r="AF882" s="712"/>
      <c r="AG882" s="712"/>
      <c r="AH882" s="712"/>
      <c r="AI882" s="712"/>
      <c r="AJ882" s="712"/>
      <c r="AK882" s="712"/>
      <c r="AL882" s="712"/>
      <c r="AM882" s="712"/>
      <c r="AN882" s="712"/>
      <c r="AO882" s="712"/>
    </row>
    <row r="883">
      <c r="G883" s="712"/>
      <c r="H883" s="712"/>
      <c r="I883" s="712"/>
      <c r="J883" s="712"/>
      <c r="K883" s="712"/>
      <c r="L883" s="712"/>
      <c r="M883" s="712"/>
      <c r="N883" s="712"/>
      <c r="O883" s="712"/>
      <c r="P883" s="712"/>
      <c r="Q883" s="712"/>
      <c r="R883" s="712"/>
      <c r="S883" s="712"/>
      <c r="T883" s="712"/>
      <c r="U883" s="712"/>
      <c r="V883" s="712"/>
      <c r="W883" s="712"/>
      <c r="X883" s="712"/>
      <c r="Y883" s="712"/>
      <c r="Z883" s="712"/>
      <c r="AA883" s="712"/>
      <c r="AB883" s="712"/>
      <c r="AC883" s="712"/>
      <c r="AD883" s="712"/>
      <c r="AE883" s="712"/>
      <c r="AF883" s="712"/>
      <c r="AG883" s="712"/>
      <c r="AH883" s="712"/>
      <c r="AI883" s="712"/>
      <c r="AJ883" s="712"/>
      <c r="AK883" s="712"/>
      <c r="AL883" s="712"/>
      <c r="AM883" s="712"/>
      <c r="AN883" s="712"/>
      <c r="AO883" s="712"/>
    </row>
    <row r="884">
      <c r="G884" s="712"/>
      <c r="H884" s="712"/>
      <c r="I884" s="712"/>
      <c r="J884" s="712"/>
      <c r="K884" s="712"/>
      <c r="L884" s="712"/>
      <c r="M884" s="712"/>
      <c r="N884" s="712"/>
      <c r="O884" s="712"/>
      <c r="P884" s="712"/>
      <c r="Q884" s="712"/>
      <c r="R884" s="712"/>
      <c r="S884" s="712"/>
      <c r="T884" s="712"/>
      <c r="U884" s="712"/>
      <c r="V884" s="712"/>
      <c r="W884" s="712"/>
      <c r="X884" s="712"/>
      <c r="Y884" s="712"/>
      <c r="Z884" s="712"/>
      <c r="AA884" s="712"/>
      <c r="AB884" s="712"/>
      <c r="AC884" s="712"/>
      <c r="AD884" s="712"/>
      <c r="AE884" s="712"/>
      <c r="AF884" s="712"/>
      <c r="AG884" s="712"/>
      <c r="AH884" s="712"/>
      <c r="AI884" s="712"/>
      <c r="AJ884" s="712"/>
      <c r="AK884" s="712"/>
      <c r="AL884" s="712"/>
      <c r="AM884" s="712"/>
      <c r="AN884" s="712"/>
      <c r="AO884" s="712"/>
    </row>
    <row r="885">
      <c r="G885" s="712"/>
      <c r="H885" s="712"/>
      <c r="I885" s="712"/>
      <c r="J885" s="712"/>
      <c r="K885" s="712"/>
      <c r="L885" s="712"/>
      <c r="M885" s="712"/>
      <c r="N885" s="712"/>
      <c r="O885" s="712"/>
      <c r="P885" s="712"/>
      <c r="Q885" s="712"/>
      <c r="R885" s="712"/>
      <c r="S885" s="712"/>
      <c r="T885" s="712"/>
      <c r="U885" s="712"/>
      <c r="V885" s="712"/>
      <c r="W885" s="712"/>
      <c r="X885" s="712"/>
      <c r="Y885" s="712"/>
      <c r="Z885" s="712"/>
      <c r="AA885" s="712"/>
      <c r="AB885" s="712"/>
      <c r="AC885" s="712"/>
      <c r="AD885" s="712"/>
      <c r="AE885" s="712"/>
      <c r="AF885" s="712"/>
      <c r="AG885" s="712"/>
      <c r="AH885" s="712"/>
      <c r="AI885" s="712"/>
      <c r="AJ885" s="712"/>
      <c r="AK885" s="712"/>
      <c r="AL885" s="712"/>
      <c r="AM885" s="712"/>
      <c r="AN885" s="712"/>
      <c r="AO885" s="712"/>
    </row>
    <row r="886">
      <c r="G886" s="712"/>
      <c r="H886" s="712"/>
      <c r="I886" s="712"/>
      <c r="J886" s="712"/>
      <c r="K886" s="712"/>
      <c r="L886" s="712"/>
      <c r="M886" s="712"/>
      <c r="N886" s="712"/>
      <c r="O886" s="712"/>
      <c r="P886" s="712"/>
      <c r="Q886" s="712"/>
      <c r="R886" s="712"/>
      <c r="S886" s="712"/>
      <c r="T886" s="712"/>
      <c r="U886" s="712"/>
      <c r="V886" s="712"/>
      <c r="W886" s="712"/>
      <c r="X886" s="712"/>
      <c r="Y886" s="712"/>
      <c r="Z886" s="712"/>
      <c r="AA886" s="712"/>
      <c r="AB886" s="712"/>
      <c r="AC886" s="712"/>
      <c r="AD886" s="712"/>
      <c r="AE886" s="712"/>
      <c r="AF886" s="712"/>
      <c r="AG886" s="712"/>
      <c r="AH886" s="712"/>
      <c r="AI886" s="712"/>
      <c r="AJ886" s="712"/>
      <c r="AK886" s="712"/>
      <c r="AL886" s="712"/>
      <c r="AM886" s="712"/>
      <c r="AN886" s="712"/>
      <c r="AO886" s="712"/>
    </row>
    <row r="887">
      <c r="G887" s="712"/>
      <c r="H887" s="712"/>
      <c r="I887" s="712"/>
      <c r="J887" s="712"/>
      <c r="K887" s="712"/>
      <c r="L887" s="712"/>
      <c r="M887" s="712"/>
      <c r="N887" s="712"/>
      <c r="O887" s="712"/>
      <c r="P887" s="712"/>
      <c r="Q887" s="712"/>
      <c r="R887" s="712"/>
      <c r="S887" s="712"/>
      <c r="T887" s="712"/>
      <c r="U887" s="712"/>
      <c r="V887" s="712"/>
      <c r="W887" s="712"/>
      <c r="X887" s="712"/>
      <c r="Y887" s="712"/>
      <c r="Z887" s="712"/>
      <c r="AA887" s="712"/>
      <c r="AB887" s="712"/>
      <c r="AC887" s="712"/>
      <c r="AD887" s="712"/>
      <c r="AE887" s="712"/>
      <c r="AF887" s="712"/>
      <c r="AG887" s="712"/>
      <c r="AH887" s="712"/>
      <c r="AI887" s="712"/>
      <c r="AJ887" s="712"/>
      <c r="AK887" s="712"/>
      <c r="AL887" s="712"/>
      <c r="AM887" s="712"/>
      <c r="AN887" s="712"/>
      <c r="AO887" s="712"/>
    </row>
    <row r="888">
      <c r="G888" s="712"/>
      <c r="H888" s="712"/>
      <c r="I888" s="712"/>
      <c r="J888" s="712"/>
      <c r="K888" s="712"/>
      <c r="L888" s="712"/>
      <c r="M888" s="712"/>
      <c r="N888" s="712"/>
      <c r="O888" s="712"/>
      <c r="P888" s="712"/>
      <c r="Q888" s="712"/>
      <c r="R888" s="712"/>
      <c r="S888" s="712"/>
      <c r="T888" s="712"/>
      <c r="U888" s="712"/>
      <c r="V888" s="712"/>
      <c r="W888" s="712"/>
      <c r="X888" s="712"/>
      <c r="Y888" s="712"/>
      <c r="Z888" s="712"/>
      <c r="AA888" s="712"/>
      <c r="AB888" s="712"/>
      <c r="AC888" s="712"/>
      <c r="AD888" s="712"/>
      <c r="AE888" s="712"/>
      <c r="AF888" s="712"/>
      <c r="AG888" s="712"/>
      <c r="AH888" s="712"/>
      <c r="AI888" s="712"/>
      <c r="AJ888" s="712"/>
      <c r="AK888" s="712"/>
      <c r="AL888" s="712"/>
      <c r="AM888" s="712"/>
      <c r="AN888" s="712"/>
      <c r="AO888" s="712"/>
    </row>
    <row r="889">
      <c r="G889" s="712"/>
      <c r="H889" s="712"/>
      <c r="I889" s="712"/>
      <c r="J889" s="712"/>
      <c r="K889" s="712"/>
      <c r="L889" s="712"/>
      <c r="M889" s="712"/>
      <c r="N889" s="712"/>
      <c r="O889" s="712"/>
      <c r="P889" s="712"/>
      <c r="Q889" s="712"/>
      <c r="R889" s="712"/>
      <c r="S889" s="712"/>
      <c r="T889" s="712"/>
      <c r="U889" s="712"/>
      <c r="V889" s="712"/>
      <c r="W889" s="712"/>
      <c r="X889" s="712"/>
      <c r="Y889" s="712"/>
      <c r="Z889" s="712"/>
      <c r="AA889" s="712"/>
      <c r="AB889" s="712"/>
      <c r="AC889" s="712"/>
      <c r="AD889" s="712"/>
      <c r="AE889" s="712"/>
      <c r="AF889" s="712"/>
      <c r="AG889" s="712"/>
      <c r="AH889" s="712"/>
      <c r="AI889" s="712"/>
      <c r="AJ889" s="712"/>
      <c r="AK889" s="712"/>
      <c r="AL889" s="712"/>
      <c r="AM889" s="712"/>
      <c r="AN889" s="712"/>
      <c r="AO889" s="712"/>
    </row>
    <row r="890">
      <c r="G890" s="712"/>
      <c r="H890" s="712"/>
      <c r="I890" s="712"/>
      <c r="J890" s="712"/>
      <c r="K890" s="712"/>
      <c r="L890" s="712"/>
      <c r="M890" s="712"/>
      <c r="N890" s="712"/>
      <c r="O890" s="712"/>
      <c r="P890" s="712"/>
      <c r="Q890" s="712"/>
      <c r="R890" s="712"/>
      <c r="S890" s="712"/>
      <c r="T890" s="712"/>
      <c r="U890" s="712"/>
      <c r="V890" s="712"/>
      <c r="W890" s="712"/>
      <c r="X890" s="712"/>
      <c r="Y890" s="712"/>
      <c r="Z890" s="712"/>
      <c r="AA890" s="712"/>
      <c r="AB890" s="712"/>
      <c r="AC890" s="712"/>
      <c r="AD890" s="712"/>
      <c r="AE890" s="712"/>
      <c r="AF890" s="712"/>
      <c r="AG890" s="712"/>
      <c r="AH890" s="712"/>
      <c r="AI890" s="712"/>
      <c r="AJ890" s="712"/>
      <c r="AK890" s="712"/>
      <c r="AL890" s="712"/>
      <c r="AM890" s="712"/>
      <c r="AN890" s="712"/>
      <c r="AO890" s="712"/>
    </row>
    <row r="891">
      <c r="G891" s="712"/>
      <c r="H891" s="712"/>
      <c r="I891" s="712"/>
      <c r="J891" s="712"/>
      <c r="K891" s="712"/>
      <c r="L891" s="712"/>
      <c r="M891" s="712"/>
      <c r="N891" s="712"/>
      <c r="O891" s="712"/>
      <c r="P891" s="712"/>
      <c r="Q891" s="712"/>
      <c r="R891" s="712"/>
      <c r="S891" s="712"/>
      <c r="T891" s="712"/>
      <c r="U891" s="712"/>
      <c r="V891" s="712"/>
      <c r="W891" s="712"/>
      <c r="X891" s="712"/>
      <c r="Y891" s="712"/>
      <c r="Z891" s="712"/>
      <c r="AA891" s="712"/>
      <c r="AB891" s="712"/>
      <c r="AC891" s="712"/>
      <c r="AD891" s="712"/>
      <c r="AE891" s="712"/>
      <c r="AF891" s="712"/>
      <c r="AG891" s="712"/>
      <c r="AH891" s="712"/>
      <c r="AI891" s="712"/>
      <c r="AJ891" s="712"/>
      <c r="AK891" s="712"/>
      <c r="AL891" s="712"/>
      <c r="AM891" s="712"/>
      <c r="AN891" s="712"/>
      <c r="AO891" s="712"/>
    </row>
    <row r="892">
      <c r="G892" s="712"/>
      <c r="H892" s="712"/>
      <c r="I892" s="712"/>
      <c r="J892" s="712"/>
      <c r="K892" s="712"/>
      <c r="L892" s="712"/>
      <c r="M892" s="712"/>
      <c r="N892" s="712"/>
      <c r="O892" s="712"/>
      <c r="P892" s="712"/>
      <c r="Q892" s="712"/>
      <c r="R892" s="712"/>
      <c r="S892" s="712"/>
      <c r="T892" s="712"/>
      <c r="U892" s="712"/>
      <c r="V892" s="712"/>
      <c r="W892" s="712"/>
      <c r="X892" s="712"/>
      <c r="Y892" s="712"/>
      <c r="Z892" s="712"/>
      <c r="AA892" s="712"/>
      <c r="AB892" s="712"/>
      <c r="AC892" s="712"/>
      <c r="AD892" s="712"/>
      <c r="AE892" s="712"/>
      <c r="AF892" s="712"/>
      <c r="AG892" s="712"/>
      <c r="AH892" s="712"/>
      <c r="AI892" s="712"/>
      <c r="AJ892" s="712"/>
      <c r="AK892" s="712"/>
      <c r="AL892" s="712"/>
      <c r="AM892" s="712"/>
      <c r="AN892" s="712"/>
      <c r="AO892" s="712"/>
    </row>
    <row r="893">
      <c r="G893" s="712"/>
      <c r="H893" s="712"/>
      <c r="I893" s="712"/>
      <c r="J893" s="712"/>
      <c r="K893" s="712"/>
      <c r="L893" s="712"/>
      <c r="M893" s="712"/>
      <c r="N893" s="712"/>
      <c r="O893" s="712"/>
      <c r="P893" s="712"/>
      <c r="Q893" s="712"/>
      <c r="R893" s="712"/>
      <c r="S893" s="712"/>
      <c r="T893" s="712"/>
      <c r="U893" s="712"/>
      <c r="V893" s="712"/>
      <c r="W893" s="712"/>
      <c r="X893" s="712"/>
      <c r="Y893" s="712"/>
      <c r="Z893" s="712"/>
      <c r="AA893" s="712"/>
      <c r="AB893" s="712"/>
      <c r="AC893" s="712"/>
      <c r="AD893" s="712"/>
      <c r="AE893" s="712"/>
      <c r="AF893" s="712"/>
      <c r="AG893" s="712"/>
      <c r="AH893" s="712"/>
      <c r="AI893" s="712"/>
      <c r="AJ893" s="712"/>
      <c r="AK893" s="712"/>
      <c r="AL893" s="712"/>
      <c r="AM893" s="712"/>
      <c r="AN893" s="712"/>
      <c r="AO893" s="712"/>
    </row>
    <row r="894">
      <c r="G894" s="712"/>
      <c r="H894" s="712"/>
      <c r="I894" s="712"/>
      <c r="J894" s="712"/>
      <c r="K894" s="712"/>
      <c r="L894" s="712"/>
      <c r="M894" s="712"/>
      <c r="N894" s="712"/>
      <c r="O894" s="712"/>
      <c r="P894" s="712"/>
      <c r="Q894" s="712"/>
      <c r="R894" s="712"/>
      <c r="S894" s="712"/>
      <c r="T894" s="712"/>
      <c r="U894" s="712"/>
      <c r="V894" s="712"/>
      <c r="W894" s="712"/>
      <c r="X894" s="712"/>
      <c r="Y894" s="712"/>
      <c r="Z894" s="712"/>
      <c r="AA894" s="712"/>
      <c r="AB894" s="712"/>
      <c r="AC894" s="712"/>
      <c r="AD894" s="712"/>
      <c r="AE894" s="712"/>
      <c r="AF894" s="712"/>
      <c r="AG894" s="712"/>
      <c r="AH894" s="712"/>
      <c r="AI894" s="712"/>
      <c r="AJ894" s="712"/>
      <c r="AK894" s="712"/>
      <c r="AL894" s="712"/>
      <c r="AM894" s="712"/>
      <c r="AN894" s="712"/>
      <c r="AO894" s="712"/>
    </row>
    <row r="895">
      <c r="G895" s="712"/>
      <c r="H895" s="712"/>
      <c r="I895" s="712"/>
      <c r="J895" s="712"/>
      <c r="K895" s="712"/>
      <c r="L895" s="712"/>
      <c r="M895" s="712"/>
      <c r="N895" s="712"/>
      <c r="O895" s="712"/>
      <c r="P895" s="712"/>
      <c r="Q895" s="712"/>
      <c r="R895" s="712"/>
      <c r="S895" s="712"/>
      <c r="T895" s="712"/>
      <c r="U895" s="712"/>
      <c r="V895" s="712"/>
      <c r="W895" s="712"/>
      <c r="X895" s="712"/>
      <c r="Y895" s="712"/>
      <c r="Z895" s="712"/>
      <c r="AA895" s="712"/>
      <c r="AB895" s="712"/>
      <c r="AC895" s="712"/>
      <c r="AD895" s="712"/>
      <c r="AE895" s="712"/>
      <c r="AF895" s="712"/>
      <c r="AG895" s="712"/>
      <c r="AH895" s="712"/>
      <c r="AI895" s="712"/>
      <c r="AJ895" s="712"/>
      <c r="AK895" s="712"/>
      <c r="AL895" s="712"/>
      <c r="AM895" s="712"/>
      <c r="AN895" s="712"/>
      <c r="AO895" s="712"/>
    </row>
    <row r="896">
      <c r="G896" s="712"/>
      <c r="H896" s="712"/>
      <c r="I896" s="712"/>
      <c r="J896" s="712"/>
      <c r="K896" s="712"/>
      <c r="L896" s="712"/>
      <c r="M896" s="712"/>
      <c r="N896" s="712"/>
      <c r="O896" s="712"/>
      <c r="P896" s="712"/>
      <c r="Q896" s="712"/>
      <c r="R896" s="712"/>
      <c r="S896" s="712"/>
      <c r="T896" s="712"/>
      <c r="U896" s="712"/>
      <c r="V896" s="712"/>
      <c r="W896" s="712"/>
      <c r="X896" s="712"/>
      <c r="Y896" s="712"/>
      <c r="Z896" s="712"/>
      <c r="AA896" s="712"/>
      <c r="AB896" s="712"/>
      <c r="AC896" s="712"/>
      <c r="AD896" s="712"/>
      <c r="AE896" s="712"/>
      <c r="AF896" s="712"/>
      <c r="AG896" s="712"/>
      <c r="AH896" s="712"/>
      <c r="AI896" s="712"/>
      <c r="AJ896" s="712"/>
      <c r="AK896" s="712"/>
      <c r="AL896" s="712"/>
      <c r="AM896" s="712"/>
      <c r="AN896" s="712"/>
      <c r="AO896" s="712"/>
    </row>
    <row r="897">
      <c r="G897" s="712"/>
      <c r="H897" s="712"/>
      <c r="I897" s="712"/>
      <c r="J897" s="712"/>
      <c r="K897" s="712"/>
      <c r="L897" s="712"/>
      <c r="M897" s="712"/>
      <c r="N897" s="712"/>
      <c r="O897" s="712"/>
      <c r="P897" s="712"/>
      <c r="Q897" s="712"/>
      <c r="R897" s="712"/>
      <c r="S897" s="712"/>
      <c r="T897" s="712"/>
      <c r="U897" s="712"/>
      <c r="V897" s="712"/>
      <c r="W897" s="712"/>
      <c r="X897" s="712"/>
      <c r="Y897" s="712"/>
      <c r="Z897" s="712"/>
      <c r="AA897" s="712"/>
      <c r="AB897" s="712"/>
      <c r="AC897" s="712"/>
      <c r="AD897" s="712"/>
      <c r="AE897" s="712"/>
      <c r="AF897" s="712"/>
      <c r="AG897" s="712"/>
      <c r="AH897" s="712"/>
      <c r="AI897" s="712"/>
      <c r="AJ897" s="712"/>
      <c r="AK897" s="712"/>
      <c r="AL897" s="712"/>
      <c r="AM897" s="712"/>
      <c r="AN897" s="712"/>
      <c r="AO897" s="712"/>
    </row>
    <row r="898">
      <c r="G898" s="712"/>
      <c r="H898" s="712"/>
      <c r="I898" s="712"/>
      <c r="J898" s="712"/>
      <c r="K898" s="712"/>
      <c r="L898" s="712"/>
      <c r="M898" s="712"/>
      <c r="N898" s="712"/>
      <c r="O898" s="712"/>
      <c r="P898" s="712"/>
      <c r="Q898" s="712"/>
      <c r="R898" s="712"/>
      <c r="S898" s="712"/>
      <c r="T898" s="712"/>
      <c r="U898" s="712"/>
      <c r="V898" s="712"/>
      <c r="W898" s="712"/>
      <c r="X898" s="712"/>
      <c r="Y898" s="712"/>
      <c r="Z898" s="712"/>
      <c r="AA898" s="712"/>
      <c r="AB898" s="712"/>
      <c r="AC898" s="712"/>
      <c r="AD898" s="712"/>
      <c r="AE898" s="712"/>
      <c r="AF898" s="712"/>
      <c r="AG898" s="712"/>
      <c r="AH898" s="712"/>
      <c r="AI898" s="712"/>
      <c r="AJ898" s="712"/>
      <c r="AK898" s="712"/>
      <c r="AL898" s="712"/>
      <c r="AM898" s="712"/>
      <c r="AN898" s="712"/>
      <c r="AO898" s="712"/>
    </row>
    <row r="899">
      <c r="G899" s="712"/>
      <c r="H899" s="712"/>
      <c r="I899" s="712"/>
      <c r="J899" s="712"/>
      <c r="K899" s="712"/>
      <c r="L899" s="712"/>
      <c r="M899" s="712"/>
      <c r="N899" s="712"/>
      <c r="O899" s="712"/>
      <c r="P899" s="712"/>
      <c r="Q899" s="712"/>
      <c r="R899" s="712"/>
      <c r="S899" s="712"/>
      <c r="T899" s="712"/>
      <c r="U899" s="712"/>
      <c r="V899" s="712"/>
      <c r="W899" s="712"/>
      <c r="X899" s="712"/>
      <c r="Y899" s="712"/>
      <c r="Z899" s="712"/>
      <c r="AA899" s="712"/>
      <c r="AB899" s="712"/>
      <c r="AC899" s="712"/>
      <c r="AD899" s="712"/>
      <c r="AE899" s="712"/>
      <c r="AF899" s="712"/>
      <c r="AG899" s="712"/>
      <c r="AH899" s="712"/>
      <c r="AI899" s="712"/>
      <c r="AJ899" s="712"/>
      <c r="AK899" s="712"/>
      <c r="AL899" s="712"/>
      <c r="AM899" s="712"/>
      <c r="AN899" s="712"/>
      <c r="AO899" s="712"/>
    </row>
    <row r="900">
      <c r="G900" s="712"/>
      <c r="H900" s="712"/>
      <c r="I900" s="712"/>
      <c r="J900" s="712"/>
      <c r="K900" s="712"/>
      <c r="L900" s="712"/>
      <c r="M900" s="712"/>
      <c r="N900" s="712"/>
      <c r="O900" s="712"/>
      <c r="P900" s="712"/>
      <c r="Q900" s="712"/>
      <c r="R900" s="712"/>
      <c r="S900" s="712"/>
      <c r="T900" s="712"/>
      <c r="U900" s="712"/>
      <c r="V900" s="712"/>
      <c r="W900" s="712"/>
      <c r="X900" s="712"/>
      <c r="Y900" s="712"/>
      <c r="Z900" s="712"/>
      <c r="AA900" s="712"/>
      <c r="AB900" s="712"/>
      <c r="AC900" s="712"/>
      <c r="AD900" s="712"/>
      <c r="AE900" s="712"/>
      <c r="AF900" s="712"/>
      <c r="AG900" s="712"/>
      <c r="AH900" s="712"/>
      <c r="AI900" s="712"/>
      <c r="AJ900" s="712"/>
      <c r="AK900" s="712"/>
      <c r="AL900" s="712"/>
      <c r="AM900" s="712"/>
      <c r="AN900" s="712"/>
      <c r="AO900" s="712"/>
    </row>
    <row r="901">
      <c r="G901" s="712"/>
      <c r="H901" s="712"/>
      <c r="I901" s="712"/>
      <c r="J901" s="712"/>
      <c r="K901" s="712"/>
      <c r="L901" s="712"/>
      <c r="M901" s="712"/>
      <c r="N901" s="712"/>
      <c r="O901" s="712"/>
      <c r="P901" s="712"/>
      <c r="Q901" s="712"/>
      <c r="R901" s="712"/>
      <c r="S901" s="712"/>
      <c r="T901" s="712"/>
      <c r="U901" s="712"/>
      <c r="V901" s="712"/>
      <c r="W901" s="712"/>
      <c r="X901" s="712"/>
      <c r="Y901" s="712"/>
      <c r="Z901" s="712"/>
      <c r="AA901" s="712"/>
      <c r="AB901" s="712"/>
      <c r="AC901" s="712"/>
      <c r="AD901" s="712"/>
      <c r="AE901" s="712"/>
      <c r="AF901" s="712"/>
      <c r="AG901" s="712"/>
      <c r="AH901" s="712"/>
      <c r="AI901" s="712"/>
      <c r="AJ901" s="712"/>
      <c r="AK901" s="712"/>
      <c r="AL901" s="712"/>
      <c r="AM901" s="712"/>
      <c r="AN901" s="712"/>
      <c r="AO901" s="712"/>
    </row>
    <row r="902">
      <c r="G902" s="712"/>
      <c r="H902" s="712"/>
      <c r="I902" s="712"/>
      <c r="J902" s="712"/>
      <c r="K902" s="712"/>
      <c r="L902" s="712"/>
      <c r="M902" s="712"/>
      <c r="N902" s="712"/>
      <c r="O902" s="712"/>
      <c r="P902" s="712"/>
      <c r="Q902" s="712"/>
      <c r="R902" s="712"/>
      <c r="S902" s="712"/>
      <c r="T902" s="712"/>
      <c r="U902" s="712"/>
      <c r="V902" s="712"/>
      <c r="W902" s="712"/>
      <c r="X902" s="712"/>
      <c r="Y902" s="712"/>
      <c r="Z902" s="712"/>
      <c r="AA902" s="712"/>
      <c r="AB902" s="712"/>
      <c r="AC902" s="712"/>
      <c r="AD902" s="712"/>
      <c r="AE902" s="712"/>
      <c r="AF902" s="712"/>
      <c r="AG902" s="712"/>
      <c r="AH902" s="712"/>
      <c r="AI902" s="712"/>
      <c r="AJ902" s="712"/>
      <c r="AK902" s="712"/>
      <c r="AL902" s="712"/>
      <c r="AM902" s="712"/>
      <c r="AN902" s="712"/>
      <c r="AO902" s="712"/>
    </row>
    <row r="903">
      <c r="G903" s="712"/>
      <c r="H903" s="712"/>
      <c r="I903" s="712"/>
      <c r="J903" s="712"/>
      <c r="K903" s="712"/>
      <c r="L903" s="712"/>
      <c r="M903" s="712"/>
      <c r="N903" s="712"/>
      <c r="O903" s="712"/>
      <c r="P903" s="712"/>
      <c r="Q903" s="712"/>
      <c r="R903" s="712"/>
      <c r="S903" s="712"/>
      <c r="T903" s="712"/>
      <c r="U903" s="712"/>
      <c r="V903" s="712"/>
      <c r="W903" s="712"/>
      <c r="X903" s="712"/>
      <c r="Y903" s="712"/>
      <c r="Z903" s="712"/>
      <c r="AA903" s="712"/>
      <c r="AB903" s="712"/>
      <c r="AC903" s="712"/>
      <c r="AD903" s="712"/>
      <c r="AE903" s="712"/>
      <c r="AF903" s="712"/>
      <c r="AG903" s="712"/>
      <c r="AH903" s="712"/>
      <c r="AI903" s="712"/>
      <c r="AJ903" s="712"/>
      <c r="AK903" s="712"/>
      <c r="AL903" s="712"/>
      <c r="AM903" s="712"/>
      <c r="AN903" s="712"/>
      <c r="AO903" s="712"/>
    </row>
    <row r="904">
      <c r="G904" s="712"/>
      <c r="H904" s="712"/>
      <c r="I904" s="712"/>
      <c r="J904" s="712"/>
      <c r="K904" s="712"/>
      <c r="L904" s="712"/>
      <c r="M904" s="712"/>
      <c r="N904" s="712"/>
      <c r="O904" s="712"/>
      <c r="P904" s="712"/>
      <c r="Q904" s="712"/>
      <c r="R904" s="712"/>
      <c r="S904" s="712"/>
      <c r="T904" s="712"/>
      <c r="U904" s="712"/>
      <c r="V904" s="712"/>
      <c r="W904" s="712"/>
      <c r="X904" s="712"/>
      <c r="Y904" s="712"/>
      <c r="Z904" s="712"/>
      <c r="AA904" s="712"/>
      <c r="AB904" s="712"/>
      <c r="AC904" s="712"/>
      <c r="AD904" s="712"/>
      <c r="AE904" s="712"/>
      <c r="AF904" s="712"/>
      <c r="AG904" s="712"/>
      <c r="AH904" s="712"/>
      <c r="AI904" s="712"/>
      <c r="AJ904" s="712"/>
      <c r="AK904" s="712"/>
      <c r="AL904" s="712"/>
      <c r="AM904" s="712"/>
      <c r="AN904" s="712"/>
      <c r="AO904" s="712"/>
    </row>
    <row r="905">
      <c r="G905" s="712"/>
      <c r="H905" s="712"/>
      <c r="I905" s="712"/>
      <c r="J905" s="712"/>
      <c r="K905" s="712"/>
      <c r="L905" s="712"/>
      <c r="M905" s="712"/>
      <c r="N905" s="712"/>
      <c r="O905" s="712"/>
      <c r="P905" s="712"/>
      <c r="Q905" s="712"/>
      <c r="R905" s="712"/>
      <c r="S905" s="712"/>
      <c r="T905" s="712"/>
      <c r="U905" s="712"/>
      <c r="V905" s="712"/>
      <c r="W905" s="712"/>
      <c r="X905" s="712"/>
      <c r="Y905" s="712"/>
      <c r="Z905" s="712"/>
      <c r="AA905" s="712"/>
      <c r="AB905" s="712"/>
      <c r="AC905" s="712"/>
      <c r="AD905" s="712"/>
      <c r="AE905" s="712"/>
      <c r="AF905" s="712"/>
      <c r="AG905" s="712"/>
      <c r="AH905" s="712"/>
      <c r="AI905" s="712"/>
      <c r="AJ905" s="712"/>
      <c r="AK905" s="712"/>
      <c r="AL905" s="712"/>
      <c r="AM905" s="712"/>
      <c r="AN905" s="712"/>
      <c r="AO905" s="712"/>
    </row>
    <row r="906">
      <c r="G906" s="712"/>
      <c r="H906" s="712"/>
      <c r="I906" s="712"/>
      <c r="J906" s="712"/>
      <c r="K906" s="712"/>
      <c r="L906" s="712"/>
      <c r="M906" s="712"/>
      <c r="N906" s="712"/>
      <c r="O906" s="712"/>
      <c r="P906" s="712"/>
      <c r="Q906" s="712"/>
      <c r="R906" s="712"/>
      <c r="S906" s="712"/>
      <c r="T906" s="712"/>
      <c r="U906" s="712"/>
      <c r="V906" s="712"/>
      <c r="W906" s="712"/>
      <c r="X906" s="712"/>
      <c r="Y906" s="712"/>
      <c r="Z906" s="712"/>
      <c r="AA906" s="712"/>
      <c r="AB906" s="712"/>
      <c r="AC906" s="712"/>
      <c r="AD906" s="712"/>
      <c r="AE906" s="712"/>
      <c r="AF906" s="712"/>
      <c r="AG906" s="712"/>
      <c r="AH906" s="712"/>
      <c r="AI906" s="712"/>
      <c r="AJ906" s="712"/>
      <c r="AK906" s="712"/>
      <c r="AL906" s="712"/>
      <c r="AM906" s="712"/>
      <c r="AN906" s="712"/>
      <c r="AO906" s="712"/>
    </row>
    <row r="907">
      <c r="G907" s="712"/>
      <c r="H907" s="712"/>
      <c r="I907" s="712"/>
      <c r="J907" s="712"/>
      <c r="K907" s="712"/>
      <c r="L907" s="712"/>
      <c r="M907" s="712"/>
      <c r="N907" s="712"/>
      <c r="O907" s="712"/>
      <c r="P907" s="712"/>
      <c r="Q907" s="712"/>
      <c r="R907" s="712"/>
      <c r="S907" s="712"/>
      <c r="T907" s="712"/>
      <c r="U907" s="712"/>
      <c r="V907" s="712"/>
      <c r="W907" s="712"/>
      <c r="X907" s="712"/>
      <c r="Y907" s="712"/>
      <c r="Z907" s="712"/>
      <c r="AA907" s="712"/>
      <c r="AB907" s="712"/>
      <c r="AC907" s="712"/>
      <c r="AD907" s="712"/>
      <c r="AE907" s="712"/>
      <c r="AF907" s="712"/>
      <c r="AG907" s="712"/>
      <c r="AH907" s="712"/>
      <c r="AI907" s="712"/>
      <c r="AJ907" s="712"/>
      <c r="AK907" s="712"/>
      <c r="AL907" s="712"/>
      <c r="AM907" s="712"/>
      <c r="AN907" s="712"/>
      <c r="AO907" s="712"/>
    </row>
    <row r="908">
      <c r="G908" s="712"/>
      <c r="H908" s="712"/>
      <c r="I908" s="712"/>
      <c r="J908" s="712"/>
      <c r="K908" s="712"/>
      <c r="L908" s="712"/>
      <c r="M908" s="712"/>
      <c r="N908" s="712"/>
      <c r="O908" s="712"/>
      <c r="P908" s="712"/>
      <c r="Q908" s="712"/>
      <c r="R908" s="712"/>
      <c r="S908" s="712"/>
      <c r="T908" s="712"/>
      <c r="U908" s="712"/>
      <c r="V908" s="712"/>
      <c r="W908" s="712"/>
      <c r="X908" s="712"/>
      <c r="Y908" s="712"/>
      <c r="Z908" s="712"/>
      <c r="AA908" s="712"/>
      <c r="AB908" s="712"/>
      <c r="AC908" s="712"/>
      <c r="AD908" s="712"/>
      <c r="AE908" s="712"/>
      <c r="AF908" s="712"/>
      <c r="AG908" s="712"/>
      <c r="AH908" s="712"/>
      <c r="AI908" s="712"/>
      <c r="AJ908" s="712"/>
      <c r="AK908" s="712"/>
      <c r="AL908" s="712"/>
      <c r="AM908" s="712"/>
      <c r="AN908" s="712"/>
      <c r="AO908" s="712"/>
    </row>
    <row r="909">
      <c r="G909" s="712"/>
      <c r="H909" s="712"/>
      <c r="I909" s="712"/>
      <c r="J909" s="712"/>
      <c r="K909" s="712"/>
      <c r="L909" s="712"/>
      <c r="M909" s="712"/>
      <c r="N909" s="712"/>
      <c r="O909" s="712"/>
      <c r="P909" s="712"/>
      <c r="Q909" s="712"/>
      <c r="R909" s="712"/>
      <c r="S909" s="712"/>
      <c r="T909" s="712"/>
      <c r="U909" s="712"/>
      <c r="V909" s="712"/>
      <c r="W909" s="712"/>
      <c r="X909" s="712"/>
      <c r="Y909" s="712"/>
      <c r="Z909" s="712"/>
      <c r="AA909" s="712"/>
      <c r="AB909" s="712"/>
      <c r="AC909" s="712"/>
      <c r="AD909" s="712"/>
      <c r="AE909" s="712"/>
      <c r="AF909" s="712"/>
      <c r="AG909" s="712"/>
      <c r="AH909" s="712"/>
      <c r="AI909" s="712"/>
      <c r="AJ909" s="712"/>
      <c r="AK909" s="712"/>
      <c r="AL909" s="712"/>
      <c r="AM909" s="712"/>
      <c r="AN909" s="712"/>
      <c r="AO909" s="712"/>
    </row>
    <row r="910">
      <c r="G910" s="712"/>
      <c r="H910" s="712"/>
      <c r="I910" s="712"/>
      <c r="J910" s="712"/>
      <c r="K910" s="712"/>
      <c r="L910" s="712"/>
      <c r="M910" s="712"/>
      <c r="N910" s="712"/>
      <c r="O910" s="712"/>
      <c r="P910" s="712"/>
      <c r="Q910" s="712"/>
      <c r="R910" s="712"/>
      <c r="S910" s="712"/>
      <c r="T910" s="712"/>
      <c r="U910" s="712"/>
      <c r="V910" s="712"/>
      <c r="W910" s="712"/>
      <c r="X910" s="712"/>
      <c r="Y910" s="712"/>
      <c r="Z910" s="712"/>
      <c r="AA910" s="712"/>
      <c r="AB910" s="712"/>
      <c r="AC910" s="712"/>
      <c r="AD910" s="712"/>
      <c r="AE910" s="712"/>
      <c r="AF910" s="712"/>
      <c r="AG910" s="712"/>
      <c r="AH910" s="712"/>
      <c r="AI910" s="712"/>
      <c r="AJ910" s="712"/>
      <c r="AK910" s="712"/>
      <c r="AL910" s="712"/>
      <c r="AM910" s="712"/>
      <c r="AN910" s="712"/>
      <c r="AO910" s="712"/>
    </row>
    <row r="911">
      <c r="G911" s="712"/>
      <c r="H911" s="712"/>
      <c r="I911" s="712"/>
      <c r="J911" s="712"/>
      <c r="K911" s="712"/>
      <c r="L911" s="712"/>
      <c r="M911" s="712"/>
      <c r="N911" s="712"/>
      <c r="O911" s="712"/>
      <c r="P911" s="712"/>
      <c r="Q911" s="712"/>
      <c r="R911" s="712"/>
      <c r="S911" s="712"/>
      <c r="T911" s="712"/>
      <c r="U911" s="712"/>
      <c r="V911" s="712"/>
      <c r="W911" s="712"/>
      <c r="X911" s="712"/>
      <c r="Y911" s="712"/>
      <c r="Z911" s="712"/>
      <c r="AA911" s="712"/>
      <c r="AB911" s="712"/>
      <c r="AC911" s="712"/>
      <c r="AD911" s="712"/>
      <c r="AE911" s="712"/>
      <c r="AF911" s="712"/>
      <c r="AG911" s="712"/>
      <c r="AH911" s="712"/>
      <c r="AI911" s="712"/>
      <c r="AJ911" s="712"/>
      <c r="AK911" s="712"/>
      <c r="AL911" s="712"/>
      <c r="AM911" s="712"/>
      <c r="AN911" s="712"/>
      <c r="AO911" s="712"/>
    </row>
    <row r="912">
      <c r="G912" s="712"/>
      <c r="H912" s="712"/>
      <c r="I912" s="712"/>
      <c r="J912" s="712"/>
      <c r="K912" s="712"/>
      <c r="L912" s="712"/>
      <c r="M912" s="712"/>
      <c r="N912" s="712"/>
      <c r="O912" s="712"/>
      <c r="P912" s="712"/>
      <c r="Q912" s="712"/>
      <c r="R912" s="712"/>
      <c r="S912" s="712"/>
      <c r="T912" s="712"/>
      <c r="U912" s="712"/>
      <c r="V912" s="712"/>
      <c r="W912" s="712"/>
      <c r="X912" s="712"/>
      <c r="Y912" s="712"/>
      <c r="Z912" s="712"/>
      <c r="AA912" s="712"/>
      <c r="AB912" s="712"/>
      <c r="AC912" s="712"/>
      <c r="AD912" s="712"/>
      <c r="AE912" s="712"/>
      <c r="AF912" s="712"/>
      <c r="AG912" s="712"/>
      <c r="AH912" s="712"/>
      <c r="AI912" s="712"/>
      <c r="AJ912" s="712"/>
      <c r="AK912" s="712"/>
      <c r="AL912" s="712"/>
      <c r="AM912" s="712"/>
      <c r="AN912" s="712"/>
      <c r="AO912" s="712"/>
    </row>
    <row r="913">
      <c r="G913" s="712"/>
      <c r="H913" s="712"/>
      <c r="I913" s="712"/>
      <c r="J913" s="712"/>
      <c r="K913" s="712"/>
      <c r="L913" s="712"/>
      <c r="M913" s="712"/>
      <c r="N913" s="712"/>
      <c r="O913" s="712"/>
      <c r="P913" s="712"/>
      <c r="Q913" s="712"/>
      <c r="R913" s="712"/>
      <c r="S913" s="712"/>
      <c r="T913" s="712"/>
      <c r="U913" s="712"/>
      <c r="V913" s="712"/>
      <c r="W913" s="712"/>
      <c r="X913" s="712"/>
      <c r="Y913" s="712"/>
      <c r="Z913" s="712"/>
      <c r="AA913" s="712"/>
      <c r="AB913" s="712"/>
      <c r="AC913" s="712"/>
      <c r="AD913" s="712"/>
      <c r="AE913" s="712"/>
      <c r="AF913" s="712"/>
      <c r="AG913" s="712"/>
      <c r="AH913" s="712"/>
      <c r="AI913" s="712"/>
      <c r="AJ913" s="712"/>
      <c r="AK913" s="712"/>
      <c r="AL913" s="712"/>
      <c r="AM913" s="712"/>
      <c r="AN913" s="712"/>
      <c r="AO913" s="712"/>
    </row>
    <row r="914">
      <c r="G914" s="712"/>
      <c r="H914" s="712"/>
      <c r="I914" s="712"/>
      <c r="J914" s="712"/>
      <c r="K914" s="712"/>
      <c r="L914" s="712"/>
      <c r="M914" s="712"/>
      <c r="N914" s="712"/>
      <c r="O914" s="712"/>
      <c r="P914" s="712"/>
      <c r="Q914" s="712"/>
      <c r="R914" s="712"/>
      <c r="S914" s="712"/>
      <c r="T914" s="712"/>
      <c r="U914" s="712"/>
      <c r="V914" s="712"/>
      <c r="W914" s="712"/>
      <c r="X914" s="712"/>
      <c r="Y914" s="712"/>
      <c r="Z914" s="712"/>
      <c r="AA914" s="712"/>
      <c r="AB914" s="712"/>
      <c r="AC914" s="712"/>
      <c r="AD914" s="712"/>
      <c r="AE914" s="712"/>
      <c r="AF914" s="712"/>
      <c r="AG914" s="712"/>
      <c r="AH914" s="712"/>
      <c r="AI914" s="712"/>
      <c r="AJ914" s="712"/>
      <c r="AK914" s="712"/>
      <c r="AL914" s="712"/>
      <c r="AM914" s="712"/>
      <c r="AN914" s="712"/>
      <c r="AO914" s="712"/>
    </row>
    <row r="915">
      <c r="G915" s="712"/>
      <c r="H915" s="712"/>
      <c r="I915" s="712"/>
      <c r="J915" s="712"/>
      <c r="K915" s="712"/>
      <c r="L915" s="712"/>
      <c r="M915" s="712"/>
      <c r="N915" s="712"/>
      <c r="O915" s="712"/>
      <c r="P915" s="712"/>
      <c r="Q915" s="712"/>
      <c r="R915" s="712"/>
      <c r="S915" s="712"/>
      <c r="T915" s="712"/>
      <c r="U915" s="712"/>
      <c r="V915" s="712"/>
      <c r="W915" s="712"/>
      <c r="X915" s="712"/>
      <c r="Y915" s="712"/>
      <c r="Z915" s="712"/>
      <c r="AA915" s="712"/>
      <c r="AB915" s="712"/>
      <c r="AC915" s="712"/>
      <c r="AD915" s="712"/>
      <c r="AE915" s="712"/>
      <c r="AF915" s="712"/>
      <c r="AG915" s="712"/>
      <c r="AH915" s="712"/>
      <c r="AI915" s="712"/>
      <c r="AJ915" s="712"/>
      <c r="AK915" s="712"/>
      <c r="AL915" s="712"/>
      <c r="AM915" s="712"/>
      <c r="AN915" s="712"/>
      <c r="AO915" s="712"/>
    </row>
    <row r="916">
      <c r="G916" s="712"/>
      <c r="H916" s="712"/>
      <c r="I916" s="712"/>
      <c r="J916" s="712"/>
      <c r="K916" s="712"/>
      <c r="L916" s="712"/>
      <c r="M916" s="712"/>
      <c r="N916" s="712"/>
      <c r="O916" s="712"/>
      <c r="P916" s="712"/>
      <c r="Q916" s="712"/>
      <c r="R916" s="712"/>
      <c r="S916" s="712"/>
      <c r="T916" s="712"/>
      <c r="U916" s="712"/>
      <c r="V916" s="712"/>
      <c r="W916" s="712"/>
      <c r="X916" s="712"/>
      <c r="Y916" s="712"/>
      <c r="Z916" s="712"/>
      <c r="AA916" s="712"/>
      <c r="AB916" s="712"/>
      <c r="AC916" s="712"/>
      <c r="AD916" s="712"/>
      <c r="AE916" s="712"/>
      <c r="AF916" s="712"/>
      <c r="AG916" s="712"/>
      <c r="AH916" s="712"/>
      <c r="AI916" s="712"/>
      <c r="AJ916" s="712"/>
      <c r="AK916" s="712"/>
      <c r="AL916" s="712"/>
      <c r="AM916" s="712"/>
      <c r="AN916" s="712"/>
      <c r="AO916" s="712"/>
    </row>
    <row r="917">
      <c r="G917" s="712"/>
      <c r="H917" s="712"/>
      <c r="I917" s="712"/>
      <c r="J917" s="712"/>
      <c r="K917" s="712"/>
      <c r="L917" s="712"/>
      <c r="M917" s="712"/>
      <c r="N917" s="712"/>
      <c r="O917" s="712"/>
      <c r="P917" s="712"/>
      <c r="Q917" s="712"/>
      <c r="R917" s="712"/>
      <c r="S917" s="712"/>
      <c r="T917" s="712"/>
      <c r="U917" s="712"/>
      <c r="V917" s="712"/>
      <c r="W917" s="712"/>
      <c r="X917" s="712"/>
      <c r="Y917" s="712"/>
      <c r="Z917" s="712"/>
      <c r="AA917" s="712"/>
      <c r="AB917" s="712"/>
      <c r="AC917" s="712"/>
      <c r="AD917" s="712"/>
      <c r="AE917" s="712"/>
      <c r="AF917" s="712"/>
      <c r="AG917" s="712"/>
      <c r="AH917" s="712"/>
      <c r="AI917" s="712"/>
      <c r="AJ917" s="712"/>
      <c r="AK917" s="712"/>
      <c r="AL917" s="712"/>
      <c r="AM917" s="712"/>
      <c r="AN917" s="712"/>
      <c r="AO917" s="712"/>
    </row>
    <row r="918">
      <c r="G918" s="712"/>
      <c r="H918" s="712"/>
      <c r="I918" s="712"/>
      <c r="J918" s="712"/>
      <c r="K918" s="712"/>
      <c r="L918" s="712"/>
      <c r="M918" s="712"/>
      <c r="N918" s="712"/>
      <c r="O918" s="712"/>
      <c r="P918" s="712"/>
      <c r="Q918" s="712"/>
      <c r="R918" s="712"/>
      <c r="S918" s="712"/>
      <c r="T918" s="712"/>
      <c r="U918" s="712"/>
      <c r="V918" s="712"/>
      <c r="W918" s="712"/>
      <c r="X918" s="712"/>
      <c r="Y918" s="712"/>
      <c r="Z918" s="712"/>
      <c r="AA918" s="712"/>
      <c r="AB918" s="712"/>
      <c r="AC918" s="712"/>
      <c r="AD918" s="712"/>
      <c r="AE918" s="712"/>
      <c r="AF918" s="712"/>
      <c r="AG918" s="712"/>
      <c r="AH918" s="712"/>
      <c r="AI918" s="712"/>
      <c r="AJ918" s="712"/>
      <c r="AK918" s="712"/>
      <c r="AL918" s="712"/>
      <c r="AM918" s="712"/>
      <c r="AN918" s="712"/>
      <c r="AO918" s="712"/>
    </row>
    <row r="919">
      <c r="G919" s="712"/>
      <c r="H919" s="712"/>
      <c r="I919" s="712"/>
      <c r="J919" s="712"/>
      <c r="K919" s="712"/>
      <c r="L919" s="712"/>
      <c r="M919" s="712"/>
      <c r="N919" s="712"/>
      <c r="O919" s="712"/>
      <c r="P919" s="712"/>
      <c r="Q919" s="712"/>
      <c r="R919" s="712"/>
      <c r="S919" s="712"/>
      <c r="T919" s="712"/>
      <c r="U919" s="712"/>
      <c r="V919" s="712"/>
      <c r="W919" s="712"/>
      <c r="X919" s="712"/>
      <c r="Y919" s="712"/>
      <c r="Z919" s="712"/>
      <c r="AA919" s="712"/>
      <c r="AB919" s="712"/>
      <c r="AC919" s="712"/>
      <c r="AD919" s="712"/>
      <c r="AE919" s="712"/>
      <c r="AF919" s="712"/>
      <c r="AG919" s="712"/>
      <c r="AH919" s="712"/>
      <c r="AI919" s="712"/>
      <c r="AJ919" s="712"/>
      <c r="AK919" s="712"/>
      <c r="AL919" s="712"/>
      <c r="AM919" s="712"/>
      <c r="AN919" s="712"/>
      <c r="AO919" s="712"/>
    </row>
    <row r="920">
      <c r="G920" s="712"/>
      <c r="H920" s="712"/>
      <c r="I920" s="712"/>
      <c r="J920" s="712"/>
      <c r="K920" s="712"/>
      <c r="L920" s="712"/>
      <c r="M920" s="712"/>
      <c r="N920" s="712"/>
      <c r="O920" s="712"/>
      <c r="P920" s="712"/>
      <c r="Q920" s="712"/>
      <c r="R920" s="712"/>
      <c r="S920" s="712"/>
      <c r="T920" s="712"/>
      <c r="U920" s="712"/>
      <c r="V920" s="712"/>
      <c r="W920" s="712"/>
      <c r="X920" s="712"/>
      <c r="Y920" s="712"/>
      <c r="Z920" s="712"/>
      <c r="AA920" s="712"/>
      <c r="AB920" s="712"/>
      <c r="AC920" s="712"/>
      <c r="AD920" s="712"/>
      <c r="AE920" s="712"/>
      <c r="AF920" s="712"/>
      <c r="AG920" s="712"/>
      <c r="AH920" s="712"/>
      <c r="AI920" s="712"/>
      <c r="AJ920" s="712"/>
      <c r="AK920" s="712"/>
      <c r="AL920" s="712"/>
      <c r="AM920" s="712"/>
      <c r="AN920" s="712"/>
      <c r="AO920" s="712"/>
    </row>
    <row r="921">
      <c r="G921" s="712"/>
      <c r="H921" s="712"/>
      <c r="I921" s="712"/>
      <c r="J921" s="712"/>
      <c r="K921" s="712"/>
      <c r="L921" s="712"/>
      <c r="M921" s="712"/>
      <c r="N921" s="712"/>
      <c r="O921" s="712"/>
      <c r="P921" s="712"/>
      <c r="Q921" s="712"/>
      <c r="R921" s="712"/>
      <c r="S921" s="712"/>
      <c r="T921" s="712"/>
      <c r="U921" s="712"/>
      <c r="V921" s="712"/>
      <c r="W921" s="712"/>
      <c r="X921" s="712"/>
      <c r="Y921" s="712"/>
      <c r="Z921" s="712"/>
      <c r="AA921" s="712"/>
      <c r="AB921" s="712"/>
      <c r="AC921" s="712"/>
      <c r="AD921" s="712"/>
      <c r="AE921" s="712"/>
      <c r="AF921" s="712"/>
      <c r="AG921" s="712"/>
      <c r="AH921" s="712"/>
      <c r="AI921" s="712"/>
      <c r="AJ921" s="712"/>
      <c r="AK921" s="712"/>
      <c r="AL921" s="712"/>
      <c r="AM921" s="712"/>
      <c r="AN921" s="712"/>
      <c r="AO921" s="712"/>
    </row>
    <row r="922">
      <c r="G922" s="712"/>
      <c r="H922" s="712"/>
      <c r="I922" s="712"/>
      <c r="J922" s="712"/>
      <c r="K922" s="712"/>
      <c r="L922" s="712"/>
      <c r="M922" s="712"/>
      <c r="N922" s="712"/>
      <c r="O922" s="712"/>
      <c r="P922" s="712"/>
      <c r="Q922" s="712"/>
      <c r="R922" s="712"/>
      <c r="S922" s="712"/>
      <c r="T922" s="712"/>
      <c r="U922" s="712"/>
      <c r="V922" s="712"/>
      <c r="W922" s="712"/>
      <c r="X922" s="712"/>
      <c r="Y922" s="712"/>
      <c r="Z922" s="712"/>
      <c r="AA922" s="712"/>
      <c r="AB922" s="712"/>
      <c r="AC922" s="712"/>
      <c r="AD922" s="712"/>
      <c r="AE922" s="712"/>
      <c r="AF922" s="712"/>
      <c r="AG922" s="712"/>
      <c r="AH922" s="712"/>
      <c r="AI922" s="712"/>
      <c r="AJ922" s="712"/>
      <c r="AK922" s="712"/>
      <c r="AL922" s="712"/>
      <c r="AM922" s="712"/>
      <c r="AN922" s="712"/>
      <c r="AO922" s="712"/>
    </row>
    <row r="923">
      <c r="G923" s="712"/>
      <c r="H923" s="712"/>
      <c r="I923" s="712"/>
      <c r="J923" s="712"/>
      <c r="K923" s="712"/>
      <c r="L923" s="712"/>
      <c r="M923" s="712"/>
      <c r="N923" s="712"/>
      <c r="O923" s="712"/>
      <c r="P923" s="712"/>
      <c r="Q923" s="712"/>
      <c r="R923" s="712"/>
      <c r="S923" s="712"/>
      <c r="T923" s="712"/>
      <c r="U923" s="712"/>
      <c r="V923" s="712"/>
      <c r="W923" s="712"/>
      <c r="X923" s="712"/>
      <c r="Y923" s="712"/>
      <c r="Z923" s="712"/>
      <c r="AA923" s="712"/>
      <c r="AB923" s="712"/>
      <c r="AC923" s="712"/>
      <c r="AD923" s="712"/>
      <c r="AE923" s="712"/>
      <c r="AF923" s="712"/>
      <c r="AG923" s="712"/>
      <c r="AH923" s="712"/>
      <c r="AI923" s="712"/>
      <c r="AJ923" s="712"/>
      <c r="AK923" s="712"/>
      <c r="AL923" s="712"/>
      <c r="AM923" s="712"/>
      <c r="AN923" s="712"/>
      <c r="AO923" s="712"/>
    </row>
    <row r="924">
      <c r="G924" s="712"/>
      <c r="H924" s="712"/>
      <c r="I924" s="712"/>
      <c r="J924" s="712"/>
      <c r="K924" s="712"/>
      <c r="L924" s="712"/>
      <c r="M924" s="712"/>
      <c r="N924" s="712"/>
      <c r="O924" s="712"/>
      <c r="P924" s="712"/>
      <c r="Q924" s="712"/>
      <c r="R924" s="712"/>
      <c r="S924" s="712"/>
      <c r="T924" s="712"/>
      <c r="U924" s="712"/>
      <c r="V924" s="712"/>
      <c r="W924" s="712"/>
      <c r="X924" s="712"/>
      <c r="Y924" s="712"/>
      <c r="Z924" s="712"/>
      <c r="AA924" s="712"/>
      <c r="AB924" s="712"/>
      <c r="AC924" s="712"/>
      <c r="AD924" s="712"/>
      <c r="AE924" s="712"/>
      <c r="AF924" s="712"/>
      <c r="AG924" s="712"/>
      <c r="AH924" s="712"/>
      <c r="AI924" s="712"/>
      <c r="AJ924" s="712"/>
      <c r="AK924" s="712"/>
      <c r="AL924" s="712"/>
      <c r="AM924" s="712"/>
      <c r="AN924" s="712"/>
      <c r="AO924" s="712"/>
    </row>
    <row r="925">
      <c r="G925" s="712"/>
      <c r="H925" s="712"/>
      <c r="I925" s="712"/>
      <c r="J925" s="712"/>
      <c r="K925" s="712"/>
      <c r="L925" s="712"/>
      <c r="M925" s="712"/>
      <c r="N925" s="712"/>
      <c r="O925" s="712"/>
      <c r="P925" s="712"/>
      <c r="Q925" s="712"/>
      <c r="R925" s="712"/>
      <c r="S925" s="712"/>
      <c r="T925" s="712"/>
      <c r="U925" s="712"/>
      <c r="V925" s="712"/>
      <c r="W925" s="712"/>
      <c r="X925" s="712"/>
      <c r="Y925" s="712"/>
      <c r="Z925" s="712"/>
      <c r="AA925" s="712"/>
      <c r="AB925" s="712"/>
      <c r="AC925" s="712"/>
      <c r="AD925" s="712"/>
      <c r="AE925" s="712"/>
      <c r="AF925" s="712"/>
      <c r="AG925" s="712"/>
      <c r="AH925" s="712"/>
      <c r="AI925" s="712"/>
      <c r="AJ925" s="712"/>
      <c r="AK925" s="712"/>
      <c r="AL925" s="712"/>
      <c r="AM925" s="712"/>
      <c r="AN925" s="712"/>
      <c r="AO925" s="712"/>
    </row>
    <row r="926">
      <c r="G926" s="712"/>
      <c r="H926" s="712"/>
      <c r="I926" s="712"/>
      <c r="J926" s="712"/>
      <c r="K926" s="712"/>
      <c r="L926" s="712"/>
      <c r="M926" s="712"/>
      <c r="N926" s="712"/>
      <c r="O926" s="712"/>
      <c r="P926" s="712"/>
      <c r="Q926" s="712"/>
      <c r="R926" s="712"/>
      <c r="S926" s="712"/>
      <c r="T926" s="712"/>
      <c r="U926" s="712"/>
      <c r="V926" s="712"/>
      <c r="W926" s="712"/>
      <c r="X926" s="712"/>
      <c r="Y926" s="712"/>
      <c r="Z926" s="712"/>
      <c r="AA926" s="712"/>
      <c r="AB926" s="712"/>
      <c r="AC926" s="712"/>
      <c r="AD926" s="712"/>
      <c r="AE926" s="712"/>
      <c r="AF926" s="712"/>
      <c r="AG926" s="712"/>
      <c r="AH926" s="712"/>
      <c r="AI926" s="712"/>
      <c r="AJ926" s="712"/>
      <c r="AK926" s="712"/>
      <c r="AL926" s="712"/>
      <c r="AM926" s="712"/>
      <c r="AN926" s="712"/>
      <c r="AO926" s="712"/>
    </row>
    <row r="927">
      <c r="G927" s="712"/>
      <c r="H927" s="712"/>
      <c r="I927" s="712"/>
      <c r="J927" s="712"/>
      <c r="K927" s="712"/>
      <c r="L927" s="712"/>
      <c r="M927" s="712"/>
      <c r="N927" s="712"/>
      <c r="O927" s="712"/>
      <c r="P927" s="712"/>
      <c r="Q927" s="712"/>
      <c r="R927" s="712"/>
      <c r="S927" s="712"/>
      <c r="T927" s="712"/>
      <c r="U927" s="712"/>
      <c r="V927" s="712"/>
      <c r="W927" s="712"/>
      <c r="X927" s="712"/>
      <c r="Y927" s="712"/>
      <c r="Z927" s="712"/>
      <c r="AA927" s="712"/>
      <c r="AB927" s="712"/>
      <c r="AC927" s="712"/>
      <c r="AD927" s="712"/>
      <c r="AE927" s="712"/>
      <c r="AF927" s="712"/>
      <c r="AG927" s="712"/>
      <c r="AH927" s="712"/>
      <c r="AI927" s="712"/>
      <c r="AJ927" s="712"/>
      <c r="AK927" s="712"/>
      <c r="AL927" s="712"/>
      <c r="AM927" s="712"/>
      <c r="AN927" s="712"/>
      <c r="AO927" s="712"/>
    </row>
    <row r="928">
      <c r="G928" s="712"/>
      <c r="H928" s="712"/>
      <c r="I928" s="712"/>
      <c r="J928" s="712"/>
      <c r="K928" s="712"/>
      <c r="L928" s="712"/>
      <c r="M928" s="712"/>
      <c r="N928" s="712"/>
      <c r="O928" s="712"/>
      <c r="P928" s="712"/>
      <c r="Q928" s="712"/>
      <c r="R928" s="712"/>
      <c r="S928" s="712"/>
      <c r="T928" s="712"/>
      <c r="U928" s="712"/>
      <c r="V928" s="712"/>
      <c r="W928" s="712"/>
      <c r="X928" s="712"/>
      <c r="Y928" s="712"/>
      <c r="Z928" s="712"/>
      <c r="AA928" s="712"/>
      <c r="AB928" s="712"/>
      <c r="AC928" s="712"/>
      <c r="AD928" s="712"/>
      <c r="AE928" s="712"/>
      <c r="AF928" s="712"/>
      <c r="AG928" s="712"/>
      <c r="AH928" s="712"/>
      <c r="AI928" s="712"/>
      <c r="AJ928" s="712"/>
      <c r="AK928" s="712"/>
      <c r="AL928" s="712"/>
      <c r="AM928" s="712"/>
      <c r="AN928" s="712"/>
      <c r="AO928" s="712"/>
    </row>
    <row r="929">
      <c r="G929" s="712"/>
      <c r="H929" s="712"/>
      <c r="I929" s="712"/>
      <c r="J929" s="712"/>
      <c r="K929" s="712"/>
      <c r="L929" s="712"/>
      <c r="M929" s="712"/>
      <c r="N929" s="712"/>
      <c r="O929" s="712"/>
      <c r="P929" s="712"/>
      <c r="Q929" s="712"/>
      <c r="R929" s="712"/>
      <c r="S929" s="712"/>
      <c r="T929" s="712"/>
      <c r="U929" s="712"/>
      <c r="V929" s="712"/>
      <c r="W929" s="712"/>
      <c r="X929" s="712"/>
      <c r="Y929" s="712"/>
      <c r="Z929" s="712"/>
      <c r="AA929" s="712"/>
      <c r="AB929" s="712"/>
      <c r="AC929" s="712"/>
      <c r="AD929" s="712"/>
      <c r="AE929" s="712"/>
      <c r="AF929" s="712"/>
      <c r="AG929" s="712"/>
      <c r="AH929" s="712"/>
      <c r="AI929" s="712"/>
      <c r="AJ929" s="712"/>
      <c r="AK929" s="712"/>
      <c r="AL929" s="712"/>
      <c r="AM929" s="712"/>
      <c r="AN929" s="712"/>
      <c r="AO929" s="712"/>
    </row>
    <row r="930">
      <c r="G930" s="712"/>
      <c r="H930" s="712"/>
      <c r="I930" s="712"/>
      <c r="J930" s="712"/>
      <c r="K930" s="712"/>
      <c r="L930" s="712"/>
      <c r="M930" s="712"/>
      <c r="N930" s="712"/>
      <c r="O930" s="712"/>
      <c r="P930" s="712"/>
      <c r="Q930" s="712"/>
      <c r="R930" s="712"/>
      <c r="S930" s="712"/>
      <c r="T930" s="712"/>
      <c r="U930" s="712"/>
      <c r="V930" s="712"/>
      <c r="W930" s="712"/>
      <c r="X930" s="712"/>
      <c r="Y930" s="712"/>
      <c r="Z930" s="712"/>
      <c r="AA930" s="712"/>
      <c r="AB930" s="712"/>
      <c r="AC930" s="712"/>
      <c r="AD930" s="712"/>
      <c r="AE930" s="712"/>
      <c r="AF930" s="712"/>
      <c r="AG930" s="712"/>
      <c r="AH930" s="712"/>
      <c r="AI930" s="712"/>
      <c r="AJ930" s="712"/>
      <c r="AK930" s="712"/>
      <c r="AL930" s="712"/>
      <c r="AM930" s="712"/>
      <c r="AN930" s="712"/>
      <c r="AO930" s="712"/>
    </row>
    <row r="931">
      <c r="G931" s="712"/>
      <c r="H931" s="712"/>
      <c r="I931" s="712"/>
      <c r="J931" s="712"/>
      <c r="K931" s="712"/>
      <c r="L931" s="712"/>
      <c r="M931" s="712"/>
      <c r="N931" s="712"/>
      <c r="O931" s="712"/>
      <c r="P931" s="712"/>
      <c r="Q931" s="712"/>
      <c r="R931" s="712"/>
      <c r="S931" s="712"/>
      <c r="T931" s="712"/>
      <c r="U931" s="712"/>
      <c r="V931" s="712"/>
      <c r="W931" s="712"/>
      <c r="X931" s="712"/>
      <c r="Y931" s="712"/>
      <c r="Z931" s="712"/>
      <c r="AA931" s="712"/>
      <c r="AB931" s="712"/>
      <c r="AC931" s="712"/>
      <c r="AD931" s="712"/>
      <c r="AE931" s="712"/>
      <c r="AF931" s="712"/>
      <c r="AG931" s="712"/>
      <c r="AH931" s="712"/>
      <c r="AI931" s="712"/>
      <c r="AJ931" s="712"/>
      <c r="AK931" s="712"/>
      <c r="AL931" s="712"/>
      <c r="AM931" s="712"/>
      <c r="AN931" s="712"/>
      <c r="AO931" s="712"/>
    </row>
    <row r="932">
      <c r="G932" s="712"/>
      <c r="H932" s="712"/>
      <c r="I932" s="712"/>
      <c r="J932" s="712"/>
      <c r="K932" s="712"/>
      <c r="L932" s="712"/>
      <c r="M932" s="712"/>
      <c r="N932" s="712"/>
      <c r="O932" s="712"/>
      <c r="P932" s="712"/>
      <c r="Q932" s="712"/>
      <c r="R932" s="712"/>
      <c r="S932" s="712"/>
      <c r="T932" s="712"/>
      <c r="U932" s="712"/>
      <c r="V932" s="712"/>
      <c r="W932" s="712"/>
      <c r="X932" s="712"/>
      <c r="Y932" s="712"/>
      <c r="Z932" s="712"/>
      <c r="AA932" s="712"/>
      <c r="AB932" s="712"/>
      <c r="AC932" s="712"/>
      <c r="AD932" s="712"/>
      <c r="AE932" s="712"/>
      <c r="AF932" s="712"/>
      <c r="AG932" s="712"/>
      <c r="AH932" s="712"/>
      <c r="AI932" s="712"/>
      <c r="AJ932" s="712"/>
      <c r="AK932" s="712"/>
      <c r="AL932" s="712"/>
      <c r="AM932" s="712"/>
      <c r="AN932" s="712"/>
      <c r="AO932" s="712"/>
    </row>
    <row r="933">
      <c r="G933" s="712"/>
      <c r="H933" s="712"/>
      <c r="I933" s="712"/>
      <c r="J933" s="712"/>
      <c r="K933" s="712"/>
      <c r="L933" s="712"/>
      <c r="M933" s="712"/>
      <c r="N933" s="712"/>
      <c r="O933" s="712"/>
      <c r="P933" s="712"/>
      <c r="Q933" s="712"/>
      <c r="R933" s="712"/>
      <c r="S933" s="712"/>
      <c r="T933" s="712"/>
      <c r="U933" s="712"/>
      <c r="V933" s="712"/>
      <c r="W933" s="712"/>
      <c r="X933" s="712"/>
      <c r="Y933" s="712"/>
      <c r="Z933" s="712"/>
      <c r="AA933" s="712"/>
      <c r="AB933" s="712"/>
      <c r="AC933" s="712"/>
      <c r="AD933" s="712"/>
      <c r="AE933" s="712"/>
      <c r="AF933" s="712"/>
      <c r="AG933" s="712"/>
      <c r="AH933" s="712"/>
      <c r="AI933" s="712"/>
      <c r="AJ933" s="712"/>
      <c r="AK933" s="712"/>
      <c r="AL933" s="712"/>
      <c r="AM933" s="712"/>
      <c r="AN933" s="712"/>
      <c r="AO933" s="712"/>
    </row>
    <row r="934">
      <c r="G934" s="712"/>
      <c r="H934" s="712"/>
      <c r="I934" s="712"/>
      <c r="J934" s="712"/>
      <c r="K934" s="712"/>
      <c r="L934" s="712"/>
      <c r="M934" s="712"/>
      <c r="N934" s="712"/>
      <c r="O934" s="712"/>
      <c r="P934" s="712"/>
      <c r="Q934" s="712"/>
      <c r="R934" s="712"/>
      <c r="S934" s="712"/>
      <c r="T934" s="712"/>
      <c r="U934" s="712"/>
      <c r="V934" s="712"/>
      <c r="W934" s="712"/>
      <c r="X934" s="712"/>
      <c r="Y934" s="712"/>
      <c r="Z934" s="712"/>
      <c r="AA934" s="712"/>
      <c r="AB934" s="712"/>
      <c r="AC934" s="712"/>
      <c r="AD934" s="712"/>
      <c r="AE934" s="712"/>
      <c r="AF934" s="712"/>
      <c r="AG934" s="712"/>
      <c r="AH934" s="712"/>
      <c r="AI934" s="712"/>
      <c r="AJ934" s="712"/>
      <c r="AK934" s="712"/>
      <c r="AL934" s="712"/>
      <c r="AM934" s="712"/>
      <c r="AN934" s="712"/>
      <c r="AO934" s="712"/>
    </row>
    <row r="935">
      <c r="G935" s="712"/>
      <c r="H935" s="712"/>
      <c r="I935" s="712"/>
      <c r="J935" s="712"/>
      <c r="K935" s="712"/>
      <c r="L935" s="712"/>
      <c r="M935" s="712"/>
      <c r="N935" s="712"/>
      <c r="O935" s="712"/>
      <c r="P935" s="712"/>
      <c r="Q935" s="712"/>
      <c r="R935" s="712"/>
      <c r="S935" s="712"/>
      <c r="T935" s="712"/>
      <c r="U935" s="712"/>
      <c r="V935" s="712"/>
      <c r="W935" s="712"/>
      <c r="X935" s="712"/>
      <c r="Y935" s="712"/>
      <c r="Z935" s="712"/>
      <c r="AA935" s="712"/>
      <c r="AB935" s="712"/>
      <c r="AC935" s="712"/>
      <c r="AD935" s="712"/>
      <c r="AE935" s="712"/>
      <c r="AF935" s="712"/>
      <c r="AG935" s="712"/>
      <c r="AH935" s="712"/>
      <c r="AI935" s="712"/>
      <c r="AJ935" s="712"/>
      <c r="AK935" s="712"/>
      <c r="AL935" s="712"/>
      <c r="AM935" s="712"/>
      <c r="AN935" s="712"/>
      <c r="AO935" s="712"/>
    </row>
    <row r="936">
      <c r="G936" s="712"/>
      <c r="H936" s="712"/>
      <c r="I936" s="712"/>
      <c r="J936" s="712"/>
      <c r="K936" s="712"/>
      <c r="L936" s="712"/>
      <c r="M936" s="712"/>
      <c r="N936" s="712"/>
      <c r="O936" s="712"/>
      <c r="P936" s="712"/>
      <c r="Q936" s="712"/>
      <c r="R936" s="712"/>
      <c r="S936" s="712"/>
      <c r="T936" s="712"/>
      <c r="U936" s="712"/>
      <c r="V936" s="712"/>
      <c r="W936" s="712"/>
      <c r="X936" s="712"/>
      <c r="Y936" s="712"/>
      <c r="Z936" s="712"/>
      <c r="AA936" s="712"/>
      <c r="AB936" s="712"/>
      <c r="AC936" s="712"/>
      <c r="AD936" s="712"/>
      <c r="AE936" s="712"/>
      <c r="AF936" s="712"/>
      <c r="AG936" s="712"/>
      <c r="AH936" s="712"/>
      <c r="AI936" s="712"/>
      <c r="AJ936" s="712"/>
      <c r="AK936" s="712"/>
      <c r="AL936" s="712"/>
      <c r="AM936" s="712"/>
      <c r="AN936" s="712"/>
      <c r="AO936" s="712"/>
    </row>
    <row r="937">
      <c r="G937" s="712"/>
      <c r="H937" s="712"/>
      <c r="I937" s="712"/>
      <c r="J937" s="712"/>
      <c r="K937" s="712"/>
      <c r="L937" s="712"/>
      <c r="M937" s="712"/>
      <c r="N937" s="712"/>
      <c r="O937" s="712"/>
      <c r="P937" s="712"/>
      <c r="Q937" s="712"/>
      <c r="R937" s="712"/>
      <c r="S937" s="712"/>
      <c r="T937" s="712"/>
      <c r="U937" s="712"/>
      <c r="V937" s="712"/>
      <c r="W937" s="712"/>
      <c r="X937" s="712"/>
      <c r="Y937" s="712"/>
      <c r="Z937" s="712"/>
      <c r="AA937" s="712"/>
      <c r="AB937" s="712"/>
      <c r="AC937" s="712"/>
      <c r="AD937" s="712"/>
      <c r="AE937" s="712"/>
      <c r="AF937" s="712"/>
      <c r="AG937" s="712"/>
      <c r="AH937" s="712"/>
      <c r="AI937" s="712"/>
      <c r="AJ937" s="712"/>
      <c r="AK937" s="712"/>
      <c r="AL937" s="712"/>
      <c r="AM937" s="712"/>
      <c r="AN937" s="712"/>
      <c r="AO937" s="712"/>
    </row>
    <row r="938">
      <c r="G938" s="712"/>
      <c r="H938" s="712"/>
      <c r="I938" s="712"/>
      <c r="J938" s="712"/>
      <c r="K938" s="712"/>
      <c r="L938" s="712"/>
      <c r="M938" s="712"/>
      <c r="N938" s="712"/>
      <c r="O938" s="712"/>
      <c r="P938" s="712"/>
      <c r="Q938" s="712"/>
      <c r="R938" s="712"/>
      <c r="S938" s="712"/>
      <c r="T938" s="712"/>
      <c r="U938" s="712"/>
      <c r="V938" s="712"/>
      <c r="W938" s="712"/>
      <c r="X938" s="712"/>
      <c r="Y938" s="712"/>
      <c r="Z938" s="712"/>
      <c r="AA938" s="712"/>
      <c r="AB938" s="712"/>
      <c r="AC938" s="712"/>
      <c r="AD938" s="712"/>
      <c r="AE938" s="712"/>
      <c r="AF938" s="712"/>
      <c r="AG938" s="712"/>
      <c r="AH938" s="712"/>
      <c r="AI938" s="712"/>
      <c r="AJ938" s="712"/>
      <c r="AK938" s="712"/>
      <c r="AL938" s="712"/>
      <c r="AM938" s="712"/>
      <c r="AN938" s="712"/>
      <c r="AO938" s="712"/>
    </row>
    <row r="939">
      <c r="G939" s="712"/>
      <c r="H939" s="712"/>
      <c r="I939" s="712"/>
      <c r="J939" s="712"/>
      <c r="K939" s="712"/>
      <c r="L939" s="712"/>
      <c r="M939" s="712"/>
      <c r="N939" s="712"/>
      <c r="O939" s="712"/>
      <c r="P939" s="712"/>
      <c r="Q939" s="712"/>
      <c r="R939" s="712"/>
      <c r="S939" s="712"/>
      <c r="T939" s="712"/>
      <c r="U939" s="712"/>
      <c r="V939" s="712"/>
      <c r="W939" s="712"/>
      <c r="X939" s="712"/>
      <c r="Y939" s="712"/>
      <c r="Z939" s="712"/>
      <c r="AA939" s="712"/>
      <c r="AB939" s="712"/>
      <c r="AC939" s="712"/>
      <c r="AD939" s="712"/>
      <c r="AE939" s="712"/>
      <c r="AF939" s="712"/>
      <c r="AG939" s="712"/>
      <c r="AH939" s="712"/>
      <c r="AI939" s="712"/>
      <c r="AJ939" s="712"/>
      <c r="AK939" s="712"/>
      <c r="AL939" s="712"/>
      <c r="AM939" s="712"/>
      <c r="AN939" s="712"/>
      <c r="AO939" s="712"/>
    </row>
    <row r="940">
      <c r="G940" s="712"/>
      <c r="H940" s="712"/>
      <c r="I940" s="712"/>
      <c r="J940" s="712"/>
      <c r="K940" s="712"/>
      <c r="L940" s="712"/>
      <c r="M940" s="712"/>
      <c r="N940" s="712"/>
      <c r="O940" s="712"/>
      <c r="P940" s="712"/>
      <c r="Q940" s="712"/>
      <c r="R940" s="712"/>
      <c r="S940" s="712"/>
      <c r="T940" s="712"/>
      <c r="U940" s="712"/>
      <c r="V940" s="712"/>
      <c r="W940" s="712"/>
      <c r="X940" s="712"/>
      <c r="Y940" s="712"/>
      <c r="Z940" s="712"/>
      <c r="AA940" s="712"/>
      <c r="AB940" s="712"/>
      <c r="AC940" s="712"/>
      <c r="AD940" s="712"/>
      <c r="AE940" s="712"/>
      <c r="AF940" s="712"/>
      <c r="AG940" s="712"/>
      <c r="AH940" s="712"/>
      <c r="AI940" s="712"/>
      <c r="AJ940" s="712"/>
      <c r="AK940" s="712"/>
      <c r="AL940" s="712"/>
      <c r="AM940" s="712"/>
      <c r="AN940" s="712"/>
      <c r="AO940" s="712"/>
    </row>
    <row r="941">
      <c r="G941" s="712"/>
      <c r="H941" s="712"/>
      <c r="I941" s="712"/>
      <c r="J941" s="712"/>
      <c r="K941" s="712"/>
      <c r="L941" s="712"/>
      <c r="M941" s="712"/>
      <c r="N941" s="712"/>
      <c r="O941" s="712"/>
      <c r="P941" s="712"/>
      <c r="Q941" s="712"/>
      <c r="R941" s="712"/>
      <c r="S941" s="712"/>
      <c r="T941" s="712"/>
      <c r="U941" s="712"/>
      <c r="V941" s="712"/>
      <c r="W941" s="712"/>
      <c r="X941" s="712"/>
      <c r="Y941" s="712"/>
      <c r="Z941" s="712"/>
      <c r="AA941" s="712"/>
      <c r="AB941" s="712"/>
      <c r="AC941" s="712"/>
      <c r="AD941" s="712"/>
      <c r="AE941" s="712"/>
      <c r="AF941" s="712"/>
      <c r="AG941" s="712"/>
      <c r="AH941" s="712"/>
      <c r="AI941" s="712"/>
      <c r="AJ941" s="712"/>
      <c r="AK941" s="712"/>
      <c r="AL941" s="712"/>
      <c r="AM941" s="712"/>
      <c r="AN941" s="712"/>
      <c r="AO941" s="712"/>
    </row>
    <row r="942">
      <c r="G942" s="712"/>
      <c r="H942" s="712"/>
      <c r="I942" s="712"/>
      <c r="J942" s="712"/>
      <c r="K942" s="712"/>
      <c r="L942" s="712"/>
      <c r="M942" s="712"/>
      <c r="N942" s="712"/>
      <c r="O942" s="712"/>
      <c r="P942" s="712"/>
      <c r="Q942" s="712"/>
      <c r="R942" s="712"/>
      <c r="S942" s="712"/>
      <c r="T942" s="712"/>
      <c r="U942" s="712"/>
      <c r="V942" s="712"/>
      <c r="W942" s="712"/>
      <c r="X942" s="712"/>
      <c r="Y942" s="712"/>
      <c r="Z942" s="712"/>
      <c r="AA942" s="712"/>
      <c r="AB942" s="712"/>
      <c r="AC942" s="712"/>
      <c r="AD942" s="712"/>
      <c r="AE942" s="712"/>
      <c r="AF942" s="712"/>
      <c r="AG942" s="712"/>
      <c r="AH942" s="712"/>
      <c r="AI942" s="712"/>
      <c r="AJ942" s="712"/>
      <c r="AK942" s="712"/>
      <c r="AL942" s="712"/>
      <c r="AM942" s="712"/>
      <c r="AN942" s="712"/>
      <c r="AO942" s="712"/>
    </row>
    <row r="943">
      <c r="G943" s="712"/>
      <c r="H943" s="712"/>
      <c r="I943" s="712"/>
      <c r="J943" s="712"/>
      <c r="K943" s="712"/>
      <c r="L943" s="712"/>
      <c r="M943" s="712"/>
      <c r="N943" s="712"/>
      <c r="O943" s="712"/>
      <c r="P943" s="712"/>
      <c r="Q943" s="712"/>
      <c r="R943" s="712"/>
      <c r="S943" s="712"/>
      <c r="T943" s="712"/>
      <c r="U943" s="712"/>
      <c r="V943" s="712"/>
      <c r="W943" s="712"/>
      <c r="X943" s="712"/>
      <c r="Y943" s="712"/>
      <c r="Z943" s="712"/>
      <c r="AA943" s="712"/>
      <c r="AB943" s="712"/>
      <c r="AC943" s="712"/>
      <c r="AD943" s="712"/>
      <c r="AE943" s="712"/>
      <c r="AF943" s="712"/>
      <c r="AG943" s="712"/>
      <c r="AH943" s="712"/>
      <c r="AI943" s="712"/>
      <c r="AJ943" s="712"/>
      <c r="AK943" s="712"/>
      <c r="AL943" s="712"/>
      <c r="AM943" s="712"/>
      <c r="AN943" s="712"/>
      <c r="AO943" s="712"/>
    </row>
    <row r="944">
      <c r="G944" s="712"/>
      <c r="H944" s="712"/>
      <c r="I944" s="712"/>
      <c r="J944" s="712"/>
      <c r="K944" s="712"/>
      <c r="L944" s="712"/>
      <c r="M944" s="712"/>
      <c r="N944" s="712"/>
      <c r="O944" s="712"/>
      <c r="P944" s="712"/>
      <c r="Q944" s="712"/>
      <c r="R944" s="712"/>
      <c r="S944" s="712"/>
      <c r="T944" s="712"/>
      <c r="U944" s="712"/>
      <c r="V944" s="712"/>
      <c r="W944" s="712"/>
      <c r="X944" s="712"/>
      <c r="Y944" s="712"/>
      <c r="Z944" s="712"/>
      <c r="AA944" s="712"/>
      <c r="AB944" s="712"/>
      <c r="AC944" s="712"/>
      <c r="AD944" s="712"/>
      <c r="AE944" s="712"/>
      <c r="AF944" s="712"/>
      <c r="AG944" s="712"/>
      <c r="AH944" s="712"/>
      <c r="AI944" s="712"/>
      <c r="AJ944" s="712"/>
      <c r="AK944" s="712"/>
      <c r="AL944" s="712"/>
      <c r="AM944" s="712"/>
      <c r="AN944" s="712"/>
      <c r="AO944" s="712"/>
    </row>
    <row r="945">
      <c r="G945" s="712"/>
      <c r="H945" s="712"/>
      <c r="I945" s="712"/>
      <c r="J945" s="712"/>
      <c r="K945" s="712"/>
      <c r="L945" s="712"/>
      <c r="M945" s="712"/>
      <c r="N945" s="712"/>
      <c r="O945" s="712"/>
      <c r="P945" s="712"/>
      <c r="Q945" s="712"/>
      <c r="R945" s="712"/>
      <c r="S945" s="712"/>
      <c r="T945" s="712"/>
      <c r="U945" s="712"/>
      <c r="V945" s="712"/>
      <c r="W945" s="712"/>
      <c r="X945" s="712"/>
      <c r="Y945" s="712"/>
      <c r="Z945" s="712"/>
      <c r="AA945" s="712"/>
      <c r="AB945" s="712"/>
      <c r="AC945" s="712"/>
      <c r="AD945" s="712"/>
      <c r="AE945" s="712"/>
      <c r="AF945" s="712"/>
      <c r="AG945" s="712"/>
      <c r="AH945" s="712"/>
      <c r="AI945" s="712"/>
      <c r="AJ945" s="712"/>
      <c r="AK945" s="712"/>
      <c r="AL945" s="712"/>
      <c r="AM945" s="712"/>
      <c r="AN945" s="712"/>
      <c r="AO945" s="712"/>
    </row>
    <row r="946">
      <c r="G946" s="712"/>
      <c r="H946" s="712"/>
      <c r="I946" s="712"/>
      <c r="J946" s="712"/>
      <c r="K946" s="712"/>
      <c r="L946" s="712"/>
      <c r="M946" s="712"/>
      <c r="N946" s="712"/>
      <c r="O946" s="712"/>
      <c r="P946" s="712"/>
      <c r="Q946" s="712"/>
      <c r="R946" s="712"/>
      <c r="S946" s="712"/>
      <c r="T946" s="712"/>
      <c r="U946" s="712"/>
      <c r="V946" s="712"/>
      <c r="W946" s="712"/>
      <c r="X946" s="712"/>
      <c r="Y946" s="712"/>
      <c r="Z946" s="712"/>
      <c r="AA946" s="712"/>
      <c r="AB946" s="712"/>
      <c r="AC946" s="712"/>
      <c r="AD946" s="712"/>
      <c r="AE946" s="712"/>
      <c r="AF946" s="712"/>
      <c r="AG946" s="712"/>
      <c r="AH946" s="712"/>
      <c r="AI946" s="712"/>
      <c r="AJ946" s="712"/>
      <c r="AK946" s="712"/>
      <c r="AL946" s="712"/>
      <c r="AM946" s="712"/>
      <c r="AN946" s="712"/>
      <c r="AO946" s="712"/>
    </row>
    <row r="947">
      <c r="G947" s="712"/>
      <c r="H947" s="712"/>
      <c r="I947" s="712"/>
      <c r="J947" s="712"/>
      <c r="K947" s="712"/>
      <c r="L947" s="712"/>
      <c r="M947" s="712"/>
      <c r="N947" s="712"/>
      <c r="O947" s="712"/>
      <c r="P947" s="712"/>
      <c r="Q947" s="712"/>
      <c r="R947" s="712"/>
      <c r="S947" s="712"/>
      <c r="T947" s="712"/>
      <c r="U947" s="712"/>
      <c r="V947" s="712"/>
      <c r="W947" s="712"/>
      <c r="X947" s="712"/>
      <c r="Y947" s="712"/>
      <c r="Z947" s="712"/>
      <c r="AA947" s="712"/>
      <c r="AB947" s="712"/>
      <c r="AC947" s="712"/>
      <c r="AD947" s="712"/>
      <c r="AE947" s="712"/>
      <c r="AF947" s="712"/>
      <c r="AG947" s="712"/>
      <c r="AH947" s="712"/>
      <c r="AI947" s="712"/>
      <c r="AJ947" s="712"/>
      <c r="AK947" s="712"/>
      <c r="AL947" s="712"/>
      <c r="AM947" s="712"/>
      <c r="AN947" s="712"/>
      <c r="AO947" s="712"/>
    </row>
    <row r="948">
      <c r="G948" s="712"/>
      <c r="H948" s="712"/>
      <c r="I948" s="712"/>
      <c r="J948" s="712"/>
      <c r="K948" s="712"/>
      <c r="L948" s="712"/>
      <c r="M948" s="712"/>
      <c r="N948" s="712"/>
      <c r="O948" s="712"/>
      <c r="P948" s="712"/>
      <c r="Q948" s="712"/>
      <c r="R948" s="712"/>
      <c r="S948" s="712"/>
      <c r="T948" s="712"/>
      <c r="U948" s="712"/>
      <c r="V948" s="712"/>
      <c r="W948" s="712"/>
      <c r="X948" s="712"/>
      <c r="Y948" s="712"/>
      <c r="Z948" s="712"/>
      <c r="AA948" s="712"/>
      <c r="AB948" s="712"/>
      <c r="AC948" s="712"/>
      <c r="AD948" s="712"/>
      <c r="AE948" s="712"/>
      <c r="AF948" s="712"/>
      <c r="AG948" s="712"/>
      <c r="AH948" s="712"/>
      <c r="AI948" s="712"/>
      <c r="AJ948" s="712"/>
      <c r="AK948" s="712"/>
      <c r="AL948" s="712"/>
      <c r="AM948" s="712"/>
      <c r="AN948" s="712"/>
      <c r="AO948" s="712"/>
    </row>
    <row r="949">
      <c r="G949" s="712"/>
      <c r="H949" s="712"/>
      <c r="I949" s="712"/>
      <c r="J949" s="712"/>
      <c r="K949" s="712"/>
      <c r="L949" s="712"/>
      <c r="M949" s="712"/>
      <c r="N949" s="712"/>
      <c r="O949" s="712"/>
      <c r="P949" s="712"/>
      <c r="Q949" s="712"/>
      <c r="R949" s="712"/>
      <c r="S949" s="712"/>
      <c r="T949" s="712"/>
      <c r="U949" s="712"/>
      <c r="V949" s="712"/>
      <c r="W949" s="712"/>
      <c r="X949" s="712"/>
      <c r="Y949" s="712"/>
      <c r="Z949" s="712"/>
      <c r="AA949" s="712"/>
      <c r="AB949" s="712"/>
      <c r="AC949" s="712"/>
      <c r="AD949" s="712"/>
      <c r="AE949" s="712"/>
      <c r="AF949" s="712"/>
      <c r="AG949" s="712"/>
      <c r="AH949" s="712"/>
      <c r="AI949" s="712"/>
      <c r="AJ949" s="712"/>
      <c r="AK949" s="712"/>
      <c r="AL949" s="712"/>
      <c r="AM949" s="712"/>
      <c r="AN949" s="712"/>
      <c r="AO949" s="712"/>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