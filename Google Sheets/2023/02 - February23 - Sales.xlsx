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Detailed Report" sheetId="3" r:id="rId7"/>
    <sheet state="visible" name="Formulas" sheetId="4" r:id="rId8"/>
    <sheet state="visible" name="Business Metrics US" sheetId="5" r:id="rId9"/>
    <sheet state="visible" name="Business Metrics Canada" sheetId="6" r:id="rId10"/>
    <sheet state="visible" name="Business Metrics EU" sheetId="7" r:id="rId11"/>
    <sheet state="hidden" name="SupermetricsQueries" sheetId="8" r:id="rId12"/>
  </sheets>
  <definedNames>
    <definedName localSheetId="5" name="zsupermetrics_qWp7V908pNEYMtfv8QZvSTeDnBAHOU">'Business Metrics Canada'!$B$14:$C$23</definedName>
    <definedName localSheetId="6" name="zsupermetrics_BioPyGBzcBsy60UCQmPcTuFReEmghI">'Business Metrics EU'!$B$5:$B$12</definedName>
    <definedName localSheetId="5" name="rdataslayer_3753ddf3234e496aa261974a0222e193">'Business Metrics Canada'!$H$5:$I$5</definedName>
    <definedName name="zsupermetrics_ru0GDtbZzDLHQOQtJJ6K08MvUDyyp7">Formulas!$B$5:$B$6</definedName>
    <definedName localSheetId="4" name="zsupermetrics_qWp7V908pNEYMtfv8QZvSTeDnBAHOU">'Business Metrics US'!$B$14:$C$23</definedName>
    <definedName localSheetId="4" name="zsupermetrics_HgZqhorObHOtZHuyJjpmyYaEPoYntx">'Business Metrics US'!$B$13:$B$14</definedName>
    <definedName localSheetId="5" name="zsupermetrics_ru0GDtbZzDLHQOQtJJ6K08MvUDyyp7">'Business Metrics Canada'!$B$13:$B$14</definedName>
    <definedName name="zsupermetrics_refreshAll">SupermetricsQueries!$H$5</definedName>
    <definedName name="zsupermetrics_n3GtLgiKpTmd2pYmQNMuq6TPD0qE0b">Formulas!$B$5:$B$6</definedName>
    <definedName localSheetId="4" name="zsupermetrics_BioPyGBzcBsy60UCQmPcTuFReEmghI">'Business Metrics US'!$B$5:$B$12</definedName>
    <definedName localSheetId="6" name="rdataslayer_4a0f150f4f2f4e4f85c890c75b7a1fa4">'Business Metrics EU'!$D$5:$E$12</definedName>
    <definedName localSheetId="4" name="zsupermetrics_DQl8lUbpTRu3fayaJJi7lVfOGKjNU4">'Business Metrics US'!$A$2:$A$13</definedName>
    <definedName name="zsupermetrics_refreshAllSilent">SupermetricsQueries!$H$6</definedName>
    <definedName localSheetId="4" name="zsupermetrics_wbYMmT0YL9bAN0yhimW0ziPFnia9Dx">'Business Metrics US'!$A$5:$A$12</definedName>
    <definedName name="zsupermetrics_Mgms9p0QzysYvrIhnsKACeVBVxfIEO">Formulas!$A$3:$A$4</definedName>
    <definedName localSheetId="4" name="zsupermetrics_ru0GDtbZzDLHQOQtJJ6K08MvUDyyp7">'Business Metrics US'!$B$13:$B$14</definedName>
    <definedName name="zsupermetrics_forceRefresh">SupermetricsQueries!$H$4</definedName>
    <definedName localSheetId="6" name="zsupermetrics_4VkB7ij7WO0JjKBEgvjB2GHjSy2Egm">'Business Metrics EU'!$B$13:$C$17</definedName>
    <definedName name="zsupermetrics_wbYMmT0YL9bAN0yhimW0ziPFnia9Dx">Formulas!$A$3:$A$4</definedName>
    <definedName name="zsupermetrics_iNpyVy90bWCI0yUaFQpxOtzWMa6sW4">Formulas!$A$3:$A$4</definedName>
    <definedName name="zsupermetrics_9i4W4hgd80uRpQLMeX0eRnESN8gjyv">Formulas!$C$14</definedName>
    <definedName localSheetId="5" name="zsupermetrics_9i4W4hgd80uRpQLMeX0eRnESN8gjyv">'Business Metrics Canada'!$C$23</definedName>
    <definedName localSheetId="4" name="zsupermetrics_YsFuuYtr8vOdNXCCPiFJIO38NP4b2T">'Business Metrics US'!$B$13:$C$23</definedName>
    <definedName localSheetId="5" name="zsupermetrics_iNpyVy90bWCI0yUaFQpxOtzWMa6sW4">'Business Metrics Canada'!$A$5:$A$12</definedName>
    <definedName localSheetId="4" name="rdataslayer_adf57e64065742daa5b4161161b1c3ca">'Business Metrics US'!$B$13:$D$14</definedName>
    <definedName localSheetId="4" name="zsupermetrics_xwoIpANxRm908eDp5oKTwQpEI8gvD4">'Business Metrics US'!$A$5</definedName>
    <definedName name="zsupermetrics_pxuhRTEmIU93xSgKclyxajD0fCZ6rF">#REF!</definedName>
    <definedName localSheetId="5" name="zsupermetrics_DQl8lUbpTRu3fayaJJi7lVfOGKjNU4">'Business Metrics Canada'!$A$2:$A$13</definedName>
    <definedName localSheetId="6" name="zsupermetrics_DQl8lUbpTRu3fayaJJi7lVfOGKjNU4">'Business Metrics EU'!$A$2:$A$13</definedName>
    <definedName name="rdataslayer_4a0f150f4f2f4e4f85c890c75b7a1fa4">Formulas!$D$3:$E$4</definedName>
    <definedName localSheetId="4" name="zsupermetrics_4VkB7ij7WO0JjKBEgvjB2GHjSy2Egm">'Business Metrics US'!$B$13:$C$17</definedName>
    <definedName localSheetId="6" name="rdataslayer_d70e473bcafe40a3aa834ce157fb2ba3">'Business Metrics EU'!$C$16:$D$17</definedName>
    <definedName localSheetId="5" name="zsupermetrics_n3GtLgiKpTmd2pYmQNMuq6TPD0qE0b">'Business Metrics Canada'!$B$13:$B$14</definedName>
    <definedName name="zsupermetrics_HgZqhorObHOtZHuyJjpmyYaEPoYntx">Formulas!$B$5:$B$6</definedName>
    <definedName name="zsupermetrics_YsFuuYtr8vOdNXCCPiFJIO38NP4b2T">Formulas!$B$5:$C$14</definedName>
    <definedName name="zsupermetrics_DQl8lUbpTRu3fayaJJi7lVfOGKjNU4">Formulas!$A$4:$A$5</definedName>
    <definedName localSheetId="5" name="zsupermetrics_YsFuuYtr8vOdNXCCPiFJIO38NP4b2T">'Business Metrics Canada'!$B$13:$C$23</definedName>
    <definedName name="zsupermetrics_4VkB7ij7WO0JjKBEgvjB2GHjSy2Egm">Formulas!$B$5:$C$11</definedName>
    <definedName localSheetId="4" name="zsupermetrics_n3GtLgiKpTmd2pYmQNMuq6TPD0qE0b">'Business Metrics US'!$B$13:$B$14</definedName>
    <definedName localSheetId="4" name="rdataslayer_42b112e4e4be4305bb4c1be75e2dd549">'Business Metrics US'!$B$5:$C$12</definedName>
    <definedName localSheetId="6" name="zsupermetrics_lx4cNai7gT6tH4j08ZRkI21Qlpjioi">'Business Metrics EU'!$B$13:$C$23</definedName>
    <definedName localSheetId="6" name="rdataslayer_3753ddf3234e496aa261974a0222e193">'Business Metrics EU'!$H$5:$I$5</definedName>
    <definedName localSheetId="5" name="zsupermetrics_4VkB7ij7WO0JjKBEgvjB2GHjSy2Egm">'Business Metrics Canada'!$B$13:$C$17</definedName>
    <definedName localSheetId="5" name="rdataslayer_4a0f150f4f2f4e4f85c890c75b7a1fa4">'Business Metrics Canada'!$D$5:$E$12</definedName>
    <definedName localSheetId="5" name="rdataslayer_adf57e64065742daa5b4161161b1c3ca">'Business Metrics Canada'!$B$13:$D$14</definedName>
    <definedName name="zsupermetrics_lx4cNai7gT6tH4j08ZRkI21Qlpjioi">Formulas!$B$5:$C$14</definedName>
    <definedName localSheetId="5" name="zsupermetrics_xwoIpANxRm908eDp5oKTwQpEI8gvD4">'Business Metrics Canada'!$A$5</definedName>
    <definedName name="rdataslayer_d70e473bcafe40a3aa834ce157fb2ba3">Formulas!$C$9:$D$10</definedName>
    <definedName localSheetId="6" name="zsupermetrics_YsFuuYtr8vOdNXCCPiFJIO38NP4b2T">'Business Metrics EU'!$B$13:$C$23</definedName>
    <definedName localSheetId="5" name="zsupermetrics_lx4cNai7gT6tH4j08ZRkI21Qlpjioi">'Business Metrics Canada'!$B$13:$C$23</definedName>
    <definedName localSheetId="6" name="zsupermetrics_9i4W4hgd80uRpQLMeX0eRnESN8gjyv">'Business Metrics EU'!$C$23</definedName>
    <definedName name="zsupermetrics_8xojRjNDjo2jWHGDWjFEhflhyIq3Hq">Sales!$K$9:$K$10</definedName>
    <definedName localSheetId="6" name="zsupermetrics_ru0GDtbZzDLHQOQtJJ6K08MvUDyyp7">'Business Metrics EU'!$B$13:$B$14</definedName>
    <definedName name="rdataslayer_3753ddf3234e496aa261974a0222e193">Formulas!$H$3:$I$3</definedName>
    <definedName localSheetId="5" name="zsupermetrics_Mgms9p0QzysYvrIhnsKACeVBVxfIEO">'Business Metrics Canada'!$A$5:$A$12</definedName>
    <definedName localSheetId="6" name="zsupermetrics_HgZqhorObHOtZHuyJjpmyYaEPoYntx">'Business Metrics EU'!$B$13:$B$14</definedName>
    <definedName name="zsupermetrics_BioPyGBzcBsy60UCQmPcTuFReEmghI">Formulas!$B$3:$B$4</definedName>
    <definedName localSheetId="4" name="rdataslayer_4a0f150f4f2f4e4f85c890c75b7a1fa4">'Business Metrics US'!$D$5:$E$12</definedName>
    <definedName localSheetId="4" name="zsupermetrics_iNpyVy90bWCI0yUaFQpxOtzWMa6sW4">'Business Metrics US'!$A$5:$A$12</definedName>
    <definedName name="zsupermetrics_qWp7V908pNEYMtfv8QZvSTeDnBAHOU">Formulas!$B$6:$C$14</definedName>
    <definedName localSheetId="4" name="zsupermetrics_Mgms9p0QzysYvrIhnsKACeVBVxfIEO">'Business Metrics US'!$A$5:$A$12</definedName>
    <definedName localSheetId="6" name="zsupermetrics_wbYMmT0YL9bAN0yhimW0ziPFnia9Dx">'Business Metrics EU'!$A$5:$A$12</definedName>
    <definedName localSheetId="4" name="zsupermetrics_9i4W4hgd80uRpQLMeX0eRnESN8gjyv">'Business Metrics US'!$C$23</definedName>
    <definedName localSheetId="6" name="rdataslayer_42b112e4e4be4305bb4c1be75e2dd549">'Business Metrics EU'!$B$5:$C$12</definedName>
    <definedName localSheetId="5" name="zsupermetrics_HgZqhorObHOtZHuyJjpmyYaEPoYntx">'Business Metrics Canada'!$B$13:$B$14</definedName>
    <definedName localSheetId="4" name="zsupermetrics_lx4cNai7gT6tH4j08ZRkI21Qlpjioi">'Business Metrics US'!$B$13:$C$23</definedName>
    <definedName localSheetId="5" name="rdataslayer_d70e473bcafe40a3aa834ce157fb2ba3">'Business Metrics Canada'!$C$16:$D$17</definedName>
    <definedName localSheetId="5" name="zsupermetrics_wbYMmT0YL9bAN0yhimW0ziPFnia9Dx">'Business Metrics Canada'!$A$5:$A$12</definedName>
    <definedName name="rdataslayer_42b112e4e4be4305bb4c1be75e2dd549">Formulas!$B$3:$C$4</definedName>
    <definedName localSheetId="6" name="zsupermetrics_n3GtLgiKpTmd2pYmQNMuq6TPD0qE0b">'Business Metrics EU'!$B$13:$B$14</definedName>
    <definedName localSheetId="4" name="rdataslayer_d70e473bcafe40a3aa834ce157fb2ba3">'Business Metrics US'!$C$16:$D$17</definedName>
    <definedName localSheetId="6" name="zsupermetrics_qWp7V908pNEYMtfv8QZvSTeDnBAHOU">'Business Metrics EU'!$B$14:$C$23</definedName>
    <definedName localSheetId="6" name="rdataslayer_adf57e64065742daa5b4161161b1c3ca">'Business Metrics EU'!$B$13:$D$14</definedName>
    <definedName localSheetId="6" name="zsupermetrics_Mgms9p0QzysYvrIhnsKACeVBVxfIEO">'Business Metrics EU'!$A$5:$A$12</definedName>
    <definedName name="rdataslayer_adf57e64065742daa5b4161161b1c3ca">Formulas!$B$5:$D$6</definedName>
    <definedName localSheetId="6" name="zsupermetrics_iNpyVy90bWCI0yUaFQpxOtzWMa6sW4">'Business Metrics EU'!$A$5:$A$12</definedName>
    <definedName localSheetId="5" name="zsupermetrics_NugLlrQxlKiqhxQae8EFpITBm1pLCj">'Business Metrics Canada'!$B$15:$C$23</definedName>
    <definedName localSheetId="4" name="rdataslayer_3753ddf3234e496aa261974a0222e193">'Business Metrics US'!$H$5:$I$5</definedName>
    <definedName localSheetId="5" name="zsupermetrics_BioPyGBzcBsy60UCQmPcTuFReEmghI">'Business Metrics Canada'!$B$5:$B$12</definedName>
    <definedName localSheetId="4" name="zsupermetrics_NugLlrQxlKiqhxQae8EFpITBm1pLCj">'Business Metrics US'!$B$15:$C$23</definedName>
    <definedName localSheetId="6" name="zsupermetrics_xwoIpANxRm908eDp5oKTwQpEI8gvD4">'Business Metrics EU'!$A$5</definedName>
    <definedName localSheetId="6" name="zsupermetrics_NugLlrQxlKiqhxQae8EFpITBm1pLCj">'Business Metrics EU'!$B$15:$C$23</definedName>
    <definedName localSheetId="5" name="rdataslayer_42b112e4e4be4305bb4c1be75e2dd549">'Business Metrics Canada'!$B$5:$C$12</definedName>
    <definedName name="zsupermetrics_NugLlrQxlKiqhxQae8EFpITBm1pLCj">Formulas!$B$7:$C$14</definedName>
    <definedName name="zsupermetrics_xwoIpANxRm908eDp5oKTwQpEI8gvD4">Formulas!$A$3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tc={ed72052d-be88-4619-9716-c84712decc47}</author>
  </authors>
  <commentList>
    <comment authorId="0" xr:uid="{ed72052d-be88-4619-9716-c84712decc47}" ref="A1">
      <text>
        <t xml:space="preserve">[Threaded comment]
 Your version of Excel allows you to read this threaded comment; however, any edits to it will get removed if the file is opened in a newer version of Excel. Learn more: https://go.microsoft.com/fwlink/?linkid=870924
Comment:
	Move this away from COGS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tc={107cbd52-3522-4254-b036-be25fbbaafbd}</author>
    <author>tc={4971e52f-4dba-4b94-ac0e-9b700b12fd18}</author>
    <author>tc={4f201619-dd10-44cb-bb01-5a9f9e314b93}</author>
    <author>tc={6cf90d3a-1678-4ee1-b53c-22e67143ef83}</author>
    <author>tc={6d47d702-8637-4720-a1df-6f052cea34e4}</author>
    <author>tc={6de65beb-d5b6-478e-9db3-b29f0431172f}</author>
    <author>tc={a979ef04-e342-42ac-a75b-3ec99c82ffa8}</author>
    <author>tc={c0729a13-ef04-407f-a132-2e8c898011f1}</author>
    <author>tc={d09bbef1-5751-4fa6-aaf2-8f99b24e6b81}</author>
  </authors>
  <commentList>
    <comment authorId="0" xr:uid="{107cbd52-3522-4254-b036-be25fbbaafbd}" ref="D10">
      <text>
        <t xml:space="preserve">[Threaded comment]
 Your version of Excel allows you to read this threaded comment; however, any edits to it will get removed if the file is opened in a newer version of Excel. Learn more: https://go.microsoft.com/fwlink/?linkid=870924
Comment:
	@eric@mybirdbuddy.com 
for these accessories, we need the total qty you will be giving Seacomp. This comment also applies to cells E10 through G10
Assigned to 
</t>
      </text>
    </comment>
    <comment authorId="1" xr:uid="{4971e52f-4dba-4b94-ac0e-9b700b12fd18}" ref="B11">
      <text>
        <t xml:space="preserve">[Threaded comment]
 Your version of Excel allows you to read this threaded comment; however, any edits to it will get removed if the file is opened in a newer version of Excel. Learn more: https://go.microsoft.com/fwlink/?linkid=870924
Comment:
	@benjamin@mybirdbuddy.com 
The timeline is April through November, not September. I didn't know if you wanted me to change it myself or if you wanted to.
Assigned to benjamin_old@mybirdbuddy.com
</t>
      </text>
    </comment>
    <comment authorId="2" xr:uid="{4f201619-dd10-44cb-bb01-5a9f9e314b93}" ref="D11">
      <text>
        <t xml:space="preserve">[Threaded comment]
 Your version of Excel allows you to read this threaded comment; however, any edits to it will get removed if the file is opened in a newer version of Excel. Learn more: https://go.microsoft.com/fwlink/?linkid=870924
Comment:
	@eric@mybirdbuddy.com 
As per comment in cell D10, this is where the time range for producing the accessories goes. Same comment applies to cells E11 through G11.
Assigned to 
</t>
      </text>
    </comment>
    <comment authorId="3" xr:uid="{6cf90d3a-1678-4ee1-b53c-22e67143ef83}" ref="G16">
      <text>
        <t xml:space="preserve">[Threaded comment]
 Your version of Excel allows you to read this threaded comment; however, any edits to it will get removed if the file is opened in a newer version of Excel. Learn more: https://go.microsoft.com/fwlink/?linkid=870924
Comment:
	This is the latest packaging quote from RRD for the 3-in-1, $0.78
</t>
      </text>
    </comment>
    <comment authorId="4" xr:uid="{6d47d702-8637-4720-a1df-6f052cea34e4}" ref="E14">
      <text>
        <t xml:space="preserve">[Threaded comment]
 Your version of Excel allows you to read this threaded comment; however, any edits to it will get removed if the file is opened in a newer version of Excel. Learn more: https://go.microsoft.com/fwlink/?linkid=870924
Comment:
	includes cost of packaging
</t>
      </text>
    </comment>
    <comment authorId="5" xr:uid="{6de65beb-d5b6-478e-9db3-b29f0431172f}" ref="H2">
      <text>
        <t xml:space="preserve">[Threaded comment]
 Your version of Excel allows you to read this threaded comment; however, any edits to it will get removed if the file is opened in a newer version of Excel. Learn more: https://go.microsoft.com/fwlink/?linkid=870924
Comment:
	@benjamin@mybirdbuddy.com 
Should we be adding this?
Assigned to benjamin_old@mybirdbuddy.com
</t>
      </text>
    </comment>
    <comment authorId="6" xr:uid="{a979ef04-e342-42ac-a75b-3ec99c82ffa8}" ref="F14">
      <text>
        <t xml:space="preserve">[Threaded comment]
 Your version of Excel allows you to read this threaded comment; however, any edits to it will get removed if the file is opened in a newer version of Excel. Learn more: https://go.microsoft.com/fwlink/?linkid=870924
Comment:
	Includes cost of packaging
</t>
      </text>
    </comment>
    <comment authorId="7" xr:uid="{c0729a13-ef04-407f-a132-2e8c898011f1}" ref="A26">
      <text>
        <t xml:space="preserve">[Threaded comment]
 Your version of Excel allows you to read this threaded comment; however, any edits to it will get removed if the file is opened in a newer version of Excel. Learn more: https://go.microsoft.com/fwlink/?linkid=870924
Comment:
	@benjamin@mybirdbuddy.com 
Please recheck the formulas that calculate the duty, tariff, HMF and MPF: I think they now include the sum of some of the rows 13 through 18, but not always the same ones. Would it not be simpler to simply use the total product cost row 19? NOTE: it will be row 19 or row 19 minus row 18: if an invoice includes the finance fee, then the finance fee amount WILL be part of the product cost that will be used in calculating the duty, tariff, etc. I believe @anja@mybirdbuddy.com will want Seacomp to invoice for finance fees separately from product invoices to avoid this. Anja can you please confirm that you are asking for this from Jimmy/Terry or do you want us to bring it up in our weekly calls with them? Please let us know.
Assigned to benjamin_old@mybirdbuddy.com
Reply:
	As discussed today we will agree on this on tomorrow's call COGS - Template Discussion
</t>
      </text>
    </comment>
    <comment authorId="8" xr:uid="{d09bbef1-5751-4fa6-aaf2-8f99b24e6b81}" ref="C11">
      <text>
        <t xml:space="preserve">[Threaded comment]
 Your version of Excel allows you to read this threaded comment; however, any edits to it will get removed if the file is opened in a newer version of Excel. Learn more: https://go.microsoft.com/fwlink/?linkid=870924
Comment:
	@benjamin@mybirdbuddy.com
The timeline is April through November, not September. I didn't know if you wanted me to change it myself or if you wanted to.
Assigned to benjamin_old@mybirdbuddy.com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<sst xmlns="http://schemas.openxmlformats.org/spreadsheetml/2006/main" count="1298" uniqueCount="451">
  <si>
    <t>Business Metrics</t>
  </si>
  <si>
    <t>Query UUID</t>
  </si>
  <si>
    <t>FEBRUARY</t>
  </si>
  <si>
    <t>Sheet name</t>
  </si>
  <si>
    <t>COGS</t>
  </si>
  <si>
    <t>Range address</t>
  </si>
  <si>
    <t>Created</t>
  </si>
  <si>
    <t>Updated</t>
  </si>
  <si>
    <t>Last status</t>
  </si>
  <si>
    <t>Source</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</si>
  <si>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</si>
  <si>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</si>
  <si>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</si>
  <si>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</si>
  <si>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</si>
  <si>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</si>
  <si>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</si>
  <si>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</si>
  <si>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</si>
  <si>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</si>
  <si>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</si>
  <si>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</si>
  <si>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</si>
  <si>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</si>
  <si>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</si>
  <si>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</si>
  <si>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</si>
  <si>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</si>
  <si>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3PL Costs</t>
  </si>
  <si>
    <t>Sort</t>
  </si>
  <si>
    <t>Max rows</t>
  </si>
  <si>
    <t>Max pivot categories</t>
  </si>
  <si>
    <t>Special settings</t>
  </si>
  <si>
    <t>Bird Buddy</t>
  </si>
  <si>
    <t>Other parameters</t>
  </si>
  <si>
    <t>Result type</t>
  </si>
  <si>
    <t>Language/country</t>
  </si>
  <si>
    <t>Translate to</t>
  </si>
  <si>
    <t>Handling Fee</t>
  </si>
  <si>
    <t>SQL</t>
  </si>
  <si>
    <t>Database name</t>
  </si>
  <si>
    <t>Range address (static)</t>
  </si>
  <si>
    <t>Report type</t>
  </si>
  <si>
    <t>Bird Buddy with Solar Roof</t>
  </si>
  <si>
    <t>Highlight with colour</t>
  </si>
  <si>
    <t>Refresh with user account</t>
  </si>
  <si>
    <t>Serial Capture</t>
  </si>
  <si>
    <t>Returned data</t>
  </si>
  <si>
    <t>Sort dimensions</t>
  </si>
  <si>
    <t>Created by user account</t>
  </si>
  <si>
    <t>Solar Roof Single</t>
  </si>
  <si>
    <t>42b112e4e4be4305bb4c1be75e2dd549</t>
  </si>
  <si>
    <t>Storage</t>
  </si>
  <si>
    <t>Wall Mount</t>
  </si>
  <si>
    <t>Other</t>
  </si>
  <si>
    <t>DAY</t>
  </si>
  <si>
    <t>Fence Mount</t>
  </si>
  <si>
    <t>WED</t>
  </si>
  <si>
    <t>THU</t>
  </si>
  <si>
    <t>FRI</t>
  </si>
  <si>
    <t>SAT</t>
  </si>
  <si>
    <t>SUN</t>
  </si>
  <si>
    <t>MON</t>
  </si>
  <si>
    <t>TUE</t>
  </si>
  <si>
    <t>There is no data for the specified input</t>
  </si>
  <si>
    <t>TABLE</t>
  </si>
  <si>
    <t>facebook</t>
  </si>
  <si>
    <t>yesterday</t>
  </si>
  <si>
    <t>[{"profile_id":"","name":"si_Bird buddy Inc_US &amp;amp; CA_BirdBuddy","id":"act_273249767551281","account_name":"","advertiser_id":""}]</t>
  </si>
  <si>
    <t>[{"id":"spend","name":"Total Cost"}]</t>
  </si>
  <si>
    <t>[{"id":"date","name":"Date"}]</t>
  </si>
  <si>
    <t>[]</t>
  </si>
  <si>
    <t>Suet Ball Holder</t>
  </si>
  <si>
    <t>{}</t>
  </si>
  <si>
    <t>User_Kumalic_Benjamin</t>
  </si>
  <si>
    <t>benjamin@mybirdbuddy.com</t>
  </si>
  <si>
    <t>3-in-1 Nutrition Set</t>
  </si>
  <si>
    <t>4a0f150f4f2f4e4f85c890c75b7a1fa4</t>
  </si>
  <si>
    <t>COMMENT</t>
  </si>
  <si>
    <t>Bird Buddy Shipping</t>
  </si>
  <si>
    <t>[{"account_name":"","advertiser_id":"","id":"act_273249767551281","profile_id":"","name":"si_Bird buddy Inc_US &amp;amp; CA_BirdBuddy"}]</t>
  </si>
  <si>
    <t>Add-ons Shipping</t>
  </si>
  <si>
    <t>adf57e64065742daa5b4161161b1c3ca</t>
  </si>
  <si>
    <t>Inbound (NA)</t>
  </si>
  <si>
    <t>Transactions</t>
  </si>
  <si>
    <t>Inbound (Europe)</t>
  </si>
  <si>
    <t>Inbound (ROW)</t>
  </si>
  <si>
    <t>Outbound (NA)</t>
  </si>
  <si>
    <t>Outbound (Europe)</t>
  </si>
  <si>
    <t>[{"name":"si_Bird buddy Inc_US &amp;amp; CA_BirdBuddy","id":"act_273249767551281","profile_id":"","account_name":"","advertiser_id":""}]</t>
  </si>
  <si>
    <t>[{"id":"spend","name":"Total Cost"},{"id":"cpm","name":"CPM"}]</t>
  </si>
  <si>
    <t>FB (US &amp; CA)</t>
  </si>
  <si>
    <t>Outbound (ROW)</t>
  </si>
  <si>
    <t>d70e473bcafe40a3aa834ce157fb2ba3</t>
  </si>
  <si>
    <t>Marketing Averages (per unit)</t>
  </si>
  <si>
    <t>VAT Averages</t>
  </si>
  <si>
    <t>[{"advertiser_id":"","name":"si_Bird buddy Inc_US &amp;amp; CA_BirdBuddy","id":"act_273249767551281","account_name":"","profile_id":""}]</t>
  </si>
  <si>
    <t>3753ddf3234e496aa261974a0222e193</t>
  </si>
  <si>
    <t>Europe</t>
  </si>
  <si>
    <t>Inbound Shipping</t>
  </si>
  <si>
    <t>Google</t>
  </si>
  <si>
    <t>ROW</t>
  </si>
  <si>
    <t>Outbound Shipping</t>
  </si>
  <si>
    <t>[{"profile_id":"","account_name":"","advertiser_id":"","name":"si_Bird buddy Inc_US &amp;amp; CA_BirdBuddy","id":"act_273249767551281"}]</t>
  </si>
  <si>
    <t>NA</t>
  </si>
  <si>
    <t>{"exclude_header_row":true}</t>
  </si>
  <si>
    <t>Taxes and VAT</t>
  </si>
  <si>
    <t>China Tax (7.5%)</t>
  </si>
  <si>
    <t>Attachment Rates</t>
  </si>
  <si>
    <t>Duty (3.4%)</t>
  </si>
  <si>
    <t>TikTok</t>
  </si>
  <si>
    <t>Solar Roof</t>
  </si>
  <si>
    <t>Processing Fee (2,97%)</t>
  </si>
  <si>
    <t>Bing</t>
  </si>
  <si>
    <t>Transaction Fee ($0.36)</t>
  </si>
  <si>
    <t>MNTN TV</t>
  </si>
  <si>
    <t>3PL - Handling Fee</t>
  </si>
  <si>
    <t>3PL - Serial Capture</t>
  </si>
  <si>
    <t>Water Fountain</t>
  </si>
  <si>
    <t>3PL - Storage Cost</t>
  </si>
  <si>
    <t>Affiliates (Refersion)</t>
  </si>
  <si>
    <t>All</t>
  </si>
  <si>
    <t>Fees</t>
  </si>
  <si>
    <t>30 Day Returns</t>
  </si>
  <si>
    <t>Processing Fee</t>
  </si>
  <si>
    <t>US Shipping</t>
  </si>
  <si>
    <t>FB (Internal Paid)</t>
  </si>
  <si>
    <t>Duty</t>
  </si>
  <si>
    <t>EU Shipping</t>
  </si>
  <si>
    <t>China Tax</t>
  </si>
  <si>
    <t>ROW Shipping</t>
  </si>
  <si>
    <t>HMF</t>
  </si>
  <si>
    <t>Money Return</t>
  </si>
  <si>
    <t>MPF</t>
  </si>
  <si>
    <t>Solar Roof China Tax</t>
  </si>
  <si>
    <t>Solar Roof Duty</t>
  </si>
  <si>
    <t>FB (EU &amp; UK)</t>
  </si>
  <si>
    <t>Email</t>
  </si>
  <si>
    <t>Revenue</t>
  </si>
  <si>
    <t>United States</t>
  </si>
  <si>
    <t>Product</t>
  </si>
  <si>
    <t>Hummingbird Feeder</t>
  </si>
  <si>
    <t>Perch Extender</t>
  </si>
  <si>
    <t>Pole System</t>
  </si>
  <si>
    <t>Category</t>
  </si>
  <si>
    <t>Bird Feeder</t>
  </si>
  <si>
    <t>Add-on</t>
  </si>
  <si>
    <t>Owner</t>
  </si>
  <si>
    <t>Nick Koukourakis</t>
  </si>
  <si>
    <t>Controller #1</t>
  </si>
  <si>
    <t>Diana Spiewak</t>
  </si>
  <si>
    <t>Canada</t>
  </si>
  <si>
    <t>Controller #2</t>
  </si>
  <si>
    <t>Eric Malkowski</t>
  </si>
  <si>
    <t>Batch</t>
  </si>
  <si>
    <t>Batch Timeline</t>
  </si>
  <si>
    <t>April - November</t>
  </si>
  <si>
    <t>Chip</t>
  </si>
  <si>
    <t>Other Component</t>
  </si>
  <si>
    <t>BOM Margin</t>
  </si>
  <si>
    <t>Packaging and Accessories</t>
  </si>
  <si>
    <t>Package Margin</t>
  </si>
  <si>
    <t>Total Product Cost</t>
  </si>
  <si>
    <t>Finance fee</t>
  </si>
  <si>
    <t>PPV cost component</t>
  </si>
  <si>
    <t>BOM Margin (%)</t>
  </si>
  <si>
    <t>Package Margin (%)</t>
  </si>
  <si>
    <t>Duty Rate</t>
  </si>
  <si>
    <t>Media Cost</t>
  </si>
  <si>
    <t>Tarrif Rate</t>
  </si>
  <si>
    <t>FB Spend (US &amp; CA)</t>
  </si>
  <si>
    <t>Total Port Cost</t>
  </si>
  <si>
    <t>Duty Rate (%)</t>
  </si>
  <si>
    <t>Tarrif Rate (%)</t>
  </si>
  <si>
    <t>HMF (%)</t>
  </si>
  <si>
    <t>MPF (%)</t>
  </si>
  <si>
    <t>Google Spend</t>
  </si>
  <si>
    <t>Total Cost</t>
  </si>
  <si>
    <t>TikTok Spend</t>
  </si>
  <si>
    <t>Judy Stanis</t>
  </si>
  <si>
    <t>Air Freight</t>
  </si>
  <si>
    <t>Fast Ocean</t>
  </si>
  <si>
    <t>Ocean</t>
  </si>
  <si>
    <t>Total Inbound Cost</t>
  </si>
  <si>
    <t>Bing Spend</t>
  </si>
  <si>
    <t>Air Freight (%)</t>
  </si>
  <si>
    <t>Fast Ocean (%)</t>
  </si>
  <si>
    <t>Ocean (%)</t>
  </si>
  <si>
    <t>Remzo Hotić</t>
  </si>
  <si>
    <t>Customs and Duty</t>
  </si>
  <si>
    <t>Supplies Cost</t>
  </si>
  <si>
    <t>Pick Charge</t>
  </si>
  <si>
    <t>Pallet Cost</t>
  </si>
  <si>
    <t>PollyBag Cost</t>
  </si>
  <si>
    <t>Carton Cost</t>
  </si>
  <si>
    <t>VAS</t>
  </si>
  <si>
    <t>Storage Cost</t>
  </si>
  <si>
    <t>Total Outbound Cost</t>
  </si>
  <si>
    <t>Fee 15% Purchase (Backerkit)</t>
  </si>
  <si>
    <t>Google Management Fee</t>
  </si>
  <si>
    <t>Affiliates Agency Payment (Grovia)</t>
  </si>
  <si>
    <t>Affiliate Fee 20% (Grovia)</t>
  </si>
  <si>
    <t>FB Spend (Internal Paid)</t>
  </si>
  <si>
    <t>FB Spend (EU &amp; UK)</t>
  </si>
  <si>
    <t>Pinterest Spend</t>
  </si>
  <si>
    <t>Platform Fee (6,90%)</t>
  </si>
  <si>
    <t>Cost</t>
  </si>
  <si>
    <t>Average COGS ($88.77)</t>
  </si>
  <si>
    <t>Average Inbound Shipping ($8.63)</t>
  </si>
  <si>
    <t>Average Outbound Shipping ($11.59)</t>
  </si>
  <si>
    <t>Average Taxes ($10.89)</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</si>
  <si>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</si>
  <si>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</si>
  <si>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</si>
  <si>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</si>
  <si>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</si>
  <si>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</si>
  <si>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</si>
  <si>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</si>
  <si>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</si>
  <si>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</si>
  <si>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Handling Fee ($1.50)</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</si>
  <si>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</si>
  <si>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</si>
  <si>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</si>
  <si>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</si>
  <si>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</si>
  <si>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</si>
  <si>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</si>
  <si>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</si>
  <si>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</si>
  <si>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</si>
  <si>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</si>
  <si>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</si>
  <si>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</si>
  <si>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</si>
  <si>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</si>
  <si>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</si>
  <si>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</si>
  <si>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</si>
  <si>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</si>
  <si>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</si>
  <si>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</si>
  <si>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</si>
  <si>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</si>
  <si>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</si>
  <si>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</si>
  <si>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</si>
  <si>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</si>
  <si>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</si>
  <si>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</si>
  <si>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</si>
  <si>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</si>
  <si>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</si>
  <si>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</si>
  <si>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</si>
  <si>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</si>
  <si>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</si>
  <si>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</si>
  <si>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</si>
  <si>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</si>
  <si>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</si>
  <si>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</si>
  <si>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</si>
  <si>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Serial Capture ($0.30)</t>
  </si>
  <si>
    <t>Created successfully</t>
  </si>
  <si>
    <t>SHP</t>
  </si>
  <si>
    <t>thismonth</t>
  </si>
  <si>
    <t>["gid://shopify/Shop/55807180983`Bird Buddy"]</t>
  </si>
  <si>
    <t>["gross_sales","returns","shipping","tax","total_sales","sm_order_count"]</t>
  </si>
  <si>
    <t>["date"]</t>
  </si>
  <si>
    <t>["METRICS_IN_ROWS","MULTILEVEL_COL_HEADERS"]</t>
  </si>
  <si>
    <t>Shopify 1'!A1:AB7</t>
  </si>
  <si>
    <t>gid://shopify/Shop/55807180983</t>
  </si>
  <si>
    <t>Partial Profit</t>
  </si>
  <si>
    <t>Performance Facebook US &amp; CA</t>
  </si>
  <si>
    <t>PROFIT</t>
  </si>
  <si>
    <t>ROAS</t>
  </si>
  <si>
    <t>CPO</t>
  </si>
  <si>
    <t>MER</t>
  </si>
  <si>
    <t>Performance Google</t>
  </si>
  <si>
    <t>Performance TikTok</t>
  </si>
  <si>
    <t>Performance Bing</t>
  </si>
  <si>
    <t>Affiliates (Grovia)</t>
  </si>
  <si>
    <t>Performance Internal Paid</t>
  </si>
  <si>
    <t>Performance EU &amp; UK</t>
  </si>
  <si>
    <t>Performance Email</t>
  </si>
  <si>
    <t>Revenue Shopify (Platform)</t>
  </si>
  <si>
    <t>Revenue - All</t>
  </si>
  <si>
    <t>Transactions Shopify (Platform)</t>
  </si>
  <si>
    <t>Transactions - All</t>
  </si>
  <si>
    <t>Shopify Platform</t>
  </si>
  <si>
    <t>Revenue Shopify (gross)</t>
  </si>
  <si>
    <t>Shipping Shopify</t>
  </si>
  <si>
    <t>Tax Shopify</t>
  </si>
  <si>
    <t>All Shopify</t>
  </si>
  <si>
    <t>Revenue &amp; Transactions (Platform) - ALL</t>
  </si>
  <si>
    <t>Units Sold (Gross)</t>
  </si>
  <si>
    <t>All Bird Buddy</t>
  </si>
  <si>
    <t>Premium Subscription</t>
  </si>
  <si>
    <t>Seeds Subscription</t>
  </si>
  <si>
    <t>12-month Extended Warranty</t>
  </si>
  <si>
    <t>24-month No Questions Asked Warranty</t>
  </si>
  <si>
    <t>Gift Cards</t>
  </si>
  <si>
    <t>First-time Customers</t>
  </si>
  <si>
    <t>Returning Customers</t>
  </si>
  <si>
    <t>Units Sold (Net)</t>
  </si>
  <si>
    <t>Units Sold by country (Gross)</t>
  </si>
  <si>
    <t>Bird Buddy - NA (United States + Canada)</t>
  </si>
  <si>
    <t>Bird Buddy with Solar Roof- NA (United States + Canada)</t>
  </si>
  <si>
    <t>Bird Buddy - Europe (EU, UK, NOR, SWI)</t>
  </si>
  <si>
    <t>Bird Buddy with Solar Roof - Europe (EU, UK, NOR, SWI)</t>
  </si>
  <si>
    <t>Bird Buddy - ROW</t>
  </si>
  <si>
    <t>Bird Buddy with Solar Roof - ROW</t>
  </si>
  <si>
    <t>All Bird Buddy with Solar Roof</t>
  </si>
  <si>
    <t>Wall Mount - NA</t>
  </si>
  <si>
    <t>Fence Mount - NA</t>
  </si>
  <si>
    <t>Suet Ball Holder - NA</t>
  </si>
  <si>
    <t>Water Fountain - NA</t>
  </si>
  <si>
    <t>Solar Roof Single - NA</t>
  </si>
  <si>
    <t>All NA</t>
  </si>
  <si>
    <t>Wall Mount - Europe</t>
  </si>
  <si>
    <t>Fence Mount - Europe</t>
  </si>
  <si>
    <t>Suet Ball Holder - Europe</t>
  </si>
  <si>
    <t>Water Fountain - Europe</t>
  </si>
  <si>
    <t>Solar Roof Single - Europe</t>
  </si>
  <si>
    <t>All Europe</t>
  </si>
  <si>
    <t>Wall Mount - ROW</t>
  </si>
  <si>
    <t>Fence Mount - ROW</t>
  </si>
  <si>
    <t>Suet Ball Holder - ROW</t>
  </si>
  <si>
    <t>Water Fountain - ROW</t>
  </si>
  <si>
    <t>Solar Roof Single - ROW</t>
  </si>
  <si>
    <t>All ROW</t>
  </si>
  <si>
    <t>Revenue by country (Gross)</t>
  </si>
  <si>
    <t>All Solar Roof</t>
  </si>
  <si>
    <t xml:space="preserve">  </t>
  </si>
  <si>
    <t>Premium Subscription - WW</t>
  </si>
  <si>
    <t>Seeds Subscription - WW</t>
  </si>
  <si>
    <t>Gift Card</t>
  </si>
  <si>
    <t>ALL</t>
  </si>
  <si>
    <t xml:space="preserve"> </t>
  </si>
  <si>
    <t>Units Refunded by country (Gross)</t>
  </si>
  <si>
    <t>Units Returned by country (Gross)</t>
  </si>
  <si>
    <t>Orders Returned NA</t>
  </si>
  <si>
    <t>Orders Returned EU</t>
  </si>
  <si>
    <t>Orders Returned ROW</t>
  </si>
  <si>
    <t>Money Refunded by country (Gross)</t>
  </si>
  <si>
    <t>Hardware - NA</t>
  </si>
  <si>
    <t>Shipping - NA</t>
  </si>
  <si>
    <t>Taxes - NA</t>
  </si>
  <si>
    <t>Hardware - Europe</t>
  </si>
  <si>
    <t>Shipping - Europe</t>
  </si>
  <si>
    <t xml:space="preserve">VAT - Europe </t>
  </si>
  <si>
    <t>Hardware - ROW</t>
  </si>
  <si>
    <t>Shipping - ROW</t>
  </si>
  <si>
    <t>Taxes - ROW</t>
  </si>
  <si>
    <t>Money Returned by country (Gross)</t>
  </si>
  <si>
    <t>Replacement Units &amp; Claims by country</t>
  </si>
  <si>
    <t>Units Sold by country (Net)</t>
  </si>
  <si>
    <t>Media Spend</t>
  </si>
  <si>
    <t>Media Fees</t>
  </si>
  <si>
    <t>COGS Bird Buddy ($82.52)</t>
  </si>
  <si>
    <t>Bird Buddy China Tax (7.5%)</t>
  </si>
  <si>
    <t>COGS Bird Buddy with Solar Roof ($88.59)</t>
  </si>
  <si>
    <t>Bird Buddy with Solar Roof China Tax (7.5%)</t>
  </si>
  <si>
    <t>COGS Fence Mount ($6.37)</t>
  </si>
  <si>
    <t>Fence Mount China Tax (7.5%)</t>
  </si>
  <si>
    <t>Fence Mount Duty (3.4%)</t>
  </si>
  <si>
    <t>COGS Wall Mount ($4.73)</t>
  </si>
  <si>
    <t>Wall Mount China Tax (7.5%)</t>
  </si>
  <si>
    <t>Wall Mount Duty (3.4%)</t>
  </si>
  <si>
    <t>COGS Suet Ball ($0.88)</t>
  </si>
  <si>
    <t>Suet Ball China Tax (7.5%)</t>
  </si>
  <si>
    <t>Suet Ball Duty (3.4%)</t>
  </si>
  <si>
    <t>COGS Water Fountain ($5.00)</t>
  </si>
  <si>
    <t>Water Fountain China Tax (7.5%)</t>
  </si>
  <si>
    <t>Water Fountain Duty (3.4%)</t>
  </si>
  <si>
    <t>COGS Solar Roof Single ($11.01)</t>
  </si>
  <si>
    <t>Solar Roof Single China Tax (25%)</t>
  </si>
  <si>
    <t>Solar Roof Single Duty (2.5%)</t>
  </si>
  <si>
    <t>Harbor Maintenance Fees (0.125%)</t>
  </si>
  <si>
    <t>Merchandise Processing Fees (0.3464%)*</t>
  </si>
  <si>
    <t>Inbound Shipping BB units</t>
  </si>
  <si>
    <t>Outbound Shipping BB units</t>
  </si>
  <si>
    <t>Inbound Shipping Add-ons</t>
  </si>
  <si>
    <t>Outbound Shipping Add-ons</t>
  </si>
  <si>
    <t>(All sales) US VAT (Shopify)</t>
  </si>
  <si>
    <t>(All sales) Europe VAT (EU, UK, NOR, SWI) - 22%</t>
  </si>
  <si>
    <t>(All sales) Rest of World VAT - 13%</t>
  </si>
  <si>
    <t>Refunds</t>
  </si>
  <si>
    <t xml:space="preserve">Returns </t>
  </si>
  <si>
    <t>Returns Shipping ($10)</t>
  </si>
  <si>
    <t>Chargebacks</t>
  </si>
  <si>
    <t>3PL Handling Fee ($1.5)</t>
  </si>
  <si>
    <t>Weekend Work</t>
  </si>
  <si>
    <t>Gaja</t>
  </si>
  <si>
    <t>Beno</t>
  </si>
  <si>
    <t>Peter</t>
  </si>
  <si>
    <t>3PL Serial Capture ($0.3)</t>
  </si>
  <si>
    <t>Notes</t>
  </si>
  <si>
    <t>Shipping rate test started at midnight</t>
  </si>
  <si>
    <t>PR - Wired</t>
  </si>
  <si>
    <t>Emai - V-day</t>
  </si>
  <si>
    <t>Email - V-day Follow-up</t>
  </si>
  <si>
    <t>Shipping rate test ended</t>
  </si>
  <si>
    <t>No suet ball test started at midnight</t>
  </si>
  <si>
    <t>3in1 addon rebranded and live on site</t>
  </si>
  <si>
    <t>ZD Net Review (pr)</t>
  </si>
  <si>
    <t>Lower Shipping Rates for US ($10 lowest)</t>
  </si>
  <si>
    <t>3-in-1 Estimated shipping changed from May to June</t>
  </si>
  <si>
    <t>V-day Campaign</t>
  </si>
  <si>
    <t>May shipping, last April order #151301</t>
  </si>
  <si>
    <t>3in1 Launch email &amp; push notification</t>
  </si>
  <si>
    <t>V-day Listicles</t>
  </si>
  <si>
    <t>Shopify</t>
  </si>
  <si>
    <t>Total Revenue</t>
  </si>
  <si>
    <t>3PL Storage Cost ($0.31 per unit)</t>
  </si>
  <si>
    <t>Orders</t>
  </si>
  <si>
    <t>FB - US &amp; CA</t>
  </si>
  <si>
    <t>Replacements and Claims separate costs</t>
  </si>
  <si>
    <t>Google - WW</t>
  </si>
  <si>
    <t>Bing - WW</t>
  </si>
  <si>
    <t>TikTok - US &amp; CA</t>
  </si>
  <si>
    <t>Affiliate Fees - US</t>
  </si>
  <si>
    <t>Total Spend</t>
  </si>
  <si>
    <t>Spend per Unit</t>
  </si>
  <si>
    <t>CR</t>
  </si>
  <si>
    <t>AOV</t>
  </si>
  <si>
    <t>fAOV</t>
  </si>
  <si>
    <t>rAOV</t>
  </si>
  <si>
    <t>Customers</t>
  </si>
  <si>
    <t>Returning</t>
  </si>
  <si>
    <t>First-time</t>
  </si>
  <si>
    <t>Post-purchase Survey</t>
  </si>
  <si>
    <t>Facebook / Instagram</t>
  </si>
  <si>
    <t>Friends / Family</t>
  </si>
  <si>
    <t>Google, Yahoo, Bing</t>
  </si>
  <si>
    <t>Pinterest</t>
  </si>
  <si>
    <t>TV / Radio</t>
  </si>
  <si>
    <t>Blog / Article</t>
  </si>
  <si>
    <t>Goal</t>
  </si>
  <si>
    <t>% of Goal</t>
  </si>
  <si>
    <t>Spend</t>
  </si>
  <si>
    <t>Units Sold</t>
  </si>
  <si>
    <t>CAC per Unit</t>
  </si>
  <si>
    <t>First-time customers</t>
  </si>
  <si>
    <t>Returning customers</t>
  </si>
  <si>
    <t>Profit</t>
  </si>
  <si>
    <t>Daily MER</t>
  </si>
  <si>
    <t>Daily NET ROAS</t>
  </si>
  <si>
    <t>Daily ROAS</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</si>
</sst>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M/d/yyyy"/>
    <numFmt numFmtId="165" formatCode="_(&quot;$&quot;* #,##0.00_);_(&quot;$&quot;* \(#,##0.00\);_(&quot;$&quot;* &quot;-&quot;??_);_(@_)"/>
    <numFmt numFmtId="166" formatCode="&quot;$&quot;#,##0.00"/>
    <numFmt numFmtId="167" formatCode="yyyy-mm-dd"/>
    <numFmt numFmtId="168" formatCode="yyyy-mm-dd h:mm:ss"/>
    <numFmt numFmtId="169" formatCode="&quot;$&quot;#,##0"/>
    <numFmt numFmtId="170" formatCode="0.000%"/>
    <numFmt numFmtId="171" formatCode="0.0000%"/>
    <numFmt numFmtId="172" formatCode="_-[$$-409]* #,##0.00_ ;_-[$$-409]* \-#,##0.00\ ;_-[$$-409]* &quot;-&quot;??_ ;_-@_ "/>
    <numFmt numFmtId="173" formatCode="_-&quot;€&quot;* #,##0.00_-;\-&quot;€&quot;* #,##0.00_-;_-&quot;€&quot;* &quot;-&quot;??_-;_-@"/>
    <numFmt numFmtId="174" formatCode="_-[$€-2]\ * #,##0.00_-;\-[$€-2]\ * #,##0.00_-;_-[$€-2]\ * &quot;-&quot;??_-;_-@"/>
    <numFmt numFmtId="175" formatCode="&quot;$&quot;#,##0.000"/>
    <numFmt numFmtId="176" formatCode="mmm yyyy"/>
    <numFmt numFmtId="177" formatCode="_([$€-2]\ * #,##0.00_);_([$€-2]\ * \(#,##0.00\);_([$€-2]\ * &quot;-&quot;??_);_(@_)"/>
  </numFmts>
  <fonts count="36">
    <font>
      <sz val="10.0"/>
      <color rgb="FF000000"/>
      <name val="Arial"/>
      <scheme val="minor"/>
    </font>
    <font>
      <color theme="1"/>
      <name val="Arial"/>
      <scheme val="minor"/>
    </font>
    <font>
      <color rgb="FF000000"/>
      <name val="Arial"/>
      <scheme val="minor"/>
    </font>
    <font>
      <color theme="0"/>
      <name val="Arial"/>
      <scheme val="minor"/>
    </font>
    <font>
      <sz val="12.0"/>
      <color rgb="FFFFFFFF"/>
      <name val="Arial"/>
    </font>
    <font>
      <u/>
      <color rgb="FF0000FF"/>
    </font>
    <font>
      <color rgb="FFFFFFFF"/>
      <name val="Arial"/>
      <scheme val="minor"/>
    </font>
    <font>
      <sz val="12.0"/>
      <color theme="1"/>
      <name val="Arial"/>
    </font>
    <font>
      <u/>
      <color rgb="FF0000FF"/>
    </font>
    <font>
      <i/>
      <sz val="12.0"/>
      <color theme="1"/>
      <name val="Arial"/>
    </font>
    <font>
      <b/>
      <sz val="12.0"/>
      <color theme="1"/>
      <name val="Arial"/>
    </font>
    <font>
      <b/>
      <i/>
      <sz val="12.0"/>
      <color theme="1"/>
      <name val="Arial"/>
    </font>
    <font>
      <u/>
      <color rgb="FF0000FF"/>
    </font>
    <font>
      <sz val="12.0"/>
      <color theme="1"/>
      <name val="Calibri"/>
    </font>
    <font>
      <color theme="1"/>
      <name val="Arial"/>
    </font>
    <font>
      <sz val="12.0"/>
      <color rgb="FFA5A5A5"/>
      <name val="Arial"/>
    </font>
    <font>
      <sz val="12.0"/>
      <color rgb="FF000000"/>
      <name val="Arial"/>
    </font>
    <font>
      <b/>
      <sz val="20.0"/>
      <color theme="1"/>
      <name val="Arial"/>
      <scheme val="minor"/>
    </font>
    <font>
      <color rgb="FFEEEEEE"/>
      <name val="Arial"/>
      <scheme val="minor"/>
    </font>
    <font>
      <b/>
      <color theme="1"/>
      <name val="Arial"/>
      <scheme val="minor"/>
    </font>
    <font>
      <sz val="12.0"/>
      <color rgb="FF999999"/>
      <name val="Arial"/>
    </font>
    <font>
      <i/>
      <color theme="1"/>
      <name val="Arial"/>
    </font>
    <font>
      <sz val="12.0"/>
      <color rgb="FF202223"/>
      <name val="Arial"/>
    </font>
    <font>
      <sz val="12.0"/>
      <color theme="1"/>
      <name val="Arial"/>
      <scheme val="minor"/>
    </font>
    <font>
      <sz val="11.0"/>
      <color rgb="FF202223"/>
      <name val="Arial"/>
    </font>
    <font>
      <sz val="11.0"/>
      <color rgb="FF202223"/>
      <name val="-apple-system"/>
    </font>
    <font>
      <sz val="12.0"/>
      <color rgb="FF000000"/>
      <name val="Inherit"/>
    </font>
    <font>
      <sz val="10.0"/>
      <color rgb="FF202223"/>
      <name val="Arial"/>
      <scheme val="minor"/>
    </font>
    <font>
      <sz val="12.0"/>
      <color rgb="FFFFFF00"/>
      <name val="Arial"/>
    </font>
    <font>
      <sz val="10.0"/>
      <color theme="1"/>
      <name val="Arial"/>
      <scheme val="minor"/>
    </font>
    <font>
      <sz val="10.0"/>
      <color rgb="FF3B3B3B"/>
      <name val="-apple-system"/>
    </font>
    <font>
      <sz val="10.0"/>
      <color rgb="FF212B36"/>
      <name val="-apple-system"/>
    </font>
    <font>
      <color rgb="FFD9D9D9"/>
      <name val="Arial"/>
      <scheme val="minor"/>
    </font>
    <font>
      <sz val="8.0"/>
      <color rgb="FF333333"/>
      <name val="Latoregular"/>
    </font>
    <font>
      <sz val="12.0"/>
      <color rgb="FFAEABAB"/>
      <name val="Arial"/>
    </font>
    <font>
      <sz val="12.0"/>
      <color rgb="FF006100"/>
      <name val="Arial"/>
    </font>
  </fonts>
  <fills count="71">
    <fill>
      <patternFill patternType="none"/>
    </fill>
    <fill>
      <patternFill patternType="lightGray"/>
    </fill>
    <fill>
      <patternFill patternType="solid">
        <fgColor rgb="FF9CC2E5"/>
        <bgColor rgb="FF9CC2E5"/>
      </patternFill>
    </fill>
    <fill>
      <patternFill patternType="solid">
        <fgColor rgb="FFFFFFFF"/>
        <bgColor rgb="FFFFFFFF"/>
      </patternFill>
    </fill>
    <fill>
      <patternFill patternType="solid">
        <fgColor rgb="FF4A86E8"/>
        <bgColor rgb="FF4A86E8"/>
      </patternFill>
    </fill>
    <fill>
      <patternFill patternType="solid">
        <fgColor rgb="FF1F3864"/>
        <bgColor rgb="FF1F3864"/>
      </patternFill>
    </fill>
    <fill>
      <patternFill patternType="solid">
        <fgColor rgb="FFFFFF00"/>
        <bgColor rgb="FFFFFF00"/>
      </patternFill>
    </fill>
    <fill>
      <patternFill patternType="solid">
        <fgColor rgb="FFEFEFEF"/>
        <bgColor rgb="FFEFEFEF"/>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D9D9D9"/>
        <bgColor rgb="FFD9D9D9"/>
      </patternFill>
    </fill>
    <fill>
      <patternFill patternType="solid">
        <fgColor rgb="FFA8D08D"/>
        <bgColor rgb="FFA8D08D"/>
      </patternFill>
    </fill>
    <fill>
      <patternFill patternType="solid">
        <fgColor rgb="FFB45F06"/>
        <bgColor rgb="FFB45F06"/>
      </patternFill>
    </fill>
    <fill>
      <patternFill patternType="solid">
        <fgColor rgb="FFA4C2F4"/>
        <bgColor rgb="FFA4C2F4"/>
      </patternFill>
    </fill>
    <fill>
      <patternFill patternType="solid">
        <fgColor rgb="FFC9DAF8"/>
        <bgColor rgb="FFC9DAF8"/>
      </patternFill>
    </fill>
    <fill>
      <patternFill patternType="solid">
        <fgColor rgb="FFF3F3F3"/>
        <bgColor rgb="FFF3F3F3"/>
      </patternFill>
    </fill>
    <fill>
      <patternFill patternType="solid">
        <fgColor rgb="FFFF7E79"/>
        <bgColor rgb="FFFF7E79"/>
      </patternFill>
    </fill>
    <fill>
      <patternFill patternType="solid">
        <fgColor rgb="FF999999"/>
        <bgColor rgb="FF999999"/>
      </patternFill>
    </fill>
    <fill>
      <patternFill patternType="solid">
        <fgColor theme="0"/>
        <bgColor theme="0"/>
      </patternFill>
    </fill>
    <fill>
      <patternFill patternType="solid">
        <fgColor rgb="FFBFBFBF"/>
        <bgColor rgb="FFBFBFBF"/>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548135"/>
        <bgColor rgb="FF548135"/>
      </patternFill>
    </fill>
    <fill>
      <patternFill patternType="solid">
        <fgColor rgb="FF7F6000"/>
        <bgColor rgb="FF7F6000"/>
      </patternFill>
    </fill>
    <fill>
      <patternFill patternType="solid">
        <fgColor rgb="FFFFD965"/>
        <bgColor rgb="FFFFD965"/>
      </patternFill>
    </fill>
    <fill>
      <patternFill patternType="solid">
        <fgColor rgb="FF3F3F3F"/>
        <bgColor rgb="FF3F3F3F"/>
      </patternFill>
    </fill>
    <fill>
      <patternFill patternType="solid">
        <fgColor rgb="FFAEABAB"/>
        <bgColor rgb="FFAEABAB"/>
      </patternFill>
    </fill>
    <fill>
      <patternFill patternType="solid">
        <fgColor rgb="FFC111AC"/>
        <bgColor rgb="FFC111AC"/>
      </patternFill>
    </fill>
    <fill>
      <patternFill patternType="solid">
        <fgColor rgb="FFF0BAE8"/>
        <bgColor rgb="FFF0BAE8"/>
      </patternFill>
    </fill>
    <fill>
      <patternFill patternType="solid">
        <fgColor rgb="FFFEF2CB"/>
        <bgColor rgb="FFFEF2CB"/>
      </patternFill>
    </fill>
    <fill>
      <patternFill patternType="solid">
        <fgColor rgb="FFBE2626"/>
        <bgColor rgb="FFBE2626"/>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FE598"/>
        <bgColor rgb="FFFFE598"/>
      </patternFill>
    </fill>
    <fill>
      <patternFill patternType="solid">
        <fgColor rgb="FF6D9EEB"/>
        <bgColor rgb="FF6D9EEB"/>
      </patternFill>
    </fill>
    <fill>
      <patternFill patternType="solid">
        <fgColor rgb="FFF4CCCC"/>
        <bgColor rgb="FFF4CCCC"/>
      </patternFill>
    </fill>
    <fill>
      <patternFill patternType="solid">
        <fgColor rgb="FFEA9999"/>
        <bgColor rgb="FFEA9999"/>
      </patternFill>
    </fill>
    <fill>
      <patternFill patternType="solid">
        <fgColor rgb="FFCCCCCC"/>
        <bgColor rgb="FFCCCCCC"/>
      </patternFill>
    </fill>
    <fill>
      <patternFill patternType="solid">
        <fgColor rgb="FFD9EAD3"/>
        <bgColor rgb="FFD9EAD3"/>
      </patternFill>
    </fill>
    <fill>
      <patternFill patternType="solid">
        <fgColor rgb="FF93C47D"/>
        <bgColor rgb="FF93C47D"/>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2F2F2"/>
        <bgColor rgb="FFF2F2F2"/>
      </patternFill>
    </fill>
    <fill>
      <patternFill patternType="solid">
        <fgColor rgb="FFB6D7A8"/>
        <bgColor rgb="FFB6D7A8"/>
      </patternFill>
    </fill>
    <fill>
      <patternFill patternType="solid">
        <fgColor rgb="FF000000"/>
        <bgColor rgb="FF000000"/>
      </patternFill>
    </fill>
    <fill>
      <patternFill patternType="solid">
        <fgColor rgb="FFC6EFCE"/>
        <bgColor rgb="FFC6EFCE"/>
      </patternFill>
    </fill>
    <fill>
      <patternFill patternType="solid">
        <fgColor rgb="FFDADADA"/>
        <bgColor rgb="FFDADADA"/>
      </patternFill>
    </fill>
  </fills>
  <borders count="7">
    <border/>
    <border>
      <right style="thin">
        <color rgb="FF000000"/>
      </right>
    </border>
    <border>
      <left style="thin">
        <color rgb="FF000000"/>
      </left>
    </border>
    <border>
      <bottom style="thin">
        <color rgb="FF000000"/>
      </bottom>
    </border>
    <border>
      <right style="thin">
        <color rgb="FF000000"/>
      </right>
      <bottom style="thin">
        <color rgb="FF000000"/>
      </bottom>
    </border>
    <border>
      <left style="thin">
        <color rgb="FF000000"/>
      </left>
      <bottom style="thin">
        <color rgb="FF000000"/>
      </bottom>
    </border>
    <border>
      <top style="thin">
        <color rgb="FFDCDBDC"/>
      </top>
      <bottom style="thin">
        <color rgb="FFDCDBDC"/>
      </bottom>
    </border>
  </borders>
  <cellStyleXfs count="1">
    <xf borderId="0" fillId="0" fontId="0" numFmtId="0" applyAlignment="1" applyFont="1"/>
  </cellStyleXfs>
  <cellXfs count="33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1" numFmtId="0" xfId="0" applyAlignment="1" applyFont="1">
      <alignment readingOrder="0"/>
    </xf>
    <xf borderId="0" fillId="3" fontId="2" numFmtId="0" xfId="0" applyFill="1" applyFont="1"/>
    <xf borderId="0" fillId="4" fontId="3" numFmtId="0" xfId="0" applyAlignment="1" applyFill="1" applyFont="1">
      <alignment readingOrder="0"/>
    </xf>
    <xf borderId="1" fillId="5" fontId="4" numFmtId="0" xfId="0" applyAlignment="1" applyBorder="1" applyFill="1" applyFont="1">
      <alignment readingOrder="0" vertical="bottom"/>
    </xf>
    <xf borderId="0" fillId="5" fontId="4" numFmtId="164" xfId="0" applyAlignment="1" applyFont="1" applyNumberFormat="1">
      <alignment horizontal="center" readingOrder="0" vertical="bottom"/>
    </xf>
    <xf borderId="0" fillId="3" fontId="5" numFmtId="0" xfId="0" applyAlignment="1" applyFont="1">
      <alignment horizontal="left" readingOrder="0"/>
    </xf>
    <xf borderId="0" fillId="4" fontId="6" numFmtId="0" xfId="0" applyAlignment="1" applyFont="1">
      <alignment readingOrder="0"/>
    </xf>
    <xf borderId="0" fillId="3" fontId="2" numFmtId="165" xfId="0" applyAlignment="1" applyFont="1" applyNumberFormat="1">
      <alignment readingOrder="0"/>
    </xf>
    <xf borderId="0" fillId="3" fontId="2" numFmtId="0" xfId="0" applyAlignment="1" applyFont="1">
      <alignment readingOrder="0"/>
    </xf>
    <xf borderId="0" fillId="0" fontId="1" numFmtId="166" xfId="0" applyAlignment="1" applyFont="1" applyNumberFormat="1">
      <alignment readingOrder="0"/>
    </xf>
    <xf borderId="0" fillId="3" fontId="2" numFmtId="167" xfId="0" applyAlignment="1" applyFont="1" applyNumberFormat="1">
      <alignment readingOrder="0"/>
    </xf>
    <xf borderId="0" fillId="6" fontId="1" numFmtId="166" xfId="0" applyAlignment="1" applyFill="1" applyFont="1" applyNumberFormat="1">
      <alignment readingOrder="0"/>
    </xf>
    <xf borderId="2" fillId="0" fontId="7" numFmtId="0" xfId="0" applyAlignment="1" applyBorder="1" applyFont="1">
      <alignment vertical="bottom"/>
    </xf>
    <xf borderId="0" fillId="7" fontId="1" numFmtId="166" xfId="0" applyAlignment="1" applyFill="1" applyFont="1" applyNumberFormat="1">
      <alignment readingOrder="0"/>
    </xf>
    <xf borderId="1" fillId="8" fontId="4" numFmtId="0" xfId="0" applyAlignment="1" applyBorder="1" applyFill="1" applyFont="1">
      <alignment readingOrder="0" vertical="bottom"/>
    </xf>
    <xf borderId="0" fillId="8" fontId="4" numFmtId="0" xfId="0" applyAlignment="1" applyFont="1">
      <alignment horizontal="center" readingOrder="0" vertical="bottom"/>
    </xf>
    <xf borderId="0" fillId="0" fontId="1" numFmtId="168" xfId="0" applyAlignment="1" applyFont="1" applyNumberFormat="1">
      <alignment readingOrder="0"/>
    </xf>
    <xf borderId="0" fillId="0" fontId="1" numFmtId="0" xfId="0" applyAlignment="1" applyFont="1">
      <alignment readingOrder="0"/>
    </xf>
    <xf borderId="0" fillId="3" fontId="1" numFmtId="0" xfId="0" applyAlignment="1" applyFont="1">
      <alignment horizontal="left" readingOrder="0"/>
    </xf>
    <xf borderId="0" fillId="0" fontId="1" numFmtId="167" xfId="0" applyAlignment="1" applyFont="1" applyNumberFormat="1">
      <alignment readingOrder="0"/>
    </xf>
    <xf borderId="1" fillId="9" fontId="4" numFmtId="0" xfId="0" applyAlignment="1" applyBorder="1" applyFill="1" applyFont="1">
      <alignment readingOrder="0" vertical="bottom"/>
    </xf>
    <xf borderId="0" fillId="0" fontId="7" numFmtId="0" xfId="0" applyAlignment="1" applyFont="1">
      <alignment vertical="bottom"/>
    </xf>
    <xf borderId="0" fillId="0" fontId="8" numFmtId="0" xfId="0" applyAlignment="1" applyFont="1">
      <alignment readingOrder="0"/>
    </xf>
    <xf borderId="0" fillId="0" fontId="7" numFmtId="0" xfId="0" applyAlignment="1" applyFont="1">
      <alignment readingOrder="0" vertical="bottom"/>
    </xf>
    <xf borderId="1" fillId="10" fontId="7" numFmtId="0" xfId="0" applyAlignment="1" applyBorder="1" applyFill="1" applyFont="1">
      <alignment readingOrder="0" vertical="bottom"/>
    </xf>
    <xf borderId="1" fillId="0" fontId="7" numFmtId="0" xfId="0" applyAlignment="1" applyBorder="1" applyFont="1">
      <alignment vertical="bottom"/>
    </xf>
    <xf borderId="2" fillId="11" fontId="7" numFmtId="0" xfId="0" applyAlignment="1" applyBorder="1" applyFill="1" applyFont="1">
      <alignment horizontal="right" readingOrder="0" vertical="bottom"/>
    </xf>
    <xf borderId="0" fillId="11" fontId="7" numFmtId="0" xfId="0" applyAlignment="1" applyFont="1">
      <alignment horizontal="right" readingOrder="0" vertical="bottom"/>
    </xf>
    <xf borderId="0" fillId="11" fontId="7" numFmtId="0" xfId="0" applyAlignment="1" applyFont="1">
      <alignment readingOrder="0" vertical="bottom"/>
    </xf>
    <xf borderId="0" fillId="0" fontId="1" numFmtId="10" xfId="0" applyAlignment="1" applyFont="1" applyNumberFormat="1">
      <alignment readingOrder="0"/>
    </xf>
    <xf borderId="2" fillId="0" fontId="9" numFmtId="0" xfId="0" applyAlignment="1" applyBorder="1" applyFont="1">
      <alignment horizontal="right" vertical="bottom"/>
    </xf>
    <xf borderId="1" fillId="0" fontId="7" numFmtId="0" xfId="0" applyAlignment="1" applyBorder="1" applyFont="1">
      <alignment readingOrder="0" vertical="bottom"/>
    </xf>
    <xf borderId="0" fillId="0" fontId="1" numFmtId="166" xfId="0" applyFont="1" applyNumberFormat="1"/>
    <xf borderId="0" fillId="0" fontId="1" numFmtId="10" xfId="0" applyFont="1" applyNumberFormat="1"/>
    <xf borderId="0" fillId="12" fontId="7" numFmtId="0" xfId="0" applyAlignment="1" applyFill="1" applyFont="1">
      <alignment horizontal="right" readingOrder="0" vertical="bottom"/>
    </xf>
    <xf borderId="2" fillId="12" fontId="9" numFmtId="0" xfId="0" applyAlignment="1" applyBorder="1" applyFont="1">
      <alignment horizontal="right" vertical="bottom"/>
    </xf>
    <xf borderId="3" fillId="0" fontId="1" numFmtId="0" xfId="0" applyAlignment="1" applyBorder="1" applyFont="1">
      <alignment readingOrder="0"/>
    </xf>
    <xf borderId="0" fillId="13" fontId="7" numFmtId="0" xfId="0" applyAlignment="1" applyFill="1" applyFont="1">
      <alignment horizontal="right" readingOrder="0" vertical="bottom"/>
    </xf>
    <xf borderId="3" fillId="0" fontId="1" numFmtId="166" xfId="0" applyBorder="1" applyFont="1" applyNumberFormat="1"/>
    <xf borderId="2" fillId="13" fontId="9" numFmtId="0" xfId="0" applyAlignment="1" applyBorder="1" applyFont="1">
      <alignment horizontal="right" vertical="bottom"/>
    </xf>
    <xf borderId="0" fillId="0" fontId="1" numFmtId="169" xfId="0" applyAlignment="1" applyFont="1" applyNumberFormat="1">
      <alignment readingOrder="0"/>
    </xf>
    <xf borderId="0" fillId="12" fontId="7" numFmtId="1" xfId="0" applyAlignment="1" applyFont="1" applyNumberFormat="1">
      <alignment readingOrder="0" vertical="bottom"/>
    </xf>
    <xf borderId="0" fillId="12" fontId="7" numFmtId="1" xfId="0" applyAlignment="1" applyFont="1" applyNumberFormat="1">
      <alignment vertical="bottom"/>
    </xf>
    <xf borderId="0" fillId="0" fontId="1" numFmtId="170" xfId="0" applyAlignment="1" applyFont="1" applyNumberFormat="1">
      <alignment readingOrder="0"/>
    </xf>
    <xf borderId="0" fillId="0" fontId="1" numFmtId="9" xfId="0" applyAlignment="1" applyFont="1" applyNumberFormat="1">
      <alignment readingOrder="0"/>
    </xf>
    <xf borderId="0" fillId="0" fontId="1" numFmtId="171" xfId="0" applyAlignment="1" applyFont="1" applyNumberFormat="1">
      <alignment readingOrder="0"/>
    </xf>
    <xf borderId="2" fillId="0" fontId="9" numFmtId="1" xfId="0" applyAlignment="1" applyBorder="1" applyFont="1" applyNumberFormat="1">
      <alignment horizontal="right" vertical="bottom"/>
    </xf>
    <xf borderId="4" fillId="0" fontId="7" numFmtId="0" xfId="0" applyAlignment="1" applyBorder="1" applyFont="1">
      <alignment readingOrder="0" vertical="bottom"/>
    </xf>
    <xf borderId="3" fillId="11" fontId="7" numFmtId="0" xfId="0" applyAlignment="1" applyBorder="1" applyFont="1">
      <alignment horizontal="right" readingOrder="0" vertical="bottom"/>
    </xf>
    <xf borderId="3" fillId="11" fontId="7" numFmtId="3" xfId="0" applyAlignment="1" applyBorder="1" applyFont="1" applyNumberFormat="1">
      <alignment horizontal="right" readingOrder="0" vertical="bottom"/>
    </xf>
    <xf borderId="5" fillId="0" fontId="9" numFmtId="0" xfId="0" applyAlignment="1" applyBorder="1" applyFont="1">
      <alignment horizontal="right" vertical="bottom"/>
    </xf>
    <xf borderId="1" fillId="0" fontId="10" numFmtId="0" xfId="0" applyAlignment="1" applyBorder="1" applyFont="1">
      <alignment readingOrder="0" vertical="bottom"/>
    </xf>
    <xf borderId="0" fillId="0" fontId="10" numFmtId="1" xfId="0" applyAlignment="1" applyFont="1" applyNumberFormat="1">
      <alignment horizontal="right" vertical="bottom"/>
    </xf>
    <xf borderId="2" fillId="0" fontId="11" numFmtId="1" xfId="0" applyAlignment="1" applyBorder="1" applyFont="1" applyNumberFormat="1">
      <alignment horizontal="right" vertical="bottom"/>
    </xf>
    <xf borderId="1" fillId="14" fontId="7" numFmtId="0" xfId="0" applyAlignment="1" applyBorder="1" applyFill="1" applyFont="1">
      <alignment readingOrder="0" vertical="bottom"/>
    </xf>
    <xf borderId="2" fillId="11" fontId="7" numFmtId="166" xfId="0" applyAlignment="1" applyBorder="1" applyFont="1" applyNumberFormat="1">
      <alignment horizontal="right" readingOrder="0" vertical="bottom"/>
    </xf>
    <xf borderId="0" fillId="11" fontId="7" numFmtId="166" xfId="0" applyAlignment="1" applyFont="1" applyNumberFormat="1">
      <alignment horizontal="right" readingOrder="0" vertical="bottom"/>
    </xf>
    <xf borderId="0" fillId="11" fontId="7" numFmtId="166" xfId="0" applyAlignment="1" applyFont="1" applyNumberFormat="1">
      <alignment readingOrder="0" vertical="bottom"/>
    </xf>
    <xf borderId="2" fillId="0" fontId="9" numFmtId="172" xfId="0" applyAlignment="1" applyBorder="1" applyFont="1" applyNumberFormat="1">
      <alignment horizontal="right" vertical="bottom"/>
    </xf>
    <xf borderId="0" fillId="15" fontId="6" numFmtId="0" xfId="0" applyAlignment="1" applyFill="1" applyFont="1">
      <alignment horizontal="center" readingOrder="0"/>
    </xf>
    <xf borderId="0" fillId="16" fontId="2" numFmtId="0" xfId="0" applyAlignment="1" applyFill="1" applyFont="1">
      <alignment readingOrder="0"/>
    </xf>
    <xf borderId="0" fillId="17" fontId="2" numFmtId="0" xfId="0" applyAlignment="1" applyFill="1" applyFont="1">
      <alignment readingOrder="0"/>
    </xf>
    <xf borderId="0" fillId="4" fontId="6" numFmtId="0" xfId="0" applyAlignment="1" applyFont="1">
      <alignment horizontal="center" readingOrder="0"/>
    </xf>
    <xf borderId="0" fillId="3" fontId="12" numFmtId="0" xfId="0" applyAlignment="1" applyFont="1">
      <alignment horizontal="center" readingOrder="0"/>
    </xf>
    <xf borderId="2" fillId="12" fontId="7" numFmtId="166" xfId="0" applyAlignment="1" applyBorder="1" applyFont="1" applyNumberFormat="1">
      <alignment readingOrder="0" vertical="bottom"/>
    </xf>
    <xf borderId="0" fillId="18" fontId="1" numFmtId="0" xfId="0" applyAlignment="1" applyFill="1" applyFont="1">
      <alignment readingOrder="0"/>
    </xf>
    <xf borderId="0" fillId="12" fontId="7" numFmtId="166" xfId="0" applyAlignment="1" applyFont="1" applyNumberFormat="1">
      <alignment readingOrder="0" vertical="bottom"/>
    </xf>
    <xf borderId="0" fillId="12" fontId="7" numFmtId="166" xfId="0" applyAlignment="1" applyFont="1" applyNumberFormat="1">
      <alignment horizontal="right" readingOrder="0" vertical="bottom"/>
    </xf>
    <xf borderId="2" fillId="12" fontId="9" numFmtId="172" xfId="0" applyAlignment="1" applyBorder="1" applyFont="1" applyNumberFormat="1">
      <alignment horizontal="right" vertical="bottom"/>
    </xf>
    <xf borderId="0" fillId="3" fontId="2" numFmtId="3" xfId="0" applyAlignment="1" applyFont="1" applyNumberFormat="1">
      <alignment horizontal="left" readingOrder="0"/>
    </xf>
    <xf borderId="0" fillId="6" fontId="2" numFmtId="3" xfId="0" applyAlignment="1" applyFont="1" applyNumberFormat="1">
      <alignment horizontal="left" readingOrder="0"/>
    </xf>
    <xf borderId="0" fillId="13" fontId="7" numFmtId="166" xfId="0" applyAlignment="1" applyFont="1" applyNumberFormat="1">
      <alignment readingOrder="0" vertical="bottom"/>
    </xf>
    <xf borderId="0" fillId="18" fontId="2" numFmtId="0" xfId="0" applyAlignment="1" applyFont="1">
      <alignment readingOrder="0"/>
    </xf>
    <xf borderId="0" fillId="3" fontId="2" numFmtId="166" xfId="0" applyAlignment="1" applyFont="1" applyNumberFormat="1">
      <alignment readingOrder="0"/>
    </xf>
    <xf borderId="0" fillId="0" fontId="2" numFmtId="166" xfId="0" applyAlignment="1" applyFont="1" applyNumberFormat="1">
      <alignment readingOrder="0"/>
    </xf>
    <xf borderId="0" fillId="0" fontId="13" numFmtId="0" xfId="0" applyAlignment="1" applyFont="1">
      <alignment vertical="bottom"/>
    </xf>
    <xf borderId="2" fillId="13" fontId="9" numFmtId="172" xfId="0" applyAlignment="1" applyBorder="1" applyFont="1" applyNumberFormat="1">
      <alignment horizontal="right" vertical="bottom"/>
    </xf>
    <xf borderId="0" fillId="0" fontId="13" numFmtId="166" xfId="0" applyAlignment="1" applyFont="1" applyNumberFormat="1">
      <alignment horizontal="right" vertical="bottom"/>
    </xf>
    <xf borderId="0" fillId="12" fontId="7" numFmtId="166" xfId="0" applyAlignment="1" applyFont="1" applyNumberFormat="1">
      <alignment vertical="bottom"/>
    </xf>
    <xf borderId="0" fillId="3" fontId="2" numFmtId="166" xfId="0" applyAlignment="1" applyFont="1" applyNumberFormat="1">
      <alignment horizontal="right" readingOrder="0"/>
    </xf>
    <xf borderId="0" fillId="0" fontId="2" numFmtId="166" xfId="0" applyAlignment="1" applyFont="1" applyNumberFormat="1">
      <alignment horizontal="right" readingOrder="0"/>
    </xf>
    <xf borderId="0" fillId="3" fontId="2" numFmtId="166" xfId="0" applyAlignment="1" applyFont="1" applyNumberFormat="1">
      <alignment readingOrder="0"/>
    </xf>
    <xf borderId="0" fillId="0" fontId="2" numFmtId="166" xfId="0" applyAlignment="1" applyFont="1" applyNumberFormat="1">
      <alignment readingOrder="0"/>
    </xf>
    <xf borderId="0" fillId="0" fontId="13" numFmtId="9" xfId="0" applyAlignment="1" applyFont="1" applyNumberFormat="1">
      <alignment horizontal="right" vertical="bottom"/>
    </xf>
    <xf borderId="3" fillId="11" fontId="7" numFmtId="166" xfId="0" applyAlignment="1" applyBorder="1" applyFont="1" applyNumberFormat="1">
      <alignment horizontal="right" readingOrder="0" vertical="bottom"/>
    </xf>
    <xf borderId="3" fillId="11" fontId="7" numFmtId="166" xfId="0" applyAlignment="1" applyBorder="1" applyFont="1" applyNumberFormat="1">
      <alignment horizontal="right" readingOrder="0" vertical="bottom"/>
    </xf>
    <xf borderId="3" fillId="11" fontId="7" numFmtId="4" xfId="0" applyAlignment="1" applyBorder="1" applyFont="1" applyNumberFormat="1">
      <alignment horizontal="right" readingOrder="0" vertical="bottom"/>
    </xf>
    <xf borderId="0" fillId="13" fontId="2" numFmtId="0" xfId="0" applyAlignment="1" applyFont="1">
      <alignment readingOrder="0"/>
    </xf>
    <xf borderId="0" fillId="13" fontId="2" numFmtId="166" xfId="0" applyAlignment="1" applyFont="1" applyNumberFormat="1">
      <alignment readingOrder="0"/>
    </xf>
    <xf borderId="0" fillId="0" fontId="14" numFmtId="0" xfId="0" applyAlignment="1" applyFont="1">
      <alignment readingOrder="0" vertical="bottom"/>
    </xf>
    <xf borderId="0" fillId="0" fontId="10" numFmtId="172" xfId="0" applyAlignment="1" applyFont="1" applyNumberFormat="1">
      <alignment horizontal="right" vertical="bottom"/>
    </xf>
    <xf borderId="0" fillId="0" fontId="14" numFmtId="166" xfId="0" applyAlignment="1" applyFont="1" applyNumberFormat="1">
      <alignment vertical="bottom"/>
    </xf>
    <xf borderId="0" fillId="0" fontId="14" numFmtId="0" xfId="0" applyAlignment="1" applyFont="1">
      <alignment vertical="bottom"/>
    </xf>
    <xf borderId="0" fillId="3" fontId="2" numFmtId="10" xfId="0" applyAlignment="1" applyFont="1" applyNumberFormat="1">
      <alignment readingOrder="0"/>
    </xf>
    <xf borderId="0" fillId="0" fontId="2" numFmtId="10" xfId="0" applyAlignment="1" applyFont="1" applyNumberFormat="1">
      <alignment readingOrder="0"/>
    </xf>
    <xf borderId="2" fillId="0" fontId="11" numFmtId="172" xfId="0" applyAlignment="1" applyBorder="1" applyFont="1" applyNumberFormat="1">
      <alignment horizontal="right" vertical="bottom"/>
    </xf>
    <xf borderId="2" fillId="0" fontId="7" numFmtId="173" xfId="0" applyAlignment="1" applyBorder="1" applyFont="1" applyNumberFormat="1">
      <alignment vertical="bottom"/>
    </xf>
    <xf borderId="1" fillId="19" fontId="7" numFmtId="0" xfId="0" applyAlignment="1" applyBorder="1" applyFill="1" applyFont="1">
      <alignment readingOrder="0" vertical="bottom"/>
    </xf>
    <xf borderId="0" fillId="11" fontId="7" numFmtId="172" xfId="0" applyAlignment="1" applyFont="1" applyNumberFormat="1">
      <alignment horizontal="right" readingOrder="0" vertical="bottom"/>
    </xf>
    <xf borderId="0" fillId="0" fontId="13" numFmtId="0" xfId="0" applyAlignment="1" applyFont="1">
      <alignment horizontal="right" vertical="bottom"/>
    </xf>
    <xf borderId="0" fillId="0" fontId="2" numFmtId="0" xfId="0" applyAlignment="1" applyFont="1">
      <alignment readingOrder="0"/>
    </xf>
    <xf borderId="0" fillId="3" fontId="2" numFmtId="170" xfId="0" applyAlignment="1" applyFont="1" applyNumberFormat="1">
      <alignment readingOrder="0"/>
    </xf>
    <xf borderId="0" fillId="3" fontId="2" numFmtId="171" xfId="0" applyAlignment="1" applyFont="1" applyNumberFormat="1">
      <alignment readingOrder="0"/>
    </xf>
    <xf borderId="0" fillId="20" fontId="6" numFmtId="0" xfId="0" applyAlignment="1" applyFill="1" applyFont="1">
      <alignment readingOrder="0"/>
    </xf>
    <xf borderId="0" fillId="20" fontId="6" numFmtId="166" xfId="0" applyAlignment="1" applyFont="1" applyNumberFormat="1">
      <alignment readingOrder="0"/>
    </xf>
    <xf borderId="0" fillId="21" fontId="2" numFmtId="166" xfId="0" applyAlignment="1" applyFill="1" applyFont="1" applyNumberFormat="1">
      <alignment readingOrder="0"/>
    </xf>
    <xf borderId="0" fillId="21" fontId="2" numFmtId="166" xfId="0" applyAlignment="1" applyFont="1" applyNumberFormat="1">
      <alignment horizontal="right" readingOrder="0"/>
    </xf>
    <xf borderId="3" fillId="0" fontId="2" numFmtId="10" xfId="0" applyAlignment="1" applyBorder="1" applyFont="1" applyNumberFormat="1">
      <alignment readingOrder="0"/>
    </xf>
    <xf borderId="0" fillId="11" fontId="7" numFmtId="172" xfId="0" applyAlignment="1" applyFont="1" applyNumberFormat="1">
      <alignment vertical="bottom"/>
    </xf>
    <xf borderId="0" fillId="3" fontId="1" numFmtId="0" xfId="0" applyFont="1"/>
    <xf borderId="0" fillId="3" fontId="1" numFmtId="166" xfId="0" applyAlignment="1" applyFont="1" applyNumberFormat="1">
      <alignment readingOrder="0"/>
    </xf>
    <xf borderId="0" fillId="12" fontId="15" numFmtId="172" xfId="0" applyAlignment="1" applyFont="1" applyNumberFormat="1">
      <alignment vertical="bottom"/>
    </xf>
    <xf borderId="0" fillId="12" fontId="7" numFmtId="172" xfId="0" applyAlignment="1" applyFont="1" applyNumberFormat="1">
      <alignment vertical="bottom"/>
    </xf>
    <xf borderId="0" fillId="3" fontId="16" numFmtId="0" xfId="0" applyAlignment="1" applyFont="1">
      <alignment horizontal="left" readingOrder="0"/>
    </xf>
    <xf borderId="2" fillId="12" fontId="7" numFmtId="172" xfId="0" applyAlignment="1" applyBorder="1" applyFont="1" applyNumberFormat="1">
      <alignment vertical="bottom"/>
    </xf>
    <xf borderId="2" fillId="13" fontId="7" numFmtId="172" xfId="0" applyAlignment="1" applyBorder="1" applyFont="1" applyNumberFormat="1">
      <alignment vertical="bottom"/>
    </xf>
    <xf borderId="0" fillId="13" fontId="7" numFmtId="172" xfId="0" applyAlignment="1" applyFont="1" applyNumberFormat="1">
      <alignment vertical="bottom"/>
    </xf>
    <xf borderId="4" fillId="0" fontId="7" numFmtId="0" xfId="0" applyAlignment="1" applyBorder="1" applyFont="1">
      <alignment vertical="bottom"/>
    </xf>
    <xf borderId="3" fillId="12" fontId="7" numFmtId="172" xfId="0" applyAlignment="1" applyBorder="1" applyFont="1" applyNumberFormat="1">
      <alignment vertical="bottom"/>
    </xf>
    <xf borderId="0" fillId="0" fontId="7" numFmtId="172" xfId="0" applyAlignment="1" applyFont="1" applyNumberFormat="1">
      <alignment horizontal="right" vertical="bottom"/>
    </xf>
    <xf borderId="2" fillId="0" fontId="7" numFmtId="172" xfId="0" applyAlignment="1" applyBorder="1" applyFont="1" applyNumberFormat="1">
      <alignment horizontal="right" vertical="bottom"/>
    </xf>
    <xf borderId="0" fillId="0" fontId="17" numFmtId="0" xfId="0" applyAlignment="1" applyFont="1">
      <alignment readingOrder="0"/>
    </xf>
    <xf borderId="0" fillId="0" fontId="1" numFmtId="0" xfId="0" applyAlignment="1" applyFont="1">
      <alignment readingOrder="0" vertical="top"/>
    </xf>
    <xf borderId="0" fillId="0" fontId="18" numFmtId="0" xfId="0" applyAlignment="1" applyFont="1">
      <alignment readingOrder="0"/>
    </xf>
    <xf borderId="0" fillId="0" fontId="18" numFmtId="0" xfId="0" applyFont="1"/>
    <xf borderId="0" fillId="0" fontId="1" numFmtId="0" xfId="0" applyAlignment="1" applyFont="1">
      <alignment readingOrder="0" shrinkToFit="0" vertical="top" wrapText="1"/>
    </xf>
    <xf borderId="0" fillId="0" fontId="18" numFmtId="0" xfId="0" applyAlignment="1" applyFont="1">
      <alignment readingOrder="0"/>
    </xf>
    <xf borderId="0" fillId="17" fontId="19" numFmtId="0" xfId="0" applyAlignment="1" applyFont="1">
      <alignment readingOrder="0"/>
    </xf>
    <xf borderId="0" fillId="17" fontId="19" numFmtId="0" xfId="0" applyFont="1"/>
    <xf borderId="0" fillId="0" fontId="2" numFmtId="0" xfId="0" applyFont="1"/>
    <xf borderId="0" fillId="0" fontId="2" numFmtId="168" xfId="0" applyAlignment="1" applyFont="1" applyNumberFormat="1">
      <alignment readingOrder="0"/>
    </xf>
    <xf borderId="0" fillId="0" fontId="2" numFmtId="0" xfId="0" applyAlignment="1" applyFont="1">
      <alignment readingOrder="0"/>
    </xf>
    <xf quotePrefix="1" borderId="0" fillId="0" fontId="2" numFmtId="0" xfId="0" applyAlignment="1" applyFont="1">
      <alignment readingOrder="0"/>
    </xf>
    <xf borderId="3" fillId="0" fontId="7" numFmtId="172" xfId="0" applyAlignment="1" applyBorder="1" applyFont="1" applyNumberFormat="1">
      <alignment horizontal="right" vertical="bottom"/>
    </xf>
    <xf borderId="0" fillId="0" fontId="7" numFmtId="172" xfId="0" applyAlignment="1" applyFont="1" applyNumberFormat="1">
      <alignment vertical="bottom"/>
    </xf>
    <xf borderId="2" fillId="0" fontId="7" numFmtId="172" xfId="0" applyAlignment="1" applyBorder="1" applyFont="1" applyNumberFormat="1">
      <alignment vertical="bottom"/>
    </xf>
    <xf borderId="1" fillId="0" fontId="7" numFmtId="172" xfId="0" applyAlignment="1" applyBorder="1" applyFont="1" applyNumberFormat="1">
      <alignment horizontal="right" vertical="bottom"/>
    </xf>
    <xf borderId="0" fillId="0" fontId="14" numFmtId="0" xfId="0" applyFont="1"/>
    <xf borderId="1" fillId="22" fontId="7" numFmtId="0" xfId="0" applyAlignment="1" applyBorder="1" applyFill="1" applyFont="1">
      <alignment vertical="bottom"/>
    </xf>
    <xf borderId="0" fillId="22" fontId="7" numFmtId="0" xfId="0" applyAlignment="1" applyFont="1">
      <alignment vertical="bottom"/>
    </xf>
    <xf borderId="2" fillId="22" fontId="7" numFmtId="0" xfId="0" applyAlignment="1" applyBorder="1" applyFont="1">
      <alignment vertical="bottom"/>
    </xf>
    <xf borderId="0" fillId="0" fontId="4" numFmtId="0" xfId="0" applyAlignment="1" applyFont="1">
      <alignment horizontal="right" vertical="bottom"/>
    </xf>
    <xf borderId="0" fillId="0" fontId="4" numFmtId="2" xfId="0" applyAlignment="1" applyFont="1" applyNumberFormat="1">
      <alignment horizontal="right" vertical="bottom"/>
    </xf>
    <xf borderId="2" fillId="0" fontId="9" numFmtId="172" xfId="0" applyAlignment="1" applyBorder="1" applyFont="1" applyNumberFormat="1">
      <alignment horizontal="center" vertical="bottom"/>
    </xf>
    <xf borderId="1" fillId="2" fontId="7" numFmtId="0" xfId="0" applyAlignment="1" applyBorder="1" applyFont="1">
      <alignment readingOrder="0" vertical="bottom"/>
    </xf>
    <xf borderId="0" fillId="23" fontId="7" numFmtId="2" xfId="0" applyAlignment="1" applyFill="1" applyFont="1" applyNumberFormat="1">
      <alignment horizontal="right" vertical="bottom"/>
    </xf>
    <xf borderId="0" fillId="24" fontId="7" numFmtId="172" xfId="0" applyAlignment="1" applyFill="1" applyFont="1" applyNumberFormat="1">
      <alignment horizontal="right" vertical="bottom"/>
    </xf>
    <xf borderId="1" fillId="2" fontId="7" numFmtId="0" xfId="0" applyAlignment="1" applyBorder="1" applyFont="1">
      <alignment vertical="bottom"/>
    </xf>
    <xf borderId="0" fillId="25" fontId="4" numFmtId="2" xfId="0" applyAlignment="1" applyFill="1" applyFont="1" applyNumberFormat="1">
      <alignment horizontal="right" vertical="bottom"/>
    </xf>
    <xf borderId="1" fillId="26" fontId="7" numFmtId="0" xfId="0" applyAlignment="1" applyBorder="1" applyFill="1" applyFont="1">
      <alignment readingOrder="0" vertical="bottom"/>
    </xf>
    <xf borderId="1" fillId="27" fontId="7" numFmtId="0" xfId="0" applyAlignment="1" applyBorder="1" applyFill="1" applyFont="1">
      <alignment readingOrder="0" vertical="bottom"/>
    </xf>
    <xf borderId="1" fillId="27" fontId="7" numFmtId="0" xfId="0" applyAlignment="1" applyBorder="1" applyFont="1">
      <alignment vertical="bottom"/>
    </xf>
    <xf borderId="1" fillId="28" fontId="4" numFmtId="0" xfId="0" applyAlignment="1" applyBorder="1" applyFill="1" applyFont="1">
      <alignment vertical="bottom"/>
    </xf>
    <xf borderId="1" fillId="14" fontId="7" numFmtId="0" xfId="0" applyAlignment="1" applyBorder="1" applyFont="1">
      <alignment vertical="bottom"/>
    </xf>
    <xf borderId="1" fillId="29" fontId="4" numFmtId="0" xfId="0" applyAlignment="1" applyBorder="1" applyFill="1" applyFont="1">
      <alignment readingOrder="0" vertical="bottom"/>
    </xf>
    <xf borderId="0" fillId="0" fontId="7" numFmtId="2" xfId="0" applyAlignment="1" applyFont="1" applyNumberFormat="1">
      <alignment vertical="bottom"/>
    </xf>
    <xf borderId="1" fillId="30" fontId="7" numFmtId="0" xfId="0" applyAlignment="1" applyBorder="1" applyFill="1" applyFont="1">
      <alignment readingOrder="0" vertical="bottom"/>
    </xf>
    <xf borderId="1" fillId="30" fontId="7" numFmtId="0" xfId="0" applyAlignment="1" applyBorder="1" applyFont="1">
      <alignment vertical="bottom"/>
    </xf>
    <xf borderId="1" fillId="31" fontId="4" numFmtId="0" xfId="0" applyAlignment="1" applyBorder="1" applyFill="1" applyFont="1">
      <alignment readingOrder="0" vertical="bottom"/>
    </xf>
    <xf borderId="1" fillId="32" fontId="7" numFmtId="0" xfId="0" applyAlignment="1" applyBorder="1" applyFill="1" applyFont="1">
      <alignment readingOrder="0" vertical="bottom"/>
    </xf>
    <xf borderId="1" fillId="32" fontId="7" numFmtId="0" xfId="0" applyAlignment="1" applyBorder="1" applyFont="1">
      <alignment vertical="bottom"/>
    </xf>
    <xf borderId="1" fillId="33" fontId="4" numFmtId="0" xfId="0" applyAlignment="1" applyBorder="1" applyFill="1" applyFont="1">
      <alignment readingOrder="0" vertical="bottom"/>
    </xf>
    <xf borderId="1" fillId="34" fontId="7" numFmtId="0" xfId="0" applyAlignment="1" applyBorder="1" applyFill="1" applyFont="1">
      <alignment readingOrder="0" vertical="bottom"/>
    </xf>
    <xf borderId="0" fillId="20" fontId="20" numFmtId="172" xfId="0" applyAlignment="1" applyFont="1" applyNumberFormat="1">
      <alignment horizontal="right" vertical="bottom"/>
    </xf>
    <xf borderId="1" fillId="34" fontId="7" numFmtId="0" xfId="0" applyAlignment="1" applyBorder="1" applyFont="1">
      <alignment vertical="bottom"/>
    </xf>
    <xf borderId="1" fillId="35" fontId="7" numFmtId="0" xfId="0" applyAlignment="1" applyBorder="1" applyFill="1" applyFont="1">
      <alignment readingOrder="0" vertical="bottom"/>
    </xf>
    <xf borderId="0" fillId="20" fontId="20" numFmtId="2" xfId="0" applyAlignment="1" applyFont="1" applyNumberFormat="1">
      <alignment horizontal="center" vertical="bottom"/>
    </xf>
    <xf borderId="0" fillId="20" fontId="20" numFmtId="172" xfId="0" applyAlignment="1" applyFont="1" applyNumberFormat="1">
      <alignment horizontal="center" vertical="bottom"/>
    </xf>
    <xf borderId="1" fillId="35" fontId="7" numFmtId="0" xfId="0" applyAlignment="1" applyBorder="1" applyFont="1">
      <alignment vertical="bottom"/>
    </xf>
    <xf borderId="0" fillId="0" fontId="7" numFmtId="173" xfId="0" applyAlignment="1" applyFont="1" applyNumberFormat="1">
      <alignment vertical="bottom"/>
    </xf>
    <xf borderId="1" fillId="36" fontId="4" numFmtId="0" xfId="0" applyAlignment="1" applyBorder="1" applyFill="1" applyFont="1">
      <alignment vertical="bottom"/>
    </xf>
    <xf borderId="1" fillId="0" fontId="7" numFmtId="2" xfId="0" applyAlignment="1" applyBorder="1" applyFont="1" applyNumberFormat="1">
      <alignment vertical="bottom"/>
    </xf>
    <xf borderId="1" fillId="37" fontId="4" numFmtId="0" xfId="0" applyAlignment="1" applyBorder="1" applyFill="1" applyFont="1">
      <alignment readingOrder="0" vertical="bottom"/>
    </xf>
    <xf borderId="1" fillId="26" fontId="7" numFmtId="0" xfId="0" applyAlignment="1" applyBorder="1" applyFont="1">
      <alignment vertical="bottom"/>
    </xf>
    <xf borderId="1" fillId="22" fontId="7" numFmtId="0" xfId="0" applyAlignment="1" applyBorder="1" applyFont="1">
      <alignment readingOrder="0" vertical="bottom"/>
    </xf>
    <xf borderId="0" fillId="0" fontId="7" numFmtId="174" xfId="0" applyAlignment="1" applyFont="1" applyNumberFormat="1">
      <alignment vertical="bottom"/>
    </xf>
    <xf borderId="1" fillId="31" fontId="4" numFmtId="0" xfId="0" applyAlignment="1" applyBorder="1" applyFont="1">
      <alignment vertical="bottom"/>
    </xf>
    <xf borderId="1" fillId="11" fontId="7" numFmtId="0" xfId="0" applyAlignment="1" applyBorder="1" applyFont="1">
      <alignment vertical="bottom"/>
    </xf>
    <xf borderId="0" fillId="38" fontId="7" numFmtId="172" xfId="0" applyAlignment="1" applyFill="1" applyFont="1" applyNumberFormat="1">
      <alignment horizontal="right" shrinkToFit="0" vertical="bottom" wrapText="1"/>
    </xf>
    <xf borderId="2" fillId="0" fontId="21" numFmtId="0" xfId="0" applyBorder="1" applyFont="1"/>
    <xf borderId="1" fillId="38" fontId="7" numFmtId="0" xfId="0" applyAlignment="1" applyBorder="1" applyFont="1">
      <alignment vertical="bottom"/>
    </xf>
    <xf borderId="0" fillId="0" fontId="7" numFmtId="3" xfId="0" applyAlignment="1" applyFont="1" applyNumberFormat="1">
      <alignment horizontal="right" readingOrder="0" vertical="bottom"/>
    </xf>
    <xf borderId="0" fillId="0" fontId="7" numFmtId="0" xfId="0" applyAlignment="1" applyFont="1">
      <alignment horizontal="right" vertical="bottom"/>
    </xf>
    <xf borderId="0" fillId="0" fontId="7" numFmtId="0" xfId="0" applyAlignment="1" applyFont="1">
      <alignment horizontal="right" readingOrder="0" vertical="bottom"/>
    </xf>
    <xf borderId="2" fillId="0" fontId="11" numFmtId="3" xfId="0" applyAlignment="1" applyBorder="1" applyFont="1" applyNumberFormat="1">
      <alignment horizontal="right" vertical="bottom"/>
    </xf>
    <xf borderId="0" fillId="38" fontId="7" numFmtId="3" xfId="0" applyAlignment="1" applyFont="1" applyNumberFormat="1">
      <alignment horizontal="right" vertical="bottom"/>
    </xf>
    <xf borderId="0" fillId="38" fontId="7" numFmtId="0" xfId="0" applyAlignment="1" applyFont="1">
      <alignment horizontal="right" vertical="bottom"/>
    </xf>
    <xf borderId="1" fillId="39" fontId="7" numFmtId="0" xfId="0" applyAlignment="1" applyBorder="1" applyFill="1" applyFont="1">
      <alignment vertical="bottom"/>
    </xf>
    <xf borderId="0" fillId="0" fontId="7" numFmtId="166" xfId="0" applyAlignment="1" applyFont="1" applyNumberFormat="1">
      <alignment horizontal="right" readingOrder="0" vertical="bottom"/>
    </xf>
    <xf borderId="0" fillId="0" fontId="7" numFmtId="175" xfId="0" applyAlignment="1" applyFont="1" applyNumberFormat="1">
      <alignment horizontal="right" readingOrder="0" vertical="bottom"/>
    </xf>
    <xf borderId="0" fillId="0" fontId="7" numFmtId="166" xfId="0" applyAlignment="1" applyFont="1" applyNumberFormat="1">
      <alignment horizontal="right" readingOrder="0" vertical="bottom"/>
    </xf>
    <xf borderId="0" fillId="0" fontId="7" numFmtId="166" xfId="0" applyAlignment="1" applyFont="1" applyNumberFormat="1">
      <alignment horizontal="right" readingOrder="0" vertical="bottom"/>
    </xf>
    <xf borderId="0" fillId="3" fontId="22" numFmtId="166" xfId="0" applyAlignment="1" applyFont="1" applyNumberFormat="1">
      <alignment horizontal="right" readingOrder="0" shrinkToFit="0" wrapText="0"/>
    </xf>
    <xf borderId="1" fillId="39" fontId="7" numFmtId="0" xfId="0" applyAlignment="1" applyBorder="1" applyFont="1">
      <alignment readingOrder="0" vertical="bottom"/>
    </xf>
    <xf borderId="1" fillId="40" fontId="7" numFmtId="0" xfId="0" applyAlignment="1" applyBorder="1" applyFill="1" applyFont="1">
      <alignment readingOrder="0" vertical="bottom"/>
    </xf>
    <xf borderId="0" fillId="40" fontId="7" numFmtId="166" xfId="0" applyAlignment="1" applyFont="1" applyNumberFormat="1">
      <alignment horizontal="right" vertical="bottom"/>
    </xf>
    <xf borderId="1" fillId="40" fontId="7" numFmtId="0" xfId="0" applyAlignment="1" applyBorder="1" applyFont="1">
      <alignment vertical="bottom"/>
    </xf>
    <xf borderId="0" fillId="40" fontId="7" numFmtId="172" xfId="0" applyAlignment="1" applyFont="1" applyNumberFormat="1">
      <alignment horizontal="right" readingOrder="0" vertical="bottom"/>
    </xf>
    <xf borderId="0" fillId="41" fontId="7" numFmtId="0" xfId="0" applyAlignment="1" applyFill="1" applyFont="1">
      <alignment horizontal="right" readingOrder="0" vertical="bottom"/>
    </xf>
    <xf borderId="0" fillId="41" fontId="7" numFmtId="3" xfId="0" applyAlignment="1" applyFont="1" applyNumberFormat="1">
      <alignment horizontal="right" readingOrder="0" vertical="bottom"/>
    </xf>
    <xf borderId="0" fillId="0" fontId="7" numFmtId="1" xfId="0" applyAlignment="1" applyFont="1" applyNumberFormat="1">
      <alignment horizontal="right" readingOrder="0" vertical="bottom"/>
    </xf>
    <xf borderId="0" fillId="0" fontId="23" numFmtId="0" xfId="0" applyAlignment="1" applyFont="1">
      <alignment readingOrder="0"/>
    </xf>
    <xf borderId="0" fillId="0" fontId="22" numFmtId="3" xfId="0" applyAlignment="1" applyFont="1" applyNumberFormat="1">
      <alignment horizontal="right" readingOrder="0" shrinkToFit="0" wrapText="0"/>
    </xf>
    <xf borderId="0" fillId="0" fontId="24" numFmtId="0" xfId="0" applyAlignment="1" applyFont="1">
      <alignment horizontal="right" readingOrder="0" shrinkToFit="0" wrapText="0"/>
    </xf>
    <xf borderId="1" fillId="41" fontId="7" numFmtId="0" xfId="0" applyAlignment="1" applyBorder="1" applyFont="1">
      <alignment readingOrder="0" vertical="bottom"/>
    </xf>
    <xf borderId="0" fillId="41" fontId="7" numFmtId="1" xfId="0" applyAlignment="1" applyFont="1" applyNumberFormat="1">
      <alignment horizontal="right" vertical="bottom"/>
    </xf>
    <xf borderId="0" fillId="0" fontId="7" numFmtId="1" xfId="0" applyAlignment="1" applyFont="1" applyNumberFormat="1">
      <alignment vertical="bottom"/>
    </xf>
    <xf borderId="2" fillId="0" fontId="7" numFmtId="0" xfId="0" applyAlignment="1" applyBorder="1" applyFont="1">
      <alignment readingOrder="0" vertical="bottom"/>
    </xf>
    <xf borderId="0" fillId="0" fontId="22" numFmtId="0" xfId="0" applyAlignment="1" applyFont="1">
      <alignment horizontal="right" readingOrder="0" shrinkToFit="0" wrapText="0"/>
    </xf>
    <xf borderId="0" fillId="0" fontId="7" numFmtId="3" xfId="0" applyAlignment="1" applyFont="1" applyNumberFormat="1">
      <alignment readingOrder="0" vertical="bottom"/>
    </xf>
    <xf borderId="0" fillId="0" fontId="22" numFmtId="1" xfId="0" applyAlignment="1" applyFont="1" applyNumberFormat="1">
      <alignment horizontal="right" readingOrder="0" shrinkToFit="0" wrapText="0"/>
    </xf>
    <xf borderId="1" fillId="0" fontId="1" numFmtId="0" xfId="0" applyBorder="1" applyFont="1"/>
    <xf borderId="0" fillId="11" fontId="7" numFmtId="2" xfId="0" applyAlignment="1" applyFont="1" applyNumberFormat="1">
      <alignment vertical="bottom"/>
    </xf>
    <xf borderId="0" fillId="11" fontId="7" numFmtId="1" xfId="0" applyAlignment="1" applyFont="1" applyNumberFormat="1">
      <alignment horizontal="right" readingOrder="0" vertical="bottom"/>
    </xf>
    <xf borderId="0" fillId="41" fontId="7" numFmtId="1" xfId="0" applyAlignment="1" applyFont="1" applyNumberFormat="1">
      <alignment readingOrder="0" vertical="bottom"/>
    </xf>
    <xf borderId="0" fillId="0" fontId="23" numFmtId="1" xfId="0" applyAlignment="1" applyFont="1" applyNumberFormat="1">
      <alignment readingOrder="0"/>
    </xf>
    <xf borderId="0" fillId="3" fontId="24" numFmtId="1" xfId="0" applyAlignment="1" applyFont="1" applyNumberFormat="1">
      <alignment horizontal="right" readingOrder="0" shrinkToFit="0" wrapText="0"/>
    </xf>
    <xf borderId="0" fillId="0" fontId="23" numFmtId="1" xfId="0" applyFont="1" applyNumberFormat="1"/>
    <xf borderId="0" fillId="0" fontId="23" numFmtId="3" xfId="0" applyFont="1" applyNumberFormat="1"/>
    <xf borderId="0" fillId="0" fontId="7" numFmtId="1" xfId="0" applyAlignment="1" applyFont="1" applyNumberFormat="1">
      <alignment horizontal="right" vertical="bottom"/>
    </xf>
    <xf borderId="2" fillId="0" fontId="1" numFmtId="0" xfId="0" applyBorder="1" applyFont="1"/>
    <xf borderId="0" fillId="11" fontId="7" numFmtId="1" xfId="0" applyAlignment="1" applyFont="1" applyNumberFormat="1">
      <alignment horizontal="right" vertical="bottom"/>
    </xf>
    <xf borderId="0" fillId="3" fontId="25" numFmtId="0" xfId="0" applyAlignment="1" applyFont="1">
      <alignment horizontal="right" readingOrder="0" shrinkToFit="0" wrapText="0"/>
    </xf>
    <xf borderId="1" fillId="17" fontId="7" numFmtId="0" xfId="0" applyAlignment="1" applyBorder="1" applyFont="1">
      <alignment readingOrder="0" vertical="bottom"/>
    </xf>
    <xf borderId="0" fillId="0" fontId="7" numFmtId="1" xfId="0" applyAlignment="1" applyFont="1" applyNumberFormat="1">
      <alignment readingOrder="0" vertical="bottom"/>
    </xf>
    <xf borderId="0" fillId="11" fontId="7" numFmtId="1" xfId="0" applyAlignment="1" applyFont="1" applyNumberFormat="1">
      <alignment readingOrder="0" vertical="bottom"/>
    </xf>
    <xf borderId="0" fillId="11" fontId="7" numFmtId="2" xfId="0" applyAlignment="1" applyFont="1" applyNumberFormat="1">
      <alignment readingOrder="0" vertical="bottom"/>
    </xf>
    <xf borderId="1" fillId="42" fontId="7" numFmtId="0" xfId="0" applyAlignment="1" applyBorder="1" applyFill="1" applyFont="1">
      <alignment readingOrder="0" vertical="bottom"/>
    </xf>
    <xf borderId="0" fillId="42" fontId="7" numFmtId="1" xfId="0" applyAlignment="1" applyFont="1" applyNumberFormat="1">
      <alignment horizontal="right" vertical="bottom"/>
    </xf>
    <xf borderId="0" fillId="42" fontId="7" numFmtId="1" xfId="0" applyAlignment="1" applyFont="1" applyNumberFormat="1">
      <alignment horizontal="left" readingOrder="0" vertical="bottom"/>
    </xf>
    <xf borderId="0" fillId="0" fontId="7" numFmtId="166" xfId="0" applyAlignment="1" applyFont="1" applyNumberFormat="1">
      <alignment readingOrder="0" vertical="bottom"/>
    </xf>
    <xf borderId="2" fillId="0" fontId="11" numFmtId="166" xfId="0" applyAlignment="1" applyBorder="1" applyFont="1" applyNumberFormat="1">
      <alignment horizontal="right" vertical="bottom"/>
    </xf>
    <xf borderId="0" fillId="3" fontId="26" numFmtId="166" xfId="0" applyAlignment="1" applyFont="1" applyNumberFormat="1">
      <alignment horizontal="right" readingOrder="0"/>
    </xf>
    <xf borderId="0" fillId="11" fontId="7" numFmtId="166" xfId="0" applyAlignment="1" applyFont="1" applyNumberFormat="1">
      <alignment vertical="bottom"/>
    </xf>
    <xf borderId="0" fillId="3" fontId="7" numFmtId="166" xfId="0" applyAlignment="1" applyFont="1" applyNumberFormat="1">
      <alignment readingOrder="0" vertical="bottom"/>
    </xf>
    <xf borderId="0" fillId="42" fontId="7" numFmtId="166" xfId="0" applyAlignment="1" applyFont="1" applyNumberFormat="1">
      <alignment horizontal="right" vertical="bottom"/>
    </xf>
    <xf borderId="0" fillId="0" fontId="7" numFmtId="166" xfId="0" applyAlignment="1" applyFont="1" applyNumberFormat="1">
      <alignment vertical="bottom"/>
    </xf>
    <xf borderId="0" fillId="0" fontId="23" numFmtId="166" xfId="0" applyAlignment="1" applyFont="1" applyNumberFormat="1">
      <alignment readingOrder="0"/>
    </xf>
    <xf borderId="0" fillId="0" fontId="23" numFmtId="166" xfId="0" applyAlignment="1" applyFont="1" applyNumberFormat="1">
      <alignment vertical="bottom"/>
    </xf>
    <xf borderId="1" fillId="42" fontId="7" numFmtId="166" xfId="0" applyAlignment="1" applyBorder="1" applyFont="1" applyNumberFormat="1">
      <alignment horizontal="left" vertical="bottom"/>
    </xf>
    <xf borderId="0" fillId="0" fontId="1" numFmtId="0" xfId="0" applyAlignment="1" applyFont="1">
      <alignment horizontal="right"/>
    </xf>
    <xf borderId="1" fillId="43" fontId="7" numFmtId="0" xfId="0" applyAlignment="1" applyBorder="1" applyFill="1" applyFont="1">
      <alignment readingOrder="0" vertical="bottom"/>
    </xf>
    <xf borderId="0" fillId="11" fontId="7" numFmtId="1" xfId="0" applyAlignment="1" applyFont="1" applyNumberFormat="1">
      <alignment vertical="bottom"/>
    </xf>
    <xf borderId="1" fillId="44" fontId="7" numFmtId="0" xfId="0" applyAlignment="1" applyBorder="1" applyFill="1" applyFont="1">
      <alignment readingOrder="0" vertical="bottom"/>
    </xf>
    <xf borderId="0" fillId="44" fontId="7" numFmtId="1" xfId="0" applyAlignment="1" applyFont="1" applyNumberFormat="1">
      <alignment horizontal="right" vertical="bottom"/>
    </xf>
    <xf borderId="1" fillId="44" fontId="7" numFmtId="1" xfId="0" applyAlignment="1" applyBorder="1" applyFont="1" applyNumberFormat="1">
      <alignment horizontal="left" vertical="bottom"/>
    </xf>
    <xf borderId="2" fillId="44" fontId="7" numFmtId="1" xfId="0" applyAlignment="1" applyBorder="1" applyFont="1" applyNumberFormat="1">
      <alignment horizontal="right" vertical="bottom"/>
    </xf>
    <xf borderId="0" fillId="44" fontId="7" numFmtId="1" xfId="0" applyAlignment="1" applyFont="1" applyNumberFormat="1">
      <alignment horizontal="right" readingOrder="0" vertical="bottom"/>
    </xf>
    <xf borderId="1" fillId="44" fontId="7" numFmtId="1" xfId="0" applyAlignment="1" applyBorder="1" applyFont="1" applyNumberFormat="1">
      <alignment horizontal="left" readingOrder="0" vertical="bottom"/>
    </xf>
    <xf borderId="0" fillId="44" fontId="7" numFmtId="166" xfId="0" applyAlignment="1" applyFont="1" applyNumberFormat="1">
      <alignment horizontal="right" vertical="bottom"/>
    </xf>
    <xf borderId="0" fillId="0" fontId="23" numFmtId="166" xfId="0" applyAlignment="1" applyFont="1" applyNumberFormat="1">
      <alignment horizontal="right" readingOrder="0"/>
    </xf>
    <xf borderId="0" fillId="45" fontId="1" numFmtId="0" xfId="0" applyFill="1" applyFont="1"/>
    <xf borderId="0" fillId="44" fontId="7" numFmtId="166" xfId="0" applyAlignment="1" applyFont="1" applyNumberFormat="1">
      <alignment horizontal="right" readingOrder="0" vertical="bottom"/>
    </xf>
    <xf borderId="0" fillId="45" fontId="1" numFmtId="0" xfId="0" applyAlignment="1" applyFont="1">
      <alignment horizontal="right"/>
    </xf>
    <xf borderId="0" fillId="45" fontId="23" numFmtId="0" xfId="0" applyFont="1"/>
    <xf borderId="0" fillId="0" fontId="23" numFmtId="0" xfId="0" applyFont="1"/>
    <xf borderId="1" fillId="46" fontId="7" numFmtId="0" xfId="0" applyAlignment="1" applyBorder="1" applyFill="1" applyFont="1">
      <alignment readingOrder="0" vertical="bottom"/>
    </xf>
    <xf borderId="1" fillId="47" fontId="7" numFmtId="0" xfId="0" applyAlignment="1" applyBorder="1" applyFill="1" applyFont="1">
      <alignment readingOrder="0" vertical="bottom"/>
    </xf>
    <xf borderId="0" fillId="47" fontId="7" numFmtId="1" xfId="0" applyAlignment="1" applyFont="1" applyNumberFormat="1">
      <alignment horizontal="right" vertical="bottom"/>
    </xf>
    <xf borderId="1" fillId="47" fontId="7" numFmtId="1" xfId="0" applyAlignment="1" applyBorder="1" applyFont="1" applyNumberFormat="1">
      <alignment horizontal="left" vertical="bottom"/>
    </xf>
    <xf borderId="2" fillId="47" fontId="7" numFmtId="1" xfId="0" applyAlignment="1" applyBorder="1" applyFont="1" applyNumberFormat="1">
      <alignment horizontal="right" vertical="bottom"/>
    </xf>
    <xf borderId="0" fillId="48" fontId="7" numFmtId="172" xfId="0" applyAlignment="1" applyFill="1" applyFont="1" applyNumberFormat="1">
      <alignment horizontal="right" vertical="bottom"/>
    </xf>
    <xf borderId="0" fillId="49" fontId="7" numFmtId="172" xfId="0" applyAlignment="1" applyFill="1" applyFont="1" applyNumberFormat="1">
      <alignment horizontal="right" vertical="bottom"/>
    </xf>
    <xf borderId="0" fillId="50" fontId="7" numFmtId="172" xfId="0" applyAlignment="1" applyFill="1" applyFont="1" applyNumberFormat="1">
      <alignment horizontal="right" vertical="bottom"/>
    </xf>
    <xf borderId="0" fillId="51" fontId="7" numFmtId="172" xfId="0" applyAlignment="1" applyFill="1" applyFont="1" applyNumberFormat="1">
      <alignment horizontal="right" vertical="bottom"/>
    </xf>
    <xf borderId="0" fillId="52" fontId="7" numFmtId="172" xfId="0" applyAlignment="1" applyFill="1" applyFont="1" applyNumberFormat="1">
      <alignment horizontal="right" vertical="bottom"/>
    </xf>
    <xf borderId="0" fillId="53" fontId="7" numFmtId="172" xfId="0" applyAlignment="1" applyFill="1" applyFont="1" applyNumberFormat="1">
      <alignment horizontal="right" vertical="bottom"/>
    </xf>
    <xf borderId="0" fillId="54" fontId="7" numFmtId="172" xfId="0" applyAlignment="1" applyFill="1" applyFont="1" applyNumberFormat="1">
      <alignment horizontal="right" vertical="bottom"/>
    </xf>
    <xf borderId="0" fillId="55" fontId="7" numFmtId="172" xfId="0" applyAlignment="1" applyFill="1" applyFont="1" applyNumberFormat="1">
      <alignment horizontal="right" vertical="bottom"/>
    </xf>
    <xf borderId="0" fillId="56" fontId="7" numFmtId="172" xfId="0" applyAlignment="1" applyFill="1" applyFont="1" applyNumberFormat="1">
      <alignment horizontal="right" vertical="bottom"/>
    </xf>
    <xf borderId="0" fillId="57" fontId="7" numFmtId="172" xfId="0" applyAlignment="1" applyFill="1" applyFont="1" applyNumberFormat="1">
      <alignment horizontal="right" vertical="bottom"/>
    </xf>
    <xf borderId="0" fillId="58" fontId="7" numFmtId="172" xfId="0" applyAlignment="1" applyFill="1" applyFont="1" applyNumberFormat="1">
      <alignment horizontal="right" vertical="bottom"/>
    </xf>
    <xf borderId="0" fillId="59" fontId="7" numFmtId="172" xfId="0" applyAlignment="1" applyFill="1" applyFont="1" applyNumberFormat="1">
      <alignment horizontal="right" vertical="bottom"/>
    </xf>
    <xf borderId="0" fillId="60" fontId="7" numFmtId="172" xfId="0" applyAlignment="1" applyFill="1" applyFont="1" applyNumberFormat="1">
      <alignment horizontal="right" vertical="bottom"/>
    </xf>
    <xf borderId="0" fillId="61" fontId="7" numFmtId="172" xfId="0" applyAlignment="1" applyFill="1" applyFont="1" applyNumberFormat="1">
      <alignment horizontal="right" vertical="bottom"/>
    </xf>
    <xf borderId="0" fillId="62" fontId="7" numFmtId="172" xfId="0" applyAlignment="1" applyFill="1" applyFont="1" applyNumberFormat="1">
      <alignment horizontal="right" vertical="bottom"/>
    </xf>
    <xf borderId="0" fillId="63" fontId="7" numFmtId="172" xfId="0" applyAlignment="1" applyFill="1" applyFont="1" applyNumberFormat="1">
      <alignment horizontal="right" vertical="bottom"/>
    </xf>
    <xf borderId="0" fillId="64" fontId="7" numFmtId="172" xfId="0" applyAlignment="1" applyFill="1" applyFont="1" applyNumberFormat="1">
      <alignment horizontal="right" vertical="bottom"/>
    </xf>
    <xf borderId="0" fillId="65" fontId="7" numFmtId="172" xfId="0" applyAlignment="1" applyFill="1" applyFont="1" applyNumberFormat="1">
      <alignment horizontal="right" vertical="bottom"/>
    </xf>
    <xf borderId="0" fillId="0" fontId="7" numFmtId="165" xfId="0" applyAlignment="1" applyFont="1" applyNumberFormat="1">
      <alignment vertical="bottom"/>
    </xf>
    <xf borderId="0" fillId="0" fontId="7" numFmtId="172" xfId="0" applyAlignment="1" applyFont="1" applyNumberFormat="1">
      <alignment horizontal="right" readingOrder="0" vertical="bottom"/>
    </xf>
    <xf borderId="0" fillId="66" fontId="7" numFmtId="165" xfId="0" applyAlignment="1" applyFill="1" applyFont="1" applyNumberFormat="1">
      <alignment vertical="bottom"/>
    </xf>
    <xf borderId="0" fillId="0" fontId="7" numFmtId="172" xfId="0" applyAlignment="1" applyFont="1" applyNumberFormat="1">
      <alignment readingOrder="0" vertical="bottom"/>
    </xf>
    <xf borderId="0" fillId="6" fontId="7" numFmtId="165" xfId="0" applyAlignment="1" applyFont="1" applyNumberFormat="1">
      <alignment readingOrder="0" vertical="bottom"/>
    </xf>
    <xf borderId="0" fillId="6" fontId="7" numFmtId="165" xfId="0" applyAlignment="1" applyFont="1" applyNumberFormat="1">
      <alignment vertical="bottom"/>
    </xf>
    <xf borderId="2" fillId="6" fontId="11" numFmtId="172" xfId="0" applyAlignment="1" applyBorder="1" applyFont="1" applyNumberFormat="1">
      <alignment horizontal="right" vertical="bottom"/>
    </xf>
    <xf borderId="0" fillId="13" fontId="14" numFmtId="0" xfId="0" applyAlignment="1" applyFont="1">
      <alignment horizontal="left" readingOrder="0" vertical="bottom"/>
    </xf>
    <xf borderId="0" fillId="13" fontId="14" numFmtId="164" xfId="0" applyAlignment="1" applyFont="1" applyNumberFormat="1">
      <alignment horizontal="left" readingOrder="0" vertical="bottom"/>
    </xf>
    <xf borderId="0" fillId="7" fontId="14" numFmtId="0" xfId="0" applyAlignment="1" applyFont="1">
      <alignment vertical="bottom"/>
    </xf>
    <xf borderId="0" fillId="21" fontId="1" numFmtId="0" xfId="0" applyAlignment="1" applyFont="1">
      <alignment readingOrder="0"/>
    </xf>
    <xf borderId="0" fillId="3" fontId="14" numFmtId="0" xfId="0" applyAlignment="1" applyFont="1">
      <alignment vertical="bottom"/>
    </xf>
    <xf borderId="0" fillId="3" fontId="14" numFmtId="0" xfId="0" applyAlignment="1" applyFont="1">
      <alignment readingOrder="0" vertical="bottom"/>
    </xf>
    <xf borderId="0" fillId="21" fontId="1" numFmtId="0" xfId="0" applyFont="1"/>
    <xf borderId="0" fillId="18" fontId="1" numFmtId="0" xfId="0" applyAlignment="1" applyFont="1">
      <alignment readingOrder="0" shrinkToFit="0" wrapText="1"/>
    </xf>
    <xf borderId="0" fillId="13" fontId="1" numFmtId="0" xfId="0" applyAlignment="1" applyFont="1">
      <alignment readingOrder="0" shrinkToFit="0" wrapText="1"/>
    </xf>
    <xf borderId="0" fillId="13" fontId="1" numFmtId="0" xfId="0" applyAlignment="1" applyFont="1">
      <alignment horizontal="center" readingOrder="0"/>
    </xf>
    <xf borderId="0" fillId="3" fontId="27" numFmtId="166" xfId="0" applyAlignment="1" applyFont="1" applyNumberFormat="1">
      <alignment horizontal="right" readingOrder="0"/>
    </xf>
    <xf borderId="0" fillId="67" fontId="1" numFmtId="0" xfId="0" applyAlignment="1" applyFill="1" applyFont="1">
      <alignment readingOrder="0"/>
    </xf>
    <xf borderId="0" fillId="67" fontId="1" numFmtId="166" xfId="0" applyFont="1" applyNumberFormat="1"/>
    <xf borderId="0" fillId="0" fontId="1" numFmtId="3" xfId="0" applyAlignment="1" applyFont="1" applyNumberFormat="1">
      <alignment readingOrder="0"/>
    </xf>
    <xf borderId="1" fillId="68" fontId="28" numFmtId="0" xfId="0" applyAlignment="1" applyBorder="1" applyFill="1" applyFont="1">
      <alignment readingOrder="0" vertical="bottom"/>
    </xf>
    <xf borderId="0" fillId="43" fontId="1" numFmtId="0" xfId="0" applyAlignment="1" applyFont="1">
      <alignment readingOrder="0"/>
    </xf>
    <xf borderId="2" fillId="0" fontId="10" numFmtId="166" xfId="0" applyAlignment="1" applyBorder="1" applyFont="1" applyNumberFormat="1">
      <alignment vertical="bottom"/>
    </xf>
    <xf borderId="0" fillId="43" fontId="1" numFmtId="166" xfId="0" applyFont="1" applyNumberFormat="1"/>
    <xf borderId="0" fillId="0" fontId="1" numFmtId="2" xfId="0" applyFont="1" applyNumberFormat="1"/>
    <xf borderId="0" fillId="0" fontId="1" numFmtId="166" xfId="0" applyAlignment="1" applyFont="1" applyNumberFormat="1">
      <alignment horizontal="right" readingOrder="0"/>
    </xf>
    <xf borderId="0" fillId="0" fontId="29" numFmtId="10" xfId="0" applyAlignment="1" applyFont="1" applyNumberFormat="1">
      <alignment readingOrder="0"/>
    </xf>
    <xf borderId="0" fillId="0" fontId="29" numFmtId="10" xfId="0" applyAlignment="1" applyFont="1" applyNumberFormat="1">
      <alignment horizontal="right" readingOrder="0"/>
    </xf>
    <xf borderId="6" fillId="0" fontId="30" numFmtId="10" xfId="0" applyAlignment="1" applyBorder="1" applyFont="1" applyNumberFormat="1">
      <alignment horizontal="right" readingOrder="0" vertical="top"/>
    </xf>
    <xf borderId="0" fillId="3" fontId="14" numFmtId="10" xfId="0" applyAlignment="1" applyFont="1" applyNumberFormat="1">
      <alignment horizontal="right" readingOrder="0" vertical="bottom"/>
    </xf>
    <xf borderId="0" fillId="3" fontId="31" numFmtId="0" xfId="0" applyFont="1"/>
    <xf borderId="0" fillId="13" fontId="1" numFmtId="176" xfId="0" applyAlignment="1" applyFont="1" applyNumberFormat="1">
      <alignment readingOrder="0"/>
    </xf>
    <xf borderId="0" fillId="13" fontId="1" numFmtId="0" xfId="0" applyAlignment="1" applyFont="1">
      <alignment horizontal="right" readingOrder="0"/>
    </xf>
    <xf borderId="0" fillId="0" fontId="32" numFmtId="169" xfId="0" applyAlignment="1" applyFont="1" applyNumberFormat="1">
      <alignment readingOrder="0"/>
    </xf>
    <xf borderId="0" fillId="0" fontId="32" numFmtId="10" xfId="0" applyFont="1" applyNumberFormat="1"/>
    <xf borderId="0" fillId="0" fontId="32" numFmtId="2" xfId="0" applyAlignment="1" applyFont="1" applyNumberFormat="1">
      <alignment readingOrder="0"/>
    </xf>
    <xf borderId="0" fillId="0" fontId="32" numFmtId="166" xfId="0" applyAlignment="1" applyFont="1" applyNumberFormat="1">
      <alignment readingOrder="0"/>
    </xf>
    <xf borderId="0" fillId="0" fontId="32" numFmtId="10" xfId="0" applyAlignment="1" applyFont="1" applyNumberFormat="1">
      <alignment readingOrder="0"/>
    </xf>
    <xf borderId="0" fillId="0" fontId="1" numFmtId="3" xfId="0" applyFont="1" applyNumberFormat="1"/>
    <xf borderId="0" fillId="0" fontId="32" numFmtId="0" xfId="0" applyAlignment="1" applyFont="1">
      <alignment readingOrder="0"/>
    </xf>
    <xf borderId="0" fillId="0" fontId="33" numFmtId="166" xfId="0" applyAlignment="1" applyFont="1" applyNumberFormat="1">
      <alignment horizontal="left" readingOrder="0"/>
    </xf>
    <xf borderId="1" fillId="0" fontId="34" numFmtId="0" xfId="0" applyAlignment="1" applyBorder="1" applyFont="1">
      <alignment readingOrder="0" vertical="bottom"/>
    </xf>
    <xf borderId="0" fillId="0" fontId="34" numFmtId="172" xfId="0" applyAlignment="1" applyFont="1" applyNumberFormat="1">
      <alignment horizontal="right" vertical="bottom"/>
    </xf>
    <xf borderId="1" fillId="69" fontId="35" numFmtId="172" xfId="0" applyAlignment="1" applyBorder="1" applyFill="1" applyFont="1" applyNumberFormat="1">
      <alignment horizontal="right" vertical="bottom"/>
    </xf>
    <xf borderId="2" fillId="0" fontId="14" numFmtId="0" xfId="0" applyBorder="1" applyFont="1"/>
    <xf borderId="1" fillId="70" fontId="7" numFmtId="0" xfId="0" applyAlignment="1" applyBorder="1" applyFill="1" applyFont="1">
      <alignment vertical="bottom"/>
    </xf>
    <xf borderId="0" fillId="0" fontId="10" numFmtId="2" xfId="0" applyAlignment="1" applyFont="1" applyNumberFormat="1">
      <alignment horizontal="right" vertical="bottom"/>
    </xf>
    <xf borderId="1" fillId="0" fontId="7" numFmtId="172" xfId="0" applyAlignment="1" applyBorder="1" applyFont="1" applyNumberFormat="1">
      <alignment readingOrder="0" vertical="bottom"/>
    </xf>
    <xf borderId="0" fillId="0" fontId="7" numFmtId="2" xfId="0" applyAlignment="1" applyFont="1" applyNumberFormat="1">
      <alignment horizontal="right" vertical="bottom"/>
    </xf>
    <xf borderId="2" fillId="0" fontId="14" numFmtId="172" xfId="0" applyAlignment="1" applyBorder="1" applyFont="1" applyNumberFormat="1">
      <alignment horizontal="right" vertical="bottom"/>
    </xf>
    <xf borderId="0" fillId="0" fontId="14" numFmtId="172" xfId="0" applyAlignment="1" applyFont="1" applyNumberFormat="1">
      <alignment horizontal="right" vertical="bottom"/>
    </xf>
    <xf borderId="0" fillId="0" fontId="7" numFmtId="177" xfId="0" applyAlignment="1" applyFont="1" applyNumberFormat="1">
      <alignment vertical="bottom"/>
    </xf>
    <xf borderId="2" fillId="0" fontId="7" numFmtId="177" xfId="0" applyAlignment="1" applyBorder="1" applyFont="1" applyNumberFormat="1">
      <alignment vertical="bottom"/>
    </xf>
    <xf borderId="1" fillId="70" fontId="7" numFmtId="0" xfId="0" applyAlignment="1" applyBorder="1" applyFont="1">
      <alignment readingOrder="0" vertical="bottom"/>
    </xf>
    <xf borderId="1" fillId="0" fontId="7" numFmtId="2" xfId="0" applyAlignment="1" applyBorder="1" applyFont="1" applyNumberFormat="1">
      <alignment horizontal="right" vertical="bottom"/>
    </xf>
  </cellXfs>
  <cellStyles count="1">
    <cellStyle xfId="0" name="Normal" builtinId="0"/>
  </cellStyles>
  <dxfs count="5">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B7E1CD"/>
          <bgColor rgb="FFB7E1CD"/>
        </patternFill>
      </fill>
      <border/>
    </dxf>
    <dxf>
      <font/>
      <fill>
        <patternFill patternType="solid">
          <fgColor rgb="FFFBBEC1"/>
          <bgColor rgb="FFFBBEC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Sales!$A$10</c:f>
            </c:strRef>
          </c:tx>
          <c:spPr>
            <a:solidFill>
              <a:srgbClr val="4285F4">
                <a:alpha val="30000"/>
              </a:srgbClr>
            </a:solidFill>
            <a:ln cmpd="sng">
              <a:solidFill>
                <a:srgbClr val="4285F4"/>
              </a:solidFill>
            </a:ln>
          </c:spPr>
          <c:cat>
            <c:strRef>
              <c:f>Sales!$B$1:$AC$1</c:f>
            </c:strRef>
          </c:cat>
          <c:val>
            <c:numRef>
              <c:f>Sales!$B$10:$AC$10</c:f>
              <c:numCache/>
            </c:numRef>
          </c:val>
        </c:ser>
        <c:ser>
          <c:idx val="1"/>
          <c:order val="1"/>
          <c:tx>
            <c:strRef>
              <c:f>Sales!$A$19</c:f>
            </c:strRef>
          </c:tx>
          <c:spPr>
            <a:solidFill>
              <a:srgbClr val="EA4335">
                <a:alpha val="30000"/>
              </a:srgbClr>
            </a:solidFill>
            <a:ln cmpd="sng">
              <a:solidFill>
                <a:srgbClr val="EA4335"/>
              </a:solidFill>
            </a:ln>
          </c:spPr>
          <c:cat>
            <c:strRef>
              <c:f>Sales!$B$1:$AC$1</c:f>
            </c:strRef>
          </c:cat>
          <c:val>
            <c:numRef>
              <c:f>Sales!$B$19:$AC$19</c:f>
              <c:numCache/>
            </c:numRef>
          </c:val>
        </c:ser>
        <c:axId val="595028818"/>
        <c:axId val="1325427691"/>
      </c:areaChart>
      <c:catAx>
        <c:axId val="5950288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25427691"/>
      </c:catAx>
      <c:valAx>
        <c:axId val="13254276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9502881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Sales!$A$29</c:f>
            </c:strRef>
          </c:tx>
          <c:spPr>
            <a:solidFill>
              <a:schemeClr val="accent1"/>
            </a:solidFill>
            <a:ln cmpd="sng">
              <a:noFill/>
            </a:ln>
          </c:spPr>
          <c:cat>
            <c:strRef>
              <c:f>Sales!$C$1:$AC$1</c:f>
            </c:strRef>
          </c:cat>
          <c:val>
            <c:numRef>
              <c:f>Sales!$B$29:$AC$29</c:f>
              <c:numCache/>
            </c:numRef>
          </c:val>
        </c:ser>
        <c:ser>
          <c:idx val="1"/>
          <c:order val="1"/>
          <c:tx>
            <c:strRef>
              <c:f>Sales!$A$30</c:f>
            </c:strRef>
          </c:tx>
          <c:spPr>
            <a:solidFill>
              <a:schemeClr val="accent2"/>
            </a:solidFill>
            <a:ln cmpd="sng">
              <a:noFill/>
            </a:ln>
          </c:spPr>
          <c:dPt>
            <c:idx val="3"/>
          </c:dPt>
          <c:cat>
            <c:strRef>
              <c:f>Sales!$C$1:$AC$1</c:f>
            </c:strRef>
          </c:cat>
          <c:val>
            <c:numRef>
              <c:f>Sales!$B$30:$AC$30</c:f>
              <c:numCache/>
            </c:numRef>
          </c:val>
        </c:ser>
        <c:overlap val="100"/>
        <c:axId val="642014749"/>
        <c:axId val="1729594082"/>
      </c:barChart>
      <c:catAx>
        <c:axId val="6420147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29594082"/>
      </c:catAx>
      <c:valAx>
        <c:axId val="17295940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42014749"/>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Task id="{02e6ebd5-c12f-4d97-b644-c83a12bdc4aa}">
    <Anchor>
      <Comment id="{c0729a13-ef04-407f-a132-2e8c898011f1}"/>
    </Anchor>
    <History>
      <Event time="2023-02-17T16:19:23.00" id="{676ccb08-85d9-40b6-ac5d-9ac670dfb7c8}">
        <Attribution userId="placeholder@email.com" userName="Deleted user" userProvider="google-sheets"/>
        <Anchor>
          <Comment id="{c0729a13-ef04-407f-a132-2e8c898011f1}"/>
        </Anchor>
        <Create/>
      </Event>
      <Event time="2023-02-17T16:19:23.00" id="{6aa486df-7447-4651-9e21-0587db34d54c}">
        <Attribution userId="placeholder@email.com" userName="Deleted user" userProvider="google-sheets"/>
        <Anchor>
          <Comment id="{c0729a13-ef04-407f-a132-2e8c898011f1}"/>
        </Anchor>
        <Assign userId="benjamin_old@mybirdbuddy.com" userName="benjamin_old@mybirdbuddy.com" userProvider="google-sheets"/>
      </Event>
    </History>
  </Task>
  <Task id="{2e9a9c9b-1a27-48ab-8180-d037bffe402e}">
    <Anchor>
      <Comment id="{4971e52f-4dba-4b94-ac0e-9b700b12fd18}"/>
    </Anchor>
    <History>
      <Event time="2023-02-14T16:49:18.00" id="{cd5fa262-0707-4dd1-b845-498c5abb2ca1}">
        <Attribution userId="placeholder@email.com" userName="Deleted user" userProvider="google-sheets"/>
        <Anchor>
          <Comment id="{4971e52f-4dba-4b94-ac0e-9b700b12fd18}"/>
        </Anchor>
        <Create/>
      </Event>
      <Event time="2023-02-14T16:49:18.00" id="{06b2d96c-548c-469a-ac04-fae37fe4982a}">
        <Attribution userId="placeholder@email.com" userName="Deleted user" userProvider="google-sheets"/>
        <Anchor>
          <Comment id="{4971e52f-4dba-4b94-ac0e-9b700b12fd18}"/>
        </Anchor>
        <Assign userId="benjamin_old@mybirdbuddy.com" userName="benjamin_old@mybirdbuddy.com" userProvider="google-sheets"/>
      </Event>
    </History>
  </Task>
  <Task id="{bd78c724-54e6-4035-b1db-8ed9e73a874b}">
    <Anchor>
      <Comment id="{6de65beb-d5b6-478e-9db3-b29f0431172f}"/>
    </Anchor>
    <History>
      <Event time="2023-02-22T13:05:20.00" id="{db987343-41e0-4745-98c3-b86494bc205e}">
        <Attribution userId="placeholder@email.com" userName="Deleted user" userProvider="google-sheets"/>
        <Anchor>
          <Comment id="{6de65beb-d5b6-478e-9db3-b29f0431172f}"/>
        </Anchor>
        <Create/>
      </Event>
      <Event time="2023-02-22T13:05:20.00" id="{b2bc42f3-aed9-49e6-8764-8807672af0bb}">
        <Attribution userId="placeholder@email.com" userName="Deleted user" userProvider="google-sheets"/>
        <Anchor>
          <Comment id="{6de65beb-d5b6-478e-9db3-b29f0431172f}"/>
        </Anchor>
        <Assign userId="benjamin_old@mybirdbuddy.com" userName="benjamin_old@mybirdbuddy.com" userProvider="google-sheets"/>
      </Event>
    </History>
  </Task>
  <Task id="{9c7dbdc2-8260-47b4-8304-4ff1d6078dee}">
    <Anchor>
      <Comment id="{d09bbef1-5751-4fa6-aaf2-8f99b24e6b81}"/>
    </Anchor>
    <History>
      <Event time="2023-02-14T16:49:32.00" id="{e0933d62-5ae0-420c-b993-bc93c810160f}">
        <Attribution userId="placeholder@email.com" userName="Deleted user" userProvider="google-sheets"/>
        <Anchor>
          <Comment id="{d09bbef1-5751-4fa6-aaf2-8f99b24e6b81}"/>
        </Anchor>
        <Create/>
      </Event>
      <Event time="2023-02-14T16:49:32.00" id="{a96130a4-b5f7-4f7c-a929-ade41f157642}">
        <Attribution userId="placeholder@email.com" userName="Deleted user" userProvider="google-sheets"/>
        <Anchor>
          <Comment id="{d09bbef1-5751-4fa6-aaf2-8f99b24e6b81}"/>
        </Anchor>
        <Assign userId="benjamin_old@mybirdbuddy.com" userName="benjamin_old@mybirdbuddy.com" userProvider="google-sheets"/>
      </Event>
    </History>
  </Task>
  <Task id="{eee091a5-075d-4f10-bcf9-bd4c2accce74}">
    <Anchor>
      <Comment id="{107cbd52-3522-4254-b036-be25fbbaafbd}"/>
    </Anchor>
    <History>
      <Event time="2023-02-14T22:10:49.00" id="{e146fa82-b026-49a4-8974-fd2b5ca92422}">
        <Attribution userId="placeholder@email.com" userName="Deleted user" userProvider="google-sheets"/>
        <Anchor>
          <Comment id="{107cbd52-3522-4254-b036-be25fbbaafbd}"/>
        </Anchor>
        <Create/>
      </Event>
      <Event time="2023-02-14T22:10:49.00" id="{1c2f8f81-3d17-4dff-a23f-f2ebcb9782bc}">
        <Attribution userId="placeholder@email.com" userName="Deleted user" userProvider="google-sheets"/>
        <Anchor>
          <Comment id="{107cbd52-3522-4254-b036-be25fbbaafbd}"/>
        </Anchor>
        <Assign userProvider="google-sheets"/>
      </Event>
    </History>
  </Task>
  <Task id="{a5057f8b-0c62-4aae-a69b-5e616c196556}">
    <Anchor>
      <Comment id="{4f201619-dd10-44cb-bb01-5a9f9e314b93}"/>
    </Anchor>
    <History>
      <Event time="2023-02-14T22:12:14.00" id="{fe28d26a-9df8-4de5-b1a8-c5aa2dab7aef}">
        <Attribution userId="placeholder@email.com" userName="Deleted user" userProvider="google-sheets"/>
        <Anchor>
          <Comment id="{4f201619-dd10-44cb-bb01-5a9f9e314b93}"/>
        </Anchor>
        <Create/>
      </Event>
      <Event time="2023-02-14T22:12:14.00" id="{847d94ec-ce5d-4bdc-9fb4-3cd0cf82731b}">
        <Attribution userId="placeholder@email.com" userName="Deleted user" userProvider="google-sheets"/>
        <Anchor>
          <Comment id="{4f201619-dd10-44cb-bb01-5a9f9e314b93}"/>
        </Anchor>
        <Assign userProvider="google-sheets"/>
      </Event>
    </History>
  </Task>
</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75</xdr:row>
      <xdr:rowOff>152400</xdr:rowOff>
    </xdr:from>
    <xdr:ext cx="6991350"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57</xdr:row>
      <xdr:rowOff>152400</xdr:rowOff>
    </xdr:from>
    <xdr:ext cx="6991350"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600075</xdr:colOff>
      <xdr:row>57</xdr:row>
      <xdr:rowOff>152400</xdr:rowOff>
    </xdr:from>
    <xdr:ext cx="14335125" cy="780097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96</xdr:row>
      <xdr:rowOff>28575</xdr:rowOff>
    </xdr:from>
    <xdr:ext cx="6991350" cy="4295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b0f4bf9c-5e2b-4185-9350-d7b5d3786705}" providerId="google-sheets"/>
  <x18tc:person displayName="eric@mybirdbuddy.com" id="{533b626d-9b7d-4d85-9427-dcd7e4d97d73}" userId="eric@mybirdbuddy.com" providerId="google-sheets"/>
  <x18tc:person displayName="benjamin@mybirdbuddy.com" id="{b1f35c69-3517-4b9d-9028-ea89bc6a5bd9}" userId="benjamin@mybirdbuddy.com" providerId="google-sheets"/>
  <x18tc:person displayName="anja@mybirdbuddy.com" id="{71ade395-9824-49a9-8e57-68c0dbd12d12}" userId="anja@mybirdbuddy.com" providerId="google-sheets"/>
  <x18tc:person displayName="Deleted user" id="{07a8299b-f8cd-4ad6-b940-bb7614a8ee06}" providerId="google-sheets"/>
  <x18tc:person displayName="Deleted user" id="{457ef16f-3cd0-4fad-98c1-4c5cff2fae9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2-15T13:15:31.00" personId="{b0f4bf9c-5e2b-4185-9350-d7b5d3786705}" id="{ed72052d-be88-4619-9716-c84712decc47}" done="1">
    <x18tc:text xml:space="preserve">Move this away from COGS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6" dT="2023-02-17T16:19:23.00" personId="{07a8299b-f8cd-4ad6-b940-bb7614a8ee06}" id="{c0729a13-ef04-407f-a132-2e8c898011f1}" done="1">
    <x18tc:text xml:space="preserve">@benjamin@mybirdbuddy.com 
Please recheck the formulas that calculate the duty, tariff, HMF and MPF: I think they now include the sum of some of the rows 13 through 18, but not always the same ones. Would it not be simpler to simply use the total product cost row 19? NOTE: it will be row 19 or row 19 minus row 18: if an invoice includes the finance fee, then the finance fee amount WILL be part of the product cost that will be used in calculating the duty, tariff, etc. I believe @anja@mybirdbuddy.com will want Seacomp to invoice for finance fees separately from product invoices to avoid this. Anja can you please confirm that you are asking for this from Jimmy/Terry or do you want us to bring it up in our weekly calls with them? Please let us know.
Assigned to benjamin_old@mybirdbuddy.com</x18tc:text>
    <x18tc:mentions>
      <x18tc:mention mentionpersonId="{b1f35c69-3517-4b9d-9028-ea89bc6a5bd9}" mentionId="{85361529-aa9a-45c9-97e7-afba7537364f}" startIndex="0" length="25"/>
      <x18tc:mention mentionpersonId="{71ade395-9824-49a9-8e57-68c0dbd12d12}" mentionId="{3d99bc57-19ae-422b-a8cd-35d6454827eb}" startIndex="483" length="21"/>
    </x18tc:mentions>
  </x18tc:threadedComment>
  <x18tc:threadedComment ref="A26" dT="2023-02-20T18:17:48.00" personId="{457ef16f-3cd0-4fad-98c1-4c5cff2fae92}" id="{31cec32c-2300-4b74-8b66-6f82dffa000d}" parentId="{c0729a13-ef04-407f-a132-2e8c898011f1}">
    <x18tc:text xml:space="preserve">As discussed today we will agree on this on tomorrow's call COGS - Template Discussion</x18tc:text>
  </x18tc:threadedComment>
  <x18tc:threadedComment ref="E14" dT="2023-03-01T20:25:57.00" personId="{07a8299b-f8cd-4ad6-b940-bb7614a8ee06}" id="{6d47d702-8637-4720-a1df-6f052cea34e4}" done="0">
    <x18tc:text xml:space="preserve">includes cost of packaging</x18tc:text>
  </x18tc:threadedComment>
  <x18tc:threadedComment ref="B11" dT="2023-02-14T16:49:18.00" personId="{07a8299b-f8cd-4ad6-b940-bb7614a8ee06}" id="{4971e52f-4dba-4b94-ac0e-9b700b12fd18}" done="1">
    <x18tc:text xml:space="preserve">@benjamin@mybirdbuddy.com 
The timeline is April through November, not September. I didn't know if you wanted me to change it myself or if you wanted to.
Assigned to benjamin_old@mybirdbuddy.com</x18tc:text>
    <x18tc:mentions>
      <x18tc:mention mentionpersonId="{b1f35c69-3517-4b9d-9028-ea89bc6a5bd9}" mentionId="{5a793aca-249e-4309-9da5-961b22f86eea}" startIndex="0" length="25"/>
    </x18tc:mentions>
  </x18tc:threadedComment>
  <x18tc:threadedComment ref="H2" dT="2023-02-22T13:05:20.00" personId="{07a8299b-f8cd-4ad6-b940-bb7614a8ee06}" id="{6de65beb-d5b6-478e-9db3-b29f0431172f}" done="0">
    <x18tc:text xml:space="preserve">@benjamin@mybirdbuddy.com 
Should we be adding this?
Assigned to benjamin_old@mybirdbuddy.com</x18tc:text>
    <x18tc:mentions>
      <x18tc:mention mentionpersonId="{b1f35c69-3517-4b9d-9028-ea89bc6a5bd9}" mentionId="{4b78e7c8-2cfc-4413-97c6-f6a04bc9d7a8}" startIndex="0" length="25"/>
    </x18tc:mentions>
  </x18tc:threadedComment>
  <x18tc:threadedComment ref="C11" dT="2023-02-14T16:49:32.00" personId="{07a8299b-f8cd-4ad6-b940-bb7614a8ee06}" id="{d09bbef1-5751-4fa6-aaf2-8f99b24e6b81}" done="1">
    <x18tc:text xml:space="preserve">@benjamin@mybirdbuddy.com
The timeline is April through November, not September. I didn't know if you wanted me to change it myself or if you wanted to.
Assigned to benjamin_old@mybirdbuddy.com</x18tc:text>
    <x18tc:mentions>
      <x18tc:mention mentionpersonId="{b1f35c69-3517-4b9d-9028-ea89bc6a5bd9}" mentionId="{9daaeae6-273c-4518-ae87-786b67504a7b}" startIndex="0" length="25"/>
    </x18tc:mentions>
  </x18tc:threadedComment>
  <x18tc:threadedComment ref="D10" dT="2023-02-14T22:10:49.00" personId="{07a8299b-f8cd-4ad6-b940-bb7614a8ee06}" id="{107cbd52-3522-4254-b036-be25fbbaafbd}" done="0">
    <x18tc:text xml:space="preserve">@eric@mybirdbuddy.com 
for these accessories, we need the total qty you will be giving Seacomp. This comment also applies to cells E10 through G10
Assigned to </x18tc:text>
    <x18tc:mentions>
      <x18tc:mention mentionpersonId="{533b626d-9b7d-4d85-9427-dcd7e4d97d73}" mentionId="{bc500d22-833e-4bd3-8299-76e39c29fdf7}" startIndex="0" length="21"/>
    </x18tc:mentions>
  </x18tc:threadedComment>
  <x18tc:threadedComment ref="G16" dT="2023-02-17T16:24:14.00" personId="{07a8299b-f8cd-4ad6-b940-bb7614a8ee06}" id="{6cf90d3a-1678-4ee1-b53c-22e67143ef83}" done="1">
    <x18tc:text xml:space="preserve">This is the latest packaging quote from RRD for the 3-in-1, $0.78</x18tc:text>
  </x18tc:threadedComment>
  <x18tc:threadedComment ref="F14" dT="2023-03-01T20:25:46.00" personId="{07a8299b-f8cd-4ad6-b940-bb7614a8ee06}" id="{a979ef04-e342-42ac-a75b-3ec99c82ffa8}" done="0">
    <x18tc:text xml:space="preserve">Includes cost of packaging</x18tc:text>
  </x18tc:threadedComment>
  <x18tc:threadedComment ref="D11" dT="2023-02-14T22:12:14.00" personId="{07a8299b-f8cd-4ad6-b940-bb7614a8ee06}" id="{4f201619-dd10-44cb-bb01-5a9f9e314b93}" done="0">
    <x18tc:text xml:space="preserve">@eric@mybirdbuddy.com 
As per comment in cell D10, this is where the time range for producing the accessories goes. Same comment applies to cells E11 through G11.
Assigned to </x18tc:text>
    <x18tc:mentions>
      <x18tc:mention mentionpersonId="{533b626d-9b7d-4d85-9427-dcd7e4d97d73}" mentionId="{ecd20199-2877-4341-a52e-761a4a59d87f}" startIndex="0" length="2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dhD3sTz_Knf_w4H3JhgYXhxBusiSvSSuRyK3HNU1E0E/edit?usp=sharing"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hAaecrGaXGNYxbQyNpxu2nVVZ1vCEGj9/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8UnBFaWLzyOBLjV6tEkHUKY81AApqV-mLoSV1abAS-o/edit?usp=sharing" TargetMode="External"/><Relationship Id="rId7" Type="http://schemas.openxmlformats.org/officeDocument/2006/relationships/drawing" Target="../drawings/drawing5.xml"/><Relationship Id="rId8"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3</v>
      </c>
      <c r="C1" s="2" t="s">
        <v>5</v>
      </c>
      <c r="D1" s="2" t="s">
        <v>6</v>
      </c>
      <c r="E1" s="2" t="s">
        <v>7</v>
      </c>
      <c r="F1" s="2" t="s">
        <v>8</v>
      </c>
      <c r="G1" s="2" t="s">
        <v>10</v>
      </c>
      <c r="H1" s="2" t="s">
        <v>11</v>
      </c>
      <c r="I1" s="2" t="s">
        <v>12</v>
      </c>
      <c r="J1" s="2" t="s">
        <v>13</v>
      </c>
      <c r="K1" s="2" t="s">
        <v>14</v>
      </c>
      <c r="L1" s="2" t="s">
        <v>15</v>
      </c>
      <c r="M1" s="2" t="s">
        <v>16</v>
      </c>
      <c r="N1" s="2" t="s">
        <v>17</v>
      </c>
      <c r="O1" s="2" t="s">
        <v>18</v>
      </c>
      <c r="P1" s="2" t="s">
        <v>19</v>
      </c>
      <c r="Q1" s="2" t="s">
        <v>20</v>
      </c>
      <c r="R1" s="2" t="s">
        <v>21</v>
      </c>
      <c r="S1" s="2" t="s">
        <v>22</v>
      </c>
      <c r="T1" s="2" t="s">
        <v>23</v>
      </c>
      <c r="U1" s="2" t="s">
        <v>24</v>
      </c>
      <c r="V1" s="2" t="s">
        <v>25</v>
      </c>
      <c r="W1" s="2" t="s">
        <v>26</v>
      </c>
      <c r="X1" s="2" t="s">
        <v>27</v>
      </c>
      <c r="Y1" s="2" t="s">
        <v>29</v>
      </c>
      <c r="Z1" s="2" t="s">
        <v>30</v>
      </c>
      <c r="AA1" s="2" t="s">
        <v>31</v>
      </c>
      <c r="AB1" s="2" t="s">
        <v>32</v>
      </c>
      <c r="AC1" s="2" t="s">
        <v>34</v>
      </c>
      <c r="AD1" s="2" t="s">
        <v>35</v>
      </c>
      <c r="AE1" s="2" t="s">
        <v>36</v>
      </c>
      <c r="AF1" s="2" t="s">
        <v>37</v>
      </c>
      <c r="AG1" s="2" t="s">
        <v>39</v>
      </c>
      <c r="AH1" s="2" t="s">
        <v>40</v>
      </c>
      <c r="AI1" s="2" t="s">
        <v>41</v>
      </c>
      <c r="AJ1" s="2" t="s">
        <v>42</v>
      </c>
      <c r="AK1" s="2" t="s">
        <v>44</v>
      </c>
      <c r="AL1" s="2" t="s">
        <v>45</v>
      </c>
      <c r="AM1" s="2" t="s">
        <v>47</v>
      </c>
      <c r="AN1" s="2" t="s">
        <v>48</v>
      </c>
      <c r="AO1" s="2" t="s">
        <v>49</v>
      </c>
    </row>
    <row r="2">
      <c r="A2" s="2" t="s">
        <v>51</v>
      </c>
      <c r="B2" s="2" t="str">
        <f>IFERROR(__xludf.DUMMYFUNCTION("ARRAY_CONSTRAIN(split(CELL(""ADDRESS"",rdataslayer_42b112e4e4be4305bb4c1be75e2dd549),""!""),1,1)"),"Formulas")</f>
        <v>Formulas</v>
      </c>
      <c r="C2" s="2"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B$3:$C$4")</f>
        <v>$B$3:$C$4</v>
      </c>
      <c r="D2" s="18">
        <v>44518.61325231481</v>
      </c>
      <c r="E2" s="18">
        <v>44520.05126157407</v>
      </c>
      <c r="F2" s="2" t="s">
        <v>64</v>
      </c>
      <c r="I2" s="19">
        <v>7.0</v>
      </c>
      <c r="J2" s="2" t="s">
        <v>65</v>
      </c>
      <c r="L2" s="2" t="s">
        <v>66</v>
      </c>
      <c r="M2" s="2" t="s">
        <v>67</v>
      </c>
      <c r="R2" s="2" t="s">
        <v>68</v>
      </c>
      <c r="S2" s="2" t="s">
        <v>69</v>
      </c>
      <c r="T2" s="2" t="s">
        <v>70</v>
      </c>
      <c r="U2" s="2" t="s">
        <v>71</v>
      </c>
      <c r="V2" s="2" t="s">
        <v>71</v>
      </c>
      <c r="W2" s="2" t="s">
        <v>71</v>
      </c>
      <c r="Y2" s="2" t="s">
        <v>71</v>
      </c>
      <c r="Z2" s="19">
        <v>5.0</v>
      </c>
      <c r="AA2" s="19">
        <v>5.0</v>
      </c>
      <c r="AB2" s="2" t="s">
        <v>73</v>
      </c>
      <c r="AC2" s="2" t="s">
        <v>73</v>
      </c>
      <c r="AL2" s="2" t="s">
        <v>74</v>
      </c>
      <c r="AN2" s="2" t="s">
        <v>71</v>
      </c>
      <c r="AO2" s="2" t="s">
        <v>75</v>
      </c>
    </row>
    <row r="3">
      <c r="A3" s="2" t="s">
        <v>77</v>
      </c>
      <c r="B3" s="2" t="str">
        <f>IFERROR(__xludf.DUMMYFUNCTION("ARRAY_CONSTRAIN(split(CELL(""ADDRESS"",rdataslayer_4a0f150f4f2f4e4f85c890c75b7a1fa4),""!""),1,1)"),"Formulas")</f>
        <v>Formulas</v>
      </c>
      <c r="C3" s="2"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D$3:$E$4")</f>
        <v>$D$3:$E$4</v>
      </c>
      <c r="D3" s="18">
        <v>44518.615324074075</v>
      </c>
      <c r="E3" s="18">
        <v>44520.0512962963</v>
      </c>
      <c r="F3" s="2" t="s">
        <v>64</v>
      </c>
      <c r="I3" s="19">
        <v>7.0</v>
      </c>
      <c r="J3" s="2" t="s">
        <v>65</v>
      </c>
      <c r="L3" s="2" t="s">
        <v>66</v>
      </c>
      <c r="M3" s="2" t="s">
        <v>67</v>
      </c>
      <c r="R3" s="2" t="s">
        <v>80</v>
      </c>
      <c r="S3" s="2" t="s">
        <v>69</v>
      </c>
      <c r="T3" s="2" t="s">
        <v>71</v>
      </c>
      <c r="U3" s="2" t="s">
        <v>70</v>
      </c>
      <c r="V3" s="2" t="s">
        <v>71</v>
      </c>
      <c r="W3" s="2" t="s">
        <v>71</v>
      </c>
      <c r="Y3" s="2" t="s">
        <v>71</v>
      </c>
      <c r="Z3" s="19">
        <v>5.0</v>
      </c>
      <c r="AA3" s="19">
        <v>5.0</v>
      </c>
      <c r="AB3" s="2" t="s">
        <v>73</v>
      </c>
      <c r="AC3" s="2" t="s">
        <v>73</v>
      </c>
      <c r="AL3" s="2" t="s">
        <v>74</v>
      </c>
      <c r="AN3" s="2" t="s">
        <v>71</v>
      </c>
      <c r="AO3" s="2" t="s">
        <v>75</v>
      </c>
    </row>
    <row r="4">
      <c r="A4" s="2" t="s">
        <v>82</v>
      </c>
      <c r="B4" s="2" t="str">
        <f>IFERROR(__xludf.DUMMYFUNCTION("ARRAY_CONSTRAIN(split(CELL(""ADDRESS"",rdataslayer_adf57e64065742daa5b4161161b1c3ca),""!""),1,1)"),"Formulas")</f>
        <v>Formulas</v>
      </c>
      <c r="C4" s="2"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B$5:$D$6")</f>
        <v>$B$5:$D$6</v>
      </c>
      <c r="D4" s="18">
        <v>44518.61782407407</v>
      </c>
      <c r="E4" s="18">
        <v>44520.05138888889</v>
      </c>
      <c r="F4" s="2" t="s">
        <v>64</v>
      </c>
      <c r="I4" s="19">
        <v>18.0</v>
      </c>
      <c r="J4" s="2" t="s">
        <v>65</v>
      </c>
      <c r="L4" s="2" t="s">
        <v>66</v>
      </c>
      <c r="M4" s="2" t="s">
        <v>67</v>
      </c>
      <c r="R4" s="2" t="s">
        <v>89</v>
      </c>
      <c r="S4" s="2" t="s">
        <v>90</v>
      </c>
      <c r="T4" s="2" t="s">
        <v>70</v>
      </c>
      <c r="U4" s="2" t="s">
        <v>71</v>
      </c>
      <c r="V4" s="2" t="s">
        <v>71</v>
      </c>
      <c r="W4" s="2" t="s">
        <v>71</v>
      </c>
      <c r="Y4" s="2" t="s">
        <v>71</v>
      </c>
      <c r="Z4" s="19">
        <v>5.0</v>
      </c>
      <c r="AA4" s="19">
        <v>5.0</v>
      </c>
      <c r="AB4" s="2" t="s">
        <v>73</v>
      </c>
      <c r="AC4" s="2" t="s">
        <v>73</v>
      </c>
      <c r="AL4" s="2" t="s">
        <v>74</v>
      </c>
      <c r="AN4" s="2" t="s">
        <v>71</v>
      </c>
      <c r="AO4" s="2" t="s">
        <v>75</v>
      </c>
    </row>
    <row r="5">
      <c r="A5" s="2" t="s">
        <v>93</v>
      </c>
      <c r="B5" s="2" t="str">
        <f>IFERROR(__xludf.DUMMYFUNCTION("ARRAY_CONSTRAIN(split(CELL(""ADDRESS"",rdataslayer_d70e473bcafe40a3aa834ce157fb2ba3),""!""),1,1)"),"Formulas")</f>
        <v>Formulas</v>
      </c>
      <c r="C5" s="2"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C$9:$D$10")</f>
        <v>$C$9:$D$10</v>
      </c>
      <c r="D5" s="18">
        <v>44518.619479166664</v>
      </c>
      <c r="E5" s="18">
        <v>44520.05134259259</v>
      </c>
      <c r="F5" s="2" t="s">
        <v>64</v>
      </c>
      <c r="I5" s="19">
        <v>7.0</v>
      </c>
      <c r="J5" s="2" t="s">
        <v>65</v>
      </c>
      <c r="L5" s="2" t="s">
        <v>66</v>
      </c>
      <c r="M5" s="2" t="s">
        <v>67</v>
      </c>
      <c r="R5" s="2" t="s">
        <v>96</v>
      </c>
      <c r="S5" s="2" t="s">
        <v>69</v>
      </c>
      <c r="T5" s="2" t="s">
        <v>70</v>
      </c>
      <c r="U5" s="2" t="s">
        <v>71</v>
      </c>
      <c r="V5" s="2" t="s">
        <v>71</v>
      </c>
      <c r="W5" s="2" t="s">
        <v>71</v>
      </c>
      <c r="Y5" s="2" t="s">
        <v>71</v>
      </c>
      <c r="Z5" s="19">
        <v>100.0</v>
      </c>
      <c r="AA5" s="19">
        <v>100.0</v>
      </c>
      <c r="AB5" s="2" t="s">
        <v>73</v>
      </c>
      <c r="AC5" s="2" t="s">
        <v>73</v>
      </c>
      <c r="AL5" s="2" t="s">
        <v>74</v>
      </c>
      <c r="AN5" s="2" t="s">
        <v>71</v>
      </c>
      <c r="AO5" s="2" t="s">
        <v>75</v>
      </c>
    </row>
    <row r="6">
      <c r="A6" s="2" t="s">
        <v>97</v>
      </c>
      <c r="B6" s="2" t="str">
        <f>IFERROR(__xludf.DUMMYFUNCTION("ARRAY_CONSTRAIN(split(CELL(""ADDRESS"",rdataslayer_3753ddf3234e496aa261974a0222e193),""!""),1,1)"),"Formulas")</f>
        <v>Formulas</v>
      </c>
      <c r="C6" s="2"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H$3:$I$3")</f>
        <v>$H$3:$I$3</v>
      </c>
      <c r="D6" s="18">
        <v>44518.620729166665</v>
      </c>
      <c r="E6" s="18">
        <v>44520.05142361111</v>
      </c>
      <c r="F6" s="2" t="s">
        <v>64</v>
      </c>
      <c r="I6" s="19">
        <v>18.0</v>
      </c>
      <c r="J6" s="2" t="s">
        <v>65</v>
      </c>
      <c r="L6" s="2" t="s">
        <v>66</v>
      </c>
      <c r="M6" s="2" t="s">
        <v>67</v>
      </c>
      <c r="R6" s="2" t="s">
        <v>103</v>
      </c>
      <c r="S6" s="2" t="s">
        <v>69</v>
      </c>
      <c r="T6" s="2" t="s">
        <v>71</v>
      </c>
      <c r="U6" s="2" t="s">
        <v>71</v>
      </c>
      <c r="V6" s="2" t="s">
        <v>71</v>
      </c>
      <c r="W6" s="2" t="s">
        <v>71</v>
      </c>
      <c r="Y6" s="2" t="s">
        <v>71</v>
      </c>
      <c r="Z6" s="19">
        <v>100.0</v>
      </c>
      <c r="AA6" s="19">
        <v>100.0</v>
      </c>
      <c r="AB6" s="2" t="s">
        <v>105</v>
      </c>
      <c r="AC6" s="2" t="s">
        <v>73</v>
      </c>
      <c r="AL6" s="2" t="s">
        <v>74</v>
      </c>
      <c r="AN6" s="2" t="s">
        <v>71</v>
      </c>
      <c r="AO6" s="2" t="s">
        <v>75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2" width="11.75"/>
    <col customWidth="1" min="3" max="13" width="10.25"/>
    <col customWidth="1" min="14" max="14" width="11.25"/>
    <col customWidth="1" min="15" max="29" width="10.25"/>
  </cols>
  <sheetData>
    <row r="1">
      <c r="A1" s="288"/>
      <c r="B1" s="289">
        <v>44958.0</v>
      </c>
      <c r="C1" s="289">
        <v>44959.0</v>
      </c>
      <c r="D1" s="289">
        <v>44960.0</v>
      </c>
      <c r="E1" s="289">
        <v>44961.0</v>
      </c>
      <c r="F1" s="289">
        <v>44962.0</v>
      </c>
      <c r="G1" s="289">
        <v>44963.0</v>
      </c>
      <c r="H1" s="289">
        <v>44964.0</v>
      </c>
      <c r="I1" s="289">
        <v>44965.0</v>
      </c>
      <c r="J1" s="289">
        <v>44966.0</v>
      </c>
      <c r="K1" s="289">
        <v>44967.0</v>
      </c>
      <c r="L1" s="289">
        <v>44968.0</v>
      </c>
      <c r="M1" s="289">
        <v>44969.0</v>
      </c>
      <c r="N1" s="289">
        <v>44970.0</v>
      </c>
      <c r="O1" s="289">
        <v>44971.0</v>
      </c>
      <c r="P1" s="289">
        <v>44972.0</v>
      </c>
      <c r="Q1" s="289">
        <v>44973.0</v>
      </c>
      <c r="R1" s="289">
        <v>44974.0</v>
      </c>
      <c r="S1" s="289">
        <v>44975.0</v>
      </c>
      <c r="T1" s="289">
        <v>44976.0</v>
      </c>
      <c r="U1" s="289">
        <v>44977.0</v>
      </c>
      <c r="V1" s="289">
        <v>44978.0</v>
      </c>
      <c r="W1" s="289">
        <v>44979.0</v>
      </c>
      <c r="X1" s="289">
        <v>44980.0</v>
      </c>
      <c r="Y1" s="289">
        <v>44981.0</v>
      </c>
      <c r="Z1" s="289">
        <v>44982.0</v>
      </c>
      <c r="AA1" s="289">
        <v>44983.0</v>
      </c>
      <c r="AB1" s="289">
        <v>44984.0</v>
      </c>
      <c r="AC1" s="289">
        <v>44985.0</v>
      </c>
    </row>
    <row r="2">
      <c r="B2" s="290" t="s">
        <v>57</v>
      </c>
      <c r="C2" s="290" t="s">
        <v>58</v>
      </c>
      <c r="D2" s="290" t="s">
        <v>59</v>
      </c>
      <c r="E2" s="290" t="s">
        <v>60</v>
      </c>
      <c r="F2" s="290" t="s">
        <v>61</v>
      </c>
      <c r="G2" s="290" t="s">
        <v>62</v>
      </c>
      <c r="H2" s="290" t="s">
        <v>63</v>
      </c>
      <c r="I2" s="290" t="s">
        <v>57</v>
      </c>
      <c r="J2" s="290" t="s">
        <v>58</v>
      </c>
      <c r="K2" s="290" t="s">
        <v>59</v>
      </c>
      <c r="L2" s="290" t="s">
        <v>60</v>
      </c>
      <c r="M2" s="290" t="s">
        <v>61</v>
      </c>
      <c r="N2" s="290" t="s">
        <v>62</v>
      </c>
      <c r="O2" s="290" t="s">
        <v>63</v>
      </c>
      <c r="P2" s="290" t="s">
        <v>57</v>
      </c>
      <c r="Q2" s="290" t="s">
        <v>58</v>
      </c>
      <c r="R2" s="290" t="s">
        <v>59</v>
      </c>
      <c r="S2" s="290" t="s">
        <v>60</v>
      </c>
      <c r="T2" s="290" t="s">
        <v>61</v>
      </c>
      <c r="U2" s="290" t="s">
        <v>62</v>
      </c>
      <c r="V2" s="290" t="s">
        <v>63</v>
      </c>
      <c r="W2" s="290" t="s">
        <v>57</v>
      </c>
      <c r="X2" s="290" t="s">
        <v>58</v>
      </c>
      <c r="Y2" s="290" t="s">
        <v>59</v>
      </c>
      <c r="Z2" s="290" t="s">
        <v>60</v>
      </c>
      <c r="AA2" s="290" t="s">
        <v>61</v>
      </c>
      <c r="AB2" s="290" t="s">
        <v>62</v>
      </c>
      <c r="AC2" s="290" t="s">
        <v>63</v>
      </c>
    </row>
    <row r="3">
      <c r="A3" s="2" t="s">
        <v>394</v>
      </c>
      <c r="B3" s="291"/>
      <c r="C3" s="291"/>
      <c r="D3" s="292"/>
      <c r="E3" s="293" t="s">
        <v>395</v>
      </c>
      <c r="F3" s="291" t="s">
        <v>395</v>
      </c>
      <c r="G3" s="294"/>
      <c r="H3" s="291"/>
      <c r="I3" s="291" t="s">
        <v>396</v>
      </c>
      <c r="J3" s="291"/>
      <c r="K3" s="293"/>
      <c r="L3" s="291" t="s">
        <v>396</v>
      </c>
      <c r="M3" s="291" t="s">
        <v>396</v>
      </c>
      <c r="N3" s="291"/>
      <c r="O3" s="291"/>
      <c r="P3" s="291"/>
      <c r="Q3" s="291"/>
      <c r="R3" s="291"/>
      <c r="S3" s="291" t="s">
        <v>397</v>
      </c>
      <c r="T3" s="291" t="s">
        <v>397</v>
      </c>
      <c r="U3" s="291"/>
      <c r="V3" s="291"/>
      <c r="W3" s="291"/>
      <c r="X3" s="291"/>
      <c r="Z3" s="293" t="s">
        <v>395</v>
      </c>
      <c r="AA3" s="291" t="s">
        <v>395</v>
      </c>
      <c r="AB3" s="291"/>
      <c r="AC3" s="291"/>
    </row>
    <row r="5">
      <c r="A5" s="295" t="s">
        <v>399</v>
      </c>
      <c r="B5" s="294"/>
      <c r="C5" s="294"/>
      <c r="D5" s="294"/>
      <c r="E5" s="294"/>
      <c r="F5" s="294"/>
      <c r="G5" s="294"/>
      <c r="H5" s="294"/>
      <c r="I5" s="296" t="s">
        <v>400</v>
      </c>
      <c r="J5" s="294"/>
      <c r="K5" s="294"/>
      <c r="L5" s="294"/>
      <c r="M5" s="296" t="s">
        <v>401</v>
      </c>
      <c r="N5" s="296" t="s">
        <v>402</v>
      </c>
      <c r="O5" s="296" t="s">
        <v>403</v>
      </c>
      <c r="P5" s="294"/>
      <c r="Q5" s="296" t="s">
        <v>404</v>
      </c>
      <c r="R5" s="294"/>
      <c r="S5" s="296" t="s">
        <v>405</v>
      </c>
      <c r="T5" s="294"/>
      <c r="U5" s="294"/>
      <c r="V5" s="294"/>
      <c r="W5" s="294"/>
      <c r="X5" s="296" t="s">
        <v>406</v>
      </c>
      <c r="Y5" s="294"/>
      <c r="Z5" s="296" t="s">
        <v>407</v>
      </c>
      <c r="AA5" s="294"/>
      <c r="AB5" s="296" t="s">
        <v>408</v>
      </c>
      <c r="AC5" s="296" t="s">
        <v>409</v>
      </c>
    </row>
    <row r="6">
      <c r="B6" s="294"/>
      <c r="C6" s="294"/>
      <c r="D6" s="294"/>
      <c r="E6" s="294"/>
      <c r="F6" s="294"/>
      <c r="G6" s="294"/>
      <c r="H6" s="294"/>
      <c r="I6" s="297" t="s">
        <v>410</v>
      </c>
      <c r="R6" s="294"/>
      <c r="S6" s="294"/>
      <c r="T6" s="294"/>
      <c r="U6" s="294"/>
      <c r="V6" s="294"/>
      <c r="W6" s="294"/>
      <c r="X6" s="294"/>
      <c r="Y6" s="294"/>
      <c r="Z6" s="294"/>
      <c r="AA6" s="294"/>
      <c r="AB6" s="296" t="s">
        <v>411</v>
      </c>
      <c r="AC6" s="296" t="s">
        <v>412</v>
      </c>
    </row>
    <row r="7">
      <c r="B7" s="294"/>
      <c r="C7" s="294"/>
      <c r="D7" s="294"/>
      <c r="E7" s="294"/>
      <c r="F7" s="294"/>
      <c r="G7" s="294"/>
      <c r="H7" s="294"/>
      <c r="I7" s="294"/>
      <c r="J7" s="294"/>
      <c r="K7" s="294"/>
      <c r="L7" s="139"/>
      <c r="M7" s="297" t="s">
        <v>413</v>
      </c>
      <c r="P7" s="294"/>
      <c r="Q7" s="294"/>
      <c r="R7" s="294"/>
      <c r="S7" s="294"/>
      <c r="T7" s="294"/>
      <c r="U7" s="294"/>
      <c r="V7" s="294"/>
      <c r="W7" s="294"/>
      <c r="X7" s="294"/>
      <c r="Y7" s="294"/>
      <c r="Z7" s="294"/>
      <c r="AA7" s="294"/>
      <c r="AB7" s="294"/>
      <c r="AC7" s="294"/>
    </row>
    <row r="9">
      <c r="A9" s="67" t="s">
        <v>414</v>
      </c>
      <c r="B9" s="298">
        <v>43265.61</v>
      </c>
      <c r="C9" s="11">
        <v>47405.27</v>
      </c>
      <c r="D9" s="11">
        <v>42536.9</v>
      </c>
      <c r="E9" s="11">
        <v>49825.15</v>
      </c>
      <c r="F9" s="11">
        <v>46672.86</v>
      </c>
      <c r="G9" s="11">
        <v>39902.08</v>
      </c>
      <c r="H9" s="11">
        <v>42383.81</v>
      </c>
      <c r="I9" s="11">
        <v>44059.09</v>
      </c>
      <c r="J9" s="11">
        <v>43443.58</v>
      </c>
      <c r="K9" s="11">
        <v>48828.96</v>
      </c>
      <c r="L9" s="11">
        <v>56287.11</v>
      </c>
      <c r="M9" s="11">
        <v>75592.56</v>
      </c>
      <c r="N9" s="11">
        <v>59300.59</v>
      </c>
      <c r="O9" s="11">
        <v>66009.77</v>
      </c>
      <c r="P9" s="11">
        <v>52224.84</v>
      </c>
      <c r="Q9" s="11">
        <v>46314.07</v>
      </c>
      <c r="R9" s="11">
        <v>51666.67</v>
      </c>
      <c r="S9" s="11">
        <v>55998.02</v>
      </c>
      <c r="T9" s="11">
        <v>56688.25</v>
      </c>
      <c r="U9" s="11">
        <v>51457.23</v>
      </c>
      <c r="V9" s="11">
        <v>39343.14</v>
      </c>
      <c r="W9" s="11">
        <v>41783.82</v>
      </c>
      <c r="X9" s="11">
        <v>46845.64</v>
      </c>
      <c r="Y9" s="11">
        <v>45085.3</v>
      </c>
      <c r="Z9" s="11">
        <v>59458.74</v>
      </c>
      <c r="AA9" s="11">
        <v>48793.46</v>
      </c>
      <c r="AB9" s="11">
        <v>41311.93</v>
      </c>
      <c r="AC9" s="11">
        <v>52247.12</v>
      </c>
    </row>
    <row r="10">
      <c r="A10" s="299" t="s">
        <v>415</v>
      </c>
      <c r="B10" s="300">
        <f t="shared" ref="B10:AC10" si="1">SUM(B9)</f>
        <v>43265.61</v>
      </c>
      <c r="C10" s="300">
        <f t="shared" si="1"/>
        <v>47405.27</v>
      </c>
      <c r="D10" s="300">
        <f t="shared" si="1"/>
        <v>42536.9</v>
      </c>
      <c r="E10" s="300">
        <f t="shared" si="1"/>
        <v>49825.15</v>
      </c>
      <c r="F10" s="300">
        <f t="shared" si="1"/>
        <v>46672.86</v>
      </c>
      <c r="G10" s="300">
        <f t="shared" si="1"/>
        <v>39902.08</v>
      </c>
      <c r="H10" s="300">
        <f t="shared" si="1"/>
        <v>42383.81</v>
      </c>
      <c r="I10" s="300">
        <f t="shared" si="1"/>
        <v>44059.09</v>
      </c>
      <c r="J10" s="300">
        <f t="shared" si="1"/>
        <v>43443.58</v>
      </c>
      <c r="K10" s="300">
        <f t="shared" si="1"/>
        <v>48828.96</v>
      </c>
      <c r="L10" s="300">
        <f t="shared" si="1"/>
        <v>56287.11</v>
      </c>
      <c r="M10" s="300">
        <f t="shared" si="1"/>
        <v>75592.56</v>
      </c>
      <c r="N10" s="300">
        <f t="shared" si="1"/>
        <v>59300.59</v>
      </c>
      <c r="O10" s="300">
        <f t="shared" si="1"/>
        <v>66009.77</v>
      </c>
      <c r="P10" s="300">
        <f t="shared" si="1"/>
        <v>52224.84</v>
      </c>
      <c r="Q10" s="300">
        <f t="shared" si="1"/>
        <v>46314.07</v>
      </c>
      <c r="R10" s="300">
        <f t="shared" si="1"/>
        <v>51666.67</v>
      </c>
      <c r="S10" s="300">
        <f t="shared" si="1"/>
        <v>55998.02</v>
      </c>
      <c r="T10" s="300">
        <f t="shared" si="1"/>
        <v>56688.25</v>
      </c>
      <c r="U10" s="300">
        <f t="shared" si="1"/>
        <v>51457.23</v>
      </c>
      <c r="V10" s="300">
        <f t="shared" si="1"/>
        <v>39343.14</v>
      </c>
      <c r="W10" s="300">
        <f t="shared" si="1"/>
        <v>41783.82</v>
      </c>
      <c r="X10" s="300">
        <f t="shared" si="1"/>
        <v>46845.64</v>
      </c>
      <c r="Y10" s="300">
        <f t="shared" si="1"/>
        <v>45085.3</v>
      </c>
      <c r="Z10" s="300">
        <f t="shared" si="1"/>
        <v>59458.74</v>
      </c>
      <c r="AA10" s="300">
        <f t="shared" si="1"/>
        <v>48793.46</v>
      </c>
      <c r="AB10" s="300">
        <f t="shared" si="1"/>
        <v>41311.93</v>
      </c>
      <c r="AC10" s="300">
        <f t="shared" si="1"/>
        <v>52247.12</v>
      </c>
    </row>
    <row r="11">
      <c r="A11" s="2" t="s">
        <v>417</v>
      </c>
      <c r="B11" s="301">
        <v>161.0</v>
      </c>
      <c r="C11" s="2">
        <v>177.0</v>
      </c>
      <c r="D11" s="2">
        <v>156.0</v>
      </c>
      <c r="E11" s="2">
        <v>186.0</v>
      </c>
      <c r="F11" s="2">
        <v>180.0</v>
      </c>
      <c r="G11" s="2">
        <v>159.0</v>
      </c>
      <c r="H11" s="2">
        <v>149.0</v>
      </c>
      <c r="I11" s="2">
        <v>154.0</v>
      </c>
      <c r="J11" s="2">
        <v>145.0</v>
      </c>
      <c r="K11" s="2">
        <v>172.0</v>
      </c>
      <c r="L11" s="2">
        <v>195.0</v>
      </c>
      <c r="M11" s="2">
        <v>254.0</v>
      </c>
      <c r="N11" s="2">
        <v>193.0</v>
      </c>
      <c r="O11" s="2">
        <v>213.0</v>
      </c>
      <c r="P11" s="2">
        <v>178.0</v>
      </c>
      <c r="Q11" s="2">
        <v>167.0</v>
      </c>
      <c r="R11" s="2">
        <v>166.0</v>
      </c>
      <c r="S11" s="2">
        <v>190.0</v>
      </c>
      <c r="T11" s="2">
        <v>210.0</v>
      </c>
      <c r="U11" s="2">
        <v>174.0</v>
      </c>
      <c r="V11" s="2">
        <v>137.0</v>
      </c>
      <c r="W11" s="2">
        <v>164.0</v>
      </c>
      <c r="X11" s="2">
        <v>258.0</v>
      </c>
      <c r="Y11" s="2">
        <v>173.0</v>
      </c>
      <c r="Z11" s="2">
        <v>222.0</v>
      </c>
      <c r="AA11" s="2">
        <v>180.0</v>
      </c>
      <c r="AB11" s="2">
        <v>151.0</v>
      </c>
      <c r="AC11" s="2">
        <v>440.0</v>
      </c>
    </row>
    <row r="13">
      <c r="A13" s="67" t="s">
        <v>418</v>
      </c>
      <c r="B13" s="11">
        <v>10047.82</v>
      </c>
      <c r="C13" s="11">
        <v>11002.08</v>
      </c>
      <c r="D13" s="11">
        <v>11804.85</v>
      </c>
      <c r="E13" s="11">
        <v>11510.84</v>
      </c>
      <c r="F13" s="11">
        <v>12462.41</v>
      </c>
      <c r="G13" s="11">
        <v>11937.87</v>
      </c>
      <c r="H13" s="11">
        <v>11244.56</v>
      </c>
      <c r="I13" s="11">
        <v>10884.48</v>
      </c>
      <c r="J13" s="11">
        <v>10546.13</v>
      </c>
      <c r="K13" s="11">
        <v>11980.44</v>
      </c>
      <c r="L13" s="11">
        <v>10832.96</v>
      </c>
      <c r="M13" s="11">
        <v>11875.38</v>
      </c>
      <c r="N13" s="11">
        <v>13940.01</v>
      </c>
      <c r="O13" s="11">
        <v>14855.09</v>
      </c>
      <c r="P13" s="11">
        <v>13296.67</v>
      </c>
      <c r="Q13" s="11">
        <v>13239.8</v>
      </c>
      <c r="R13" s="11">
        <v>11961.47</v>
      </c>
      <c r="S13" s="11">
        <v>14730.34</v>
      </c>
      <c r="T13" s="11">
        <v>14039.55</v>
      </c>
      <c r="U13" s="11">
        <v>13952.57</v>
      </c>
      <c r="V13" s="11">
        <v>12496.67</v>
      </c>
      <c r="W13" s="11">
        <v>13421.68</v>
      </c>
      <c r="X13" s="11">
        <v>12686.03</v>
      </c>
      <c r="Y13" s="11">
        <v>12456.87</v>
      </c>
      <c r="Z13" s="11">
        <v>13257.04</v>
      </c>
      <c r="AA13" s="11">
        <v>13626.11</v>
      </c>
      <c r="AB13" s="11">
        <v>11880.77</v>
      </c>
      <c r="AC13" s="11">
        <v>11715.75</v>
      </c>
    </row>
    <row r="14">
      <c r="A14" s="67" t="s">
        <v>420</v>
      </c>
      <c r="B14" s="11">
        <v>1859.2</v>
      </c>
      <c r="C14" s="11">
        <v>2317.88</v>
      </c>
      <c r="D14" s="11">
        <v>2390.0</v>
      </c>
      <c r="E14" s="11">
        <v>2840.0</v>
      </c>
      <c r="F14" s="11">
        <v>2701.34</v>
      </c>
      <c r="G14" s="11">
        <v>2414.2</v>
      </c>
      <c r="H14" s="11">
        <v>1834.37</v>
      </c>
      <c r="I14" s="11">
        <v>2135.55</v>
      </c>
      <c r="J14" s="11">
        <v>2271.77</v>
      </c>
      <c r="K14" s="11">
        <v>2230.43</v>
      </c>
      <c r="L14" s="11">
        <v>1763.06</v>
      </c>
      <c r="M14" s="11">
        <v>1781.33</v>
      </c>
      <c r="N14" s="11">
        <v>1579.89</v>
      </c>
      <c r="O14" s="11">
        <v>1569.51</v>
      </c>
      <c r="P14" s="11">
        <v>1600.87</v>
      </c>
      <c r="Q14" s="11">
        <v>1531.79</v>
      </c>
      <c r="R14" s="11">
        <v>1738.45</v>
      </c>
      <c r="S14" s="11">
        <v>1929.06</v>
      </c>
      <c r="T14" s="11">
        <v>2358.7</v>
      </c>
      <c r="U14" s="11">
        <v>2110.92</v>
      </c>
      <c r="V14" s="11">
        <v>1636.06</v>
      </c>
      <c r="W14" s="11">
        <v>1378.97</v>
      </c>
      <c r="X14" s="11">
        <v>1491.31</v>
      </c>
      <c r="Y14" s="11">
        <v>1289.1</v>
      </c>
      <c r="Z14" s="11">
        <v>1644.82</v>
      </c>
      <c r="AA14" s="11">
        <v>1606.44</v>
      </c>
      <c r="AB14" s="11">
        <v>1262.15</v>
      </c>
      <c r="AC14" s="11">
        <v>1222.29</v>
      </c>
    </row>
    <row r="15">
      <c r="A15" s="67" t="s">
        <v>421</v>
      </c>
      <c r="B15" s="11">
        <v>110.91</v>
      </c>
      <c r="C15" s="11">
        <v>108.79</v>
      </c>
      <c r="D15" s="11">
        <v>97.29</v>
      </c>
      <c r="E15" s="11">
        <v>63.08</v>
      </c>
      <c r="F15" s="11">
        <v>55.51</v>
      </c>
      <c r="G15" s="11">
        <v>65.95</v>
      </c>
      <c r="H15" s="11">
        <v>77.18</v>
      </c>
      <c r="I15" s="11">
        <v>78.61</v>
      </c>
      <c r="J15" s="11">
        <v>98.72</v>
      </c>
      <c r="K15" s="11">
        <v>75.96</v>
      </c>
      <c r="L15" s="11">
        <v>45.75</v>
      </c>
      <c r="M15" s="11">
        <v>72.44</v>
      </c>
      <c r="N15" s="11">
        <v>85.22</v>
      </c>
      <c r="O15" s="11">
        <v>91.08</v>
      </c>
      <c r="P15" s="11">
        <v>80.37</v>
      </c>
      <c r="Q15" s="11">
        <v>73.65</v>
      </c>
      <c r="R15" s="11">
        <v>52.53</v>
      </c>
      <c r="S15" s="11">
        <v>87.68</v>
      </c>
      <c r="T15" s="11">
        <v>88.41</v>
      </c>
      <c r="U15" s="11">
        <v>94.7</v>
      </c>
      <c r="V15" s="11">
        <v>82.04</v>
      </c>
      <c r="W15" s="11">
        <v>88.6</v>
      </c>
      <c r="X15" s="11">
        <v>68.51</v>
      </c>
      <c r="Y15" s="11">
        <v>62.17</v>
      </c>
      <c r="Z15" s="11">
        <v>54.71</v>
      </c>
      <c r="AA15" s="11">
        <v>64.87</v>
      </c>
      <c r="AB15" s="11">
        <v>51.63</v>
      </c>
      <c r="AC15" s="11">
        <v>168.94</v>
      </c>
    </row>
    <row r="16">
      <c r="A16" s="67" t="s">
        <v>422</v>
      </c>
      <c r="B16" s="15"/>
      <c r="C16" s="112">
        <v>286.63</v>
      </c>
      <c r="D16" s="112">
        <v>882.81</v>
      </c>
      <c r="E16" s="112">
        <v>889.48</v>
      </c>
      <c r="F16" s="11">
        <v>748.46</v>
      </c>
      <c r="G16" s="11">
        <v>935.77</v>
      </c>
      <c r="H16" s="11">
        <v>1350.45</v>
      </c>
      <c r="I16" s="11">
        <v>1050.2</v>
      </c>
      <c r="J16" s="11">
        <v>599.42</v>
      </c>
      <c r="K16" s="11">
        <v>620.22</v>
      </c>
      <c r="L16" s="11">
        <v>248.82</v>
      </c>
      <c r="M16" s="11">
        <v>763.8</v>
      </c>
      <c r="N16" s="11">
        <v>549.75</v>
      </c>
      <c r="O16" s="11">
        <v>299.74</v>
      </c>
      <c r="P16" s="11">
        <v>299.65</v>
      </c>
      <c r="Q16" s="11">
        <v>298.87</v>
      </c>
      <c r="R16" s="11">
        <v>247.56</v>
      </c>
      <c r="S16" s="11">
        <v>159.21</v>
      </c>
      <c r="T16" s="11">
        <v>0.0</v>
      </c>
      <c r="U16" s="11">
        <v>0.0</v>
      </c>
      <c r="V16" s="11">
        <v>0.0</v>
      </c>
      <c r="W16" s="11">
        <v>0.0</v>
      </c>
      <c r="X16" s="11">
        <v>0.0</v>
      </c>
      <c r="Y16" s="11">
        <v>0.0</v>
      </c>
      <c r="Z16" s="11">
        <v>0.0</v>
      </c>
      <c r="AA16" s="11">
        <v>0.0</v>
      </c>
      <c r="AB16" s="11">
        <v>0.0</v>
      </c>
      <c r="AC16" s="11">
        <v>0.0</v>
      </c>
    </row>
    <row r="17">
      <c r="A17" s="67" t="s">
        <v>115</v>
      </c>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row>
    <row r="18">
      <c r="A18" s="67" t="s">
        <v>423</v>
      </c>
      <c r="B18" s="11">
        <v>0.0</v>
      </c>
      <c r="C18" s="11">
        <v>0.0</v>
      </c>
      <c r="D18" s="11">
        <v>0.0</v>
      </c>
      <c r="E18" s="11">
        <v>65.63</v>
      </c>
      <c r="F18" s="11">
        <v>0.0</v>
      </c>
      <c r="G18" s="11">
        <v>63.7</v>
      </c>
      <c r="H18" s="11">
        <v>0.0</v>
      </c>
      <c r="I18" s="11">
        <v>76.5</v>
      </c>
      <c r="J18" s="11">
        <v>0.0</v>
      </c>
      <c r="K18" s="11">
        <v>60.61</v>
      </c>
      <c r="L18" s="11">
        <v>0.0</v>
      </c>
      <c r="M18" s="11">
        <v>0.0</v>
      </c>
      <c r="N18" s="11">
        <v>0.0</v>
      </c>
      <c r="O18" s="11">
        <v>0.0</v>
      </c>
      <c r="P18" s="11">
        <v>0.0</v>
      </c>
      <c r="Q18" s="11">
        <v>0.0</v>
      </c>
      <c r="R18" s="11">
        <v>0.0</v>
      </c>
      <c r="S18" s="11">
        <v>0.0</v>
      </c>
      <c r="T18" s="11">
        <v>0.0</v>
      </c>
      <c r="U18" s="11">
        <v>70.35</v>
      </c>
      <c r="V18" s="11">
        <v>59.8</v>
      </c>
      <c r="W18" s="11">
        <v>0.0</v>
      </c>
      <c r="X18" s="11">
        <v>0.0</v>
      </c>
      <c r="Y18" s="11">
        <v>0.0</v>
      </c>
      <c r="Z18" s="11">
        <v>0.0</v>
      </c>
      <c r="AA18" s="11">
        <v>72.53</v>
      </c>
      <c r="AB18" s="11">
        <v>0.0</v>
      </c>
      <c r="AC18" s="11">
        <v>0.0</v>
      </c>
    </row>
    <row r="19">
      <c r="A19" s="303" t="s">
        <v>424</v>
      </c>
      <c r="B19" s="305">
        <f t="shared" ref="B19:AC19" si="2">SUM(B13:B18)</f>
        <v>12017.93</v>
      </c>
      <c r="C19" s="305">
        <f t="shared" si="2"/>
        <v>13715.38</v>
      </c>
      <c r="D19" s="305">
        <f t="shared" si="2"/>
        <v>15174.95</v>
      </c>
      <c r="E19" s="305">
        <f t="shared" si="2"/>
        <v>15369.03</v>
      </c>
      <c r="F19" s="305">
        <f t="shared" si="2"/>
        <v>15967.72</v>
      </c>
      <c r="G19" s="305">
        <f t="shared" si="2"/>
        <v>15417.49</v>
      </c>
      <c r="H19" s="305">
        <f t="shared" si="2"/>
        <v>14506.56</v>
      </c>
      <c r="I19" s="305">
        <f t="shared" si="2"/>
        <v>14225.34</v>
      </c>
      <c r="J19" s="305">
        <f t="shared" si="2"/>
        <v>13516.04</v>
      </c>
      <c r="K19" s="305">
        <f t="shared" si="2"/>
        <v>14967.66</v>
      </c>
      <c r="L19" s="305">
        <f t="shared" si="2"/>
        <v>12890.59</v>
      </c>
      <c r="M19" s="305">
        <f t="shared" si="2"/>
        <v>14492.95</v>
      </c>
      <c r="N19" s="305">
        <f t="shared" si="2"/>
        <v>16154.87</v>
      </c>
      <c r="O19" s="305">
        <f t="shared" si="2"/>
        <v>16815.42</v>
      </c>
      <c r="P19" s="305">
        <f t="shared" si="2"/>
        <v>15277.56</v>
      </c>
      <c r="Q19" s="305">
        <f t="shared" si="2"/>
        <v>15144.11</v>
      </c>
      <c r="R19" s="305">
        <f t="shared" si="2"/>
        <v>14000.01</v>
      </c>
      <c r="S19" s="305">
        <f t="shared" si="2"/>
        <v>16906.29</v>
      </c>
      <c r="T19" s="305">
        <f t="shared" si="2"/>
        <v>16486.66</v>
      </c>
      <c r="U19" s="305">
        <f t="shared" si="2"/>
        <v>16228.54</v>
      </c>
      <c r="V19" s="305">
        <f t="shared" si="2"/>
        <v>14274.57</v>
      </c>
      <c r="W19" s="305">
        <f t="shared" si="2"/>
        <v>14889.25</v>
      </c>
      <c r="X19" s="305">
        <f t="shared" si="2"/>
        <v>14245.85</v>
      </c>
      <c r="Y19" s="305">
        <f t="shared" si="2"/>
        <v>13808.14</v>
      </c>
      <c r="Z19" s="305">
        <f t="shared" si="2"/>
        <v>14956.57</v>
      </c>
      <c r="AA19" s="305">
        <f t="shared" si="2"/>
        <v>15369.95</v>
      </c>
      <c r="AB19" s="305">
        <f t="shared" si="2"/>
        <v>13194.55</v>
      </c>
      <c r="AC19" s="305">
        <f t="shared" si="2"/>
        <v>13106.98</v>
      </c>
    </row>
    <row r="21">
      <c r="A21" s="67" t="s">
        <v>277</v>
      </c>
      <c r="B21" s="306">
        <f t="shared" ref="B21:AC21" si="3">B10/B19</f>
        <v>3.600088368</v>
      </c>
      <c r="C21" s="306">
        <f t="shared" si="3"/>
        <v>3.456358482</v>
      </c>
      <c r="D21" s="306">
        <f t="shared" si="3"/>
        <v>2.803099845</v>
      </c>
      <c r="E21" s="306">
        <f t="shared" si="3"/>
        <v>3.241918976</v>
      </c>
      <c r="F21" s="306">
        <f t="shared" si="3"/>
        <v>2.922950803</v>
      </c>
      <c r="G21" s="306">
        <f t="shared" si="3"/>
        <v>2.588104808</v>
      </c>
      <c r="H21" s="306">
        <f t="shared" si="3"/>
        <v>2.921699562</v>
      </c>
      <c r="I21" s="306">
        <f t="shared" si="3"/>
        <v>3.097225796</v>
      </c>
      <c r="J21" s="306">
        <f t="shared" si="3"/>
        <v>3.214223989</v>
      </c>
      <c r="K21" s="306">
        <f t="shared" si="3"/>
        <v>3.262297513</v>
      </c>
      <c r="L21" s="306">
        <f t="shared" si="3"/>
        <v>4.366527056</v>
      </c>
      <c r="M21" s="306">
        <f t="shared" si="3"/>
        <v>5.215815966</v>
      </c>
      <c r="N21" s="306">
        <f t="shared" si="3"/>
        <v>3.670756249</v>
      </c>
      <c r="O21" s="306">
        <f t="shared" si="3"/>
        <v>3.925549882</v>
      </c>
      <c r="P21" s="306">
        <f t="shared" si="3"/>
        <v>3.418401891</v>
      </c>
      <c r="Q21" s="306">
        <f t="shared" si="3"/>
        <v>3.058223296</v>
      </c>
      <c r="R21" s="306">
        <f t="shared" si="3"/>
        <v>3.690473793</v>
      </c>
      <c r="S21" s="306">
        <f t="shared" si="3"/>
        <v>3.31225952</v>
      </c>
      <c r="T21" s="306">
        <f t="shared" si="3"/>
        <v>3.438431435</v>
      </c>
      <c r="U21" s="306">
        <f t="shared" si="3"/>
        <v>3.170786158</v>
      </c>
      <c r="V21" s="306">
        <f t="shared" si="3"/>
        <v>2.756169888</v>
      </c>
      <c r="W21" s="306">
        <f t="shared" si="3"/>
        <v>2.806307907</v>
      </c>
      <c r="X21" s="306">
        <f t="shared" si="3"/>
        <v>3.288370999</v>
      </c>
      <c r="Y21" s="306">
        <f t="shared" si="3"/>
        <v>3.265124774</v>
      </c>
      <c r="Z21" s="306">
        <f t="shared" si="3"/>
        <v>3.975426184</v>
      </c>
      <c r="AA21" s="306">
        <f t="shared" si="3"/>
        <v>3.174601088</v>
      </c>
      <c r="AB21" s="306">
        <f t="shared" si="3"/>
        <v>3.130984384</v>
      </c>
      <c r="AC21" s="306">
        <f t="shared" si="3"/>
        <v>3.986205823</v>
      </c>
    </row>
    <row r="22">
      <c r="A22" s="67" t="s">
        <v>425</v>
      </c>
      <c r="B22" s="34">
        <f>B19/'Detailed Report'!B140</f>
        <v>94.62937008</v>
      </c>
      <c r="C22" s="34">
        <f>C19/'Detailed Report'!C140</f>
        <v>85.18869565</v>
      </c>
      <c r="D22" s="34">
        <f>D19/'Detailed Report'!D140</f>
        <v>119.4877953</v>
      </c>
      <c r="E22" s="34">
        <f>E19/'Detailed Report'!E140</f>
        <v>104.5512245</v>
      </c>
      <c r="F22" s="34">
        <f>F19/'Detailed Report'!F140</f>
        <v>119.1620896</v>
      </c>
      <c r="G22" s="34">
        <f>G19/'Detailed Report'!G140</f>
        <v>137.6561607</v>
      </c>
      <c r="H22" s="34">
        <f>H19/'Detailed Report'!H140</f>
        <v>110.7370992</v>
      </c>
      <c r="I22" s="34">
        <f>I19/'Detailed Report'!I140</f>
        <v>99.4779021</v>
      </c>
      <c r="J22" s="34">
        <f>J19/'Detailed Report'!J140</f>
        <v>93.21406897</v>
      </c>
      <c r="K22" s="34">
        <f>K19/'Detailed Report'!K140</f>
        <v>92.9668323</v>
      </c>
      <c r="L22" s="34">
        <f>L19/'Detailed Report'!L140</f>
        <v>70.05755435</v>
      </c>
      <c r="M22" s="34">
        <f>M19/'Detailed Report'!M140</f>
        <v>60.13672199</v>
      </c>
      <c r="N22" s="34">
        <f>N19/'Detailed Report'!N140</f>
        <v>82.00441624</v>
      </c>
      <c r="O22" s="34">
        <f>O19/'Detailed Report'!O140</f>
        <v>73.42978166</v>
      </c>
      <c r="P22" s="34">
        <f>P19/'Detailed Report'!P140</f>
        <v>88.30959538</v>
      </c>
      <c r="Q22" s="34">
        <f>Q19/'Detailed Report'!Q140</f>
        <v>98.33837662</v>
      </c>
      <c r="R22" s="34">
        <f>R19/'Detailed Report'!R140</f>
        <v>82.84029586</v>
      </c>
      <c r="S22" s="34">
        <f>S19/'Detailed Report'!S140</f>
        <v>98.29238372</v>
      </c>
      <c r="T22" s="34">
        <f>T19/'Detailed Report'!T140</f>
        <v>95.85267442</v>
      </c>
      <c r="U22" s="34">
        <f>U19/'Detailed Report'!U140</f>
        <v>104.7002581</v>
      </c>
      <c r="V22" s="34">
        <f>V19/'Detailed Report'!V140</f>
        <v>108.1406818</v>
      </c>
      <c r="W22" s="34">
        <f>W19/'Detailed Report'!W140</f>
        <v>101.9811644</v>
      </c>
      <c r="X22" s="34">
        <f>X19/'Detailed Report'!X140</f>
        <v>100.3228873</v>
      </c>
      <c r="Y22" s="34">
        <f>Y19/'Detailed Report'!Y140</f>
        <v>100.0589855</v>
      </c>
      <c r="Z22" s="34">
        <f>Z19/'Detailed Report'!Z140</f>
        <v>80.41166667</v>
      </c>
      <c r="AA22" s="34">
        <f>AA19/'Detailed Report'!AA140</f>
        <v>99.80487013</v>
      </c>
      <c r="AB22" s="34">
        <f>AB19/'Detailed Report'!AB140</f>
        <v>92.9193662</v>
      </c>
      <c r="AC22" s="34">
        <f>AC19/'Detailed Report'!AC140</f>
        <v>100.0532824</v>
      </c>
    </row>
    <row r="23">
      <c r="A23" s="67" t="s">
        <v>426</v>
      </c>
      <c r="B23" s="31">
        <v>0.0111</v>
      </c>
      <c r="C23" s="31">
        <v>0.0111</v>
      </c>
      <c r="D23" s="31">
        <v>0.0103</v>
      </c>
      <c r="E23" s="31">
        <v>0.0122</v>
      </c>
      <c r="F23" s="31">
        <v>0.0111</v>
      </c>
      <c r="G23" s="31">
        <v>0.0095</v>
      </c>
      <c r="H23" s="31">
        <v>0.009</v>
      </c>
      <c r="I23" s="31">
        <v>0.0107</v>
      </c>
      <c r="J23" s="31">
        <v>0.0083</v>
      </c>
      <c r="K23" s="31">
        <v>0.0112</v>
      </c>
      <c r="L23" s="31">
        <v>0.0126</v>
      </c>
      <c r="M23" s="31">
        <v>0.014</v>
      </c>
      <c r="N23" s="31">
        <v>0.0084</v>
      </c>
      <c r="O23" s="31">
        <v>0.011</v>
      </c>
      <c r="P23" s="31">
        <v>0.0102</v>
      </c>
      <c r="Q23" s="31">
        <v>0.0098</v>
      </c>
      <c r="R23" s="31">
        <v>0.0103</v>
      </c>
      <c r="S23" s="31">
        <v>0.0093</v>
      </c>
      <c r="T23" s="31">
        <v>0.0104</v>
      </c>
      <c r="U23" s="31">
        <v>0.0084</v>
      </c>
      <c r="V23" s="31">
        <v>0.0077</v>
      </c>
      <c r="W23" s="31">
        <v>0.0087</v>
      </c>
      <c r="X23" s="31">
        <v>0.0124</v>
      </c>
      <c r="Y23" s="31">
        <v>0.0107</v>
      </c>
      <c r="Z23" s="31">
        <v>0.0136</v>
      </c>
      <c r="AA23" s="31">
        <v>0.0088</v>
      </c>
      <c r="AB23" s="31">
        <v>0.0099</v>
      </c>
      <c r="AC23" s="31">
        <v>0.0156</v>
      </c>
    </row>
    <row r="24">
      <c r="A24" s="67" t="s">
        <v>427</v>
      </c>
      <c r="B24" s="11">
        <f t="shared" ref="B24:AC24" si="4">B10/B11</f>
        <v>268.7304969</v>
      </c>
      <c r="C24" s="11">
        <f t="shared" si="4"/>
        <v>267.8263842</v>
      </c>
      <c r="D24" s="11">
        <f t="shared" si="4"/>
        <v>272.6724359</v>
      </c>
      <c r="E24" s="11">
        <f t="shared" si="4"/>
        <v>267.8771505</v>
      </c>
      <c r="F24" s="11">
        <f t="shared" si="4"/>
        <v>259.2936667</v>
      </c>
      <c r="G24" s="11">
        <f t="shared" si="4"/>
        <v>250.956478</v>
      </c>
      <c r="H24" s="11">
        <f t="shared" si="4"/>
        <v>284.4551007</v>
      </c>
      <c r="I24" s="11">
        <f t="shared" si="4"/>
        <v>286.097987</v>
      </c>
      <c r="J24" s="11">
        <f t="shared" si="4"/>
        <v>299.6108966</v>
      </c>
      <c r="K24" s="11">
        <f t="shared" si="4"/>
        <v>283.8893023</v>
      </c>
      <c r="L24" s="11">
        <f t="shared" si="4"/>
        <v>288.6518462</v>
      </c>
      <c r="M24" s="11">
        <f t="shared" si="4"/>
        <v>297.6085039</v>
      </c>
      <c r="N24" s="11">
        <f t="shared" si="4"/>
        <v>307.256943</v>
      </c>
      <c r="O24" s="11">
        <f t="shared" si="4"/>
        <v>309.9050235</v>
      </c>
      <c r="P24" s="11">
        <f t="shared" si="4"/>
        <v>293.3979775</v>
      </c>
      <c r="Q24" s="11">
        <f t="shared" si="4"/>
        <v>277.3297605</v>
      </c>
      <c r="R24" s="11">
        <f t="shared" si="4"/>
        <v>311.245</v>
      </c>
      <c r="S24" s="11">
        <f t="shared" si="4"/>
        <v>294.7264211</v>
      </c>
      <c r="T24" s="11">
        <f t="shared" si="4"/>
        <v>269.9440476</v>
      </c>
      <c r="U24" s="11">
        <f t="shared" si="4"/>
        <v>295.7312069</v>
      </c>
      <c r="V24" s="11">
        <f t="shared" si="4"/>
        <v>287.1762044</v>
      </c>
      <c r="W24" s="11">
        <f t="shared" si="4"/>
        <v>254.7793902</v>
      </c>
      <c r="X24" s="11">
        <f t="shared" si="4"/>
        <v>181.5722481</v>
      </c>
      <c r="Y24" s="11">
        <f t="shared" si="4"/>
        <v>260.6086705</v>
      </c>
      <c r="Z24" s="11">
        <f t="shared" si="4"/>
        <v>267.8321622</v>
      </c>
      <c r="AA24" s="11">
        <f t="shared" si="4"/>
        <v>271.0747778</v>
      </c>
      <c r="AB24" s="11">
        <f t="shared" si="4"/>
        <v>273.5889404</v>
      </c>
      <c r="AC24" s="11">
        <f t="shared" si="4"/>
        <v>118.7434545</v>
      </c>
    </row>
    <row r="25">
      <c r="A25" s="67" t="s">
        <v>428</v>
      </c>
      <c r="B25" s="307">
        <v>291.33</v>
      </c>
      <c r="C25" s="11">
        <v>281.42</v>
      </c>
      <c r="D25" s="112">
        <v>267.69</v>
      </c>
      <c r="E25" s="112">
        <v>262.85</v>
      </c>
      <c r="F25" s="11">
        <v>289.93</v>
      </c>
      <c r="G25" s="11">
        <v>277.55</v>
      </c>
      <c r="H25" s="11">
        <v>293.45</v>
      </c>
      <c r="I25" s="11">
        <v>303.1</v>
      </c>
      <c r="J25" s="11">
        <v>309.76</v>
      </c>
      <c r="K25" s="11">
        <v>294.97</v>
      </c>
      <c r="L25" s="11">
        <v>304.48</v>
      </c>
      <c r="M25" s="11">
        <v>310.13</v>
      </c>
      <c r="N25" s="11">
        <v>314.75</v>
      </c>
      <c r="O25" s="11">
        <v>319.25</v>
      </c>
      <c r="P25" s="11">
        <v>306.76</v>
      </c>
      <c r="Q25" s="11">
        <v>303.64</v>
      </c>
      <c r="R25" s="11">
        <v>320.7487013</v>
      </c>
      <c r="S25" s="11">
        <v>302.1103636</v>
      </c>
      <c r="T25" s="11">
        <v>290.91</v>
      </c>
      <c r="U25" s="11">
        <v>317.1</v>
      </c>
      <c r="V25" s="11">
        <v>283.33</v>
      </c>
      <c r="W25" s="11">
        <v>275.14</v>
      </c>
      <c r="X25" s="11">
        <v>249.17</v>
      </c>
      <c r="Y25" s="11">
        <v>295.26</v>
      </c>
      <c r="Z25" s="11">
        <v>293.72</v>
      </c>
      <c r="AA25" s="11">
        <v>292.56</v>
      </c>
      <c r="AB25" s="11">
        <v>286.63</v>
      </c>
      <c r="AC25" s="11">
        <v>193.36</v>
      </c>
    </row>
    <row r="26">
      <c r="A26" s="67" t="s">
        <v>429</v>
      </c>
      <c r="B26" s="11">
        <v>96.97</v>
      </c>
      <c r="C26" s="11">
        <v>164.57</v>
      </c>
      <c r="D26" s="112">
        <v>109.19</v>
      </c>
      <c r="E26" s="112">
        <v>109.89</v>
      </c>
      <c r="F26" s="11">
        <v>121.55</v>
      </c>
      <c r="G26" s="11">
        <v>125.83</v>
      </c>
      <c r="H26" s="11">
        <v>47.49</v>
      </c>
      <c r="I26" s="11">
        <v>147.14</v>
      </c>
      <c r="J26" s="11">
        <v>170.21</v>
      </c>
      <c r="K26" s="11">
        <v>171.72</v>
      </c>
      <c r="L26" s="11">
        <v>176.55</v>
      </c>
      <c r="M26" s="11">
        <v>162.99</v>
      </c>
      <c r="N26" s="11">
        <v>234.12</v>
      </c>
      <c r="O26" s="11">
        <v>170.0</v>
      </c>
      <c r="P26" s="11">
        <v>238.81</v>
      </c>
      <c r="Q26" s="11">
        <v>171.17</v>
      </c>
      <c r="R26" s="11">
        <v>189.2808333</v>
      </c>
      <c r="S26" s="11">
        <v>243.1924</v>
      </c>
      <c r="T26" s="11">
        <v>122.32</v>
      </c>
      <c r="U26" s="11">
        <v>130.02</v>
      </c>
      <c r="V26" s="11">
        <v>196.35</v>
      </c>
      <c r="W26" s="11">
        <v>116.11</v>
      </c>
      <c r="X26" s="11">
        <v>69.03</v>
      </c>
      <c r="Y26" s="11">
        <v>129.78</v>
      </c>
      <c r="Z26" s="11">
        <v>129.52</v>
      </c>
      <c r="AA26" s="11">
        <v>113.57</v>
      </c>
      <c r="AB26" s="11">
        <v>163.53</v>
      </c>
      <c r="AC26" s="11">
        <v>49.36</v>
      </c>
    </row>
    <row r="28">
      <c r="A28" s="67" t="s">
        <v>430</v>
      </c>
    </row>
    <row r="29">
      <c r="A29" s="2" t="s">
        <v>431</v>
      </c>
      <c r="B29" s="31">
        <v>0.1242</v>
      </c>
      <c r="C29" s="31">
        <v>0.1356</v>
      </c>
      <c r="D29" s="31">
        <v>0.1307</v>
      </c>
      <c r="E29" s="31">
        <v>0.1702</v>
      </c>
      <c r="F29" s="31">
        <v>0.1889</v>
      </c>
      <c r="G29" s="31">
        <v>0.1824</v>
      </c>
      <c r="H29" s="31">
        <v>0.3879</v>
      </c>
      <c r="I29" s="31">
        <v>0.1234</v>
      </c>
      <c r="J29" s="31">
        <v>0.0759</v>
      </c>
      <c r="K29" s="31">
        <v>0.1279</v>
      </c>
      <c r="L29" s="31">
        <v>0.1385</v>
      </c>
      <c r="M29" s="31">
        <v>0.1024</v>
      </c>
      <c r="N29" s="31">
        <v>0.1451</v>
      </c>
      <c r="O29" s="31">
        <v>0.1733</v>
      </c>
      <c r="P29" s="31">
        <v>0.1966</v>
      </c>
      <c r="Q29" s="31">
        <v>0.2096</v>
      </c>
      <c r="R29" s="31">
        <v>0.0723</v>
      </c>
      <c r="S29" s="31">
        <v>0.1316</v>
      </c>
      <c r="T29" s="31">
        <v>0.1524</v>
      </c>
      <c r="U29" s="31">
        <v>0.1149</v>
      </c>
      <c r="V29" s="31">
        <v>0.1379</v>
      </c>
      <c r="W29" s="31">
        <v>0.128</v>
      </c>
      <c r="X29" s="31">
        <v>0.3798</v>
      </c>
      <c r="Y29" s="31">
        <v>0.2197</v>
      </c>
      <c r="Z29" s="31">
        <v>0.1577</v>
      </c>
      <c r="AA29" s="31">
        <v>0.1222</v>
      </c>
      <c r="AB29" s="31">
        <v>0.106</v>
      </c>
      <c r="AC29" s="31">
        <v>0.5182</v>
      </c>
    </row>
    <row r="30">
      <c r="A30" s="2" t="s">
        <v>432</v>
      </c>
      <c r="B30" s="31">
        <f t="shared" ref="B30:AC30" si="5">1-B29</f>
        <v>0.8758</v>
      </c>
      <c r="C30" s="31">
        <f t="shared" si="5"/>
        <v>0.8644</v>
      </c>
      <c r="D30" s="31">
        <f t="shared" si="5"/>
        <v>0.8693</v>
      </c>
      <c r="E30" s="31">
        <f t="shared" si="5"/>
        <v>0.8298</v>
      </c>
      <c r="F30" s="31">
        <f t="shared" si="5"/>
        <v>0.8111</v>
      </c>
      <c r="G30" s="31">
        <f t="shared" si="5"/>
        <v>0.8176</v>
      </c>
      <c r="H30" s="31">
        <f t="shared" si="5"/>
        <v>0.6121</v>
      </c>
      <c r="I30" s="31">
        <f t="shared" si="5"/>
        <v>0.8766</v>
      </c>
      <c r="J30" s="31">
        <f t="shared" si="5"/>
        <v>0.9241</v>
      </c>
      <c r="K30" s="31">
        <f t="shared" si="5"/>
        <v>0.8721</v>
      </c>
      <c r="L30" s="31">
        <f t="shared" si="5"/>
        <v>0.8615</v>
      </c>
      <c r="M30" s="31">
        <f t="shared" si="5"/>
        <v>0.8976</v>
      </c>
      <c r="N30" s="31">
        <f t="shared" si="5"/>
        <v>0.8549</v>
      </c>
      <c r="O30" s="31">
        <f t="shared" si="5"/>
        <v>0.8267</v>
      </c>
      <c r="P30" s="31">
        <f t="shared" si="5"/>
        <v>0.8034</v>
      </c>
      <c r="Q30" s="31">
        <f t="shared" si="5"/>
        <v>0.7904</v>
      </c>
      <c r="R30" s="31">
        <f t="shared" si="5"/>
        <v>0.9277</v>
      </c>
      <c r="S30" s="31">
        <f t="shared" si="5"/>
        <v>0.8684</v>
      </c>
      <c r="T30" s="31">
        <f t="shared" si="5"/>
        <v>0.8476</v>
      </c>
      <c r="U30" s="31">
        <f t="shared" si="5"/>
        <v>0.8851</v>
      </c>
      <c r="V30" s="31">
        <f t="shared" si="5"/>
        <v>0.8621</v>
      </c>
      <c r="W30" s="31">
        <f t="shared" si="5"/>
        <v>0.872</v>
      </c>
      <c r="X30" s="31">
        <f t="shared" si="5"/>
        <v>0.6202</v>
      </c>
      <c r="Y30" s="31">
        <f t="shared" si="5"/>
        <v>0.7803</v>
      </c>
      <c r="Z30" s="31">
        <f t="shared" si="5"/>
        <v>0.8423</v>
      </c>
      <c r="AA30" s="31">
        <f t="shared" si="5"/>
        <v>0.8778</v>
      </c>
      <c r="AB30" s="31">
        <f t="shared" si="5"/>
        <v>0.894</v>
      </c>
      <c r="AC30" s="31">
        <f t="shared" si="5"/>
        <v>0.4818</v>
      </c>
    </row>
    <row r="33">
      <c r="A33" s="67" t="s">
        <v>433</v>
      </c>
    </row>
    <row r="34">
      <c r="A34" s="2" t="s">
        <v>434</v>
      </c>
      <c r="B34" s="308">
        <v>0.4255</v>
      </c>
      <c r="C34" s="309">
        <v>0.3878</v>
      </c>
      <c r="D34" s="31">
        <v>0.4528</v>
      </c>
      <c r="E34" s="31">
        <v>0.4146</v>
      </c>
      <c r="F34" s="31">
        <v>0.5417</v>
      </c>
      <c r="G34" s="31">
        <v>0.4167</v>
      </c>
      <c r="H34" s="31">
        <v>0.525</v>
      </c>
      <c r="I34" s="31">
        <v>0.5106</v>
      </c>
      <c r="J34" s="31">
        <v>0.4634</v>
      </c>
      <c r="K34" s="31">
        <v>0.4884</v>
      </c>
      <c r="L34" s="31">
        <v>0.3654</v>
      </c>
      <c r="M34" s="31">
        <v>0.4167</v>
      </c>
      <c r="N34" s="31">
        <v>0.5556</v>
      </c>
      <c r="O34" s="31">
        <v>0.4727</v>
      </c>
      <c r="P34" s="31">
        <v>0.5</v>
      </c>
      <c r="Q34" s="31">
        <v>0.5405</v>
      </c>
      <c r="R34" s="31">
        <v>0.4524</v>
      </c>
      <c r="S34" s="31">
        <v>0.5918</v>
      </c>
      <c r="T34" s="31">
        <v>0.5192</v>
      </c>
      <c r="U34" s="31">
        <v>0.5273</v>
      </c>
      <c r="V34" s="31">
        <v>0.6</v>
      </c>
      <c r="W34" s="31">
        <v>0.5172</v>
      </c>
      <c r="X34" s="31">
        <v>0.3208</v>
      </c>
      <c r="Y34" s="31">
        <v>0.4872</v>
      </c>
      <c r="Z34" s="31">
        <v>0.5273</v>
      </c>
      <c r="AA34" s="31">
        <v>0.52</v>
      </c>
      <c r="AB34" s="31">
        <v>0.4722</v>
      </c>
      <c r="AC34" s="31">
        <v>0.5467</v>
      </c>
    </row>
    <row r="35">
      <c r="A35" s="2" t="s">
        <v>435</v>
      </c>
      <c r="B35" s="308">
        <v>0.4043</v>
      </c>
      <c r="C35" s="308">
        <v>0.449</v>
      </c>
      <c r="D35" s="308">
        <v>0.4906</v>
      </c>
      <c r="E35" s="31">
        <v>0.3902</v>
      </c>
      <c r="F35" s="31">
        <v>0.3333</v>
      </c>
      <c r="G35" s="31">
        <v>0.4792</v>
      </c>
      <c r="H35" s="31">
        <v>0.425</v>
      </c>
      <c r="I35" s="31">
        <v>0.2766</v>
      </c>
      <c r="J35" s="31">
        <v>0.4146</v>
      </c>
      <c r="K35" s="31">
        <v>0.3721</v>
      </c>
      <c r="L35" s="31">
        <v>0.4808</v>
      </c>
      <c r="M35" s="31">
        <v>0.2361</v>
      </c>
      <c r="N35" s="31">
        <v>0.3333</v>
      </c>
      <c r="O35" s="31">
        <v>0.3091</v>
      </c>
      <c r="P35" s="31">
        <v>0.4286</v>
      </c>
      <c r="Q35" s="31">
        <v>0.4054</v>
      </c>
      <c r="R35" s="31">
        <v>0.4762</v>
      </c>
      <c r="S35" s="31">
        <v>0.3061</v>
      </c>
      <c r="T35" s="31">
        <v>0.2308</v>
      </c>
      <c r="U35" s="31">
        <v>0.3455</v>
      </c>
      <c r="V35" s="31">
        <v>0.325</v>
      </c>
      <c r="W35" s="31">
        <v>0.3793</v>
      </c>
      <c r="X35" s="31">
        <v>0.5472</v>
      </c>
      <c r="Y35" s="31">
        <v>0.359</v>
      </c>
      <c r="Z35" s="31">
        <v>0.4</v>
      </c>
      <c r="AA35" s="31">
        <v>0.38</v>
      </c>
      <c r="AB35" s="31">
        <v>0.4167</v>
      </c>
      <c r="AC35" s="31">
        <v>0.3333</v>
      </c>
    </row>
    <row r="36">
      <c r="A36" s="2" t="s">
        <v>436</v>
      </c>
      <c r="B36" s="31">
        <v>0.0638</v>
      </c>
      <c r="C36" s="308">
        <v>0.0204</v>
      </c>
      <c r="D36" s="308">
        <v>0.0189</v>
      </c>
      <c r="E36" s="31">
        <v>0.0244</v>
      </c>
      <c r="F36" s="31">
        <v>0.0417</v>
      </c>
      <c r="G36" s="31">
        <v>0.0417</v>
      </c>
      <c r="H36" s="308">
        <v>0.0</v>
      </c>
      <c r="I36" s="31">
        <v>0.0638</v>
      </c>
      <c r="J36" s="31">
        <v>0.0732</v>
      </c>
      <c r="K36" s="31">
        <v>0.0233</v>
      </c>
      <c r="L36" s="31">
        <v>0.0192</v>
      </c>
      <c r="M36" s="31">
        <v>0.0278</v>
      </c>
      <c r="N36" s="31">
        <v>0.0185</v>
      </c>
      <c r="O36" s="31">
        <v>0.0364</v>
      </c>
      <c r="P36" s="31">
        <v>0.0179</v>
      </c>
      <c r="Q36" s="31">
        <v>0.027</v>
      </c>
      <c r="R36" s="31">
        <v>0.0</v>
      </c>
      <c r="S36" s="31">
        <v>0.0204</v>
      </c>
      <c r="T36" s="31">
        <v>0.0385</v>
      </c>
      <c r="U36" s="31">
        <v>0.0182</v>
      </c>
      <c r="V36" s="31">
        <v>0.0</v>
      </c>
      <c r="W36" s="31">
        <v>0.0172</v>
      </c>
      <c r="X36" s="31">
        <v>0.0377</v>
      </c>
      <c r="Y36" s="31">
        <v>0.0513</v>
      </c>
      <c r="Z36" s="31">
        <v>0.0545</v>
      </c>
      <c r="AA36" s="31">
        <v>0.06</v>
      </c>
      <c r="AB36" s="31">
        <v>0.0278</v>
      </c>
      <c r="AC36" s="31">
        <v>0.0533</v>
      </c>
    </row>
    <row r="37">
      <c r="A37" s="2" t="s">
        <v>437</v>
      </c>
      <c r="B37" s="308">
        <v>0.0</v>
      </c>
      <c r="C37" s="308">
        <v>0.0</v>
      </c>
      <c r="D37" s="308">
        <v>0.0</v>
      </c>
      <c r="E37" s="308">
        <v>0.0</v>
      </c>
      <c r="F37" s="308">
        <v>0.0</v>
      </c>
      <c r="G37" s="308">
        <v>0.0</v>
      </c>
      <c r="H37" s="308">
        <v>0.0</v>
      </c>
      <c r="I37" s="308">
        <v>0.0</v>
      </c>
      <c r="J37" s="308">
        <v>0.0</v>
      </c>
      <c r="K37" s="308">
        <v>0.0</v>
      </c>
      <c r="L37" s="31">
        <v>0.0192</v>
      </c>
      <c r="M37" s="308">
        <v>0.0</v>
      </c>
      <c r="N37" s="308">
        <v>0.0</v>
      </c>
      <c r="O37" s="308">
        <v>0.0</v>
      </c>
      <c r="P37" s="308">
        <v>0.0</v>
      </c>
      <c r="Q37" s="308">
        <v>0.0</v>
      </c>
      <c r="R37" s="31">
        <v>0.0</v>
      </c>
      <c r="S37" s="31">
        <v>0.0</v>
      </c>
      <c r="T37" s="31">
        <v>0.0</v>
      </c>
      <c r="U37" s="31">
        <v>0.0</v>
      </c>
      <c r="V37" s="31">
        <v>0.0</v>
      </c>
      <c r="W37" s="31">
        <v>0.0</v>
      </c>
      <c r="X37" s="31">
        <v>0.0189</v>
      </c>
      <c r="Y37" s="31">
        <v>0.0</v>
      </c>
      <c r="Z37" s="31">
        <v>0.0</v>
      </c>
      <c r="AA37" s="31">
        <v>0.0</v>
      </c>
      <c r="AB37" s="31">
        <v>0.0</v>
      </c>
      <c r="AC37" s="31">
        <v>0.0</v>
      </c>
    </row>
    <row r="38">
      <c r="A38" s="2" t="s">
        <v>110</v>
      </c>
      <c r="B38" s="308">
        <v>0.0</v>
      </c>
      <c r="C38" s="31">
        <v>0.0204</v>
      </c>
      <c r="D38" s="31">
        <v>0.0189</v>
      </c>
      <c r="E38" s="31">
        <v>0.0732</v>
      </c>
      <c r="F38" s="308">
        <v>0.0</v>
      </c>
      <c r="G38" s="310">
        <v>0.0208</v>
      </c>
      <c r="H38" s="308">
        <v>0.0</v>
      </c>
      <c r="I38" s="31">
        <v>0.0426</v>
      </c>
      <c r="J38" s="31">
        <v>0.0488</v>
      </c>
      <c r="K38" s="31">
        <v>0.093</v>
      </c>
      <c r="L38" s="31">
        <v>0.0577</v>
      </c>
      <c r="M38" s="31">
        <v>0.0139</v>
      </c>
      <c r="N38" s="31">
        <v>0.0185</v>
      </c>
      <c r="O38" s="31">
        <v>0.0182</v>
      </c>
      <c r="P38" s="31">
        <v>0.0179</v>
      </c>
      <c r="Q38" s="308">
        <v>0.0</v>
      </c>
      <c r="R38" s="31">
        <v>0.0</v>
      </c>
      <c r="S38" s="31">
        <v>0.0</v>
      </c>
      <c r="T38" s="31">
        <v>0.0577</v>
      </c>
      <c r="U38" s="31">
        <v>0.0364</v>
      </c>
      <c r="V38" s="31">
        <v>0.05</v>
      </c>
      <c r="W38" s="31">
        <v>0.0172</v>
      </c>
      <c r="X38" s="31">
        <v>0.0189</v>
      </c>
      <c r="Y38" s="31">
        <v>0.0</v>
      </c>
      <c r="Z38" s="31">
        <v>0.0</v>
      </c>
      <c r="AA38" s="31">
        <v>0.0</v>
      </c>
      <c r="AB38" s="31">
        <v>0.0</v>
      </c>
      <c r="AC38" s="31">
        <v>0.0133</v>
      </c>
    </row>
    <row r="39">
      <c r="A39" s="2" t="s">
        <v>438</v>
      </c>
      <c r="B39" s="31">
        <v>0.0851</v>
      </c>
      <c r="C39" s="308">
        <v>0.0204</v>
      </c>
      <c r="D39" s="308">
        <v>0.0189</v>
      </c>
      <c r="E39" s="308">
        <v>0.0</v>
      </c>
      <c r="F39" s="31">
        <v>0.0208</v>
      </c>
      <c r="G39" s="310">
        <v>0.0208</v>
      </c>
      <c r="H39" s="308">
        <v>0.0</v>
      </c>
      <c r="I39" s="308">
        <v>0.0</v>
      </c>
      <c r="J39" s="308">
        <v>0.0</v>
      </c>
      <c r="K39" s="31">
        <v>0.0233</v>
      </c>
      <c r="L39" s="31">
        <v>0.0192</v>
      </c>
      <c r="M39" s="31">
        <v>0.0139</v>
      </c>
      <c r="N39" s="308">
        <v>0.0</v>
      </c>
      <c r="O39" s="31">
        <v>0.0182</v>
      </c>
      <c r="P39" s="308">
        <v>0.0</v>
      </c>
      <c r="Q39" s="308">
        <v>0.0</v>
      </c>
      <c r="R39" s="31">
        <v>0.0</v>
      </c>
      <c r="S39" s="31">
        <v>0.0204</v>
      </c>
      <c r="T39" s="31">
        <v>0.0</v>
      </c>
      <c r="U39" s="31">
        <v>0.0364</v>
      </c>
      <c r="V39" s="31">
        <v>0.0</v>
      </c>
      <c r="W39" s="31">
        <v>0.0172</v>
      </c>
      <c r="X39" s="31">
        <v>0.0</v>
      </c>
      <c r="Y39" s="31">
        <v>0.0256</v>
      </c>
      <c r="Z39" s="31">
        <v>0.0</v>
      </c>
      <c r="AA39" s="31">
        <v>0.02</v>
      </c>
      <c r="AB39" s="31">
        <v>0.0556</v>
      </c>
      <c r="AC39" s="31">
        <v>0.0</v>
      </c>
    </row>
    <row r="40">
      <c r="A40" s="2" t="s">
        <v>439</v>
      </c>
      <c r="B40" s="308">
        <v>0.0213</v>
      </c>
      <c r="C40" s="31">
        <v>0.102</v>
      </c>
      <c r="D40" s="308">
        <v>0.0</v>
      </c>
      <c r="E40" s="31">
        <v>0.0976</v>
      </c>
      <c r="F40" s="31">
        <v>0.0625</v>
      </c>
      <c r="G40" s="310">
        <v>0.0208</v>
      </c>
      <c r="H40" s="31">
        <v>0.05</v>
      </c>
      <c r="I40" s="308">
        <v>0.1064</v>
      </c>
      <c r="J40" s="308">
        <v>0.0</v>
      </c>
      <c r="K40" s="308">
        <v>0.0</v>
      </c>
      <c r="L40" s="31">
        <v>0.0385</v>
      </c>
      <c r="M40" s="31">
        <v>0.2917</v>
      </c>
      <c r="N40" s="31">
        <v>0.0741</v>
      </c>
      <c r="O40" s="31">
        <v>0.1455</v>
      </c>
      <c r="P40" s="31">
        <v>0.0357</v>
      </c>
      <c r="Q40" s="31">
        <v>0.027</v>
      </c>
      <c r="R40" s="31">
        <v>0.0714</v>
      </c>
      <c r="S40" s="31">
        <v>0.0612</v>
      </c>
      <c r="T40" s="31">
        <v>0.1538</v>
      </c>
      <c r="U40" s="31">
        <v>0.0364</v>
      </c>
      <c r="V40" s="31">
        <v>0.025</v>
      </c>
      <c r="W40" s="31">
        <v>0.0517</v>
      </c>
      <c r="X40" s="31">
        <v>0.0566</v>
      </c>
      <c r="Y40" s="31">
        <v>0.0769</v>
      </c>
      <c r="Z40" s="31">
        <v>0.0182</v>
      </c>
      <c r="AA40" s="31">
        <v>0.02</v>
      </c>
      <c r="AB40" s="31">
        <v>0.0278</v>
      </c>
      <c r="AC40" s="311">
        <v>0.0533</v>
      </c>
    </row>
    <row r="41">
      <c r="G41" s="312"/>
    </row>
    <row r="42">
      <c r="B42" s="313">
        <v>44958.0</v>
      </c>
      <c r="C42" s="314" t="s">
        <v>440</v>
      </c>
      <c r="D42" s="314" t="s">
        <v>441</v>
      </c>
    </row>
    <row r="43">
      <c r="A43" s="2" t="s">
        <v>138</v>
      </c>
      <c r="B43" s="34">
        <f>SUM(B10:AC10)</f>
        <v>1394731.57</v>
      </c>
      <c r="C43" s="315">
        <v>1407000.0</v>
      </c>
      <c r="D43" s="316">
        <f t="shared" ref="D43:D45" si="6">B43/C43</f>
        <v>0.9912804335</v>
      </c>
    </row>
    <row r="44">
      <c r="A44" s="2" t="s">
        <v>442</v>
      </c>
      <c r="B44" s="34">
        <f>SUM(B19:AC19)</f>
        <v>413120.96</v>
      </c>
      <c r="C44" s="315">
        <v>412389.0</v>
      </c>
      <c r="D44" s="316">
        <f t="shared" si="6"/>
        <v>1.001774926</v>
      </c>
    </row>
    <row r="45">
      <c r="A45" s="2" t="s">
        <v>277</v>
      </c>
      <c r="B45" s="306">
        <f>B43/B44</f>
        <v>3.376085227</v>
      </c>
      <c r="C45" s="317">
        <v>3.5</v>
      </c>
      <c r="D45" s="316">
        <f t="shared" si="6"/>
        <v>0.9645957791</v>
      </c>
    </row>
    <row r="46">
      <c r="A46" s="2" t="s">
        <v>425</v>
      </c>
      <c r="B46" s="34">
        <f>SUM(B19:AC19)/SUM('Detailed Report'!B140:AC140)</f>
        <v>93.78455392</v>
      </c>
      <c r="C46" s="318"/>
      <c r="D46" s="316"/>
      <c r="W46" s="2" t="s">
        <v>340</v>
      </c>
    </row>
    <row r="47">
      <c r="A47" s="2" t="s">
        <v>426</v>
      </c>
      <c r="B47" s="35">
        <f>AVERAGE(B23:AC23)</f>
        <v>0.01058214286</v>
      </c>
      <c r="C47" s="319"/>
      <c r="D47" s="316"/>
    </row>
    <row r="48">
      <c r="A48" s="2" t="s">
        <v>427</v>
      </c>
      <c r="B48" s="34">
        <f>B43/B51</f>
        <v>262.9584408</v>
      </c>
      <c r="C48" s="318"/>
      <c r="D48" s="316"/>
    </row>
    <row r="49">
      <c r="A49" s="2" t="s">
        <v>428</v>
      </c>
      <c r="B49" s="307">
        <f t="shared" ref="B49:B50" si="7">AVERAGE(B25:AC25)</f>
        <v>290.3963952</v>
      </c>
    </row>
    <row r="50">
      <c r="A50" s="2" t="s">
        <v>429</v>
      </c>
      <c r="B50" s="11">
        <f t="shared" si="7"/>
        <v>145.366544</v>
      </c>
    </row>
    <row r="51">
      <c r="A51" s="2" t="s">
        <v>417</v>
      </c>
      <c r="B51" s="320">
        <f>SUM(B11:AC11)</f>
        <v>5304</v>
      </c>
      <c r="C51" s="321"/>
      <c r="D51" s="316"/>
      <c r="L51" s="2" t="s">
        <v>340</v>
      </c>
    </row>
    <row r="52">
      <c r="A52" s="2" t="s">
        <v>443</v>
      </c>
      <c r="B52" s="320">
        <f>'Detailed Report'!AD140</f>
        <v>4405</v>
      </c>
      <c r="C52" s="321">
        <v>4721.0</v>
      </c>
      <c r="D52" s="316">
        <f>B52/C52</f>
        <v>0.9330650286</v>
      </c>
    </row>
    <row r="53">
      <c r="A53" s="2" t="s">
        <v>444</v>
      </c>
      <c r="B53" s="34">
        <f>B44/B52</f>
        <v>93.78455392</v>
      </c>
      <c r="C53" s="318"/>
      <c r="D53" s="316"/>
    </row>
    <row r="54">
      <c r="A54" s="2" t="s">
        <v>445</v>
      </c>
      <c r="B54" s="35">
        <f>AVERAGE(B30:AC30)</f>
        <v>0.8266678571</v>
      </c>
    </row>
    <row r="55">
      <c r="A55" s="2" t="s">
        <v>446</v>
      </c>
      <c r="B55" s="35">
        <f>AVERAGE(B29:AC29)</f>
        <v>0.1733321429</v>
      </c>
    </row>
    <row r="66">
      <c r="Y66" s="31"/>
      <c r="Z66" s="31"/>
      <c r="AA66" s="31"/>
      <c r="AB66" s="31"/>
      <c r="AC66" s="31"/>
    </row>
    <row r="67">
      <c r="Y67" s="31"/>
      <c r="Z67" s="31"/>
      <c r="AA67" s="31"/>
      <c r="AB67" s="31"/>
      <c r="AC67" s="31"/>
    </row>
    <row r="68">
      <c r="Y68" s="31"/>
      <c r="Z68" s="31"/>
      <c r="AA68" s="31"/>
      <c r="AB68" s="31"/>
      <c r="AC68" s="31"/>
    </row>
    <row r="69">
      <c r="Y69" s="322"/>
      <c r="AC69" s="31"/>
    </row>
    <row r="74">
      <c r="Y74" s="2" t="s">
        <v>340</v>
      </c>
    </row>
  </sheetData>
  <mergeCells count="3">
    <mergeCell ref="A5:A7"/>
    <mergeCell ref="I6:Q6"/>
    <mergeCell ref="M7:O7"/>
  </mergeCells>
  <conditionalFormatting sqref="B21:AC21">
    <cfRule type="colorScale" priority="1">
      <colorScale>
        <cfvo type="min"/>
        <cfvo type="max"/>
        <color rgb="FFFFFFFF"/>
        <color rgb="FF57BB8A"/>
      </colorScale>
    </cfRule>
  </conditionalFormatting>
  <conditionalFormatting sqref="A22:AC22">
    <cfRule type="colorScale" priority="2">
      <colorScale>
        <cfvo type="min"/>
        <cfvo type="max"/>
        <color rgb="FF57BB8A"/>
        <color rgb="FFFFFFFF"/>
      </colorScale>
    </cfRule>
  </conditionalFormatting>
  <conditionalFormatting sqref="A23:AC23">
    <cfRule type="colorScale" priority="3">
      <colorScale>
        <cfvo type="min"/>
        <cfvo type="max"/>
        <color rgb="FFFFFFFF"/>
        <color rgb="FF57BB8A"/>
      </colorScale>
    </cfRule>
  </conditionalFormatting>
  <conditionalFormatting sqref="A24:A26 B24:AC24 A28">
    <cfRule type="colorScale" priority="4">
      <colorScale>
        <cfvo type="min"/>
        <cfvo type="max"/>
        <color rgb="FFFFFFFF"/>
        <color rgb="FF57BB8A"/>
      </colorScale>
    </cfRule>
  </conditionalFormatting>
  <conditionalFormatting sqref="A11:AC11">
    <cfRule type="colorScale" priority="5">
      <colorScale>
        <cfvo type="min"/>
        <cfvo type="max"/>
        <color rgb="FFFFFFFF"/>
        <color rgb="FF57BB8A"/>
      </colorScale>
    </cfRule>
  </conditionalFormatting>
  <conditionalFormatting sqref="B34:W40 X34:X36 Y34:Y38 Z34:Z39 AA34:AC40 X38:X39 Y66:Y69 Z66:AB68 AC66:AC69">
    <cfRule type="colorScale" priority="6">
      <colorScale>
        <cfvo type="min"/>
        <cfvo type="max"/>
        <color rgb="FFFFFFFF"/>
        <color rgb="FF57BB8A"/>
      </colorScale>
    </cfRule>
  </conditionalFormatting>
  <conditionalFormatting sqref="B29:AC29">
    <cfRule type="colorScale" priority="7">
      <colorScale>
        <cfvo type="min"/>
        <cfvo type="max"/>
        <color rgb="FFFFFFFF"/>
        <color rgb="FF57BB8A"/>
      </colorScale>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6.75"/>
    <col customWidth="1" min="2" max="18" width="16.13"/>
    <col customWidth="1" min="19" max="20" width="16.63"/>
    <col customWidth="1" min="21" max="29" width="16.13"/>
    <col customWidth="1" min="30" max="30" width="16.25"/>
  </cols>
  <sheetData>
    <row r="1">
      <c r="A1" s="5" t="s">
        <v>2</v>
      </c>
      <c r="B1" s="6">
        <v>44958.0</v>
      </c>
      <c r="C1" s="6">
        <v>44959.0</v>
      </c>
      <c r="D1" s="6">
        <v>44960.0</v>
      </c>
      <c r="E1" s="6">
        <v>44961.0</v>
      </c>
      <c r="F1" s="6">
        <v>44962.0</v>
      </c>
      <c r="G1" s="6">
        <v>44963.0</v>
      </c>
      <c r="H1" s="6">
        <v>44964.0</v>
      </c>
      <c r="I1" s="6">
        <v>44965.0</v>
      </c>
      <c r="J1" s="6">
        <v>44966.0</v>
      </c>
      <c r="K1" s="6">
        <v>44967.0</v>
      </c>
      <c r="L1" s="6">
        <v>44968.0</v>
      </c>
      <c r="M1" s="6">
        <v>44969.0</v>
      </c>
      <c r="N1" s="6">
        <v>44970.0</v>
      </c>
      <c r="O1" s="6">
        <v>44971.0</v>
      </c>
      <c r="P1" s="6">
        <v>44972.0</v>
      </c>
      <c r="Q1" s="6">
        <v>44973.0</v>
      </c>
      <c r="R1" s="6">
        <v>44974.0</v>
      </c>
      <c r="S1" s="6">
        <v>44975.0</v>
      </c>
      <c r="T1" s="6">
        <v>44976.0</v>
      </c>
      <c r="U1" s="6">
        <v>44977.0</v>
      </c>
      <c r="V1" s="6">
        <v>44978.0</v>
      </c>
      <c r="W1" s="6">
        <v>44979.0</v>
      </c>
      <c r="X1" s="6">
        <v>44980.0</v>
      </c>
      <c r="Y1" s="6">
        <v>44981.0</v>
      </c>
      <c r="Z1" s="6">
        <v>44982.0</v>
      </c>
      <c r="AA1" s="6">
        <v>44983.0</v>
      </c>
      <c r="AB1" s="6">
        <v>44984.0</v>
      </c>
      <c r="AC1" s="6">
        <v>44985.0</v>
      </c>
      <c r="AD1" s="14"/>
    </row>
    <row r="2">
      <c r="A2" s="16" t="s">
        <v>55</v>
      </c>
      <c r="B2" s="17" t="s">
        <v>57</v>
      </c>
      <c r="C2" s="17" t="s">
        <v>58</v>
      </c>
      <c r="D2" s="17" t="s">
        <v>59</v>
      </c>
      <c r="E2" s="17" t="s">
        <v>60</v>
      </c>
      <c r="F2" s="17" t="s">
        <v>61</v>
      </c>
      <c r="G2" s="17" t="s">
        <v>62</v>
      </c>
      <c r="H2" s="17" t="s">
        <v>63</v>
      </c>
      <c r="I2" s="17" t="s">
        <v>57</v>
      </c>
      <c r="J2" s="17" t="s">
        <v>58</v>
      </c>
      <c r="K2" s="17" t="s">
        <v>59</v>
      </c>
      <c r="L2" s="17" t="s">
        <v>60</v>
      </c>
      <c r="M2" s="17" t="s">
        <v>61</v>
      </c>
      <c r="N2" s="17" t="s">
        <v>62</v>
      </c>
      <c r="O2" s="17" t="s">
        <v>63</v>
      </c>
      <c r="P2" s="17" t="s">
        <v>57</v>
      </c>
      <c r="Q2" s="17" t="s">
        <v>58</v>
      </c>
      <c r="R2" s="17" t="s">
        <v>59</v>
      </c>
      <c r="S2" s="17" t="s">
        <v>60</v>
      </c>
      <c r="T2" s="17" t="s">
        <v>61</v>
      </c>
      <c r="U2" s="17" t="s">
        <v>62</v>
      </c>
      <c r="V2" s="17" t="s">
        <v>63</v>
      </c>
      <c r="W2" s="17" t="s">
        <v>57</v>
      </c>
      <c r="X2" s="17" t="s">
        <v>58</v>
      </c>
      <c r="Y2" s="17" t="s">
        <v>59</v>
      </c>
      <c r="Z2" s="17" t="s">
        <v>60</v>
      </c>
      <c r="AA2" s="17" t="s">
        <v>61</v>
      </c>
      <c r="AB2" s="17" t="s">
        <v>62</v>
      </c>
      <c r="AC2" s="17" t="s">
        <v>63</v>
      </c>
      <c r="AD2" s="14"/>
    </row>
    <row r="3">
      <c r="A3" s="22" t="s">
        <v>78</v>
      </c>
      <c r="B3" s="23"/>
      <c r="C3" s="23"/>
      <c r="D3" s="23"/>
      <c r="E3" s="23"/>
      <c r="F3" s="23"/>
      <c r="G3" s="23"/>
      <c r="H3" s="23"/>
      <c r="I3" s="23"/>
      <c r="J3" s="23"/>
      <c r="K3" s="23"/>
      <c r="L3" s="23"/>
      <c r="M3" s="23"/>
      <c r="N3" s="23"/>
      <c r="O3" s="23"/>
      <c r="P3" s="23"/>
      <c r="Q3" s="23"/>
      <c r="R3" s="23"/>
      <c r="S3" s="23"/>
      <c r="T3" s="23"/>
      <c r="U3" s="23"/>
      <c r="V3" s="23"/>
      <c r="W3" s="23"/>
      <c r="X3" s="23"/>
      <c r="Y3" s="23"/>
      <c r="Z3" s="23"/>
      <c r="AA3" s="23"/>
      <c r="AB3" s="25"/>
      <c r="AC3" s="23"/>
      <c r="AD3" s="14"/>
    </row>
    <row r="4">
      <c r="A4" s="26" t="s">
        <v>84</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14"/>
    </row>
    <row r="5">
      <c r="A5" s="27" t="s">
        <v>91</v>
      </c>
      <c r="B5" s="28">
        <v>48.0</v>
      </c>
      <c r="C5" s="29">
        <v>51.0</v>
      </c>
      <c r="D5" s="29">
        <v>51.0</v>
      </c>
      <c r="E5" s="29">
        <v>55.0</v>
      </c>
      <c r="F5" s="29">
        <v>43.0</v>
      </c>
      <c r="G5" s="29">
        <v>32.0</v>
      </c>
      <c r="H5" s="29">
        <v>54.0</v>
      </c>
      <c r="I5" s="29">
        <v>44.0</v>
      </c>
      <c r="J5" s="29">
        <v>50.0</v>
      </c>
      <c r="K5" s="29">
        <v>46.0</v>
      </c>
      <c r="L5" s="29">
        <v>49.0</v>
      </c>
      <c r="M5" s="29">
        <v>54.0</v>
      </c>
      <c r="N5" s="29">
        <v>58.0</v>
      </c>
      <c r="O5" s="29">
        <v>73.0</v>
      </c>
      <c r="P5" s="29">
        <v>49.0</v>
      </c>
      <c r="Q5" s="29">
        <v>52.0</v>
      </c>
      <c r="R5" s="29">
        <v>54.0</v>
      </c>
      <c r="S5" s="30">
        <v>70.0</v>
      </c>
      <c r="T5" s="29">
        <v>60.0</v>
      </c>
      <c r="U5" s="30">
        <v>62.0</v>
      </c>
      <c r="V5" s="30">
        <v>41.0</v>
      </c>
      <c r="W5" s="30">
        <v>44.0</v>
      </c>
      <c r="X5" s="30">
        <v>44.0</v>
      </c>
      <c r="Y5" s="30">
        <v>53.0</v>
      </c>
      <c r="Z5" s="30">
        <v>73.0</v>
      </c>
      <c r="AA5" s="30">
        <v>53.0</v>
      </c>
      <c r="AB5" s="30">
        <v>40.0</v>
      </c>
      <c r="AC5" s="30">
        <v>44.0</v>
      </c>
      <c r="AD5" s="32">
        <f t="shared" ref="AD5:AD14" si="1">SUM(B5:AC5)</f>
        <v>1447</v>
      </c>
    </row>
    <row r="6">
      <c r="A6" s="33" t="s">
        <v>100</v>
      </c>
      <c r="B6" s="28">
        <v>37.0</v>
      </c>
      <c r="C6" s="29">
        <v>29.0</v>
      </c>
      <c r="D6" s="29">
        <v>29.0</v>
      </c>
      <c r="E6" s="29">
        <v>48.0</v>
      </c>
      <c r="F6" s="29">
        <v>39.0</v>
      </c>
      <c r="G6" s="29">
        <v>29.0</v>
      </c>
      <c r="H6" s="29">
        <v>31.0</v>
      </c>
      <c r="I6" s="29">
        <v>30.0</v>
      </c>
      <c r="J6" s="29">
        <v>38.0</v>
      </c>
      <c r="K6" s="29">
        <v>49.0</v>
      </c>
      <c r="L6" s="29">
        <v>49.0</v>
      </c>
      <c r="M6" s="29">
        <v>40.0</v>
      </c>
      <c r="N6" s="29">
        <v>34.0</v>
      </c>
      <c r="O6" s="29">
        <v>38.0</v>
      </c>
      <c r="P6" s="29">
        <v>35.0</v>
      </c>
      <c r="Q6" s="29">
        <v>40.0</v>
      </c>
      <c r="R6" s="29">
        <v>43.0</v>
      </c>
      <c r="S6" s="30">
        <v>32.0</v>
      </c>
      <c r="T6" s="29">
        <v>65.0</v>
      </c>
      <c r="U6" s="30">
        <v>44.0</v>
      </c>
      <c r="V6" s="30">
        <v>38.0</v>
      </c>
      <c r="W6" s="30">
        <v>31.0</v>
      </c>
      <c r="X6" s="30">
        <v>39.0</v>
      </c>
      <c r="Y6" s="30">
        <v>35.0</v>
      </c>
      <c r="Z6" s="30">
        <v>55.0</v>
      </c>
      <c r="AA6" s="30">
        <v>36.0</v>
      </c>
      <c r="AB6" s="30">
        <v>39.0</v>
      </c>
      <c r="AC6" s="30">
        <v>31.0</v>
      </c>
      <c r="AD6" s="32">
        <f t="shared" si="1"/>
        <v>1083</v>
      </c>
    </row>
    <row r="7">
      <c r="A7" s="23" t="s">
        <v>110</v>
      </c>
      <c r="B7" s="28">
        <v>0.0</v>
      </c>
      <c r="C7" s="29">
        <v>0.0</v>
      </c>
      <c r="D7" s="29">
        <v>1.0</v>
      </c>
      <c r="E7" s="29">
        <v>1.0</v>
      </c>
      <c r="F7" s="29">
        <v>5.0</v>
      </c>
      <c r="G7" s="29">
        <v>0.0</v>
      </c>
      <c r="H7" s="29">
        <v>0.0</v>
      </c>
      <c r="I7" s="29">
        <v>0.0</v>
      </c>
      <c r="J7" s="29">
        <v>0.0</v>
      </c>
      <c r="K7" s="29">
        <v>0.0</v>
      </c>
      <c r="L7" s="29">
        <v>2.0</v>
      </c>
      <c r="M7" s="29">
        <v>2.0</v>
      </c>
      <c r="N7" s="29">
        <v>0.0</v>
      </c>
      <c r="O7" s="29">
        <v>4.0</v>
      </c>
      <c r="P7" s="29">
        <v>0.0</v>
      </c>
      <c r="Q7" s="29">
        <v>0.0</v>
      </c>
      <c r="R7" s="29">
        <v>0.0</v>
      </c>
      <c r="S7" s="29">
        <v>0.0</v>
      </c>
      <c r="T7" s="29">
        <v>1.0</v>
      </c>
      <c r="U7" s="29">
        <v>0.0</v>
      </c>
      <c r="V7" s="29">
        <v>0.0</v>
      </c>
      <c r="W7" s="29">
        <v>1.0</v>
      </c>
      <c r="X7" s="29">
        <v>0.0</v>
      </c>
      <c r="Y7" s="29">
        <v>0.0</v>
      </c>
      <c r="Z7" s="29">
        <v>0.0</v>
      </c>
      <c r="AA7" s="29">
        <v>0.0</v>
      </c>
      <c r="AB7" s="29">
        <v>0.0</v>
      </c>
      <c r="AC7" s="29">
        <v>0.0</v>
      </c>
      <c r="AD7" s="32">
        <f t="shared" si="1"/>
        <v>17</v>
      </c>
    </row>
    <row r="8">
      <c r="A8" s="25" t="s">
        <v>113</v>
      </c>
      <c r="B8" s="28">
        <v>7.0</v>
      </c>
      <c r="C8" s="29">
        <v>8.0</v>
      </c>
      <c r="D8" s="29">
        <v>2.0</v>
      </c>
      <c r="E8" s="29">
        <v>1.0</v>
      </c>
      <c r="F8" s="29">
        <v>5.0</v>
      </c>
      <c r="G8" s="29">
        <v>2.0</v>
      </c>
      <c r="H8" s="29">
        <v>8.0</v>
      </c>
      <c r="I8" s="29">
        <v>5.0</v>
      </c>
      <c r="J8" s="29">
        <v>4.0</v>
      </c>
      <c r="K8" s="29">
        <v>4.0</v>
      </c>
      <c r="L8" s="29">
        <v>0.0</v>
      </c>
      <c r="M8" s="29">
        <v>5.0</v>
      </c>
      <c r="N8" s="29">
        <v>9.0</v>
      </c>
      <c r="O8" s="29">
        <v>6.0</v>
      </c>
      <c r="P8" s="29">
        <v>7.0</v>
      </c>
      <c r="Q8" s="29">
        <v>2.0</v>
      </c>
      <c r="R8" s="29">
        <v>2.0</v>
      </c>
      <c r="S8" s="30">
        <v>3.0</v>
      </c>
      <c r="T8" s="29">
        <v>2.0</v>
      </c>
      <c r="U8" s="30">
        <v>4.0</v>
      </c>
      <c r="V8" s="30">
        <v>5.0</v>
      </c>
      <c r="W8" s="30">
        <v>7.0</v>
      </c>
      <c r="X8" s="30">
        <v>3.0</v>
      </c>
      <c r="Y8" s="30">
        <v>3.0</v>
      </c>
      <c r="Z8" s="30">
        <v>3.0</v>
      </c>
      <c r="AA8" s="30">
        <v>2.0</v>
      </c>
      <c r="AB8" s="30">
        <v>4.0</v>
      </c>
      <c r="AC8" s="30">
        <v>5.0</v>
      </c>
      <c r="AD8" s="32">
        <f t="shared" si="1"/>
        <v>118</v>
      </c>
    </row>
    <row r="9">
      <c r="A9" s="33" t="s">
        <v>115</v>
      </c>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7">
        <f t="shared" si="1"/>
        <v>0</v>
      </c>
    </row>
    <row r="10">
      <c r="A10" s="33" t="s">
        <v>120</v>
      </c>
      <c r="B10" s="28">
        <v>0.0</v>
      </c>
      <c r="C10" s="29">
        <v>0.0</v>
      </c>
      <c r="D10" s="29">
        <v>0.0</v>
      </c>
      <c r="E10" s="39">
        <v>1.0</v>
      </c>
      <c r="F10" s="29">
        <v>0.0</v>
      </c>
      <c r="G10" s="39">
        <v>1.0</v>
      </c>
      <c r="H10" s="29">
        <v>0.0</v>
      </c>
      <c r="I10" s="39">
        <v>1.0</v>
      </c>
      <c r="J10" s="29">
        <v>0.0</v>
      </c>
      <c r="K10" s="39">
        <v>1.0</v>
      </c>
      <c r="L10" s="29">
        <v>0.0</v>
      </c>
      <c r="M10" s="29">
        <v>0.0</v>
      </c>
      <c r="N10" s="29">
        <v>0.0</v>
      </c>
      <c r="O10" s="29">
        <v>0.0</v>
      </c>
      <c r="P10" s="29">
        <v>0.0</v>
      </c>
      <c r="Q10" s="39">
        <v>0.0</v>
      </c>
      <c r="R10" s="39">
        <v>0.0</v>
      </c>
      <c r="S10" s="39">
        <v>0.0</v>
      </c>
      <c r="T10" s="39">
        <v>0.0</v>
      </c>
      <c r="U10" s="39">
        <v>1.0</v>
      </c>
      <c r="V10" s="39">
        <v>1.0</v>
      </c>
      <c r="W10" s="39">
        <v>0.0</v>
      </c>
      <c r="X10" s="39">
        <v>0.0</v>
      </c>
      <c r="Y10" s="39">
        <v>0.0</v>
      </c>
      <c r="Z10" s="39">
        <v>0.0</v>
      </c>
      <c r="AA10" s="39">
        <v>1.0</v>
      </c>
      <c r="AB10" s="39">
        <v>0.0</v>
      </c>
      <c r="AC10" s="39">
        <v>0.0</v>
      </c>
      <c r="AD10" s="41">
        <f t="shared" si="1"/>
        <v>7</v>
      </c>
    </row>
    <row r="11">
      <c r="A11" s="27" t="s">
        <v>126</v>
      </c>
      <c r="B11" s="43"/>
      <c r="C11" s="43"/>
      <c r="D11" s="43"/>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8">
        <f t="shared" si="1"/>
        <v>0</v>
      </c>
    </row>
    <row r="12">
      <c r="A12" s="27" t="s">
        <v>136</v>
      </c>
      <c r="B12" s="43"/>
      <c r="C12" s="43"/>
      <c r="D12" s="43"/>
      <c r="E12" s="44"/>
      <c r="F12" s="44"/>
      <c r="G12" s="44"/>
      <c r="H12" s="44"/>
      <c r="I12" s="44"/>
      <c r="J12" s="44"/>
      <c r="K12" s="44"/>
      <c r="L12" s="44"/>
      <c r="M12" s="44"/>
      <c r="N12" s="44"/>
      <c r="O12" s="44"/>
      <c r="P12" s="44"/>
      <c r="Q12" s="44"/>
      <c r="R12" s="44"/>
      <c r="S12" s="44"/>
      <c r="T12" s="44"/>
      <c r="U12" s="44"/>
      <c r="V12" s="44"/>
      <c r="W12" s="44"/>
      <c r="X12" s="44"/>
      <c r="Y12" s="44"/>
      <c r="Z12" s="44"/>
      <c r="AA12" s="43"/>
      <c r="AB12" s="44"/>
      <c r="AC12" s="44"/>
      <c r="AD12" s="48">
        <f t="shared" si="1"/>
        <v>0</v>
      </c>
    </row>
    <row r="13">
      <c r="A13" s="49" t="s">
        <v>137</v>
      </c>
      <c r="B13" s="50">
        <v>5.0</v>
      </c>
      <c r="C13" s="50">
        <v>6.0</v>
      </c>
      <c r="D13" s="50">
        <v>4.0</v>
      </c>
      <c r="E13" s="50">
        <v>5.0</v>
      </c>
      <c r="F13" s="50">
        <v>8.0</v>
      </c>
      <c r="G13" s="50">
        <v>10.0</v>
      </c>
      <c r="H13" s="50">
        <v>4.0</v>
      </c>
      <c r="I13" s="50">
        <v>7.0</v>
      </c>
      <c r="J13" s="50">
        <v>7.0</v>
      </c>
      <c r="K13" s="50">
        <v>3.0</v>
      </c>
      <c r="L13" s="50">
        <v>3.0</v>
      </c>
      <c r="M13" s="50">
        <v>5.0</v>
      </c>
      <c r="N13" s="50">
        <v>20.0</v>
      </c>
      <c r="O13" s="50">
        <v>13.0</v>
      </c>
      <c r="P13" s="50">
        <v>26.0</v>
      </c>
      <c r="Q13" s="50">
        <v>15.0</v>
      </c>
      <c r="R13" s="50">
        <v>8.0</v>
      </c>
      <c r="S13" s="50">
        <v>9.0</v>
      </c>
      <c r="T13" s="50">
        <v>12.0</v>
      </c>
      <c r="U13" s="50">
        <v>5.0</v>
      </c>
      <c r="V13" s="50">
        <v>10.0</v>
      </c>
      <c r="W13" s="51">
        <v>11.0</v>
      </c>
      <c r="X13" s="50">
        <v>87.0</v>
      </c>
      <c r="Y13" s="50">
        <v>18.0</v>
      </c>
      <c r="Z13" s="50">
        <v>12.0</v>
      </c>
      <c r="AA13" s="50">
        <v>13.0</v>
      </c>
      <c r="AB13" s="50">
        <v>7.0</v>
      </c>
      <c r="AC13" s="50">
        <v>113.0</v>
      </c>
      <c r="AD13" s="52">
        <f t="shared" si="1"/>
        <v>446</v>
      </c>
    </row>
    <row r="14">
      <c r="A14" s="53" t="s">
        <v>121</v>
      </c>
      <c r="B14" s="54">
        <f t="shared" ref="B14:AC14" si="2">SUM(B5:B13)</f>
        <v>97</v>
      </c>
      <c r="C14" s="54">
        <f t="shared" si="2"/>
        <v>94</v>
      </c>
      <c r="D14" s="54">
        <f t="shared" si="2"/>
        <v>87</v>
      </c>
      <c r="E14" s="54">
        <f t="shared" si="2"/>
        <v>111</v>
      </c>
      <c r="F14" s="54">
        <f t="shared" si="2"/>
        <v>100</v>
      </c>
      <c r="G14" s="54">
        <f t="shared" si="2"/>
        <v>74</v>
      </c>
      <c r="H14" s="54">
        <f t="shared" si="2"/>
        <v>97</v>
      </c>
      <c r="I14" s="54">
        <f t="shared" si="2"/>
        <v>87</v>
      </c>
      <c r="J14" s="54">
        <f t="shared" si="2"/>
        <v>99</v>
      </c>
      <c r="K14" s="54">
        <f t="shared" si="2"/>
        <v>103</v>
      </c>
      <c r="L14" s="54">
        <f t="shared" si="2"/>
        <v>103</v>
      </c>
      <c r="M14" s="54">
        <f t="shared" si="2"/>
        <v>106</v>
      </c>
      <c r="N14" s="54">
        <f t="shared" si="2"/>
        <v>121</v>
      </c>
      <c r="O14" s="54">
        <f t="shared" si="2"/>
        <v>134</v>
      </c>
      <c r="P14" s="54">
        <f t="shared" si="2"/>
        <v>117</v>
      </c>
      <c r="Q14" s="54">
        <f t="shared" si="2"/>
        <v>109</v>
      </c>
      <c r="R14" s="54">
        <f t="shared" si="2"/>
        <v>107</v>
      </c>
      <c r="S14" s="54">
        <f t="shared" si="2"/>
        <v>114</v>
      </c>
      <c r="T14" s="54">
        <f t="shared" si="2"/>
        <v>140</v>
      </c>
      <c r="U14" s="54">
        <f t="shared" si="2"/>
        <v>116</v>
      </c>
      <c r="V14" s="54">
        <f t="shared" si="2"/>
        <v>95</v>
      </c>
      <c r="W14" s="54">
        <f t="shared" si="2"/>
        <v>94</v>
      </c>
      <c r="X14" s="54">
        <f t="shared" si="2"/>
        <v>173</v>
      </c>
      <c r="Y14" s="54">
        <f t="shared" si="2"/>
        <v>109</v>
      </c>
      <c r="Z14" s="54">
        <f t="shared" si="2"/>
        <v>143</v>
      </c>
      <c r="AA14" s="54">
        <f t="shared" si="2"/>
        <v>105</v>
      </c>
      <c r="AB14" s="54">
        <f t="shared" si="2"/>
        <v>90</v>
      </c>
      <c r="AC14" s="54">
        <f t="shared" si="2"/>
        <v>193</v>
      </c>
      <c r="AD14" s="55">
        <f t="shared" si="1"/>
        <v>3118</v>
      </c>
    </row>
    <row r="15">
      <c r="A15" s="27"/>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14"/>
    </row>
    <row r="16">
      <c r="A16" s="56" t="s">
        <v>138</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14"/>
    </row>
    <row r="17">
      <c r="A17" s="27" t="s">
        <v>91</v>
      </c>
      <c r="B17" s="57">
        <v>13922.96</v>
      </c>
      <c r="C17" s="58">
        <v>16049.58</v>
      </c>
      <c r="D17" s="58">
        <v>16955.63</v>
      </c>
      <c r="E17" s="58">
        <v>11510.84</v>
      </c>
      <c r="F17" s="58">
        <v>13540.22</v>
      </c>
      <c r="G17" s="58">
        <v>9279.73</v>
      </c>
      <c r="H17" s="58">
        <v>17250.48</v>
      </c>
      <c r="I17" s="58">
        <v>14657.41</v>
      </c>
      <c r="J17" s="58">
        <v>15968.67</v>
      </c>
      <c r="K17" s="58">
        <v>14684.15</v>
      </c>
      <c r="L17" s="58">
        <v>15075.68</v>
      </c>
      <c r="M17" s="58">
        <v>18597.71</v>
      </c>
      <c r="N17" s="58">
        <v>19399.95</v>
      </c>
      <c r="O17" s="58">
        <v>23848.85</v>
      </c>
      <c r="P17" s="58">
        <v>16057.58</v>
      </c>
      <c r="Q17" s="58">
        <v>16664.06</v>
      </c>
      <c r="R17" s="58">
        <v>17811.55</v>
      </c>
      <c r="S17" s="59">
        <v>22205.12</v>
      </c>
      <c r="T17" s="58">
        <v>19381.48</v>
      </c>
      <c r="U17" s="59">
        <v>21441.39</v>
      </c>
      <c r="V17" s="59">
        <v>13344.61</v>
      </c>
      <c r="W17" s="59">
        <v>14999.99</v>
      </c>
      <c r="X17" s="59">
        <v>13647.1</v>
      </c>
      <c r="Y17" s="59">
        <v>16681.21</v>
      </c>
      <c r="Z17" s="59">
        <v>23771.28</v>
      </c>
      <c r="AA17" s="59">
        <v>16770.73</v>
      </c>
      <c r="AB17" s="58">
        <v>13077.16</v>
      </c>
      <c r="AC17" s="58">
        <v>13608.39</v>
      </c>
      <c r="AD17" s="60">
        <f t="shared" ref="AD17:AD26" si="3">SUM(B17:AC17)</f>
        <v>460203.51</v>
      </c>
    </row>
    <row r="18">
      <c r="A18" s="33" t="s">
        <v>100</v>
      </c>
      <c r="B18" s="57">
        <v>10492.85</v>
      </c>
      <c r="C18" s="58">
        <v>8041.43</v>
      </c>
      <c r="D18" s="58">
        <v>7689.34</v>
      </c>
      <c r="E18" s="58">
        <v>12227.87</v>
      </c>
      <c r="F18" s="58">
        <v>8266.85</v>
      </c>
      <c r="G18" s="58">
        <v>6762.02</v>
      </c>
      <c r="H18" s="58">
        <v>8285.29</v>
      </c>
      <c r="I18" s="58">
        <v>7890.33</v>
      </c>
      <c r="J18" s="58">
        <v>11406.8</v>
      </c>
      <c r="K18" s="58">
        <v>13508.56</v>
      </c>
      <c r="L18" s="58">
        <v>14142.51</v>
      </c>
      <c r="M18" s="58">
        <v>10834.63</v>
      </c>
      <c r="N18" s="58">
        <v>9499.21</v>
      </c>
      <c r="O18" s="58">
        <v>11127.26</v>
      </c>
      <c r="P18" s="58">
        <v>8829.56</v>
      </c>
      <c r="Q18" s="58">
        <v>9770.81</v>
      </c>
      <c r="R18" s="58">
        <v>12777.56</v>
      </c>
      <c r="S18" s="59">
        <v>8323.48</v>
      </c>
      <c r="T18" s="58">
        <v>16121.61</v>
      </c>
      <c r="U18" s="59">
        <v>12113.6</v>
      </c>
      <c r="V18" s="59">
        <v>9962.32</v>
      </c>
      <c r="W18" s="59">
        <v>8314.75</v>
      </c>
      <c r="X18" s="59">
        <v>9900.17</v>
      </c>
      <c r="Y18" s="59">
        <v>8505.2</v>
      </c>
      <c r="Z18" s="59">
        <v>14570.89</v>
      </c>
      <c r="AA18" s="59">
        <v>9419.42</v>
      </c>
      <c r="AB18" s="59">
        <v>9583.77</v>
      </c>
      <c r="AC18" s="59">
        <v>6168.44</v>
      </c>
      <c r="AD18" s="60">
        <f t="shared" si="3"/>
        <v>284536.53</v>
      </c>
    </row>
    <row r="19">
      <c r="A19" s="23" t="s">
        <v>110</v>
      </c>
      <c r="B19" s="57">
        <v>0.0</v>
      </c>
      <c r="C19" s="58">
        <v>0.0</v>
      </c>
      <c r="D19" s="58">
        <v>35.74</v>
      </c>
      <c r="E19" s="58">
        <v>243.32</v>
      </c>
      <c r="F19" s="58">
        <v>1703.09</v>
      </c>
      <c r="G19" s="58">
        <v>0.0</v>
      </c>
      <c r="H19" s="58">
        <v>0.0</v>
      </c>
      <c r="I19" s="58">
        <v>0.0</v>
      </c>
      <c r="J19" s="58">
        <v>0.0</v>
      </c>
      <c r="K19" s="58">
        <v>0.0</v>
      </c>
      <c r="L19" s="58">
        <v>551.25</v>
      </c>
      <c r="M19" s="58">
        <v>670.17</v>
      </c>
      <c r="N19" s="58">
        <v>0.0</v>
      </c>
      <c r="O19" s="58">
        <v>1399.28</v>
      </c>
      <c r="P19" s="58">
        <v>0.0</v>
      </c>
      <c r="Q19" s="58">
        <v>0.0</v>
      </c>
      <c r="R19" s="58">
        <v>0.0</v>
      </c>
      <c r="S19" s="58">
        <v>0.0</v>
      </c>
      <c r="T19" s="58">
        <v>370.02</v>
      </c>
      <c r="U19" s="58">
        <v>0.0</v>
      </c>
      <c r="V19" s="58">
        <v>0.0</v>
      </c>
      <c r="W19" s="58">
        <v>355.72</v>
      </c>
      <c r="X19" s="58">
        <v>0.0</v>
      </c>
      <c r="Y19" s="58">
        <v>0.0</v>
      </c>
      <c r="Z19" s="58">
        <v>0.0</v>
      </c>
      <c r="AA19" s="58">
        <v>0.0</v>
      </c>
      <c r="AB19" s="58">
        <v>0.0</v>
      </c>
      <c r="AC19" s="58">
        <v>0.0</v>
      </c>
      <c r="AD19" s="60">
        <f t="shared" si="3"/>
        <v>5328.59</v>
      </c>
    </row>
    <row r="20">
      <c r="A20" s="25" t="s">
        <v>113</v>
      </c>
      <c r="B20" s="57">
        <v>1862.0</v>
      </c>
      <c r="C20" s="58">
        <v>2128.0</v>
      </c>
      <c r="D20" s="58">
        <v>532.0</v>
      </c>
      <c r="E20" s="58">
        <v>266.0</v>
      </c>
      <c r="F20" s="58">
        <v>1330.0</v>
      </c>
      <c r="G20" s="58">
        <v>532.0</v>
      </c>
      <c r="H20" s="58">
        <v>2128.0</v>
      </c>
      <c r="I20" s="58">
        <v>1330.0</v>
      </c>
      <c r="J20" s="58">
        <v>1064.0</v>
      </c>
      <c r="K20" s="58">
        <v>1064.0</v>
      </c>
      <c r="L20" s="58">
        <v>0.0</v>
      </c>
      <c r="M20" s="58">
        <v>1330.0</v>
      </c>
      <c r="N20" s="58">
        <v>2394.0</v>
      </c>
      <c r="O20" s="58">
        <v>1596.0</v>
      </c>
      <c r="P20" s="58">
        <v>1862.0</v>
      </c>
      <c r="Q20" s="58">
        <v>532.0</v>
      </c>
      <c r="R20" s="58">
        <v>532.0</v>
      </c>
      <c r="S20" s="59">
        <v>798.0</v>
      </c>
      <c r="T20" s="58">
        <v>532.0</v>
      </c>
      <c r="U20" s="58">
        <v>1064.0</v>
      </c>
      <c r="V20" s="59">
        <v>1330.0</v>
      </c>
      <c r="W20" s="59">
        <v>1862.0</v>
      </c>
      <c r="X20" s="59">
        <v>798.0</v>
      </c>
      <c r="Y20" s="59">
        <v>798.0</v>
      </c>
      <c r="Z20" s="59">
        <v>798.0</v>
      </c>
      <c r="AA20" s="58">
        <v>532.0</v>
      </c>
      <c r="AB20" s="59">
        <v>1064.0</v>
      </c>
      <c r="AC20" s="59">
        <v>1330.0</v>
      </c>
      <c r="AD20" s="60">
        <f t="shared" si="3"/>
        <v>31388</v>
      </c>
    </row>
    <row r="21" ht="17.25" customHeight="1">
      <c r="A21" s="25" t="s">
        <v>115</v>
      </c>
      <c r="B21" s="66"/>
      <c r="C21" s="68"/>
      <c r="D21" s="69"/>
      <c r="E21" s="68"/>
      <c r="F21" s="68"/>
      <c r="G21" s="69"/>
      <c r="H21" s="69"/>
      <c r="I21" s="69"/>
      <c r="J21" s="69"/>
      <c r="K21" s="69"/>
      <c r="L21" s="69"/>
      <c r="M21" s="68"/>
      <c r="N21" s="68"/>
      <c r="O21" s="68"/>
      <c r="P21" s="68"/>
      <c r="Q21" s="68"/>
      <c r="R21" s="68"/>
      <c r="S21" s="68"/>
      <c r="T21" s="68"/>
      <c r="U21" s="68"/>
      <c r="V21" s="68"/>
      <c r="W21" s="68"/>
      <c r="X21" s="68"/>
      <c r="Y21" s="68"/>
      <c r="Z21" s="68"/>
      <c r="AA21" s="68"/>
      <c r="AB21" s="68"/>
      <c r="AC21" s="68"/>
      <c r="AD21" s="70">
        <f t="shared" si="3"/>
        <v>0</v>
      </c>
    </row>
    <row r="22">
      <c r="A22" s="33" t="s">
        <v>120</v>
      </c>
      <c r="B22" s="57">
        <v>0.0</v>
      </c>
      <c r="C22" s="58">
        <v>0.0</v>
      </c>
      <c r="D22" s="58">
        <v>0.0</v>
      </c>
      <c r="E22" s="73">
        <v>328.16</v>
      </c>
      <c r="F22" s="58">
        <v>0.0</v>
      </c>
      <c r="G22" s="73">
        <v>318.51</v>
      </c>
      <c r="H22" s="58">
        <v>0.0</v>
      </c>
      <c r="I22" s="73">
        <v>382.49</v>
      </c>
      <c r="J22" s="58">
        <v>0.0</v>
      </c>
      <c r="K22" s="73">
        <v>303.07</v>
      </c>
      <c r="L22" s="58">
        <v>0.0</v>
      </c>
      <c r="M22" s="58">
        <v>0.0</v>
      </c>
      <c r="N22" s="58">
        <v>0.0</v>
      </c>
      <c r="O22" s="58">
        <v>0.0</v>
      </c>
      <c r="P22" s="58">
        <v>0.0</v>
      </c>
      <c r="Q22" s="73">
        <v>0.0</v>
      </c>
      <c r="R22" s="73">
        <v>0.0</v>
      </c>
      <c r="S22" s="73">
        <v>0.0</v>
      </c>
      <c r="T22" s="73">
        <v>0.0</v>
      </c>
      <c r="U22" s="73">
        <v>351.75</v>
      </c>
      <c r="V22" s="73">
        <v>59.8</v>
      </c>
      <c r="W22" s="73">
        <v>0.0</v>
      </c>
      <c r="X22" s="73">
        <v>0.0</v>
      </c>
      <c r="Y22" s="73">
        <v>0.0</v>
      </c>
      <c r="Z22" s="73">
        <v>0.0</v>
      </c>
      <c r="AA22" s="73">
        <v>362.66</v>
      </c>
      <c r="AB22" s="73">
        <v>0.0</v>
      </c>
      <c r="AC22" s="73">
        <v>0.0</v>
      </c>
      <c r="AD22" s="78">
        <f t="shared" si="3"/>
        <v>2106.44</v>
      </c>
    </row>
    <row r="23">
      <c r="A23" s="27" t="s">
        <v>126</v>
      </c>
      <c r="B23" s="68"/>
      <c r="C23" s="68"/>
      <c r="D23" s="68"/>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60">
        <f t="shared" si="3"/>
        <v>0</v>
      </c>
    </row>
    <row r="24">
      <c r="A24" s="27" t="s">
        <v>136</v>
      </c>
      <c r="B24" s="68"/>
      <c r="C24" s="68"/>
      <c r="D24" s="68"/>
      <c r="E24" s="80"/>
      <c r="F24" s="80"/>
      <c r="G24" s="80"/>
      <c r="H24" s="80"/>
      <c r="I24" s="80"/>
      <c r="J24" s="68"/>
      <c r="K24" s="80"/>
      <c r="L24" s="80"/>
      <c r="M24" s="80"/>
      <c r="N24" s="80"/>
      <c r="O24" s="80"/>
      <c r="P24" s="80"/>
      <c r="Q24" s="80"/>
      <c r="R24" s="80"/>
      <c r="S24" s="80"/>
      <c r="T24" s="80"/>
      <c r="U24" s="80"/>
      <c r="V24" s="80"/>
      <c r="W24" s="80"/>
      <c r="X24" s="80"/>
      <c r="Y24" s="80"/>
      <c r="Z24" s="80"/>
      <c r="AA24" s="80"/>
      <c r="AB24" s="80"/>
      <c r="AC24" s="80"/>
      <c r="AD24" s="60">
        <f t="shared" si="3"/>
        <v>0</v>
      </c>
    </row>
    <row r="25">
      <c r="A25" s="49" t="s">
        <v>137</v>
      </c>
      <c r="B25" s="86">
        <v>827.16</v>
      </c>
      <c r="C25" s="86">
        <v>827.23</v>
      </c>
      <c r="D25" s="86">
        <v>722.22</v>
      </c>
      <c r="E25" s="86">
        <v>1074.4</v>
      </c>
      <c r="F25" s="86">
        <v>1817.91</v>
      </c>
      <c r="G25" s="86">
        <v>1870.35</v>
      </c>
      <c r="H25" s="86">
        <v>760.96</v>
      </c>
      <c r="I25" s="86">
        <v>1322.62</v>
      </c>
      <c r="J25" s="86">
        <v>2252.53</v>
      </c>
      <c r="K25" s="86">
        <v>357.34</v>
      </c>
      <c r="L25" s="86">
        <v>694.58</v>
      </c>
      <c r="M25" s="86">
        <v>680.26</v>
      </c>
      <c r="N25" s="86">
        <v>5562.9</v>
      </c>
      <c r="O25" s="73">
        <v>4655.72</v>
      </c>
      <c r="P25" s="87">
        <v>7333.09</v>
      </c>
      <c r="Q25" s="87">
        <v>3382.19</v>
      </c>
      <c r="R25" s="88">
        <v>2937.43</v>
      </c>
      <c r="S25" s="87">
        <v>2224.75</v>
      </c>
      <c r="T25" s="87">
        <v>2467.69</v>
      </c>
      <c r="U25" s="87">
        <v>1670.2</v>
      </c>
      <c r="V25" s="87">
        <v>2302.53</v>
      </c>
      <c r="W25" s="88">
        <v>2703.59</v>
      </c>
      <c r="X25" s="87">
        <v>5926.46</v>
      </c>
      <c r="Y25" s="87">
        <v>2010.54</v>
      </c>
      <c r="Z25" s="87">
        <v>978.1</v>
      </c>
      <c r="AA25" s="87">
        <v>1559.76</v>
      </c>
      <c r="AB25" s="87">
        <v>1168.28</v>
      </c>
      <c r="AC25" s="87">
        <v>6780.31</v>
      </c>
      <c r="AD25" s="60">
        <f t="shared" si="3"/>
        <v>66871.1</v>
      </c>
    </row>
    <row r="26">
      <c r="A26" s="53" t="s">
        <v>121</v>
      </c>
      <c r="B26" s="92">
        <f t="shared" ref="B26:AC26" si="4">SUM(B17:B25)</f>
        <v>27104.97</v>
      </c>
      <c r="C26" s="92">
        <f t="shared" si="4"/>
        <v>27046.24</v>
      </c>
      <c r="D26" s="92">
        <f t="shared" si="4"/>
        <v>25934.93</v>
      </c>
      <c r="E26" s="92">
        <f t="shared" si="4"/>
        <v>25650.59</v>
      </c>
      <c r="F26" s="92">
        <f t="shared" si="4"/>
        <v>26658.07</v>
      </c>
      <c r="G26" s="92">
        <f t="shared" si="4"/>
        <v>18762.61</v>
      </c>
      <c r="H26" s="92">
        <f t="shared" si="4"/>
        <v>28424.73</v>
      </c>
      <c r="I26" s="92">
        <f t="shared" si="4"/>
        <v>25582.85</v>
      </c>
      <c r="J26" s="92">
        <f t="shared" si="4"/>
        <v>30692</v>
      </c>
      <c r="K26" s="92">
        <f t="shared" si="4"/>
        <v>29917.12</v>
      </c>
      <c r="L26" s="92">
        <f t="shared" si="4"/>
        <v>30464.02</v>
      </c>
      <c r="M26" s="92">
        <f t="shared" si="4"/>
        <v>32112.77</v>
      </c>
      <c r="N26" s="92">
        <f t="shared" si="4"/>
        <v>36856.06</v>
      </c>
      <c r="O26" s="92">
        <f t="shared" si="4"/>
        <v>42627.11</v>
      </c>
      <c r="P26" s="92">
        <f t="shared" si="4"/>
        <v>34082.23</v>
      </c>
      <c r="Q26" s="92">
        <f t="shared" si="4"/>
        <v>30349.06</v>
      </c>
      <c r="R26" s="92">
        <f t="shared" si="4"/>
        <v>34058.54</v>
      </c>
      <c r="S26" s="92">
        <f t="shared" si="4"/>
        <v>33551.35</v>
      </c>
      <c r="T26" s="92">
        <f t="shared" si="4"/>
        <v>38872.8</v>
      </c>
      <c r="U26" s="92">
        <f t="shared" si="4"/>
        <v>36640.94</v>
      </c>
      <c r="V26" s="92">
        <f t="shared" si="4"/>
        <v>26999.26</v>
      </c>
      <c r="W26" s="92">
        <f t="shared" si="4"/>
        <v>28236.05</v>
      </c>
      <c r="X26" s="92">
        <f t="shared" si="4"/>
        <v>30271.73</v>
      </c>
      <c r="Y26" s="92">
        <f t="shared" si="4"/>
        <v>27994.95</v>
      </c>
      <c r="Z26" s="92">
        <f t="shared" si="4"/>
        <v>40118.27</v>
      </c>
      <c r="AA26" s="92">
        <f t="shared" si="4"/>
        <v>28644.57</v>
      </c>
      <c r="AB26" s="92">
        <f t="shared" si="4"/>
        <v>24893.21</v>
      </c>
      <c r="AC26" s="92">
        <f t="shared" si="4"/>
        <v>27887.14</v>
      </c>
      <c r="AD26" s="97">
        <f t="shared" si="3"/>
        <v>850434.17</v>
      </c>
    </row>
    <row r="27">
      <c r="A27" s="27"/>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98"/>
    </row>
    <row r="28">
      <c r="A28" s="99" t="s">
        <v>168</v>
      </c>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98"/>
    </row>
    <row r="29">
      <c r="A29" s="27" t="s">
        <v>170</v>
      </c>
      <c r="B29" s="100">
        <f>Sales!B13</f>
        <v>10047.82</v>
      </c>
      <c r="C29" s="100">
        <f>Sales!C13</f>
        <v>11002.08</v>
      </c>
      <c r="D29" s="100">
        <f>Sales!D13</f>
        <v>11804.85</v>
      </c>
      <c r="E29" s="100">
        <f>Sales!E13</f>
        <v>11510.84</v>
      </c>
      <c r="F29" s="100">
        <f>Sales!F13</f>
        <v>12462.41</v>
      </c>
      <c r="G29" s="100">
        <f>Sales!G13</f>
        <v>11937.87</v>
      </c>
      <c r="H29" s="100">
        <f>Sales!H13</f>
        <v>11244.56</v>
      </c>
      <c r="I29" s="100">
        <f>Sales!I13</f>
        <v>10884.48</v>
      </c>
      <c r="J29" s="100">
        <f>Sales!J13</f>
        <v>10546.13</v>
      </c>
      <c r="K29" s="100">
        <f>Sales!K13</f>
        <v>11980.44</v>
      </c>
      <c r="L29" s="100">
        <f>Sales!L13</f>
        <v>10832.96</v>
      </c>
      <c r="M29" s="100">
        <f>Sales!M13</f>
        <v>11875.38</v>
      </c>
      <c r="N29" s="100">
        <f>Sales!N13</f>
        <v>13940.01</v>
      </c>
      <c r="O29" s="100">
        <f>Sales!O13</f>
        <v>14855.09</v>
      </c>
      <c r="P29" s="100">
        <f>Sales!P13</f>
        <v>13296.67</v>
      </c>
      <c r="Q29" s="100">
        <f>Sales!Q13</f>
        <v>13239.8</v>
      </c>
      <c r="R29" s="100">
        <f>Sales!R13</f>
        <v>11961.47</v>
      </c>
      <c r="S29" s="100">
        <f>Sales!S13</f>
        <v>14730.34</v>
      </c>
      <c r="T29" s="100">
        <f>Sales!T13</f>
        <v>14039.55</v>
      </c>
      <c r="U29" s="100">
        <f>Sales!U13</f>
        <v>13952.57</v>
      </c>
      <c r="V29" s="100">
        <f>Sales!V13</f>
        <v>12496.67</v>
      </c>
      <c r="W29" s="100">
        <f>Sales!W13</f>
        <v>13421.68</v>
      </c>
      <c r="X29" s="100">
        <f>Sales!X13</f>
        <v>12686.03</v>
      </c>
      <c r="Y29" s="100">
        <f>Sales!Y13</f>
        <v>12456.87</v>
      </c>
      <c r="Z29" s="100">
        <f>Sales!Z13</f>
        <v>13257.04</v>
      </c>
      <c r="AA29" s="100">
        <f>Sales!AA13</f>
        <v>13626.11</v>
      </c>
      <c r="AB29" s="100">
        <f>Sales!AB13</f>
        <v>11880.77</v>
      </c>
      <c r="AC29" s="100">
        <f>Sales!AC13</f>
        <v>11715.75</v>
      </c>
      <c r="AD29" s="60">
        <f t="shared" ref="AD29:AD42" si="5">SUM(B29:AC29)</f>
        <v>347686.24</v>
      </c>
    </row>
    <row r="30">
      <c r="A30" s="33" t="s">
        <v>176</v>
      </c>
      <c r="B30" s="100">
        <f>Sales!B14</f>
        <v>1859.2</v>
      </c>
      <c r="C30" s="100">
        <f>Sales!C14</f>
        <v>2317.88</v>
      </c>
      <c r="D30" s="100">
        <f>Sales!D14</f>
        <v>2390</v>
      </c>
      <c r="E30" s="100">
        <f>Sales!E14</f>
        <v>2840</v>
      </c>
      <c r="F30" s="100">
        <f>Sales!F14</f>
        <v>2701.34</v>
      </c>
      <c r="G30" s="100">
        <f>Sales!G14</f>
        <v>2414.2</v>
      </c>
      <c r="H30" s="100">
        <f>Sales!H14</f>
        <v>1834.37</v>
      </c>
      <c r="I30" s="100">
        <f>Sales!I14</f>
        <v>2135.55</v>
      </c>
      <c r="J30" s="100">
        <f>Sales!J14</f>
        <v>2271.77</v>
      </c>
      <c r="K30" s="100">
        <f>Sales!K14</f>
        <v>2230.43</v>
      </c>
      <c r="L30" s="100">
        <f>Sales!L14</f>
        <v>1763.06</v>
      </c>
      <c r="M30" s="100">
        <f>Sales!M14</f>
        <v>1781.33</v>
      </c>
      <c r="N30" s="100">
        <f>Sales!N14</f>
        <v>1579.89</v>
      </c>
      <c r="O30" s="100">
        <f>Sales!O14</f>
        <v>1569.51</v>
      </c>
      <c r="P30" s="100">
        <f>Sales!P14</f>
        <v>1600.87</v>
      </c>
      <c r="Q30" s="100">
        <f>Sales!Q14</f>
        <v>1531.79</v>
      </c>
      <c r="R30" s="100">
        <f>Sales!R14</f>
        <v>1738.45</v>
      </c>
      <c r="S30" s="100">
        <f>Sales!S14</f>
        <v>1929.06</v>
      </c>
      <c r="T30" s="100">
        <f>Sales!T14</f>
        <v>2358.7</v>
      </c>
      <c r="U30" s="100">
        <f>Sales!U14</f>
        <v>2110.92</v>
      </c>
      <c r="V30" s="100">
        <f>Sales!V14</f>
        <v>1636.06</v>
      </c>
      <c r="W30" s="100">
        <f>Sales!W14</f>
        <v>1378.97</v>
      </c>
      <c r="X30" s="100">
        <f>Sales!X14</f>
        <v>1491.31</v>
      </c>
      <c r="Y30" s="100">
        <f>Sales!Y14</f>
        <v>1289.1</v>
      </c>
      <c r="Z30" s="100">
        <f>Sales!Z14</f>
        <v>1644.82</v>
      </c>
      <c r="AA30" s="100">
        <f>Sales!AA14</f>
        <v>1606.44</v>
      </c>
      <c r="AB30" s="100">
        <f>Sales!AB14</f>
        <v>1262.15</v>
      </c>
      <c r="AC30" s="100">
        <f>Sales!AC14</f>
        <v>1222.29</v>
      </c>
      <c r="AD30" s="60">
        <f t="shared" si="5"/>
        <v>52489.46</v>
      </c>
    </row>
    <row r="31">
      <c r="A31" s="27" t="s">
        <v>178</v>
      </c>
      <c r="B31" s="100" t="str">
        <f>Sales!B16</f>
        <v/>
      </c>
      <c r="C31" s="100">
        <f>Sales!C16</f>
        <v>286.63</v>
      </c>
      <c r="D31" s="100">
        <f>Sales!D16</f>
        <v>882.81</v>
      </c>
      <c r="E31" s="100">
        <f>Sales!E16</f>
        <v>889.48</v>
      </c>
      <c r="F31" s="100">
        <f>Sales!F16</f>
        <v>748.46</v>
      </c>
      <c r="G31" s="100">
        <f>Sales!G16</f>
        <v>935.77</v>
      </c>
      <c r="H31" s="100">
        <f>Sales!H16</f>
        <v>1350.45</v>
      </c>
      <c r="I31" s="100">
        <f>Sales!I16</f>
        <v>1050.2</v>
      </c>
      <c r="J31" s="100">
        <f>Sales!J16</f>
        <v>599.42</v>
      </c>
      <c r="K31" s="100">
        <f>Sales!K16</f>
        <v>620.22</v>
      </c>
      <c r="L31" s="100">
        <f>Sales!L16</f>
        <v>248.82</v>
      </c>
      <c r="M31" s="100">
        <f>Sales!M16</f>
        <v>763.8</v>
      </c>
      <c r="N31" s="100">
        <f>Sales!N16</f>
        <v>549.75</v>
      </c>
      <c r="O31" s="100">
        <f>Sales!O16</f>
        <v>299.74</v>
      </c>
      <c r="P31" s="100">
        <f>Sales!P16</f>
        <v>299.65</v>
      </c>
      <c r="Q31" s="100">
        <f>Sales!Q16</f>
        <v>298.87</v>
      </c>
      <c r="R31" s="100">
        <f>Sales!R16</f>
        <v>247.56</v>
      </c>
      <c r="S31" s="100">
        <f>Sales!S16</f>
        <v>159.21</v>
      </c>
      <c r="T31" s="100">
        <f>Sales!T16</f>
        <v>0</v>
      </c>
      <c r="U31" s="100">
        <f>Sales!U16</f>
        <v>0</v>
      </c>
      <c r="V31" s="100">
        <f>Sales!V16</f>
        <v>0</v>
      </c>
      <c r="W31" s="100">
        <f>Sales!W16</f>
        <v>0</v>
      </c>
      <c r="X31" s="100">
        <f>Sales!X16</f>
        <v>0</v>
      </c>
      <c r="Y31" s="100">
        <f>Sales!Y16</f>
        <v>0</v>
      </c>
      <c r="Z31" s="100">
        <f>Sales!Z16</f>
        <v>0</v>
      </c>
      <c r="AA31" s="100">
        <f>Sales!AA16</f>
        <v>0</v>
      </c>
      <c r="AB31" s="100">
        <f>Sales!AB16</f>
        <v>0</v>
      </c>
      <c r="AC31" s="100">
        <f>Sales!AC16</f>
        <v>0</v>
      </c>
      <c r="AD31" s="60">
        <f t="shared" si="5"/>
        <v>10230.84</v>
      </c>
    </row>
    <row r="32">
      <c r="A32" s="33" t="s">
        <v>184</v>
      </c>
      <c r="B32" s="100">
        <f>Sales!B15</f>
        <v>110.91</v>
      </c>
      <c r="C32" s="100">
        <f>Sales!C15</f>
        <v>108.79</v>
      </c>
      <c r="D32" s="100">
        <f>Sales!D15</f>
        <v>97.29</v>
      </c>
      <c r="E32" s="100">
        <f>Sales!E15</f>
        <v>63.08</v>
      </c>
      <c r="F32" s="100">
        <f>Sales!F15</f>
        <v>55.51</v>
      </c>
      <c r="G32" s="100">
        <f>Sales!G15</f>
        <v>65.95</v>
      </c>
      <c r="H32" s="100">
        <f>Sales!H15</f>
        <v>77.18</v>
      </c>
      <c r="I32" s="100">
        <f>Sales!I15</f>
        <v>78.61</v>
      </c>
      <c r="J32" s="100">
        <f>Sales!J15</f>
        <v>98.72</v>
      </c>
      <c r="K32" s="100">
        <f>Sales!K15</f>
        <v>75.96</v>
      </c>
      <c r="L32" s="100">
        <f>Sales!L15</f>
        <v>45.75</v>
      </c>
      <c r="M32" s="100">
        <f>Sales!M15</f>
        <v>72.44</v>
      </c>
      <c r="N32" s="100">
        <f>Sales!N15</f>
        <v>85.22</v>
      </c>
      <c r="O32" s="100">
        <f>Sales!O15</f>
        <v>91.08</v>
      </c>
      <c r="P32" s="100">
        <f>Sales!P15</f>
        <v>80.37</v>
      </c>
      <c r="Q32" s="100">
        <f>Sales!Q15</f>
        <v>73.65</v>
      </c>
      <c r="R32" s="100">
        <f>Sales!R15</f>
        <v>52.53</v>
      </c>
      <c r="S32" s="100">
        <f>Sales!S15</f>
        <v>87.68</v>
      </c>
      <c r="T32" s="100">
        <f>Sales!T15</f>
        <v>88.41</v>
      </c>
      <c r="U32" s="100">
        <f>Sales!U15</f>
        <v>94.7</v>
      </c>
      <c r="V32" s="100">
        <f>Sales!V15</f>
        <v>82.04</v>
      </c>
      <c r="W32" s="100">
        <f>Sales!W15</f>
        <v>88.6</v>
      </c>
      <c r="X32" s="100">
        <f>Sales!X15</f>
        <v>68.51</v>
      </c>
      <c r="Y32" s="100">
        <f>Sales!Y15</f>
        <v>62.17</v>
      </c>
      <c r="Z32" s="100">
        <f>Sales!Z15</f>
        <v>54.71</v>
      </c>
      <c r="AA32" s="100">
        <f>Sales!AA15</f>
        <v>64.87</v>
      </c>
      <c r="AB32" s="100">
        <f>Sales!AB15</f>
        <v>51.63</v>
      </c>
      <c r="AC32" s="100">
        <f>Sales!AC15</f>
        <v>168.94</v>
      </c>
      <c r="AD32" s="60">
        <f t="shared" si="5"/>
        <v>2245.3</v>
      </c>
    </row>
    <row r="33">
      <c r="A33" s="33" t="s">
        <v>115</v>
      </c>
      <c r="B33" s="110" t="str">
        <f>Sales!B17</f>
        <v/>
      </c>
      <c r="C33" s="110" t="str">
        <f>Sales!C17</f>
        <v/>
      </c>
      <c r="D33" s="110" t="str">
        <f>Sales!D17</f>
        <v/>
      </c>
      <c r="E33" s="110" t="str">
        <f>Sales!E17</f>
        <v/>
      </c>
      <c r="F33" s="110" t="str">
        <f>Sales!F17</f>
        <v/>
      </c>
      <c r="G33" s="110" t="str">
        <f>Sales!G17</f>
        <v/>
      </c>
      <c r="H33" s="110" t="str">
        <f>Sales!H17</f>
        <v/>
      </c>
      <c r="I33" s="110" t="str">
        <f>Sales!I17</f>
        <v/>
      </c>
      <c r="J33" s="110" t="str">
        <f>Sales!J17</f>
        <v/>
      </c>
      <c r="K33" s="110" t="str">
        <f>Sales!K17</f>
        <v/>
      </c>
      <c r="L33" s="110" t="str">
        <f>Sales!L17</f>
        <v/>
      </c>
      <c r="M33" s="110" t="str">
        <f>Sales!M17</f>
        <v/>
      </c>
      <c r="N33" s="110" t="str">
        <f>Sales!N17</f>
        <v/>
      </c>
      <c r="O33" s="110" t="str">
        <f>Sales!O17</f>
        <v/>
      </c>
      <c r="P33" s="110" t="str">
        <f>Sales!P17</f>
        <v/>
      </c>
      <c r="Q33" s="110" t="str">
        <f>Sales!Q17</f>
        <v/>
      </c>
      <c r="R33" s="110" t="str">
        <f>Sales!R17</f>
        <v/>
      </c>
      <c r="S33" s="110" t="str">
        <f>Sales!S17</f>
        <v/>
      </c>
      <c r="T33" s="110" t="str">
        <f>Sales!T17</f>
        <v/>
      </c>
      <c r="U33" s="110" t="str">
        <f>Sales!U17</f>
        <v/>
      </c>
      <c r="V33" s="110" t="str">
        <f>Sales!V17</f>
        <v/>
      </c>
      <c r="W33" s="110" t="str">
        <f>Sales!W17</f>
        <v/>
      </c>
      <c r="X33" s="110" t="str">
        <f>Sales!X17</f>
        <v/>
      </c>
      <c r="Y33" s="110" t="str">
        <f>Sales!Y17</f>
        <v/>
      </c>
      <c r="Z33" s="110" t="str">
        <f>Sales!Z17</f>
        <v/>
      </c>
      <c r="AA33" s="110" t="str">
        <f>Sales!AA17</f>
        <v/>
      </c>
      <c r="AB33" s="110" t="str">
        <f>Sales!AB17</f>
        <v/>
      </c>
      <c r="AC33" s="110" t="str">
        <f>Sales!AC17</f>
        <v/>
      </c>
      <c r="AD33" s="60">
        <f t="shared" si="5"/>
        <v>0</v>
      </c>
    </row>
    <row r="34">
      <c r="A34" s="33" t="s">
        <v>198</v>
      </c>
      <c r="B34" s="113">
        <f t="shared" ref="B34:S34" si="6">B21*0.15</f>
        <v>0</v>
      </c>
      <c r="C34" s="113">
        <f t="shared" si="6"/>
        <v>0</v>
      </c>
      <c r="D34" s="113">
        <f t="shared" si="6"/>
        <v>0</v>
      </c>
      <c r="E34" s="113">
        <f t="shared" si="6"/>
        <v>0</v>
      </c>
      <c r="F34" s="113">
        <f t="shared" si="6"/>
        <v>0</v>
      </c>
      <c r="G34" s="113">
        <f t="shared" si="6"/>
        <v>0</v>
      </c>
      <c r="H34" s="113">
        <f t="shared" si="6"/>
        <v>0</v>
      </c>
      <c r="I34" s="113">
        <f t="shared" si="6"/>
        <v>0</v>
      </c>
      <c r="J34" s="113">
        <f t="shared" si="6"/>
        <v>0</v>
      </c>
      <c r="K34" s="113">
        <f t="shared" si="6"/>
        <v>0</v>
      </c>
      <c r="L34" s="113">
        <f t="shared" si="6"/>
        <v>0</v>
      </c>
      <c r="M34" s="113">
        <f t="shared" si="6"/>
        <v>0</v>
      </c>
      <c r="N34" s="113">
        <f t="shared" si="6"/>
        <v>0</v>
      </c>
      <c r="O34" s="113">
        <f t="shared" si="6"/>
        <v>0</v>
      </c>
      <c r="P34" s="113">
        <f t="shared" si="6"/>
        <v>0</v>
      </c>
      <c r="Q34" s="113">
        <f t="shared" si="6"/>
        <v>0</v>
      </c>
      <c r="R34" s="113">
        <f t="shared" si="6"/>
        <v>0</v>
      </c>
      <c r="S34" s="113">
        <f t="shared" si="6"/>
        <v>0</v>
      </c>
      <c r="T34" s="113"/>
      <c r="U34" s="113">
        <f t="shared" ref="U34:AC34" si="7">U21*0.15</f>
        <v>0</v>
      </c>
      <c r="V34" s="113">
        <f t="shared" si="7"/>
        <v>0</v>
      </c>
      <c r="W34" s="113">
        <f t="shared" si="7"/>
        <v>0</v>
      </c>
      <c r="X34" s="113">
        <f t="shared" si="7"/>
        <v>0</v>
      </c>
      <c r="Y34" s="113">
        <f t="shared" si="7"/>
        <v>0</v>
      </c>
      <c r="Z34" s="113">
        <f t="shared" si="7"/>
        <v>0</v>
      </c>
      <c r="AA34" s="113">
        <f t="shared" si="7"/>
        <v>0</v>
      </c>
      <c r="AB34" s="113">
        <f t="shared" si="7"/>
        <v>0</v>
      </c>
      <c r="AC34" s="113">
        <f t="shared" si="7"/>
        <v>0</v>
      </c>
      <c r="AD34" s="60">
        <f t="shared" si="5"/>
        <v>0</v>
      </c>
    </row>
    <row r="35">
      <c r="A35" s="33" t="s">
        <v>199</v>
      </c>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c r="AA35" s="114"/>
      <c r="AB35" s="114"/>
      <c r="AC35" s="114"/>
      <c r="AD35" s="60">
        <f t="shared" si="5"/>
        <v>0</v>
      </c>
    </row>
    <row r="36">
      <c r="A36" s="115" t="s">
        <v>200</v>
      </c>
      <c r="B36" s="116"/>
      <c r="C36" s="114"/>
      <c r="D36" s="114"/>
      <c r="E36" s="114"/>
      <c r="F36" s="114"/>
      <c r="G36" s="114"/>
      <c r="H36" s="114"/>
      <c r="I36" s="114"/>
      <c r="J36" s="114"/>
      <c r="K36" s="114"/>
      <c r="L36" s="114"/>
      <c r="M36" s="114"/>
      <c r="N36" s="114"/>
      <c r="O36" s="114"/>
      <c r="P36" s="114"/>
      <c r="Q36" s="114"/>
      <c r="R36" s="114"/>
      <c r="S36" s="114"/>
      <c r="T36" s="114"/>
      <c r="U36" s="114"/>
      <c r="V36" s="114"/>
      <c r="W36" s="114"/>
      <c r="X36" s="114"/>
      <c r="Y36" s="114"/>
      <c r="Z36" s="114"/>
      <c r="AA36" s="114"/>
      <c r="AB36" s="114"/>
      <c r="AC36" s="114"/>
      <c r="AD36" s="60">
        <f t="shared" si="5"/>
        <v>0</v>
      </c>
    </row>
    <row r="37">
      <c r="A37" s="115" t="s">
        <v>201</v>
      </c>
      <c r="B37" s="117">
        <f>Sales!B18</f>
        <v>0</v>
      </c>
      <c r="C37" s="118">
        <f>Sales!C18</f>
        <v>0</v>
      </c>
      <c r="D37" s="118">
        <f>Sales!D18</f>
        <v>0</v>
      </c>
      <c r="E37" s="118">
        <f>Sales!E18</f>
        <v>65.63</v>
      </c>
      <c r="F37" s="118">
        <f>Sales!F18</f>
        <v>0</v>
      </c>
      <c r="G37" s="118">
        <f>Sales!G18</f>
        <v>63.7</v>
      </c>
      <c r="H37" s="118">
        <f>Sales!H18</f>
        <v>0</v>
      </c>
      <c r="I37" s="118">
        <f>Sales!I18</f>
        <v>76.5</v>
      </c>
      <c r="J37" s="118">
        <f>Sales!J18</f>
        <v>0</v>
      </c>
      <c r="K37" s="118">
        <f>Sales!K18</f>
        <v>60.61</v>
      </c>
      <c r="L37" s="118">
        <f>Sales!L18</f>
        <v>0</v>
      </c>
      <c r="M37" s="118">
        <f>Sales!M18</f>
        <v>0</v>
      </c>
      <c r="N37" s="118">
        <f>Sales!N18</f>
        <v>0</v>
      </c>
      <c r="O37" s="118">
        <f>Sales!O18</f>
        <v>0</v>
      </c>
      <c r="P37" s="118">
        <f>Sales!P18</f>
        <v>0</v>
      </c>
      <c r="Q37" s="118">
        <f>Sales!Q18</f>
        <v>0</v>
      </c>
      <c r="R37" s="118">
        <f>Sales!R18</f>
        <v>0</v>
      </c>
      <c r="S37" s="118">
        <f>Sales!S18</f>
        <v>0</v>
      </c>
      <c r="T37" s="118">
        <f>Sales!T18</f>
        <v>0</v>
      </c>
      <c r="U37" s="118">
        <f>Sales!U18</f>
        <v>70.35</v>
      </c>
      <c r="V37" s="118">
        <f>Sales!V18</f>
        <v>59.8</v>
      </c>
      <c r="W37" s="118">
        <f>Sales!W18</f>
        <v>0</v>
      </c>
      <c r="X37" s="118">
        <f>Sales!X18</f>
        <v>0</v>
      </c>
      <c r="Y37" s="118">
        <f>Sales!Y18</f>
        <v>0</v>
      </c>
      <c r="Z37" s="118">
        <f>Sales!Z18</f>
        <v>0</v>
      </c>
      <c r="AA37" s="118">
        <f>Sales!AA18</f>
        <v>72.53</v>
      </c>
      <c r="AB37" s="118">
        <f>Sales!AB18</f>
        <v>0</v>
      </c>
      <c r="AC37" s="118">
        <f>Sales!AC18</f>
        <v>0</v>
      </c>
      <c r="AD37" s="78">
        <f t="shared" si="5"/>
        <v>469.12</v>
      </c>
    </row>
    <row r="38">
      <c r="A38" s="27" t="s">
        <v>202</v>
      </c>
      <c r="B38" s="114"/>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c r="AD38" s="60">
        <f t="shared" si="5"/>
        <v>0</v>
      </c>
    </row>
    <row r="39">
      <c r="A39" s="27" t="s">
        <v>203</v>
      </c>
      <c r="B39" s="114"/>
      <c r="C39" s="114"/>
      <c r="D39" s="114"/>
      <c r="E39" s="114"/>
      <c r="F39" s="114"/>
      <c r="G39" s="114"/>
      <c r="H39" s="114"/>
      <c r="I39" s="114"/>
      <c r="J39" s="114"/>
      <c r="K39" s="114"/>
      <c r="L39" s="114"/>
      <c r="M39" s="114"/>
      <c r="N39" s="114"/>
      <c r="O39" s="114"/>
      <c r="P39" s="114"/>
      <c r="Q39" s="114"/>
      <c r="R39" s="114"/>
      <c r="S39" s="114"/>
      <c r="T39" s="114"/>
      <c r="U39" s="114"/>
      <c r="V39" s="114"/>
      <c r="W39" s="114"/>
      <c r="X39" s="114"/>
      <c r="Y39" s="114"/>
      <c r="Z39" s="114"/>
      <c r="AA39" s="114"/>
      <c r="AB39" s="114"/>
      <c r="AC39" s="114"/>
      <c r="AD39" s="60">
        <f t="shared" si="5"/>
        <v>0</v>
      </c>
    </row>
    <row r="40">
      <c r="A40" s="27" t="s">
        <v>204</v>
      </c>
      <c r="B40" s="114"/>
      <c r="C40" s="114"/>
      <c r="D40" s="114"/>
      <c r="E40" s="114"/>
      <c r="F40" s="114"/>
      <c r="G40" s="114"/>
      <c r="H40" s="114"/>
      <c r="I40" s="114"/>
      <c r="J40" s="114"/>
      <c r="K40" s="114"/>
      <c r="L40" s="114"/>
      <c r="M40" s="114"/>
      <c r="N40" s="114"/>
      <c r="O40" s="114"/>
      <c r="P40" s="114"/>
      <c r="Q40" s="114"/>
      <c r="R40" s="114"/>
      <c r="S40" s="114"/>
      <c r="T40" s="114"/>
      <c r="U40" s="114"/>
      <c r="V40" s="114"/>
      <c r="W40" s="114"/>
      <c r="X40" s="114"/>
      <c r="Y40" s="114"/>
      <c r="Z40" s="114"/>
      <c r="AA40" s="114"/>
      <c r="AB40" s="114"/>
      <c r="AC40" s="114"/>
      <c r="AD40" s="60">
        <f t="shared" si="5"/>
        <v>0</v>
      </c>
    </row>
    <row r="41">
      <c r="A41" s="119" t="s">
        <v>205</v>
      </c>
      <c r="B41" s="120"/>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c r="AA41" s="120"/>
      <c r="AB41" s="120"/>
      <c r="AC41" s="120"/>
      <c r="AD41" s="60">
        <f t="shared" si="5"/>
        <v>0</v>
      </c>
    </row>
    <row r="42">
      <c r="A42" s="53" t="s">
        <v>121</v>
      </c>
      <c r="B42" s="92">
        <f t="shared" ref="B42:AC42" si="8">SUM(B29:B41)</f>
        <v>12017.93</v>
      </c>
      <c r="C42" s="92">
        <f t="shared" si="8"/>
        <v>13715.38</v>
      </c>
      <c r="D42" s="92">
        <f t="shared" si="8"/>
        <v>15174.95</v>
      </c>
      <c r="E42" s="92">
        <f t="shared" si="8"/>
        <v>15369.03</v>
      </c>
      <c r="F42" s="92">
        <f t="shared" si="8"/>
        <v>15967.72</v>
      </c>
      <c r="G42" s="92">
        <f t="shared" si="8"/>
        <v>15417.49</v>
      </c>
      <c r="H42" s="92">
        <f t="shared" si="8"/>
        <v>14506.56</v>
      </c>
      <c r="I42" s="92">
        <f t="shared" si="8"/>
        <v>14225.34</v>
      </c>
      <c r="J42" s="92">
        <f t="shared" si="8"/>
        <v>13516.04</v>
      </c>
      <c r="K42" s="92">
        <f t="shared" si="8"/>
        <v>14967.66</v>
      </c>
      <c r="L42" s="92">
        <f t="shared" si="8"/>
        <v>12890.59</v>
      </c>
      <c r="M42" s="92">
        <f t="shared" si="8"/>
        <v>14492.95</v>
      </c>
      <c r="N42" s="92">
        <f t="shared" si="8"/>
        <v>16154.87</v>
      </c>
      <c r="O42" s="92">
        <f t="shared" si="8"/>
        <v>16815.42</v>
      </c>
      <c r="P42" s="92">
        <f t="shared" si="8"/>
        <v>15277.56</v>
      </c>
      <c r="Q42" s="92">
        <f t="shared" si="8"/>
        <v>15144.11</v>
      </c>
      <c r="R42" s="92">
        <f t="shared" si="8"/>
        <v>14000.01</v>
      </c>
      <c r="S42" s="92">
        <f t="shared" si="8"/>
        <v>16906.29</v>
      </c>
      <c r="T42" s="92">
        <f t="shared" si="8"/>
        <v>16486.66</v>
      </c>
      <c r="U42" s="92">
        <f t="shared" si="8"/>
        <v>16228.54</v>
      </c>
      <c r="V42" s="92">
        <f t="shared" si="8"/>
        <v>14274.57</v>
      </c>
      <c r="W42" s="92">
        <f t="shared" si="8"/>
        <v>14889.25</v>
      </c>
      <c r="X42" s="92">
        <f t="shared" si="8"/>
        <v>14245.85</v>
      </c>
      <c r="Y42" s="92">
        <f t="shared" si="8"/>
        <v>13808.14</v>
      </c>
      <c r="Z42" s="92">
        <f t="shared" si="8"/>
        <v>14956.57</v>
      </c>
      <c r="AA42" s="92">
        <f t="shared" si="8"/>
        <v>15369.95</v>
      </c>
      <c r="AB42" s="92">
        <f t="shared" si="8"/>
        <v>13194.55</v>
      </c>
      <c r="AC42" s="92">
        <f t="shared" si="8"/>
        <v>13106.98</v>
      </c>
      <c r="AD42" s="97">
        <f t="shared" si="5"/>
        <v>413120.96</v>
      </c>
    </row>
    <row r="43">
      <c r="A43" s="27"/>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98"/>
    </row>
    <row r="44">
      <c r="A44" s="99" t="s">
        <v>206</v>
      </c>
      <c r="B44" s="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98"/>
    </row>
    <row r="45">
      <c r="A45" s="33" t="s">
        <v>207</v>
      </c>
      <c r="B45" s="121">
        <f>B14*Formulas!$C21</f>
        <v>7397.538384</v>
      </c>
      <c r="C45" s="121">
        <f>C14*Formulas!$C21</f>
        <v>7168.748537</v>
      </c>
      <c r="D45" s="121">
        <f>D14*Formulas!$C21</f>
        <v>6634.905561</v>
      </c>
      <c r="E45" s="121">
        <f>E14*Formulas!$C21</f>
        <v>8465.224337</v>
      </c>
      <c r="F45" s="121">
        <f>F14*Formulas!$C21</f>
        <v>7626.328231</v>
      </c>
      <c r="G45" s="121">
        <f>G14*Formulas!$C21</f>
        <v>5643.482891</v>
      </c>
      <c r="H45" s="121">
        <f>H14*Formulas!$C21</f>
        <v>7397.538384</v>
      </c>
      <c r="I45" s="121">
        <f>I14*Formulas!$C21</f>
        <v>6634.905561</v>
      </c>
      <c r="J45" s="121">
        <f>J14*Formulas!$C21</f>
        <v>7550.064949</v>
      </c>
      <c r="K45" s="121">
        <f>K14*Formulas!$C21</f>
        <v>7855.118078</v>
      </c>
      <c r="L45" s="121">
        <f>L14*Formulas!$C21</f>
        <v>7855.118078</v>
      </c>
      <c r="M45" s="121">
        <f>M14*Formulas!$C21</f>
        <v>8083.907925</v>
      </c>
      <c r="N45" s="121">
        <f>N14*Formulas!$C21</f>
        <v>9227.85716</v>
      </c>
      <c r="O45" s="121">
        <f>O14*Formulas!$C21</f>
        <v>10219.27983</v>
      </c>
      <c r="P45" s="121">
        <f>P14*Formulas!$C21</f>
        <v>8922.804031</v>
      </c>
      <c r="Q45" s="121">
        <f>Q14*Formulas!$C21</f>
        <v>8312.697772</v>
      </c>
      <c r="R45" s="121">
        <f>R14*Formulas!$C21</f>
        <v>8160.171207</v>
      </c>
      <c r="S45" s="121">
        <f>S14*Formulas!$C21</f>
        <v>8694.014184</v>
      </c>
      <c r="T45" s="121">
        <f>T14*Formulas!$C21</f>
        <v>10676.85952</v>
      </c>
      <c r="U45" s="121">
        <f>U14*Formulas!$C21</f>
        <v>8846.540748</v>
      </c>
      <c r="V45" s="121">
        <f>V14*Formulas!$C21</f>
        <v>7245.01182</v>
      </c>
      <c r="W45" s="121">
        <f>W14*Formulas!$C21</f>
        <v>7168.748537</v>
      </c>
      <c r="X45" s="121">
        <f>X14*Formulas!$C21</f>
        <v>13193.54784</v>
      </c>
      <c r="Y45" s="121">
        <f>Y14*Formulas!$C21</f>
        <v>8312.697772</v>
      </c>
      <c r="Z45" s="121">
        <f>Z14*Formulas!$C21</f>
        <v>10905.64937</v>
      </c>
      <c r="AA45" s="121">
        <f>AA14*Formulas!$C21</f>
        <v>8007.644643</v>
      </c>
      <c r="AB45" s="121">
        <f>AB14*Formulas!$C21</f>
        <v>6863.695408</v>
      </c>
      <c r="AC45" s="121">
        <f>AC14*Formulas!$C21</f>
        <v>14718.81349</v>
      </c>
      <c r="AD45" s="60">
        <f t="shared" ref="AD45:AD55" si="9">SUM(B45:AC45)</f>
        <v>237788.9143</v>
      </c>
    </row>
    <row r="46">
      <c r="A46" s="25" t="s">
        <v>208</v>
      </c>
      <c r="B46" s="122">
        <f>B14*Formulas!$C22</f>
        <v>1787.71</v>
      </c>
      <c r="C46" s="121">
        <f>C14*Formulas!$C22</f>
        <v>1732.42</v>
      </c>
      <c r="D46" s="121">
        <f>D14*Formulas!$C22</f>
        <v>1603.41</v>
      </c>
      <c r="E46" s="121">
        <f>E14*Formulas!$C22</f>
        <v>2045.73</v>
      </c>
      <c r="F46" s="121">
        <f>F14*Formulas!$C22</f>
        <v>1843</v>
      </c>
      <c r="G46" s="121">
        <f>G14*Formulas!$C22</f>
        <v>1363.82</v>
      </c>
      <c r="H46" s="121">
        <f>H14*Formulas!$C22</f>
        <v>1787.71</v>
      </c>
      <c r="I46" s="121">
        <f>I14*Formulas!$C22</f>
        <v>1603.41</v>
      </c>
      <c r="J46" s="121">
        <f>J14*Formulas!$C22</f>
        <v>1824.57</v>
      </c>
      <c r="K46" s="121">
        <f>K14*Formulas!$C22</f>
        <v>1898.29</v>
      </c>
      <c r="L46" s="121">
        <f>L14*Formulas!$C22</f>
        <v>1898.29</v>
      </c>
      <c r="M46" s="121">
        <f>M14*Formulas!$C22</f>
        <v>1953.58</v>
      </c>
      <c r="N46" s="121">
        <f>N14*Formulas!$C22</f>
        <v>2230.03</v>
      </c>
      <c r="O46" s="121">
        <f>O14*Formulas!$C22</f>
        <v>2469.62</v>
      </c>
      <c r="P46" s="121">
        <f>P14*Formulas!$C22</f>
        <v>2156.31</v>
      </c>
      <c r="Q46" s="121">
        <f>Q14*Formulas!$C22</f>
        <v>2008.87</v>
      </c>
      <c r="R46" s="121">
        <f>R14*Formulas!$C22</f>
        <v>1972.01</v>
      </c>
      <c r="S46" s="121">
        <f>S14*Formulas!$C22</f>
        <v>2101.02</v>
      </c>
      <c r="T46" s="121">
        <f>T14*Formulas!$C22</f>
        <v>2580.2</v>
      </c>
      <c r="U46" s="121">
        <f>U14*Formulas!$C22</f>
        <v>2137.88</v>
      </c>
      <c r="V46" s="121">
        <f>V14*Formulas!$C22</f>
        <v>1750.85</v>
      </c>
      <c r="W46" s="121">
        <f>W14*Formulas!$C22</f>
        <v>1732.42</v>
      </c>
      <c r="X46" s="121">
        <f>X14*Formulas!$C22</f>
        <v>3188.39</v>
      </c>
      <c r="Y46" s="121">
        <f>Y14*Formulas!$C22</f>
        <v>2008.87</v>
      </c>
      <c r="Z46" s="121">
        <f>Z14*Formulas!$C22</f>
        <v>2635.49</v>
      </c>
      <c r="AA46" s="121">
        <f>AA14*Formulas!$C22</f>
        <v>1935.15</v>
      </c>
      <c r="AB46" s="121">
        <f>AB14*Formulas!$C22</f>
        <v>1658.7</v>
      </c>
      <c r="AC46" s="121">
        <f>AC14*Formulas!$C22</f>
        <v>3556.99</v>
      </c>
      <c r="AD46" s="60">
        <f t="shared" si="9"/>
        <v>57464.74</v>
      </c>
    </row>
    <row r="47">
      <c r="A47" s="25" t="s">
        <v>209</v>
      </c>
      <c r="B47" s="122">
        <f>B14*Formulas!$C23</f>
        <v>1124.23</v>
      </c>
      <c r="C47" s="121">
        <f>C14*Formulas!$C23</f>
        <v>1089.46</v>
      </c>
      <c r="D47" s="121">
        <f>D14*Formulas!$C23</f>
        <v>1008.33</v>
      </c>
      <c r="E47" s="121">
        <f>E14*Formulas!$C23</f>
        <v>1286.49</v>
      </c>
      <c r="F47" s="121">
        <f>F14*Formulas!$C23</f>
        <v>1159</v>
      </c>
      <c r="G47" s="121">
        <f>G14*Formulas!$C23</f>
        <v>857.66</v>
      </c>
      <c r="H47" s="121">
        <f>H14*Formulas!$C23</f>
        <v>1124.23</v>
      </c>
      <c r="I47" s="121">
        <f>I14*Formulas!$C23</f>
        <v>1008.33</v>
      </c>
      <c r="J47" s="121">
        <f>J14*Formulas!$C23</f>
        <v>1147.41</v>
      </c>
      <c r="K47" s="121">
        <f>K14*Formulas!$C23</f>
        <v>1193.77</v>
      </c>
      <c r="L47" s="121">
        <f>L14*Formulas!$C23</f>
        <v>1193.77</v>
      </c>
      <c r="M47" s="121">
        <f>M14*Formulas!$C23</f>
        <v>1228.54</v>
      </c>
      <c r="N47" s="121">
        <f>N14*Formulas!$C23</f>
        <v>1402.39</v>
      </c>
      <c r="O47" s="121">
        <f>O14*Formulas!$C23</f>
        <v>1553.06</v>
      </c>
      <c r="P47" s="121">
        <f>P14*Formulas!$C23</f>
        <v>1356.03</v>
      </c>
      <c r="Q47" s="121">
        <f>Q14*Formulas!$C23</f>
        <v>1263.31</v>
      </c>
      <c r="R47" s="121">
        <f>R14*Formulas!$C23</f>
        <v>1240.13</v>
      </c>
      <c r="S47" s="121">
        <f>S14*Formulas!$C23</f>
        <v>1321.26</v>
      </c>
      <c r="T47" s="121">
        <f>T14*Formulas!$C23</f>
        <v>1622.6</v>
      </c>
      <c r="U47" s="121">
        <f>U14*Formulas!$C23</f>
        <v>1344.44</v>
      </c>
      <c r="V47" s="121">
        <f>V14*Formulas!$C23</f>
        <v>1101.05</v>
      </c>
      <c r="W47" s="121">
        <f>W14*Formulas!$C23</f>
        <v>1089.46</v>
      </c>
      <c r="X47" s="121">
        <f>X14*Formulas!$C23</f>
        <v>2005.07</v>
      </c>
      <c r="Y47" s="121">
        <f>Y14*Formulas!$C23</f>
        <v>1263.31</v>
      </c>
      <c r="Z47" s="121">
        <f>Z14*Formulas!$C23</f>
        <v>1657.37</v>
      </c>
      <c r="AA47" s="121">
        <f>AA14*Formulas!$C23</f>
        <v>1216.95</v>
      </c>
      <c r="AB47" s="121">
        <f>AB14*Formulas!$C23</f>
        <v>1043.1</v>
      </c>
      <c r="AC47" s="121">
        <f>AC14*Formulas!$C23</f>
        <v>2236.87</v>
      </c>
      <c r="AD47" s="60">
        <f t="shared" si="9"/>
        <v>36137.62</v>
      </c>
    </row>
    <row r="48">
      <c r="A48" s="25" t="s">
        <v>210</v>
      </c>
      <c r="B48" s="122">
        <f>B14*Formulas!$C24</f>
        <v>1056.33</v>
      </c>
      <c r="C48" s="121">
        <f>C14*Formulas!$C24</f>
        <v>1023.66</v>
      </c>
      <c r="D48" s="121">
        <f>D14*Formulas!$C24</f>
        <v>947.43</v>
      </c>
      <c r="E48" s="121">
        <f>E14*Formulas!$C24</f>
        <v>1208.79</v>
      </c>
      <c r="F48" s="121">
        <f>F14*Formulas!$C24</f>
        <v>1089</v>
      </c>
      <c r="G48" s="121">
        <f>G14*Formulas!$C24</f>
        <v>805.86</v>
      </c>
      <c r="H48" s="121">
        <f>H14*Formulas!$C24</f>
        <v>1056.33</v>
      </c>
      <c r="I48" s="121">
        <f>I14*Formulas!$C24</f>
        <v>947.43</v>
      </c>
      <c r="J48" s="121">
        <f>J14*Formulas!$C24</f>
        <v>1078.11</v>
      </c>
      <c r="K48" s="121">
        <f>K14*Formulas!$C24</f>
        <v>1121.67</v>
      </c>
      <c r="L48" s="121">
        <f>L14*Formulas!$C24</f>
        <v>1121.67</v>
      </c>
      <c r="M48" s="121">
        <f>M14*Formulas!$C24</f>
        <v>1154.34</v>
      </c>
      <c r="N48" s="121">
        <f>N14*Formulas!$C24</f>
        <v>1317.69</v>
      </c>
      <c r="O48" s="121">
        <f>O14*Formulas!$C24</f>
        <v>1459.26</v>
      </c>
      <c r="P48" s="121">
        <f>P14*Formulas!$C24</f>
        <v>1274.13</v>
      </c>
      <c r="Q48" s="121">
        <f>Q14*Formulas!$C24</f>
        <v>1187.01</v>
      </c>
      <c r="R48" s="121">
        <f>R14*Formulas!$C24</f>
        <v>1165.23</v>
      </c>
      <c r="S48" s="121">
        <f>S14*Formulas!$C24</f>
        <v>1241.46</v>
      </c>
      <c r="T48" s="121">
        <f>T14*Formulas!$C24</f>
        <v>1524.6</v>
      </c>
      <c r="U48" s="121">
        <f>U14*Formulas!$C24</f>
        <v>1263.24</v>
      </c>
      <c r="V48" s="121">
        <f>V14*Formulas!$C24</f>
        <v>1034.55</v>
      </c>
      <c r="W48" s="121">
        <f>W14*Formulas!$C24</f>
        <v>1023.66</v>
      </c>
      <c r="X48" s="121">
        <f>X14*Formulas!$C24</f>
        <v>1883.97</v>
      </c>
      <c r="Y48" s="121">
        <f>Y14*Formulas!$C24</f>
        <v>1187.01</v>
      </c>
      <c r="Z48" s="121">
        <f>Z14*Formulas!$C24</f>
        <v>1557.27</v>
      </c>
      <c r="AA48" s="121">
        <f>AA14*Formulas!$C24</f>
        <v>1143.45</v>
      </c>
      <c r="AB48" s="121">
        <f>AB14*Formulas!$C24</f>
        <v>980.1</v>
      </c>
      <c r="AC48" s="121">
        <f>AC14*Formulas!$C24</f>
        <v>2101.77</v>
      </c>
      <c r="AD48" s="60">
        <f t="shared" si="9"/>
        <v>33955.02</v>
      </c>
    </row>
    <row r="49">
      <c r="A49" s="25" t="s">
        <v>107</v>
      </c>
      <c r="B49" s="122">
        <f>B14*Formulas!$C25</f>
        <v>554.8153788</v>
      </c>
      <c r="C49" s="121">
        <f>C14*Formulas!$C25</f>
        <v>537.6561403</v>
      </c>
      <c r="D49" s="121">
        <f>D14*Formulas!$C25</f>
        <v>497.6179171</v>
      </c>
      <c r="E49" s="121">
        <f>E14*Formulas!$C25</f>
        <v>634.8918253</v>
      </c>
      <c r="F49" s="121">
        <f>F14*Formulas!$C25</f>
        <v>571.9746173</v>
      </c>
      <c r="G49" s="121">
        <f>G14*Formulas!$C25</f>
        <v>423.2612168</v>
      </c>
      <c r="H49" s="121">
        <f>H14*Formulas!$C25</f>
        <v>554.8153788</v>
      </c>
      <c r="I49" s="121">
        <f>I14*Formulas!$C25</f>
        <v>497.6179171</v>
      </c>
      <c r="J49" s="121">
        <f>J14*Formulas!$C25</f>
        <v>566.2548712</v>
      </c>
      <c r="K49" s="121">
        <f>K14*Formulas!$C25</f>
        <v>589.1338559</v>
      </c>
      <c r="L49" s="121">
        <f>L14*Formulas!$C25</f>
        <v>589.1338559</v>
      </c>
      <c r="M49" s="121">
        <f>M14*Formulas!$C25</f>
        <v>606.2930944</v>
      </c>
      <c r="N49" s="121">
        <f>N14*Formulas!$C25</f>
        <v>692.089287</v>
      </c>
      <c r="O49" s="121">
        <f>O14*Formulas!$C25</f>
        <v>766.4459872</v>
      </c>
      <c r="P49" s="121">
        <f>P14*Formulas!$C25</f>
        <v>669.2103023</v>
      </c>
      <c r="Q49" s="121">
        <f>Q14*Formulas!$C25</f>
        <v>623.4523329</v>
      </c>
      <c r="R49" s="121">
        <f>R14*Formulas!$C25</f>
        <v>612.0128406</v>
      </c>
      <c r="S49" s="121">
        <f>S14*Formulas!$C25</f>
        <v>652.0510638</v>
      </c>
      <c r="T49" s="121">
        <f>T14*Formulas!$C25</f>
        <v>800.7644643</v>
      </c>
      <c r="U49" s="121">
        <f>U14*Formulas!$C25</f>
        <v>663.4905561</v>
      </c>
      <c r="V49" s="121">
        <f>V14*Formulas!$C25</f>
        <v>543.3758865</v>
      </c>
      <c r="W49" s="121">
        <f>W14*Formulas!$C25</f>
        <v>537.6561403</v>
      </c>
      <c r="X49" s="121">
        <f>X14*Formulas!$C25</f>
        <v>989.516088</v>
      </c>
      <c r="Y49" s="121">
        <f>Y14*Formulas!$C25</f>
        <v>623.4523329</v>
      </c>
      <c r="Z49" s="121">
        <f>Z14*Formulas!$C25</f>
        <v>817.9237028</v>
      </c>
      <c r="AA49" s="121">
        <f>AA14*Formulas!$C25</f>
        <v>600.5733482</v>
      </c>
      <c r="AB49" s="121">
        <f>AB14*Formulas!$C25</f>
        <v>514.7771556</v>
      </c>
      <c r="AC49" s="121">
        <f>AC14*Formulas!$C25</f>
        <v>1103.911011</v>
      </c>
      <c r="AD49" s="60">
        <f t="shared" si="9"/>
        <v>17834.16857</v>
      </c>
    </row>
    <row r="50">
      <c r="A50" s="25" t="s">
        <v>109</v>
      </c>
      <c r="B50" s="122">
        <f>B14*Formulas!$C26</f>
        <v>251.5163051</v>
      </c>
      <c r="C50" s="121">
        <f>C14*Formulas!$C26</f>
        <v>243.7374503</v>
      </c>
      <c r="D50" s="121">
        <f>D14*Formulas!$C26</f>
        <v>225.5867891</v>
      </c>
      <c r="E50" s="121">
        <f>E14*Formulas!$C26</f>
        <v>287.8176274</v>
      </c>
      <c r="F50" s="121">
        <f>F14*Formulas!$C26</f>
        <v>259.2951599</v>
      </c>
      <c r="G50" s="121">
        <f>G14*Formulas!$C26</f>
        <v>191.8784183</v>
      </c>
      <c r="H50" s="121">
        <f>H14*Formulas!$C26</f>
        <v>251.5163051</v>
      </c>
      <c r="I50" s="121">
        <f>I14*Formulas!$C26</f>
        <v>225.5867891</v>
      </c>
      <c r="J50" s="121">
        <f>J14*Formulas!$C26</f>
        <v>256.7022083</v>
      </c>
      <c r="K50" s="121">
        <f>K14*Formulas!$C26</f>
        <v>267.0740147</v>
      </c>
      <c r="L50" s="121">
        <f>L14*Formulas!$C26</f>
        <v>267.0740147</v>
      </c>
      <c r="M50" s="121">
        <f>M14*Formulas!$C26</f>
        <v>274.8528695</v>
      </c>
      <c r="N50" s="121">
        <f>N14*Formulas!$C26</f>
        <v>313.7471434</v>
      </c>
      <c r="O50" s="121">
        <f>O14*Formulas!$C26</f>
        <v>347.4555142</v>
      </c>
      <c r="P50" s="121">
        <f>P14*Formulas!$C26</f>
        <v>303.375337</v>
      </c>
      <c r="Q50" s="121">
        <f>Q14*Formulas!$C26</f>
        <v>282.6317243</v>
      </c>
      <c r="R50" s="121">
        <f>R14*Formulas!$C26</f>
        <v>277.4458211</v>
      </c>
      <c r="S50" s="121">
        <f>S14*Formulas!$C26</f>
        <v>295.5964822</v>
      </c>
      <c r="T50" s="121">
        <f>T14*Formulas!$C26</f>
        <v>363.0132238</v>
      </c>
      <c r="U50" s="121">
        <f>U14*Formulas!$C26</f>
        <v>300.7823854</v>
      </c>
      <c r="V50" s="121">
        <f>V14*Formulas!$C26</f>
        <v>246.3304019</v>
      </c>
      <c r="W50" s="121">
        <f>W14*Formulas!$C26</f>
        <v>243.7374503</v>
      </c>
      <c r="X50" s="121">
        <f>X14*Formulas!$C26</f>
        <v>448.5806266</v>
      </c>
      <c r="Y50" s="121">
        <f>Y14*Formulas!$C26</f>
        <v>282.6317243</v>
      </c>
      <c r="Z50" s="121">
        <f>Z14*Formulas!$C26</f>
        <v>370.7920786</v>
      </c>
      <c r="AA50" s="121">
        <f>AA14*Formulas!$C26</f>
        <v>272.2599179</v>
      </c>
      <c r="AB50" s="121">
        <f>AB14*Formulas!$C26</f>
        <v>233.3656439</v>
      </c>
      <c r="AC50" s="121">
        <f>AC14*Formulas!$C26</f>
        <v>500.4396585</v>
      </c>
      <c r="AD50" s="60">
        <f t="shared" si="9"/>
        <v>8084.823085</v>
      </c>
    </row>
    <row r="51">
      <c r="A51" s="25" t="s">
        <v>221</v>
      </c>
      <c r="B51" s="122">
        <f>B14*Formulas!$C29</f>
        <v>145.5</v>
      </c>
      <c r="C51" s="121">
        <f>C14*Formulas!$C29</f>
        <v>141</v>
      </c>
      <c r="D51" s="121">
        <f>D14*Formulas!$C29</f>
        <v>130.5</v>
      </c>
      <c r="E51" s="121">
        <f>E14*Formulas!$C29</f>
        <v>166.5</v>
      </c>
      <c r="F51" s="121">
        <f>F14*Formulas!$C29</f>
        <v>150</v>
      </c>
      <c r="G51" s="121">
        <f>G14*Formulas!$C29</f>
        <v>111</v>
      </c>
      <c r="H51" s="121">
        <f>H14*Formulas!$C29</f>
        <v>145.5</v>
      </c>
      <c r="I51" s="121">
        <f>I14*Formulas!$C29</f>
        <v>130.5</v>
      </c>
      <c r="J51" s="121">
        <f>J14*Formulas!$C29</f>
        <v>148.5</v>
      </c>
      <c r="K51" s="121">
        <f>K14*Formulas!$C29</f>
        <v>154.5</v>
      </c>
      <c r="L51" s="121">
        <f>L14*Formulas!$C29</f>
        <v>154.5</v>
      </c>
      <c r="M51" s="121">
        <f>M14*Formulas!$C29</f>
        <v>159</v>
      </c>
      <c r="N51" s="121">
        <f>N14*Formulas!$C29</f>
        <v>181.5</v>
      </c>
      <c r="O51" s="121">
        <f>O14*Formulas!$C29</f>
        <v>201</v>
      </c>
      <c r="P51" s="121">
        <f>P14*Formulas!$C29</f>
        <v>175.5</v>
      </c>
      <c r="Q51" s="121">
        <f>Q14*Formulas!$C29</f>
        <v>163.5</v>
      </c>
      <c r="R51" s="121">
        <f>R14*Formulas!$C29</f>
        <v>160.5</v>
      </c>
      <c r="S51" s="121">
        <f>S14*Formulas!$C29</f>
        <v>171</v>
      </c>
      <c r="T51" s="121">
        <f>T14*Formulas!$C29</f>
        <v>210</v>
      </c>
      <c r="U51" s="121">
        <f>U14*Formulas!$C29</f>
        <v>174</v>
      </c>
      <c r="V51" s="121">
        <f>V14*Formulas!$C29</f>
        <v>142.5</v>
      </c>
      <c r="W51" s="121">
        <f>W14*Formulas!$C29</f>
        <v>141</v>
      </c>
      <c r="X51" s="121">
        <f>X14*Formulas!$C29</f>
        <v>259.5</v>
      </c>
      <c r="Y51" s="121">
        <f>Y14*Formulas!$C29</f>
        <v>163.5</v>
      </c>
      <c r="Z51" s="121">
        <f>Z14*Formulas!$C29</f>
        <v>214.5</v>
      </c>
      <c r="AA51" s="121">
        <f>AA14*Formulas!$C29</f>
        <v>157.5</v>
      </c>
      <c r="AB51" s="121">
        <f>AB14*Formulas!$C29</f>
        <v>135</v>
      </c>
      <c r="AC51" s="121">
        <f>AC14*Formulas!$C29</f>
        <v>289.5</v>
      </c>
      <c r="AD51" s="60">
        <f t="shared" si="9"/>
        <v>4677</v>
      </c>
    </row>
    <row r="52">
      <c r="A52" s="25" t="s">
        <v>264</v>
      </c>
      <c r="B52" s="122">
        <f>B14*Formulas!$C30</f>
        <v>29.1</v>
      </c>
      <c r="C52" s="121">
        <f>C14*Formulas!$C30</f>
        <v>28.2</v>
      </c>
      <c r="D52" s="121">
        <f>D14*Formulas!$C30</f>
        <v>26.1</v>
      </c>
      <c r="E52" s="121">
        <f>E14*Formulas!$C30</f>
        <v>33.3</v>
      </c>
      <c r="F52" s="121">
        <f>F14*Formulas!$C30</f>
        <v>30</v>
      </c>
      <c r="G52" s="121">
        <f>G14*Formulas!$C30</f>
        <v>22.2</v>
      </c>
      <c r="H52" s="121">
        <f>H14*Formulas!$C30</f>
        <v>29.1</v>
      </c>
      <c r="I52" s="121">
        <f>I14*Formulas!$C30</f>
        <v>26.1</v>
      </c>
      <c r="J52" s="121">
        <f>J14*Formulas!$C30</f>
        <v>29.7</v>
      </c>
      <c r="K52" s="121">
        <f>K14*Formulas!$C30</f>
        <v>30.9</v>
      </c>
      <c r="L52" s="121">
        <f>L14*Formulas!$C30</f>
        <v>30.9</v>
      </c>
      <c r="M52" s="121">
        <f>M14*Formulas!$C30</f>
        <v>31.8</v>
      </c>
      <c r="N52" s="121">
        <f>N14*Formulas!$C30</f>
        <v>36.3</v>
      </c>
      <c r="O52" s="121">
        <f>O14*Formulas!$C30</f>
        <v>40.2</v>
      </c>
      <c r="P52" s="121">
        <f>P14*Formulas!$C30</f>
        <v>35.1</v>
      </c>
      <c r="Q52" s="121">
        <f>Q14*Formulas!$C30</f>
        <v>32.7</v>
      </c>
      <c r="R52" s="121">
        <f>R14*Formulas!$C30</f>
        <v>32.1</v>
      </c>
      <c r="S52" s="121">
        <f>S14*Formulas!$C30</f>
        <v>34.2</v>
      </c>
      <c r="T52" s="121">
        <f>T14*Formulas!$C30</f>
        <v>42</v>
      </c>
      <c r="U52" s="121">
        <f>U14*Formulas!$C30</f>
        <v>34.8</v>
      </c>
      <c r="V52" s="121">
        <f>V14*Formulas!$C30</f>
        <v>28.5</v>
      </c>
      <c r="W52" s="121">
        <f>W14*Formulas!$C30</f>
        <v>28.2</v>
      </c>
      <c r="X52" s="121">
        <f>X14*Formulas!$C30</f>
        <v>51.9</v>
      </c>
      <c r="Y52" s="121">
        <f>Y14*Formulas!$C30</f>
        <v>32.7</v>
      </c>
      <c r="Z52" s="121">
        <f>Z14*Formulas!$C30</f>
        <v>42.9</v>
      </c>
      <c r="AA52" s="121">
        <f>AA14*Formulas!$C30</f>
        <v>31.5</v>
      </c>
      <c r="AB52" s="121">
        <f>AB14*Formulas!$C30</f>
        <v>27</v>
      </c>
      <c r="AC52" s="121">
        <f>AC14*Formulas!$C30</f>
        <v>57.9</v>
      </c>
      <c r="AD52" s="60">
        <f t="shared" si="9"/>
        <v>935.4</v>
      </c>
    </row>
    <row r="53">
      <c r="A53" s="33" t="s">
        <v>112</v>
      </c>
      <c r="B53" s="121">
        <f>B26*Formulas!$C35</f>
        <v>805.017609</v>
      </c>
      <c r="C53" s="121">
        <f>C26*Formulas!$C35</f>
        <v>803.273328</v>
      </c>
      <c r="D53" s="121">
        <f>D26*Formulas!$C35</f>
        <v>770.267421</v>
      </c>
      <c r="E53" s="121">
        <f>E26*Formulas!$C35</f>
        <v>761.822523</v>
      </c>
      <c r="F53" s="121">
        <f>F26*Formulas!$C35</f>
        <v>791.744679</v>
      </c>
      <c r="G53" s="121">
        <f>G26*Formulas!$C35</f>
        <v>557.249517</v>
      </c>
      <c r="H53" s="121">
        <f>H26*Formulas!$C35</f>
        <v>844.214481</v>
      </c>
      <c r="I53" s="121">
        <f>I26*Formulas!$C35</f>
        <v>759.810645</v>
      </c>
      <c r="J53" s="121">
        <f>J26*Formulas!$C35</f>
        <v>911.5524</v>
      </c>
      <c r="K53" s="121">
        <f>K26*Formulas!$C35</f>
        <v>888.538464</v>
      </c>
      <c r="L53" s="121">
        <f>L26*Formulas!$C35</f>
        <v>904.781394</v>
      </c>
      <c r="M53" s="121">
        <f>M26*Formulas!$C35</f>
        <v>953.749269</v>
      </c>
      <c r="N53" s="121">
        <f>N26*Formulas!$C35</f>
        <v>1094.624982</v>
      </c>
      <c r="O53" s="121">
        <f>O26*Formulas!$C35</f>
        <v>1266.025167</v>
      </c>
      <c r="P53" s="121">
        <f>P26*Formulas!$C35</f>
        <v>1012.242231</v>
      </c>
      <c r="Q53" s="121">
        <f>Q26*Formulas!$C35</f>
        <v>901.367082</v>
      </c>
      <c r="R53" s="121">
        <f>R26*Formulas!$C35</f>
        <v>1011.538638</v>
      </c>
      <c r="S53" s="121">
        <f>S26*Formulas!$C35</f>
        <v>996.475095</v>
      </c>
      <c r="T53" s="121">
        <f>T26*Formulas!$C35</f>
        <v>1154.52216</v>
      </c>
      <c r="U53" s="121">
        <f>U26*Formulas!$C35</f>
        <v>1088.235918</v>
      </c>
      <c r="V53" s="121">
        <f>V26*Formulas!$C35</f>
        <v>801.878022</v>
      </c>
      <c r="W53" s="121">
        <f>W26*Formulas!$C35</f>
        <v>838.610685</v>
      </c>
      <c r="X53" s="121">
        <f>X26*Formulas!$C35</f>
        <v>899.070381</v>
      </c>
      <c r="Y53" s="121">
        <f>Y26*Formulas!$C35</f>
        <v>831.450015</v>
      </c>
      <c r="Z53" s="121">
        <f>Z26*Formulas!$C35</f>
        <v>1191.512619</v>
      </c>
      <c r="AA53" s="121">
        <f>AA26*Formulas!$C35</f>
        <v>850.743729</v>
      </c>
      <c r="AB53" s="121">
        <f>AB26*Formulas!$C35</f>
        <v>739.328337</v>
      </c>
      <c r="AC53" s="121">
        <f>AC26*Formulas!$C35</f>
        <v>828.248058</v>
      </c>
      <c r="AD53" s="60">
        <f t="shared" si="9"/>
        <v>25257.89485</v>
      </c>
    </row>
    <row r="54">
      <c r="A54" s="49" t="s">
        <v>114</v>
      </c>
      <c r="B54" s="135">
        <f>B14*Formulas!$C28</f>
        <v>34.92</v>
      </c>
      <c r="C54" s="135">
        <f>C14*Formulas!$C28</f>
        <v>33.84</v>
      </c>
      <c r="D54" s="135">
        <f>D14*Formulas!$C28</f>
        <v>31.32</v>
      </c>
      <c r="E54" s="135">
        <f>E14*Formulas!$C28</f>
        <v>39.96</v>
      </c>
      <c r="F54" s="135">
        <f>F14*Formulas!$C28</f>
        <v>36</v>
      </c>
      <c r="G54" s="135">
        <f>G14*Formulas!$C28</f>
        <v>26.64</v>
      </c>
      <c r="H54" s="135">
        <f>H14*Formulas!$C28</f>
        <v>34.92</v>
      </c>
      <c r="I54" s="135">
        <f>I14*Formulas!$C28</f>
        <v>31.32</v>
      </c>
      <c r="J54" s="135">
        <f>J14*Formulas!$C28</f>
        <v>35.64</v>
      </c>
      <c r="K54" s="135">
        <f>K14*Formulas!$C28</f>
        <v>37.08</v>
      </c>
      <c r="L54" s="135">
        <f>L14*Formulas!$C28</f>
        <v>37.08</v>
      </c>
      <c r="M54" s="135">
        <f>M14*Formulas!$C28</f>
        <v>38.16</v>
      </c>
      <c r="N54" s="135">
        <f>N14*Formulas!$C28</f>
        <v>43.56</v>
      </c>
      <c r="O54" s="135">
        <f>O14*Formulas!$C28</f>
        <v>48.24</v>
      </c>
      <c r="P54" s="135">
        <f>P14*Formulas!$C28</f>
        <v>42.12</v>
      </c>
      <c r="Q54" s="135">
        <f>Q14*Formulas!$C28</f>
        <v>39.24</v>
      </c>
      <c r="R54" s="135">
        <f>R14*Formulas!$C28</f>
        <v>38.52</v>
      </c>
      <c r="S54" s="135">
        <f>S14*Formulas!$C28</f>
        <v>41.04</v>
      </c>
      <c r="T54" s="135">
        <f>T14*Formulas!$C28</f>
        <v>50.4</v>
      </c>
      <c r="U54" s="135">
        <f>U14*Formulas!$C28</f>
        <v>41.76</v>
      </c>
      <c r="V54" s="135">
        <f>V14*Formulas!$C28</f>
        <v>34.2</v>
      </c>
      <c r="W54" s="135">
        <f>W14*Formulas!$C28</f>
        <v>33.84</v>
      </c>
      <c r="X54" s="135">
        <f>X14*Formulas!$C28</f>
        <v>62.28</v>
      </c>
      <c r="Y54" s="135">
        <f>Y14*Formulas!$C28</f>
        <v>39.24</v>
      </c>
      <c r="Z54" s="135">
        <f>Z14*Formulas!$C28</f>
        <v>51.48</v>
      </c>
      <c r="AA54" s="135">
        <f>AA14*Formulas!$C28</f>
        <v>37.8</v>
      </c>
      <c r="AB54" s="135">
        <f>AB14*Formulas!$C28</f>
        <v>32.4</v>
      </c>
      <c r="AC54" s="135">
        <f>AC14*Formulas!$C28</f>
        <v>69.48</v>
      </c>
      <c r="AD54" s="60">
        <f t="shared" si="9"/>
        <v>1122.48</v>
      </c>
    </row>
    <row r="55">
      <c r="A55" s="53" t="s">
        <v>121</v>
      </c>
      <c r="B55" s="92">
        <f t="shared" ref="B55:AC55" si="10">SUM(B45:B54)</f>
        <v>13186.67768</v>
      </c>
      <c r="C55" s="92">
        <f t="shared" si="10"/>
        <v>12801.99546</v>
      </c>
      <c r="D55" s="92">
        <f t="shared" si="10"/>
        <v>11875.46769</v>
      </c>
      <c r="E55" s="92">
        <f t="shared" si="10"/>
        <v>14930.52631</v>
      </c>
      <c r="F55" s="92">
        <f t="shared" si="10"/>
        <v>13556.34269</v>
      </c>
      <c r="G55" s="92">
        <f t="shared" si="10"/>
        <v>10003.05204</v>
      </c>
      <c r="H55" s="92">
        <f t="shared" si="10"/>
        <v>13225.87455</v>
      </c>
      <c r="I55" s="92">
        <f t="shared" si="10"/>
        <v>11865.01091</v>
      </c>
      <c r="J55" s="92">
        <f t="shared" si="10"/>
        <v>13548.50443</v>
      </c>
      <c r="K55" s="92">
        <f t="shared" si="10"/>
        <v>14036.07441</v>
      </c>
      <c r="L55" s="92">
        <f t="shared" si="10"/>
        <v>14052.31734</v>
      </c>
      <c r="M55" s="92">
        <f t="shared" si="10"/>
        <v>14484.22316</v>
      </c>
      <c r="N55" s="92">
        <f t="shared" si="10"/>
        <v>16539.78857</v>
      </c>
      <c r="O55" s="92">
        <f t="shared" si="10"/>
        <v>18370.5865</v>
      </c>
      <c r="P55" s="92">
        <f t="shared" si="10"/>
        <v>15946.8219</v>
      </c>
      <c r="Q55" s="92">
        <f t="shared" si="10"/>
        <v>14814.77891</v>
      </c>
      <c r="R55" s="92">
        <f t="shared" si="10"/>
        <v>14669.65851</v>
      </c>
      <c r="S55" s="92">
        <f t="shared" si="10"/>
        <v>15548.11682</v>
      </c>
      <c r="T55" s="92">
        <f t="shared" si="10"/>
        <v>19024.95937</v>
      </c>
      <c r="U55" s="92">
        <f t="shared" si="10"/>
        <v>15895.16961</v>
      </c>
      <c r="V55" s="92">
        <f t="shared" si="10"/>
        <v>12928.24613</v>
      </c>
      <c r="W55" s="92">
        <f t="shared" si="10"/>
        <v>12837.33281</v>
      </c>
      <c r="X55" s="92">
        <f t="shared" si="10"/>
        <v>22981.82494</v>
      </c>
      <c r="Y55" s="92">
        <f t="shared" si="10"/>
        <v>14744.86184</v>
      </c>
      <c r="Z55" s="92">
        <f t="shared" si="10"/>
        <v>19444.88777</v>
      </c>
      <c r="AA55" s="92">
        <f t="shared" si="10"/>
        <v>14253.57164</v>
      </c>
      <c r="AB55" s="92">
        <f t="shared" si="10"/>
        <v>12227.46654</v>
      </c>
      <c r="AC55" s="92">
        <f t="shared" si="10"/>
        <v>25463.92221</v>
      </c>
      <c r="AD55" s="97">
        <f t="shared" si="9"/>
        <v>423258.0608</v>
      </c>
    </row>
    <row r="56">
      <c r="A56" s="27"/>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c r="AA56" s="136"/>
      <c r="AB56" s="136"/>
      <c r="AC56" s="136"/>
      <c r="AD56" s="137"/>
    </row>
    <row r="57">
      <c r="A57" s="56" t="s">
        <v>274</v>
      </c>
      <c r="B57" s="121">
        <f t="shared" ref="B57:AC57" si="11">B26-B42-B55</f>
        <v>1900.362323</v>
      </c>
      <c r="C57" s="121">
        <f t="shared" si="11"/>
        <v>528.864544</v>
      </c>
      <c r="D57" s="121">
        <f t="shared" si="11"/>
        <v>-1115.487688</v>
      </c>
      <c r="E57" s="121">
        <f t="shared" si="11"/>
        <v>-4648.966312</v>
      </c>
      <c r="F57" s="121">
        <f t="shared" si="11"/>
        <v>-2865.992688</v>
      </c>
      <c r="G57" s="121">
        <f t="shared" si="11"/>
        <v>-6657.932043</v>
      </c>
      <c r="H57" s="121">
        <f t="shared" si="11"/>
        <v>692.2954508</v>
      </c>
      <c r="I57" s="121">
        <f t="shared" si="11"/>
        <v>-507.5009124</v>
      </c>
      <c r="J57" s="121">
        <f t="shared" si="11"/>
        <v>3627.455572</v>
      </c>
      <c r="K57" s="121">
        <f t="shared" si="11"/>
        <v>913.3855872</v>
      </c>
      <c r="L57" s="121">
        <f t="shared" si="11"/>
        <v>3521.112657</v>
      </c>
      <c r="M57" s="121">
        <f t="shared" si="11"/>
        <v>3135.596842</v>
      </c>
      <c r="N57" s="121">
        <f t="shared" si="11"/>
        <v>4161.401428</v>
      </c>
      <c r="O57" s="121">
        <f t="shared" si="11"/>
        <v>7441.103502</v>
      </c>
      <c r="P57" s="121">
        <f t="shared" si="11"/>
        <v>2857.848099</v>
      </c>
      <c r="Q57" s="121">
        <f t="shared" si="11"/>
        <v>390.1710887</v>
      </c>
      <c r="R57" s="121">
        <f t="shared" si="11"/>
        <v>5388.871493</v>
      </c>
      <c r="S57" s="121">
        <f t="shared" si="11"/>
        <v>1096.943175</v>
      </c>
      <c r="T57" s="121">
        <f t="shared" si="11"/>
        <v>3361.180628</v>
      </c>
      <c r="U57" s="121">
        <f t="shared" si="11"/>
        <v>4517.230392</v>
      </c>
      <c r="V57" s="121">
        <f t="shared" si="11"/>
        <v>-203.5561301</v>
      </c>
      <c r="W57" s="121">
        <f t="shared" si="11"/>
        <v>509.467187</v>
      </c>
      <c r="X57" s="121">
        <f t="shared" si="11"/>
        <v>-6955.944936</v>
      </c>
      <c r="Y57" s="121">
        <f t="shared" si="11"/>
        <v>-558.0518443</v>
      </c>
      <c r="Z57" s="121">
        <f t="shared" si="11"/>
        <v>5716.812229</v>
      </c>
      <c r="AA57" s="121">
        <f t="shared" si="11"/>
        <v>-978.9516379</v>
      </c>
      <c r="AB57" s="121">
        <f t="shared" si="11"/>
        <v>-528.8065447</v>
      </c>
      <c r="AC57" s="121">
        <f t="shared" si="11"/>
        <v>-10683.76221</v>
      </c>
      <c r="AD57" s="97">
        <f>SUM(B57:AC57)</f>
        <v>14055.14925</v>
      </c>
    </row>
    <row r="58">
      <c r="A58" s="138">
        <f>SUM(B57:AC57)</f>
        <v>14055.14925</v>
      </c>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14"/>
    </row>
    <row r="59">
      <c r="A59" s="27"/>
      <c r="B59" s="23"/>
      <c r="C59" s="23"/>
      <c r="D59" s="25"/>
      <c r="E59" s="23"/>
      <c r="F59" s="23"/>
      <c r="G59" s="23"/>
      <c r="H59" s="139"/>
      <c r="I59" s="23"/>
      <c r="J59" s="23"/>
      <c r="K59" s="23"/>
      <c r="L59" s="23"/>
      <c r="M59" s="23"/>
      <c r="N59" s="23"/>
      <c r="O59" s="23"/>
      <c r="P59" s="23"/>
      <c r="Q59" s="23"/>
      <c r="R59" s="23"/>
      <c r="S59" s="23"/>
      <c r="T59" s="23"/>
      <c r="U59" s="23"/>
      <c r="V59" s="23"/>
      <c r="W59" s="23"/>
      <c r="X59" s="23"/>
      <c r="Y59" s="23"/>
      <c r="Z59" s="23"/>
      <c r="AA59" s="23"/>
      <c r="AB59" s="23"/>
      <c r="AC59" s="23"/>
      <c r="AD59" s="14"/>
    </row>
    <row r="60">
      <c r="A60" s="140"/>
      <c r="B60" s="141"/>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c r="AA60" s="141"/>
      <c r="AB60" s="141"/>
      <c r="AC60" s="141"/>
      <c r="AD60" s="142"/>
    </row>
    <row r="61">
      <c r="A61" s="27"/>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14"/>
    </row>
    <row r="62">
      <c r="A62" s="16" t="s">
        <v>275</v>
      </c>
      <c r="B62" s="23"/>
      <c r="C62" s="23"/>
      <c r="D62" s="23"/>
      <c r="E62" s="23"/>
      <c r="F62" s="23"/>
      <c r="G62" s="23"/>
      <c r="H62" s="23"/>
      <c r="I62" s="23"/>
      <c r="J62" s="23"/>
      <c r="K62" s="23"/>
      <c r="L62" s="23"/>
      <c r="M62" s="23"/>
      <c r="N62" s="23"/>
      <c r="O62" s="23"/>
      <c r="P62" s="23"/>
      <c r="Q62" s="23"/>
      <c r="R62" s="23"/>
      <c r="S62" s="23"/>
      <c r="T62" s="23"/>
      <c r="U62" s="23"/>
      <c r="V62" s="23"/>
      <c r="W62" s="23"/>
      <c r="X62" s="23"/>
      <c r="Y62" s="23"/>
      <c r="Z62" s="143">
        <v>3.11</v>
      </c>
      <c r="AA62" s="144">
        <v>1.8</v>
      </c>
      <c r="AB62" s="23"/>
      <c r="AC62" s="23"/>
      <c r="AD62" s="145"/>
    </row>
    <row r="63">
      <c r="A63" s="146" t="s">
        <v>276</v>
      </c>
      <c r="B63" s="121">
        <f>B17-(B5*Formulas!$C32)-B29</f>
        <v>-2626.740597</v>
      </c>
      <c r="C63" s="121">
        <f>C17-(C5*Formulas!$C32)-C29</f>
        <v>-1860.748135</v>
      </c>
      <c r="D63" s="121">
        <f>D17-(D5*Formulas!$C32)-D29</f>
        <v>-1757.468135</v>
      </c>
      <c r="E63" s="121">
        <f>E17-(E5*Formulas!$C32)-E29</f>
        <v>-7450.071518</v>
      </c>
      <c r="F63" s="121">
        <f>F17-(F5*Formulas!$C32)-F29</f>
        <v>-4746.791368</v>
      </c>
      <c r="G63" s="121">
        <f>G17-(G5*Formulas!$C32)-G29</f>
        <v>-6992.727065</v>
      </c>
      <c r="H63" s="121">
        <f>H17-(H5*Formulas!$C32)-H29</f>
        <v>-1308.695672</v>
      </c>
      <c r="I63" s="121">
        <f>I17-(I5*Formulas!$C32)-I29</f>
        <v>-2187.127214</v>
      </c>
      <c r="J63" s="121">
        <f>J17-(J5*Formulas!$C32)-J29</f>
        <v>-1350.252289</v>
      </c>
      <c r="K63" s="121">
        <f>K17-(K5*Formulas!$C32)-K29</f>
        <v>-3527.258906</v>
      </c>
      <c r="L63" s="121">
        <f>L17-(L5*Formulas!$C32)-L29</f>
        <v>-2394.616443</v>
      </c>
      <c r="M63" s="121">
        <f>M17-(M5*Formulas!$C32)-M29</f>
        <v>-592.2856719</v>
      </c>
      <c r="N63" s="121">
        <f>N17-(N5*Formulas!$C32)-N29</f>
        <v>-2396.499055</v>
      </c>
      <c r="O63" s="121">
        <f>O17-(O5*Formulas!$C32)-O29</f>
        <v>-894.5167417</v>
      </c>
      <c r="P63" s="121">
        <f>P17-(P5*Formulas!$C32)-P29</f>
        <v>-3876.426443</v>
      </c>
      <c r="Q63" s="121">
        <f>Q17-(Q5*Formulas!$C32)-Q29</f>
        <v>-3619.44398</v>
      </c>
      <c r="R63" s="121">
        <f>R17-(R5*Formulas!$C32)-R29</f>
        <v>-1464.535672</v>
      </c>
      <c r="S63" s="121">
        <f>S17-(S5*Formulas!$C32)-S29</f>
        <v>-2007.129204</v>
      </c>
      <c r="T63" s="121">
        <f>T17-(T5*Formulas!$C32)-T29</f>
        <v>-2785.420747</v>
      </c>
      <c r="U63" s="121">
        <f>U17-(U5*Formulas!$C32)-U29</f>
        <v>-909.4424382</v>
      </c>
      <c r="V63" s="121">
        <f>V17-(V5*Formulas!$C32)-V29</f>
        <v>-4705.749677</v>
      </c>
      <c r="W63" s="121">
        <f>W17-(W5*Formulas!$C32)-W29</f>
        <v>-4381.747214</v>
      </c>
      <c r="X63" s="121">
        <f>X17-(X5*Formulas!$C32)-X29</f>
        <v>-4998.987214</v>
      </c>
      <c r="Y63" s="121">
        <f>Y17-(Y5*Formulas!$C32)-Y29</f>
        <v>-2954.819826</v>
      </c>
      <c r="Z63" s="121">
        <f>Z17-(Z5*Formulas!$C32)-Z29</f>
        <v>625.9632583</v>
      </c>
      <c r="AA63" s="121">
        <f>AA17-(AA5*Formulas!$C32)-AA29</f>
        <v>-4034.539826</v>
      </c>
      <c r="AB63" s="121">
        <f>AB17-(AB5*Formulas!$C32)-AB29</f>
        <v>-4221.843831</v>
      </c>
      <c r="AC63" s="121">
        <f>AC17-(AC5*Formulas!$C32)-AC29</f>
        <v>-4067.417214</v>
      </c>
      <c r="AD63" s="145">
        <f>SUM(B63:AC63)</f>
        <v>-83487.33884</v>
      </c>
    </row>
    <row r="64">
      <c r="A64" s="146" t="s">
        <v>277</v>
      </c>
      <c r="B64" s="147">
        <f t="shared" ref="B64:AC64" si="12">B17/B29</f>
        <v>1.385669727</v>
      </c>
      <c r="C64" s="147">
        <f t="shared" si="12"/>
        <v>1.458776886</v>
      </c>
      <c r="D64" s="147">
        <f t="shared" si="12"/>
        <v>1.436327442</v>
      </c>
      <c r="E64" s="147">
        <f t="shared" si="12"/>
        <v>1</v>
      </c>
      <c r="F64" s="147">
        <f t="shared" si="12"/>
        <v>1.086484877</v>
      </c>
      <c r="G64" s="147">
        <f t="shared" si="12"/>
        <v>0.7773354878</v>
      </c>
      <c r="H64" s="147">
        <f t="shared" si="12"/>
        <v>1.534117831</v>
      </c>
      <c r="I64" s="147">
        <f t="shared" si="12"/>
        <v>1.346633923</v>
      </c>
      <c r="J64" s="147">
        <f t="shared" si="12"/>
        <v>1.514173446</v>
      </c>
      <c r="K64" s="147">
        <f t="shared" si="12"/>
        <v>1.22567702</v>
      </c>
      <c r="L64" s="147">
        <f t="shared" si="12"/>
        <v>1.391649189</v>
      </c>
      <c r="M64" s="147">
        <f t="shared" si="12"/>
        <v>1.566072833</v>
      </c>
      <c r="N64" s="147">
        <f t="shared" si="12"/>
        <v>1.391674038</v>
      </c>
      <c r="O64" s="147">
        <f t="shared" si="12"/>
        <v>1.605432885</v>
      </c>
      <c r="P64" s="147">
        <f t="shared" si="12"/>
        <v>1.207639206</v>
      </c>
      <c r="Q64" s="147">
        <f t="shared" si="12"/>
        <v>1.258633816</v>
      </c>
      <c r="R64" s="147">
        <f t="shared" si="12"/>
        <v>1.489077011</v>
      </c>
      <c r="S64" s="147">
        <f t="shared" si="12"/>
        <v>1.507441105</v>
      </c>
      <c r="T64" s="147">
        <f t="shared" si="12"/>
        <v>1.38049154</v>
      </c>
      <c r="U64" s="147">
        <f t="shared" si="12"/>
        <v>1.536734093</v>
      </c>
      <c r="V64" s="147">
        <f t="shared" si="12"/>
        <v>1.067853276</v>
      </c>
      <c r="W64" s="147">
        <f t="shared" si="12"/>
        <v>1.117594072</v>
      </c>
      <c r="X64" s="147">
        <f t="shared" si="12"/>
        <v>1.075758137</v>
      </c>
      <c r="Y64" s="147">
        <f t="shared" si="12"/>
        <v>1.33911729</v>
      </c>
      <c r="Z64" s="147">
        <f t="shared" si="12"/>
        <v>1.793106153</v>
      </c>
      <c r="AA64" s="147">
        <f t="shared" si="12"/>
        <v>1.230778997</v>
      </c>
      <c r="AB64" s="147">
        <f t="shared" si="12"/>
        <v>1.100699702</v>
      </c>
      <c r="AC64" s="147">
        <f t="shared" si="12"/>
        <v>1.161546636</v>
      </c>
      <c r="AD64" s="145"/>
    </row>
    <row r="65">
      <c r="A65" s="146" t="s">
        <v>278</v>
      </c>
      <c r="B65" s="148">
        <f t="shared" ref="B65:AC65" si="13">B29/B5</f>
        <v>209.3295833</v>
      </c>
      <c r="C65" s="148">
        <f t="shared" si="13"/>
        <v>215.7270588</v>
      </c>
      <c r="D65" s="148">
        <f t="shared" si="13"/>
        <v>231.4676471</v>
      </c>
      <c r="E65" s="148">
        <f t="shared" si="13"/>
        <v>209.288</v>
      </c>
      <c r="F65" s="148">
        <f t="shared" si="13"/>
        <v>289.8234884</v>
      </c>
      <c r="G65" s="148">
        <f t="shared" si="13"/>
        <v>373.0584375</v>
      </c>
      <c r="H65" s="148">
        <f t="shared" si="13"/>
        <v>208.2325926</v>
      </c>
      <c r="I65" s="148">
        <f t="shared" si="13"/>
        <v>247.3745455</v>
      </c>
      <c r="J65" s="148">
        <f t="shared" si="13"/>
        <v>210.9226</v>
      </c>
      <c r="K65" s="148">
        <f t="shared" si="13"/>
        <v>260.4443478</v>
      </c>
      <c r="L65" s="148">
        <f t="shared" si="13"/>
        <v>221.0808163</v>
      </c>
      <c r="M65" s="148">
        <f t="shared" si="13"/>
        <v>219.9144444</v>
      </c>
      <c r="N65" s="148">
        <f t="shared" si="13"/>
        <v>240.345</v>
      </c>
      <c r="O65" s="148">
        <f t="shared" si="13"/>
        <v>203.4943836</v>
      </c>
      <c r="P65" s="148">
        <f t="shared" si="13"/>
        <v>271.3606122</v>
      </c>
      <c r="Q65" s="148">
        <f t="shared" si="13"/>
        <v>254.6115385</v>
      </c>
      <c r="R65" s="148">
        <f t="shared" si="13"/>
        <v>221.5087037</v>
      </c>
      <c r="S65" s="148">
        <f t="shared" si="13"/>
        <v>210.4334286</v>
      </c>
      <c r="T65" s="148">
        <f t="shared" si="13"/>
        <v>233.9925</v>
      </c>
      <c r="U65" s="148">
        <f t="shared" si="13"/>
        <v>225.0414516</v>
      </c>
      <c r="V65" s="148">
        <f t="shared" si="13"/>
        <v>304.7968293</v>
      </c>
      <c r="W65" s="148">
        <f t="shared" si="13"/>
        <v>305.0381818</v>
      </c>
      <c r="X65" s="148">
        <f t="shared" si="13"/>
        <v>288.3188636</v>
      </c>
      <c r="Y65" s="148">
        <f t="shared" si="13"/>
        <v>235.035283</v>
      </c>
      <c r="Z65" s="148">
        <f t="shared" si="13"/>
        <v>181.6032877</v>
      </c>
      <c r="AA65" s="148">
        <f t="shared" si="13"/>
        <v>257.0964151</v>
      </c>
      <c r="AB65" s="148">
        <f t="shared" si="13"/>
        <v>297.01925</v>
      </c>
      <c r="AC65" s="148">
        <f t="shared" si="13"/>
        <v>266.2670455</v>
      </c>
      <c r="AD65" s="145"/>
    </row>
    <row r="66">
      <c r="A66" s="149" t="s">
        <v>279</v>
      </c>
      <c r="B66" s="150">
        <f>B17/(Formulas!$C32*B5+B29)</f>
        <v>0.8412816847</v>
      </c>
      <c r="C66" s="150">
        <f>C17/(Formulas!$C32*C5+C29)</f>
        <v>0.8961075352</v>
      </c>
      <c r="D66" s="150">
        <f>D17/(Formulas!$C32*D5+D29)</f>
        <v>0.9060835292</v>
      </c>
      <c r="E66" s="150">
        <f>E17/(Formulas!$C32*E5+E29)</f>
        <v>0.6070826283</v>
      </c>
      <c r="F66" s="150">
        <f>F17/(Formulas!$C32*F5+F29)</f>
        <v>0.7404282596</v>
      </c>
      <c r="G66" s="150">
        <f>G17/(Formulas!$C32*G5+G29)</f>
        <v>0.5702722068</v>
      </c>
      <c r="H66" s="150">
        <f>H17/(Formulas!$C32*H5+H29)</f>
        <v>0.9294852479</v>
      </c>
      <c r="I66" s="150">
        <f>I17/(Formulas!$C32*I5+I29)</f>
        <v>0.8701580705</v>
      </c>
      <c r="J66" s="150">
        <f>J17/(Formulas!$C32*J5+J29)</f>
        <v>0.9220360097</v>
      </c>
      <c r="K66" s="150">
        <f>K17/(Formulas!$C32*K5+K29)</f>
        <v>0.806315979</v>
      </c>
      <c r="L66" s="150">
        <f>L17/(Formulas!$C32*L5+L29)</f>
        <v>0.8629321231</v>
      </c>
      <c r="M66" s="150">
        <f>M17/(Formulas!$C32*M5+M29)</f>
        <v>0.9691357058</v>
      </c>
      <c r="N66" s="150">
        <f>N17/(Formulas!$C32*N5+N29)</f>
        <v>0.8900509414</v>
      </c>
      <c r="O66" s="150">
        <f>O17/(Formulas!$C32*O5+O29)</f>
        <v>0.9638482204</v>
      </c>
      <c r="P66" s="150">
        <f>P17/(Formulas!$C32*P5+P29)</f>
        <v>0.8055370126</v>
      </c>
      <c r="Q66" s="150">
        <f>Q17/(Formulas!$C32*Q5+Q29)</f>
        <v>0.8215572623</v>
      </c>
      <c r="R66" s="150">
        <f>R17/(Formulas!$C32*R5+R29)</f>
        <v>0.924023181</v>
      </c>
      <c r="S66" s="150">
        <f>S17/(Formulas!$C32*S5+S29)</f>
        <v>0.9171027364</v>
      </c>
      <c r="T66" s="150">
        <f>T17/(Formulas!$C32*T5+T29)</f>
        <v>0.8743432481</v>
      </c>
      <c r="U66" s="150">
        <f>U17/(Formulas!$C32*U5+U29)</f>
        <v>0.9593105787</v>
      </c>
      <c r="V66" s="150">
        <f>V17/(Formulas!$C32*V5+V29)</f>
        <v>0.7392988416</v>
      </c>
      <c r="W66" s="150">
        <f>W17/(Formulas!$C32*W5+W29)</f>
        <v>0.7739239179</v>
      </c>
      <c r="X66" s="150">
        <f>X17/(Formulas!$C32*X5+X29)</f>
        <v>0.7319015428</v>
      </c>
      <c r="Y66" s="150">
        <f>Y17/(Formulas!$C32*Y5+Y29)</f>
        <v>0.8495205063</v>
      </c>
      <c r="Z66" s="150">
        <f>Z17/(Formulas!$C32*Z5+Z29)</f>
        <v>1.027044921</v>
      </c>
      <c r="AA66" s="150">
        <f>AA17/(Formulas!$C32*AA5+AA29)</f>
        <v>0.8060808699</v>
      </c>
      <c r="AB66" s="150">
        <f>AB17/(Formulas!$C32*AB5+AB29)</f>
        <v>0.7559487314</v>
      </c>
      <c r="AC66" s="150">
        <f>AC17/(Formulas!$C32*AC5+AC29)</f>
        <v>0.7698878945</v>
      </c>
      <c r="AD66" s="145"/>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145"/>
    </row>
    <row r="68">
      <c r="A68" s="151" t="s">
        <v>280</v>
      </c>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5"/>
      <c r="AB68" s="23"/>
      <c r="AC68" s="23"/>
      <c r="AD68" s="14"/>
    </row>
    <row r="69">
      <c r="A69" s="152" t="s">
        <v>276</v>
      </c>
      <c r="B69" s="121">
        <f>B18-(B6*Formulas!$C32)-B30</f>
        <v>3621.783706</v>
      </c>
      <c r="C69" s="121">
        <f>C18-(C6*Formulas!$C32)-C30</f>
        <v>1795.330472</v>
      </c>
      <c r="D69" s="121">
        <f>D18-(D6*Formulas!$C32)-D30</f>
        <v>1371.120472</v>
      </c>
      <c r="E69" s="121">
        <f>E18-(E6*Formulas!$C32)-E30</f>
        <v>2885.989403</v>
      </c>
      <c r="F69" s="121">
        <f>F18-(F6*Formulas!$C32)-F30</f>
        <v>282.7320147</v>
      </c>
      <c r="G69" s="121">
        <f>G18-(G6*Formulas!$C32)-G30</f>
        <v>419.6004725</v>
      </c>
      <c r="H69" s="121">
        <f>H18-(H6*Formulas!$C32)-H30</f>
        <v>2251.788781</v>
      </c>
      <c r="I69" s="121">
        <f>I18-(I6*Formulas!$C32)-I30</f>
        <v>1691.104627</v>
      </c>
      <c r="J69" s="121">
        <f>J18-(J6*Formulas!$C32)-J30</f>
        <v>3987.70786</v>
      </c>
      <c r="K69" s="121">
        <f>K18-(K6*Formulas!$C32)-K30</f>
        <v>4640.793557</v>
      </c>
      <c r="L69" s="121">
        <f>L18-(L6*Formulas!$C32)-L30</f>
        <v>5742.113557</v>
      </c>
      <c r="M69" s="121">
        <f>M18-(M6*Formulas!$C32)-M30</f>
        <v>3635.066169</v>
      </c>
      <c r="N69" s="121">
        <f>N18-(N6*Formulas!$C32)-N30</f>
        <v>3313.821244</v>
      </c>
      <c r="O69" s="121">
        <f>O18-(O6*Formulas!$C32)-O30</f>
        <v>4410.42786</v>
      </c>
      <c r="P69" s="121">
        <f>P18-(P6*Formulas!$C32)-P30</f>
        <v>2487.735398</v>
      </c>
      <c r="Q69" s="121">
        <f>Q18-(Q6*Formulas!$C32)-Q30</f>
        <v>2820.786169</v>
      </c>
      <c r="R69" s="121">
        <f>R18-(R6*Formulas!$C32)-R30</f>
        <v>5214.508632</v>
      </c>
      <c r="S69" s="121">
        <f>S18-(S6*Formulas!$C32)-S30</f>
        <v>2059.832935</v>
      </c>
      <c r="T69" s="121">
        <f>T18-(T6*Formulas!$C32)-T30</f>
        <v>4958.280025</v>
      </c>
      <c r="U69" s="121">
        <f>U18-(U6*Formulas!$C32)-U30</f>
        <v>4042.622786</v>
      </c>
      <c r="V69" s="121">
        <f>V18-(V6*Formulas!$C32)-V30</f>
        <v>3178.93786</v>
      </c>
      <c r="W69" s="121">
        <f>W18-(W6*Formulas!$C32)-W30</f>
        <v>2736.648781</v>
      </c>
      <c r="X69" s="121">
        <f>X18-(X6*Formulas!$C32)-X30</f>
        <v>3126.082015</v>
      </c>
      <c r="Y69" s="121">
        <f>Y18-(Y6*Formulas!$C32)-Y30</f>
        <v>2475.145398</v>
      </c>
      <c r="Z69" s="121">
        <f>Z18-(Z6*Formulas!$C32)-Z30</f>
        <v>5475.998482</v>
      </c>
      <c r="AA69" s="121">
        <f>AA18-(AA6*Formulas!$C32)-AA30</f>
        <v>2936.569552</v>
      </c>
      <c r="AB69" s="121">
        <f>AB18-(AB6*Formulas!$C32)-AB30</f>
        <v>3038.842015</v>
      </c>
      <c r="AC69" s="121">
        <f>AC18-(AC6*Formulas!$C32)-AC30</f>
        <v>747.0187809</v>
      </c>
      <c r="AD69" s="145">
        <f>SUM(B69:AC69)</f>
        <v>85348.38902</v>
      </c>
    </row>
    <row r="70">
      <c r="A70" s="152" t="s">
        <v>277</v>
      </c>
      <c r="B70" s="147">
        <f t="shared" ref="B70:AC70" si="14">B18/B30</f>
        <v>5.643744621</v>
      </c>
      <c r="C70" s="147">
        <f t="shared" si="14"/>
        <v>3.469303847</v>
      </c>
      <c r="D70" s="147">
        <f t="shared" si="14"/>
        <v>3.217297071</v>
      </c>
      <c r="E70" s="147">
        <f t="shared" si="14"/>
        <v>4.305588028</v>
      </c>
      <c r="F70" s="147">
        <f t="shared" si="14"/>
        <v>3.060277492</v>
      </c>
      <c r="G70" s="147">
        <f t="shared" si="14"/>
        <v>2.800936128</v>
      </c>
      <c r="H70" s="147">
        <f t="shared" si="14"/>
        <v>4.516695105</v>
      </c>
      <c r="I70" s="147">
        <f t="shared" si="14"/>
        <v>3.694753108</v>
      </c>
      <c r="J70" s="147">
        <f t="shared" si="14"/>
        <v>5.02110689</v>
      </c>
      <c r="K70" s="147">
        <f t="shared" si="14"/>
        <v>6.056482382</v>
      </c>
      <c r="L70" s="147">
        <f t="shared" si="14"/>
        <v>8.021570451</v>
      </c>
      <c r="M70" s="147">
        <f t="shared" si="14"/>
        <v>6.082326127</v>
      </c>
      <c r="N70" s="147">
        <f t="shared" si="14"/>
        <v>6.012576825</v>
      </c>
      <c r="O70" s="147">
        <f t="shared" si="14"/>
        <v>7.089639442</v>
      </c>
      <c r="P70" s="147">
        <f t="shared" si="14"/>
        <v>5.51547596</v>
      </c>
      <c r="Q70" s="147">
        <f t="shared" si="14"/>
        <v>6.378687679</v>
      </c>
      <c r="R70" s="147">
        <f t="shared" si="14"/>
        <v>7.349972677</v>
      </c>
      <c r="S70" s="147">
        <f t="shared" si="14"/>
        <v>4.31478544</v>
      </c>
      <c r="T70" s="147">
        <f t="shared" si="14"/>
        <v>6.834955696</v>
      </c>
      <c r="U70" s="147">
        <f t="shared" si="14"/>
        <v>5.738540542</v>
      </c>
      <c r="V70" s="147">
        <f t="shared" si="14"/>
        <v>6.089214332</v>
      </c>
      <c r="W70" s="147">
        <f t="shared" si="14"/>
        <v>6.029681574</v>
      </c>
      <c r="X70" s="147">
        <f t="shared" si="14"/>
        <v>6.638572798</v>
      </c>
      <c r="Y70" s="147">
        <f t="shared" si="14"/>
        <v>6.597781398</v>
      </c>
      <c r="Z70" s="147">
        <f t="shared" si="14"/>
        <v>8.858653226</v>
      </c>
      <c r="AA70" s="147">
        <f t="shared" si="14"/>
        <v>5.863536765</v>
      </c>
      <c r="AB70" s="147">
        <f t="shared" si="14"/>
        <v>7.593209999</v>
      </c>
      <c r="AC70" s="147">
        <f t="shared" si="14"/>
        <v>5.046625596</v>
      </c>
      <c r="AD70" s="145"/>
    </row>
    <row r="71">
      <c r="A71" s="152" t="s">
        <v>278</v>
      </c>
      <c r="B71" s="148">
        <f t="shared" ref="B71:AC71" si="15">B30/B6</f>
        <v>50.24864865</v>
      </c>
      <c r="C71" s="148">
        <f t="shared" si="15"/>
        <v>79.92689655</v>
      </c>
      <c r="D71" s="148">
        <f t="shared" si="15"/>
        <v>82.4137931</v>
      </c>
      <c r="E71" s="148">
        <f t="shared" si="15"/>
        <v>59.16666667</v>
      </c>
      <c r="F71" s="148">
        <f t="shared" si="15"/>
        <v>69.26512821</v>
      </c>
      <c r="G71" s="148">
        <f t="shared" si="15"/>
        <v>83.24827586</v>
      </c>
      <c r="H71" s="148">
        <f t="shared" si="15"/>
        <v>59.17322581</v>
      </c>
      <c r="I71" s="148">
        <f t="shared" si="15"/>
        <v>71.185</v>
      </c>
      <c r="J71" s="148">
        <f t="shared" si="15"/>
        <v>59.78342105</v>
      </c>
      <c r="K71" s="148">
        <f t="shared" si="15"/>
        <v>45.51897959</v>
      </c>
      <c r="L71" s="148">
        <f t="shared" si="15"/>
        <v>35.98081633</v>
      </c>
      <c r="M71" s="148">
        <f t="shared" si="15"/>
        <v>44.53325</v>
      </c>
      <c r="N71" s="148">
        <f t="shared" si="15"/>
        <v>46.46735294</v>
      </c>
      <c r="O71" s="148">
        <f t="shared" si="15"/>
        <v>41.30289474</v>
      </c>
      <c r="P71" s="148">
        <f t="shared" si="15"/>
        <v>45.73914286</v>
      </c>
      <c r="Q71" s="148">
        <f t="shared" si="15"/>
        <v>38.29475</v>
      </c>
      <c r="R71" s="148">
        <f t="shared" si="15"/>
        <v>40.42906977</v>
      </c>
      <c r="S71" s="148">
        <f t="shared" si="15"/>
        <v>60.283125</v>
      </c>
      <c r="T71" s="148">
        <f t="shared" si="15"/>
        <v>36.28769231</v>
      </c>
      <c r="U71" s="148">
        <f t="shared" si="15"/>
        <v>47.97545455</v>
      </c>
      <c r="V71" s="148">
        <f t="shared" si="15"/>
        <v>43.05421053</v>
      </c>
      <c r="W71" s="148">
        <f t="shared" si="15"/>
        <v>44.48290323</v>
      </c>
      <c r="X71" s="148">
        <f t="shared" si="15"/>
        <v>38.23871795</v>
      </c>
      <c r="Y71" s="148">
        <f t="shared" si="15"/>
        <v>36.83142857</v>
      </c>
      <c r="Z71" s="148">
        <f t="shared" si="15"/>
        <v>29.90581818</v>
      </c>
      <c r="AA71" s="148">
        <f t="shared" si="15"/>
        <v>44.62333333</v>
      </c>
      <c r="AB71" s="148">
        <f t="shared" si="15"/>
        <v>32.36282051</v>
      </c>
      <c r="AC71" s="148">
        <f t="shared" si="15"/>
        <v>39.42870968</v>
      </c>
      <c r="AD71" s="145"/>
    </row>
    <row r="72">
      <c r="A72" s="153" t="s">
        <v>279</v>
      </c>
      <c r="B72" s="150">
        <f>B18/(Formulas!$C32*B6+B30)</f>
        <v>1.5271065</v>
      </c>
      <c r="C72" s="150">
        <f>C18/(Formulas!$C32*C6+C30)</f>
        <v>1.287432255</v>
      </c>
      <c r="D72" s="150">
        <f>D18/(Formulas!$C32*D6+D30)</f>
        <v>1.217010578</v>
      </c>
      <c r="E72" s="150">
        <f>E18/(Formulas!$C32*E6+E30)</f>
        <v>1.308930239</v>
      </c>
      <c r="F72" s="150">
        <f>F18/(Formulas!$C32*F6+F30)</f>
        <v>1.035411803</v>
      </c>
      <c r="G72" s="150">
        <f>G18/(Formulas!$C32*G6+G30)</f>
        <v>1.066157792</v>
      </c>
      <c r="H72" s="150">
        <f>H18/(Formulas!$C32*H6+H30)</f>
        <v>1.373214275</v>
      </c>
      <c r="I72" s="150">
        <f>I18/(Formulas!$C32*I6+I30)</f>
        <v>1.272792893</v>
      </c>
      <c r="J72" s="150">
        <f>J18/(Formulas!$C32*J6+J30)</f>
        <v>1.537492699</v>
      </c>
      <c r="K72" s="150">
        <f>K18/(Formulas!$C32*K6+K30)</f>
        <v>1.523332858</v>
      </c>
      <c r="L72" s="150">
        <f>L18/(Formulas!$C32*L6+L30)</f>
        <v>1.683552687</v>
      </c>
      <c r="M72" s="150">
        <f>M18/(Formulas!$C32*M6+M30)</f>
        <v>1.504900888</v>
      </c>
      <c r="N72" s="150">
        <f>N18/(Formulas!$C32*N6+N30)</f>
        <v>1.535749873</v>
      </c>
      <c r="O72" s="150">
        <f>O18/(Formulas!$C32*O6+O30)</f>
        <v>1.656623207</v>
      </c>
      <c r="P72" s="150">
        <f>P18/(Formulas!$C32*P6+P30)</f>
        <v>1.392274393</v>
      </c>
      <c r="Q72" s="150">
        <f>Q18/(Formulas!$C32*Q6+Q30)</f>
        <v>1.405867122</v>
      </c>
      <c r="R72" s="150">
        <f>R18/(Formulas!$C32*R6+R30)</f>
        <v>1.689471534</v>
      </c>
      <c r="S72" s="150">
        <f>S18/(Formulas!$C32*S6+S30)</f>
        <v>1.328855204</v>
      </c>
      <c r="T72" s="150">
        <f>T18/(Formulas!$C32*T6+T30)</f>
        <v>1.444157795</v>
      </c>
      <c r="U72" s="150">
        <f>U18/(Formulas!$C32*U6+U30)</f>
        <v>1.50088393</v>
      </c>
      <c r="V72" s="150">
        <f>V18/(Formulas!$C32*V6+V30)</f>
        <v>1.468636116</v>
      </c>
      <c r="W72" s="150">
        <f>W18/(Formulas!$C32*W6+W30)</f>
        <v>1.490605795</v>
      </c>
      <c r="X72" s="150">
        <f>X18/(Formulas!$C32*X6+X30)</f>
        <v>1.461476441</v>
      </c>
      <c r="Y72" s="150">
        <f>Y18/(Formulas!$C32*Y6+Y30)</f>
        <v>1.410468157</v>
      </c>
      <c r="Z72" s="150">
        <f>Z18/(Formulas!$C32*Z6+Z30)</f>
        <v>1.602096075</v>
      </c>
      <c r="AA72" s="150">
        <f>AA18/(Formulas!$C32*AA6+AA30)</f>
        <v>1.452975057</v>
      </c>
      <c r="AB72" s="150">
        <f>AB18/(Formulas!$C32*AB6+AB30)</f>
        <v>1.464304882</v>
      </c>
      <c r="AC72" s="150">
        <f>AC18/(Formulas!$C32*AC6+AC30)</f>
        <v>1.137790212</v>
      </c>
      <c r="AD72" s="145"/>
    </row>
    <row r="73">
      <c r="A73" s="27"/>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145"/>
    </row>
    <row r="74">
      <c r="A74" s="154" t="s">
        <v>281</v>
      </c>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145"/>
    </row>
    <row r="75">
      <c r="A75" s="56" t="s">
        <v>276</v>
      </c>
      <c r="B75" s="121">
        <f>B19-(B7*Formulas!$C32)-B31</f>
        <v>0</v>
      </c>
      <c r="C75" s="121">
        <f>C19-(C7*Formulas!$C32)-C31</f>
        <v>-286.63</v>
      </c>
      <c r="D75" s="121">
        <f>D19-(D7*Formulas!$C32)-D31</f>
        <v>-982.5258458</v>
      </c>
      <c r="E75" s="121">
        <f>E19-(E7*Formulas!$C32)-E31</f>
        <v>-781.6158458</v>
      </c>
      <c r="F75" s="121">
        <f>F19-(F7*Formulas!$C32)-F31</f>
        <v>277.3507711</v>
      </c>
      <c r="G75" s="121">
        <f>G19-(G7*Formulas!$C32)-G31</f>
        <v>-935.77</v>
      </c>
      <c r="H75" s="121">
        <f>H19-(H7*Formulas!$C32)-H31</f>
        <v>-1350.45</v>
      </c>
      <c r="I75" s="121">
        <f>I19-(I7*Formulas!$C32)-I31</f>
        <v>-1050.2</v>
      </c>
      <c r="J75" s="121">
        <f>J19-(J7*Formulas!$C32)-J31</f>
        <v>-599.42</v>
      </c>
      <c r="K75" s="121">
        <f>K19-(K7*Formulas!$C32)-K31</f>
        <v>-620.22</v>
      </c>
      <c r="L75" s="121">
        <f>L19-(L7*Formulas!$C32)-L31</f>
        <v>31.51830845</v>
      </c>
      <c r="M75" s="121">
        <f>M19-(M7*Formulas!$C32)-M31</f>
        <v>-364.5416916</v>
      </c>
      <c r="N75" s="121">
        <f>N19-(N7*Formulas!$C32)-N31</f>
        <v>-549.75</v>
      </c>
      <c r="O75" s="121">
        <f>O19-(O7*Formulas!$C32)-O31</f>
        <v>557.7166169</v>
      </c>
      <c r="P75" s="121">
        <f>P19-(P7*Formulas!$C32)-P31</f>
        <v>-299.65</v>
      </c>
      <c r="Q75" s="121">
        <f>Q19-(Q7*Formulas!$C32)-Q31</f>
        <v>-298.87</v>
      </c>
      <c r="R75" s="121">
        <f>R19-(R7*Formulas!$C32)-R31</f>
        <v>-247.56</v>
      </c>
      <c r="S75" s="121">
        <f>S19-(S7*Formulas!$C32)-S31</f>
        <v>-159.21</v>
      </c>
      <c r="T75" s="121">
        <f>T19-(T7*Formulas!$C32)-T31</f>
        <v>234.5641542</v>
      </c>
      <c r="U75" s="121">
        <f>U19-(U7*Formulas!$C32)-U31</f>
        <v>0</v>
      </c>
      <c r="V75" s="121">
        <f>V19-(V7*Formulas!$C32)-V31</f>
        <v>0</v>
      </c>
      <c r="W75" s="121">
        <f>W19-(W7*Formulas!$C32)-W31</f>
        <v>220.2641542</v>
      </c>
      <c r="X75" s="121">
        <f>X19-(X7*Formulas!$C32)-X31</f>
        <v>0</v>
      </c>
      <c r="Y75" s="121">
        <f>Y19-(Y7*Formulas!$C32)-Y31</f>
        <v>0</v>
      </c>
      <c r="Z75" s="121">
        <f>Z19-(Z7*Formulas!$C32)-Z31</f>
        <v>0</v>
      </c>
      <c r="AA75" s="121">
        <f>AA19-(AA7*Formulas!$C32)-AA31</f>
        <v>0</v>
      </c>
      <c r="AB75" s="121">
        <f>AB19-(AB7*Formulas!$C32)-AB31</f>
        <v>0</v>
      </c>
      <c r="AC75" s="121">
        <f>AC19-(AC7*Formulas!$C32)-AC31</f>
        <v>0</v>
      </c>
      <c r="AD75" s="145">
        <f>SUM(B75:AC75)</f>
        <v>-7204.999378</v>
      </c>
    </row>
    <row r="76">
      <c r="A76" s="56" t="s">
        <v>277</v>
      </c>
      <c r="B76" s="147" t="str">
        <f t="shared" ref="B76:AC76" si="16">B19/B31</f>
        <v>#DIV/0!</v>
      </c>
      <c r="C76" s="147">
        <f t="shared" si="16"/>
        <v>0</v>
      </c>
      <c r="D76" s="147">
        <f t="shared" si="16"/>
        <v>0.04048436243</v>
      </c>
      <c r="E76" s="147">
        <f t="shared" si="16"/>
        <v>0.2735530872</v>
      </c>
      <c r="F76" s="147">
        <f t="shared" si="16"/>
        <v>2.275458942</v>
      </c>
      <c r="G76" s="147">
        <f t="shared" si="16"/>
        <v>0</v>
      </c>
      <c r="H76" s="147">
        <f t="shared" si="16"/>
        <v>0</v>
      </c>
      <c r="I76" s="147">
        <f t="shared" si="16"/>
        <v>0</v>
      </c>
      <c r="J76" s="147">
        <f t="shared" si="16"/>
        <v>0</v>
      </c>
      <c r="K76" s="147">
        <f t="shared" si="16"/>
        <v>0</v>
      </c>
      <c r="L76" s="147">
        <f t="shared" si="16"/>
        <v>2.215456957</v>
      </c>
      <c r="M76" s="147">
        <f t="shared" si="16"/>
        <v>0.8774155538</v>
      </c>
      <c r="N76" s="147">
        <f t="shared" si="16"/>
        <v>0</v>
      </c>
      <c r="O76" s="147">
        <f t="shared" si="16"/>
        <v>4.668312538</v>
      </c>
      <c r="P76" s="147">
        <f t="shared" si="16"/>
        <v>0</v>
      </c>
      <c r="Q76" s="147">
        <f t="shared" si="16"/>
        <v>0</v>
      </c>
      <c r="R76" s="147">
        <f t="shared" si="16"/>
        <v>0</v>
      </c>
      <c r="S76" s="147">
        <f t="shared" si="16"/>
        <v>0</v>
      </c>
      <c r="T76" s="147" t="str">
        <f t="shared" si="16"/>
        <v>#DIV/0!</v>
      </c>
      <c r="U76" s="147" t="str">
        <f t="shared" si="16"/>
        <v>#DIV/0!</v>
      </c>
      <c r="V76" s="147" t="str">
        <f t="shared" si="16"/>
        <v>#DIV/0!</v>
      </c>
      <c r="W76" s="147" t="str">
        <f t="shared" si="16"/>
        <v>#DIV/0!</v>
      </c>
      <c r="X76" s="147" t="str">
        <f t="shared" si="16"/>
        <v>#DIV/0!</v>
      </c>
      <c r="Y76" s="147" t="str">
        <f t="shared" si="16"/>
        <v>#DIV/0!</v>
      </c>
      <c r="Z76" s="147" t="str">
        <f t="shared" si="16"/>
        <v>#DIV/0!</v>
      </c>
      <c r="AA76" s="147" t="str">
        <f t="shared" si="16"/>
        <v>#DIV/0!</v>
      </c>
      <c r="AB76" s="147" t="str">
        <f t="shared" si="16"/>
        <v>#DIV/0!</v>
      </c>
      <c r="AC76" s="147" t="str">
        <f t="shared" si="16"/>
        <v>#DIV/0!</v>
      </c>
      <c r="AD76" s="145"/>
    </row>
    <row r="77">
      <c r="A77" s="56" t="s">
        <v>278</v>
      </c>
      <c r="B77" s="148" t="str">
        <f t="shared" ref="B77:AC77" si="17">B31/B7</f>
        <v>#DIV/0!</v>
      </c>
      <c r="C77" s="148" t="str">
        <f t="shared" si="17"/>
        <v>#DIV/0!</v>
      </c>
      <c r="D77" s="148">
        <f t="shared" si="17"/>
        <v>882.81</v>
      </c>
      <c r="E77" s="148">
        <f t="shared" si="17"/>
        <v>889.48</v>
      </c>
      <c r="F77" s="148">
        <f t="shared" si="17"/>
        <v>149.692</v>
      </c>
      <c r="G77" s="148" t="str">
        <f t="shared" si="17"/>
        <v>#DIV/0!</v>
      </c>
      <c r="H77" s="148" t="str">
        <f t="shared" si="17"/>
        <v>#DIV/0!</v>
      </c>
      <c r="I77" s="148" t="str">
        <f t="shared" si="17"/>
        <v>#DIV/0!</v>
      </c>
      <c r="J77" s="148" t="str">
        <f t="shared" si="17"/>
        <v>#DIV/0!</v>
      </c>
      <c r="K77" s="148" t="str">
        <f t="shared" si="17"/>
        <v>#DIV/0!</v>
      </c>
      <c r="L77" s="148">
        <f t="shared" si="17"/>
        <v>124.41</v>
      </c>
      <c r="M77" s="148">
        <f t="shared" si="17"/>
        <v>381.9</v>
      </c>
      <c r="N77" s="148" t="str">
        <f t="shared" si="17"/>
        <v>#DIV/0!</v>
      </c>
      <c r="O77" s="148">
        <f t="shared" si="17"/>
        <v>74.935</v>
      </c>
      <c r="P77" s="148" t="str">
        <f t="shared" si="17"/>
        <v>#DIV/0!</v>
      </c>
      <c r="Q77" s="148" t="str">
        <f t="shared" si="17"/>
        <v>#DIV/0!</v>
      </c>
      <c r="R77" s="148" t="str">
        <f t="shared" si="17"/>
        <v>#DIV/0!</v>
      </c>
      <c r="S77" s="148" t="str">
        <f t="shared" si="17"/>
        <v>#DIV/0!</v>
      </c>
      <c r="T77" s="148">
        <f t="shared" si="17"/>
        <v>0</v>
      </c>
      <c r="U77" s="148" t="str">
        <f t="shared" si="17"/>
        <v>#DIV/0!</v>
      </c>
      <c r="V77" s="148" t="str">
        <f t="shared" si="17"/>
        <v>#DIV/0!</v>
      </c>
      <c r="W77" s="148">
        <f t="shared" si="17"/>
        <v>0</v>
      </c>
      <c r="X77" s="148" t="str">
        <f t="shared" si="17"/>
        <v>#DIV/0!</v>
      </c>
      <c r="Y77" s="148" t="str">
        <f t="shared" si="17"/>
        <v>#DIV/0!</v>
      </c>
      <c r="Z77" s="148" t="str">
        <f t="shared" si="17"/>
        <v>#DIV/0!</v>
      </c>
      <c r="AA77" s="148" t="str">
        <f t="shared" si="17"/>
        <v>#DIV/0!</v>
      </c>
      <c r="AB77" s="148" t="str">
        <f t="shared" si="17"/>
        <v>#DIV/0!</v>
      </c>
      <c r="AC77" s="148" t="str">
        <f t="shared" si="17"/>
        <v>#DIV/0!</v>
      </c>
      <c r="AD77" s="145"/>
    </row>
    <row r="78">
      <c r="A78" s="155" t="s">
        <v>279</v>
      </c>
      <c r="B78" s="150" t="str">
        <f>B19/(Formulas!$C32*B7+B31)</f>
        <v>#DIV/0!</v>
      </c>
      <c r="C78" s="150">
        <f>C19/(Formulas!$C32*C7+C31)</f>
        <v>0</v>
      </c>
      <c r="D78" s="150">
        <f>D19/(Formulas!$C32*D7+D31)</f>
        <v>0.0350988891</v>
      </c>
      <c r="E78" s="150">
        <f>E19/(Formulas!$C32*E7+E31)</f>
        <v>0.2374002246</v>
      </c>
      <c r="F78" s="150">
        <f>F19/(Formulas!$C32*F7+F31)</f>
        <v>1.194531206</v>
      </c>
      <c r="G78" s="150">
        <f>G19/(Formulas!$C32*G7+G31)</f>
        <v>0</v>
      </c>
      <c r="H78" s="150">
        <f>H19/(Formulas!$C32*H7+H31)</f>
        <v>0</v>
      </c>
      <c r="I78" s="150">
        <f>I19/(Formulas!$C32*I7+I31)</f>
        <v>0</v>
      </c>
      <c r="J78" s="150">
        <f>J19/(Formulas!$C32*J7+J31)</f>
        <v>0</v>
      </c>
      <c r="K78" s="150">
        <f>K19/(Formulas!$C32*K7+K31)</f>
        <v>0</v>
      </c>
      <c r="L78" s="150">
        <f>L19/(Formulas!$C32*L7+L31)</f>
        <v>1.060643422</v>
      </c>
      <c r="M78" s="150">
        <f>M19/(Formulas!$C32*M7+M31)</f>
        <v>0.6476876655</v>
      </c>
      <c r="N78" s="150">
        <f>N19/(Formulas!$C32*N7+N31)</f>
        <v>0</v>
      </c>
      <c r="O78" s="150">
        <f>O19/(Formulas!$C32*O7+O31)</f>
        <v>1.662714928</v>
      </c>
      <c r="P78" s="150">
        <f>P19/(Formulas!$C32*P7+P31)</f>
        <v>0</v>
      </c>
      <c r="Q78" s="150">
        <f>Q19/(Formulas!$C32*Q7+Q31)</f>
        <v>0</v>
      </c>
      <c r="R78" s="150">
        <f>R19/(Formulas!$C32*R7+R31)</f>
        <v>0</v>
      </c>
      <c r="S78" s="150">
        <f>S19/(Formulas!$C32*S7+S31)</f>
        <v>0</v>
      </c>
      <c r="T78" s="150">
        <f>T19/(Formulas!$C32*T7+T31)</f>
        <v>2.731665052</v>
      </c>
      <c r="U78" s="150" t="str">
        <f>U19/(Formulas!$C32*U7+U31)</f>
        <v>#DIV/0!</v>
      </c>
      <c r="V78" s="150" t="str">
        <f>V19/(Formulas!$C32*V7+V31)</f>
        <v>#DIV/0!</v>
      </c>
      <c r="W78" s="150">
        <f>W19/(Formulas!$C32*W7+W31)</f>
        <v>2.626095596</v>
      </c>
      <c r="X78" s="150" t="str">
        <f>X19/(Formulas!$C32*X7+X31)</f>
        <v>#DIV/0!</v>
      </c>
      <c r="Y78" s="150" t="str">
        <f>Y19/(Formulas!$C32*Y7+Y31)</f>
        <v>#DIV/0!</v>
      </c>
      <c r="Z78" s="150" t="str">
        <f>Z19/(Formulas!$C32*Z7+Z31)</f>
        <v>#DIV/0!</v>
      </c>
      <c r="AA78" s="150" t="str">
        <f>AA19/(Formulas!$C32*AA7+AA31)</f>
        <v>#DIV/0!</v>
      </c>
      <c r="AB78" s="150" t="str">
        <f>AB19/(Formulas!$C32*AB7+AB31)</f>
        <v>#DIV/0!</v>
      </c>
      <c r="AC78" s="150" t="str">
        <f>AC19/(Formulas!$C32*AC7+AC31)</f>
        <v>#DIV/0!</v>
      </c>
      <c r="AD78" s="145"/>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145"/>
    </row>
    <row r="80">
      <c r="A80" s="156" t="s">
        <v>282</v>
      </c>
      <c r="B80" s="157"/>
      <c r="C80" s="157"/>
      <c r="D80" s="157"/>
      <c r="E80" s="157"/>
      <c r="F80" s="157"/>
      <c r="G80" s="157"/>
      <c r="H80" s="157"/>
      <c r="I80" s="157"/>
      <c r="J80" s="157"/>
      <c r="K80" s="157"/>
      <c r="L80" s="157"/>
      <c r="M80" s="157"/>
      <c r="N80" s="157"/>
      <c r="O80" s="157"/>
      <c r="P80" s="157"/>
      <c r="Q80" s="157"/>
      <c r="R80" s="157"/>
      <c r="S80" s="157"/>
      <c r="T80" s="157"/>
      <c r="U80" s="157"/>
      <c r="V80" s="157"/>
      <c r="W80" s="157"/>
      <c r="X80" s="157"/>
      <c r="Y80" s="157"/>
      <c r="Z80" s="157"/>
      <c r="AA80" s="157"/>
      <c r="AB80" s="157"/>
      <c r="AC80" s="157"/>
      <c r="AD80" s="145"/>
    </row>
    <row r="81">
      <c r="A81" s="158" t="s">
        <v>276</v>
      </c>
      <c r="B81" s="121">
        <f>B20-(B8*Formulas!$C32)-B32</f>
        <v>802.8990796</v>
      </c>
      <c r="C81" s="121">
        <f>C20-(C8*Formulas!$C32)-C32</f>
        <v>935.5632338</v>
      </c>
      <c r="D81" s="121">
        <f>D20-(D8*Formulas!$C32)-D32</f>
        <v>163.7983084</v>
      </c>
      <c r="E81" s="121">
        <f>E20-(E8*Formulas!$C32)-E32</f>
        <v>67.46415422</v>
      </c>
      <c r="F81" s="121">
        <f>F20-(F8*Formulas!$C32)-F32</f>
        <v>597.2107711</v>
      </c>
      <c r="G81" s="121">
        <f>G20-(G8*Formulas!$C32)-G32</f>
        <v>195.1383084</v>
      </c>
      <c r="H81" s="121">
        <f>H20-(H8*Formulas!$C32)-H32</f>
        <v>967.1732338</v>
      </c>
      <c r="I81" s="121">
        <f>I20-(I8*Formulas!$C32)-I32</f>
        <v>574.1107711</v>
      </c>
      <c r="J81" s="121">
        <f>J20-(J8*Formulas!$C32)-J32</f>
        <v>423.4566169</v>
      </c>
      <c r="K81" s="121">
        <f>K20-(K8*Formulas!$C32)-K32</f>
        <v>446.2166169</v>
      </c>
      <c r="L81" s="121">
        <f>L20-(L8*Formulas!$C32)-L32</f>
        <v>-45.75</v>
      </c>
      <c r="M81" s="121">
        <f>M20-(M8*Formulas!$C32)-M32</f>
        <v>580.2807711</v>
      </c>
      <c r="N81" s="121">
        <f>N20-(N8*Formulas!$C32)-N32</f>
        <v>1089.677388</v>
      </c>
      <c r="O81" s="121">
        <f>O20-(O8*Formulas!$C32)-O32</f>
        <v>692.1849253</v>
      </c>
      <c r="P81" s="121">
        <f>P20-(P8*Formulas!$C32)-P32</f>
        <v>833.4390796</v>
      </c>
      <c r="Q81" s="121">
        <f>Q20-(Q8*Formulas!$C32)-Q32</f>
        <v>187.4383084</v>
      </c>
      <c r="R81" s="121">
        <f>R20-(R8*Formulas!$C32)-R32</f>
        <v>208.5583084</v>
      </c>
      <c r="S81" s="121">
        <f>S20-(S8*Formulas!$C32)-S32</f>
        <v>303.9524627</v>
      </c>
      <c r="T81" s="121">
        <f>T20-(T8*Formulas!$C32)-T32</f>
        <v>172.6783084</v>
      </c>
      <c r="U81" s="121">
        <f>U20-(U8*Formulas!$C32)-U32</f>
        <v>427.4766169</v>
      </c>
      <c r="V81" s="121">
        <f>V20-(V8*Formulas!$C32)-V32</f>
        <v>570.6807711</v>
      </c>
      <c r="W81" s="121">
        <f>W20-(W8*Formulas!$C32)-W32</f>
        <v>825.2090796</v>
      </c>
      <c r="X81" s="121">
        <f>X20-(X8*Formulas!$C32)-X32</f>
        <v>323.1224627</v>
      </c>
      <c r="Y81" s="121">
        <f>Y20-(Y8*Formulas!$C32)-Y32</f>
        <v>329.4624627</v>
      </c>
      <c r="Z81" s="121">
        <f>Z20-(Z8*Formulas!$C32)-Z32</f>
        <v>336.9224627</v>
      </c>
      <c r="AA81" s="121">
        <f>AA20-(AA8*Formulas!$C32)-AA32</f>
        <v>196.2183084</v>
      </c>
      <c r="AB81" s="121">
        <f>AB20-(AB8*Formulas!$C32)-AB32</f>
        <v>470.5466169</v>
      </c>
      <c r="AC81" s="121">
        <f>AC20-(AC8*Formulas!$C32)-AC32</f>
        <v>483.7807711</v>
      </c>
      <c r="AD81" s="145">
        <f>SUM(B81:AC81)</f>
        <v>13158.9102</v>
      </c>
    </row>
    <row r="82">
      <c r="A82" s="158" t="s">
        <v>277</v>
      </c>
      <c r="B82" s="147">
        <f t="shared" ref="B82:AC82" si="18">B20/B32</f>
        <v>16.78838698</v>
      </c>
      <c r="C82" s="147">
        <f t="shared" si="18"/>
        <v>19.56062138</v>
      </c>
      <c r="D82" s="147">
        <f t="shared" si="18"/>
        <v>5.468187892</v>
      </c>
      <c r="E82" s="147">
        <f t="shared" si="18"/>
        <v>4.21686747</v>
      </c>
      <c r="F82" s="147">
        <f t="shared" si="18"/>
        <v>23.95964691</v>
      </c>
      <c r="G82" s="147">
        <f t="shared" si="18"/>
        <v>8.06671721</v>
      </c>
      <c r="H82" s="147">
        <f t="shared" si="18"/>
        <v>27.57190982</v>
      </c>
      <c r="I82" s="147">
        <f t="shared" si="18"/>
        <v>16.91896705</v>
      </c>
      <c r="J82" s="147">
        <f t="shared" si="18"/>
        <v>10.77795786</v>
      </c>
      <c r="K82" s="147">
        <f t="shared" si="18"/>
        <v>14.0073723</v>
      </c>
      <c r="L82" s="147">
        <f t="shared" si="18"/>
        <v>0</v>
      </c>
      <c r="M82" s="147">
        <f t="shared" si="18"/>
        <v>18.36002209</v>
      </c>
      <c r="N82" s="147">
        <f t="shared" si="18"/>
        <v>28.09199718</v>
      </c>
      <c r="O82" s="147">
        <f t="shared" si="18"/>
        <v>17.52305665</v>
      </c>
      <c r="P82" s="147">
        <f t="shared" si="18"/>
        <v>23.1678487</v>
      </c>
      <c r="Q82" s="147">
        <f t="shared" si="18"/>
        <v>7.2233537</v>
      </c>
      <c r="R82" s="147">
        <f t="shared" si="18"/>
        <v>10.12754616</v>
      </c>
      <c r="S82" s="147">
        <f t="shared" si="18"/>
        <v>9.101277372</v>
      </c>
      <c r="T82" s="147">
        <f t="shared" si="18"/>
        <v>6.017418844</v>
      </c>
      <c r="U82" s="147">
        <f t="shared" si="18"/>
        <v>11.23548046</v>
      </c>
      <c r="V82" s="147">
        <f t="shared" si="18"/>
        <v>16.2116041</v>
      </c>
      <c r="W82" s="147">
        <f t="shared" si="18"/>
        <v>21.01580135</v>
      </c>
      <c r="X82" s="147">
        <f t="shared" si="18"/>
        <v>11.64793461</v>
      </c>
      <c r="Y82" s="147">
        <f t="shared" si="18"/>
        <v>12.83577288</v>
      </c>
      <c r="Z82" s="147">
        <f t="shared" si="18"/>
        <v>14.5859989</v>
      </c>
      <c r="AA82" s="147">
        <f t="shared" si="18"/>
        <v>8.201017419</v>
      </c>
      <c r="AB82" s="147">
        <f t="shared" si="18"/>
        <v>20.60817354</v>
      </c>
      <c r="AC82" s="147">
        <f t="shared" si="18"/>
        <v>7.872617497</v>
      </c>
      <c r="AD82" s="145"/>
    </row>
    <row r="83">
      <c r="A83" s="158" t="s">
        <v>278</v>
      </c>
      <c r="B83" s="148">
        <f t="shared" ref="B83:AC83" si="19">B32/B8</f>
        <v>15.84428571</v>
      </c>
      <c r="C83" s="148">
        <f t="shared" si="19"/>
        <v>13.59875</v>
      </c>
      <c r="D83" s="148">
        <f t="shared" si="19"/>
        <v>48.645</v>
      </c>
      <c r="E83" s="148">
        <f t="shared" si="19"/>
        <v>63.08</v>
      </c>
      <c r="F83" s="148">
        <f t="shared" si="19"/>
        <v>11.102</v>
      </c>
      <c r="G83" s="148">
        <f t="shared" si="19"/>
        <v>32.975</v>
      </c>
      <c r="H83" s="148">
        <f t="shared" si="19"/>
        <v>9.6475</v>
      </c>
      <c r="I83" s="148">
        <f t="shared" si="19"/>
        <v>15.722</v>
      </c>
      <c r="J83" s="148">
        <f t="shared" si="19"/>
        <v>24.68</v>
      </c>
      <c r="K83" s="148">
        <f t="shared" si="19"/>
        <v>18.99</v>
      </c>
      <c r="L83" s="148" t="str">
        <f t="shared" si="19"/>
        <v>#DIV/0!</v>
      </c>
      <c r="M83" s="148">
        <f t="shared" si="19"/>
        <v>14.488</v>
      </c>
      <c r="N83" s="148">
        <f t="shared" si="19"/>
        <v>9.468888889</v>
      </c>
      <c r="O83" s="148">
        <f t="shared" si="19"/>
        <v>15.18</v>
      </c>
      <c r="P83" s="148">
        <f t="shared" si="19"/>
        <v>11.48142857</v>
      </c>
      <c r="Q83" s="148">
        <f t="shared" si="19"/>
        <v>36.825</v>
      </c>
      <c r="R83" s="148">
        <f t="shared" si="19"/>
        <v>26.265</v>
      </c>
      <c r="S83" s="148">
        <f t="shared" si="19"/>
        <v>29.22666667</v>
      </c>
      <c r="T83" s="148">
        <f t="shared" si="19"/>
        <v>44.205</v>
      </c>
      <c r="U83" s="148">
        <f t="shared" si="19"/>
        <v>23.675</v>
      </c>
      <c r="V83" s="148">
        <f t="shared" si="19"/>
        <v>16.408</v>
      </c>
      <c r="W83" s="148">
        <f t="shared" si="19"/>
        <v>12.65714286</v>
      </c>
      <c r="X83" s="148">
        <f t="shared" si="19"/>
        <v>22.83666667</v>
      </c>
      <c r="Y83" s="148">
        <f t="shared" si="19"/>
        <v>20.72333333</v>
      </c>
      <c r="Z83" s="148">
        <f t="shared" si="19"/>
        <v>18.23666667</v>
      </c>
      <c r="AA83" s="148">
        <f t="shared" si="19"/>
        <v>32.435</v>
      </c>
      <c r="AB83" s="148">
        <f t="shared" si="19"/>
        <v>12.9075</v>
      </c>
      <c r="AC83" s="148">
        <f t="shared" si="19"/>
        <v>33.788</v>
      </c>
      <c r="AD83" s="145"/>
    </row>
    <row r="84">
      <c r="A84" s="159" t="s">
        <v>279</v>
      </c>
      <c r="B84" s="150">
        <f>B20/(Formulas!$C32*B8+B32)</f>
        <v>1.758094969</v>
      </c>
      <c r="C84" s="150">
        <f>C20/(Formulas!$C32*C8+C32)</f>
        <v>1.784581003</v>
      </c>
      <c r="D84" s="150">
        <f>D20/(Formulas!$C32*D8+D32)</f>
        <v>1.444860282</v>
      </c>
      <c r="E84" s="150">
        <f>E20/(Formulas!$C32*E8+E32)</f>
        <v>1.339808431</v>
      </c>
      <c r="F84" s="150">
        <f>F20/(Formulas!$C32*F8+F32)</f>
        <v>1.81498301</v>
      </c>
      <c r="G84" s="150">
        <f>G20/(Formulas!$C32*G8+G32)</f>
        <v>1.57928317</v>
      </c>
      <c r="H84" s="150">
        <f>H20/(Formulas!$C32*H8+H32)</f>
        <v>1.8331762</v>
      </c>
      <c r="I84" s="150">
        <f>I20/(Formulas!$C32*I8+I32)</f>
        <v>1.759517068</v>
      </c>
      <c r="J84" s="150">
        <f>J20/(Formulas!$C32*J8+J32)</f>
        <v>1.661089675</v>
      </c>
      <c r="K84" s="150">
        <f>K20/(Formulas!$C32*K8+K32)</f>
        <v>1.722286531</v>
      </c>
      <c r="L84" s="150">
        <f>L20/(Formulas!$C32*L8+L32)</f>
        <v>0</v>
      </c>
      <c r="M84" s="150">
        <f>M20/(Formulas!$C32*M8+M32)</f>
        <v>1.77399745</v>
      </c>
      <c r="N84" s="150">
        <f>N20/(Formulas!$C32*N8+N32)</f>
        <v>1.83543548</v>
      </c>
      <c r="O84" s="150">
        <f>O20/(Formulas!$C32*O8+O32)</f>
        <v>1.765847954</v>
      </c>
      <c r="P84" s="150">
        <f>P20/(Formulas!$C32*P8+P32)</f>
        <v>1.810296272</v>
      </c>
      <c r="Q84" s="150">
        <f>Q20/(Formulas!$C32*Q8+Q32)</f>
        <v>1.543990563</v>
      </c>
      <c r="R84" s="150">
        <f>R20/(Formulas!$C32*R8+R32)</f>
        <v>1.644809602</v>
      </c>
      <c r="S84" s="150">
        <f>S20/(Formulas!$C32*S8+S32)</f>
        <v>1.615229183</v>
      </c>
      <c r="T84" s="150">
        <f>T20/(Formulas!$C32*T8+T32)</f>
        <v>1.480567448</v>
      </c>
      <c r="U84" s="150">
        <f>U20/(Formulas!$C32*U8+U32)</f>
        <v>1.671580382</v>
      </c>
      <c r="V84" s="150">
        <f>V20/(Formulas!$C32*V8+V32)</f>
        <v>1.75156897</v>
      </c>
      <c r="W84" s="150">
        <f>W20/(Formulas!$C32*W8+W32)</f>
        <v>1.795926221</v>
      </c>
      <c r="X84" s="150">
        <f>X20/(Formulas!$C32*X8+X32)</f>
        <v>1.680433243</v>
      </c>
      <c r="Y84" s="150">
        <f>Y20/(Formulas!$C32*Y8+Y32)</f>
        <v>1.703171969</v>
      </c>
      <c r="Z84" s="150">
        <f>Z20/(Formulas!$C32*Z8+Z32)</f>
        <v>1.730728425</v>
      </c>
      <c r="AA84" s="150">
        <f>AA20/(Formulas!$C32*AA8+AA32)</f>
        <v>1.584362737</v>
      </c>
      <c r="AB84" s="150">
        <f>AB20/(Formulas!$C32*AB8+AB32)</f>
        <v>1.792895668</v>
      </c>
      <c r="AC84" s="150">
        <f>AC20/(Formulas!$C32*AC8+AC32)</f>
        <v>1.571696736</v>
      </c>
      <c r="AD84" s="145"/>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145"/>
    </row>
    <row r="86">
      <c r="A86" s="160" t="s">
        <v>115</v>
      </c>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145"/>
    </row>
    <row r="87">
      <c r="A87" s="161" t="s">
        <v>276</v>
      </c>
      <c r="B87" s="121">
        <f>B21-(B9*Formulas!$C32)-B33</f>
        <v>0</v>
      </c>
      <c r="C87" s="121">
        <f>C21-(C9*Formulas!$C32)-C33</f>
        <v>0</v>
      </c>
      <c r="D87" s="121">
        <f>D21-(D9*Formulas!$C32)-D33</f>
        <v>0</v>
      </c>
      <c r="E87" s="121">
        <f>E21-(E9*Formulas!$C32)-E33</f>
        <v>0</v>
      </c>
      <c r="F87" s="121">
        <f>F21-(F9*Formulas!$C32)-F33</f>
        <v>0</v>
      </c>
      <c r="G87" s="121">
        <f>G21-(G9*Formulas!$C32)-G33</f>
        <v>0</v>
      </c>
      <c r="H87" s="121">
        <f>H21-(H9*Formulas!$C32)-H33</f>
        <v>0</v>
      </c>
      <c r="I87" s="121">
        <f>I21-(I9*Formulas!$C32)-I33</f>
        <v>0</v>
      </c>
      <c r="J87" s="121">
        <f>J21-(J9*Formulas!$C32)-J33</f>
        <v>0</v>
      </c>
      <c r="K87" s="121">
        <f>K21-(K9*Formulas!$C32)-K33</f>
        <v>0</v>
      </c>
      <c r="L87" s="121">
        <f>L21-(L9*Formulas!$C32)-L33</f>
        <v>0</v>
      </c>
      <c r="M87" s="121">
        <f>M21-(M9*Formulas!$C32)-M33</f>
        <v>0</v>
      </c>
      <c r="N87" s="121">
        <f>N21-(N9*Formulas!$C32)-N33</f>
        <v>0</v>
      </c>
      <c r="O87" s="121">
        <f>O21-(O9*Formulas!$C32)-O33</f>
        <v>0</v>
      </c>
      <c r="P87" s="121">
        <f>P21-(P9*Formulas!$C32)-P33</f>
        <v>0</v>
      </c>
      <c r="Q87" s="121">
        <f>Q21-(Q9*Formulas!$C32)-Q33</f>
        <v>0</v>
      </c>
      <c r="R87" s="121">
        <f>R21-(R9*Formulas!$C32)-R33</f>
        <v>0</v>
      </c>
      <c r="S87" s="121">
        <f>S21-(S9*Formulas!$C32)-S33</f>
        <v>0</v>
      </c>
      <c r="T87" s="121">
        <f>T21-(T9*Formulas!$C32)-T33</f>
        <v>0</v>
      </c>
      <c r="U87" s="121">
        <f>U21-(U9*Formulas!$C32)-U33</f>
        <v>0</v>
      </c>
      <c r="V87" s="121">
        <f>V21-(V9*Formulas!$C32)-V33</f>
        <v>0</v>
      </c>
      <c r="W87" s="121">
        <f>W21-(W9*Formulas!$C32)-W33</f>
        <v>0</v>
      </c>
      <c r="X87" s="121">
        <f>X21-(X9*Formulas!$C32)-X33</f>
        <v>0</v>
      </c>
      <c r="Y87" s="121">
        <f>Y21-(Y9*Formulas!$C32)-Y33</f>
        <v>0</v>
      </c>
      <c r="Z87" s="121">
        <f>Z21-(Z9*Formulas!$C32)-Z33</f>
        <v>0</v>
      </c>
      <c r="AA87" s="121">
        <f>AA21-(AA9*Formulas!$C32)-AA33</f>
        <v>0</v>
      </c>
      <c r="AB87" s="121">
        <f>AB21-(AB9*Formulas!$C32)-AB33</f>
        <v>0</v>
      </c>
      <c r="AC87" s="121">
        <f>AC21-(AC9*Formulas!$C32)-AC33</f>
        <v>0</v>
      </c>
      <c r="AD87" s="145">
        <f>SUM(B87:AC87)</f>
        <v>0</v>
      </c>
    </row>
    <row r="88">
      <c r="A88" s="161" t="s">
        <v>277</v>
      </c>
      <c r="B88" s="147" t="str">
        <f t="shared" ref="B88:AC88" si="20">B21/B33</f>
        <v>#DIV/0!</v>
      </c>
      <c r="C88" s="147" t="str">
        <f t="shared" si="20"/>
        <v>#DIV/0!</v>
      </c>
      <c r="D88" s="147" t="str">
        <f t="shared" si="20"/>
        <v>#DIV/0!</v>
      </c>
      <c r="E88" s="147" t="str">
        <f t="shared" si="20"/>
        <v>#DIV/0!</v>
      </c>
      <c r="F88" s="147" t="str">
        <f t="shared" si="20"/>
        <v>#DIV/0!</v>
      </c>
      <c r="G88" s="147" t="str">
        <f t="shared" si="20"/>
        <v>#DIV/0!</v>
      </c>
      <c r="H88" s="147" t="str">
        <f t="shared" si="20"/>
        <v>#DIV/0!</v>
      </c>
      <c r="I88" s="147" t="str">
        <f t="shared" si="20"/>
        <v>#DIV/0!</v>
      </c>
      <c r="J88" s="147" t="str">
        <f t="shared" si="20"/>
        <v>#DIV/0!</v>
      </c>
      <c r="K88" s="147" t="str">
        <f t="shared" si="20"/>
        <v>#DIV/0!</v>
      </c>
      <c r="L88" s="147" t="str">
        <f t="shared" si="20"/>
        <v>#DIV/0!</v>
      </c>
      <c r="M88" s="147" t="str">
        <f t="shared" si="20"/>
        <v>#DIV/0!</v>
      </c>
      <c r="N88" s="147" t="str">
        <f t="shared" si="20"/>
        <v>#DIV/0!</v>
      </c>
      <c r="O88" s="147" t="str">
        <f t="shared" si="20"/>
        <v>#DIV/0!</v>
      </c>
      <c r="P88" s="147" t="str">
        <f t="shared" si="20"/>
        <v>#DIV/0!</v>
      </c>
      <c r="Q88" s="147" t="str">
        <f t="shared" si="20"/>
        <v>#DIV/0!</v>
      </c>
      <c r="R88" s="147" t="str">
        <f t="shared" si="20"/>
        <v>#DIV/0!</v>
      </c>
      <c r="S88" s="147" t="str">
        <f t="shared" si="20"/>
        <v>#DIV/0!</v>
      </c>
      <c r="T88" s="147" t="str">
        <f t="shared" si="20"/>
        <v>#DIV/0!</v>
      </c>
      <c r="U88" s="147" t="str">
        <f t="shared" si="20"/>
        <v>#DIV/0!</v>
      </c>
      <c r="V88" s="147" t="str">
        <f t="shared" si="20"/>
        <v>#DIV/0!</v>
      </c>
      <c r="W88" s="147" t="str">
        <f t="shared" si="20"/>
        <v>#DIV/0!</v>
      </c>
      <c r="X88" s="147" t="str">
        <f t="shared" si="20"/>
        <v>#DIV/0!</v>
      </c>
      <c r="Y88" s="147" t="str">
        <f t="shared" si="20"/>
        <v>#DIV/0!</v>
      </c>
      <c r="Z88" s="147" t="str">
        <f t="shared" si="20"/>
        <v>#DIV/0!</v>
      </c>
      <c r="AA88" s="147" t="str">
        <f t="shared" si="20"/>
        <v>#DIV/0!</v>
      </c>
      <c r="AB88" s="147" t="str">
        <f t="shared" si="20"/>
        <v>#DIV/0!</v>
      </c>
      <c r="AC88" s="147" t="str">
        <f t="shared" si="20"/>
        <v>#DIV/0!</v>
      </c>
      <c r="AD88" s="145"/>
    </row>
    <row r="89">
      <c r="A89" s="161" t="s">
        <v>278</v>
      </c>
      <c r="B89" s="148" t="str">
        <f t="shared" ref="B89:AC89" si="21">B33/B9</f>
        <v>#DIV/0!</v>
      </c>
      <c r="C89" s="148" t="str">
        <f t="shared" si="21"/>
        <v>#DIV/0!</v>
      </c>
      <c r="D89" s="148" t="str">
        <f t="shared" si="21"/>
        <v>#DIV/0!</v>
      </c>
      <c r="E89" s="148" t="str">
        <f t="shared" si="21"/>
        <v>#DIV/0!</v>
      </c>
      <c r="F89" s="148" t="str">
        <f t="shared" si="21"/>
        <v>#DIV/0!</v>
      </c>
      <c r="G89" s="148" t="str">
        <f t="shared" si="21"/>
        <v>#DIV/0!</v>
      </c>
      <c r="H89" s="148" t="str">
        <f t="shared" si="21"/>
        <v>#DIV/0!</v>
      </c>
      <c r="I89" s="148" t="str">
        <f t="shared" si="21"/>
        <v>#DIV/0!</v>
      </c>
      <c r="J89" s="148" t="str">
        <f t="shared" si="21"/>
        <v>#DIV/0!</v>
      </c>
      <c r="K89" s="148" t="str">
        <f t="shared" si="21"/>
        <v>#DIV/0!</v>
      </c>
      <c r="L89" s="148" t="str">
        <f t="shared" si="21"/>
        <v>#DIV/0!</v>
      </c>
      <c r="M89" s="148" t="str">
        <f t="shared" si="21"/>
        <v>#DIV/0!</v>
      </c>
      <c r="N89" s="148" t="str">
        <f t="shared" si="21"/>
        <v>#DIV/0!</v>
      </c>
      <c r="O89" s="148" t="str">
        <f t="shared" si="21"/>
        <v>#DIV/0!</v>
      </c>
      <c r="P89" s="148" t="str">
        <f t="shared" si="21"/>
        <v>#DIV/0!</v>
      </c>
      <c r="Q89" s="148" t="str">
        <f t="shared" si="21"/>
        <v>#DIV/0!</v>
      </c>
      <c r="R89" s="148" t="str">
        <f t="shared" si="21"/>
        <v>#DIV/0!</v>
      </c>
      <c r="S89" s="148" t="str">
        <f t="shared" si="21"/>
        <v>#DIV/0!</v>
      </c>
      <c r="T89" s="148" t="str">
        <f t="shared" si="21"/>
        <v>#DIV/0!</v>
      </c>
      <c r="U89" s="148" t="str">
        <f t="shared" si="21"/>
        <v>#DIV/0!</v>
      </c>
      <c r="V89" s="148" t="str">
        <f t="shared" si="21"/>
        <v>#DIV/0!</v>
      </c>
      <c r="W89" s="148" t="str">
        <f t="shared" si="21"/>
        <v>#DIV/0!</v>
      </c>
      <c r="X89" s="148" t="str">
        <f t="shared" si="21"/>
        <v>#DIV/0!</v>
      </c>
      <c r="Y89" s="148" t="str">
        <f t="shared" si="21"/>
        <v>#DIV/0!</v>
      </c>
      <c r="Z89" s="148" t="str">
        <f t="shared" si="21"/>
        <v>#DIV/0!</v>
      </c>
      <c r="AA89" s="148" t="str">
        <f t="shared" si="21"/>
        <v>#DIV/0!</v>
      </c>
      <c r="AB89" s="148" t="str">
        <f t="shared" si="21"/>
        <v>#DIV/0!</v>
      </c>
      <c r="AC89" s="148" t="str">
        <f t="shared" si="21"/>
        <v>#DIV/0!</v>
      </c>
      <c r="AD89" s="145"/>
    </row>
    <row r="90">
      <c r="A90" s="162" t="s">
        <v>279</v>
      </c>
      <c r="B90" s="150" t="str">
        <f>B21/(Formulas!$C32*B9+B33)</f>
        <v>#DIV/0!</v>
      </c>
      <c r="C90" s="150" t="str">
        <f>C21/(Formulas!$C32*C9+C33)</f>
        <v>#DIV/0!</v>
      </c>
      <c r="D90" s="150" t="str">
        <f>D21/(Formulas!$C32*D9+D33)</f>
        <v>#DIV/0!</v>
      </c>
      <c r="E90" s="150" t="str">
        <f>E21/(Formulas!$C32*E9+E33)</f>
        <v>#DIV/0!</v>
      </c>
      <c r="F90" s="150" t="str">
        <f>F21/(Formulas!$C32*F9+F33)</f>
        <v>#DIV/0!</v>
      </c>
      <c r="G90" s="150" t="str">
        <f>G21/(Formulas!$C32*G9+G33)</f>
        <v>#DIV/0!</v>
      </c>
      <c r="H90" s="150" t="str">
        <f>H21/(Formulas!$C32*H9+H33)</f>
        <v>#DIV/0!</v>
      </c>
      <c r="I90" s="150" t="str">
        <f>I21/(Formulas!$C32*I9+I33)</f>
        <v>#DIV/0!</v>
      </c>
      <c r="J90" s="150" t="str">
        <f>J21/(Formulas!$C32*J9+J33)</f>
        <v>#DIV/0!</v>
      </c>
      <c r="K90" s="150" t="str">
        <f>K21/(Formulas!$C32*K9+K33)</f>
        <v>#DIV/0!</v>
      </c>
      <c r="L90" s="150" t="str">
        <f>L21/(Formulas!$C32*L9+L33)</f>
        <v>#DIV/0!</v>
      </c>
      <c r="M90" s="150" t="str">
        <f>M21/(Formulas!$C32*M9+M33)</f>
        <v>#DIV/0!</v>
      </c>
      <c r="N90" s="150" t="str">
        <f>N21/(Formulas!$C32*N9+N33)</f>
        <v>#DIV/0!</v>
      </c>
      <c r="O90" s="150" t="str">
        <f>O21/(Formulas!$C32*O9+O33)</f>
        <v>#DIV/0!</v>
      </c>
      <c r="P90" s="150" t="str">
        <f>P21/(Formulas!$C32*P9+P33)</f>
        <v>#DIV/0!</v>
      </c>
      <c r="Q90" s="150" t="str">
        <f>Q21/(Formulas!$C32*Q9+Q33)</f>
        <v>#DIV/0!</v>
      </c>
      <c r="R90" s="150" t="str">
        <f>R21/(Formulas!$C32*R9+R33)</f>
        <v>#DIV/0!</v>
      </c>
      <c r="S90" s="150" t="str">
        <f>S21/(Formulas!$C32*S9+S33)</f>
        <v>#DIV/0!</v>
      </c>
      <c r="T90" s="150" t="str">
        <f>T21/(Formulas!$C32*T9+T33)</f>
        <v>#DIV/0!</v>
      </c>
      <c r="U90" s="150" t="str">
        <f>U21/(Formulas!$C32*U9+U33)</f>
        <v>#DIV/0!</v>
      </c>
      <c r="V90" s="150" t="str">
        <f>V21/(Formulas!$C32*V9+V33)</f>
        <v>#DIV/0!</v>
      </c>
      <c r="W90" s="150" t="str">
        <f>W21/(Formulas!$C32*W9+W33)</f>
        <v>#DIV/0!</v>
      </c>
      <c r="X90" s="150" t="str">
        <f>X21/(Formulas!$C32*X9+X33)</f>
        <v>#DIV/0!</v>
      </c>
      <c r="Y90" s="150" t="str">
        <f>Y21/(Formulas!$C32*Y9+Y33)</f>
        <v>#DIV/0!</v>
      </c>
      <c r="Z90" s="150" t="str">
        <f>Z21/(Formulas!$C32*Z9+Z33)</f>
        <v>#DIV/0!</v>
      </c>
      <c r="AA90" s="150" t="str">
        <f>AA21/(Formulas!$C32*AA9+AA33)</f>
        <v>#DIV/0!</v>
      </c>
      <c r="AB90" s="150" t="str">
        <f>AB21/(Formulas!$C32*AB9+AB33)</f>
        <v>#DIV/0!</v>
      </c>
      <c r="AC90" s="150" t="str">
        <f>AC21/(Formulas!$C32*AC9+AC33)</f>
        <v>#DIV/0!</v>
      </c>
      <c r="AD90" s="145"/>
    </row>
    <row r="91">
      <c r="A91" s="27"/>
      <c r="B91" s="23"/>
      <c r="C91" s="23"/>
      <c r="D91" s="23"/>
      <c r="E91" s="23"/>
      <c r="F91" s="23"/>
      <c r="G91" s="23"/>
      <c r="H91" s="23"/>
      <c r="I91" s="23"/>
      <c r="J91" s="23"/>
      <c r="K91" s="23"/>
      <c r="L91" s="23"/>
      <c r="M91" s="23"/>
      <c r="N91" s="23"/>
      <c r="O91" s="23"/>
      <c r="P91" s="23"/>
      <c r="Q91" s="23"/>
      <c r="R91" s="121"/>
      <c r="S91" s="23"/>
      <c r="T91" s="23"/>
      <c r="U91" s="23"/>
      <c r="V91" s="23"/>
      <c r="W91" s="23"/>
      <c r="X91" s="23"/>
      <c r="Y91" s="23"/>
      <c r="Z91" s="23"/>
      <c r="AA91" s="23"/>
      <c r="AB91" s="23"/>
      <c r="AC91" s="23"/>
      <c r="AD91" s="145"/>
    </row>
    <row r="92">
      <c r="A92" s="163" t="s">
        <v>283</v>
      </c>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145"/>
    </row>
    <row r="93">
      <c r="A93" s="164" t="s">
        <v>276</v>
      </c>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c r="AA93" s="165"/>
      <c r="AB93" s="165"/>
      <c r="AC93" s="165"/>
      <c r="AD93" s="145">
        <f>SUM(B93:AC93)</f>
        <v>0</v>
      </c>
    </row>
    <row r="94">
      <c r="A94" s="164" t="s">
        <v>277</v>
      </c>
      <c r="B94" s="165"/>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c r="AA94" s="165"/>
      <c r="AB94" s="165"/>
      <c r="AC94" s="165"/>
      <c r="AD94" s="145"/>
    </row>
    <row r="95">
      <c r="A95" s="164" t="s">
        <v>278</v>
      </c>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c r="AA95" s="165"/>
      <c r="AB95" s="165"/>
      <c r="AC95" s="165"/>
      <c r="AD95" s="145"/>
    </row>
    <row r="96">
      <c r="A96" s="166" t="s">
        <v>279</v>
      </c>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c r="AA96" s="165"/>
      <c r="AB96" s="165"/>
      <c r="AC96" s="165"/>
      <c r="AD96" s="145"/>
    </row>
    <row r="97">
      <c r="A97" s="27"/>
      <c r="B97" s="157"/>
      <c r="C97" s="157"/>
      <c r="D97" s="157"/>
      <c r="E97" s="157"/>
      <c r="F97" s="157"/>
      <c r="G97" s="157"/>
      <c r="H97" s="157"/>
      <c r="I97" s="157"/>
      <c r="J97" s="157"/>
      <c r="K97" s="157"/>
      <c r="L97" s="157"/>
      <c r="M97" s="157"/>
      <c r="N97" s="157"/>
      <c r="O97" s="157"/>
      <c r="P97" s="157"/>
      <c r="Q97" s="157"/>
      <c r="R97" s="157"/>
      <c r="S97" s="157"/>
      <c r="T97" s="157"/>
      <c r="U97" s="157"/>
      <c r="V97" s="157"/>
      <c r="W97" s="157"/>
      <c r="X97" s="157"/>
      <c r="Y97" s="157"/>
      <c r="Z97" s="157"/>
      <c r="AA97" s="157"/>
      <c r="AB97" s="157"/>
      <c r="AC97" s="157"/>
      <c r="AD97" s="145"/>
    </row>
    <row r="98">
      <c r="A98" s="159" t="s">
        <v>284</v>
      </c>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145"/>
    </row>
    <row r="99">
      <c r="A99" s="167" t="s">
        <v>276</v>
      </c>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c r="AA99" s="165"/>
      <c r="AB99" s="165"/>
      <c r="AC99" s="165"/>
      <c r="AD99" s="145">
        <f>SUM(B99:AC99)</f>
        <v>0</v>
      </c>
    </row>
    <row r="100">
      <c r="A100" s="167" t="s">
        <v>277</v>
      </c>
      <c r="B100" s="168"/>
      <c r="C100" s="168"/>
      <c r="D100" s="168"/>
      <c r="E100" s="168"/>
      <c r="F100" s="168"/>
      <c r="G100" s="168"/>
      <c r="H100" s="168"/>
      <c r="I100" s="168"/>
      <c r="J100" s="168"/>
      <c r="K100" s="168"/>
      <c r="L100" s="168"/>
      <c r="M100" s="168"/>
      <c r="N100" s="168"/>
      <c r="O100" s="168"/>
      <c r="P100" s="168"/>
      <c r="Q100" s="168"/>
      <c r="R100" s="168"/>
      <c r="S100" s="168"/>
      <c r="T100" s="168"/>
      <c r="U100" s="168"/>
      <c r="V100" s="168"/>
      <c r="W100" s="168"/>
      <c r="X100" s="168"/>
      <c r="Y100" s="168"/>
      <c r="Z100" s="168"/>
      <c r="AA100" s="168"/>
      <c r="AB100" s="168"/>
      <c r="AC100" s="168"/>
      <c r="AD100" s="145"/>
    </row>
    <row r="101">
      <c r="A101" s="167" t="s">
        <v>278</v>
      </c>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c r="AA101" s="169"/>
      <c r="AB101" s="169"/>
      <c r="AC101" s="169"/>
      <c r="AD101" s="145"/>
    </row>
    <row r="102">
      <c r="A102" s="170" t="s">
        <v>279</v>
      </c>
      <c r="B102" s="168"/>
      <c r="C102" s="168"/>
      <c r="D102" s="168"/>
      <c r="E102" s="168"/>
      <c r="F102" s="168"/>
      <c r="G102" s="168"/>
      <c r="H102" s="168"/>
      <c r="I102" s="168"/>
      <c r="J102" s="168"/>
      <c r="K102" s="168"/>
      <c r="L102" s="168"/>
      <c r="M102" s="168"/>
      <c r="N102" s="168"/>
      <c r="O102" s="168"/>
      <c r="P102" s="168"/>
      <c r="Q102" s="168"/>
      <c r="R102" s="168"/>
      <c r="S102" s="168"/>
      <c r="T102" s="168"/>
      <c r="U102" s="168"/>
      <c r="V102" s="168"/>
      <c r="W102" s="168"/>
      <c r="X102" s="168"/>
      <c r="Y102" s="168"/>
      <c r="Z102" s="168"/>
      <c r="AA102" s="168"/>
      <c r="AB102" s="168"/>
      <c r="AC102" s="168"/>
      <c r="AD102" s="145"/>
    </row>
    <row r="103">
      <c r="A103" s="27"/>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c r="AA103" s="171"/>
      <c r="AB103" s="171"/>
      <c r="AC103" s="171"/>
      <c r="AD103" s="145"/>
    </row>
    <row r="104">
      <c r="A104" s="172" t="s">
        <v>285</v>
      </c>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c r="AA104" s="157"/>
      <c r="AB104" s="157"/>
      <c r="AC104" s="157"/>
      <c r="AD104" s="145"/>
    </row>
    <row r="105">
      <c r="A105" s="152" t="s">
        <v>276</v>
      </c>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c r="AA105" s="165"/>
      <c r="AB105" s="165"/>
      <c r="AC105" s="165"/>
      <c r="AD105" s="145">
        <f>SUM(B105:AC105)</f>
        <v>0</v>
      </c>
    </row>
    <row r="106">
      <c r="A106" s="152" t="s">
        <v>277</v>
      </c>
      <c r="B106" s="168"/>
      <c r="C106" s="168"/>
      <c r="D106" s="168"/>
      <c r="E106" s="168"/>
      <c r="F106" s="168"/>
      <c r="G106" s="168"/>
      <c r="H106" s="168"/>
      <c r="I106" s="168"/>
      <c r="J106" s="168"/>
      <c r="K106" s="168"/>
      <c r="L106" s="168"/>
      <c r="M106" s="168"/>
      <c r="N106" s="168"/>
      <c r="O106" s="168"/>
      <c r="P106" s="168"/>
      <c r="Q106" s="168"/>
      <c r="R106" s="168"/>
      <c r="S106" s="168"/>
      <c r="T106" s="168"/>
      <c r="U106" s="168"/>
      <c r="V106" s="168"/>
      <c r="W106" s="168"/>
      <c r="X106" s="168"/>
      <c r="Y106" s="168"/>
      <c r="Z106" s="168"/>
      <c r="AA106" s="168"/>
      <c r="AB106" s="168"/>
      <c r="AC106" s="168"/>
      <c r="AD106" s="145"/>
    </row>
    <row r="107">
      <c r="A107" s="152" t="s">
        <v>278</v>
      </c>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c r="AA107" s="169"/>
      <c r="AB107" s="169"/>
      <c r="AC107" s="169"/>
      <c r="AD107" s="145"/>
    </row>
    <row r="108">
      <c r="A108" s="153" t="s">
        <v>279</v>
      </c>
      <c r="B108" s="168"/>
      <c r="C108" s="168"/>
      <c r="D108" s="168"/>
      <c r="E108" s="168"/>
      <c r="F108" s="168"/>
      <c r="G108" s="168"/>
      <c r="H108" s="168"/>
      <c r="I108" s="168"/>
      <c r="J108" s="168"/>
      <c r="K108" s="168"/>
      <c r="L108" s="168"/>
      <c r="M108" s="168"/>
      <c r="N108" s="168"/>
      <c r="O108" s="168"/>
      <c r="P108" s="168"/>
      <c r="Q108" s="168"/>
      <c r="R108" s="168"/>
      <c r="S108" s="168"/>
      <c r="T108" s="168"/>
      <c r="U108" s="168"/>
      <c r="V108" s="168"/>
      <c r="W108" s="168"/>
      <c r="X108" s="168"/>
      <c r="Y108" s="168"/>
      <c r="Z108" s="168"/>
      <c r="AA108" s="168"/>
      <c r="AB108" s="168"/>
      <c r="AC108" s="168"/>
      <c r="AD108" s="145"/>
    </row>
    <row r="109">
      <c r="A109" s="173"/>
      <c r="B109" s="157"/>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c r="AA109" s="157"/>
      <c r="AB109" s="157"/>
      <c r="AC109" s="157"/>
      <c r="AD109" s="145"/>
    </row>
    <row r="110">
      <c r="A110" s="173"/>
      <c r="B110" s="157"/>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c r="AA110" s="157"/>
      <c r="AB110" s="157"/>
      <c r="AC110" s="157"/>
      <c r="AD110" s="145"/>
    </row>
    <row r="111">
      <c r="A111" s="174" t="s">
        <v>286</v>
      </c>
      <c r="B111" s="157"/>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c r="AA111" s="157"/>
      <c r="AB111" s="157"/>
      <c r="AC111" s="157"/>
      <c r="AD111" s="145"/>
    </row>
    <row r="112">
      <c r="A112" s="151" t="s">
        <v>276</v>
      </c>
      <c r="B112" s="121">
        <f>B25-(B13*Formulas!$C32)</f>
        <v>149.8807711</v>
      </c>
      <c r="C112" s="121">
        <f>C25-(C13*Formulas!$C32)</f>
        <v>14.49492534</v>
      </c>
      <c r="D112" s="121">
        <f>D25-(D13*Formulas!$C32)</f>
        <v>180.3966169</v>
      </c>
      <c r="E112" s="121">
        <f>E25-(E13*Formulas!$C32)</f>
        <v>397.1207711</v>
      </c>
      <c r="F112" s="121">
        <f>F25-(F13*Formulas!$C32)</f>
        <v>734.2632338</v>
      </c>
      <c r="G112" s="121">
        <f>G25-(G13*Formulas!$C32)</f>
        <v>515.7915422</v>
      </c>
      <c r="H112" s="121">
        <f>H25-(H13*Formulas!$C32)</f>
        <v>219.1366169</v>
      </c>
      <c r="I112" s="121">
        <f>I25-(I13*Formulas!$C32)</f>
        <v>374.4290796</v>
      </c>
      <c r="J112" s="121">
        <f>J25-(J13*Formulas!$C32)</f>
        <v>1304.33908</v>
      </c>
      <c r="K112" s="121">
        <f>K25-(K13*Formulas!$C32)</f>
        <v>-49.02753733</v>
      </c>
      <c r="L112" s="121">
        <f>L25-(L13*Formulas!$C32)</f>
        <v>288.2124627</v>
      </c>
      <c r="M112" s="121">
        <f>M25-(M13*Formulas!$C32)</f>
        <v>2.980771116</v>
      </c>
      <c r="N112" s="121">
        <f>N25-(N13*Formulas!$C32)</f>
        <v>2853.783084</v>
      </c>
      <c r="O112" s="121">
        <f>O25-(O13*Formulas!$C32)</f>
        <v>2894.794005</v>
      </c>
      <c r="P112" s="121">
        <f>P25-(P13*Formulas!$C32)</f>
        <v>3811.23801</v>
      </c>
      <c r="Q112" s="121">
        <f>Q25-(Q13*Formulas!$C32)</f>
        <v>1350.352313</v>
      </c>
      <c r="R112" s="121">
        <f>R25-(R13*Formulas!$C32)</f>
        <v>1853.783234</v>
      </c>
      <c r="S112" s="121">
        <f>S25-(S13*Formulas!$C32)</f>
        <v>1005.647388</v>
      </c>
      <c r="T112" s="121">
        <f>T25-(T13*Formulas!$C32)</f>
        <v>842.2198507</v>
      </c>
      <c r="U112" s="121">
        <f>U25-(U13*Formulas!$C32)</f>
        <v>992.9207711</v>
      </c>
      <c r="V112" s="121">
        <f>V25-(V13*Formulas!$C32)</f>
        <v>947.9715422</v>
      </c>
      <c r="W112" s="121">
        <f>W25-(W13*Formulas!$C32)</f>
        <v>1213.575696</v>
      </c>
      <c r="X112" s="121">
        <f>X25-(X13*Formulas!$C32)</f>
        <v>-5858.198583</v>
      </c>
      <c r="Y112" s="121">
        <f>Y25-(Y13*Formulas!$C32)</f>
        <v>-427.665224</v>
      </c>
      <c r="Z112" s="121">
        <f>Z25-(Z13*Formulas!$C32)</f>
        <v>-647.3701493</v>
      </c>
      <c r="AA112" s="121">
        <f>AA25-(AA13*Formulas!$C32)</f>
        <v>-201.1659951</v>
      </c>
      <c r="AB112" s="121">
        <f>AB25-(AB13*Formulas!$C32)</f>
        <v>220.0890796</v>
      </c>
      <c r="AC112" s="121">
        <f>AC25-(AC13*Formulas!$C32)</f>
        <v>-8526.200573</v>
      </c>
      <c r="AD112" s="145">
        <f>SUM(B112:AC112)</f>
        <v>6457.792784</v>
      </c>
    </row>
    <row r="113">
      <c r="A113" s="151" t="s">
        <v>277</v>
      </c>
      <c r="B113" s="168"/>
      <c r="C113" s="168"/>
      <c r="D113" s="168"/>
      <c r="E113" s="168"/>
      <c r="F113" s="168"/>
      <c r="G113" s="168"/>
      <c r="H113" s="168"/>
      <c r="I113" s="168"/>
      <c r="J113" s="168"/>
      <c r="K113" s="168"/>
      <c r="L113" s="168"/>
      <c r="M113" s="168"/>
      <c r="N113" s="168"/>
      <c r="O113" s="168"/>
      <c r="P113" s="168"/>
      <c r="Q113" s="168"/>
      <c r="R113" s="168"/>
      <c r="S113" s="168"/>
      <c r="T113" s="168"/>
      <c r="U113" s="168"/>
      <c r="V113" s="168"/>
      <c r="W113" s="168"/>
      <c r="X113" s="168"/>
      <c r="Y113" s="168"/>
      <c r="Z113" s="168"/>
      <c r="AA113" s="168"/>
      <c r="AB113" s="168"/>
      <c r="AC113" s="168"/>
      <c r="AD113" s="145"/>
    </row>
    <row r="114">
      <c r="A114" s="151" t="s">
        <v>278</v>
      </c>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c r="AA114" s="169"/>
      <c r="AB114" s="169"/>
      <c r="AC114" s="169"/>
      <c r="AD114" s="145"/>
    </row>
    <row r="115">
      <c r="A115" s="175" t="s">
        <v>279</v>
      </c>
      <c r="B115" s="121">
        <f>B25/(Formulas!$C32*B13)</f>
        <v>1.221298343</v>
      </c>
      <c r="C115" s="121">
        <f>C25/(Formulas!$C32*C13)</f>
        <v>1.017834748</v>
      </c>
      <c r="D115" s="121">
        <f>D25/(Formulas!$C32*D13)</f>
        <v>1.33294358</v>
      </c>
      <c r="E115" s="121">
        <f>E25/(Formulas!$C32*E13)</f>
        <v>1.586347188</v>
      </c>
      <c r="F115" s="121">
        <f>F25/(Formulas!$C32*F13)</f>
        <v>1.677585406</v>
      </c>
      <c r="G115" s="121">
        <f>G25/(Formulas!$C32*G13)</f>
        <v>1.380782047</v>
      </c>
      <c r="H115" s="121">
        <f>H25/(Formulas!$C32*H13)</f>
        <v>1.404442894</v>
      </c>
      <c r="I115" s="121">
        <f>I25/(Formulas!$C32*I13)</f>
        <v>1.394887856</v>
      </c>
      <c r="J115" s="121">
        <f>J25/(Formulas!$C32*J13)</f>
        <v>2.375608067</v>
      </c>
      <c r="K115" s="121">
        <f>K25/(Formulas!$C32*K13)</f>
        <v>0.8793517375</v>
      </c>
      <c r="L115" s="121">
        <f>L25/(Formulas!$C32*L13)</f>
        <v>1.709240863</v>
      </c>
      <c r="M115" s="121">
        <f>M25/(Formulas!$C32*M13)</f>
        <v>1.004401096</v>
      </c>
      <c r="N115" s="121">
        <f>N25/(Formulas!$C32*N13)</f>
        <v>2.053399751</v>
      </c>
      <c r="O115" s="121">
        <f>O25/(Formulas!$C32*O13)</f>
        <v>2.643904408</v>
      </c>
      <c r="P115" s="121">
        <f>P25/(Formulas!$C32*P13)</f>
        <v>2.082168706</v>
      </c>
      <c r="Q115" s="121">
        <f>Q25/(Formulas!$C32*Q13)</f>
        <v>1.664596548</v>
      </c>
      <c r="R115" s="121">
        <f>R25/(Formulas!$C32*R13)</f>
        <v>2.710689582</v>
      </c>
      <c r="S115" s="121">
        <f>S25/(Formulas!$C32*S13)</f>
        <v>1.82490791</v>
      </c>
      <c r="T115" s="121">
        <f>T25/(Formulas!$C32*T13)</f>
        <v>1.518139229</v>
      </c>
      <c r="U115" s="121">
        <f>U25/(Formulas!$C32*U13)</f>
        <v>2.466043441</v>
      </c>
      <c r="V115" s="121">
        <f>V25/(Formulas!$C32*V13)</f>
        <v>1.699838044</v>
      </c>
      <c r="W115" s="121">
        <f>W25/(Formulas!$C32*W13)</f>
        <v>1.814472515</v>
      </c>
      <c r="X115" s="121">
        <f>X25/(Formulas!$C32*X13)</f>
        <v>0.5028961983</v>
      </c>
      <c r="Y115" s="121">
        <f>Y25/(Formulas!$C32*Y13)</f>
        <v>0.8245983481</v>
      </c>
      <c r="Z115" s="121">
        <f>Z25/(Formulas!$C32*Z13)</f>
        <v>0.6017335971</v>
      </c>
      <c r="AA115" s="121">
        <f>AA25/(Formulas!$C32*AA13)</f>
        <v>0.885761244</v>
      </c>
      <c r="AB115" s="121">
        <f>AB25/(Formulas!$C32*AB13)</f>
        <v>1.23211473</v>
      </c>
      <c r="AC115" s="121">
        <f>AC25/(Formulas!$C32*AC13)</f>
        <v>0.4429690208</v>
      </c>
      <c r="AD115" s="145"/>
    </row>
    <row r="116">
      <c r="A116" s="173"/>
      <c r="B116" s="157"/>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c r="AA116" s="157"/>
      <c r="AB116" s="157"/>
      <c r="AC116" s="157"/>
      <c r="AD116" s="137"/>
    </row>
    <row r="117">
      <c r="A117" s="176"/>
      <c r="B117" s="141"/>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c r="AA117" s="141"/>
      <c r="AB117" s="141"/>
      <c r="AC117" s="141"/>
      <c r="AD117" s="142"/>
    </row>
    <row r="118">
      <c r="A118" s="2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c r="AB118" s="177"/>
      <c r="AC118" s="177"/>
      <c r="AD118" s="14"/>
    </row>
    <row r="119">
      <c r="A119" s="178" t="s">
        <v>138</v>
      </c>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14"/>
    </row>
    <row r="120">
      <c r="A120" s="179" t="s">
        <v>287</v>
      </c>
      <c r="B120" s="121">
        <f>Sales!B9</f>
        <v>43265.61</v>
      </c>
      <c r="C120" s="121">
        <f>Sales!C9</f>
        <v>47405.27</v>
      </c>
      <c r="D120" s="121">
        <f>Sales!D9</f>
        <v>42536.9</v>
      </c>
      <c r="E120" s="121">
        <f>Sales!E9</f>
        <v>49825.15</v>
      </c>
      <c r="F120" s="121">
        <f>Sales!F9</f>
        <v>46672.86</v>
      </c>
      <c r="G120" s="121">
        <f>Sales!G9</f>
        <v>39902.08</v>
      </c>
      <c r="H120" s="121">
        <f>Sales!H9</f>
        <v>42383.81</v>
      </c>
      <c r="I120" s="121">
        <f>Sales!I9</f>
        <v>44059.09</v>
      </c>
      <c r="J120" s="121">
        <f>Sales!J9</f>
        <v>43443.58</v>
      </c>
      <c r="K120" s="121">
        <f>Sales!K9</f>
        <v>48828.96</v>
      </c>
      <c r="L120" s="121">
        <f>Sales!L9</f>
        <v>56287.11</v>
      </c>
      <c r="M120" s="121">
        <f>Sales!M9</f>
        <v>75592.56</v>
      </c>
      <c r="N120" s="121">
        <f>Sales!N9</f>
        <v>59300.59</v>
      </c>
      <c r="O120" s="121">
        <f>Sales!O9</f>
        <v>66009.77</v>
      </c>
      <c r="P120" s="121">
        <f>Sales!P9</f>
        <v>52224.84</v>
      </c>
      <c r="Q120" s="121">
        <f>Sales!Q9</f>
        <v>46314.07</v>
      </c>
      <c r="R120" s="121">
        <f>Sales!R9</f>
        <v>51666.67</v>
      </c>
      <c r="S120" s="121">
        <f>Sales!S9</f>
        <v>55998.02</v>
      </c>
      <c r="T120" s="121">
        <f>Sales!T9</f>
        <v>56688.25</v>
      </c>
      <c r="U120" s="121">
        <f>Sales!U9</f>
        <v>51457.23</v>
      </c>
      <c r="V120" s="121">
        <f>Sales!V9</f>
        <v>39343.14</v>
      </c>
      <c r="W120" s="121">
        <f>Sales!W9</f>
        <v>41783.82</v>
      </c>
      <c r="X120" s="121">
        <f>Sales!X9</f>
        <v>46845.64</v>
      </c>
      <c r="Y120" s="121">
        <f>Sales!Y9</f>
        <v>45085.3</v>
      </c>
      <c r="Z120" s="121">
        <f>Sales!Z9</f>
        <v>59458.74</v>
      </c>
      <c r="AA120" s="121">
        <f>Sales!AA9</f>
        <v>48793.46</v>
      </c>
      <c r="AB120" s="121">
        <f>Sales!AB9</f>
        <v>41311.93</v>
      </c>
      <c r="AC120" s="121">
        <f>Sales!AC9</f>
        <v>52247.12</v>
      </c>
      <c r="AD120" s="97"/>
    </row>
    <row r="121">
      <c r="A121" s="179" t="s">
        <v>288</v>
      </c>
      <c r="B121" s="180">
        <f t="shared" ref="B121:AC121" si="22">SUM(B120)</f>
        <v>43265.61</v>
      </c>
      <c r="C121" s="180">
        <f t="shared" si="22"/>
        <v>47405.27</v>
      </c>
      <c r="D121" s="180">
        <f t="shared" si="22"/>
        <v>42536.9</v>
      </c>
      <c r="E121" s="180">
        <f t="shared" si="22"/>
        <v>49825.15</v>
      </c>
      <c r="F121" s="180">
        <f t="shared" si="22"/>
        <v>46672.86</v>
      </c>
      <c r="G121" s="180">
        <f t="shared" si="22"/>
        <v>39902.08</v>
      </c>
      <c r="H121" s="180">
        <f t="shared" si="22"/>
        <v>42383.81</v>
      </c>
      <c r="I121" s="180">
        <f t="shared" si="22"/>
        <v>44059.09</v>
      </c>
      <c r="J121" s="180">
        <f t="shared" si="22"/>
        <v>43443.58</v>
      </c>
      <c r="K121" s="180">
        <f t="shared" si="22"/>
        <v>48828.96</v>
      </c>
      <c r="L121" s="180">
        <f t="shared" si="22"/>
        <v>56287.11</v>
      </c>
      <c r="M121" s="180">
        <f t="shared" si="22"/>
        <v>75592.56</v>
      </c>
      <c r="N121" s="180">
        <f t="shared" si="22"/>
        <v>59300.59</v>
      </c>
      <c r="O121" s="180">
        <f t="shared" si="22"/>
        <v>66009.77</v>
      </c>
      <c r="P121" s="180">
        <f t="shared" si="22"/>
        <v>52224.84</v>
      </c>
      <c r="Q121" s="180">
        <f t="shared" si="22"/>
        <v>46314.07</v>
      </c>
      <c r="R121" s="180">
        <f t="shared" si="22"/>
        <v>51666.67</v>
      </c>
      <c r="S121" s="180">
        <f t="shared" si="22"/>
        <v>55998.02</v>
      </c>
      <c r="T121" s="180">
        <f t="shared" si="22"/>
        <v>56688.25</v>
      </c>
      <c r="U121" s="180">
        <f t="shared" si="22"/>
        <v>51457.23</v>
      </c>
      <c r="V121" s="180">
        <f t="shared" si="22"/>
        <v>39343.14</v>
      </c>
      <c r="W121" s="180">
        <f t="shared" si="22"/>
        <v>41783.82</v>
      </c>
      <c r="X121" s="180">
        <f t="shared" si="22"/>
        <v>46845.64</v>
      </c>
      <c r="Y121" s="180">
        <f t="shared" si="22"/>
        <v>45085.3</v>
      </c>
      <c r="Z121" s="180">
        <f t="shared" si="22"/>
        <v>59458.74</v>
      </c>
      <c r="AA121" s="180">
        <f t="shared" si="22"/>
        <v>48793.46</v>
      </c>
      <c r="AB121" s="180">
        <f t="shared" si="22"/>
        <v>41311.93</v>
      </c>
      <c r="AC121" s="180">
        <f t="shared" si="22"/>
        <v>52247.12</v>
      </c>
      <c r="AD121" s="97">
        <f>SUM(B121:AC121)</f>
        <v>1394731.57</v>
      </c>
    </row>
    <row r="122">
      <c r="A122" s="27"/>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181"/>
    </row>
    <row r="123">
      <c r="A123" s="178" t="s">
        <v>84</v>
      </c>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181"/>
    </row>
    <row r="124">
      <c r="A124" s="182" t="s">
        <v>289</v>
      </c>
      <c r="B124" s="183">
        <f>Sales!B11</f>
        <v>161</v>
      </c>
      <c r="C124" s="184">
        <f>Sales!C11</f>
        <v>177</v>
      </c>
      <c r="D124" s="184">
        <f>Sales!D11</f>
        <v>156</v>
      </c>
      <c r="E124" s="184">
        <f>Sales!E11</f>
        <v>186</v>
      </c>
      <c r="F124" s="184">
        <f>Sales!F11</f>
        <v>180</v>
      </c>
      <c r="G124" s="184">
        <f>Sales!G11</f>
        <v>159</v>
      </c>
      <c r="H124" s="184">
        <f>Sales!H11</f>
        <v>149</v>
      </c>
      <c r="I124" s="184">
        <f>Sales!I11</f>
        <v>154</v>
      </c>
      <c r="J124" s="184">
        <f>Sales!J11</f>
        <v>145</v>
      </c>
      <c r="K124" s="184">
        <f>Sales!K11</f>
        <v>172</v>
      </c>
      <c r="L124" s="184">
        <f>Sales!L11</f>
        <v>195</v>
      </c>
      <c r="M124" s="184">
        <f>Sales!M11</f>
        <v>254</v>
      </c>
      <c r="N124" s="184">
        <f>Sales!N11</f>
        <v>193</v>
      </c>
      <c r="O124" s="184">
        <f>Sales!O11</f>
        <v>213</v>
      </c>
      <c r="P124" s="184">
        <f>Sales!P11</f>
        <v>178</v>
      </c>
      <c r="Q124" s="184">
        <f>Sales!Q11</f>
        <v>167</v>
      </c>
      <c r="R124" s="184">
        <f>Sales!R11</f>
        <v>166</v>
      </c>
      <c r="S124" s="184">
        <f>Sales!S11</f>
        <v>190</v>
      </c>
      <c r="T124" s="184">
        <f>Sales!T11</f>
        <v>210</v>
      </c>
      <c r="U124" s="184">
        <f>Sales!U11</f>
        <v>174</v>
      </c>
      <c r="V124" s="184">
        <f>Sales!V11</f>
        <v>137</v>
      </c>
      <c r="W124" s="184">
        <f>Sales!W11</f>
        <v>164</v>
      </c>
      <c r="X124" s="184">
        <f>Sales!X11</f>
        <v>258</v>
      </c>
      <c r="Y124" s="184">
        <f>Sales!Y11</f>
        <v>173</v>
      </c>
      <c r="Z124" s="184">
        <f>Sales!Z11</f>
        <v>222</v>
      </c>
      <c r="AA124" s="185">
        <f>Sales!AA11</f>
        <v>180</v>
      </c>
      <c r="AB124" s="184">
        <f>Sales!AB11</f>
        <v>151</v>
      </c>
      <c r="AC124" s="184">
        <f>Sales!AC11</f>
        <v>440</v>
      </c>
      <c r="AD124" s="186"/>
    </row>
    <row r="125">
      <c r="A125" s="182" t="s">
        <v>290</v>
      </c>
      <c r="B125" s="187">
        <f t="shared" ref="B125:AC125" si="23">SUM(B124)</f>
        <v>161</v>
      </c>
      <c r="C125" s="188">
        <f t="shared" si="23"/>
        <v>177</v>
      </c>
      <c r="D125" s="188">
        <f t="shared" si="23"/>
        <v>156</v>
      </c>
      <c r="E125" s="188">
        <f t="shared" si="23"/>
        <v>186</v>
      </c>
      <c r="F125" s="188">
        <f t="shared" si="23"/>
        <v>180</v>
      </c>
      <c r="G125" s="188">
        <f t="shared" si="23"/>
        <v>159</v>
      </c>
      <c r="H125" s="188">
        <f t="shared" si="23"/>
        <v>149</v>
      </c>
      <c r="I125" s="188">
        <f t="shared" si="23"/>
        <v>154</v>
      </c>
      <c r="J125" s="188">
        <f t="shared" si="23"/>
        <v>145</v>
      </c>
      <c r="K125" s="188">
        <f t="shared" si="23"/>
        <v>172</v>
      </c>
      <c r="L125" s="188">
        <f t="shared" si="23"/>
        <v>195</v>
      </c>
      <c r="M125" s="188">
        <f t="shared" si="23"/>
        <v>254</v>
      </c>
      <c r="N125" s="188">
        <f t="shared" si="23"/>
        <v>193</v>
      </c>
      <c r="O125" s="188">
        <f t="shared" si="23"/>
        <v>213</v>
      </c>
      <c r="P125" s="188">
        <f t="shared" si="23"/>
        <v>178</v>
      </c>
      <c r="Q125" s="188">
        <f t="shared" si="23"/>
        <v>167</v>
      </c>
      <c r="R125" s="188">
        <f t="shared" si="23"/>
        <v>166</v>
      </c>
      <c r="S125" s="188">
        <f t="shared" si="23"/>
        <v>190</v>
      </c>
      <c r="T125" s="188">
        <f t="shared" si="23"/>
        <v>210</v>
      </c>
      <c r="U125" s="188">
        <f t="shared" si="23"/>
        <v>174</v>
      </c>
      <c r="V125" s="188">
        <f t="shared" si="23"/>
        <v>137</v>
      </c>
      <c r="W125" s="188">
        <f t="shared" si="23"/>
        <v>164</v>
      </c>
      <c r="X125" s="188">
        <f t="shared" si="23"/>
        <v>258</v>
      </c>
      <c r="Y125" s="188">
        <f t="shared" si="23"/>
        <v>173</v>
      </c>
      <c r="Z125" s="188">
        <f t="shared" si="23"/>
        <v>222</v>
      </c>
      <c r="AA125" s="188">
        <f t="shared" si="23"/>
        <v>180</v>
      </c>
      <c r="AB125" s="188">
        <f t="shared" si="23"/>
        <v>151</v>
      </c>
      <c r="AC125" s="188">
        <f t="shared" si="23"/>
        <v>440</v>
      </c>
      <c r="AD125" s="186">
        <f>SUM(B125:AC125)</f>
        <v>5304</v>
      </c>
    </row>
    <row r="126">
      <c r="A126" s="27"/>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181"/>
    </row>
    <row r="127">
      <c r="A127" s="178" t="s">
        <v>291</v>
      </c>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181"/>
    </row>
    <row r="128">
      <c r="A128" s="189" t="s">
        <v>292</v>
      </c>
      <c r="B128" s="190">
        <v>39655.0</v>
      </c>
      <c r="C128" s="190">
        <v>44264.0</v>
      </c>
      <c r="D128" s="191">
        <v>38124.0</v>
      </c>
      <c r="E128" s="190">
        <v>44977.0</v>
      </c>
      <c r="F128" s="190">
        <v>42087.0</v>
      </c>
      <c r="G128" s="190">
        <v>36270.0</v>
      </c>
      <c r="H128" s="190">
        <v>39334.0</v>
      </c>
      <c r="I128" s="192">
        <v>41938.0</v>
      </c>
      <c r="J128" s="193">
        <v>41457.0</v>
      </c>
      <c r="K128" s="193">
        <v>47366.0</v>
      </c>
      <c r="L128" s="190">
        <v>54035.0</v>
      </c>
      <c r="M128" s="190">
        <v>72098.0</v>
      </c>
      <c r="N128" s="190">
        <v>57684.0</v>
      </c>
      <c r="O128" s="190">
        <v>64319.65</v>
      </c>
      <c r="P128" s="190">
        <v>50781.0</v>
      </c>
      <c r="Q128" s="190">
        <v>44088.0</v>
      </c>
      <c r="R128" s="190">
        <v>48698.0</v>
      </c>
      <c r="S128" s="190">
        <v>49697.0</v>
      </c>
      <c r="T128" s="190">
        <v>51224.0</v>
      </c>
      <c r="U128" s="194">
        <v>46719.0</v>
      </c>
      <c r="V128" s="190">
        <v>36230.0</v>
      </c>
      <c r="W128" s="190">
        <v>43391.0</v>
      </c>
      <c r="X128" s="190">
        <v>45994.0</v>
      </c>
      <c r="Y128" s="194">
        <v>41157.0</v>
      </c>
      <c r="Z128" s="190">
        <v>54828.0</v>
      </c>
      <c r="AA128" s="190">
        <v>45857.0</v>
      </c>
      <c r="AB128" s="190">
        <v>38956.0</v>
      </c>
      <c r="AC128" s="190">
        <v>47949.0</v>
      </c>
      <c r="AD128" s="97">
        <f t="shared" ref="AD128:AD131" si="24">SUM(B128:AC128)</f>
        <v>1309177.65</v>
      </c>
    </row>
    <row r="129">
      <c r="A129" s="189" t="s">
        <v>293</v>
      </c>
      <c r="B129" s="190">
        <v>3120.0</v>
      </c>
      <c r="C129" s="190">
        <v>3700.0</v>
      </c>
      <c r="D129" s="190">
        <v>3229.0</v>
      </c>
      <c r="E129" s="190">
        <v>4427.0</v>
      </c>
      <c r="F129" s="190">
        <v>4315.0</v>
      </c>
      <c r="G129" s="190">
        <v>3630.0</v>
      </c>
      <c r="H129" s="190">
        <v>2666.0</v>
      </c>
      <c r="I129" s="190">
        <v>2331.0</v>
      </c>
      <c r="J129" s="190">
        <v>2348.2</v>
      </c>
      <c r="K129" s="190">
        <v>2563.0</v>
      </c>
      <c r="L129" s="190">
        <v>3537.0</v>
      </c>
      <c r="M129" s="190">
        <v>5093.0</v>
      </c>
      <c r="N129" s="190">
        <v>3957.0</v>
      </c>
      <c r="O129" s="190">
        <v>4240.52</v>
      </c>
      <c r="P129" s="190">
        <v>2932.0</v>
      </c>
      <c r="Q129" s="194">
        <v>3004.0</v>
      </c>
      <c r="R129" s="190">
        <v>3965.0</v>
      </c>
      <c r="S129" s="190">
        <v>4529.0</v>
      </c>
      <c r="T129" s="190">
        <v>4787.0</v>
      </c>
      <c r="U129" s="194">
        <v>4090.0</v>
      </c>
      <c r="V129" s="190">
        <v>3200.0</v>
      </c>
      <c r="W129" s="190">
        <v>3589.5</v>
      </c>
      <c r="X129" s="190">
        <v>5085.0</v>
      </c>
      <c r="Y129" s="190">
        <v>4460.0</v>
      </c>
      <c r="Z129" s="190">
        <v>5650.0</v>
      </c>
      <c r="AA129" s="190">
        <v>4615.0</v>
      </c>
      <c r="AB129" s="190">
        <v>3132.0</v>
      </c>
      <c r="AC129" s="190">
        <v>5017.0</v>
      </c>
      <c r="AD129" s="97">
        <f t="shared" si="24"/>
        <v>107212.22</v>
      </c>
    </row>
    <row r="130">
      <c r="A130" s="195" t="s">
        <v>294</v>
      </c>
      <c r="B130" s="190">
        <v>1823.32</v>
      </c>
      <c r="C130" s="190">
        <v>2375.31</v>
      </c>
      <c r="D130" s="190">
        <v>1984.84</v>
      </c>
      <c r="E130" s="190">
        <v>2558.21</v>
      </c>
      <c r="F130" s="190">
        <v>2377.38</v>
      </c>
      <c r="G130" s="190">
        <v>1974.34</v>
      </c>
      <c r="H130" s="190">
        <v>1586.92</v>
      </c>
      <c r="I130" s="190">
        <v>2071.61</v>
      </c>
      <c r="J130" s="190">
        <v>1924.79</v>
      </c>
      <c r="K130" s="190">
        <v>2193.64</v>
      </c>
      <c r="L130" s="190">
        <v>2777.17</v>
      </c>
      <c r="M130" s="190">
        <v>4056.04</v>
      </c>
      <c r="N130" s="190">
        <v>2949.38</v>
      </c>
      <c r="O130" s="190">
        <v>3596.0</v>
      </c>
      <c r="P130" s="190">
        <v>2519.12</v>
      </c>
      <c r="Q130" s="190">
        <v>2120.89</v>
      </c>
      <c r="R130" s="190">
        <v>2800.82</v>
      </c>
      <c r="S130" s="190">
        <v>2818.58</v>
      </c>
      <c r="T130" s="190">
        <v>2877.54</v>
      </c>
      <c r="U130" s="190">
        <v>2973.61</v>
      </c>
      <c r="V130" s="190">
        <v>2280.14</v>
      </c>
      <c r="W130" s="190">
        <v>2248.98</v>
      </c>
      <c r="X130" s="190">
        <v>2365.27</v>
      </c>
      <c r="Y130" s="190">
        <v>2420.74</v>
      </c>
      <c r="Z130" s="190">
        <v>3255.39</v>
      </c>
      <c r="AA130" s="190">
        <v>2594.91</v>
      </c>
      <c r="AB130" s="190">
        <v>2122.83</v>
      </c>
      <c r="AC130" s="190">
        <v>2557.27</v>
      </c>
      <c r="AD130" s="97">
        <f t="shared" si="24"/>
        <v>70205.04</v>
      </c>
    </row>
    <row r="131">
      <c r="A131" s="196" t="s">
        <v>295</v>
      </c>
      <c r="B131" s="197">
        <f t="shared" ref="B131:AC131" si="25">SUM(B128:B130)</f>
        <v>44598.32</v>
      </c>
      <c r="C131" s="197">
        <f t="shared" si="25"/>
        <v>50339.31</v>
      </c>
      <c r="D131" s="197">
        <f t="shared" si="25"/>
        <v>43337.84</v>
      </c>
      <c r="E131" s="197">
        <f t="shared" si="25"/>
        <v>51962.21</v>
      </c>
      <c r="F131" s="197">
        <f t="shared" si="25"/>
        <v>48779.38</v>
      </c>
      <c r="G131" s="197">
        <f t="shared" si="25"/>
        <v>41874.34</v>
      </c>
      <c r="H131" s="197">
        <f t="shared" si="25"/>
        <v>43586.92</v>
      </c>
      <c r="I131" s="197">
        <f t="shared" si="25"/>
        <v>46340.61</v>
      </c>
      <c r="J131" s="197">
        <f t="shared" si="25"/>
        <v>45729.99</v>
      </c>
      <c r="K131" s="197">
        <f t="shared" si="25"/>
        <v>52122.64</v>
      </c>
      <c r="L131" s="197">
        <f t="shared" si="25"/>
        <v>60349.17</v>
      </c>
      <c r="M131" s="197">
        <f t="shared" si="25"/>
        <v>81247.04</v>
      </c>
      <c r="N131" s="197">
        <f t="shared" si="25"/>
        <v>64590.38</v>
      </c>
      <c r="O131" s="197">
        <f t="shared" si="25"/>
        <v>72156.17</v>
      </c>
      <c r="P131" s="197">
        <f t="shared" si="25"/>
        <v>56232.12</v>
      </c>
      <c r="Q131" s="197">
        <f t="shared" si="25"/>
        <v>49212.89</v>
      </c>
      <c r="R131" s="197">
        <f t="shared" si="25"/>
        <v>55463.82</v>
      </c>
      <c r="S131" s="197">
        <f t="shared" si="25"/>
        <v>57044.58</v>
      </c>
      <c r="T131" s="197">
        <f t="shared" si="25"/>
        <v>58888.54</v>
      </c>
      <c r="U131" s="197">
        <f t="shared" si="25"/>
        <v>53782.61</v>
      </c>
      <c r="V131" s="197">
        <f t="shared" si="25"/>
        <v>41710.14</v>
      </c>
      <c r="W131" s="197">
        <f t="shared" si="25"/>
        <v>49229.48</v>
      </c>
      <c r="X131" s="197">
        <f t="shared" si="25"/>
        <v>53444.27</v>
      </c>
      <c r="Y131" s="197">
        <f t="shared" si="25"/>
        <v>48037.74</v>
      </c>
      <c r="Z131" s="197">
        <f t="shared" si="25"/>
        <v>63733.39</v>
      </c>
      <c r="AA131" s="197">
        <f t="shared" si="25"/>
        <v>53066.91</v>
      </c>
      <c r="AB131" s="197">
        <f t="shared" si="25"/>
        <v>44210.83</v>
      </c>
      <c r="AC131" s="197">
        <f t="shared" si="25"/>
        <v>55523.27</v>
      </c>
      <c r="AD131" s="97">
        <f t="shared" si="24"/>
        <v>1486594.91</v>
      </c>
    </row>
    <row r="132">
      <c r="A132" s="27"/>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181"/>
    </row>
    <row r="133">
      <c r="A133" s="178" t="s">
        <v>296</v>
      </c>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181"/>
    </row>
    <row r="134">
      <c r="A134" s="198" t="s">
        <v>288</v>
      </c>
      <c r="B134" s="199">
        <v>43030.61</v>
      </c>
      <c r="C134" s="199">
        <v>47335.27</v>
      </c>
      <c r="D134" s="199">
        <v>42251.77</v>
      </c>
      <c r="E134" s="199">
        <v>49825.15</v>
      </c>
      <c r="F134" s="199">
        <v>46461.92</v>
      </c>
      <c r="G134" s="199">
        <v>40243.98</v>
      </c>
      <c r="H134" s="199">
        <v>42215.81</v>
      </c>
      <c r="I134" s="199">
        <v>43790.09</v>
      </c>
      <c r="J134" s="199">
        <v>43397.58</v>
      </c>
      <c r="K134" s="199">
        <v>48275.5</v>
      </c>
      <c r="L134" s="199">
        <v>56287.11</v>
      </c>
      <c r="M134" s="199">
        <v>74948.72</v>
      </c>
      <c r="N134" s="199">
        <v>58636.47</v>
      </c>
      <c r="O134" s="199">
        <v>65607.05</v>
      </c>
      <c r="P134" s="199">
        <v>52224.84</v>
      </c>
      <c r="Q134" s="199">
        <v>46314.07</v>
      </c>
      <c r="R134" s="199">
        <v>52015.14</v>
      </c>
      <c r="S134" s="199">
        <v>55928.29</v>
      </c>
      <c r="T134" s="199">
        <v>56393.36</v>
      </c>
      <c r="U134" s="199">
        <v>51532.13</v>
      </c>
      <c r="V134" s="199">
        <v>39343.15</v>
      </c>
      <c r="W134" s="199">
        <v>41783.82</v>
      </c>
      <c r="X134" s="199">
        <v>46927.6</v>
      </c>
      <c r="Y134" s="199">
        <v>44792.09</v>
      </c>
      <c r="Z134" s="199">
        <v>59458.74</v>
      </c>
      <c r="AA134" s="199">
        <v>48723.46</v>
      </c>
      <c r="AB134" s="199">
        <v>41311.93</v>
      </c>
      <c r="AC134" s="199">
        <v>52247.12</v>
      </c>
      <c r="AD134" s="97">
        <f t="shared" ref="AD134:AD135" si="26">SUM(B134:AC134)</f>
        <v>1391302.77</v>
      </c>
    </row>
    <row r="135">
      <c r="A135" s="198" t="s">
        <v>290</v>
      </c>
      <c r="B135" s="200">
        <v>197.0</v>
      </c>
      <c r="C135" s="200">
        <v>205.0</v>
      </c>
      <c r="D135" s="200">
        <v>190.0</v>
      </c>
      <c r="E135" s="200">
        <v>197.0</v>
      </c>
      <c r="F135" s="200">
        <v>189.0</v>
      </c>
      <c r="G135" s="200">
        <v>172.0</v>
      </c>
      <c r="H135" s="200">
        <v>197.0</v>
      </c>
      <c r="I135" s="200">
        <v>189.0</v>
      </c>
      <c r="J135" s="200">
        <v>172.0</v>
      </c>
      <c r="K135" s="200">
        <v>205.0</v>
      </c>
      <c r="L135" s="200">
        <v>225.0</v>
      </c>
      <c r="M135" s="200">
        <v>273.0</v>
      </c>
      <c r="N135" s="200">
        <v>206.0</v>
      </c>
      <c r="O135" s="200">
        <v>252.0</v>
      </c>
      <c r="P135" s="200">
        <v>202.0</v>
      </c>
      <c r="Q135" s="200">
        <v>185.0</v>
      </c>
      <c r="R135" s="200">
        <v>216.0</v>
      </c>
      <c r="S135" s="200">
        <v>221.0</v>
      </c>
      <c r="T135" s="200">
        <v>229.0</v>
      </c>
      <c r="U135" s="200">
        <v>184.0</v>
      </c>
      <c r="V135" s="200">
        <v>141.0</v>
      </c>
      <c r="W135" s="200">
        <v>149.0</v>
      </c>
      <c r="X135" s="200">
        <v>250.0</v>
      </c>
      <c r="Y135" s="200">
        <v>171.0</v>
      </c>
      <c r="Z135" s="200">
        <v>217.0</v>
      </c>
      <c r="AA135" s="201">
        <v>176.0</v>
      </c>
      <c r="AB135" s="200">
        <v>147.0</v>
      </c>
      <c r="AC135" s="200">
        <v>440.0</v>
      </c>
      <c r="AD135" s="186">
        <f t="shared" si="26"/>
        <v>5797</v>
      </c>
    </row>
    <row r="136">
      <c r="A136" s="27"/>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181"/>
    </row>
    <row r="137">
      <c r="A137" s="160" t="s">
        <v>297</v>
      </c>
      <c r="B137" s="202"/>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181"/>
    </row>
    <row r="138">
      <c r="A138" s="167" t="s">
        <v>33</v>
      </c>
      <c r="B138" s="203">
        <v>38.0</v>
      </c>
      <c r="C138" s="202">
        <v>58.0</v>
      </c>
      <c r="D138" s="202">
        <v>38.0</v>
      </c>
      <c r="E138" s="202">
        <v>34.0</v>
      </c>
      <c r="F138" s="202">
        <v>39.0</v>
      </c>
      <c r="G138" s="202">
        <v>25.0</v>
      </c>
      <c r="H138" s="202">
        <f>37+56+8-64</f>
        <v>37</v>
      </c>
      <c r="I138" s="185">
        <v>35.0</v>
      </c>
      <c r="J138" s="185">
        <v>45.0</v>
      </c>
      <c r="K138" s="185">
        <v>52.0</v>
      </c>
      <c r="L138" s="185">
        <v>49.0</v>
      </c>
      <c r="M138" s="185">
        <v>54.0</v>
      </c>
      <c r="N138" s="185">
        <v>48.0</v>
      </c>
      <c r="O138" s="185">
        <f>234-161</f>
        <v>73</v>
      </c>
      <c r="P138" s="185">
        <v>49.0</v>
      </c>
      <c r="Q138" s="185">
        <v>52.0</v>
      </c>
      <c r="R138" s="185">
        <v>41.0</v>
      </c>
      <c r="S138" s="25">
        <v>50.0</v>
      </c>
      <c r="T138" s="25">
        <v>44.0</v>
      </c>
      <c r="U138" s="25">
        <v>31.0</v>
      </c>
      <c r="V138" s="25">
        <f>216-180</f>
        <v>36</v>
      </c>
      <c r="W138" s="25">
        <v>28.0</v>
      </c>
      <c r="X138" s="25">
        <v>26.0</v>
      </c>
      <c r="Y138" s="25">
        <v>37.0</v>
      </c>
      <c r="Z138" s="204">
        <v>42.0</v>
      </c>
      <c r="AA138" s="25">
        <v>35.0</v>
      </c>
      <c r="AB138" s="25">
        <v>40.0</v>
      </c>
      <c r="AC138" s="204">
        <f>192-158</f>
        <v>34</v>
      </c>
      <c r="AD138" s="186">
        <f t="shared" ref="AD138:AD140" si="27">SUM(B138:AC138)</f>
        <v>1170</v>
      </c>
    </row>
    <row r="139">
      <c r="A139" s="167" t="s">
        <v>43</v>
      </c>
      <c r="B139" s="202">
        <v>89.0</v>
      </c>
      <c r="C139" s="202">
        <v>103.0</v>
      </c>
      <c r="D139" s="202">
        <v>89.0</v>
      </c>
      <c r="E139" s="202">
        <v>113.0</v>
      </c>
      <c r="F139" s="202">
        <v>95.0</v>
      </c>
      <c r="G139" s="202">
        <v>87.0</v>
      </c>
      <c r="H139" s="202">
        <v>94.0</v>
      </c>
      <c r="I139" s="185">
        <v>108.0</v>
      </c>
      <c r="J139" s="185">
        <v>100.0</v>
      </c>
      <c r="K139" s="185">
        <v>109.0</v>
      </c>
      <c r="L139" s="185">
        <v>135.0</v>
      </c>
      <c r="M139" s="185">
        <v>187.0</v>
      </c>
      <c r="N139" s="185">
        <v>149.0</v>
      </c>
      <c r="O139" s="185">
        <v>156.0</v>
      </c>
      <c r="P139" s="185">
        <v>124.0</v>
      </c>
      <c r="Q139" s="185">
        <v>102.0</v>
      </c>
      <c r="R139" s="185">
        <v>128.0</v>
      </c>
      <c r="S139" s="25">
        <v>122.0</v>
      </c>
      <c r="T139" s="25">
        <v>128.0</v>
      </c>
      <c r="U139" s="25">
        <v>124.0</v>
      </c>
      <c r="V139" s="25">
        <v>96.0</v>
      </c>
      <c r="W139" s="25">
        <v>118.0</v>
      </c>
      <c r="X139" s="25">
        <v>116.0</v>
      </c>
      <c r="Y139" s="25">
        <v>101.0</v>
      </c>
      <c r="Z139" s="205">
        <v>144.0</v>
      </c>
      <c r="AA139" s="25">
        <v>119.0</v>
      </c>
      <c r="AB139" s="25">
        <f>91+2+6+3</f>
        <v>102</v>
      </c>
      <c r="AC139" s="25">
        <v>97.0</v>
      </c>
      <c r="AD139" s="186">
        <f t="shared" si="27"/>
        <v>3235</v>
      </c>
    </row>
    <row r="140">
      <c r="A140" s="206" t="s">
        <v>298</v>
      </c>
      <c r="B140" s="207">
        <f t="shared" ref="B140:AC140" si="28">SUM(B138:B139)</f>
        <v>127</v>
      </c>
      <c r="C140" s="207">
        <f t="shared" si="28"/>
        <v>161</v>
      </c>
      <c r="D140" s="207">
        <f t="shared" si="28"/>
        <v>127</v>
      </c>
      <c r="E140" s="207">
        <f t="shared" si="28"/>
        <v>147</v>
      </c>
      <c r="F140" s="207">
        <f t="shared" si="28"/>
        <v>134</v>
      </c>
      <c r="G140" s="207">
        <f t="shared" si="28"/>
        <v>112</v>
      </c>
      <c r="H140" s="207">
        <f t="shared" si="28"/>
        <v>131</v>
      </c>
      <c r="I140" s="207">
        <f t="shared" si="28"/>
        <v>143</v>
      </c>
      <c r="J140" s="207">
        <f t="shared" si="28"/>
        <v>145</v>
      </c>
      <c r="K140" s="207">
        <f t="shared" si="28"/>
        <v>161</v>
      </c>
      <c r="L140" s="207">
        <f t="shared" si="28"/>
        <v>184</v>
      </c>
      <c r="M140" s="207">
        <f t="shared" si="28"/>
        <v>241</v>
      </c>
      <c r="N140" s="207">
        <f t="shared" si="28"/>
        <v>197</v>
      </c>
      <c r="O140" s="207">
        <f t="shared" si="28"/>
        <v>229</v>
      </c>
      <c r="P140" s="207">
        <f t="shared" si="28"/>
        <v>173</v>
      </c>
      <c r="Q140" s="207">
        <f t="shared" si="28"/>
        <v>154</v>
      </c>
      <c r="R140" s="207">
        <f t="shared" si="28"/>
        <v>169</v>
      </c>
      <c r="S140" s="207">
        <f t="shared" si="28"/>
        <v>172</v>
      </c>
      <c r="T140" s="207">
        <f t="shared" si="28"/>
        <v>172</v>
      </c>
      <c r="U140" s="207">
        <f t="shared" si="28"/>
        <v>155</v>
      </c>
      <c r="V140" s="207">
        <f t="shared" si="28"/>
        <v>132</v>
      </c>
      <c r="W140" s="207">
        <f t="shared" si="28"/>
        <v>146</v>
      </c>
      <c r="X140" s="207">
        <f t="shared" si="28"/>
        <v>142</v>
      </c>
      <c r="Y140" s="207">
        <f t="shared" si="28"/>
        <v>138</v>
      </c>
      <c r="Z140" s="207">
        <f t="shared" si="28"/>
        <v>186</v>
      </c>
      <c r="AA140" s="207">
        <f t="shared" si="28"/>
        <v>154</v>
      </c>
      <c r="AB140" s="207">
        <f t="shared" si="28"/>
        <v>142</v>
      </c>
      <c r="AC140" s="207">
        <f t="shared" si="28"/>
        <v>131</v>
      </c>
      <c r="AD140" s="186">
        <f t="shared" si="27"/>
        <v>4405</v>
      </c>
    </row>
    <row r="141">
      <c r="A141" s="27"/>
      <c r="B141" s="208"/>
      <c r="C141" s="208"/>
      <c r="D141" s="208"/>
      <c r="E141" s="208"/>
      <c r="F141" s="208"/>
      <c r="G141" s="208"/>
      <c r="H141" s="208"/>
      <c r="I141" s="208"/>
      <c r="J141" s="23"/>
      <c r="K141" s="23"/>
      <c r="L141" s="23"/>
      <c r="M141" s="23"/>
      <c r="N141" s="23"/>
      <c r="O141" s="23"/>
      <c r="P141" s="23"/>
      <c r="Q141" s="23"/>
      <c r="R141" s="23"/>
      <c r="S141" s="23"/>
      <c r="T141" s="23"/>
      <c r="U141" s="23"/>
      <c r="V141" s="23"/>
      <c r="W141" s="23"/>
      <c r="X141" s="23"/>
      <c r="Y141" s="23"/>
      <c r="Z141" s="23"/>
      <c r="AA141" s="23"/>
      <c r="AB141" s="23"/>
      <c r="AC141" s="23"/>
      <c r="AD141" s="209"/>
    </row>
    <row r="142">
      <c r="A142" s="167" t="s">
        <v>53</v>
      </c>
      <c r="B142" s="202">
        <v>70.0</v>
      </c>
      <c r="C142" s="202">
        <v>68.0</v>
      </c>
      <c r="D142" s="202">
        <v>62.0</v>
      </c>
      <c r="E142" s="202">
        <v>82.0</v>
      </c>
      <c r="F142" s="202">
        <v>76.0</v>
      </c>
      <c r="G142" s="202">
        <v>65.0</v>
      </c>
      <c r="H142" s="202">
        <v>61.0</v>
      </c>
      <c r="I142" s="185">
        <v>56.0</v>
      </c>
      <c r="J142" s="185">
        <v>57.0</v>
      </c>
      <c r="K142" s="185">
        <v>65.0</v>
      </c>
      <c r="L142" s="185">
        <v>77.0</v>
      </c>
      <c r="M142" s="185">
        <v>93.0</v>
      </c>
      <c r="N142" s="185">
        <v>68.0</v>
      </c>
      <c r="O142" s="185">
        <v>76.0</v>
      </c>
      <c r="P142" s="185">
        <v>57.0</v>
      </c>
      <c r="Q142" s="185">
        <v>69.0</v>
      </c>
      <c r="R142" s="185">
        <v>64.0</v>
      </c>
      <c r="S142" s="25">
        <v>74.0</v>
      </c>
      <c r="T142" s="25">
        <v>85.0</v>
      </c>
      <c r="U142" s="25">
        <v>76.0</v>
      </c>
      <c r="V142" s="25">
        <v>62.0</v>
      </c>
      <c r="W142" s="25">
        <v>58.0</v>
      </c>
      <c r="X142" s="25">
        <v>67.0</v>
      </c>
      <c r="Y142" s="25">
        <v>66.0</v>
      </c>
      <c r="Z142" s="210">
        <v>85.0</v>
      </c>
      <c r="AA142" s="25">
        <v>73.0</v>
      </c>
      <c r="AB142" s="25">
        <v>58.0</v>
      </c>
      <c r="AC142" s="210">
        <f>90-6</f>
        <v>84</v>
      </c>
      <c r="AD142" s="186">
        <f t="shared" ref="AD142:AD147" si="29">SUM(B142:AC142)</f>
        <v>1954</v>
      </c>
    </row>
    <row r="143">
      <c r="A143" s="167" t="s">
        <v>56</v>
      </c>
      <c r="B143" s="202">
        <v>0.0</v>
      </c>
      <c r="C143" s="2">
        <v>0.0</v>
      </c>
      <c r="D143" s="202">
        <v>0.0</v>
      </c>
      <c r="E143" s="202">
        <v>0.0</v>
      </c>
      <c r="F143" s="202">
        <v>0.0</v>
      </c>
      <c r="G143" s="202">
        <v>0.0</v>
      </c>
      <c r="H143" s="202">
        <v>0.0</v>
      </c>
      <c r="I143" s="202">
        <v>0.0</v>
      </c>
      <c r="J143" s="202">
        <v>0.0</v>
      </c>
      <c r="K143" s="202">
        <v>0.0</v>
      </c>
      <c r="L143" s="202">
        <v>0.0</v>
      </c>
      <c r="M143" s="202">
        <v>0.0</v>
      </c>
      <c r="N143" s="202">
        <v>0.0</v>
      </c>
      <c r="O143" s="185">
        <v>0.0</v>
      </c>
      <c r="P143" s="185">
        <v>0.0</v>
      </c>
      <c r="Q143" s="185">
        <v>0.0</v>
      </c>
      <c r="R143" s="185">
        <v>0.0</v>
      </c>
      <c r="S143" s="185">
        <v>0.0</v>
      </c>
      <c r="T143" s="185">
        <v>0.0</v>
      </c>
      <c r="U143" s="185">
        <v>0.0</v>
      </c>
      <c r="V143" s="25">
        <v>0.0</v>
      </c>
      <c r="W143" s="25">
        <v>0.0</v>
      </c>
      <c r="X143" s="25">
        <v>0.0</v>
      </c>
      <c r="Y143" s="25">
        <v>0.0</v>
      </c>
      <c r="Z143" s="25">
        <v>0.0</v>
      </c>
      <c r="AA143" s="25">
        <v>0.0</v>
      </c>
      <c r="AB143" s="25">
        <v>0.0</v>
      </c>
      <c r="AC143" s="25">
        <v>0.0</v>
      </c>
      <c r="AD143" s="186">
        <f t="shared" si="29"/>
        <v>0</v>
      </c>
    </row>
    <row r="144">
      <c r="A144" s="167" t="s">
        <v>72</v>
      </c>
      <c r="B144" s="202">
        <v>139.0</v>
      </c>
      <c r="C144" s="202">
        <v>156.0</v>
      </c>
      <c r="D144" s="202">
        <v>127.0</v>
      </c>
      <c r="E144" s="202">
        <v>159.0</v>
      </c>
      <c r="F144" s="202">
        <v>143.0</v>
      </c>
      <c r="G144" s="202">
        <v>120.0</v>
      </c>
      <c r="H144" s="202">
        <v>135.0</v>
      </c>
      <c r="I144" s="185">
        <v>145.0</v>
      </c>
      <c r="J144" s="185">
        <v>148.0</v>
      </c>
      <c r="K144" s="185">
        <v>169.0</v>
      </c>
      <c r="L144" s="185">
        <v>199.0</v>
      </c>
      <c r="M144" s="185">
        <v>247.0</v>
      </c>
      <c r="N144" s="185">
        <v>205.0</v>
      </c>
      <c r="O144" s="185">
        <v>228.0</v>
      </c>
      <c r="P144" s="185">
        <v>176.0</v>
      </c>
      <c r="Q144" s="185">
        <v>158.0</v>
      </c>
      <c r="R144" s="185">
        <v>175.0</v>
      </c>
      <c r="S144" s="25">
        <v>107.0</v>
      </c>
      <c r="T144" s="25">
        <v>131.0</v>
      </c>
      <c r="U144" s="25">
        <v>109.0</v>
      </c>
      <c r="V144" s="25">
        <v>97.0</v>
      </c>
      <c r="W144" s="25">
        <v>98.0</v>
      </c>
      <c r="X144" s="25">
        <v>139.0</v>
      </c>
      <c r="Y144" s="25">
        <v>134.0</v>
      </c>
      <c r="Z144" s="204">
        <v>125.0</v>
      </c>
      <c r="AA144" s="211">
        <v>117.0</v>
      </c>
      <c r="AB144" s="25">
        <v>122.0</v>
      </c>
      <c r="AC144" s="211">
        <f>180-2</f>
        <v>178</v>
      </c>
      <c r="AD144" s="186">
        <f t="shared" si="29"/>
        <v>4186</v>
      </c>
    </row>
    <row r="145">
      <c r="A145" s="167" t="s">
        <v>118</v>
      </c>
      <c r="B145" s="202">
        <v>46.0</v>
      </c>
      <c r="C145" s="202">
        <v>55.0</v>
      </c>
      <c r="D145" s="202">
        <v>59.0</v>
      </c>
      <c r="E145" s="202">
        <v>61.0</v>
      </c>
      <c r="F145" s="202">
        <v>50.0</v>
      </c>
      <c r="G145" s="202">
        <v>43.0</v>
      </c>
      <c r="H145" s="202">
        <v>37.0</v>
      </c>
      <c r="I145" s="202">
        <v>35.0</v>
      </c>
      <c r="J145" s="202">
        <v>34.0</v>
      </c>
      <c r="K145" s="202">
        <v>49.0</v>
      </c>
      <c r="L145" s="202">
        <v>57.0</v>
      </c>
      <c r="M145" s="202">
        <v>67.0</v>
      </c>
      <c r="N145" s="202">
        <v>61.0</v>
      </c>
      <c r="O145" s="202">
        <v>46.0</v>
      </c>
      <c r="P145" s="202">
        <v>45.0</v>
      </c>
      <c r="Q145" s="202">
        <v>47.0</v>
      </c>
      <c r="R145" s="202">
        <v>51.0</v>
      </c>
      <c r="S145" s="202">
        <v>63.0</v>
      </c>
      <c r="T145" s="202">
        <v>63.0</v>
      </c>
      <c r="U145" s="202">
        <v>62.0</v>
      </c>
      <c r="V145" s="202">
        <v>46.0</v>
      </c>
      <c r="W145" s="202">
        <v>54.0</v>
      </c>
      <c r="X145" s="202">
        <f>15+128</f>
        <v>143</v>
      </c>
      <c r="Y145" s="202">
        <v>68.0</v>
      </c>
      <c r="Z145" s="212">
        <v>70.0</v>
      </c>
      <c r="AA145" s="202">
        <v>67.0</v>
      </c>
      <c r="AB145" s="202">
        <v>46.0</v>
      </c>
      <c r="AC145" s="212">
        <v>333.0</v>
      </c>
      <c r="AD145" s="186">
        <f t="shared" si="29"/>
        <v>1858</v>
      </c>
    </row>
    <row r="146">
      <c r="A146" s="167" t="s">
        <v>50</v>
      </c>
      <c r="B146" s="202">
        <v>25.0</v>
      </c>
      <c r="C146" s="202">
        <v>22.0</v>
      </c>
      <c r="D146" s="202">
        <v>16.0</v>
      </c>
      <c r="E146" s="202">
        <v>23.0</v>
      </c>
      <c r="F146" s="202">
        <v>35.0</v>
      </c>
      <c r="G146" s="202">
        <v>20.0</v>
      </c>
      <c r="H146" s="202">
        <v>22.0</v>
      </c>
      <c r="I146" s="202">
        <v>13.0</v>
      </c>
      <c r="J146" s="202">
        <v>11.0</v>
      </c>
      <c r="K146" s="202">
        <v>17.0</v>
      </c>
      <c r="L146" s="202">
        <v>17.0</v>
      </c>
      <c r="M146" s="202">
        <v>33.0</v>
      </c>
      <c r="N146" s="202">
        <v>21.0</v>
      </c>
      <c r="O146" s="202">
        <f>46-19</f>
        <v>27</v>
      </c>
      <c r="P146" s="202">
        <v>32.0</v>
      </c>
      <c r="Q146" s="202">
        <v>20.0</v>
      </c>
      <c r="R146" s="202">
        <v>8.0</v>
      </c>
      <c r="S146" s="202">
        <v>20.0</v>
      </c>
      <c r="T146" s="202">
        <v>23.0</v>
      </c>
      <c r="U146" s="202">
        <v>18.0</v>
      </c>
      <c r="V146" s="202">
        <v>15.0</v>
      </c>
      <c r="W146" s="202">
        <v>9.0</v>
      </c>
      <c r="X146" s="202">
        <v>25.0</v>
      </c>
      <c r="Y146" s="202">
        <v>20.0</v>
      </c>
      <c r="Z146" s="202">
        <v>16.0</v>
      </c>
      <c r="AA146" s="25">
        <v>15.0</v>
      </c>
      <c r="AB146" s="202">
        <v>12.0</v>
      </c>
      <c r="AC146" s="212">
        <f>135-107</f>
        <v>28</v>
      </c>
      <c r="AD146" s="186">
        <f t="shared" si="29"/>
        <v>563</v>
      </c>
    </row>
    <row r="147">
      <c r="A147" s="206" t="s">
        <v>121</v>
      </c>
      <c r="B147" s="207">
        <f t="shared" ref="B147:AC147" si="30">SUM(B142:B146)</f>
        <v>280</v>
      </c>
      <c r="C147" s="207">
        <f t="shared" si="30"/>
        <v>301</v>
      </c>
      <c r="D147" s="207">
        <f t="shared" si="30"/>
        <v>264</v>
      </c>
      <c r="E147" s="207">
        <f t="shared" si="30"/>
        <v>325</v>
      </c>
      <c r="F147" s="207">
        <f t="shared" si="30"/>
        <v>304</v>
      </c>
      <c r="G147" s="207">
        <f t="shared" si="30"/>
        <v>248</v>
      </c>
      <c r="H147" s="207">
        <f t="shared" si="30"/>
        <v>255</v>
      </c>
      <c r="I147" s="207">
        <f t="shared" si="30"/>
        <v>249</v>
      </c>
      <c r="J147" s="207">
        <f t="shared" si="30"/>
        <v>250</v>
      </c>
      <c r="K147" s="207">
        <f t="shared" si="30"/>
        <v>300</v>
      </c>
      <c r="L147" s="207">
        <f t="shared" si="30"/>
        <v>350</v>
      </c>
      <c r="M147" s="207">
        <f t="shared" si="30"/>
        <v>440</v>
      </c>
      <c r="N147" s="207">
        <f t="shared" si="30"/>
        <v>355</v>
      </c>
      <c r="O147" s="207">
        <f t="shared" si="30"/>
        <v>377</v>
      </c>
      <c r="P147" s="207">
        <f t="shared" si="30"/>
        <v>310</v>
      </c>
      <c r="Q147" s="207">
        <f t="shared" si="30"/>
        <v>294</v>
      </c>
      <c r="R147" s="207">
        <f t="shared" si="30"/>
        <v>298</v>
      </c>
      <c r="S147" s="207">
        <f t="shared" si="30"/>
        <v>264</v>
      </c>
      <c r="T147" s="207">
        <f t="shared" si="30"/>
        <v>302</v>
      </c>
      <c r="U147" s="207">
        <f t="shared" si="30"/>
        <v>265</v>
      </c>
      <c r="V147" s="207">
        <f t="shared" si="30"/>
        <v>220</v>
      </c>
      <c r="W147" s="207">
        <f t="shared" si="30"/>
        <v>219</v>
      </c>
      <c r="X147" s="207">
        <f t="shared" si="30"/>
        <v>374</v>
      </c>
      <c r="Y147" s="207">
        <f t="shared" si="30"/>
        <v>288</v>
      </c>
      <c r="Z147" s="207">
        <f t="shared" si="30"/>
        <v>296</v>
      </c>
      <c r="AA147" s="207">
        <f t="shared" si="30"/>
        <v>272</v>
      </c>
      <c r="AB147" s="207">
        <f t="shared" si="30"/>
        <v>238</v>
      </c>
      <c r="AC147" s="207">
        <f t="shared" si="30"/>
        <v>623</v>
      </c>
      <c r="AD147" s="186">
        <f t="shared" si="29"/>
        <v>8561</v>
      </c>
    </row>
    <row r="148">
      <c r="A148" s="213"/>
      <c r="AD148" s="186"/>
    </row>
    <row r="149">
      <c r="A149" s="167" t="s">
        <v>299</v>
      </c>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14"/>
      <c r="AA149" s="214"/>
      <c r="AB149" s="214"/>
      <c r="AC149" s="214"/>
      <c r="AD149" s="186">
        <f t="shared" ref="AD149:AD151" si="31">SUM(B149:AC149)</f>
        <v>0</v>
      </c>
    </row>
    <row r="150">
      <c r="A150" s="167" t="s">
        <v>300</v>
      </c>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14"/>
      <c r="AA150" s="214"/>
      <c r="AB150" s="214"/>
      <c r="AC150" s="214"/>
      <c r="AD150" s="186">
        <f t="shared" si="31"/>
        <v>0</v>
      </c>
    </row>
    <row r="151">
      <c r="A151" s="206" t="s">
        <v>121</v>
      </c>
      <c r="B151" s="207">
        <f t="shared" ref="B151:AC151" si="32">SUM(B149:B150)</f>
        <v>0</v>
      </c>
      <c r="C151" s="207">
        <f t="shared" si="32"/>
        <v>0</v>
      </c>
      <c r="D151" s="207">
        <f t="shared" si="32"/>
        <v>0</v>
      </c>
      <c r="E151" s="207">
        <f t="shared" si="32"/>
        <v>0</v>
      </c>
      <c r="F151" s="207">
        <f t="shared" si="32"/>
        <v>0</v>
      </c>
      <c r="G151" s="207">
        <f t="shared" si="32"/>
        <v>0</v>
      </c>
      <c r="H151" s="207">
        <f t="shared" si="32"/>
        <v>0</v>
      </c>
      <c r="I151" s="207">
        <f t="shared" si="32"/>
        <v>0</v>
      </c>
      <c r="J151" s="207">
        <f t="shared" si="32"/>
        <v>0</v>
      </c>
      <c r="K151" s="207">
        <f t="shared" si="32"/>
        <v>0</v>
      </c>
      <c r="L151" s="207">
        <f t="shared" si="32"/>
        <v>0</v>
      </c>
      <c r="M151" s="207">
        <f t="shared" si="32"/>
        <v>0</v>
      </c>
      <c r="N151" s="207">
        <f t="shared" si="32"/>
        <v>0</v>
      </c>
      <c r="O151" s="207">
        <f t="shared" si="32"/>
        <v>0</v>
      </c>
      <c r="P151" s="207">
        <f t="shared" si="32"/>
        <v>0</v>
      </c>
      <c r="Q151" s="207">
        <f t="shared" si="32"/>
        <v>0</v>
      </c>
      <c r="R151" s="207">
        <f t="shared" si="32"/>
        <v>0</v>
      </c>
      <c r="S151" s="207">
        <f t="shared" si="32"/>
        <v>0</v>
      </c>
      <c r="T151" s="207">
        <f t="shared" si="32"/>
        <v>0</v>
      </c>
      <c r="U151" s="207">
        <f t="shared" si="32"/>
        <v>0</v>
      </c>
      <c r="V151" s="207">
        <f t="shared" si="32"/>
        <v>0</v>
      </c>
      <c r="W151" s="207">
        <f t="shared" si="32"/>
        <v>0</v>
      </c>
      <c r="X151" s="207">
        <f t="shared" si="32"/>
        <v>0</v>
      </c>
      <c r="Y151" s="207">
        <f t="shared" si="32"/>
        <v>0</v>
      </c>
      <c r="Z151" s="207">
        <f t="shared" si="32"/>
        <v>0</v>
      </c>
      <c r="AA151" s="207">
        <f t="shared" si="32"/>
        <v>0</v>
      </c>
      <c r="AB151" s="207">
        <f t="shared" si="32"/>
        <v>0</v>
      </c>
      <c r="AC151" s="207">
        <f t="shared" si="32"/>
        <v>0</v>
      </c>
      <c r="AD151" s="186">
        <f t="shared" si="31"/>
        <v>0</v>
      </c>
    </row>
    <row r="152">
      <c r="A152" s="213"/>
      <c r="AD152" s="186"/>
    </row>
    <row r="153">
      <c r="A153" s="167" t="s">
        <v>301</v>
      </c>
      <c r="B153" s="215"/>
      <c r="C153" s="215"/>
      <c r="D153" s="215"/>
      <c r="E153" s="215"/>
      <c r="F153" s="215"/>
      <c r="G153" s="215"/>
      <c r="H153" s="215"/>
      <c r="I153" s="215"/>
      <c r="J153" s="215"/>
      <c r="K153" s="215"/>
      <c r="L153" s="215"/>
      <c r="M153" s="215"/>
      <c r="N153" s="215"/>
      <c r="O153" s="215"/>
      <c r="P153" s="215"/>
      <c r="Q153" s="215"/>
      <c r="R153" s="215"/>
      <c r="S153" s="215"/>
      <c r="T153" s="215"/>
      <c r="U153" s="215"/>
      <c r="V153" s="215"/>
      <c r="W153" s="215"/>
      <c r="X153" s="215"/>
      <c r="Y153" s="215"/>
      <c r="Z153" s="215"/>
      <c r="AA153" s="215"/>
      <c r="AB153" s="215"/>
      <c r="AC153" s="215"/>
      <c r="AD153" s="186">
        <f t="shared" ref="AD153:AD155" si="33">SUM(B153:AC153)</f>
        <v>0</v>
      </c>
    </row>
    <row r="154">
      <c r="A154" s="167" t="s">
        <v>302</v>
      </c>
      <c r="B154" s="215"/>
      <c r="C154" s="215"/>
      <c r="D154" s="215"/>
      <c r="E154" s="215"/>
      <c r="F154" s="215"/>
      <c r="G154" s="215"/>
      <c r="H154" s="215"/>
      <c r="I154" s="215"/>
      <c r="J154" s="215"/>
      <c r="K154" s="215"/>
      <c r="L154" s="215"/>
      <c r="M154" s="215"/>
      <c r="N154" s="215"/>
      <c r="O154" s="215"/>
      <c r="P154" s="215"/>
      <c r="Q154" s="215"/>
      <c r="R154" s="215"/>
      <c r="S154" s="215"/>
      <c r="T154" s="215"/>
      <c r="U154" s="215"/>
      <c r="V154" s="215"/>
      <c r="W154" s="215"/>
      <c r="X154" s="215"/>
      <c r="Y154" s="215"/>
      <c r="Z154" s="215"/>
      <c r="AA154" s="215"/>
      <c r="AB154" s="215"/>
      <c r="AC154" s="215"/>
      <c r="AD154" s="186">
        <f t="shared" si="33"/>
        <v>0</v>
      </c>
    </row>
    <row r="155">
      <c r="A155" s="206" t="s">
        <v>121</v>
      </c>
      <c r="B155" s="216">
        <f t="shared" ref="B155:AC155" si="34">SUM(B153:B154)</f>
        <v>0</v>
      </c>
      <c r="C155" s="216">
        <f t="shared" si="34"/>
        <v>0</v>
      </c>
      <c r="D155" s="216">
        <f t="shared" si="34"/>
        <v>0</v>
      </c>
      <c r="E155" s="216">
        <f t="shared" si="34"/>
        <v>0</v>
      </c>
      <c r="F155" s="216">
        <f t="shared" si="34"/>
        <v>0</v>
      </c>
      <c r="G155" s="216">
        <f t="shared" si="34"/>
        <v>0</v>
      </c>
      <c r="H155" s="216">
        <f t="shared" si="34"/>
        <v>0</v>
      </c>
      <c r="I155" s="216">
        <f t="shared" si="34"/>
        <v>0</v>
      </c>
      <c r="J155" s="216">
        <f t="shared" si="34"/>
        <v>0</v>
      </c>
      <c r="K155" s="216">
        <f t="shared" si="34"/>
        <v>0</v>
      </c>
      <c r="L155" s="216">
        <f t="shared" si="34"/>
        <v>0</v>
      </c>
      <c r="M155" s="216">
        <f t="shared" si="34"/>
        <v>0</v>
      </c>
      <c r="N155" s="216">
        <f t="shared" si="34"/>
        <v>0</v>
      </c>
      <c r="O155" s="216">
        <f t="shared" si="34"/>
        <v>0</v>
      </c>
      <c r="P155" s="216">
        <f t="shared" si="34"/>
        <v>0</v>
      </c>
      <c r="Q155" s="216">
        <f t="shared" si="34"/>
        <v>0</v>
      </c>
      <c r="R155" s="216">
        <f t="shared" si="34"/>
        <v>0</v>
      </c>
      <c r="S155" s="216">
        <f t="shared" si="34"/>
        <v>0</v>
      </c>
      <c r="T155" s="216">
        <f t="shared" si="34"/>
        <v>0</v>
      </c>
      <c r="U155" s="216">
        <f t="shared" si="34"/>
        <v>0</v>
      </c>
      <c r="V155" s="216">
        <f t="shared" si="34"/>
        <v>0</v>
      </c>
      <c r="W155" s="216">
        <f t="shared" si="34"/>
        <v>0</v>
      </c>
      <c r="X155" s="216">
        <f t="shared" si="34"/>
        <v>0</v>
      </c>
      <c r="Y155" s="216">
        <f t="shared" si="34"/>
        <v>0</v>
      </c>
      <c r="Z155" s="216">
        <f t="shared" si="34"/>
        <v>0</v>
      </c>
      <c r="AA155" s="216">
        <f t="shared" si="34"/>
        <v>0</v>
      </c>
      <c r="AB155" s="216">
        <f t="shared" si="34"/>
        <v>0</v>
      </c>
      <c r="AC155" s="216">
        <f t="shared" si="34"/>
        <v>0</v>
      </c>
      <c r="AD155" s="186">
        <f t="shared" si="33"/>
        <v>0</v>
      </c>
    </row>
    <row r="156">
      <c r="A156" s="213"/>
      <c r="AD156" s="186"/>
    </row>
    <row r="157">
      <c r="A157" s="167" t="s">
        <v>303</v>
      </c>
      <c r="B157" s="202">
        <v>5.0</v>
      </c>
      <c r="C157" s="202">
        <v>1.0</v>
      </c>
      <c r="D157" s="202">
        <v>2.0</v>
      </c>
      <c r="E157" s="202">
        <v>2.0</v>
      </c>
      <c r="F157" s="202">
        <v>4.0</v>
      </c>
      <c r="G157" s="202">
        <v>3.0</v>
      </c>
      <c r="H157" s="202">
        <v>3.0</v>
      </c>
      <c r="I157" s="202">
        <v>2.0</v>
      </c>
      <c r="J157" s="202">
        <v>2.0</v>
      </c>
      <c r="K157" s="202">
        <v>3.0</v>
      </c>
      <c r="L157" s="202">
        <v>2.0</v>
      </c>
      <c r="M157" s="202">
        <v>3.0</v>
      </c>
      <c r="N157" s="202">
        <v>0.0</v>
      </c>
      <c r="O157" s="202">
        <v>2.0</v>
      </c>
      <c r="P157" s="202">
        <v>2.0</v>
      </c>
      <c r="Q157" s="202">
        <v>0.0</v>
      </c>
      <c r="R157" s="202">
        <v>1.0</v>
      </c>
      <c r="S157" s="202">
        <v>3.0</v>
      </c>
      <c r="T157" s="202">
        <v>3.0</v>
      </c>
      <c r="U157" s="202">
        <v>4.0</v>
      </c>
      <c r="V157" s="202">
        <v>2.0</v>
      </c>
      <c r="W157" s="202">
        <v>5.0</v>
      </c>
      <c r="X157" s="202">
        <v>3.0</v>
      </c>
      <c r="Y157" s="202">
        <v>0.0</v>
      </c>
      <c r="Z157" s="202">
        <v>4.0</v>
      </c>
      <c r="AA157" s="202">
        <v>3.0</v>
      </c>
      <c r="AB157" s="202">
        <v>5.0</v>
      </c>
      <c r="AC157" s="202">
        <v>5.0</v>
      </c>
      <c r="AD157" s="186">
        <f t="shared" ref="AD157:AD158" si="36">sum(B157:AC157)</f>
        <v>74</v>
      </c>
    </row>
    <row r="158">
      <c r="A158" s="206" t="s">
        <v>121</v>
      </c>
      <c r="B158" s="216">
        <f t="shared" ref="B158:AC158" si="35">B157</f>
        <v>5</v>
      </c>
      <c r="C158" s="216">
        <f t="shared" si="35"/>
        <v>1</v>
      </c>
      <c r="D158" s="216">
        <f t="shared" si="35"/>
        <v>2</v>
      </c>
      <c r="E158" s="216">
        <f t="shared" si="35"/>
        <v>2</v>
      </c>
      <c r="F158" s="216">
        <f t="shared" si="35"/>
        <v>4</v>
      </c>
      <c r="G158" s="216">
        <f t="shared" si="35"/>
        <v>3</v>
      </c>
      <c r="H158" s="216">
        <f t="shared" si="35"/>
        <v>3</v>
      </c>
      <c r="I158" s="216">
        <f t="shared" si="35"/>
        <v>2</v>
      </c>
      <c r="J158" s="216">
        <f t="shared" si="35"/>
        <v>2</v>
      </c>
      <c r="K158" s="216">
        <f t="shared" si="35"/>
        <v>3</v>
      </c>
      <c r="L158" s="216">
        <f t="shared" si="35"/>
        <v>2</v>
      </c>
      <c r="M158" s="216">
        <f t="shared" si="35"/>
        <v>3</v>
      </c>
      <c r="N158" s="216">
        <f t="shared" si="35"/>
        <v>0</v>
      </c>
      <c r="O158" s="216">
        <f t="shared" si="35"/>
        <v>2</v>
      </c>
      <c r="P158" s="216">
        <f t="shared" si="35"/>
        <v>2</v>
      </c>
      <c r="Q158" s="216">
        <f t="shared" si="35"/>
        <v>0</v>
      </c>
      <c r="R158" s="216">
        <f t="shared" si="35"/>
        <v>1</v>
      </c>
      <c r="S158" s="216">
        <f t="shared" si="35"/>
        <v>3</v>
      </c>
      <c r="T158" s="216">
        <f t="shared" si="35"/>
        <v>3</v>
      </c>
      <c r="U158" s="216">
        <f t="shared" si="35"/>
        <v>4</v>
      </c>
      <c r="V158" s="216">
        <f t="shared" si="35"/>
        <v>2</v>
      </c>
      <c r="W158" s="216">
        <f t="shared" si="35"/>
        <v>5</v>
      </c>
      <c r="X158" s="216">
        <f t="shared" si="35"/>
        <v>3</v>
      </c>
      <c r="Y158" s="216">
        <f t="shared" si="35"/>
        <v>0</v>
      </c>
      <c r="Z158" s="216">
        <f t="shared" si="35"/>
        <v>4</v>
      </c>
      <c r="AA158" s="216">
        <f t="shared" si="35"/>
        <v>3</v>
      </c>
      <c r="AB158" s="216">
        <f t="shared" si="35"/>
        <v>5</v>
      </c>
      <c r="AC158" s="216">
        <f t="shared" si="35"/>
        <v>5</v>
      </c>
      <c r="AD158" s="186">
        <f t="shared" si="36"/>
        <v>74</v>
      </c>
    </row>
    <row r="159">
      <c r="A159" s="213"/>
      <c r="AD159" s="186"/>
    </row>
    <row r="160">
      <c r="A160" s="160" t="s">
        <v>304</v>
      </c>
      <c r="AD160" s="186">
        <f t="shared" ref="AD160:AD163" si="37">sum(B160:AC160)</f>
        <v>0</v>
      </c>
    </row>
    <row r="161">
      <c r="A161" s="167" t="s">
        <v>33</v>
      </c>
      <c r="B161" s="217">
        <v>36.0</v>
      </c>
      <c r="C161" s="217">
        <f>10+43</f>
        <v>53</v>
      </c>
      <c r="D161" s="217">
        <v>34.0</v>
      </c>
      <c r="E161" s="217">
        <v>34.0</v>
      </c>
      <c r="F161" s="217">
        <v>34.0</v>
      </c>
      <c r="G161" s="217">
        <v>27.0</v>
      </c>
      <c r="H161" s="217">
        <v>34.0</v>
      </c>
      <c r="I161" s="217">
        <v>33.0</v>
      </c>
      <c r="J161" s="217">
        <v>45.0</v>
      </c>
      <c r="K161" s="217">
        <v>47.0</v>
      </c>
      <c r="L161" s="217">
        <v>45.0</v>
      </c>
      <c r="M161" s="217">
        <v>51.0</v>
      </c>
      <c r="N161" s="217">
        <v>46.0</v>
      </c>
      <c r="O161" s="217">
        <v>61.0</v>
      </c>
      <c r="P161" s="217">
        <v>41.0</v>
      </c>
      <c r="Q161" s="217">
        <v>46.0</v>
      </c>
      <c r="R161" s="217">
        <v>38.0</v>
      </c>
      <c r="S161" s="217">
        <v>48.0</v>
      </c>
      <c r="T161" s="217">
        <v>41.0</v>
      </c>
      <c r="U161" s="217">
        <v>31.0</v>
      </c>
      <c r="V161" s="217">
        <v>33.0</v>
      </c>
      <c r="W161" s="217">
        <v>27.0</v>
      </c>
      <c r="X161" s="217">
        <v>26.0</v>
      </c>
      <c r="Y161" s="217">
        <v>35.0</v>
      </c>
      <c r="Z161" s="217">
        <v>39.0</v>
      </c>
      <c r="AA161" s="217">
        <v>34.0</v>
      </c>
      <c r="AB161" s="217">
        <v>40.0</v>
      </c>
      <c r="AC161" s="217">
        <v>31.0</v>
      </c>
      <c r="AD161" s="186">
        <f t="shared" si="37"/>
        <v>1090</v>
      </c>
    </row>
    <row r="162">
      <c r="A162" s="167" t="s">
        <v>43</v>
      </c>
      <c r="B162" s="217">
        <v>88.0</v>
      </c>
      <c r="C162" s="217">
        <f>2+95</f>
        <v>97</v>
      </c>
      <c r="D162" s="217">
        <v>86.0</v>
      </c>
      <c r="E162" s="217">
        <v>107.0</v>
      </c>
      <c r="F162" s="217">
        <v>92.0</v>
      </c>
      <c r="G162" s="217">
        <v>83.0</v>
      </c>
      <c r="H162" s="217">
        <v>87.0</v>
      </c>
      <c r="I162" s="217">
        <v>104.0</v>
      </c>
      <c r="J162" s="217">
        <v>95.0</v>
      </c>
      <c r="K162" s="217">
        <v>105.0</v>
      </c>
      <c r="L162" s="217">
        <v>124.0</v>
      </c>
      <c r="M162" s="217">
        <v>181.0</v>
      </c>
      <c r="N162" s="217">
        <v>131.0</v>
      </c>
      <c r="O162" s="217">
        <v>144.0</v>
      </c>
      <c r="P162" s="217">
        <v>106.0</v>
      </c>
      <c r="Q162" s="217">
        <v>92.0</v>
      </c>
      <c r="R162" s="218">
        <v>124.0</v>
      </c>
      <c r="S162" s="217">
        <v>108.0</v>
      </c>
      <c r="T162" s="217">
        <v>121.0</v>
      </c>
      <c r="U162" s="217">
        <v>118.0</v>
      </c>
      <c r="V162" s="217">
        <v>88.0</v>
      </c>
      <c r="W162" s="217">
        <v>109.0</v>
      </c>
      <c r="X162" s="217">
        <v>108.0</v>
      </c>
      <c r="Y162" s="217">
        <v>92.0</v>
      </c>
      <c r="Z162" s="217">
        <v>135.0</v>
      </c>
      <c r="AA162" s="217">
        <v>115.0</v>
      </c>
      <c r="AB162" s="217">
        <f>83+2+3+6</f>
        <v>94</v>
      </c>
      <c r="AC162" s="217">
        <v>92.0</v>
      </c>
      <c r="AD162" s="186">
        <f t="shared" si="37"/>
        <v>3026</v>
      </c>
    </row>
    <row r="163">
      <c r="A163" s="206" t="s">
        <v>298</v>
      </c>
      <c r="B163" s="216">
        <f t="shared" ref="B163:AC163" si="38">SUM(B161:B162)</f>
        <v>124</v>
      </c>
      <c r="C163" s="216">
        <f t="shared" si="38"/>
        <v>150</v>
      </c>
      <c r="D163" s="216">
        <f t="shared" si="38"/>
        <v>120</v>
      </c>
      <c r="E163" s="216">
        <f t="shared" si="38"/>
        <v>141</v>
      </c>
      <c r="F163" s="216">
        <f t="shared" si="38"/>
        <v>126</v>
      </c>
      <c r="G163" s="216">
        <f t="shared" si="38"/>
        <v>110</v>
      </c>
      <c r="H163" s="216">
        <f t="shared" si="38"/>
        <v>121</v>
      </c>
      <c r="I163" s="216">
        <f t="shared" si="38"/>
        <v>137</v>
      </c>
      <c r="J163" s="216">
        <f t="shared" si="38"/>
        <v>140</v>
      </c>
      <c r="K163" s="216">
        <f t="shared" si="38"/>
        <v>152</v>
      </c>
      <c r="L163" s="216">
        <f t="shared" si="38"/>
        <v>169</v>
      </c>
      <c r="M163" s="216">
        <f t="shared" si="38"/>
        <v>232</v>
      </c>
      <c r="N163" s="216">
        <f t="shared" si="38"/>
        <v>177</v>
      </c>
      <c r="O163" s="216">
        <f t="shared" si="38"/>
        <v>205</v>
      </c>
      <c r="P163" s="216">
        <f t="shared" si="38"/>
        <v>147</v>
      </c>
      <c r="Q163" s="216">
        <f t="shared" si="38"/>
        <v>138</v>
      </c>
      <c r="R163" s="216">
        <f t="shared" si="38"/>
        <v>162</v>
      </c>
      <c r="S163" s="216">
        <f t="shared" si="38"/>
        <v>156</v>
      </c>
      <c r="T163" s="216">
        <f t="shared" si="38"/>
        <v>162</v>
      </c>
      <c r="U163" s="216">
        <f t="shared" si="38"/>
        <v>149</v>
      </c>
      <c r="V163" s="216">
        <f t="shared" si="38"/>
        <v>121</v>
      </c>
      <c r="W163" s="216">
        <f t="shared" si="38"/>
        <v>136</v>
      </c>
      <c r="X163" s="216">
        <f t="shared" si="38"/>
        <v>134</v>
      </c>
      <c r="Y163" s="216">
        <f t="shared" si="38"/>
        <v>127</v>
      </c>
      <c r="Z163" s="216">
        <f t="shared" si="38"/>
        <v>174</v>
      </c>
      <c r="AA163" s="216">
        <f t="shared" si="38"/>
        <v>149</v>
      </c>
      <c r="AB163" s="216">
        <f t="shared" si="38"/>
        <v>134</v>
      </c>
      <c r="AC163" s="216">
        <f t="shared" si="38"/>
        <v>123</v>
      </c>
      <c r="AD163" s="186">
        <f t="shared" si="37"/>
        <v>4116</v>
      </c>
    </row>
    <row r="164">
      <c r="A164" s="27"/>
      <c r="AD164" s="186"/>
    </row>
    <row r="165">
      <c r="A165" s="167" t="s">
        <v>53</v>
      </c>
      <c r="B165" s="217">
        <v>62.0</v>
      </c>
      <c r="C165" s="217">
        <v>62.0</v>
      </c>
      <c r="D165" s="217">
        <v>55.0</v>
      </c>
      <c r="E165" s="217">
        <v>74.0</v>
      </c>
      <c r="F165" s="217">
        <v>64.0</v>
      </c>
      <c r="G165" s="217">
        <v>53.0</v>
      </c>
      <c r="H165" s="217">
        <v>52.0</v>
      </c>
      <c r="I165" s="217">
        <v>49.0</v>
      </c>
      <c r="J165" s="217">
        <v>52.0</v>
      </c>
      <c r="K165" s="217">
        <v>59.0</v>
      </c>
      <c r="L165" s="217">
        <v>62.0</v>
      </c>
      <c r="M165" s="217">
        <v>85.0</v>
      </c>
      <c r="N165" s="217">
        <v>62.0</v>
      </c>
      <c r="O165" s="217">
        <v>62.0</v>
      </c>
      <c r="P165" s="217">
        <v>48.0</v>
      </c>
      <c r="Q165" s="217">
        <v>52.0</v>
      </c>
      <c r="R165" s="217">
        <v>56.0</v>
      </c>
      <c r="S165" s="217">
        <v>67.0</v>
      </c>
      <c r="T165" s="217">
        <v>74.0</v>
      </c>
      <c r="U165" s="217">
        <v>70.0</v>
      </c>
      <c r="V165" s="217">
        <v>57.0</v>
      </c>
      <c r="W165" s="217">
        <v>56.0</v>
      </c>
      <c r="X165" s="217">
        <v>57.0</v>
      </c>
      <c r="Y165" s="217">
        <v>57.0</v>
      </c>
      <c r="Z165" s="217">
        <v>73.0</v>
      </c>
      <c r="AA165" s="217">
        <v>70.0</v>
      </c>
      <c r="AB165" s="217">
        <v>51.0</v>
      </c>
      <c r="AC165" s="217">
        <v>63.0</v>
      </c>
      <c r="AD165" s="186">
        <f t="shared" ref="AD165:AD168" si="39">sum(B165:AC165)</f>
        <v>1704</v>
      </c>
    </row>
    <row r="166">
      <c r="A166" s="167" t="s">
        <v>56</v>
      </c>
      <c r="B166" s="217">
        <v>0.0</v>
      </c>
      <c r="C166" s="217">
        <v>0.0</v>
      </c>
      <c r="D166" s="217">
        <v>0.0</v>
      </c>
      <c r="E166" s="217">
        <v>0.0</v>
      </c>
      <c r="F166" s="217">
        <v>0.0</v>
      </c>
      <c r="G166" s="217">
        <v>0.0</v>
      </c>
      <c r="H166" s="217">
        <v>0.0</v>
      </c>
      <c r="I166" s="217">
        <v>0.0</v>
      </c>
      <c r="J166" s="217">
        <v>0.0</v>
      </c>
      <c r="K166" s="217">
        <v>0.0</v>
      </c>
      <c r="L166" s="217">
        <v>0.0</v>
      </c>
      <c r="M166" s="217">
        <v>0.0</v>
      </c>
      <c r="N166" s="217">
        <v>0.0</v>
      </c>
      <c r="O166" s="217">
        <v>0.0</v>
      </c>
      <c r="P166" s="217">
        <v>0.0</v>
      </c>
      <c r="Q166" s="217">
        <v>0.0</v>
      </c>
      <c r="R166" s="217">
        <v>0.0</v>
      </c>
      <c r="S166" s="217">
        <v>0.0</v>
      </c>
      <c r="T166" s="217">
        <v>0.0</v>
      </c>
      <c r="U166" s="217">
        <v>0.0</v>
      </c>
      <c r="V166" s="217">
        <v>0.0</v>
      </c>
      <c r="W166" s="217">
        <v>0.0</v>
      </c>
      <c r="X166" s="217">
        <v>0.0</v>
      </c>
      <c r="Y166" s="217">
        <v>9.0</v>
      </c>
      <c r="Z166" s="217">
        <v>0.0</v>
      </c>
      <c r="AA166" s="217">
        <v>0.0</v>
      </c>
      <c r="AB166" s="217">
        <v>0.0</v>
      </c>
      <c r="AC166" s="217">
        <v>0.0</v>
      </c>
      <c r="AD166" s="186">
        <f t="shared" si="39"/>
        <v>9</v>
      </c>
    </row>
    <row r="167">
      <c r="A167" s="167" t="s">
        <v>72</v>
      </c>
      <c r="B167" s="217">
        <v>131.0</v>
      </c>
      <c r="C167" s="217">
        <v>141.0</v>
      </c>
      <c r="D167" s="217">
        <v>118.0</v>
      </c>
      <c r="E167" s="217">
        <v>143.0</v>
      </c>
      <c r="F167" s="217">
        <v>133.0</v>
      </c>
      <c r="G167" s="217">
        <v>109.0</v>
      </c>
      <c r="H167" s="217">
        <v>124.0</v>
      </c>
      <c r="I167" s="217">
        <v>136.0</v>
      </c>
      <c r="J167" s="217">
        <v>141.0</v>
      </c>
      <c r="K167" s="217">
        <v>159.0</v>
      </c>
      <c r="L167" s="217">
        <v>180.0</v>
      </c>
      <c r="M167" s="217">
        <v>234.0</v>
      </c>
      <c r="N167" s="217">
        <v>180.0</v>
      </c>
      <c r="O167" s="217">
        <v>203.0</v>
      </c>
      <c r="P167" s="217">
        <v>146.0</v>
      </c>
      <c r="Q167" s="217">
        <v>140.0</v>
      </c>
      <c r="R167" s="217">
        <v>165.0</v>
      </c>
      <c r="S167" s="217">
        <v>97.0</v>
      </c>
      <c r="T167" s="217">
        <v>115.0</v>
      </c>
      <c r="U167" s="217">
        <v>102.0</v>
      </c>
      <c r="V167" s="217">
        <v>87.0</v>
      </c>
      <c r="W167" s="217">
        <v>90.0</v>
      </c>
      <c r="X167" s="217">
        <v>118.0</v>
      </c>
      <c r="Y167" s="217">
        <v>116.0</v>
      </c>
      <c r="Z167" s="217">
        <v>107.0</v>
      </c>
      <c r="AA167" s="217">
        <v>111.0</v>
      </c>
      <c r="AB167" s="217">
        <v>115.0</v>
      </c>
      <c r="AC167" s="217">
        <v>139.0</v>
      </c>
      <c r="AD167" s="186">
        <f t="shared" si="39"/>
        <v>3780</v>
      </c>
    </row>
    <row r="168">
      <c r="A168" s="167" t="s">
        <v>118</v>
      </c>
      <c r="B168" s="217">
        <v>41.0</v>
      </c>
      <c r="C168" s="217">
        <v>47.0</v>
      </c>
      <c r="D168" s="217">
        <v>47.0</v>
      </c>
      <c r="E168" s="217">
        <v>49.0</v>
      </c>
      <c r="F168" s="217">
        <v>44.0</v>
      </c>
      <c r="G168" s="217">
        <v>36.0</v>
      </c>
      <c r="H168" s="217">
        <v>31.0</v>
      </c>
      <c r="I168" s="217">
        <v>28.0</v>
      </c>
      <c r="J168" s="217">
        <v>31.0</v>
      </c>
      <c r="K168" s="217">
        <v>41.0</v>
      </c>
      <c r="L168" s="217">
        <v>46.0</v>
      </c>
      <c r="M168" s="217">
        <v>56.0</v>
      </c>
      <c r="N168" s="217">
        <v>51.0</v>
      </c>
      <c r="O168" s="217">
        <v>38.0</v>
      </c>
      <c r="P168" s="217">
        <v>33.0</v>
      </c>
      <c r="Q168" s="217">
        <v>33.0</v>
      </c>
      <c r="R168" s="217">
        <v>45.0</v>
      </c>
      <c r="S168" s="217">
        <v>54.0</v>
      </c>
      <c r="T168" s="217">
        <v>51.0</v>
      </c>
      <c r="U168" s="217">
        <v>52.0</v>
      </c>
      <c r="V168" s="217">
        <v>39.0</v>
      </c>
      <c r="W168" s="217">
        <v>48.0</v>
      </c>
      <c r="X168" s="217">
        <f>14+46</f>
        <v>60</v>
      </c>
      <c r="Y168" s="217">
        <v>44.0</v>
      </c>
      <c r="Z168" s="217">
        <v>57.0</v>
      </c>
      <c r="AA168" s="217">
        <v>56.0</v>
      </c>
      <c r="AB168" s="217">
        <v>40.0</v>
      </c>
      <c r="AC168" s="217">
        <v>123.0</v>
      </c>
      <c r="AD168" s="186">
        <f t="shared" si="39"/>
        <v>1321</v>
      </c>
    </row>
    <row r="169">
      <c r="A169" s="167" t="s">
        <v>50</v>
      </c>
      <c r="B169" s="217">
        <v>16.0</v>
      </c>
      <c r="C169" s="217">
        <v>12.0</v>
      </c>
      <c r="D169" s="217">
        <v>11.0</v>
      </c>
      <c r="E169" s="217">
        <v>10.0</v>
      </c>
      <c r="F169" s="217">
        <v>18.0</v>
      </c>
      <c r="G169" s="217">
        <v>15.0</v>
      </c>
      <c r="H169" s="217">
        <v>13.0</v>
      </c>
      <c r="I169" s="217">
        <v>3.0</v>
      </c>
      <c r="J169" s="217">
        <v>8.0</v>
      </c>
      <c r="K169" s="217">
        <v>8.0</v>
      </c>
      <c r="L169" s="217">
        <v>12.0</v>
      </c>
      <c r="M169" s="217">
        <v>22.0</v>
      </c>
      <c r="N169" s="217">
        <v>10.0</v>
      </c>
      <c r="O169" s="217">
        <v>17.0</v>
      </c>
      <c r="P169" s="217">
        <v>15.0</v>
      </c>
      <c r="Q169" s="217">
        <v>6.0</v>
      </c>
      <c r="R169" s="217">
        <v>8.0</v>
      </c>
      <c r="S169" s="217">
        <v>11.0</v>
      </c>
      <c r="T169" s="217">
        <v>13.0</v>
      </c>
      <c r="U169" s="217">
        <v>11.0</v>
      </c>
      <c r="V169" s="217">
        <v>8.0</v>
      </c>
      <c r="W169" s="217">
        <v>4.0</v>
      </c>
      <c r="X169" s="217">
        <v>10.0</v>
      </c>
      <c r="Y169" s="217">
        <v>10.0</v>
      </c>
      <c r="Z169" s="217">
        <v>9.0</v>
      </c>
      <c r="AA169" s="217">
        <v>9.0</v>
      </c>
      <c r="AB169" s="217">
        <v>7.0</v>
      </c>
      <c r="AC169" s="217">
        <v>11.0</v>
      </c>
      <c r="AD169" s="186">
        <f>SUM(B169:AC169)</f>
        <v>307</v>
      </c>
    </row>
    <row r="170">
      <c r="A170" s="206" t="s">
        <v>121</v>
      </c>
      <c r="B170" s="216">
        <f t="shared" ref="B170:AC170" si="40">SUM(B165:B169)</f>
        <v>250</v>
      </c>
      <c r="C170" s="216">
        <f t="shared" si="40"/>
        <v>262</v>
      </c>
      <c r="D170" s="216">
        <f t="shared" si="40"/>
        <v>231</v>
      </c>
      <c r="E170" s="216">
        <f t="shared" si="40"/>
        <v>276</v>
      </c>
      <c r="F170" s="216">
        <f t="shared" si="40"/>
        <v>259</v>
      </c>
      <c r="G170" s="216">
        <f t="shared" si="40"/>
        <v>213</v>
      </c>
      <c r="H170" s="216">
        <f t="shared" si="40"/>
        <v>220</v>
      </c>
      <c r="I170" s="216">
        <f t="shared" si="40"/>
        <v>216</v>
      </c>
      <c r="J170" s="216">
        <f t="shared" si="40"/>
        <v>232</v>
      </c>
      <c r="K170" s="216">
        <f t="shared" si="40"/>
        <v>267</v>
      </c>
      <c r="L170" s="216">
        <f t="shared" si="40"/>
        <v>300</v>
      </c>
      <c r="M170" s="216">
        <f t="shared" si="40"/>
        <v>397</v>
      </c>
      <c r="N170" s="216">
        <f t="shared" si="40"/>
        <v>303</v>
      </c>
      <c r="O170" s="216">
        <f t="shared" si="40"/>
        <v>320</v>
      </c>
      <c r="P170" s="216">
        <f t="shared" si="40"/>
        <v>242</v>
      </c>
      <c r="Q170" s="216">
        <f t="shared" si="40"/>
        <v>231</v>
      </c>
      <c r="R170" s="216">
        <f t="shared" si="40"/>
        <v>274</v>
      </c>
      <c r="S170" s="216">
        <f t="shared" si="40"/>
        <v>229</v>
      </c>
      <c r="T170" s="216">
        <f t="shared" si="40"/>
        <v>253</v>
      </c>
      <c r="U170" s="216">
        <f t="shared" si="40"/>
        <v>235</v>
      </c>
      <c r="V170" s="216">
        <f t="shared" si="40"/>
        <v>191</v>
      </c>
      <c r="W170" s="216">
        <f t="shared" si="40"/>
        <v>198</v>
      </c>
      <c r="X170" s="216">
        <f t="shared" si="40"/>
        <v>245</v>
      </c>
      <c r="Y170" s="216">
        <f t="shared" si="40"/>
        <v>236</v>
      </c>
      <c r="Z170" s="216">
        <f t="shared" si="40"/>
        <v>246</v>
      </c>
      <c r="AA170" s="216">
        <f t="shared" si="40"/>
        <v>246</v>
      </c>
      <c r="AB170" s="216">
        <f t="shared" si="40"/>
        <v>213</v>
      </c>
      <c r="AC170" s="216">
        <f t="shared" si="40"/>
        <v>336</v>
      </c>
      <c r="AD170" s="186">
        <f>sum(B170:AC170)</f>
        <v>7121</v>
      </c>
    </row>
    <row r="171">
      <c r="A171" s="213"/>
      <c r="AD171" s="186"/>
    </row>
    <row r="172">
      <c r="A172" s="160" t="s">
        <v>305</v>
      </c>
      <c r="AD172" s="186">
        <f t="shared" ref="AD172:AD175" si="41">sum(B172:AC172)</f>
        <v>0</v>
      </c>
    </row>
    <row r="173">
      <c r="A173" s="167" t="s">
        <v>33</v>
      </c>
      <c r="B173" s="217">
        <v>2.0</v>
      </c>
      <c r="C173" s="217">
        <v>5.0</v>
      </c>
      <c r="D173" s="217">
        <v>4.0</v>
      </c>
      <c r="E173" s="217">
        <v>0.0</v>
      </c>
      <c r="F173" s="217">
        <v>5.0</v>
      </c>
      <c r="G173" s="217">
        <v>3.0</v>
      </c>
      <c r="H173" s="217">
        <v>3.0</v>
      </c>
      <c r="I173" s="217">
        <v>2.0</v>
      </c>
      <c r="J173" s="217">
        <v>0.0</v>
      </c>
      <c r="K173" s="217">
        <v>5.0</v>
      </c>
      <c r="L173" s="217">
        <v>4.0</v>
      </c>
      <c r="M173" s="217">
        <v>3.0</v>
      </c>
      <c r="N173" s="217">
        <v>2.0</v>
      </c>
      <c r="O173" s="217">
        <v>17.0</v>
      </c>
      <c r="P173" s="217">
        <v>8.0</v>
      </c>
      <c r="Q173" s="217">
        <v>6.0</v>
      </c>
      <c r="R173" s="217">
        <v>3.0</v>
      </c>
      <c r="S173" s="217">
        <v>2.0</v>
      </c>
      <c r="T173" s="217">
        <v>3.0</v>
      </c>
      <c r="U173" s="217">
        <v>0.0</v>
      </c>
      <c r="V173" s="217">
        <v>3.0</v>
      </c>
      <c r="W173" s="217">
        <v>1.0</v>
      </c>
      <c r="X173" s="217">
        <v>0.0</v>
      </c>
      <c r="Y173" s="217">
        <v>2.0</v>
      </c>
      <c r="Z173" s="217">
        <v>3.0</v>
      </c>
      <c r="AA173" s="217">
        <v>1.0</v>
      </c>
      <c r="AB173" s="217">
        <v>0.0</v>
      </c>
      <c r="AC173" s="217">
        <v>3.0</v>
      </c>
      <c r="AD173" s="186">
        <f t="shared" si="41"/>
        <v>90</v>
      </c>
    </row>
    <row r="174">
      <c r="A174" s="167" t="s">
        <v>43</v>
      </c>
      <c r="B174" s="217">
        <v>1.0</v>
      </c>
      <c r="C174" s="217">
        <v>6.0</v>
      </c>
      <c r="D174" s="217">
        <v>3.0</v>
      </c>
      <c r="E174" s="217">
        <v>6.0</v>
      </c>
      <c r="F174" s="217">
        <v>3.0</v>
      </c>
      <c r="G174" s="217">
        <v>4.0</v>
      </c>
      <c r="H174" s="217">
        <v>7.0</v>
      </c>
      <c r="I174" s="217">
        <v>7.0</v>
      </c>
      <c r="J174" s="217">
        <v>5.0</v>
      </c>
      <c r="K174" s="217">
        <v>4.0</v>
      </c>
      <c r="L174" s="217">
        <v>11.0</v>
      </c>
      <c r="M174" s="217">
        <v>6.0</v>
      </c>
      <c r="N174" s="217">
        <v>18.0</v>
      </c>
      <c r="O174" s="217">
        <v>12.0</v>
      </c>
      <c r="P174" s="217">
        <v>18.0</v>
      </c>
      <c r="Q174" s="217">
        <v>10.0</v>
      </c>
      <c r="R174" s="217">
        <v>4.0</v>
      </c>
      <c r="S174" s="217">
        <v>14.0</v>
      </c>
      <c r="T174" s="217">
        <v>7.0</v>
      </c>
      <c r="U174" s="217">
        <v>6.0</v>
      </c>
      <c r="V174" s="217">
        <v>8.0</v>
      </c>
      <c r="W174" s="217">
        <v>9.0</v>
      </c>
      <c r="X174" s="217">
        <v>8.0</v>
      </c>
      <c r="Y174" s="217">
        <v>0.0</v>
      </c>
      <c r="Z174" s="217">
        <v>8.0</v>
      </c>
      <c r="AA174" s="217">
        <v>4.0</v>
      </c>
      <c r="AB174" s="217">
        <v>8.0</v>
      </c>
      <c r="AC174" s="217">
        <v>5.0</v>
      </c>
      <c r="AD174" s="186">
        <f t="shared" si="41"/>
        <v>202</v>
      </c>
    </row>
    <row r="175">
      <c r="A175" s="206" t="s">
        <v>298</v>
      </c>
      <c r="B175" s="216">
        <f t="shared" ref="B175:AC175" si="42">SUM(B173:B174)</f>
        <v>3</v>
      </c>
      <c r="C175" s="216">
        <f t="shared" si="42"/>
        <v>11</v>
      </c>
      <c r="D175" s="216">
        <f t="shared" si="42"/>
        <v>7</v>
      </c>
      <c r="E175" s="216">
        <f t="shared" si="42"/>
        <v>6</v>
      </c>
      <c r="F175" s="216">
        <f t="shared" si="42"/>
        <v>8</v>
      </c>
      <c r="G175" s="216">
        <f t="shared" si="42"/>
        <v>7</v>
      </c>
      <c r="H175" s="216">
        <f t="shared" si="42"/>
        <v>10</v>
      </c>
      <c r="I175" s="216">
        <f t="shared" si="42"/>
        <v>9</v>
      </c>
      <c r="J175" s="216">
        <f t="shared" si="42"/>
        <v>5</v>
      </c>
      <c r="K175" s="216">
        <f t="shared" si="42"/>
        <v>9</v>
      </c>
      <c r="L175" s="216">
        <f t="shared" si="42"/>
        <v>15</v>
      </c>
      <c r="M175" s="216">
        <f t="shared" si="42"/>
        <v>9</v>
      </c>
      <c r="N175" s="216">
        <f t="shared" si="42"/>
        <v>20</v>
      </c>
      <c r="O175" s="216">
        <f t="shared" si="42"/>
        <v>29</v>
      </c>
      <c r="P175" s="216">
        <f t="shared" si="42"/>
        <v>26</v>
      </c>
      <c r="Q175" s="216">
        <f t="shared" si="42"/>
        <v>16</v>
      </c>
      <c r="R175" s="216">
        <f t="shared" si="42"/>
        <v>7</v>
      </c>
      <c r="S175" s="216">
        <f t="shared" si="42"/>
        <v>16</v>
      </c>
      <c r="T175" s="216">
        <f t="shared" si="42"/>
        <v>10</v>
      </c>
      <c r="U175" s="216">
        <f t="shared" si="42"/>
        <v>6</v>
      </c>
      <c r="V175" s="216">
        <f t="shared" si="42"/>
        <v>11</v>
      </c>
      <c r="W175" s="216">
        <f t="shared" si="42"/>
        <v>10</v>
      </c>
      <c r="X175" s="216">
        <f t="shared" si="42"/>
        <v>8</v>
      </c>
      <c r="Y175" s="216">
        <f t="shared" si="42"/>
        <v>2</v>
      </c>
      <c r="Z175" s="216">
        <f t="shared" si="42"/>
        <v>11</v>
      </c>
      <c r="AA175" s="216">
        <f t="shared" si="42"/>
        <v>5</v>
      </c>
      <c r="AB175" s="216">
        <f t="shared" si="42"/>
        <v>8</v>
      </c>
      <c r="AC175" s="216">
        <f t="shared" si="42"/>
        <v>8</v>
      </c>
      <c r="AD175" s="186">
        <f t="shared" si="41"/>
        <v>292</v>
      </c>
    </row>
    <row r="176">
      <c r="A176" s="27"/>
      <c r="AD176" s="186"/>
    </row>
    <row r="177">
      <c r="A177" s="167" t="s">
        <v>53</v>
      </c>
      <c r="B177" s="217">
        <v>8.0</v>
      </c>
      <c r="C177" s="217">
        <v>6.0</v>
      </c>
      <c r="D177" s="217">
        <v>7.0</v>
      </c>
      <c r="E177" s="217">
        <v>8.0</v>
      </c>
      <c r="F177" s="217">
        <v>12.0</v>
      </c>
      <c r="G177" s="217">
        <v>12.0</v>
      </c>
      <c r="H177" s="217">
        <v>9.0</v>
      </c>
      <c r="I177" s="217">
        <v>7.0</v>
      </c>
      <c r="J177" s="217">
        <v>5.0</v>
      </c>
      <c r="K177" s="217">
        <v>6.0</v>
      </c>
      <c r="L177" s="217">
        <v>15.0</v>
      </c>
      <c r="M177" s="217">
        <v>8.0</v>
      </c>
      <c r="N177" s="217">
        <v>6.0</v>
      </c>
      <c r="O177" s="217">
        <v>15.0</v>
      </c>
      <c r="P177" s="217">
        <v>9.0</v>
      </c>
      <c r="Q177" s="217">
        <v>17.0</v>
      </c>
      <c r="R177" s="217">
        <v>8.0</v>
      </c>
      <c r="S177" s="217">
        <v>7.0</v>
      </c>
      <c r="T177" s="217">
        <v>11.0</v>
      </c>
      <c r="U177" s="217">
        <v>6.0</v>
      </c>
      <c r="V177" s="217">
        <v>5.0</v>
      </c>
      <c r="W177" s="217">
        <v>2.0</v>
      </c>
      <c r="X177" s="217">
        <v>10.0</v>
      </c>
      <c r="Y177" s="217">
        <v>9.0</v>
      </c>
      <c r="Z177" s="217">
        <v>12.0</v>
      </c>
      <c r="AA177" s="217">
        <v>3.0</v>
      </c>
      <c r="AB177" s="217">
        <v>7.0</v>
      </c>
      <c r="AC177" s="217">
        <v>21.0</v>
      </c>
      <c r="AD177" s="186">
        <f t="shared" ref="AD177:AD182" si="43">sum(B177:AC177)</f>
        <v>251</v>
      </c>
    </row>
    <row r="178">
      <c r="A178" s="167" t="s">
        <v>56</v>
      </c>
      <c r="B178" s="217">
        <v>0.0</v>
      </c>
      <c r="C178" s="217">
        <v>0.0</v>
      </c>
      <c r="D178" s="217">
        <v>0.0</v>
      </c>
      <c r="E178" s="217">
        <v>0.0</v>
      </c>
      <c r="F178" s="217">
        <v>0.0</v>
      </c>
      <c r="G178" s="217">
        <v>0.0</v>
      </c>
      <c r="H178" s="217">
        <v>0.0</v>
      </c>
      <c r="I178" s="217">
        <v>0.0</v>
      </c>
      <c r="J178" s="217">
        <v>0.0</v>
      </c>
      <c r="K178" s="217">
        <v>0.0</v>
      </c>
      <c r="L178" s="217">
        <v>0.0</v>
      </c>
      <c r="M178" s="217">
        <v>0.0</v>
      </c>
      <c r="N178" s="217">
        <v>0.0</v>
      </c>
      <c r="O178" s="217">
        <v>1.0</v>
      </c>
      <c r="P178" s="217">
        <v>0.0</v>
      </c>
      <c r="Q178" s="217">
        <v>0.0</v>
      </c>
      <c r="R178" s="217">
        <v>0.0</v>
      </c>
      <c r="S178" s="217">
        <v>0.0</v>
      </c>
      <c r="T178" s="217">
        <v>0.0</v>
      </c>
      <c r="U178" s="217">
        <v>0.0</v>
      </c>
      <c r="V178" s="217">
        <v>0.0</v>
      </c>
      <c r="W178" s="217">
        <v>0.0</v>
      </c>
      <c r="X178" s="217">
        <v>0.0</v>
      </c>
      <c r="Y178" s="217">
        <v>0.0</v>
      </c>
      <c r="Z178" s="217">
        <v>0.0</v>
      </c>
      <c r="AA178" s="217">
        <v>0.0</v>
      </c>
      <c r="AB178" s="217">
        <v>0.0</v>
      </c>
      <c r="AC178" s="217">
        <v>0.0</v>
      </c>
      <c r="AD178" s="186">
        <f t="shared" si="43"/>
        <v>1</v>
      </c>
    </row>
    <row r="179">
      <c r="A179" s="167" t="s">
        <v>72</v>
      </c>
      <c r="B179" s="217">
        <v>8.0</v>
      </c>
      <c r="C179" s="217">
        <v>15.0</v>
      </c>
      <c r="D179" s="217">
        <v>9.0</v>
      </c>
      <c r="E179" s="217">
        <v>16.0</v>
      </c>
      <c r="F179" s="217">
        <v>10.0</v>
      </c>
      <c r="G179" s="217">
        <v>14.0</v>
      </c>
      <c r="H179" s="217">
        <v>11.0</v>
      </c>
      <c r="I179" s="217">
        <v>9.0</v>
      </c>
      <c r="J179" s="217">
        <v>7.0</v>
      </c>
      <c r="K179" s="217">
        <v>10.0</v>
      </c>
      <c r="L179" s="217">
        <v>19.0</v>
      </c>
      <c r="M179" s="217">
        <v>13.0</v>
      </c>
      <c r="N179" s="217">
        <v>25.0</v>
      </c>
      <c r="O179" s="217">
        <v>25.0</v>
      </c>
      <c r="P179" s="217">
        <v>30.0</v>
      </c>
      <c r="Q179" s="217">
        <v>18.0</v>
      </c>
      <c r="R179" s="217">
        <v>10.0</v>
      </c>
      <c r="S179" s="217">
        <v>10.0</v>
      </c>
      <c r="T179" s="217">
        <v>16.0</v>
      </c>
      <c r="U179" s="217">
        <v>7.0</v>
      </c>
      <c r="V179" s="217">
        <v>10.0</v>
      </c>
      <c r="W179" s="217">
        <v>8.0</v>
      </c>
      <c r="X179" s="217">
        <v>21.0</v>
      </c>
      <c r="Y179" s="217">
        <v>18.0</v>
      </c>
      <c r="Z179" s="217">
        <v>18.0</v>
      </c>
      <c r="AA179" s="217">
        <v>6.0</v>
      </c>
      <c r="AB179" s="217">
        <v>7.0</v>
      </c>
      <c r="AC179" s="217">
        <v>39.0</v>
      </c>
      <c r="AD179" s="186">
        <f t="shared" si="43"/>
        <v>409</v>
      </c>
    </row>
    <row r="180">
      <c r="A180" s="167" t="s">
        <v>118</v>
      </c>
      <c r="B180" s="217">
        <v>5.0</v>
      </c>
      <c r="C180" s="217">
        <v>8.0</v>
      </c>
      <c r="D180" s="217">
        <v>12.0</v>
      </c>
      <c r="E180" s="217">
        <v>12.0</v>
      </c>
      <c r="F180" s="217">
        <v>6.0</v>
      </c>
      <c r="G180" s="217">
        <v>7.0</v>
      </c>
      <c r="H180" s="217">
        <v>6.0</v>
      </c>
      <c r="I180" s="217">
        <v>7.0</v>
      </c>
      <c r="J180" s="217">
        <v>3.0</v>
      </c>
      <c r="K180" s="217">
        <v>8.0</v>
      </c>
      <c r="L180" s="217">
        <v>11.0</v>
      </c>
      <c r="M180" s="217">
        <v>11.0</v>
      </c>
      <c r="N180" s="217">
        <v>10.0</v>
      </c>
      <c r="O180" s="217">
        <v>8.0</v>
      </c>
      <c r="P180" s="217">
        <v>12.0</v>
      </c>
      <c r="Q180" s="217">
        <v>14.0</v>
      </c>
      <c r="R180" s="217">
        <v>6.0</v>
      </c>
      <c r="S180" s="217">
        <v>9.0</v>
      </c>
      <c r="T180" s="217">
        <v>12.0</v>
      </c>
      <c r="U180" s="217">
        <v>10.0</v>
      </c>
      <c r="V180" s="217">
        <v>7.0</v>
      </c>
      <c r="W180" s="217">
        <v>6.0</v>
      </c>
      <c r="X180" s="217">
        <f>1+82</f>
        <v>83</v>
      </c>
      <c r="Y180" s="217">
        <v>24.0</v>
      </c>
      <c r="Z180" s="217">
        <v>17.0</v>
      </c>
      <c r="AA180" s="217">
        <v>11.0</v>
      </c>
      <c r="AB180" s="217">
        <v>6.0</v>
      </c>
      <c r="AC180" s="217">
        <v>210.0</v>
      </c>
      <c r="AD180" s="186">
        <f t="shared" si="43"/>
        <v>541</v>
      </c>
    </row>
    <row r="181">
      <c r="A181" s="167" t="s">
        <v>50</v>
      </c>
      <c r="B181" s="217">
        <v>9.0</v>
      </c>
      <c r="C181" s="217">
        <v>10.0</v>
      </c>
      <c r="D181" s="217">
        <v>5.0</v>
      </c>
      <c r="E181" s="217">
        <v>13.0</v>
      </c>
      <c r="F181" s="217">
        <v>17.0</v>
      </c>
      <c r="G181" s="217">
        <v>8.0</v>
      </c>
      <c r="H181" s="217">
        <v>9.0</v>
      </c>
      <c r="I181" s="217">
        <v>10.0</v>
      </c>
      <c r="J181" s="217">
        <v>3.0</v>
      </c>
      <c r="K181" s="217">
        <v>9.0</v>
      </c>
      <c r="L181" s="217">
        <v>5.0</v>
      </c>
      <c r="M181" s="217">
        <v>11.0</v>
      </c>
      <c r="N181" s="217">
        <v>11.0</v>
      </c>
      <c r="O181" s="217">
        <v>14.0</v>
      </c>
      <c r="P181" s="217">
        <v>17.0</v>
      </c>
      <c r="Q181" s="217">
        <v>14.0</v>
      </c>
      <c r="R181" s="217">
        <v>0.0</v>
      </c>
      <c r="S181" s="217">
        <v>9.0</v>
      </c>
      <c r="T181" s="217">
        <v>10.0</v>
      </c>
      <c r="U181" s="217">
        <v>7.0</v>
      </c>
      <c r="V181" s="217">
        <v>7.0</v>
      </c>
      <c r="W181" s="217">
        <v>5.0</v>
      </c>
      <c r="X181" s="217">
        <v>15.0</v>
      </c>
      <c r="Y181" s="217">
        <v>10.0</v>
      </c>
      <c r="Z181" s="217">
        <v>7.0</v>
      </c>
      <c r="AA181" s="217">
        <v>6.0</v>
      </c>
      <c r="AB181" s="217">
        <v>5.0</v>
      </c>
      <c r="AC181" s="217">
        <v>17.0</v>
      </c>
      <c r="AD181" s="186">
        <f t="shared" si="43"/>
        <v>263</v>
      </c>
    </row>
    <row r="182">
      <c r="A182" s="206" t="s">
        <v>121</v>
      </c>
      <c r="B182" s="216">
        <f t="shared" ref="B182:AC182" si="44">SUM(B177:B181)</f>
        <v>30</v>
      </c>
      <c r="C182" s="216">
        <f t="shared" si="44"/>
        <v>39</v>
      </c>
      <c r="D182" s="216">
        <f t="shared" si="44"/>
        <v>33</v>
      </c>
      <c r="E182" s="216">
        <f t="shared" si="44"/>
        <v>49</v>
      </c>
      <c r="F182" s="216">
        <f t="shared" si="44"/>
        <v>45</v>
      </c>
      <c r="G182" s="216">
        <f t="shared" si="44"/>
        <v>41</v>
      </c>
      <c r="H182" s="216">
        <f t="shared" si="44"/>
        <v>35</v>
      </c>
      <c r="I182" s="216">
        <f t="shared" si="44"/>
        <v>33</v>
      </c>
      <c r="J182" s="216">
        <f t="shared" si="44"/>
        <v>18</v>
      </c>
      <c r="K182" s="216">
        <f t="shared" si="44"/>
        <v>33</v>
      </c>
      <c r="L182" s="216">
        <f t="shared" si="44"/>
        <v>50</v>
      </c>
      <c r="M182" s="216">
        <f t="shared" si="44"/>
        <v>43</v>
      </c>
      <c r="N182" s="216">
        <f t="shared" si="44"/>
        <v>52</v>
      </c>
      <c r="O182" s="216">
        <f t="shared" si="44"/>
        <v>63</v>
      </c>
      <c r="P182" s="216">
        <f t="shared" si="44"/>
        <v>68</v>
      </c>
      <c r="Q182" s="216">
        <f t="shared" si="44"/>
        <v>63</v>
      </c>
      <c r="R182" s="216">
        <f t="shared" si="44"/>
        <v>24</v>
      </c>
      <c r="S182" s="216">
        <f t="shared" si="44"/>
        <v>35</v>
      </c>
      <c r="T182" s="216">
        <f t="shared" si="44"/>
        <v>49</v>
      </c>
      <c r="U182" s="216">
        <f t="shared" si="44"/>
        <v>30</v>
      </c>
      <c r="V182" s="216">
        <f t="shared" si="44"/>
        <v>29</v>
      </c>
      <c r="W182" s="216">
        <f t="shared" si="44"/>
        <v>21</v>
      </c>
      <c r="X182" s="216">
        <f t="shared" si="44"/>
        <v>129</v>
      </c>
      <c r="Y182" s="216">
        <f t="shared" si="44"/>
        <v>61</v>
      </c>
      <c r="Z182" s="216">
        <f t="shared" si="44"/>
        <v>54</v>
      </c>
      <c r="AA182" s="216">
        <f t="shared" si="44"/>
        <v>26</v>
      </c>
      <c r="AB182" s="216">
        <f t="shared" si="44"/>
        <v>25</v>
      </c>
      <c r="AC182" s="216">
        <f t="shared" si="44"/>
        <v>287</v>
      </c>
      <c r="AD182" s="186">
        <f t="shared" si="43"/>
        <v>1465</v>
      </c>
    </row>
    <row r="183">
      <c r="A183" s="213"/>
      <c r="AD183" s="186"/>
    </row>
    <row r="184">
      <c r="A184" s="160" t="s">
        <v>306</v>
      </c>
      <c r="B184" s="202"/>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186"/>
    </row>
    <row r="185">
      <c r="A185" s="167" t="s">
        <v>33</v>
      </c>
      <c r="B185" s="219">
        <f t="shared" ref="B185:AC185" si="45">B138-B287</f>
        <v>29</v>
      </c>
      <c r="C185" s="219">
        <f t="shared" si="45"/>
        <v>57</v>
      </c>
      <c r="D185" s="219">
        <f t="shared" si="45"/>
        <v>31</v>
      </c>
      <c r="E185" s="219">
        <f t="shared" si="45"/>
        <v>30</v>
      </c>
      <c r="F185" s="219">
        <f t="shared" si="45"/>
        <v>37</v>
      </c>
      <c r="G185" s="219">
        <f t="shared" si="45"/>
        <v>20</v>
      </c>
      <c r="H185" s="219">
        <f t="shared" si="45"/>
        <v>34</v>
      </c>
      <c r="I185" s="219">
        <f t="shared" si="45"/>
        <v>30</v>
      </c>
      <c r="J185" s="219">
        <f t="shared" si="45"/>
        <v>37</v>
      </c>
      <c r="K185" s="219">
        <f t="shared" si="45"/>
        <v>48</v>
      </c>
      <c r="L185" s="219">
        <f t="shared" si="45"/>
        <v>39</v>
      </c>
      <c r="M185" s="219">
        <f t="shared" si="45"/>
        <v>45</v>
      </c>
      <c r="N185" s="219">
        <f t="shared" si="45"/>
        <v>43</v>
      </c>
      <c r="O185" s="219">
        <f t="shared" si="45"/>
        <v>61</v>
      </c>
      <c r="P185" s="219">
        <f t="shared" si="45"/>
        <v>38</v>
      </c>
      <c r="Q185" s="219">
        <f t="shared" si="45"/>
        <v>46</v>
      </c>
      <c r="R185" s="219">
        <f t="shared" si="45"/>
        <v>19</v>
      </c>
      <c r="S185" s="219">
        <f t="shared" si="45"/>
        <v>36</v>
      </c>
      <c r="T185" s="219">
        <f t="shared" si="45"/>
        <v>37</v>
      </c>
      <c r="U185" s="219">
        <f t="shared" si="45"/>
        <v>27</v>
      </c>
      <c r="V185" s="219">
        <f t="shared" si="45"/>
        <v>36</v>
      </c>
      <c r="W185" s="219">
        <f t="shared" si="45"/>
        <v>24</v>
      </c>
      <c r="X185" s="219">
        <f t="shared" si="45"/>
        <v>26</v>
      </c>
      <c r="Y185" s="219">
        <f t="shared" si="45"/>
        <v>37</v>
      </c>
      <c r="Z185" s="220">
        <f t="shared" si="45"/>
        <v>42</v>
      </c>
      <c r="AA185" s="219">
        <f t="shared" si="45"/>
        <v>35</v>
      </c>
      <c r="AB185" s="219">
        <f t="shared" si="45"/>
        <v>40</v>
      </c>
      <c r="AC185" s="220">
        <f t="shared" si="45"/>
        <v>34</v>
      </c>
      <c r="AD185" s="186">
        <f t="shared" ref="AD185:AD187" si="47">SUM(B185:AC185)</f>
        <v>1018</v>
      </c>
    </row>
    <row r="186">
      <c r="A186" s="167" t="s">
        <v>43</v>
      </c>
      <c r="B186" s="221">
        <f t="shared" ref="B186:AC186" si="46">B139-B288</f>
        <v>81</v>
      </c>
      <c r="C186" s="221">
        <f t="shared" si="46"/>
        <v>102</v>
      </c>
      <c r="D186" s="221">
        <f t="shared" si="46"/>
        <v>86</v>
      </c>
      <c r="E186" s="221">
        <f t="shared" si="46"/>
        <v>110</v>
      </c>
      <c r="F186" s="221">
        <f t="shared" si="46"/>
        <v>95</v>
      </c>
      <c r="G186" s="221">
        <f t="shared" si="46"/>
        <v>85</v>
      </c>
      <c r="H186" s="221">
        <f t="shared" si="46"/>
        <v>94</v>
      </c>
      <c r="I186" s="221">
        <f t="shared" si="46"/>
        <v>107</v>
      </c>
      <c r="J186" s="221">
        <f t="shared" si="46"/>
        <v>97</v>
      </c>
      <c r="K186" s="221">
        <f t="shared" si="46"/>
        <v>108</v>
      </c>
      <c r="L186" s="221">
        <f t="shared" si="46"/>
        <v>129</v>
      </c>
      <c r="M186" s="221">
        <f t="shared" si="46"/>
        <v>184</v>
      </c>
      <c r="N186" s="221">
        <f t="shared" si="46"/>
        <v>144</v>
      </c>
      <c r="O186" s="221">
        <f t="shared" si="46"/>
        <v>150</v>
      </c>
      <c r="P186" s="221">
        <f t="shared" si="46"/>
        <v>120</v>
      </c>
      <c r="Q186" s="221">
        <f t="shared" si="46"/>
        <v>100</v>
      </c>
      <c r="R186" s="221">
        <f t="shared" si="46"/>
        <v>116</v>
      </c>
      <c r="S186" s="221">
        <f t="shared" si="46"/>
        <v>116</v>
      </c>
      <c r="T186" s="221">
        <f t="shared" si="46"/>
        <v>122</v>
      </c>
      <c r="U186" s="221">
        <f t="shared" si="46"/>
        <v>123</v>
      </c>
      <c r="V186" s="221">
        <f t="shared" si="46"/>
        <v>96</v>
      </c>
      <c r="W186" s="221">
        <f t="shared" si="46"/>
        <v>114</v>
      </c>
      <c r="X186" s="221">
        <f t="shared" si="46"/>
        <v>116</v>
      </c>
      <c r="Y186" s="221">
        <f t="shared" si="46"/>
        <v>101</v>
      </c>
      <c r="Z186" s="221">
        <f t="shared" si="46"/>
        <v>144</v>
      </c>
      <c r="AA186" s="221">
        <f t="shared" si="46"/>
        <v>119</v>
      </c>
      <c r="AB186" s="221">
        <f t="shared" si="46"/>
        <v>102</v>
      </c>
      <c r="AC186" s="221">
        <f t="shared" si="46"/>
        <v>97</v>
      </c>
      <c r="AD186" s="186">
        <f t="shared" si="47"/>
        <v>3158</v>
      </c>
    </row>
    <row r="187">
      <c r="A187" s="206" t="s">
        <v>298</v>
      </c>
      <c r="B187" s="207">
        <f t="shared" ref="B187:AC187" si="48">SUM(B185:B186)</f>
        <v>110</v>
      </c>
      <c r="C187" s="207">
        <f t="shared" si="48"/>
        <v>159</v>
      </c>
      <c r="D187" s="207">
        <f t="shared" si="48"/>
        <v>117</v>
      </c>
      <c r="E187" s="207">
        <f t="shared" si="48"/>
        <v>140</v>
      </c>
      <c r="F187" s="207">
        <f t="shared" si="48"/>
        <v>132</v>
      </c>
      <c r="G187" s="207">
        <f t="shared" si="48"/>
        <v>105</v>
      </c>
      <c r="H187" s="207">
        <f t="shared" si="48"/>
        <v>128</v>
      </c>
      <c r="I187" s="207">
        <f t="shared" si="48"/>
        <v>137</v>
      </c>
      <c r="J187" s="207">
        <f t="shared" si="48"/>
        <v>134</v>
      </c>
      <c r="K187" s="207">
        <f t="shared" si="48"/>
        <v>156</v>
      </c>
      <c r="L187" s="207">
        <f t="shared" si="48"/>
        <v>168</v>
      </c>
      <c r="M187" s="207">
        <f t="shared" si="48"/>
        <v>229</v>
      </c>
      <c r="N187" s="207">
        <f t="shared" si="48"/>
        <v>187</v>
      </c>
      <c r="O187" s="207">
        <f t="shared" si="48"/>
        <v>211</v>
      </c>
      <c r="P187" s="207">
        <f t="shared" si="48"/>
        <v>158</v>
      </c>
      <c r="Q187" s="207">
        <f t="shared" si="48"/>
        <v>146</v>
      </c>
      <c r="R187" s="207">
        <f t="shared" si="48"/>
        <v>135</v>
      </c>
      <c r="S187" s="207">
        <f t="shared" si="48"/>
        <v>152</v>
      </c>
      <c r="T187" s="207">
        <f t="shared" si="48"/>
        <v>159</v>
      </c>
      <c r="U187" s="207">
        <f t="shared" si="48"/>
        <v>150</v>
      </c>
      <c r="V187" s="207">
        <f t="shared" si="48"/>
        <v>132</v>
      </c>
      <c r="W187" s="207">
        <f t="shared" si="48"/>
        <v>138</v>
      </c>
      <c r="X187" s="207">
        <f t="shared" si="48"/>
        <v>142</v>
      </c>
      <c r="Y187" s="207">
        <f t="shared" si="48"/>
        <v>138</v>
      </c>
      <c r="Z187" s="207">
        <f t="shared" si="48"/>
        <v>186</v>
      </c>
      <c r="AA187" s="207">
        <f t="shared" si="48"/>
        <v>154</v>
      </c>
      <c r="AB187" s="207">
        <f t="shared" si="48"/>
        <v>142</v>
      </c>
      <c r="AC187" s="207">
        <f t="shared" si="48"/>
        <v>131</v>
      </c>
      <c r="AD187" s="186">
        <f t="shared" si="47"/>
        <v>4176</v>
      </c>
    </row>
    <row r="188">
      <c r="A188" s="27"/>
      <c r="B188" s="208"/>
      <c r="C188" s="208"/>
      <c r="D188" s="208"/>
      <c r="E188" s="208"/>
      <c r="F188" s="208"/>
      <c r="G188" s="208"/>
      <c r="H188" s="208"/>
      <c r="I188" s="208"/>
      <c r="J188" s="23"/>
      <c r="K188" s="23"/>
      <c r="L188" s="23"/>
      <c r="M188" s="23"/>
      <c r="N188" s="23"/>
      <c r="O188" s="23"/>
      <c r="P188" s="23"/>
      <c r="Q188" s="23"/>
      <c r="R188" s="23"/>
      <c r="S188" s="23"/>
      <c r="T188" s="23"/>
      <c r="U188" s="23"/>
      <c r="V188" s="23"/>
      <c r="W188" s="23"/>
      <c r="X188" s="23"/>
      <c r="Y188" s="23"/>
      <c r="Z188" s="23"/>
      <c r="AA188" s="23"/>
      <c r="AB188" s="23"/>
      <c r="AC188" s="23"/>
      <c r="AD188" s="186"/>
    </row>
    <row r="189">
      <c r="A189" s="167" t="s">
        <v>53</v>
      </c>
      <c r="B189" s="221">
        <f t="shared" ref="B189:AC189" si="49">B142-(B290+B297+B304)</f>
        <v>61</v>
      </c>
      <c r="C189" s="221">
        <f t="shared" si="49"/>
        <v>66</v>
      </c>
      <c r="D189" s="221">
        <f t="shared" si="49"/>
        <v>56</v>
      </c>
      <c r="E189" s="221">
        <f t="shared" si="49"/>
        <v>79</v>
      </c>
      <c r="F189" s="221">
        <f t="shared" si="49"/>
        <v>72</v>
      </c>
      <c r="G189" s="221">
        <f t="shared" si="49"/>
        <v>61</v>
      </c>
      <c r="H189" s="221">
        <f t="shared" si="49"/>
        <v>56</v>
      </c>
      <c r="I189" s="221">
        <f t="shared" si="49"/>
        <v>50</v>
      </c>
      <c r="J189" s="221">
        <f t="shared" si="49"/>
        <v>54</v>
      </c>
      <c r="K189" s="221">
        <f t="shared" si="49"/>
        <v>61</v>
      </c>
      <c r="L189" s="221">
        <f t="shared" si="49"/>
        <v>66</v>
      </c>
      <c r="M189" s="221">
        <f t="shared" si="49"/>
        <v>90</v>
      </c>
      <c r="N189" s="221">
        <f t="shared" si="49"/>
        <v>66</v>
      </c>
      <c r="O189" s="221">
        <f t="shared" si="49"/>
        <v>70</v>
      </c>
      <c r="P189" s="221">
        <f t="shared" si="49"/>
        <v>46</v>
      </c>
      <c r="Q189" s="221">
        <f t="shared" si="49"/>
        <v>65</v>
      </c>
      <c r="R189" s="221">
        <f t="shared" si="49"/>
        <v>47</v>
      </c>
      <c r="S189" s="221">
        <f t="shared" si="49"/>
        <v>59</v>
      </c>
      <c r="T189" s="221">
        <f t="shared" si="49"/>
        <v>77</v>
      </c>
      <c r="U189" s="221">
        <f t="shared" si="49"/>
        <v>72</v>
      </c>
      <c r="V189" s="221">
        <f t="shared" si="49"/>
        <v>62</v>
      </c>
      <c r="W189" s="221">
        <f t="shared" si="49"/>
        <v>54</v>
      </c>
      <c r="X189" s="221">
        <f t="shared" si="49"/>
        <v>67</v>
      </c>
      <c r="Y189" s="221">
        <f t="shared" si="49"/>
        <v>66</v>
      </c>
      <c r="Z189" s="221">
        <f t="shared" si="49"/>
        <v>85</v>
      </c>
      <c r="AA189" s="221">
        <f t="shared" si="49"/>
        <v>73</v>
      </c>
      <c r="AB189" s="221">
        <f t="shared" si="49"/>
        <v>58</v>
      </c>
      <c r="AC189" s="221">
        <f t="shared" si="49"/>
        <v>84</v>
      </c>
      <c r="AD189" s="186">
        <f t="shared" ref="AD189:AD194" si="52">SUM(B189:AC189)</f>
        <v>1823</v>
      </c>
    </row>
    <row r="190">
      <c r="A190" s="167" t="s">
        <v>56</v>
      </c>
      <c r="B190" s="221">
        <f t="shared" ref="B190:B193" si="53">B143-(B291+B298+B305)</f>
        <v>0</v>
      </c>
      <c r="C190" s="221">
        <f>C142-(C291+C298+C305)</f>
        <v>68</v>
      </c>
      <c r="D190" s="221">
        <f t="shared" ref="D190:I190" si="50">D143-(D291+D298+D305)</f>
        <v>0</v>
      </c>
      <c r="E190" s="221">
        <f t="shared" si="50"/>
        <v>0</v>
      </c>
      <c r="F190" s="221">
        <f t="shared" si="50"/>
        <v>0</v>
      </c>
      <c r="G190" s="221">
        <f t="shared" si="50"/>
        <v>0</v>
      </c>
      <c r="H190" s="221">
        <f t="shared" si="50"/>
        <v>-1</v>
      </c>
      <c r="I190" s="221">
        <f t="shared" si="50"/>
        <v>0</v>
      </c>
      <c r="J190" s="221">
        <f>J142-(J291+J298+J305)</f>
        <v>56</v>
      </c>
      <c r="K190" s="221">
        <f t="shared" ref="K190:AC190" si="51">K143-(K291+K298+K305)</f>
        <v>0</v>
      </c>
      <c r="L190" s="221">
        <f t="shared" si="51"/>
        <v>0</v>
      </c>
      <c r="M190" s="221">
        <f t="shared" si="51"/>
        <v>0</v>
      </c>
      <c r="N190" s="221">
        <f t="shared" si="51"/>
        <v>0</v>
      </c>
      <c r="O190" s="221">
        <f t="shared" si="51"/>
        <v>0</v>
      </c>
      <c r="P190" s="221">
        <f t="shared" si="51"/>
        <v>-1</v>
      </c>
      <c r="Q190" s="221">
        <f t="shared" si="51"/>
        <v>0</v>
      </c>
      <c r="R190" s="221">
        <f t="shared" si="51"/>
        <v>0</v>
      </c>
      <c r="S190" s="221">
        <f t="shared" si="51"/>
        <v>0</v>
      </c>
      <c r="T190" s="221">
        <f t="shared" si="51"/>
        <v>-1</v>
      </c>
      <c r="U190" s="221">
        <f t="shared" si="51"/>
        <v>-1</v>
      </c>
      <c r="V190" s="221">
        <f t="shared" si="51"/>
        <v>0</v>
      </c>
      <c r="W190" s="221">
        <f t="shared" si="51"/>
        <v>0</v>
      </c>
      <c r="X190" s="221">
        <f t="shared" si="51"/>
        <v>0</v>
      </c>
      <c r="Y190" s="221">
        <f t="shared" si="51"/>
        <v>0</v>
      </c>
      <c r="Z190" s="221">
        <f t="shared" si="51"/>
        <v>0</v>
      </c>
      <c r="AA190" s="221">
        <f t="shared" si="51"/>
        <v>0</v>
      </c>
      <c r="AB190" s="221">
        <f t="shared" si="51"/>
        <v>0</v>
      </c>
      <c r="AC190" s="221">
        <f t="shared" si="51"/>
        <v>0</v>
      </c>
      <c r="AD190" s="186">
        <f t="shared" si="52"/>
        <v>120</v>
      </c>
    </row>
    <row r="191">
      <c r="A191" s="167" t="s">
        <v>72</v>
      </c>
      <c r="B191" s="221">
        <f t="shared" si="53"/>
        <v>129</v>
      </c>
      <c r="C191" s="221">
        <f t="shared" ref="C191:AC191" si="54">C144-(C292+C299+C306)</f>
        <v>156</v>
      </c>
      <c r="D191" s="221">
        <f t="shared" si="54"/>
        <v>119</v>
      </c>
      <c r="E191" s="221">
        <f t="shared" si="54"/>
        <v>155</v>
      </c>
      <c r="F191" s="221">
        <f t="shared" si="54"/>
        <v>140</v>
      </c>
      <c r="G191" s="221">
        <f t="shared" si="54"/>
        <v>115</v>
      </c>
      <c r="H191" s="221">
        <f t="shared" si="54"/>
        <v>132</v>
      </c>
      <c r="I191" s="221">
        <f t="shared" si="54"/>
        <v>136</v>
      </c>
      <c r="J191" s="221">
        <f t="shared" si="54"/>
        <v>142</v>
      </c>
      <c r="K191" s="221">
        <f t="shared" si="54"/>
        <v>163</v>
      </c>
      <c r="L191" s="221">
        <f t="shared" si="54"/>
        <v>190</v>
      </c>
      <c r="M191" s="221">
        <f t="shared" si="54"/>
        <v>242</v>
      </c>
      <c r="N191" s="221">
        <f t="shared" si="54"/>
        <v>201</v>
      </c>
      <c r="O191" s="221">
        <f t="shared" si="54"/>
        <v>215</v>
      </c>
      <c r="P191" s="221">
        <f t="shared" si="54"/>
        <v>162</v>
      </c>
      <c r="Q191" s="221">
        <f t="shared" si="54"/>
        <v>151</v>
      </c>
      <c r="R191" s="221">
        <f t="shared" si="54"/>
        <v>149</v>
      </c>
      <c r="S191" s="221">
        <f t="shared" si="54"/>
        <v>94</v>
      </c>
      <c r="T191" s="221">
        <f t="shared" si="54"/>
        <v>120</v>
      </c>
      <c r="U191" s="221">
        <f t="shared" si="54"/>
        <v>103</v>
      </c>
      <c r="V191" s="221">
        <f t="shared" si="54"/>
        <v>97</v>
      </c>
      <c r="W191" s="221">
        <f t="shared" si="54"/>
        <v>97</v>
      </c>
      <c r="X191" s="221">
        <f t="shared" si="54"/>
        <v>139</v>
      </c>
      <c r="Y191" s="221">
        <f t="shared" si="54"/>
        <v>134</v>
      </c>
      <c r="Z191" s="221">
        <f t="shared" si="54"/>
        <v>125</v>
      </c>
      <c r="AA191" s="221">
        <f t="shared" si="54"/>
        <v>117</v>
      </c>
      <c r="AB191" s="221">
        <f t="shared" si="54"/>
        <v>122</v>
      </c>
      <c r="AC191" s="221">
        <f t="shared" si="54"/>
        <v>178</v>
      </c>
      <c r="AD191" s="186">
        <f t="shared" si="52"/>
        <v>4023</v>
      </c>
    </row>
    <row r="192">
      <c r="A192" s="167" t="s">
        <v>118</v>
      </c>
      <c r="B192" s="221">
        <f t="shared" si="53"/>
        <v>43</v>
      </c>
      <c r="C192" s="221">
        <f t="shared" ref="C192:AC192" si="55">C145-(C293+C300+C307)</f>
        <v>55</v>
      </c>
      <c r="D192" s="221">
        <f t="shared" si="55"/>
        <v>55</v>
      </c>
      <c r="E192" s="221">
        <f t="shared" si="55"/>
        <v>61</v>
      </c>
      <c r="F192" s="221">
        <f t="shared" si="55"/>
        <v>49</v>
      </c>
      <c r="G192" s="221">
        <f t="shared" si="55"/>
        <v>41</v>
      </c>
      <c r="H192" s="221">
        <f t="shared" si="55"/>
        <v>34</v>
      </c>
      <c r="I192" s="221">
        <f t="shared" si="55"/>
        <v>34</v>
      </c>
      <c r="J192" s="221">
        <f t="shared" si="55"/>
        <v>33</v>
      </c>
      <c r="K192" s="221">
        <f t="shared" si="55"/>
        <v>48</v>
      </c>
      <c r="L192" s="221">
        <f t="shared" si="55"/>
        <v>54</v>
      </c>
      <c r="M192" s="221">
        <f t="shared" si="55"/>
        <v>67</v>
      </c>
      <c r="N192" s="221">
        <f t="shared" si="55"/>
        <v>61</v>
      </c>
      <c r="O192" s="221">
        <f t="shared" si="55"/>
        <v>43</v>
      </c>
      <c r="P192" s="221">
        <f t="shared" si="55"/>
        <v>41</v>
      </c>
      <c r="Q192" s="221">
        <f t="shared" si="55"/>
        <v>45</v>
      </c>
      <c r="R192" s="221">
        <f t="shared" si="55"/>
        <v>43</v>
      </c>
      <c r="S192" s="221">
        <f t="shared" si="55"/>
        <v>58</v>
      </c>
      <c r="T192" s="221">
        <f t="shared" si="55"/>
        <v>60</v>
      </c>
      <c r="U192" s="221">
        <f t="shared" si="55"/>
        <v>61</v>
      </c>
      <c r="V192" s="221">
        <f t="shared" si="55"/>
        <v>46</v>
      </c>
      <c r="W192" s="221">
        <f t="shared" si="55"/>
        <v>53</v>
      </c>
      <c r="X192" s="221">
        <f t="shared" si="55"/>
        <v>143</v>
      </c>
      <c r="Y192" s="221">
        <f t="shared" si="55"/>
        <v>68</v>
      </c>
      <c r="Z192" s="221">
        <f t="shared" si="55"/>
        <v>70</v>
      </c>
      <c r="AA192" s="221">
        <f t="shared" si="55"/>
        <v>67</v>
      </c>
      <c r="AB192" s="221">
        <f t="shared" si="55"/>
        <v>46</v>
      </c>
      <c r="AC192" s="221">
        <f t="shared" si="55"/>
        <v>333</v>
      </c>
      <c r="AD192" s="186">
        <f t="shared" si="52"/>
        <v>1812</v>
      </c>
    </row>
    <row r="193">
      <c r="A193" s="167" t="s">
        <v>50</v>
      </c>
      <c r="B193" s="221">
        <f t="shared" si="53"/>
        <v>21</v>
      </c>
      <c r="C193" s="221">
        <f t="shared" ref="C193:AC193" si="56">C146-(C294+C301+C308)</f>
        <v>21</v>
      </c>
      <c r="D193" s="221">
        <f t="shared" si="56"/>
        <v>14</v>
      </c>
      <c r="E193" s="221">
        <f t="shared" si="56"/>
        <v>22</v>
      </c>
      <c r="F193" s="221">
        <f t="shared" si="56"/>
        <v>34</v>
      </c>
      <c r="G193" s="221">
        <f t="shared" si="56"/>
        <v>18</v>
      </c>
      <c r="H193" s="221">
        <f t="shared" si="56"/>
        <v>21</v>
      </c>
      <c r="I193" s="221">
        <f t="shared" si="56"/>
        <v>11</v>
      </c>
      <c r="J193" s="221">
        <f t="shared" si="56"/>
        <v>10</v>
      </c>
      <c r="K193" s="221">
        <f t="shared" si="56"/>
        <v>15</v>
      </c>
      <c r="L193" s="221">
        <f t="shared" si="56"/>
        <v>14</v>
      </c>
      <c r="M193" s="221">
        <f t="shared" si="56"/>
        <v>32</v>
      </c>
      <c r="N193" s="221">
        <f t="shared" si="56"/>
        <v>20</v>
      </c>
      <c r="O193" s="221">
        <f t="shared" si="56"/>
        <v>24</v>
      </c>
      <c r="P193" s="221">
        <f t="shared" si="56"/>
        <v>28</v>
      </c>
      <c r="Q193" s="221">
        <f t="shared" si="56"/>
        <v>20</v>
      </c>
      <c r="R193" s="221">
        <f t="shared" si="56"/>
        <v>4</v>
      </c>
      <c r="S193" s="221">
        <f t="shared" si="56"/>
        <v>17</v>
      </c>
      <c r="T193" s="221">
        <f t="shared" si="56"/>
        <v>20</v>
      </c>
      <c r="U193" s="221">
        <f t="shared" si="56"/>
        <v>16</v>
      </c>
      <c r="V193" s="221">
        <f t="shared" si="56"/>
        <v>15</v>
      </c>
      <c r="W193" s="221">
        <f t="shared" si="56"/>
        <v>9</v>
      </c>
      <c r="X193" s="221">
        <f t="shared" si="56"/>
        <v>25</v>
      </c>
      <c r="Y193" s="221">
        <f t="shared" si="56"/>
        <v>20</v>
      </c>
      <c r="Z193" s="221">
        <f t="shared" si="56"/>
        <v>16</v>
      </c>
      <c r="AA193" s="221">
        <f t="shared" si="56"/>
        <v>15</v>
      </c>
      <c r="AB193" s="221">
        <f t="shared" si="56"/>
        <v>12</v>
      </c>
      <c r="AC193" s="221">
        <f t="shared" si="56"/>
        <v>28</v>
      </c>
      <c r="AD193" s="186">
        <f t="shared" si="52"/>
        <v>522</v>
      </c>
    </row>
    <row r="194">
      <c r="A194" s="206" t="s">
        <v>121</v>
      </c>
      <c r="B194" s="207">
        <f t="shared" ref="B194:AC194" si="57">SUM(B189:B193)</f>
        <v>254</v>
      </c>
      <c r="C194" s="207">
        <f t="shared" si="57"/>
        <v>366</v>
      </c>
      <c r="D194" s="207">
        <f t="shared" si="57"/>
        <v>244</v>
      </c>
      <c r="E194" s="207">
        <f t="shared" si="57"/>
        <v>317</v>
      </c>
      <c r="F194" s="207">
        <f t="shared" si="57"/>
        <v>295</v>
      </c>
      <c r="G194" s="207">
        <f t="shared" si="57"/>
        <v>235</v>
      </c>
      <c r="H194" s="207">
        <f t="shared" si="57"/>
        <v>242</v>
      </c>
      <c r="I194" s="207">
        <f t="shared" si="57"/>
        <v>231</v>
      </c>
      <c r="J194" s="207">
        <f t="shared" si="57"/>
        <v>295</v>
      </c>
      <c r="K194" s="207">
        <f t="shared" si="57"/>
        <v>287</v>
      </c>
      <c r="L194" s="207">
        <f t="shared" si="57"/>
        <v>324</v>
      </c>
      <c r="M194" s="207">
        <f t="shared" si="57"/>
        <v>431</v>
      </c>
      <c r="N194" s="207">
        <f t="shared" si="57"/>
        <v>348</v>
      </c>
      <c r="O194" s="207">
        <f t="shared" si="57"/>
        <v>352</v>
      </c>
      <c r="P194" s="207">
        <f t="shared" si="57"/>
        <v>276</v>
      </c>
      <c r="Q194" s="207">
        <f t="shared" si="57"/>
        <v>281</v>
      </c>
      <c r="R194" s="207">
        <f t="shared" si="57"/>
        <v>243</v>
      </c>
      <c r="S194" s="207">
        <f t="shared" si="57"/>
        <v>228</v>
      </c>
      <c r="T194" s="207">
        <f t="shared" si="57"/>
        <v>276</v>
      </c>
      <c r="U194" s="207">
        <f t="shared" si="57"/>
        <v>251</v>
      </c>
      <c r="V194" s="207">
        <f t="shared" si="57"/>
        <v>220</v>
      </c>
      <c r="W194" s="207">
        <f t="shared" si="57"/>
        <v>213</v>
      </c>
      <c r="X194" s="207">
        <f t="shared" si="57"/>
        <v>374</v>
      </c>
      <c r="Y194" s="207">
        <f t="shared" si="57"/>
        <v>288</v>
      </c>
      <c r="Z194" s="207">
        <f t="shared" si="57"/>
        <v>296</v>
      </c>
      <c r="AA194" s="207">
        <f t="shared" si="57"/>
        <v>272</v>
      </c>
      <c r="AB194" s="207">
        <f t="shared" si="57"/>
        <v>238</v>
      </c>
      <c r="AC194" s="207">
        <f t="shared" si="57"/>
        <v>623</v>
      </c>
      <c r="AD194" s="186">
        <f t="shared" si="52"/>
        <v>8300</v>
      </c>
    </row>
    <row r="195">
      <c r="A195" s="213"/>
      <c r="AD195" s="186"/>
    </row>
    <row r="196">
      <c r="A196" s="167" t="s">
        <v>299</v>
      </c>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c r="AA196" s="214"/>
      <c r="AB196" s="214"/>
      <c r="AC196" s="214"/>
      <c r="AD196" s="186">
        <f t="shared" ref="AD196:AD198" si="58">SUM(B196:AC196)</f>
        <v>0</v>
      </c>
    </row>
    <row r="197">
      <c r="A197" s="167" t="s">
        <v>300</v>
      </c>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c r="AA197" s="214"/>
      <c r="AB197" s="214"/>
      <c r="AC197" s="214"/>
      <c r="AD197" s="186">
        <f t="shared" si="58"/>
        <v>0</v>
      </c>
    </row>
    <row r="198">
      <c r="A198" s="206" t="s">
        <v>121</v>
      </c>
      <c r="B198" s="207">
        <f t="shared" ref="B198:AC198" si="59">SUM(B196:B197)</f>
        <v>0</v>
      </c>
      <c r="C198" s="207">
        <f t="shared" si="59"/>
        <v>0</v>
      </c>
      <c r="D198" s="207">
        <f t="shared" si="59"/>
        <v>0</v>
      </c>
      <c r="E198" s="207">
        <f t="shared" si="59"/>
        <v>0</v>
      </c>
      <c r="F198" s="207">
        <f t="shared" si="59"/>
        <v>0</v>
      </c>
      <c r="G198" s="207">
        <f t="shared" si="59"/>
        <v>0</v>
      </c>
      <c r="H198" s="207">
        <f t="shared" si="59"/>
        <v>0</v>
      </c>
      <c r="I198" s="207">
        <f t="shared" si="59"/>
        <v>0</v>
      </c>
      <c r="J198" s="207">
        <f t="shared" si="59"/>
        <v>0</v>
      </c>
      <c r="K198" s="207">
        <f t="shared" si="59"/>
        <v>0</v>
      </c>
      <c r="L198" s="207">
        <f t="shared" si="59"/>
        <v>0</v>
      </c>
      <c r="M198" s="207">
        <f t="shared" si="59"/>
        <v>0</v>
      </c>
      <c r="N198" s="207">
        <f t="shared" si="59"/>
        <v>0</v>
      </c>
      <c r="O198" s="207">
        <f t="shared" si="59"/>
        <v>0</v>
      </c>
      <c r="P198" s="207">
        <f t="shared" si="59"/>
        <v>0</v>
      </c>
      <c r="Q198" s="207">
        <f t="shared" si="59"/>
        <v>0</v>
      </c>
      <c r="R198" s="207">
        <f t="shared" si="59"/>
        <v>0</v>
      </c>
      <c r="S198" s="207">
        <f t="shared" si="59"/>
        <v>0</v>
      </c>
      <c r="T198" s="207">
        <f t="shared" si="59"/>
        <v>0</v>
      </c>
      <c r="U198" s="207">
        <f t="shared" si="59"/>
        <v>0</v>
      </c>
      <c r="V198" s="207">
        <f t="shared" si="59"/>
        <v>0</v>
      </c>
      <c r="W198" s="207">
        <f t="shared" si="59"/>
        <v>0</v>
      </c>
      <c r="X198" s="207">
        <f t="shared" si="59"/>
        <v>0</v>
      </c>
      <c r="Y198" s="207">
        <f t="shared" si="59"/>
        <v>0</v>
      </c>
      <c r="Z198" s="207">
        <f t="shared" si="59"/>
        <v>0</v>
      </c>
      <c r="AA198" s="207">
        <f t="shared" si="59"/>
        <v>0</v>
      </c>
      <c r="AB198" s="207">
        <f t="shared" si="59"/>
        <v>0</v>
      </c>
      <c r="AC198" s="207">
        <f t="shared" si="59"/>
        <v>0</v>
      </c>
      <c r="AD198" s="186">
        <f t="shared" si="58"/>
        <v>0</v>
      </c>
    </row>
    <row r="199">
      <c r="A199" s="213"/>
      <c r="AD199" s="222"/>
    </row>
    <row r="200">
      <c r="A200" s="167" t="s">
        <v>301</v>
      </c>
      <c r="B200" s="223">
        <f t="shared" ref="B200:AC200" si="60">B153-B315</f>
        <v>0</v>
      </c>
      <c r="C200" s="223">
        <f t="shared" si="60"/>
        <v>0</v>
      </c>
      <c r="D200" s="223">
        <f t="shared" si="60"/>
        <v>0</v>
      </c>
      <c r="E200" s="223">
        <f t="shared" si="60"/>
        <v>0</v>
      </c>
      <c r="F200" s="223">
        <f t="shared" si="60"/>
        <v>0</v>
      </c>
      <c r="G200" s="223">
        <f t="shared" si="60"/>
        <v>0</v>
      </c>
      <c r="H200" s="223">
        <f t="shared" si="60"/>
        <v>0</v>
      </c>
      <c r="I200" s="223">
        <f t="shared" si="60"/>
        <v>0</v>
      </c>
      <c r="J200" s="223">
        <f t="shared" si="60"/>
        <v>0</v>
      </c>
      <c r="K200" s="223">
        <f t="shared" si="60"/>
        <v>0</v>
      </c>
      <c r="L200" s="223">
        <f t="shared" si="60"/>
        <v>0</v>
      </c>
      <c r="M200" s="223">
        <f t="shared" si="60"/>
        <v>0</v>
      </c>
      <c r="N200" s="223">
        <f t="shared" si="60"/>
        <v>0</v>
      </c>
      <c r="O200" s="223">
        <f t="shared" si="60"/>
        <v>0</v>
      </c>
      <c r="P200" s="223">
        <f t="shared" si="60"/>
        <v>0</v>
      </c>
      <c r="Q200" s="223">
        <f t="shared" si="60"/>
        <v>0</v>
      </c>
      <c r="R200" s="223">
        <f t="shared" si="60"/>
        <v>0</v>
      </c>
      <c r="S200" s="223">
        <f t="shared" si="60"/>
        <v>0</v>
      </c>
      <c r="T200" s="223">
        <f t="shared" si="60"/>
        <v>0</v>
      </c>
      <c r="U200" s="223">
        <f t="shared" si="60"/>
        <v>0</v>
      </c>
      <c r="V200" s="223">
        <f t="shared" si="60"/>
        <v>0</v>
      </c>
      <c r="W200" s="223">
        <f t="shared" si="60"/>
        <v>0</v>
      </c>
      <c r="X200" s="223">
        <f t="shared" si="60"/>
        <v>0</v>
      </c>
      <c r="Y200" s="223">
        <f t="shared" si="60"/>
        <v>0</v>
      </c>
      <c r="Z200" s="223">
        <f t="shared" si="60"/>
        <v>0</v>
      </c>
      <c r="AA200" s="223">
        <f t="shared" si="60"/>
        <v>0</v>
      </c>
      <c r="AB200" s="223">
        <f t="shared" si="60"/>
        <v>0</v>
      </c>
      <c r="AC200" s="223">
        <f t="shared" si="60"/>
        <v>0</v>
      </c>
      <c r="AD200" s="186">
        <f t="shared" ref="AD200:AD202" si="62">SUM(B200:AC200)</f>
        <v>0</v>
      </c>
    </row>
    <row r="201">
      <c r="A201" s="167" t="s">
        <v>302</v>
      </c>
      <c r="B201" s="223">
        <f t="shared" ref="B201:AC201" si="61">B154-B316</f>
        <v>0</v>
      </c>
      <c r="C201" s="223">
        <f t="shared" si="61"/>
        <v>0</v>
      </c>
      <c r="D201" s="223">
        <f t="shared" si="61"/>
        <v>0</v>
      </c>
      <c r="E201" s="223">
        <f t="shared" si="61"/>
        <v>0</v>
      </c>
      <c r="F201" s="223">
        <f t="shared" si="61"/>
        <v>0</v>
      </c>
      <c r="G201" s="223">
        <f t="shared" si="61"/>
        <v>0</v>
      </c>
      <c r="H201" s="223">
        <f t="shared" si="61"/>
        <v>0</v>
      </c>
      <c r="I201" s="223">
        <f t="shared" si="61"/>
        <v>0</v>
      </c>
      <c r="J201" s="223">
        <f t="shared" si="61"/>
        <v>0</v>
      </c>
      <c r="K201" s="223">
        <f t="shared" si="61"/>
        <v>0</v>
      </c>
      <c r="L201" s="223">
        <f t="shared" si="61"/>
        <v>0</v>
      </c>
      <c r="M201" s="223">
        <f t="shared" si="61"/>
        <v>0</v>
      </c>
      <c r="N201" s="223">
        <f t="shared" si="61"/>
        <v>0</v>
      </c>
      <c r="O201" s="223">
        <f t="shared" si="61"/>
        <v>0</v>
      </c>
      <c r="P201" s="223">
        <f t="shared" si="61"/>
        <v>0</v>
      </c>
      <c r="Q201" s="223">
        <f t="shared" si="61"/>
        <v>0</v>
      </c>
      <c r="R201" s="223">
        <f t="shared" si="61"/>
        <v>0</v>
      </c>
      <c r="S201" s="223">
        <f t="shared" si="61"/>
        <v>0</v>
      </c>
      <c r="T201" s="223">
        <f t="shared" si="61"/>
        <v>0</v>
      </c>
      <c r="U201" s="223">
        <f t="shared" si="61"/>
        <v>0</v>
      </c>
      <c r="V201" s="223">
        <f t="shared" si="61"/>
        <v>0</v>
      </c>
      <c r="W201" s="223">
        <f t="shared" si="61"/>
        <v>0</v>
      </c>
      <c r="X201" s="223">
        <f t="shared" si="61"/>
        <v>0</v>
      </c>
      <c r="Y201" s="223">
        <f t="shared" si="61"/>
        <v>0</v>
      </c>
      <c r="Z201" s="223">
        <f t="shared" si="61"/>
        <v>0</v>
      </c>
      <c r="AA201" s="223">
        <f t="shared" si="61"/>
        <v>0</v>
      </c>
      <c r="AB201" s="223">
        <f t="shared" si="61"/>
        <v>0</v>
      </c>
      <c r="AC201" s="223">
        <f t="shared" si="61"/>
        <v>0</v>
      </c>
      <c r="AD201" s="186">
        <f t="shared" si="62"/>
        <v>0</v>
      </c>
    </row>
    <row r="202">
      <c r="A202" s="206" t="s">
        <v>121</v>
      </c>
      <c r="B202" s="216">
        <f t="shared" ref="B202:AC202" si="63">SUM(B200:B201)</f>
        <v>0</v>
      </c>
      <c r="C202" s="216">
        <f t="shared" si="63"/>
        <v>0</v>
      </c>
      <c r="D202" s="216">
        <f t="shared" si="63"/>
        <v>0</v>
      </c>
      <c r="E202" s="216">
        <f t="shared" si="63"/>
        <v>0</v>
      </c>
      <c r="F202" s="216">
        <f t="shared" si="63"/>
        <v>0</v>
      </c>
      <c r="G202" s="216">
        <f t="shared" si="63"/>
        <v>0</v>
      </c>
      <c r="H202" s="216">
        <f t="shared" si="63"/>
        <v>0</v>
      </c>
      <c r="I202" s="216">
        <f t="shared" si="63"/>
        <v>0</v>
      </c>
      <c r="J202" s="216">
        <f t="shared" si="63"/>
        <v>0</v>
      </c>
      <c r="K202" s="216">
        <f t="shared" si="63"/>
        <v>0</v>
      </c>
      <c r="L202" s="216">
        <f t="shared" si="63"/>
        <v>0</v>
      </c>
      <c r="M202" s="216">
        <f t="shared" si="63"/>
        <v>0</v>
      </c>
      <c r="N202" s="216">
        <f t="shared" si="63"/>
        <v>0</v>
      </c>
      <c r="O202" s="216">
        <f t="shared" si="63"/>
        <v>0</v>
      </c>
      <c r="P202" s="216">
        <f t="shared" si="63"/>
        <v>0</v>
      </c>
      <c r="Q202" s="216">
        <f t="shared" si="63"/>
        <v>0</v>
      </c>
      <c r="R202" s="216">
        <f t="shared" si="63"/>
        <v>0</v>
      </c>
      <c r="S202" s="216">
        <f t="shared" si="63"/>
        <v>0</v>
      </c>
      <c r="T202" s="216">
        <f t="shared" si="63"/>
        <v>0</v>
      </c>
      <c r="U202" s="216">
        <f t="shared" si="63"/>
        <v>0</v>
      </c>
      <c r="V202" s="216">
        <f t="shared" si="63"/>
        <v>0</v>
      </c>
      <c r="W202" s="216">
        <f t="shared" si="63"/>
        <v>0</v>
      </c>
      <c r="X202" s="216">
        <f t="shared" si="63"/>
        <v>0</v>
      </c>
      <c r="Y202" s="216">
        <f t="shared" si="63"/>
        <v>0</v>
      </c>
      <c r="Z202" s="216">
        <f t="shared" si="63"/>
        <v>0</v>
      </c>
      <c r="AA202" s="216">
        <f t="shared" si="63"/>
        <v>0</v>
      </c>
      <c r="AB202" s="216">
        <f t="shared" si="63"/>
        <v>0</v>
      </c>
      <c r="AC202" s="216">
        <f t="shared" si="63"/>
        <v>0</v>
      </c>
      <c r="AD202" s="186">
        <f t="shared" si="62"/>
        <v>0</v>
      </c>
    </row>
    <row r="203">
      <c r="A203" s="213"/>
      <c r="B203" s="224"/>
      <c r="AD203" s="222"/>
    </row>
    <row r="204">
      <c r="A204" s="167" t="s">
        <v>303</v>
      </c>
      <c r="B204" s="221">
        <f t="shared" ref="B204:AC204" si="64">B157-B319</f>
        <v>5</v>
      </c>
      <c r="C204" s="221">
        <f t="shared" si="64"/>
        <v>1</v>
      </c>
      <c r="D204" s="221">
        <f t="shared" si="64"/>
        <v>2</v>
      </c>
      <c r="E204" s="221">
        <f t="shared" si="64"/>
        <v>2</v>
      </c>
      <c r="F204" s="221">
        <f t="shared" si="64"/>
        <v>4</v>
      </c>
      <c r="G204" s="221">
        <f t="shared" si="64"/>
        <v>2</v>
      </c>
      <c r="H204" s="221">
        <f t="shared" si="64"/>
        <v>3</v>
      </c>
      <c r="I204" s="221">
        <f t="shared" si="64"/>
        <v>2</v>
      </c>
      <c r="J204" s="221">
        <f t="shared" si="64"/>
        <v>2</v>
      </c>
      <c r="K204" s="221">
        <f t="shared" si="64"/>
        <v>3</v>
      </c>
      <c r="L204" s="221">
        <f t="shared" si="64"/>
        <v>2</v>
      </c>
      <c r="M204" s="221">
        <f t="shared" si="64"/>
        <v>3</v>
      </c>
      <c r="N204" s="221">
        <f t="shared" si="64"/>
        <v>0</v>
      </c>
      <c r="O204" s="221">
        <f t="shared" si="64"/>
        <v>0</v>
      </c>
      <c r="P204" s="221">
        <f t="shared" si="64"/>
        <v>2</v>
      </c>
      <c r="Q204" s="221">
        <f t="shared" si="64"/>
        <v>0</v>
      </c>
      <c r="R204" s="221">
        <f t="shared" si="64"/>
        <v>1</v>
      </c>
      <c r="S204" s="221">
        <f t="shared" si="64"/>
        <v>3</v>
      </c>
      <c r="T204" s="221">
        <f t="shared" si="64"/>
        <v>3</v>
      </c>
      <c r="U204" s="221">
        <f t="shared" si="64"/>
        <v>4</v>
      </c>
      <c r="V204" s="221">
        <f t="shared" si="64"/>
        <v>2</v>
      </c>
      <c r="W204" s="221">
        <f t="shared" si="64"/>
        <v>5</v>
      </c>
      <c r="X204" s="221">
        <f t="shared" si="64"/>
        <v>3</v>
      </c>
      <c r="Y204" s="221">
        <f t="shared" si="64"/>
        <v>0</v>
      </c>
      <c r="Z204" s="221">
        <f t="shared" si="64"/>
        <v>4</v>
      </c>
      <c r="AA204" s="221">
        <f t="shared" si="64"/>
        <v>3</v>
      </c>
      <c r="AB204" s="221">
        <f t="shared" si="64"/>
        <v>5</v>
      </c>
      <c r="AC204" s="221">
        <f t="shared" si="64"/>
        <v>5</v>
      </c>
      <c r="AD204" s="186">
        <f t="shared" ref="AD204:AD205" si="66">sum(B204:AC204)</f>
        <v>71</v>
      </c>
    </row>
    <row r="205">
      <c r="A205" s="206" t="s">
        <v>121</v>
      </c>
      <c r="B205" s="216">
        <f t="shared" ref="B205:AC205" si="65">B204</f>
        <v>5</v>
      </c>
      <c r="C205" s="216">
        <f t="shared" si="65"/>
        <v>1</v>
      </c>
      <c r="D205" s="216">
        <f t="shared" si="65"/>
        <v>2</v>
      </c>
      <c r="E205" s="216">
        <f t="shared" si="65"/>
        <v>2</v>
      </c>
      <c r="F205" s="216">
        <f t="shared" si="65"/>
        <v>4</v>
      </c>
      <c r="G205" s="216">
        <f t="shared" si="65"/>
        <v>2</v>
      </c>
      <c r="H205" s="216">
        <f t="shared" si="65"/>
        <v>3</v>
      </c>
      <c r="I205" s="216">
        <f t="shared" si="65"/>
        <v>2</v>
      </c>
      <c r="J205" s="216">
        <f t="shared" si="65"/>
        <v>2</v>
      </c>
      <c r="K205" s="216">
        <f t="shared" si="65"/>
        <v>3</v>
      </c>
      <c r="L205" s="216">
        <f t="shared" si="65"/>
        <v>2</v>
      </c>
      <c r="M205" s="216">
        <f t="shared" si="65"/>
        <v>3</v>
      </c>
      <c r="N205" s="216">
        <f t="shared" si="65"/>
        <v>0</v>
      </c>
      <c r="O205" s="216">
        <f t="shared" si="65"/>
        <v>0</v>
      </c>
      <c r="P205" s="216">
        <f t="shared" si="65"/>
        <v>2</v>
      </c>
      <c r="Q205" s="216">
        <f t="shared" si="65"/>
        <v>0</v>
      </c>
      <c r="R205" s="216">
        <f t="shared" si="65"/>
        <v>1</v>
      </c>
      <c r="S205" s="216">
        <f t="shared" si="65"/>
        <v>3</v>
      </c>
      <c r="T205" s="216">
        <f t="shared" si="65"/>
        <v>3</v>
      </c>
      <c r="U205" s="216">
        <f t="shared" si="65"/>
        <v>4</v>
      </c>
      <c r="V205" s="216">
        <f t="shared" si="65"/>
        <v>2</v>
      </c>
      <c r="W205" s="216">
        <f t="shared" si="65"/>
        <v>5</v>
      </c>
      <c r="X205" s="216">
        <f t="shared" si="65"/>
        <v>3</v>
      </c>
      <c r="Y205" s="216">
        <f t="shared" si="65"/>
        <v>0</v>
      </c>
      <c r="Z205" s="216">
        <f t="shared" si="65"/>
        <v>4</v>
      </c>
      <c r="AA205" s="216">
        <f t="shared" si="65"/>
        <v>3</v>
      </c>
      <c r="AB205" s="216">
        <f t="shared" si="65"/>
        <v>5</v>
      </c>
      <c r="AC205" s="216">
        <f t="shared" si="65"/>
        <v>5</v>
      </c>
      <c r="AD205" s="186">
        <f t="shared" si="66"/>
        <v>71</v>
      </c>
    </row>
    <row r="206">
      <c r="A206" s="213"/>
      <c r="AD206" s="222"/>
    </row>
    <row r="207">
      <c r="A207" s="160" t="s">
        <v>307</v>
      </c>
      <c r="B207" s="157"/>
      <c r="C207" s="157"/>
      <c r="D207" s="157"/>
      <c r="E207" s="157"/>
      <c r="F207" s="157"/>
      <c r="G207" s="157"/>
      <c r="H207" s="157"/>
      <c r="I207" s="23"/>
      <c r="J207" s="23"/>
      <c r="K207" s="23"/>
      <c r="L207" s="23"/>
      <c r="M207" s="23"/>
      <c r="N207" s="23"/>
      <c r="O207" s="23"/>
      <c r="P207" s="23"/>
      <c r="Q207" s="23"/>
      <c r="R207" s="23"/>
      <c r="S207" s="23"/>
      <c r="T207" s="23"/>
      <c r="U207" s="23"/>
      <c r="V207" s="23"/>
      <c r="W207" s="23"/>
      <c r="X207" s="23"/>
      <c r="Y207" s="23"/>
      <c r="Z207" s="23"/>
      <c r="AA207" s="23"/>
      <c r="AB207" s="23"/>
      <c r="AC207" s="23"/>
      <c r="AD207" s="181"/>
    </row>
    <row r="208">
      <c r="A208" s="225" t="s">
        <v>308</v>
      </c>
      <c r="B208" s="226">
        <v>34.0</v>
      </c>
      <c r="C208" s="226">
        <v>43.0</v>
      </c>
      <c r="D208" s="226">
        <v>37.0</v>
      </c>
      <c r="E208" s="226">
        <v>32.0</v>
      </c>
      <c r="F208" s="226">
        <v>36.0</v>
      </c>
      <c r="G208" s="226">
        <v>28.0</v>
      </c>
      <c r="H208" s="226">
        <v>36.0</v>
      </c>
      <c r="I208" s="226">
        <v>29.0</v>
      </c>
      <c r="J208" s="226">
        <v>42.0</v>
      </c>
      <c r="K208" s="226">
        <v>45.0</v>
      </c>
      <c r="L208" s="226">
        <v>44.0</v>
      </c>
      <c r="M208" s="226">
        <v>51.0</v>
      </c>
      <c r="N208" s="226">
        <v>43.0</v>
      </c>
      <c r="O208" s="226">
        <v>76.0</v>
      </c>
      <c r="P208" s="226">
        <v>46.0</v>
      </c>
      <c r="Q208" s="226">
        <v>45.0</v>
      </c>
      <c r="R208" s="226">
        <v>41.0</v>
      </c>
      <c r="S208" s="226">
        <v>45.0</v>
      </c>
      <c r="T208" s="226">
        <v>38.0</v>
      </c>
      <c r="U208" s="226">
        <v>27.0</v>
      </c>
      <c r="V208" s="226">
        <v>34.0</v>
      </c>
      <c r="W208" s="226">
        <v>25.0</v>
      </c>
      <c r="X208" s="226">
        <v>26.0</v>
      </c>
      <c r="Y208" s="226">
        <v>35.0</v>
      </c>
      <c r="Z208" s="226">
        <v>40.0</v>
      </c>
      <c r="AA208" s="226">
        <v>31.0</v>
      </c>
      <c r="AB208" s="226">
        <v>37.0</v>
      </c>
      <c r="AC208" s="226">
        <v>32.0</v>
      </c>
      <c r="AD208" s="186">
        <f t="shared" ref="AD208:AD215" si="67">SUM(B208:AC208)</f>
        <v>1078</v>
      </c>
    </row>
    <row r="209">
      <c r="A209" s="225" t="s">
        <v>309</v>
      </c>
      <c r="B209" s="226">
        <v>87.0</v>
      </c>
      <c r="C209" s="226">
        <v>95.0</v>
      </c>
      <c r="D209" s="226">
        <v>80.0</v>
      </c>
      <c r="E209" s="226">
        <v>102.0</v>
      </c>
      <c r="F209" s="226">
        <v>87.0</v>
      </c>
      <c r="G209" s="226">
        <v>79.0</v>
      </c>
      <c r="H209" s="226">
        <v>88.0</v>
      </c>
      <c r="I209" s="226">
        <v>105.0</v>
      </c>
      <c r="J209" s="226">
        <v>88.0</v>
      </c>
      <c r="K209" s="226">
        <v>101.0</v>
      </c>
      <c r="L209" s="226">
        <v>122.0</v>
      </c>
      <c r="M209" s="226">
        <v>181.0</v>
      </c>
      <c r="N209" s="226">
        <v>131.0</v>
      </c>
      <c r="O209" s="226">
        <v>146.0</v>
      </c>
      <c r="P209" s="226">
        <v>112.0</v>
      </c>
      <c r="Q209" s="226">
        <v>91.0</v>
      </c>
      <c r="R209" s="226">
        <v>120.0</v>
      </c>
      <c r="S209" s="226">
        <v>113.0</v>
      </c>
      <c r="T209" s="226">
        <v>120.0</v>
      </c>
      <c r="U209" s="226">
        <v>121.0</v>
      </c>
      <c r="V209" s="226">
        <v>93.0</v>
      </c>
      <c r="W209" s="226">
        <v>110.0</v>
      </c>
      <c r="X209" s="226">
        <v>108.0</v>
      </c>
      <c r="Y209" s="226">
        <v>96.0</v>
      </c>
      <c r="Z209" s="226">
        <v>139.0</v>
      </c>
      <c r="AA209" s="226">
        <v>106.0</v>
      </c>
      <c r="AB209" s="226">
        <f>81+3+2</f>
        <v>86</v>
      </c>
      <c r="AC209" s="226">
        <v>93.0</v>
      </c>
      <c r="AD209" s="186">
        <f t="shared" si="67"/>
        <v>3000</v>
      </c>
    </row>
    <row r="210">
      <c r="A210" s="225" t="s">
        <v>310</v>
      </c>
      <c r="B210" s="226">
        <v>4.0</v>
      </c>
      <c r="C210" s="226">
        <v>15.0</v>
      </c>
      <c r="D210" s="226">
        <v>1.0</v>
      </c>
      <c r="E210" s="226">
        <v>2.0</v>
      </c>
      <c r="F210" s="226">
        <v>4.0</v>
      </c>
      <c r="G210" s="226">
        <v>2.0</v>
      </c>
      <c r="H210" s="226">
        <v>1.0</v>
      </c>
      <c r="I210" s="226">
        <v>6.0</v>
      </c>
      <c r="J210" s="226">
        <v>2.0</v>
      </c>
      <c r="K210" s="226">
        <v>7.0</v>
      </c>
      <c r="L210" s="226">
        <v>5.0</v>
      </c>
      <c r="M210" s="226">
        <v>4.0</v>
      </c>
      <c r="N210" s="226">
        <v>6.0</v>
      </c>
      <c r="O210" s="226">
        <v>2.0</v>
      </c>
      <c r="P210" s="226">
        <v>3.0</v>
      </c>
      <c r="Q210" s="226">
        <v>7.0</v>
      </c>
      <c r="R210" s="226">
        <v>0.0</v>
      </c>
      <c r="S210" s="226">
        <v>5.0</v>
      </c>
      <c r="T210" s="226">
        <v>6.0</v>
      </c>
      <c r="U210" s="226">
        <v>3.0</v>
      </c>
      <c r="V210" s="226">
        <v>2.0</v>
      </c>
      <c r="W210" s="226">
        <v>3.0</v>
      </c>
      <c r="X210" s="226">
        <v>1.0</v>
      </c>
      <c r="Y210" s="226">
        <v>2.0</v>
      </c>
      <c r="Z210" s="226">
        <v>2.0</v>
      </c>
      <c r="AA210" s="226">
        <v>4.0</v>
      </c>
      <c r="AB210" s="226">
        <v>3.0</v>
      </c>
      <c r="AC210" s="226">
        <v>2.0</v>
      </c>
      <c r="AD210" s="186">
        <f t="shared" si="67"/>
        <v>104</v>
      </c>
    </row>
    <row r="211">
      <c r="A211" s="225" t="s">
        <v>311</v>
      </c>
      <c r="B211" s="226">
        <v>3.0</v>
      </c>
      <c r="C211" s="226">
        <v>6.0</v>
      </c>
      <c r="D211" s="226">
        <v>9.0</v>
      </c>
      <c r="E211" s="226">
        <v>11.0</v>
      </c>
      <c r="F211" s="226">
        <v>8.0</v>
      </c>
      <c r="G211" s="226">
        <v>8.0</v>
      </c>
      <c r="H211" s="226">
        <v>6.0</v>
      </c>
      <c r="I211" s="226">
        <v>4.0</v>
      </c>
      <c r="J211" s="226">
        <v>12.0</v>
      </c>
      <c r="K211" s="226">
        <v>9.0</v>
      </c>
      <c r="L211" s="226">
        <v>13.0</v>
      </c>
      <c r="M211" s="226">
        <v>7.0</v>
      </c>
      <c r="N211" s="226">
        <v>20.0</v>
      </c>
      <c r="O211" s="226">
        <v>10.0</v>
      </c>
      <c r="P211" s="226">
        <v>12.0</v>
      </c>
      <c r="Q211" s="226">
        <v>11.0</v>
      </c>
      <c r="R211" s="226">
        <v>8.0</v>
      </c>
      <c r="S211" s="226">
        <v>8.0</v>
      </c>
      <c r="T211" s="226">
        <v>9.0</v>
      </c>
      <c r="U211" s="226">
        <v>4.0</v>
      </c>
      <c r="V211" s="226">
        <v>3.0</v>
      </c>
      <c r="W211" s="226">
        <v>8.0</v>
      </c>
      <c r="X211" s="226">
        <v>8.0</v>
      </c>
      <c r="Y211" s="226">
        <v>5.0</v>
      </c>
      <c r="Z211" s="226">
        <v>5.0</v>
      </c>
      <c r="AA211" s="226">
        <v>13.0</v>
      </c>
      <c r="AB211" s="226">
        <v>16.0</v>
      </c>
      <c r="AC211" s="226">
        <v>4.0</v>
      </c>
      <c r="AD211" s="186">
        <f t="shared" si="67"/>
        <v>240</v>
      </c>
    </row>
    <row r="212">
      <c r="A212" s="225" t="s">
        <v>312</v>
      </c>
      <c r="B212" s="214"/>
      <c r="C212" s="214"/>
      <c r="D212" s="214"/>
      <c r="E212" s="214"/>
      <c r="F212" s="214"/>
      <c r="G212" s="214"/>
      <c r="H212" s="214"/>
      <c r="I212" s="214"/>
      <c r="J212" s="226">
        <v>1.0</v>
      </c>
      <c r="K212" s="227">
        <v>0.0</v>
      </c>
      <c r="L212" s="214"/>
      <c r="M212" s="214"/>
      <c r="N212" s="214"/>
      <c r="O212" s="214"/>
      <c r="P212" s="214"/>
      <c r="Q212" s="214"/>
      <c r="R212" s="214"/>
      <c r="S212" s="214"/>
      <c r="T212" s="214"/>
      <c r="U212" s="214"/>
      <c r="V212" s="214"/>
      <c r="W212" s="214"/>
      <c r="X212" s="214"/>
      <c r="Y212" s="214"/>
      <c r="Z212" s="214"/>
      <c r="AA212" s="214"/>
      <c r="AB212" s="214"/>
      <c r="AC212" s="214"/>
      <c r="AD212" s="186">
        <f t="shared" si="67"/>
        <v>1</v>
      </c>
    </row>
    <row r="213">
      <c r="A213" s="225" t="s">
        <v>313</v>
      </c>
      <c r="B213" s="214"/>
      <c r="C213" s="217">
        <v>2.0</v>
      </c>
      <c r="D213" s="214"/>
      <c r="E213" s="228"/>
      <c r="F213" s="214"/>
      <c r="G213" s="214"/>
      <c r="H213" s="214"/>
      <c r="I213" s="214"/>
      <c r="J213" s="214"/>
      <c r="K213" s="214"/>
      <c r="L213" s="214"/>
      <c r="M213" s="214"/>
      <c r="N213" s="214"/>
      <c r="O213" s="214"/>
      <c r="P213" s="214"/>
      <c r="Q213" s="214"/>
      <c r="R213" s="214"/>
      <c r="S213" s="226">
        <v>1.0</v>
      </c>
      <c r="T213" s="214"/>
      <c r="U213" s="214"/>
      <c r="V213" s="214"/>
      <c r="W213" s="214"/>
      <c r="X213" s="214"/>
      <c r="Y213" s="214"/>
      <c r="Z213" s="214"/>
      <c r="AA213" s="214"/>
      <c r="AB213" s="214"/>
      <c r="AC213" s="214"/>
      <c r="AD213" s="186">
        <f t="shared" si="67"/>
        <v>3</v>
      </c>
    </row>
    <row r="214">
      <c r="A214" s="229" t="s">
        <v>298</v>
      </c>
      <c r="B214" s="230">
        <f t="shared" ref="B214:B215" si="69">B208+B210+B212</f>
        <v>38</v>
      </c>
      <c r="C214" s="230">
        <f t="shared" ref="C214:AC214" si="68">SUM(C208:C213)</f>
        <v>161</v>
      </c>
      <c r="D214" s="230">
        <f t="shared" si="68"/>
        <v>127</v>
      </c>
      <c r="E214" s="230">
        <f t="shared" si="68"/>
        <v>147</v>
      </c>
      <c r="F214" s="230">
        <f t="shared" si="68"/>
        <v>135</v>
      </c>
      <c r="G214" s="230">
        <f t="shared" si="68"/>
        <v>117</v>
      </c>
      <c r="H214" s="230">
        <f t="shared" si="68"/>
        <v>131</v>
      </c>
      <c r="I214" s="230">
        <f t="shared" si="68"/>
        <v>144</v>
      </c>
      <c r="J214" s="230">
        <f t="shared" si="68"/>
        <v>145</v>
      </c>
      <c r="K214" s="230">
        <f t="shared" si="68"/>
        <v>162</v>
      </c>
      <c r="L214" s="230">
        <f t="shared" si="68"/>
        <v>184</v>
      </c>
      <c r="M214" s="230">
        <f t="shared" si="68"/>
        <v>243</v>
      </c>
      <c r="N214" s="230">
        <f t="shared" si="68"/>
        <v>200</v>
      </c>
      <c r="O214" s="230">
        <f t="shared" si="68"/>
        <v>234</v>
      </c>
      <c r="P214" s="230">
        <f t="shared" si="68"/>
        <v>173</v>
      </c>
      <c r="Q214" s="230">
        <f t="shared" si="68"/>
        <v>154</v>
      </c>
      <c r="R214" s="230">
        <f t="shared" si="68"/>
        <v>169</v>
      </c>
      <c r="S214" s="230">
        <f t="shared" si="68"/>
        <v>172</v>
      </c>
      <c r="T214" s="230">
        <f t="shared" si="68"/>
        <v>173</v>
      </c>
      <c r="U214" s="230">
        <f t="shared" si="68"/>
        <v>155</v>
      </c>
      <c r="V214" s="230">
        <f t="shared" si="68"/>
        <v>132</v>
      </c>
      <c r="W214" s="230">
        <f t="shared" si="68"/>
        <v>146</v>
      </c>
      <c r="X214" s="230">
        <f t="shared" si="68"/>
        <v>143</v>
      </c>
      <c r="Y214" s="230">
        <f t="shared" si="68"/>
        <v>138</v>
      </c>
      <c r="Z214" s="230">
        <f t="shared" si="68"/>
        <v>186</v>
      </c>
      <c r="AA214" s="230">
        <f t="shared" si="68"/>
        <v>154</v>
      </c>
      <c r="AB214" s="230">
        <f t="shared" si="68"/>
        <v>142</v>
      </c>
      <c r="AC214" s="230">
        <f t="shared" si="68"/>
        <v>131</v>
      </c>
      <c r="AD214" s="186">
        <f t="shared" si="67"/>
        <v>4336</v>
      </c>
    </row>
    <row r="215">
      <c r="A215" s="229" t="s">
        <v>314</v>
      </c>
      <c r="B215" s="230">
        <f t="shared" si="69"/>
        <v>90</v>
      </c>
      <c r="C215" s="230">
        <f t="shared" ref="C215:AC215" si="70">C209+C211+C213</f>
        <v>103</v>
      </c>
      <c r="D215" s="230">
        <f t="shared" si="70"/>
        <v>89</v>
      </c>
      <c r="E215" s="230">
        <f t="shared" si="70"/>
        <v>113</v>
      </c>
      <c r="F215" s="230">
        <f t="shared" si="70"/>
        <v>95</v>
      </c>
      <c r="G215" s="230">
        <f t="shared" si="70"/>
        <v>87</v>
      </c>
      <c r="H215" s="230">
        <f t="shared" si="70"/>
        <v>94</v>
      </c>
      <c r="I215" s="230">
        <f t="shared" si="70"/>
        <v>109</v>
      </c>
      <c r="J215" s="230">
        <f t="shared" si="70"/>
        <v>100</v>
      </c>
      <c r="K215" s="230">
        <f t="shared" si="70"/>
        <v>110</v>
      </c>
      <c r="L215" s="230">
        <f t="shared" si="70"/>
        <v>135</v>
      </c>
      <c r="M215" s="230">
        <f t="shared" si="70"/>
        <v>188</v>
      </c>
      <c r="N215" s="230">
        <f t="shared" si="70"/>
        <v>151</v>
      </c>
      <c r="O215" s="230">
        <f t="shared" si="70"/>
        <v>156</v>
      </c>
      <c r="P215" s="230">
        <f t="shared" si="70"/>
        <v>124</v>
      </c>
      <c r="Q215" s="230">
        <f t="shared" si="70"/>
        <v>102</v>
      </c>
      <c r="R215" s="230">
        <f t="shared" si="70"/>
        <v>128</v>
      </c>
      <c r="S215" s="230">
        <f t="shared" si="70"/>
        <v>122</v>
      </c>
      <c r="T215" s="230">
        <f t="shared" si="70"/>
        <v>129</v>
      </c>
      <c r="U215" s="230">
        <f t="shared" si="70"/>
        <v>125</v>
      </c>
      <c r="V215" s="230">
        <f t="shared" si="70"/>
        <v>96</v>
      </c>
      <c r="W215" s="230">
        <f t="shared" si="70"/>
        <v>118</v>
      </c>
      <c r="X215" s="230">
        <f t="shared" si="70"/>
        <v>116</v>
      </c>
      <c r="Y215" s="230">
        <f t="shared" si="70"/>
        <v>101</v>
      </c>
      <c r="Z215" s="230">
        <f t="shared" si="70"/>
        <v>144</v>
      </c>
      <c r="AA215" s="230">
        <f t="shared" si="70"/>
        <v>119</v>
      </c>
      <c r="AB215" s="230">
        <f t="shared" si="70"/>
        <v>102</v>
      </c>
      <c r="AC215" s="230">
        <f t="shared" si="70"/>
        <v>97</v>
      </c>
      <c r="AD215" s="186">
        <f t="shared" si="67"/>
        <v>3243</v>
      </c>
    </row>
    <row r="216">
      <c r="A216" s="27"/>
      <c r="B216" s="157"/>
      <c r="C216" s="157"/>
      <c r="D216" s="157"/>
      <c r="E216" s="157"/>
      <c r="F216" s="157"/>
      <c r="G216" s="157"/>
      <c r="H216" s="157"/>
      <c r="I216" s="23"/>
      <c r="J216" s="23"/>
      <c r="K216" s="23"/>
      <c r="L216" s="23"/>
      <c r="M216" s="23"/>
      <c r="N216" s="23"/>
      <c r="O216" s="23"/>
      <c r="P216" s="23"/>
      <c r="Q216" s="23"/>
      <c r="R216" s="23"/>
      <c r="S216" s="23"/>
      <c r="T216" s="23"/>
      <c r="U216" s="23"/>
      <c r="V216" s="23"/>
      <c r="W216" s="23"/>
      <c r="X216" s="23"/>
      <c r="Y216" s="23"/>
      <c r="Z216" s="23"/>
      <c r="AA216" s="23"/>
      <c r="AB216" s="23"/>
      <c r="AC216" s="23"/>
      <c r="AD216" s="186"/>
    </row>
    <row r="217">
      <c r="A217" s="225" t="s">
        <v>315</v>
      </c>
      <c r="B217" s="226">
        <v>59.0</v>
      </c>
      <c r="C217" s="226">
        <v>56.0</v>
      </c>
      <c r="D217" s="226">
        <v>52.0</v>
      </c>
      <c r="E217" s="226">
        <v>69.0</v>
      </c>
      <c r="F217" s="226">
        <v>59.0</v>
      </c>
      <c r="G217" s="226">
        <v>56.0</v>
      </c>
      <c r="H217" s="226">
        <v>54.0</v>
      </c>
      <c r="I217" s="226">
        <v>50.0</v>
      </c>
      <c r="J217" s="226">
        <v>49.0</v>
      </c>
      <c r="K217" s="226">
        <v>52.0</v>
      </c>
      <c r="L217" s="226">
        <v>63.0</v>
      </c>
      <c r="M217" s="226">
        <v>82.0</v>
      </c>
      <c r="N217" s="226">
        <v>57.0</v>
      </c>
      <c r="O217" s="226">
        <v>68.0</v>
      </c>
      <c r="P217" s="226">
        <v>51.0</v>
      </c>
      <c r="Q217" s="226">
        <v>56.0</v>
      </c>
      <c r="R217" s="226">
        <v>57.0</v>
      </c>
      <c r="S217" s="226">
        <v>65.0</v>
      </c>
      <c r="T217" s="226">
        <v>70.0</v>
      </c>
      <c r="U217" s="25">
        <v>73.0</v>
      </c>
      <c r="V217" s="25">
        <v>59.0</v>
      </c>
      <c r="W217" s="226">
        <v>51.0</v>
      </c>
      <c r="X217" s="226">
        <v>60.0</v>
      </c>
      <c r="Y217" s="226">
        <v>62.0</v>
      </c>
      <c r="Z217" s="226">
        <v>77.0</v>
      </c>
      <c r="AA217" s="226">
        <v>61.0</v>
      </c>
      <c r="AB217" s="226">
        <v>47.0</v>
      </c>
      <c r="AC217" s="226">
        <v>66.0</v>
      </c>
      <c r="AD217" s="186">
        <f t="shared" ref="AD217:AD222" si="71">SUM(B217:AC217)</f>
        <v>1681</v>
      </c>
    </row>
    <row r="218">
      <c r="A218" s="225" t="s">
        <v>316</v>
      </c>
      <c r="B218" s="226">
        <v>0.0</v>
      </c>
      <c r="C218" s="226">
        <v>0.0</v>
      </c>
      <c r="D218" s="226">
        <v>0.0</v>
      </c>
      <c r="E218" s="226">
        <v>0.0</v>
      </c>
      <c r="F218" s="226">
        <v>0.0</v>
      </c>
      <c r="G218" s="226">
        <v>0.0</v>
      </c>
      <c r="H218" s="226">
        <v>0.0</v>
      </c>
      <c r="I218" s="226">
        <v>0.0</v>
      </c>
      <c r="J218" s="226">
        <v>0.0</v>
      </c>
      <c r="K218" s="226">
        <v>0.0</v>
      </c>
      <c r="L218" s="226">
        <v>0.0</v>
      </c>
      <c r="M218" s="226">
        <v>0.0</v>
      </c>
      <c r="N218" s="226">
        <v>0.0</v>
      </c>
      <c r="O218" s="226">
        <v>1.0</v>
      </c>
      <c r="P218" s="226">
        <v>0.0</v>
      </c>
      <c r="Q218" s="226">
        <v>0.0</v>
      </c>
      <c r="R218" s="226">
        <v>0.0</v>
      </c>
      <c r="S218" s="226">
        <v>0.0</v>
      </c>
      <c r="T218" s="226">
        <v>0.0</v>
      </c>
      <c r="U218" s="226">
        <v>0.0</v>
      </c>
      <c r="V218" s="25">
        <v>0.0</v>
      </c>
      <c r="W218" s="25">
        <v>0.0</v>
      </c>
      <c r="X218" s="25">
        <v>0.0</v>
      </c>
      <c r="Y218" s="226">
        <v>0.0</v>
      </c>
      <c r="Z218" s="226">
        <v>0.0</v>
      </c>
      <c r="AA218" s="226">
        <v>0.0</v>
      </c>
      <c r="AB218" s="226">
        <v>0.0</v>
      </c>
      <c r="AC218" s="226">
        <v>0.0</v>
      </c>
      <c r="AD218" s="186">
        <f t="shared" si="71"/>
        <v>1</v>
      </c>
    </row>
    <row r="219">
      <c r="A219" s="225" t="s">
        <v>317</v>
      </c>
      <c r="B219" s="226">
        <v>125.0</v>
      </c>
      <c r="C219" s="226">
        <v>141.0</v>
      </c>
      <c r="D219" s="226">
        <v>116.0</v>
      </c>
      <c r="E219" s="226">
        <v>137.0</v>
      </c>
      <c r="F219" s="226">
        <v>128.0</v>
      </c>
      <c r="G219" s="226">
        <v>111.0</v>
      </c>
      <c r="H219" s="226">
        <v>128.0</v>
      </c>
      <c r="I219" s="226">
        <v>133.0</v>
      </c>
      <c r="J219" s="226">
        <v>132.0</v>
      </c>
      <c r="K219" s="226">
        <v>151.0</v>
      </c>
      <c r="L219" s="226">
        <v>177.0</v>
      </c>
      <c r="M219" s="226">
        <v>234.0</v>
      </c>
      <c r="N219" s="226">
        <v>173.0</v>
      </c>
      <c r="O219" s="226">
        <v>215.0</v>
      </c>
      <c r="P219" s="226">
        <v>160.0</v>
      </c>
      <c r="Q219" s="226">
        <v>140.0</v>
      </c>
      <c r="R219" s="226">
        <v>167.0</v>
      </c>
      <c r="S219" s="226">
        <v>98.0</v>
      </c>
      <c r="T219" s="226">
        <v>113.0</v>
      </c>
      <c r="U219" s="25">
        <v>105.0</v>
      </c>
      <c r="V219" s="25">
        <v>94.0</v>
      </c>
      <c r="W219" s="226">
        <v>94.0</v>
      </c>
      <c r="X219" s="226">
        <v>129.0</v>
      </c>
      <c r="Y219" s="226">
        <v>122.0</v>
      </c>
      <c r="Z219" s="226">
        <v>120.0</v>
      </c>
      <c r="AA219" s="226">
        <v>103.0</v>
      </c>
      <c r="AB219" s="226">
        <v>109.0</v>
      </c>
      <c r="AC219" s="226">
        <v>141.0</v>
      </c>
      <c r="AD219" s="186">
        <f t="shared" si="71"/>
        <v>3796</v>
      </c>
    </row>
    <row r="220">
      <c r="A220" s="225" t="s">
        <v>318</v>
      </c>
      <c r="B220" s="226">
        <v>38.0</v>
      </c>
      <c r="C220" s="226">
        <v>48.0</v>
      </c>
      <c r="D220" s="226">
        <v>42.0</v>
      </c>
      <c r="E220" s="226">
        <v>52.0</v>
      </c>
      <c r="F220" s="226">
        <v>39.0</v>
      </c>
      <c r="G220" s="226">
        <v>38.0</v>
      </c>
      <c r="H220" s="226">
        <v>33.0</v>
      </c>
      <c r="I220" s="226">
        <v>29.0</v>
      </c>
      <c r="J220" s="226">
        <v>27.0</v>
      </c>
      <c r="K220" s="226">
        <v>40.0</v>
      </c>
      <c r="L220" s="226">
        <v>47.0</v>
      </c>
      <c r="M220" s="226">
        <v>60.0</v>
      </c>
      <c r="N220" s="226">
        <v>48.0</v>
      </c>
      <c r="O220" s="226">
        <v>39.0</v>
      </c>
      <c r="P220" s="226">
        <v>38.0</v>
      </c>
      <c r="Q220" s="226">
        <v>35.0</v>
      </c>
      <c r="R220" s="226">
        <v>38.0</v>
      </c>
      <c r="S220" s="226">
        <v>55.0</v>
      </c>
      <c r="T220" s="226">
        <v>49.0</v>
      </c>
      <c r="U220" s="202">
        <v>56.0</v>
      </c>
      <c r="V220" s="202">
        <v>45.0</v>
      </c>
      <c r="W220" s="226">
        <v>47.0</v>
      </c>
      <c r="X220" s="25">
        <v>127.0</v>
      </c>
      <c r="Y220" s="226">
        <v>60.0</v>
      </c>
      <c r="Z220" s="226">
        <v>63.0</v>
      </c>
      <c r="AA220" s="226">
        <v>57.0</v>
      </c>
      <c r="AB220" s="226">
        <v>41.0</v>
      </c>
      <c r="AC220" s="226">
        <v>183.0</v>
      </c>
      <c r="AD220" s="186">
        <f t="shared" si="71"/>
        <v>1474</v>
      </c>
    </row>
    <row r="221">
      <c r="A221" s="225" t="s">
        <v>319</v>
      </c>
      <c r="B221" s="226">
        <v>17.0</v>
      </c>
      <c r="C221" s="226">
        <v>17.0</v>
      </c>
      <c r="D221" s="226">
        <v>11.0</v>
      </c>
      <c r="E221" s="226">
        <v>15.0</v>
      </c>
      <c r="F221" s="226">
        <v>24.0</v>
      </c>
      <c r="G221" s="226">
        <v>16.0</v>
      </c>
      <c r="H221" s="226">
        <v>18.0</v>
      </c>
      <c r="I221" s="226">
        <v>8.0</v>
      </c>
      <c r="J221" s="226">
        <v>9.0</v>
      </c>
      <c r="K221" s="226">
        <v>14.0</v>
      </c>
      <c r="L221" s="226">
        <v>14.0</v>
      </c>
      <c r="M221" s="226">
        <v>27.0</v>
      </c>
      <c r="N221" s="226">
        <v>19.0</v>
      </c>
      <c r="O221" s="226">
        <v>26.0</v>
      </c>
      <c r="P221" s="226">
        <v>29.0</v>
      </c>
      <c r="Q221" s="226">
        <v>10.0</v>
      </c>
      <c r="R221" s="226">
        <v>7.0</v>
      </c>
      <c r="S221" s="226">
        <v>15.0</v>
      </c>
      <c r="T221" s="226">
        <v>18.0</v>
      </c>
      <c r="U221" s="202">
        <v>14.0</v>
      </c>
      <c r="V221" s="202">
        <v>14.0</v>
      </c>
      <c r="W221" s="226">
        <v>7.0</v>
      </c>
      <c r="X221" s="226">
        <v>22.0</v>
      </c>
      <c r="Y221" s="226">
        <v>17.0</v>
      </c>
      <c r="Z221" s="226">
        <v>13.0</v>
      </c>
      <c r="AA221" s="226">
        <v>13.0</v>
      </c>
      <c r="AB221" s="226">
        <v>9.0</v>
      </c>
      <c r="AC221" s="226">
        <v>18.0</v>
      </c>
      <c r="AD221" s="186">
        <f t="shared" si="71"/>
        <v>441</v>
      </c>
    </row>
    <row r="222">
      <c r="A222" s="229" t="s">
        <v>320</v>
      </c>
      <c r="B222" s="230">
        <f t="shared" ref="B222:AC222" si="72">SUM(B217:B221)</f>
        <v>239</v>
      </c>
      <c r="C222" s="230">
        <f t="shared" si="72"/>
        <v>262</v>
      </c>
      <c r="D222" s="230">
        <f t="shared" si="72"/>
        <v>221</v>
      </c>
      <c r="E222" s="230">
        <f t="shared" si="72"/>
        <v>273</v>
      </c>
      <c r="F222" s="230">
        <f t="shared" si="72"/>
        <v>250</v>
      </c>
      <c r="G222" s="230">
        <f t="shared" si="72"/>
        <v>221</v>
      </c>
      <c r="H222" s="230">
        <f t="shared" si="72"/>
        <v>233</v>
      </c>
      <c r="I222" s="230">
        <f t="shared" si="72"/>
        <v>220</v>
      </c>
      <c r="J222" s="230">
        <f t="shared" si="72"/>
        <v>217</v>
      </c>
      <c r="K222" s="230">
        <f t="shared" si="72"/>
        <v>257</v>
      </c>
      <c r="L222" s="230">
        <f t="shared" si="72"/>
        <v>301</v>
      </c>
      <c r="M222" s="230">
        <f t="shared" si="72"/>
        <v>403</v>
      </c>
      <c r="N222" s="230">
        <f t="shared" si="72"/>
        <v>297</v>
      </c>
      <c r="O222" s="230">
        <f t="shared" si="72"/>
        <v>349</v>
      </c>
      <c r="P222" s="230">
        <f t="shared" si="72"/>
        <v>278</v>
      </c>
      <c r="Q222" s="230">
        <f t="shared" si="72"/>
        <v>241</v>
      </c>
      <c r="R222" s="230">
        <f t="shared" si="72"/>
        <v>269</v>
      </c>
      <c r="S222" s="230">
        <f t="shared" si="72"/>
        <v>233</v>
      </c>
      <c r="T222" s="230">
        <f t="shared" si="72"/>
        <v>250</v>
      </c>
      <c r="U222" s="230">
        <f t="shared" si="72"/>
        <v>248</v>
      </c>
      <c r="V222" s="230">
        <f t="shared" si="72"/>
        <v>212</v>
      </c>
      <c r="W222" s="230">
        <f t="shared" si="72"/>
        <v>199</v>
      </c>
      <c r="X222" s="230">
        <f t="shared" si="72"/>
        <v>338</v>
      </c>
      <c r="Y222" s="230">
        <f t="shared" si="72"/>
        <v>261</v>
      </c>
      <c r="Z222" s="230">
        <f t="shared" si="72"/>
        <v>273</v>
      </c>
      <c r="AA222" s="230">
        <f t="shared" si="72"/>
        <v>234</v>
      </c>
      <c r="AB222" s="230">
        <f t="shared" si="72"/>
        <v>206</v>
      </c>
      <c r="AC222" s="230">
        <f t="shared" si="72"/>
        <v>408</v>
      </c>
      <c r="AD222" s="186">
        <f t="shared" si="71"/>
        <v>7393</v>
      </c>
    </row>
    <row r="223">
      <c r="A223" s="27"/>
      <c r="B223" s="157"/>
      <c r="C223" s="157"/>
      <c r="D223" s="157"/>
      <c r="E223" s="157"/>
      <c r="F223" s="157"/>
      <c r="G223" s="157"/>
      <c r="H223" s="157"/>
      <c r="I223" s="23"/>
      <c r="J223" s="23"/>
      <c r="K223" s="23"/>
      <c r="L223" s="23"/>
      <c r="M223" s="23"/>
      <c r="N223" s="23"/>
      <c r="O223" s="23"/>
      <c r="P223" s="23"/>
      <c r="Q223" s="23"/>
      <c r="R223" s="23"/>
      <c r="S223" s="23"/>
      <c r="T223" s="23"/>
      <c r="U223" s="23"/>
      <c r="V223" s="23"/>
      <c r="W223" s="23"/>
      <c r="X223" s="23"/>
      <c r="Y223" s="23"/>
      <c r="Z223" s="23"/>
      <c r="AA223" s="23"/>
      <c r="AB223" s="23"/>
      <c r="AC223" s="23"/>
      <c r="AD223" s="186"/>
    </row>
    <row r="224">
      <c r="A224" s="225" t="s">
        <v>321</v>
      </c>
      <c r="B224" s="226">
        <v>11.0</v>
      </c>
      <c r="C224" s="226">
        <v>10.0</v>
      </c>
      <c r="D224" s="226">
        <v>10.0</v>
      </c>
      <c r="E224" s="226">
        <v>13.0</v>
      </c>
      <c r="F224" s="226">
        <v>17.0</v>
      </c>
      <c r="G224" s="226">
        <v>9.0</v>
      </c>
      <c r="H224" s="226">
        <v>7.0</v>
      </c>
      <c r="I224" s="226">
        <v>6.0</v>
      </c>
      <c r="J224" s="226">
        <v>8.0</v>
      </c>
      <c r="K224" s="226">
        <v>13.0</v>
      </c>
      <c r="L224" s="226">
        <v>15.0</v>
      </c>
      <c r="M224" s="226">
        <v>13.0</v>
      </c>
      <c r="N224" s="226">
        <v>11.0</v>
      </c>
      <c r="O224" s="226">
        <v>9.0</v>
      </c>
      <c r="P224" s="226">
        <v>6.0</v>
      </c>
      <c r="Q224" s="226">
        <v>13.0</v>
      </c>
      <c r="R224" s="226">
        <v>7.0</v>
      </c>
      <c r="S224" s="226">
        <v>8.0</v>
      </c>
      <c r="T224" s="226">
        <v>15.0</v>
      </c>
      <c r="U224" s="226">
        <v>4.0</v>
      </c>
      <c r="V224" s="226">
        <v>3.0</v>
      </c>
      <c r="W224" s="226">
        <v>7.0</v>
      </c>
      <c r="X224" s="226">
        <v>7.0</v>
      </c>
      <c r="Y224" s="226">
        <v>4.0</v>
      </c>
      <c r="Z224" s="226">
        <v>8.0</v>
      </c>
      <c r="AA224" s="226">
        <v>12.0</v>
      </c>
      <c r="AB224" s="226">
        <v>11.0</v>
      </c>
      <c r="AC224" s="226">
        <v>18.0</v>
      </c>
      <c r="AD224" s="186">
        <f t="shared" ref="AD224:AD229" si="73">SUM(B224:AC224)</f>
        <v>275</v>
      </c>
    </row>
    <row r="225">
      <c r="A225" s="225" t="s">
        <v>322</v>
      </c>
      <c r="B225" s="226">
        <v>0.0</v>
      </c>
      <c r="C225" s="226">
        <v>0.0</v>
      </c>
      <c r="D225" s="226">
        <v>0.0</v>
      </c>
      <c r="E225" s="226">
        <v>0.0</v>
      </c>
      <c r="F225" s="226">
        <v>0.0</v>
      </c>
      <c r="G225" s="226">
        <v>0.0</v>
      </c>
      <c r="H225" s="226">
        <v>0.0</v>
      </c>
      <c r="I225" s="226">
        <v>0.0</v>
      </c>
      <c r="J225" s="226">
        <v>0.0</v>
      </c>
      <c r="K225" s="226">
        <v>0.0</v>
      </c>
      <c r="L225" s="226">
        <v>0.0</v>
      </c>
      <c r="M225" s="226">
        <v>0.0</v>
      </c>
      <c r="N225" s="226">
        <v>0.0</v>
      </c>
      <c r="O225" s="226">
        <v>0.0</v>
      </c>
      <c r="P225" s="226">
        <v>0.0</v>
      </c>
      <c r="Q225" s="226">
        <v>0.0</v>
      </c>
      <c r="R225" s="226">
        <v>0.0</v>
      </c>
      <c r="S225" s="226">
        <v>0.0</v>
      </c>
      <c r="T225" s="226">
        <v>0.0</v>
      </c>
      <c r="U225" s="226">
        <v>0.0</v>
      </c>
      <c r="V225" s="226">
        <v>0.0</v>
      </c>
      <c r="W225" s="226">
        <v>0.0</v>
      </c>
      <c r="X225" s="226">
        <v>0.0</v>
      </c>
      <c r="Y225" s="226">
        <v>0.0</v>
      </c>
      <c r="Z225" s="226">
        <v>0.0</v>
      </c>
      <c r="AA225" s="226">
        <v>0.0</v>
      </c>
      <c r="AB225" s="226">
        <v>0.0</v>
      </c>
      <c r="AC225" s="226">
        <v>0.0</v>
      </c>
      <c r="AD225" s="186">
        <f t="shared" si="73"/>
        <v>0</v>
      </c>
    </row>
    <row r="226">
      <c r="A226" s="225" t="s">
        <v>323</v>
      </c>
      <c r="B226" s="226">
        <v>14.0</v>
      </c>
      <c r="C226" s="226">
        <v>16.0</v>
      </c>
      <c r="D226" s="226">
        <v>11.0</v>
      </c>
      <c r="E226" s="226">
        <v>22.0</v>
      </c>
      <c r="F226" s="226">
        <v>15.0</v>
      </c>
      <c r="G226" s="226">
        <v>12.0</v>
      </c>
      <c r="H226" s="226">
        <v>7.0</v>
      </c>
      <c r="I226" s="226">
        <v>12.0</v>
      </c>
      <c r="J226" s="226">
        <v>16.0</v>
      </c>
      <c r="K226" s="226">
        <v>18.0</v>
      </c>
      <c r="L226" s="226">
        <v>22.0</v>
      </c>
      <c r="M226" s="226">
        <v>13.0</v>
      </c>
      <c r="N226" s="226">
        <v>32.0</v>
      </c>
      <c r="O226" s="226">
        <v>13.0</v>
      </c>
      <c r="P226" s="226">
        <v>17.0</v>
      </c>
      <c r="Q226" s="226">
        <v>18.0</v>
      </c>
      <c r="R226" s="226">
        <v>8.0</v>
      </c>
      <c r="S226" s="226">
        <v>8.0</v>
      </c>
      <c r="T226" s="226">
        <v>18.0</v>
      </c>
      <c r="U226" s="226">
        <v>5.0</v>
      </c>
      <c r="V226" s="226">
        <v>3.0</v>
      </c>
      <c r="W226" s="226">
        <v>4.0</v>
      </c>
      <c r="X226" s="226">
        <v>10.0</v>
      </c>
      <c r="Y226" s="226">
        <v>12.0</v>
      </c>
      <c r="Z226" s="226">
        <v>5.0</v>
      </c>
      <c r="AA226" s="226">
        <v>14.0</v>
      </c>
      <c r="AB226" s="226">
        <v>13.0</v>
      </c>
      <c r="AC226" s="226">
        <v>37.0</v>
      </c>
      <c r="AD226" s="186">
        <f t="shared" si="73"/>
        <v>395</v>
      </c>
    </row>
    <row r="227">
      <c r="A227" s="225" t="s">
        <v>324</v>
      </c>
      <c r="B227" s="226">
        <v>8.0</v>
      </c>
      <c r="C227" s="226">
        <v>5.0</v>
      </c>
      <c r="D227" s="226">
        <v>17.0</v>
      </c>
      <c r="E227" s="226">
        <v>9.0</v>
      </c>
      <c r="F227" s="226">
        <v>11.0</v>
      </c>
      <c r="G227" s="226">
        <v>6.0</v>
      </c>
      <c r="H227" s="226">
        <v>4.0</v>
      </c>
      <c r="I227" s="226">
        <v>6.0</v>
      </c>
      <c r="J227" s="226">
        <v>7.0</v>
      </c>
      <c r="K227" s="226">
        <v>10.0</v>
      </c>
      <c r="L227" s="226">
        <v>10.0</v>
      </c>
      <c r="M227" s="226">
        <v>8.0</v>
      </c>
      <c r="N227" s="226">
        <v>13.0</v>
      </c>
      <c r="O227" s="226">
        <v>7.0</v>
      </c>
      <c r="P227" s="226">
        <v>7.0</v>
      </c>
      <c r="Q227" s="226">
        <v>12.0</v>
      </c>
      <c r="R227" s="226">
        <v>13.0</v>
      </c>
      <c r="S227" s="226">
        <v>7.0</v>
      </c>
      <c r="T227" s="226">
        <v>14.0</v>
      </c>
      <c r="U227" s="226">
        <v>6.0</v>
      </c>
      <c r="V227" s="226">
        <v>1.0</v>
      </c>
      <c r="W227" s="226">
        <v>7.0</v>
      </c>
      <c r="X227" s="226">
        <v>16.0</v>
      </c>
      <c r="Y227" s="226">
        <v>8.0</v>
      </c>
      <c r="Z227" s="226">
        <v>11.0</v>
      </c>
      <c r="AA227" s="226">
        <v>10.0</v>
      </c>
      <c r="AB227" s="226">
        <v>5.0</v>
      </c>
      <c r="AC227" s="226">
        <v>150.0</v>
      </c>
      <c r="AD227" s="186">
        <f t="shared" si="73"/>
        <v>388</v>
      </c>
    </row>
    <row r="228">
      <c r="A228" s="225" t="s">
        <v>325</v>
      </c>
      <c r="B228" s="226">
        <v>8.0</v>
      </c>
      <c r="C228" s="226">
        <v>7.0</v>
      </c>
      <c r="D228" s="226">
        <v>5.0</v>
      </c>
      <c r="E228" s="226">
        <v>8.0</v>
      </c>
      <c r="F228" s="226">
        <v>11.0</v>
      </c>
      <c r="G228" s="226">
        <v>9.0</v>
      </c>
      <c r="H228" s="226">
        <v>4.0</v>
      </c>
      <c r="I228" s="226">
        <v>5.0</v>
      </c>
      <c r="J228" s="226">
        <v>1.0</v>
      </c>
      <c r="K228" s="226">
        <v>3.0</v>
      </c>
      <c r="L228" s="226">
        <v>3.0</v>
      </c>
      <c r="M228" s="226">
        <v>8.0</v>
      </c>
      <c r="N228" s="226">
        <v>2.0</v>
      </c>
      <c r="O228" s="226">
        <v>5.0</v>
      </c>
      <c r="P228" s="226">
        <v>3.0</v>
      </c>
      <c r="Q228" s="226">
        <v>10.0</v>
      </c>
      <c r="R228" s="226">
        <v>1.0</v>
      </c>
      <c r="S228" s="226">
        <v>5.0</v>
      </c>
      <c r="T228" s="226">
        <v>5.0</v>
      </c>
      <c r="U228" s="226">
        <v>3.0</v>
      </c>
      <c r="V228" s="226">
        <v>1.0</v>
      </c>
      <c r="W228" s="226">
        <v>2.0</v>
      </c>
      <c r="X228" s="226">
        <v>4.0</v>
      </c>
      <c r="Y228" s="226">
        <v>3.0</v>
      </c>
      <c r="Z228" s="226">
        <v>3.0</v>
      </c>
      <c r="AA228" s="226">
        <v>3.0</v>
      </c>
      <c r="AB228" s="226">
        <v>4.0</v>
      </c>
      <c r="AC228" s="226">
        <v>10.0</v>
      </c>
      <c r="AD228" s="186">
        <f t="shared" si="73"/>
        <v>136</v>
      </c>
    </row>
    <row r="229">
      <c r="A229" s="231" t="s">
        <v>326</v>
      </c>
      <c r="B229" s="230">
        <f t="shared" ref="B229:AC229" si="74">SUM(B224:B228)</f>
        <v>41</v>
      </c>
      <c r="C229" s="230">
        <f t="shared" si="74"/>
        <v>38</v>
      </c>
      <c r="D229" s="230">
        <f t="shared" si="74"/>
        <v>43</v>
      </c>
      <c r="E229" s="230">
        <f t="shared" si="74"/>
        <v>52</v>
      </c>
      <c r="F229" s="230">
        <f t="shared" si="74"/>
        <v>54</v>
      </c>
      <c r="G229" s="230">
        <f t="shared" si="74"/>
        <v>36</v>
      </c>
      <c r="H229" s="230">
        <f t="shared" si="74"/>
        <v>22</v>
      </c>
      <c r="I229" s="230">
        <f t="shared" si="74"/>
        <v>29</v>
      </c>
      <c r="J229" s="230">
        <f t="shared" si="74"/>
        <v>32</v>
      </c>
      <c r="K229" s="230">
        <f t="shared" si="74"/>
        <v>44</v>
      </c>
      <c r="L229" s="230">
        <f t="shared" si="74"/>
        <v>50</v>
      </c>
      <c r="M229" s="230">
        <f t="shared" si="74"/>
        <v>42</v>
      </c>
      <c r="N229" s="230">
        <f t="shared" si="74"/>
        <v>58</v>
      </c>
      <c r="O229" s="230">
        <f t="shared" si="74"/>
        <v>34</v>
      </c>
      <c r="P229" s="230">
        <f t="shared" si="74"/>
        <v>33</v>
      </c>
      <c r="Q229" s="230">
        <f t="shared" si="74"/>
        <v>53</v>
      </c>
      <c r="R229" s="230">
        <f t="shared" si="74"/>
        <v>29</v>
      </c>
      <c r="S229" s="230">
        <f t="shared" si="74"/>
        <v>28</v>
      </c>
      <c r="T229" s="230">
        <f t="shared" si="74"/>
        <v>52</v>
      </c>
      <c r="U229" s="230">
        <f t="shared" si="74"/>
        <v>18</v>
      </c>
      <c r="V229" s="230">
        <f t="shared" si="74"/>
        <v>8</v>
      </c>
      <c r="W229" s="230">
        <f t="shared" si="74"/>
        <v>20</v>
      </c>
      <c r="X229" s="230">
        <f t="shared" si="74"/>
        <v>37</v>
      </c>
      <c r="Y229" s="230">
        <f t="shared" si="74"/>
        <v>27</v>
      </c>
      <c r="Z229" s="230">
        <f t="shared" si="74"/>
        <v>27</v>
      </c>
      <c r="AA229" s="230">
        <f t="shared" si="74"/>
        <v>39</v>
      </c>
      <c r="AB229" s="230">
        <f t="shared" si="74"/>
        <v>33</v>
      </c>
      <c r="AC229" s="230">
        <f t="shared" si="74"/>
        <v>215</v>
      </c>
      <c r="AD229" s="186">
        <f t="shared" si="73"/>
        <v>1194</v>
      </c>
    </row>
    <row r="230">
      <c r="A230" s="27"/>
      <c r="B230" s="157"/>
      <c r="C230" s="157"/>
      <c r="D230" s="157"/>
      <c r="E230" s="157"/>
      <c r="F230" s="157"/>
      <c r="G230" s="157"/>
      <c r="H230" s="157"/>
      <c r="I230" s="23"/>
      <c r="J230" s="23"/>
      <c r="K230" s="23"/>
      <c r="L230" s="23"/>
      <c r="M230" s="23"/>
      <c r="N230" s="23"/>
      <c r="O230" s="23"/>
      <c r="P230" s="23"/>
      <c r="Q230" s="23"/>
      <c r="R230" s="23"/>
      <c r="S230" s="23"/>
      <c r="T230" s="23"/>
      <c r="U230" s="23"/>
      <c r="V230" s="23"/>
      <c r="W230" s="23"/>
      <c r="X230" s="23"/>
      <c r="Y230" s="23"/>
      <c r="Z230" s="23"/>
      <c r="AA230" s="23"/>
      <c r="AB230" s="23"/>
      <c r="AC230" s="23"/>
      <c r="AD230" s="186"/>
    </row>
    <row r="231">
      <c r="A231" s="225" t="s">
        <v>327</v>
      </c>
      <c r="B231" s="214"/>
      <c r="C231" s="217">
        <v>2.0</v>
      </c>
      <c r="D231" s="214"/>
      <c r="E231" s="228"/>
      <c r="F231" s="214"/>
      <c r="G231" s="214"/>
      <c r="H231" s="214"/>
      <c r="I231" s="214"/>
      <c r="J231" s="226">
        <v>1.0</v>
      </c>
      <c r="K231" s="214"/>
      <c r="L231" s="214"/>
      <c r="M231" s="214"/>
      <c r="N231" s="214"/>
      <c r="O231" s="214"/>
      <c r="P231" s="214"/>
      <c r="Q231" s="214"/>
      <c r="R231" s="214"/>
      <c r="S231" s="226">
        <v>1.0</v>
      </c>
      <c r="T231" s="214"/>
      <c r="U231" s="214"/>
      <c r="V231" s="214"/>
      <c r="W231" s="214"/>
      <c r="X231" s="214"/>
      <c r="Y231" s="214"/>
      <c r="Z231" s="214"/>
      <c r="AA231" s="214"/>
      <c r="AB231" s="214"/>
      <c r="AC231" s="214"/>
      <c r="AD231" s="186">
        <f t="shared" ref="AD231:AD236" si="75">SUM(B231:AC231)</f>
        <v>4</v>
      </c>
    </row>
    <row r="232">
      <c r="A232" s="225" t="s">
        <v>328</v>
      </c>
      <c r="B232" s="214"/>
      <c r="C232" s="214"/>
      <c r="D232" s="228"/>
      <c r="E232" s="228"/>
      <c r="F232" s="214"/>
      <c r="G232" s="214"/>
      <c r="H232" s="214"/>
      <c r="I232" s="214"/>
      <c r="J232" s="214"/>
      <c r="K232" s="214"/>
      <c r="L232" s="214"/>
      <c r="M232" s="214"/>
      <c r="N232" s="214"/>
      <c r="O232" s="214"/>
      <c r="P232" s="214"/>
      <c r="Q232" s="214"/>
      <c r="R232" s="214"/>
      <c r="S232" s="214"/>
      <c r="T232" s="214"/>
      <c r="U232" s="214"/>
      <c r="V232" s="214"/>
      <c r="W232" s="214"/>
      <c r="X232" s="214"/>
      <c r="Y232" s="214"/>
      <c r="Z232" s="214"/>
      <c r="AA232" s="214"/>
      <c r="AB232" s="214"/>
      <c r="AC232" s="214"/>
      <c r="AD232" s="186">
        <f t="shared" si="75"/>
        <v>0</v>
      </c>
    </row>
    <row r="233">
      <c r="A233" s="225" t="s">
        <v>329</v>
      </c>
      <c r="B233" s="214"/>
      <c r="C233" s="214"/>
      <c r="D233" s="214"/>
      <c r="E233" s="228"/>
      <c r="F233" s="214"/>
      <c r="G233" s="214"/>
      <c r="H233" s="214"/>
      <c r="I233" s="214"/>
      <c r="J233" s="214"/>
      <c r="K233" s="214"/>
      <c r="L233" s="214"/>
      <c r="M233" s="214"/>
      <c r="N233" s="214"/>
      <c r="O233" s="214"/>
      <c r="P233" s="214"/>
      <c r="Q233" s="214"/>
      <c r="R233" s="214"/>
      <c r="S233" s="226">
        <v>1.0</v>
      </c>
      <c r="T233" s="214"/>
      <c r="U233" s="214"/>
      <c r="V233" s="214"/>
      <c r="W233" s="214"/>
      <c r="X233" s="214"/>
      <c r="Y233" s="214"/>
      <c r="Z233" s="214"/>
      <c r="AA233" s="214"/>
      <c r="AB233" s="214"/>
      <c r="AC233" s="214"/>
      <c r="AD233" s="186">
        <f t="shared" si="75"/>
        <v>1</v>
      </c>
    </row>
    <row r="234">
      <c r="A234" s="225" t="s">
        <v>330</v>
      </c>
      <c r="B234" s="217">
        <v>1.0</v>
      </c>
      <c r="C234" s="217">
        <v>2.0</v>
      </c>
      <c r="D234" s="214"/>
      <c r="E234" s="214"/>
      <c r="F234" s="214"/>
      <c r="G234" s="214"/>
      <c r="H234" s="214"/>
      <c r="I234" s="214"/>
      <c r="J234" s="226">
        <v>1.0</v>
      </c>
      <c r="K234" s="214"/>
      <c r="L234" s="214"/>
      <c r="M234" s="214"/>
      <c r="N234" s="214"/>
      <c r="O234" s="214"/>
      <c r="P234" s="214"/>
      <c r="Q234" s="214"/>
      <c r="R234" s="214"/>
      <c r="S234" s="226">
        <v>1.0</v>
      </c>
      <c r="T234" s="214"/>
      <c r="U234" s="214"/>
      <c r="V234" s="214"/>
      <c r="W234" s="214"/>
      <c r="X234" s="214"/>
      <c r="Y234" s="214"/>
      <c r="Z234" s="214"/>
      <c r="AA234" s="214"/>
      <c r="AB234" s="214"/>
      <c r="AC234" s="214"/>
      <c r="AD234" s="186">
        <f t="shared" si="75"/>
        <v>5</v>
      </c>
    </row>
    <row r="235">
      <c r="A235" s="225" t="s">
        <v>331</v>
      </c>
      <c r="B235" s="214"/>
      <c r="C235" s="214"/>
      <c r="D235" s="214"/>
      <c r="E235" s="214"/>
      <c r="F235" s="214"/>
      <c r="G235" s="214"/>
      <c r="H235" s="214"/>
      <c r="I235" s="214"/>
      <c r="J235" s="226">
        <v>1.0</v>
      </c>
      <c r="K235" s="214"/>
      <c r="L235" s="214"/>
      <c r="M235" s="214"/>
      <c r="N235" s="214"/>
      <c r="O235" s="214"/>
      <c r="P235" s="214"/>
      <c r="Q235" s="214"/>
      <c r="R235" s="214"/>
      <c r="S235" s="214"/>
      <c r="T235" s="214"/>
      <c r="U235" s="214"/>
      <c r="V235" s="214"/>
      <c r="W235" s="214"/>
      <c r="X235" s="214"/>
      <c r="Y235" s="214"/>
      <c r="Z235" s="214"/>
      <c r="AA235" s="214"/>
      <c r="AB235" s="214"/>
      <c r="AC235" s="214"/>
      <c r="AD235" s="186">
        <f t="shared" si="75"/>
        <v>1</v>
      </c>
    </row>
    <row r="236">
      <c r="A236" s="231" t="s">
        <v>332</v>
      </c>
      <c r="B236" s="230">
        <f t="shared" ref="B236:AC236" si="76">SUM(B231:B234)</f>
        <v>1</v>
      </c>
      <c r="C236" s="230">
        <f t="shared" si="76"/>
        <v>4</v>
      </c>
      <c r="D236" s="230">
        <f t="shared" si="76"/>
        <v>0</v>
      </c>
      <c r="E236" s="230">
        <f t="shared" si="76"/>
        <v>0</v>
      </c>
      <c r="F236" s="230">
        <f t="shared" si="76"/>
        <v>0</v>
      </c>
      <c r="G236" s="230">
        <f t="shared" si="76"/>
        <v>0</v>
      </c>
      <c r="H236" s="230">
        <f t="shared" si="76"/>
        <v>0</v>
      </c>
      <c r="I236" s="230">
        <f t="shared" si="76"/>
        <v>0</v>
      </c>
      <c r="J236" s="230">
        <f t="shared" si="76"/>
        <v>2</v>
      </c>
      <c r="K236" s="230">
        <f t="shared" si="76"/>
        <v>0</v>
      </c>
      <c r="L236" s="230">
        <f t="shared" si="76"/>
        <v>0</v>
      </c>
      <c r="M236" s="230">
        <f t="shared" si="76"/>
        <v>0</v>
      </c>
      <c r="N236" s="230">
        <f t="shared" si="76"/>
        <v>0</v>
      </c>
      <c r="O236" s="230">
        <f t="shared" si="76"/>
        <v>0</v>
      </c>
      <c r="P236" s="230">
        <f t="shared" si="76"/>
        <v>0</v>
      </c>
      <c r="Q236" s="230">
        <f t="shared" si="76"/>
        <v>0</v>
      </c>
      <c r="R236" s="230">
        <f t="shared" si="76"/>
        <v>0</v>
      </c>
      <c r="S236" s="230">
        <f t="shared" si="76"/>
        <v>3</v>
      </c>
      <c r="T236" s="230">
        <f t="shared" si="76"/>
        <v>0</v>
      </c>
      <c r="U236" s="230">
        <f t="shared" si="76"/>
        <v>0</v>
      </c>
      <c r="V236" s="230">
        <f t="shared" si="76"/>
        <v>0</v>
      </c>
      <c r="W236" s="230">
        <f t="shared" si="76"/>
        <v>0</v>
      </c>
      <c r="X236" s="230">
        <f t="shared" si="76"/>
        <v>0</v>
      </c>
      <c r="Y236" s="230">
        <f t="shared" si="76"/>
        <v>0</v>
      </c>
      <c r="Z236" s="230">
        <f t="shared" si="76"/>
        <v>0</v>
      </c>
      <c r="AA236" s="230">
        <f t="shared" si="76"/>
        <v>0</v>
      </c>
      <c r="AB236" s="230">
        <f t="shared" si="76"/>
        <v>0</v>
      </c>
      <c r="AC236" s="230">
        <f t="shared" si="76"/>
        <v>0</v>
      </c>
      <c r="AD236" s="186">
        <f t="shared" si="75"/>
        <v>10</v>
      </c>
    </row>
    <row r="237">
      <c r="A237" s="27"/>
      <c r="B237" s="157"/>
      <c r="C237" s="157"/>
      <c r="D237" s="157"/>
      <c r="E237" s="157"/>
      <c r="F237" s="157"/>
      <c r="G237" s="157"/>
      <c r="H237" s="157"/>
      <c r="I237" s="23"/>
      <c r="J237" s="23"/>
      <c r="K237" s="23"/>
      <c r="L237" s="23"/>
      <c r="M237" s="23"/>
      <c r="N237" s="23"/>
      <c r="O237" s="23"/>
      <c r="P237" s="23"/>
      <c r="Q237" s="23"/>
      <c r="R237" s="23"/>
      <c r="S237" s="23"/>
      <c r="T237" s="23"/>
      <c r="U237" s="23"/>
      <c r="V237" s="23"/>
      <c r="W237" s="23"/>
      <c r="X237" s="23"/>
      <c r="Y237" s="23"/>
      <c r="Z237" s="23"/>
      <c r="AA237" s="23"/>
      <c r="AB237" s="23"/>
      <c r="AC237" s="23"/>
      <c r="AD237" s="186"/>
    </row>
    <row r="238">
      <c r="A238" s="160" t="s">
        <v>333</v>
      </c>
      <c r="B238" s="157"/>
      <c r="C238" s="157"/>
      <c r="D238" s="157"/>
      <c r="E238" s="157"/>
      <c r="F238" s="157"/>
      <c r="G238" s="157"/>
      <c r="H238" s="157"/>
      <c r="I238" s="23"/>
      <c r="J238" s="23"/>
      <c r="K238" s="23"/>
      <c r="L238" s="23"/>
      <c r="M238" s="23"/>
      <c r="N238" s="23"/>
      <c r="O238" s="23"/>
      <c r="P238" s="23"/>
      <c r="Q238" s="23"/>
      <c r="R238" s="23"/>
      <c r="S238" s="23"/>
      <c r="T238" s="23"/>
      <c r="U238" s="23"/>
      <c r="V238" s="23"/>
      <c r="W238" s="23"/>
      <c r="X238" s="23"/>
      <c r="Y238" s="23"/>
      <c r="Z238" s="23"/>
      <c r="AA238" s="23"/>
      <c r="AB238" s="23"/>
      <c r="AC238" s="23"/>
      <c r="AD238" s="186"/>
    </row>
    <row r="239">
      <c r="A239" s="225" t="s">
        <v>308</v>
      </c>
      <c r="B239" s="232">
        <v>6609.0</v>
      </c>
      <c r="C239" s="232">
        <v>8374.31</v>
      </c>
      <c r="D239" s="232">
        <v>7772.99</v>
      </c>
      <c r="E239" s="232">
        <v>6710.01</v>
      </c>
      <c r="F239" s="232">
        <v>7164.0</v>
      </c>
      <c r="G239" s="232">
        <v>5355.3</v>
      </c>
      <c r="H239" s="232">
        <v>7334.87</v>
      </c>
      <c r="I239" s="232">
        <v>5542.9</v>
      </c>
      <c r="J239" s="232">
        <v>8119.2</v>
      </c>
      <c r="K239" s="232">
        <v>8439.1</v>
      </c>
      <c r="L239" s="232">
        <v>8476.06</v>
      </c>
      <c r="M239" s="232">
        <f>9820.6+199
</f>
        <v>10019.6</v>
      </c>
      <c r="N239" s="232">
        <f>7911.97+199</f>
        <v>8110.97</v>
      </c>
      <c r="O239" s="232">
        <v>13684.08</v>
      </c>
      <c r="P239" s="232">
        <f>8612.38+315</f>
        <v>8927.38</v>
      </c>
      <c r="Q239" s="232">
        <v>8646.55</v>
      </c>
      <c r="R239" s="232">
        <v>8269.09</v>
      </c>
      <c r="S239" s="232">
        <v>8795.0</v>
      </c>
      <c r="T239" s="232">
        <v>7552.0</v>
      </c>
      <c r="U239" s="232">
        <v>5314.05</v>
      </c>
      <c r="V239" s="232">
        <v>7136.42</v>
      </c>
      <c r="W239" s="232">
        <v>4945.0</v>
      </c>
      <c r="X239" s="232">
        <v>5154.0</v>
      </c>
      <c r="Y239" s="232">
        <v>7397.4</v>
      </c>
      <c r="Z239" s="232">
        <v>7960.0</v>
      </c>
      <c r="AA239" s="232">
        <v>6139.0</v>
      </c>
      <c r="AB239" s="232">
        <v>7333.05</v>
      </c>
      <c r="AC239" s="232">
        <v>6350.32</v>
      </c>
      <c r="AD239" s="233">
        <f t="shared" ref="AD239:AD246" si="77">SUM(B239:AC239)</f>
        <v>211631.65</v>
      </c>
    </row>
    <row r="240">
      <c r="A240" s="225" t="s">
        <v>309</v>
      </c>
      <c r="B240" s="232">
        <f>22806+249</f>
        <v>23055</v>
      </c>
      <c r="C240" s="232">
        <v>24253.2</v>
      </c>
      <c r="D240" s="232">
        <v>23006.46</v>
      </c>
      <c r="E240" s="232">
        <v>29005.15</v>
      </c>
      <c r="F240" s="232">
        <v>23085.0</v>
      </c>
      <c r="G240" s="232">
        <v>20927.51</v>
      </c>
      <c r="H240" s="232">
        <v>24449.48</v>
      </c>
      <c r="I240" s="232">
        <f>27127.93+269
</f>
        <v>27396.93</v>
      </c>
      <c r="J240" s="232">
        <v>22754.3</v>
      </c>
      <c r="K240" s="232">
        <v>25944.16</v>
      </c>
      <c r="L240" s="232">
        <v>31260.65</v>
      </c>
      <c r="M240" s="232">
        <f>46010.02+269</f>
        <v>46279.02</v>
      </c>
      <c r="N240" s="232">
        <v>33465.57</v>
      </c>
      <c r="O240" s="232">
        <v>39710.34</v>
      </c>
      <c r="P240" s="232">
        <f>28263.78+269</f>
        <v>28532.78</v>
      </c>
      <c r="Q240" s="232">
        <v>23683.7</v>
      </c>
      <c r="R240" s="232">
        <v>33629.9</v>
      </c>
      <c r="S240" s="232">
        <v>30045.55</v>
      </c>
      <c r="T240" s="232">
        <v>31328.97</v>
      </c>
      <c r="U240" s="232">
        <f>31399.55+315</f>
        <v>31714.55</v>
      </c>
      <c r="V240" s="232">
        <v>23339.27</v>
      </c>
      <c r="W240" s="232">
        <v>23426.02</v>
      </c>
      <c r="X240" s="232">
        <v>24235.47</v>
      </c>
      <c r="Y240" s="232">
        <v>26234.94</v>
      </c>
      <c r="Z240" s="232">
        <v>37391.0</v>
      </c>
      <c r="AA240" s="232">
        <v>25861.17</v>
      </c>
      <c r="AB240" s="232">
        <v>20623.0</v>
      </c>
      <c r="AC240" s="232">
        <v>25391.42</v>
      </c>
      <c r="AD240" s="233">
        <f t="shared" si="77"/>
        <v>780030.51</v>
      </c>
    </row>
    <row r="241">
      <c r="A241" s="225" t="s">
        <v>310</v>
      </c>
      <c r="B241" s="232">
        <v>786.0</v>
      </c>
      <c r="C241" s="232">
        <v>985.0</v>
      </c>
      <c r="D241" s="232">
        <v>189.0</v>
      </c>
      <c r="E241" s="232">
        <v>388.0</v>
      </c>
      <c r="F241" s="232">
        <v>796.0</v>
      </c>
      <c r="G241" s="232">
        <v>398.0</v>
      </c>
      <c r="H241" s="232">
        <v>199.0</v>
      </c>
      <c r="I241" s="232">
        <v>1134.3</v>
      </c>
      <c r="J241" s="232">
        <v>388.0</v>
      </c>
      <c r="K241" s="232">
        <v>1393.0</v>
      </c>
      <c r="L241" s="232">
        <v>935.3</v>
      </c>
      <c r="M241" s="232">
        <v>786.0</v>
      </c>
      <c r="N241" s="234">
        <v>1074.6</v>
      </c>
      <c r="O241" s="232">
        <v>398.0</v>
      </c>
      <c r="P241" s="232">
        <v>587.0</v>
      </c>
      <c r="Q241" s="232">
        <v>1273.6</v>
      </c>
      <c r="R241" s="232">
        <v>0.0</v>
      </c>
      <c r="S241" s="232">
        <v>985.0</v>
      </c>
      <c r="T241" s="232">
        <v>1194.0</v>
      </c>
      <c r="U241" s="232">
        <v>597.0</v>
      </c>
      <c r="V241" s="232">
        <v>398.0</v>
      </c>
      <c r="W241" s="232">
        <v>587.05</v>
      </c>
      <c r="X241" s="232">
        <v>199.0</v>
      </c>
      <c r="Y241" s="232">
        <v>398.0</v>
      </c>
      <c r="Z241" s="232">
        <v>398.0</v>
      </c>
      <c r="AA241" s="232">
        <v>786.0</v>
      </c>
      <c r="AB241" s="232">
        <v>587.0</v>
      </c>
      <c r="AC241" s="232">
        <v>398.0</v>
      </c>
      <c r="AD241" s="233">
        <f t="shared" si="77"/>
        <v>18237.85</v>
      </c>
    </row>
    <row r="242">
      <c r="A242" s="225" t="s">
        <v>311</v>
      </c>
      <c r="B242" s="232">
        <v>807.0</v>
      </c>
      <c r="C242" s="232">
        <v>1614.0</v>
      </c>
      <c r="D242" s="232">
        <v>2421.0</v>
      </c>
      <c r="E242" s="232">
        <v>2959.0</v>
      </c>
      <c r="F242" s="232">
        <v>2152.0</v>
      </c>
      <c r="G242" s="232">
        <v>2152.0</v>
      </c>
      <c r="H242" s="232">
        <v>1533.3</v>
      </c>
      <c r="I242" s="232">
        <v>1076.0</v>
      </c>
      <c r="J242" s="232">
        <v>3066.6</v>
      </c>
      <c r="K242" s="232">
        <v>2340.3</v>
      </c>
      <c r="L242" s="232">
        <v>3335.6</v>
      </c>
      <c r="M242" s="232">
        <v>1792.3</v>
      </c>
      <c r="N242" s="232">
        <v>5057.2</v>
      </c>
      <c r="O242" s="232">
        <v>2520.07</v>
      </c>
      <c r="P242" s="232">
        <v>2975.9</v>
      </c>
      <c r="Q242" s="232">
        <v>2878.3</v>
      </c>
      <c r="R242" s="232">
        <v>1883.0</v>
      </c>
      <c r="S242" s="232">
        <v>2152.0</v>
      </c>
      <c r="T242" s="232">
        <v>2411.0</v>
      </c>
      <c r="U242" s="232">
        <v>1076.0</v>
      </c>
      <c r="V242" s="232">
        <v>807.0</v>
      </c>
      <c r="W242" s="232">
        <v>2123.47</v>
      </c>
      <c r="X242" s="232">
        <v>2143.47</v>
      </c>
      <c r="Y242" s="232">
        <v>1335.0</v>
      </c>
      <c r="Z242" s="232">
        <v>1345.0</v>
      </c>
      <c r="AA242" s="232">
        <v>3487.0</v>
      </c>
      <c r="AB242" s="232">
        <v>2660.0</v>
      </c>
      <c r="AC242" s="232">
        <v>1062.55</v>
      </c>
      <c r="AD242" s="233">
        <f t="shared" si="77"/>
        <v>61166.06</v>
      </c>
    </row>
    <row r="243">
      <c r="A243" s="225" t="s">
        <v>312</v>
      </c>
      <c r="B243" s="235"/>
      <c r="C243" s="235"/>
      <c r="D243" s="235"/>
      <c r="E243" s="235"/>
      <c r="F243" s="235"/>
      <c r="G243" s="235"/>
      <c r="H243" s="235"/>
      <c r="I243" s="235"/>
      <c r="J243" s="232">
        <v>315.0</v>
      </c>
      <c r="K243" s="235"/>
      <c r="L243" s="235"/>
      <c r="M243" s="235"/>
      <c r="N243" s="235"/>
      <c r="O243" s="235"/>
      <c r="P243" s="235"/>
      <c r="Q243" s="235"/>
      <c r="R243" s="235"/>
      <c r="S243" s="235"/>
      <c r="T243" s="235"/>
      <c r="U243" s="235"/>
      <c r="V243" s="235"/>
      <c r="W243" s="235"/>
      <c r="X243" s="235"/>
      <c r="Y243" s="235"/>
      <c r="Z243" s="235"/>
      <c r="AA243" s="235"/>
      <c r="AB243" s="235"/>
      <c r="AC243" s="235"/>
      <c r="AD243" s="233">
        <f t="shared" si="77"/>
        <v>315</v>
      </c>
    </row>
    <row r="244">
      <c r="A244" s="225" t="s">
        <v>313</v>
      </c>
      <c r="B244" s="235"/>
      <c r="C244" s="236">
        <v>630.0</v>
      </c>
      <c r="D244" s="235"/>
      <c r="E244" s="59"/>
      <c r="F244" s="235"/>
      <c r="G244" s="235"/>
      <c r="H244" s="235"/>
      <c r="I244" s="235"/>
      <c r="J244" s="235"/>
      <c r="K244" s="235"/>
      <c r="L244" s="235"/>
      <c r="M244" s="235"/>
      <c r="N244" s="235"/>
      <c r="O244" s="235"/>
      <c r="P244" s="235"/>
      <c r="Q244" s="235"/>
      <c r="R244" s="235"/>
      <c r="S244" s="235"/>
      <c r="T244" s="235"/>
      <c r="U244" s="235"/>
      <c r="V244" s="235"/>
      <c r="W244" s="235"/>
      <c r="X244" s="235"/>
      <c r="Y244" s="235"/>
      <c r="Z244" s="235"/>
      <c r="AA244" s="235"/>
      <c r="AB244" s="235"/>
      <c r="AC244" s="235"/>
      <c r="AD244" s="233">
        <f t="shared" si="77"/>
        <v>630</v>
      </c>
    </row>
    <row r="245">
      <c r="A245" s="229" t="s">
        <v>298</v>
      </c>
      <c r="B245" s="237">
        <f t="shared" ref="B245:AC245" si="78">B239+B241+B243</f>
        <v>7395</v>
      </c>
      <c r="C245" s="237">
        <f t="shared" si="78"/>
        <v>9359.31</v>
      </c>
      <c r="D245" s="237">
        <f t="shared" si="78"/>
        <v>7961.99</v>
      </c>
      <c r="E245" s="237">
        <f t="shared" si="78"/>
        <v>7098.01</v>
      </c>
      <c r="F245" s="237">
        <f t="shared" si="78"/>
        <v>7960</v>
      </c>
      <c r="G245" s="237">
        <f t="shared" si="78"/>
        <v>5753.3</v>
      </c>
      <c r="H245" s="237">
        <f t="shared" si="78"/>
        <v>7533.87</v>
      </c>
      <c r="I245" s="237">
        <f t="shared" si="78"/>
        <v>6677.2</v>
      </c>
      <c r="J245" s="237">
        <f t="shared" si="78"/>
        <v>8822.2</v>
      </c>
      <c r="K245" s="237">
        <f t="shared" si="78"/>
        <v>9832.1</v>
      </c>
      <c r="L245" s="237">
        <f t="shared" si="78"/>
        <v>9411.36</v>
      </c>
      <c r="M245" s="237">
        <f t="shared" si="78"/>
        <v>10805.6</v>
      </c>
      <c r="N245" s="237">
        <f t="shared" si="78"/>
        <v>9185.57</v>
      </c>
      <c r="O245" s="237">
        <f t="shared" si="78"/>
        <v>14082.08</v>
      </c>
      <c r="P245" s="237">
        <f t="shared" si="78"/>
        <v>9514.38</v>
      </c>
      <c r="Q245" s="237">
        <f t="shared" si="78"/>
        <v>9920.15</v>
      </c>
      <c r="R245" s="237">
        <f t="shared" si="78"/>
        <v>8269.09</v>
      </c>
      <c r="S245" s="237">
        <f t="shared" si="78"/>
        <v>9780</v>
      </c>
      <c r="T245" s="237">
        <f t="shared" si="78"/>
        <v>8746</v>
      </c>
      <c r="U245" s="237">
        <f t="shared" si="78"/>
        <v>5911.05</v>
      </c>
      <c r="V245" s="237">
        <f t="shared" si="78"/>
        <v>7534.42</v>
      </c>
      <c r="W245" s="237">
        <f t="shared" si="78"/>
        <v>5532.05</v>
      </c>
      <c r="X245" s="237">
        <f t="shared" si="78"/>
        <v>5353</v>
      </c>
      <c r="Y245" s="237">
        <f t="shared" si="78"/>
        <v>7795.4</v>
      </c>
      <c r="Z245" s="237">
        <f t="shared" si="78"/>
        <v>8358</v>
      </c>
      <c r="AA245" s="237">
        <f t="shared" si="78"/>
        <v>6925</v>
      </c>
      <c r="AB245" s="237">
        <f t="shared" si="78"/>
        <v>7920.05</v>
      </c>
      <c r="AC245" s="237">
        <f t="shared" si="78"/>
        <v>6748.32</v>
      </c>
      <c r="AD245" s="233">
        <f t="shared" si="77"/>
        <v>230184.5</v>
      </c>
    </row>
    <row r="246">
      <c r="A246" s="229" t="s">
        <v>334</v>
      </c>
      <c r="B246" s="237">
        <f t="shared" ref="B246:AC246" si="79">B240+B242+B244</f>
        <v>23862</v>
      </c>
      <c r="C246" s="237">
        <f t="shared" si="79"/>
        <v>26497.2</v>
      </c>
      <c r="D246" s="237">
        <f t="shared" si="79"/>
        <v>25427.46</v>
      </c>
      <c r="E246" s="237">
        <f t="shared" si="79"/>
        <v>31964.15</v>
      </c>
      <c r="F246" s="237">
        <f t="shared" si="79"/>
        <v>25237</v>
      </c>
      <c r="G246" s="237">
        <f t="shared" si="79"/>
        <v>23079.51</v>
      </c>
      <c r="H246" s="237">
        <f t="shared" si="79"/>
        <v>25982.78</v>
      </c>
      <c r="I246" s="237">
        <f t="shared" si="79"/>
        <v>28472.93</v>
      </c>
      <c r="J246" s="237">
        <f t="shared" si="79"/>
        <v>25820.9</v>
      </c>
      <c r="K246" s="237">
        <f t="shared" si="79"/>
        <v>28284.46</v>
      </c>
      <c r="L246" s="237">
        <f t="shared" si="79"/>
        <v>34596.25</v>
      </c>
      <c r="M246" s="237">
        <f t="shared" si="79"/>
        <v>48071.32</v>
      </c>
      <c r="N246" s="237">
        <f t="shared" si="79"/>
        <v>38522.77</v>
      </c>
      <c r="O246" s="237">
        <f t="shared" si="79"/>
        <v>42230.41</v>
      </c>
      <c r="P246" s="237">
        <f t="shared" si="79"/>
        <v>31508.68</v>
      </c>
      <c r="Q246" s="237">
        <f t="shared" si="79"/>
        <v>26562</v>
      </c>
      <c r="R246" s="237">
        <f t="shared" si="79"/>
        <v>35512.9</v>
      </c>
      <c r="S246" s="237">
        <f t="shared" si="79"/>
        <v>32197.55</v>
      </c>
      <c r="T246" s="237">
        <f t="shared" si="79"/>
        <v>33739.97</v>
      </c>
      <c r="U246" s="237">
        <f t="shared" si="79"/>
        <v>32790.55</v>
      </c>
      <c r="V246" s="237">
        <f t="shared" si="79"/>
        <v>24146.27</v>
      </c>
      <c r="W246" s="237">
        <f t="shared" si="79"/>
        <v>25549.49</v>
      </c>
      <c r="X246" s="237">
        <f t="shared" si="79"/>
        <v>26378.94</v>
      </c>
      <c r="Y246" s="237">
        <f t="shared" si="79"/>
        <v>27569.94</v>
      </c>
      <c r="Z246" s="237">
        <f t="shared" si="79"/>
        <v>38736</v>
      </c>
      <c r="AA246" s="237">
        <f t="shared" si="79"/>
        <v>29348.17</v>
      </c>
      <c r="AB246" s="237">
        <f t="shared" si="79"/>
        <v>23283</v>
      </c>
      <c r="AC246" s="237">
        <f t="shared" si="79"/>
        <v>26453.97</v>
      </c>
      <c r="AD246" s="233">
        <f t="shared" si="77"/>
        <v>841826.57</v>
      </c>
    </row>
    <row r="247">
      <c r="A247" s="27"/>
      <c r="B247" s="238"/>
      <c r="C247" s="238"/>
      <c r="D247" s="238"/>
      <c r="E247" s="238"/>
      <c r="F247" s="238"/>
      <c r="G247" s="238"/>
      <c r="H247" s="238"/>
      <c r="I247" s="238"/>
      <c r="J247" s="238"/>
      <c r="K247" s="238"/>
      <c r="L247" s="238"/>
      <c r="M247" s="238"/>
      <c r="N247" s="238"/>
      <c r="O247" s="238"/>
      <c r="P247" s="238"/>
      <c r="Q247" s="238"/>
      <c r="R247" s="238"/>
      <c r="S247" s="238"/>
      <c r="T247" s="238"/>
      <c r="U247" s="238"/>
      <c r="V247" s="238"/>
      <c r="W247" s="238"/>
      <c r="X247" s="238"/>
      <c r="Y247" s="238"/>
      <c r="Z247" s="238"/>
      <c r="AA247" s="238"/>
      <c r="AB247" s="238"/>
      <c r="AC247" s="238"/>
      <c r="AD247" s="233"/>
    </row>
    <row r="248">
      <c r="A248" s="225" t="s">
        <v>315</v>
      </c>
      <c r="B248" s="239">
        <v>1416.0</v>
      </c>
      <c r="C248" s="239">
        <v>1296.19</v>
      </c>
      <c r="D248" s="239">
        <v>1333.94</v>
      </c>
      <c r="E248" s="239">
        <v>1753.77</v>
      </c>
      <c r="F248" s="239">
        <v>1416.0</v>
      </c>
      <c r="G248" s="239">
        <v>1324.78</v>
      </c>
      <c r="H248" s="239">
        <v>1373.39</v>
      </c>
      <c r="I248" s="239">
        <v>1195.22</v>
      </c>
      <c r="J248" s="239">
        <v>1176.0</v>
      </c>
      <c r="K248" s="239">
        <v>1225.25</v>
      </c>
      <c r="L248" s="239">
        <v>1484.19</v>
      </c>
      <c r="M248" s="239">
        <v>1967.18</v>
      </c>
      <c r="N248" s="239">
        <v>1362.24</v>
      </c>
      <c r="O248" s="239">
        <v>1661.49</v>
      </c>
      <c r="P248" s="239">
        <v>1198.42</v>
      </c>
      <c r="Q248" s="239">
        <v>1342.8</v>
      </c>
      <c r="R248" s="239">
        <v>1437.25</v>
      </c>
      <c r="S248" s="239">
        <v>1560.0</v>
      </c>
      <c r="T248" s="239">
        <v>1671.34</v>
      </c>
      <c r="U248" s="239">
        <v>1726.8</v>
      </c>
      <c r="V248" s="239">
        <v>1439.34</v>
      </c>
      <c r="W248" s="239">
        <v>1158.22</v>
      </c>
      <c r="X248" s="239">
        <v>1399.0</v>
      </c>
      <c r="Y248" s="239">
        <v>1551.01</v>
      </c>
      <c r="Z248" s="239">
        <v>1848.0</v>
      </c>
      <c r="AA248" s="239">
        <v>1400.96</v>
      </c>
      <c r="AB248" s="239">
        <v>1128.0</v>
      </c>
      <c r="AC248" s="239">
        <v>1682.11</v>
      </c>
      <c r="AD248" s="233">
        <f t="shared" ref="AD248:AD253" si="80">SUM(B248:AC248)</f>
        <v>40528.89</v>
      </c>
    </row>
    <row r="249">
      <c r="A249" s="225" t="s">
        <v>316</v>
      </c>
      <c r="B249" s="240">
        <v>0.0</v>
      </c>
      <c r="C249" s="240">
        <v>0.0</v>
      </c>
      <c r="D249" s="240">
        <v>0.0</v>
      </c>
      <c r="E249" s="240">
        <v>0.0</v>
      </c>
      <c r="F249" s="240">
        <v>0.0</v>
      </c>
      <c r="G249" s="240">
        <v>0.0</v>
      </c>
      <c r="H249" s="240">
        <v>0.0</v>
      </c>
      <c r="I249" s="240">
        <v>0.0</v>
      </c>
      <c r="J249" s="240">
        <v>0.0</v>
      </c>
      <c r="K249" s="239">
        <v>0.0</v>
      </c>
      <c r="L249" s="239">
        <v>0.0</v>
      </c>
      <c r="M249" s="239">
        <v>0.0</v>
      </c>
      <c r="N249" s="239">
        <v>0.0</v>
      </c>
      <c r="O249" s="239">
        <v>0.0</v>
      </c>
      <c r="P249" s="239">
        <v>0.0</v>
      </c>
      <c r="Q249" s="239">
        <v>0.0</v>
      </c>
      <c r="R249" s="239">
        <v>0.0</v>
      </c>
      <c r="S249" s="239">
        <v>0.0</v>
      </c>
      <c r="T249" s="239">
        <v>0.0</v>
      </c>
      <c r="U249" s="239">
        <v>0.0</v>
      </c>
      <c r="V249" s="239">
        <v>0.0</v>
      </c>
      <c r="W249" s="239">
        <v>0.0</v>
      </c>
      <c r="X249" s="239">
        <v>0.0</v>
      </c>
      <c r="Y249" s="239">
        <v>0.0</v>
      </c>
      <c r="Z249" s="239">
        <v>0.0</v>
      </c>
      <c r="AA249" s="239">
        <v>0.0</v>
      </c>
      <c r="AB249" s="239">
        <v>0.0</v>
      </c>
      <c r="AC249" s="239">
        <v>0.0</v>
      </c>
      <c r="AD249" s="233">
        <f t="shared" si="80"/>
        <v>0</v>
      </c>
    </row>
    <row r="250">
      <c r="A250" s="225" t="s">
        <v>317</v>
      </c>
      <c r="B250" s="239">
        <v>98.0</v>
      </c>
      <c r="C250" s="239">
        <v>56.0</v>
      </c>
      <c r="D250" s="239">
        <v>30.35</v>
      </c>
      <c r="E250" s="239">
        <v>59.97</v>
      </c>
      <c r="F250" s="239">
        <v>84.0</v>
      </c>
      <c r="G250" s="239">
        <v>84.0</v>
      </c>
      <c r="H250" s="239">
        <v>59.57</v>
      </c>
      <c r="I250" s="239">
        <v>28.0</v>
      </c>
      <c r="J250" s="239">
        <v>42.0</v>
      </c>
      <c r="K250" s="239">
        <v>28.0</v>
      </c>
      <c r="L250" s="239">
        <v>109.1</v>
      </c>
      <c r="M250" s="239">
        <v>70.0</v>
      </c>
      <c r="N250" s="239">
        <v>14.0</v>
      </c>
      <c r="O250" s="239">
        <v>43.65</v>
      </c>
      <c r="P250" s="239">
        <v>70.0</v>
      </c>
      <c r="Q250" s="239">
        <v>28.0</v>
      </c>
      <c r="R250" s="239">
        <v>55.94</v>
      </c>
      <c r="S250" s="239">
        <v>84.0</v>
      </c>
      <c r="T250" s="239">
        <v>140.0</v>
      </c>
      <c r="U250" s="239">
        <v>98.0</v>
      </c>
      <c r="V250" s="239">
        <v>103.15</v>
      </c>
      <c r="W250" s="239">
        <v>98.0</v>
      </c>
      <c r="X250" s="239">
        <v>238.0</v>
      </c>
      <c r="Y250" s="239">
        <v>74.35</v>
      </c>
      <c r="Z250" s="239">
        <v>1680.0</v>
      </c>
      <c r="AA250" s="239">
        <v>168.0</v>
      </c>
      <c r="AB250" s="239">
        <v>42.0</v>
      </c>
      <c r="AC250" s="239">
        <v>313.53</v>
      </c>
      <c r="AD250" s="233">
        <f t="shared" si="80"/>
        <v>3999.61</v>
      </c>
    </row>
    <row r="251">
      <c r="A251" s="225" t="s">
        <v>318</v>
      </c>
      <c r="B251" s="239">
        <v>836.0</v>
      </c>
      <c r="C251" s="239">
        <v>986.57</v>
      </c>
      <c r="D251" s="239">
        <v>965.3</v>
      </c>
      <c r="E251" s="239">
        <v>1216.43</v>
      </c>
      <c r="F251" s="239">
        <v>852.5</v>
      </c>
      <c r="G251" s="239">
        <v>820.21</v>
      </c>
      <c r="H251" s="239">
        <v>769.53</v>
      </c>
      <c r="I251" s="239">
        <v>636.55</v>
      </c>
      <c r="J251" s="239">
        <v>594.0</v>
      </c>
      <c r="K251" s="239">
        <v>874.99</v>
      </c>
      <c r="L251" s="239">
        <v>1028.5</v>
      </c>
      <c r="M251" s="239">
        <v>1310.8</v>
      </c>
      <c r="N251" s="239">
        <v>1054.42</v>
      </c>
      <c r="O251" s="239">
        <v>878.92</v>
      </c>
      <c r="P251" s="239">
        <v>802.92</v>
      </c>
      <c r="Q251" s="239">
        <v>770.0</v>
      </c>
      <c r="R251" s="239">
        <v>874.39</v>
      </c>
      <c r="S251" s="239">
        <v>1210.0</v>
      </c>
      <c r="T251" s="239">
        <v>1071.14</v>
      </c>
      <c r="U251" s="239">
        <v>1210.0</v>
      </c>
      <c r="V251" s="239">
        <v>993.13</v>
      </c>
      <c r="W251" s="239">
        <v>1014.11</v>
      </c>
      <c r="X251" s="239">
        <v>2724.98</v>
      </c>
      <c r="Y251" s="239">
        <v>1396.38</v>
      </c>
      <c r="Z251" s="239">
        <v>1386.0</v>
      </c>
      <c r="AA251" s="239">
        <v>1216.42</v>
      </c>
      <c r="AB251" s="239">
        <v>902.0</v>
      </c>
      <c r="AC251" s="239">
        <v>4260.67</v>
      </c>
      <c r="AD251" s="233">
        <f t="shared" si="80"/>
        <v>32656.86</v>
      </c>
    </row>
    <row r="252">
      <c r="A252" s="225" t="s">
        <v>319</v>
      </c>
      <c r="B252" s="239">
        <v>1141.0</v>
      </c>
      <c r="C252" s="239">
        <v>1125.73</v>
      </c>
      <c r="D252" s="239">
        <v>828.57</v>
      </c>
      <c r="E252" s="239">
        <v>1127.67</v>
      </c>
      <c r="F252" s="239">
        <v>1680.0</v>
      </c>
      <c r="G252" s="239">
        <v>1120.0</v>
      </c>
      <c r="H252" s="239">
        <v>1281.92</v>
      </c>
      <c r="I252" s="239">
        <v>560.0</v>
      </c>
      <c r="J252" s="239">
        <v>630.0</v>
      </c>
      <c r="K252" s="239">
        <v>980.0</v>
      </c>
      <c r="L252" s="239">
        <v>980.0</v>
      </c>
      <c r="M252" s="239">
        <v>1890.0</v>
      </c>
      <c r="N252" s="239">
        <v>1260.0</v>
      </c>
      <c r="O252" s="239">
        <v>1364.81</v>
      </c>
      <c r="P252" s="239">
        <v>1911.0</v>
      </c>
      <c r="Q252" s="239">
        <v>700.0</v>
      </c>
      <c r="R252" s="239">
        <v>500.63</v>
      </c>
      <c r="S252" s="239">
        <v>1050.0</v>
      </c>
      <c r="T252" s="239">
        <v>1260.0</v>
      </c>
      <c r="U252" s="239">
        <v>931.0</v>
      </c>
      <c r="V252" s="239">
        <v>996.17</v>
      </c>
      <c r="W252" s="239">
        <v>490.0</v>
      </c>
      <c r="X252" s="239">
        <v>1540.0</v>
      </c>
      <c r="Y252" s="239">
        <v>1264.46</v>
      </c>
      <c r="Z252" s="239">
        <v>910.0</v>
      </c>
      <c r="AA252" s="239">
        <v>910.0</v>
      </c>
      <c r="AB252" s="239">
        <v>630.0</v>
      </c>
      <c r="AC252" s="239">
        <v>1191.3</v>
      </c>
      <c r="AD252" s="233">
        <f t="shared" si="80"/>
        <v>30254.26</v>
      </c>
    </row>
    <row r="253">
      <c r="A253" s="241" t="s">
        <v>121</v>
      </c>
      <c r="B253" s="237">
        <f>SUM(B249:B252)</f>
        <v>2075</v>
      </c>
      <c r="C253" s="237">
        <f t="shared" ref="C253:AC253" si="81">SUM(C248:C252)</f>
        <v>3464.49</v>
      </c>
      <c r="D253" s="237">
        <f t="shared" si="81"/>
        <v>3158.16</v>
      </c>
      <c r="E253" s="237">
        <f t="shared" si="81"/>
        <v>4157.84</v>
      </c>
      <c r="F253" s="237">
        <f t="shared" si="81"/>
        <v>4032.5</v>
      </c>
      <c r="G253" s="237">
        <f t="shared" si="81"/>
        <v>3348.99</v>
      </c>
      <c r="H253" s="237">
        <f t="shared" si="81"/>
        <v>3484.41</v>
      </c>
      <c r="I253" s="237">
        <f t="shared" si="81"/>
        <v>2419.77</v>
      </c>
      <c r="J253" s="237">
        <f t="shared" si="81"/>
        <v>2442</v>
      </c>
      <c r="K253" s="237">
        <f t="shared" si="81"/>
        <v>3108.24</v>
      </c>
      <c r="L253" s="237">
        <f t="shared" si="81"/>
        <v>3601.79</v>
      </c>
      <c r="M253" s="237">
        <f t="shared" si="81"/>
        <v>5237.98</v>
      </c>
      <c r="N253" s="237">
        <f t="shared" si="81"/>
        <v>3690.66</v>
      </c>
      <c r="O253" s="237">
        <f t="shared" si="81"/>
        <v>3948.87</v>
      </c>
      <c r="P253" s="237">
        <f t="shared" si="81"/>
        <v>3982.34</v>
      </c>
      <c r="Q253" s="237">
        <f t="shared" si="81"/>
        <v>2840.8</v>
      </c>
      <c r="R253" s="237">
        <f t="shared" si="81"/>
        <v>2868.21</v>
      </c>
      <c r="S253" s="237">
        <f t="shared" si="81"/>
        <v>3904</v>
      </c>
      <c r="T253" s="237">
        <f t="shared" si="81"/>
        <v>4142.48</v>
      </c>
      <c r="U253" s="237">
        <f t="shared" si="81"/>
        <v>3965.8</v>
      </c>
      <c r="V253" s="237">
        <f t="shared" si="81"/>
        <v>3531.79</v>
      </c>
      <c r="W253" s="237">
        <f t="shared" si="81"/>
        <v>2760.33</v>
      </c>
      <c r="X253" s="237">
        <f t="shared" si="81"/>
        <v>5901.98</v>
      </c>
      <c r="Y253" s="237">
        <f t="shared" si="81"/>
        <v>4286.2</v>
      </c>
      <c r="Z253" s="237">
        <f t="shared" si="81"/>
        <v>5824</v>
      </c>
      <c r="AA253" s="237">
        <f t="shared" si="81"/>
        <v>3695.38</v>
      </c>
      <c r="AB253" s="237">
        <f t="shared" si="81"/>
        <v>2702</v>
      </c>
      <c r="AC253" s="237">
        <f t="shared" si="81"/>
        <v>7447.61</v>
      </c>
      <c r="AD253" s="233">
        <f t="shared" si="80"/>
        <v>106023.62</v>
      </c>
    </row>
    <row r="254">
      <c r="A254" s="27"/>
      <c r="B254" s="238"/>
      <c r="C254" s="238"/>
      <c r="D254" s="238"/>
      <c r="E254" s="238"/>
      <c r="F254" s="238"/>
      <c r="G254" s="238"/>
      <c r="H254" s="238"/>
      <c r="I254" s="238"/>
      <c r="J254" s="238"/>
      <c r="K254" s="238"/>
      <c r="L254" s="238"/>
      <c r="M254" s="238"/>
      <c r="N254" s="238"/>
      <c r="O254" s="238"/>
      <c r="P254" s="238"/>
      <c r="Q254" s="238"/>
      <c r="R254" s="238"/>
      <c r="S254" s="238"/>
      <c r="T254" s="238"/>
      <c r="U254" s="238"/>
      <c r="V254" s="238"/>
      <c r="W254" s="238"/>
      <c r="X254" s="238"/>
      <c r="Y254" s="238"/>
      <c r="Z254" s="238"/>
      <c r="AA254" s="238"/>
      <c r="AB254" s="238"/>
      <c r="AC254" s="238"/>
      <c r="AD254" s="233"/>
    </row>
    <row r="255">
      <c r="A255" s="225" t="s">
        <v>321</v>
      </c>
      <c r="B255" s="232">
        <v>264.0</v>
      </c>
      <c r="C255" s="232">
        <v>240.0</v>
      </c>
      <c r="D255" s="232">
        <v>230.0</v>
      </c>
      <c r="E255" s="232">
        <v>312.0</v>
      </c>
      <c r="F255" s="232">
        <v>408.0</v>
      </c>
      <c r="G255" s="232">
        <v>216.0</v>
      </c>
      <c r="H255" s="232">
        <v>158.0</v>
      </c>
      <c r="I255" s="232">
        <v>144.0</v>
      </c>
      <c r="J255" s="232">
        <v>192.0</v>
      </c>
      <c r="K255" s="232">
        <v>312.0</v>
      </c>
      <c r="L255" s="232">
        <v>360.0</v>
      </c>
      <c r="M255" s="232">
        <v>312.0</v>
      </c>
      <c r="N255" s="232">
        <v>264.0</v>
      </c>
      <c r="O255" s="232">
        <v>215.23</v>
      </c>
      <c r="P255" s="232">
        <v>144.0</v>
      </c>
      <c r="Q255" s="232">
        <v>312.0</v>
      </c>
      <c r="R255" s="232">
        <v>168.0</v>
      </c>
      <c r="S255" s="232">
        <v>192.0</v>
      </c>
      <c r="T255" s="232">
        <v>360.0</v>
      </c>
      <c r="U255" s="232">
        <v>96.0</v>
      </c>
      <c r="V255" s="232">
        <v>72.0</v>
      </c>
      <c r="W255" s="232">
        <v>166.03</v>
      </c>
      <c r="X255" s="232">
        <v>167.23</v>
      </c>
      <c r="Y255" s="232">
        <v>72.0</v>
      </c>
      <c r="Z255" s="232">
        <v>192.0</v>
      </c>
      <c r="AA255" s="232">
        <v>288.0</v>
      </c>
      <c r="AB255" s="232">
        <v>264.0</v>
      </c>
      <c r="AC255" s="232">
        <v>430.8</v>
      </c>
      <c r="AD255" s="233">
        <f t="shared" ref="AD255:AD260" si="82">SUM(B255:AC255)</f>
        <v>6551.29</v>
      </c>
    </row>
    <row r="256">
      <c r="A256" s="225" t="s">
        <v>322</v>
      </c>
      <c r="B256" s="238">
        <v>0.0</v>
      </c>
      <c r="C256" s="238">
        <v>0.0</v>
      </c>
      <c r="D256" s="232">
        <v>0.0</v>
      </c>
      <c r="E256" s="232">
        <v>0.0</v>
      </c>
      <c r="F256" s="232">
        <v>0.0</v>
      </c>
      <c r="G256" s="232">
        <v>0.0</v>
      </c>
      <c r="H256" s="232">
        <v>0.0</v>
      </c>
      <c r="I256" s="232">
        <v>0.0</v>
      </c>
      <c r="J256" s="232">
        <v>0.0</v>
      </c>
      <c r="K256" s="232">
        <v>0.0</v>
      </c>
      <c r="L256" s="232">
        <v>0.0</v>
      </c>
      <c r="M256" s="232">
        <v>0.0</v>
      </c>
      <c r="N256" s="232">
        <v>0.0</v>
      </c>
      <c r="O256" s="232">
        <v>0.0</v>
      </c>
      <c r="P256" s="232">
        <v>0.0</v>
      </c>
      <c r="Q256" s="232">
        <v>0.0</v>
      </c>
      <c r="R256" s="232">
        <v>0.0</v>
      </c>
      <c r="S256" s="232">
        <v>0.0</v>
      </c>
      <c r="T256" s="232">
        <v>0.0</v>
      </c>
      <c r="U256" s="232">
        <v>0.0</v>
      </c>
      <c r="V256" s="232">
        <v>0.0</v>
      </c>
      <c r="W256" s="232">
        <v>0.0</v>
      </c>
      <c r="X256" s="232">
        <v>0.0</v>
      </c>
      <c r="Y256" s="232">
        <v>0.0</v>
      </c>
      <c r="Z256" s="232">
        <v>0.0</v>
      </c>
      <c r="AA256" s="232">
        <v>0.0</v>
      </c>
      <c r="AB256" s="232">
        <v>0.0</v>
      </c>
      <c r="AC256" s="232">
        <v>0.0</v>
      </c>
      <c r="AD256" s="233">
        <f t="shared" si="82"/>
        <v>0</v>
      </c>
    </row>
    <row r="257">
      <c r="A257" s="225" t="s">
        <v>323</v>
      </c>
      <c r="B257" s="232">
        <v>84.0</v>
      </c>
      <c r="C257" s="232">
        <v>70.0</v>
      </c>
      <c r="D257" s="232">
        <v>14.0</v>
      </c>
      <c r="E257" s="232">
        <v>126.0</v>
      </c>
      <c r="F257" s="232">
        <v>42.0</v>
      </c>
      <c r="G257" s="232">
        <v>28.0</v>
      </c>
      <c r="H257" s="232">
        <v>0.0</v>
      </c>
      <c r="I257" s="232">
        <v>28.0</v>
      </c>
      <c r="J257" s="232">
        <v>28.0</v>
      </c>
      <c r="K257" s="232">
        <v>28.0</v>
      </c>
      <c r="L257" s="232">
        <v>56.0</v>
      </c>
      <c r="M257" s="232">
        <v>28.0</v>
      </c>
      <c r="N257" s="232">
        <v>84.0</v>
      </c>
      <c r="O257" s="232">
        <v>14.0</v>
      </c>
      <c r="P257" s="232">
        <v>28.0</v>
      </c>
      <c r="Q257" s="232">
        <v>14.0</v>
      </c>
      <c r="R257" s="232">
        <v>0.0</v>
      </c>
      <c r="S257" s="232">
        <v>28.0</v>
      </c>
      <c r="T257" s="232">
        <v>112.0</v>
      </c>
      <c r="U257" s="232">
        <v>0.0</v>
      </c>
      <c r="V257" s="232">
        <v>14.0</v>
      </c>
      <c r="W257" s="239">
        <v>0.0</v>
      </c>
      <c r="X257" s="232">
        <v>14.0</v>
      </c>
      <c r="Y257" s="232">
        <v>56.0</v>
      </c>
      <c r="Z257" s="232">
        <v>70.0</v>
      </c>
      <c r="AA257" s="232">
        <v>0.0</v>
      </c>
      <c r="AB257" s="232">
        <v>26.34</v>
      </c>
      <c r="AC257" s="232">
        <v>434.0</v>
      </c>
      <c r="AD257" s="233">
        <f t="shared" si="82"/>
        <v>1426.34</v>
      </c>
    </row>
    <row r="258">
      <c r="A258" s="225" t="s">
        <v>324</v>
      </c>
      <c r="B258" s="232">
        <v>176.0</v>
      </c>
      <c r="C258" s="232">
        <v>110.0</v>
      </c>
      <c r="D258" s="232">
        <v>374.0</v>
      </c>
      <c r="E258" s="232">
        <v>198.0</v>
      </c>
      <c r="F258" s="232">
        <v>242.0</v>
      </c>
      <c r="G258" s="232">
        <v>132.0</v>
      </c>
      <c r="H258" s="232">
        <v>88.0</v>
      </c>
      <c r="I258" s="232">
        <v>132.0</v>
      </c>
      <c r="J258" s="232">
        <v>154.0</v>
      </c>
      <c r="K258" s="232">
        <v>192.5</v>
      </c>
      <c r="L258" s="232">
        <v>220.0</v>
      </c>
      <c r="M258" s="232">
        <v>176.0</v>
      </c>
      <c r="N258" s="232">
        <v>280.5</v>
      </c>
      <c r="O258" s="232">
        <v>147.8</v>
      </c>
      <c r="P258" s="232">
        <v>154.0</v>
      </c>
      <c r="Q258" s="232">
        <v>264.0</v>
      </c>
      <c r="R258" s="232">
        <v>264.0</v>
      </c>
      <c r="S258" s="232">
        <v>154.0</v>
      </c>
      <c r="T258" s="232">
        <v>302.5</v>
      </c>
      <c r="U258" s="232">
        <v>132.0</v>
      </c>
      <c r="V258" s="232">
        <v>22.0</v>
      </c>
      <c r="W258" s="232">
        <v>153.3</v>
      </c>
      <c r="X258" s="232">
        <v>351.3</v>
      </c>
      <c r="Y258" s="232">
        <v>154.0</v>
      </c>
      <c r="Z258" s="232">
        <v>242.0</v>
      </c>
      <c r="AA258" s="232">
        <v>220.0</v>
      </c>
      <c r="AB258" s="232">
        <v>110.0</v>
      </c>
      <c r="AC258" s="232">
        <v>3297.8</v>
      </c>
      <c r="AD258" s="233">
        <f t="shared" si="82"/>
        <v>8443.7</v>
      </c>
    </row>
    <row r="259">
      <c r="A259" s="225" t="s">
        <v>325</v>
      </c>
      <c r="B259" s="232">
        <v>560.0</v>
      </c>
      <c r="C259" s="232">
        <v>490.0</v>
      </c>
      <c r="D259" s="232">
        <v>350.0</v>
      </c>
      <c r="E259" s="232">
        <v>560.0</v>
      </c>
      <c r="F259" s="232">
        <v>770.0</v>
      </c>
      <c r="G259" s="232">
        <v>630.0</v>
      </c>
      <c r="H259" s="232">
        <v>280.0</v>
      </c>
      <c r="I259" s="232">
        <v>350.0</v>
      </c>
      <c r="J259" s="232">
        <v>70.0</v>
      </c>
      <c r="K259" s="232">
        <v>210.0</v>
      </c>
      <c r="L259" s="232">
        <v>210.0</v>
      </c>
      <c r="M259" s="232">
        <v>553.0</v>
      </c>
      <c r="N259" s="232">
        <v>140.0</v>
      </c>
      <c r="O259" s="232">
        <v>350.0</v>
      </c>
      <c r="P259" s="232">
        <v>210.0</v>
      </c>
      <c r="Q259" s="232">
        <v>700.0</v>
      </c>
      <c r="R259" s="232">
        <v>70.0</v>
      </c>
      <c r="S259" s="232">
        <v>350.0</v>
      </c>
      <c r="T259" s="232">
        <v>350.0</v>
      </c>
      <c r="U259" s="232">
        <v>210.0</v>
      </c>
      <c r="V259" s="232">
        <v>70.0</v>
      </c>
      <c r="W259" s="232">
        <v>140.0</v>
      </c>
      <c r="X259" s="232">
        <v>280.0</v>
      </c>
      <c r="Y259" s="232">
        <v>210.0</v>
      </c>
      <c r="Z259" s="232">
        <v>210.0</v>
      </c>
      <c r="AA259" s="232">
        <v>210.0</v>
      </c>
      <c r="AB259" s="232">
        <v>271.66</v>
      </c>
      <c r="AC259" s="232">
        <v>700.0</v>
      </c>
      <c r="AD259" s="233">
        <f t="shared" si="82"/>
        <v>9504.66</v>
      </c>
    </row>
    <row r="260">
      <c r="A260" s="241" t="s">
        <v>121</v>
      </c>
      <c r="B260" s="237">
        <f t="shared" ref="B260:AC260" si="83">SUM(B255:B259)</f>
        <v>1084</v>
      </c>
      <c r="C260" s="237">
        <f t="shared" si="83"/>
        <v>910</v>
      </c>
      <c r="D260" s="237">
        <f t="shared" si="83"/>
        <v>968</v>
      </c>
      <c r="E260" s="237">
        <f t="shared" si="83"/>
        <v>1196</v>
      </c>
      <c r="F260" s="237">
        <f t="shared" si="83"/>
        <v>1462</v>
      </c>
      <c r="G260" s="237">
        <f t="shared" si="83"/>
        <v>1006</v>
      </c>
      <c r="H260" s="237">
        <f t="shared" si="83"/>
        <v>526</v>
      </c>
      <c r="I260" s="237">
        <f t="shared" si="83"/>
        <v>654</v>
      </c>
      <c r="J260" s="237">
        <f t="shared" si="83"/>
        <v>444</v>
      </c>
      <c r="K260" s="237">
        <f t="shared" si="83"/>
        <v>742.5</v>
      </c>
      <c r="L260" s="237">
        <f t="shared" si="83"/>
        <v>846</v>
      </c>
      <c r="M260" s="237">
        <f t="shared" si="83"/>
        <v>1069</v>
      </c>
      <c r="N260" s="237">
        <f t="shared" si="83"/>
        <v>768.5</v>
      </c>
      <c r="O260" s="237">
        <f t="shared" si="83"/>
        <v>727.03</v>
      </c>
      <c r="P260" s="237">
        <f t="shared" si="83"/>
        <v>536</v>
      </c>
      <c r="Q260" s="237">
        <f t="shared" si="83"/>
        <v>1290</v>
      </c>
      <c r="R260" s="237">
        <f t="shared" si="83"/>
        <v>502</v>
      </c>
      <c r="S260" s="237">
        <f t="shared" si="83"/>
        <v>724</v>
      </c>
      <c r="T260" s="237">
        <f t="shared" si="83"/>
        <v>1124.5</v>
      </c>
      <c r="U260" s="237">
        <f t="shared" si="83"/>
        <v>438</v>
      </c>
      <c r="V260" s="237">
        <f t="shared" si="83"/>
        <v>178</v>
      </c>
      <c r="W260" s="237">
        <f t="shared" si="83"/>
        <v>459.33</v>
      </c>
      <c r="X260" s="237">
        <f t="shared" si="83"/>
        <v>812.53</v>
      </c>
      <c r="Y260" s="237">
        <f t="shared" si="83"/>
        <v>492</v>
      </c>
      <c r="Z260" s="237">
        <f t="shared" si="83"/>
        <v>714</v>
      </c>
      <c r="AA260" s="237">
        <f t="shared" si="83"/>
        <v>718</v>
      </c>
      <c r="AB260" s="237">
        <f t="shared" si="83"/>
        <v>672</v>
      </c>
      <c r="AC260" s="237">
        <f t="shared" si="83"/>
        <v>4862.6</v>
      </c>
      <c r="AD260" s="233">
        <f t="shared" si="82"/>
        <v>25925.99</v>
      </c>
    </row>
    <row r="261">
      <c r="A261" s="27"/>
      <c r="B261" s="238"/>
      <c r="C261" s="238"/>
      <c r="D261" s="238"/>
      <c r="E261" s="238"/>
      <c r="F261" s="238"/>
      <c r="G261" s="238"/>
      <c r="H261" s="238"/>
      <c r="I261" s="238"/>
      <c r="J261" s="238"/>
      <c r="K261" s="238"/>
      <c r="L261" s="238"/>
      <c r="M261" s="238"/>
      <c r="N261" s="238"/>
      <c r="O261" s="238"/>
      <c r="P261" s="238"/>
      <c r="Q261" s="238"/>
      <c r="R261" s="238"/>
      <c r="S261" s="238"/>
      <c r="T261" s="238"/>
      <c r="U261" s="238"/>
      <c r="V261" s="238"/>
      <c r="W261" s="238"/>
      <c r="X261" s="238"/>
      <c r="Y261" s="238"/>
      <c r="Z261" s="238"/>
      <c r="AA261" s="238"/>
      <c r="AB261" s="238"/>
      <c r="AC261" s="238"/>
      <c r="AD261" s="233"/>
    </row>
    <row r="262">
      <c r="A262" s="225" t="s">
        <v>327</v>
      </c>
      <c r="B262" s="235"/>
      <c r="C262" s="235"/>
      <c r="D262" s="235"/>
      <c r="E262" s="59"/>
      <c r="F262" s="235"/>
      <c r="G262" s="235"/>
      <c r="H262" s="235"/>
      <c r="I262" s="235"/>
      <c r="J262" s="235"/>
      <c r="K262" s="235"/>
      <c r="L262" s="235"/>
      <c r="M262" s="235"/>
      <c r="N262" s="235"/>
      <c r="O262" s="235"/>
      <c r="P262" s="235"/>
      <c r="Q262" s="235"/>
      <c r="R262" s="235"/>
      <c r="S262" s="235"/>
      <c r="T262" s="235"/>
      <c r="U262" s="235"/>
      <c r="V262" s="235"/>
      <c r="W262" s="235"/>
      <c r="X262" s="235"/>
      <c r="Y262" s="235"/>
      <c r="Z262" s="235"/>
      <c r="AA262" s="235"/>
      <c r="AB262" s="235"/>
      <c r="AC262" s="235"/>
      <c r="AD262" s="233">
        <f t="shared" ref="AD262:AD267" si="84">SUM(B262:AC262)</f>
        <v>0</v>
      </c>
    </row>
    <row r="263">
      <c r="A263" s="225" t="s">
        <v>328</v>
      </c>
      <c r="B263" s="235"/>
      <c r="C263" s="235"/>
      <c r="D263" s="59"/>
      <c r="E263" s="59"/>
      <c r="F263" s="235"/>
      <c r="G263" s="235"/>
      <c r="H263" s="235"/>
      <c r="I263" s="235"/>
      <c r="J263" s="235"/>
      <c r="K263" s="235"/>
      <c r="L263" s="235"/>
      <c r="M263" s="235"/>
      <c r="N263" s="235"/>
      <c r="O263" s="235"/>
      <c r="P263" s="235"/>
      <c r="Q263" s="235"/>
      <c r="R263" s="235"/>
      <c r="S263" s="235"/>
      <c r="T263" s="235"/>
      <c r="U263" s="235"/>
      <c r="V263" s="235"/>
      <c r="W263" s="235"/>
      <c r="X263" s="235"/>
      <c r="Y263" s="235"/>
      <c r="Z263" s="235"/>
      <c r="AA263" s="235"/>
      <c r="AB263" s="235"/>
      <c r="AC263" s="235"/>
      <c r="AD263" s="233">
        <f t="shared" si="84"/>
        <v>0</v>
      </c>
    </row>
    <row r="264">
      <c r="A264" s="225" t="s">
        <v>329</v>
      </c>
      <c r="B264" s="235"/>
      <c r="C264" s="235"/>
      <c r="D264" s="235"/>
      <c r="E264" s="59"/>
      <c r="F264" s="235"/>
      <c r="G264" s="235"/>
      <c r="H264" s="235"/>
      <c r="I264" s="235"/>
      <c r="J264" s="235"/>
      <c r="K264" s="235"/>
      <c r="L264" s="235"/>
      <c r="M264" s="235"/>
      <c r="N264" s="235"/>
      <c r="O264" s="235"/>
      <c r="P264" s="235"/>
      <c r="Q264" s="235"/>
      <c r="R264" s="235"/>
      <c r="S264" s="235"/>
      <c r="T264" s="235"/>
      <c r="U264" s="235"/>
      <c r="V264" s="235"/>
      <c r="W264" s="235"/>
      <c r="X264" s="235"/>
      <c r="Y264" s="235"/>
      <c r="Z264" s="235"/>
      <c r="AA264" s="235"/>
      <c r="AB264" s="235"/>
      <c r="AC264" s="235"/>
      <c r="AD264" s="233">
        <f t="shared" si="84"/>
        <v>0</v>
      </c>
    </row>
    <row r="265">
      <c r="A265" s="225" t="s">
        <v>330</v>
      </c>
      <c r="B265" s="236">
        <v>22.0</v>
      </c>
      <c r="C265" s="235"/>
      <c r="D265" s="235"/>
      <c r="E265" s="235"/>
      <c r="F265" s="235"/>
      <c r="G265" s="235"/>
      <c r="H265" s="235"/>
      <c r="I265" s="235"/>
      <c r="J265" s="235"/>
      <c r="K265" s="235"/>
      <c r="L265" s="235"/>
      <c r="M265" s="235"/>
      <c r="N265" s="235"/>
      <c r="O265" s="235"/>
      <c r="P265" s="235"/>
      <c r="Q265" s="235"/>
      <c r="R265" s="235"/>
      <c r="S265" s="235"/>
      <c r="T265" s="235"/>
      <c r="U265" s="235"/>
      <c r="V265" s="235"/>
      <c r="W265" s="235"/>
      <c r="X265" s="235"/>
      <c r="Y265" s="235"/>
      <c r="Z265" s="235"/>
      <c r="AA265" s="235"/>
      <c r="AB265" s="235"/>
      <c r="AC265" s="235"/>
      <c r="AD265" s="233">
        <f t="shared" si="84"/>
        <v>22</v>
      </c>
    </row>
    <row r="266">
      <c r="A266" s="225" t="s">
        <v>331</v>
      </c>
      <c r="B266" s="235"/>
      <c r="C266" s="235"/>
      <c r="D266" s="235"/>
      <c r="E266" s="235"/>
      <c r="F266" s="235"/>
      <c r="G266" s="235"/>
      <c r="H266" s="235"/>
      <c r="I266" s="59" t="s">
        <v>335</v>
      </c>
      <c r="J266" s="235"/>
      <c r="K266" s="235"/>
      <c r="L266" s="235"/>
      <c r="M266" s="235"/>
      <c r="N266" s="235"/>
      <c r="O266" s="235"/>
      <c r="P266" s="235"/>
      <c r="Q266" s="235"/>
      <c r="R266" s="235"/>
      <c r="S266" s="235"/>
      <c r="T266" s="235"/>
      <c r="U266" s="235"/>
      <c r="V266" s="235"/>
      <c r="W266" s="235"/>
      <c r="X266" s="235"/>
      <c r="Y266" s="235"/>
      <c r="Z266" s="235"/>
      <c r="AA266" s="235"/>
      <c r="AB266" s="235"/>
      <c r="AC266" s="235"/>
      <c r="AD266" s="233">
        <f t="shared" si="84"/>
        <v>0</v>
      </c>
    </row>
    <row r="267">
      <c r="A267" s="241" t="s">
        <v>121</v>
      </c>
      <c r="B267" s="237">
        <f t="shared" ref="B267:AC267" si="85">SUM(B262:B266)</f>
        <v>22</v>
      </c>
      <c r="C267" s="237">
        <f t="shared" si="85"/>
        <v>0</v>
      </c>
      <c r="D267" s="237">
        <f t="shared" si="85"/>
        <v>0</v>
      </c>
      <c r="E267" s="237">
        <f t="shared" si="85"/>
        <v>0</v>
      </c>
      <c r="F267" s="237">
        <f t="shared" si="85"/>
        <v>0</v>
      </c>
      <c r="G267" s="237">
        <f t="shared" si="85"/>
        <v>0</v>
      </c>
      <c r="H267" s="237">
        <f t="shared" si="85"/>
        <v>0</v>
      </c>
      <c r="I267" s="237">
        <f t="shared" si="85"/>
        <v>0</v>
      </c>
      <c r="J267" s="237">
        <f t="shared" si="85"/>
        <v>0</v>
      </c>
      <c r="K267" s="237">
        <f t="shared" si="85"/>
        <v>0</v>
      </c>
      <c r="L267" s="237">
        <f t="shared" si="85"/>
        <v>0</v>
      </c>
      <c r="M267" s="237">
        <f t="shared" si="85"/>
        <v>0</v>
      </c>
      <c r="N267" s="237">
        <f t="shared" si="85"/>
        <v>0</v>
      </c>
      <c r="O267" s="237">
        <f t="shared" si="85"/>
        <v>0</v>
      </c>
      <c r="P267" s="237">
        <f t="shared" si="85"/>
        <v>0</v>
      </c>
      <c r="Q267" s="237">
        <f t="shared" si="85"/>
        <v>0</v>
      </c>
      <c r="R267" s="237">
        <f t="shared" si="85"/>
        <v>0</v>
      </c>
      <c r="S267" s="237">
        <f t="shared" si="85"/>
        <v>0</v>
      </c>
      <c r="T267" s="237">
        <f t="shared" si="85"/>
        <v>0</v>
      </c>
      <c r="U267" s="237">
        <f t="shared" si="85"/>
        <v>0</v>
      </c>
      <c r="V267" s="237">
        <f t="shared" si="85"/>
        <v>0</v>
      </c>
      <c r="W267" s="237">
        <f t="shared" si="85"/>
        <v>0</v>
      </c>
      <c r="X267" s="237">
        <f t="shared" si="85"/>
        <v>0</v>
      </c>
      <c r="Y267" s="237">
        <f t="shared" si="85"/>
        <v>0</v>
      </c>
      <c r="Z267" s="237">
        <f t="shared" si="85"/>
        <v>0</v>
      </c>
      <c r="AA267" s="237">
        <f t="shared" si="85"/>
        <v>0</v>
      </c>
      <c r="AB267" s="237">
        <f t="shared" si="85"/>
        <v>0</v>
      </c>
      <c r="AC267" s="237">
        <f t="shared" si="85"/>
        <v>0</v>
      </c>
      <c r="AD267" s="233">
        <f t="shared" si="84"/>
        <v>22</v>
      </c>
    </row>
    <row r="268">
      <c r="A268" s="213"/>
      <c r="AD268" s="233"/>
    </row>
    <row r="269">
      <c r="A269" s="225" t="s">
        <v>336</v>
      </c>
      <c r="B269" s="235"/>
      <c r="C269" s="235"/>
      <c r="D269" s="235"/>
      <c r="E269" s="235"/>
      <c r="F269" s="235"/>
      <c r="G269" s="235"/>
      <c r="H269" s="235"/>
      <c r="I269" s="235"/>
      <c r="J269" s="235"/>
      <c r="K269" s="235"/>
      <c r="L269" s="235"/>
      <c r="M269" s="59"/>
      <c r="N269" s="59"/>
      <c r="O269" s="59"/>
      <c r="P269" s="59"/>
      <c r="Q269" s="59"/>
      <c r="R269" s="59"/>
      <c r="S269" s="73"/>
      <c r="T269" s="59"/>
      <c r="U269" s="73"/>
      <c r="V269" s="235"/>
      <c r="W269" s="235"/>
      <c r="X269" s="73"/>
      <c r="Y269" s="235"/>
      <c r="Z269" s="235"/>
      <c r="AA269" s="235"/>
      <c r="AB269" s="235"/>
      <c r="AC269" s="235"/>
      <c r="AD269" s="233">
        <f t="shared" ref="AD269:AD271" si="86">SUM(B269:AC269)</f>
        <v>0</v>
      </c>
    </row>
    <row r="270">
      <c r="A270" s="225" t="s">
        <v>337</v>
      </c>
      <c r="B270" s="235"/>
      <c r="C270" s="235"/>
      <c r="D270" s="235"/>
      <c r="E270" s="235"/>
      <c r="F270" s="235"/>
      <c r="G270" s="235"/>
      <c r="H270" s="235"/>
      <c r="I270" s="235"/>
      <c r="J270" s="235"/>
      <c r="K270" s="235"/>
      <c r="L270" s="235"/>
      <c r="M270" s="235"/>
      <c r="N270" s="235"/>
      <c r="O270" s="235"/>
      <c r="P270" s="235"/>
      <c r="Q270" s="235"/>
      <c r="R270" s="235"/>
      <c r="S270" s="235"/>
      <c r="T270" s="235"/>
      <c r="U270" s="235"/>
      <c r="V270" s="235"/>
      <c r="W270" s="235"/>
      <c r="X270" s="235"/>
      <c r="Y270" s="235"/>
      <c r="Z270" s="235"/>
      <c r="AA270" s="235"/>
      <c r="AB270" s="235"/>
      <c r="AC270" s="235"/>
      <c r="AD270" s="233">
        <f t="shared" si="86"/>
        <v>0</v>
      </c>
    </row>
    <row r="271">
      <c r="A271" s="241" t="s">
        <v>121</v>
      </c>
      <c r="B271" s="237">
        <f t="shared" ref="B271:AC271" si="87">SUM(B269:B270)</f>
        <v>0</v>
      </c>
      <c r="C271" s="237">
        <f t="shared" si="87"/>
        <v>0</v>
      </c>
      <c r="D271" s="237">
        <f t="shared" si="87"/>
        <v>0</v>
      </c>
      <c r="E271" s="237">
        <f t="shared" si="87"/>
        <v>0</v>
      </c>
      <c r="F271" s="237">
        <f t="shared" si="87"/>
        <v>0</v>
      </c>
      <c r="G271" s="237">
        <f t="shared" si="87"/>
        <v>0</v>
      </c>
      <c r="H271" s="237">
        <f t="shared" si="87"/>
        <v>0</v>
      </c>
      <c r="I271" s="237">
        <f t="shared" si="87"/>
        <v>0</v>
      </c>
      <c r="J271" s="237">
        <f t="shared" si="87"/>
        <v>0</v>
      </c>
      <c r="K271" s="237">
        <f t="shared" si="87"/>
        <v>0</v>
      </c>
      <c r="L271" s="237">
        <f t="shared" si="87"/>
        <v>0</v>
      </c>
      <c r="M271" s="237">
        <f t="shared" si="87"/>
        <v>0</v>
      </c>
      <c r="N271" s="237">
        <f t="shared" si="87"/>
        <v>0</v>
      </c>
      <c r="O271" s="237">
        <f t="shared" si="87"/>
        <v>0</v>
      </c>
      <c r="P271" s="237">
        <f t="shared" si="87"/>
        <v>0</v>
      </c>
      <c r="Q271" s="237">
        <f t="shared" si="87"/>
        <v>0</v>
      </c>
      <c r="R271" s="237">
        <f t="shared" si="87"/>
        <v>0</v>
      </c>
      <c r="S271" s="237">
        <f t="shared" si="87"/>
        <v>0</v>
      </c>
      <c r="T271" s="237">
        <f t="shared" si="87"/>
        <v>0</v>
      </c>
      <c r="U271" s="237">
        <f t="shared" si="87"/>
        <v>0</v>
      </c>
      <c r="V271" s="237">
        <f t="shared" si="87"/>
        <v>0</v>
      </c>
      <c r="W271" s="237">
        <f t="shared" si="87"/>
        <v>0</v>
      </c>
      <c r="X271" s="237">
        <f t="shared" si="87"/>
        <v>0</v>
      </c>
      <c r="Y271" s="237">
        <f t="shared" si="87"/>
        <v>0</v>
      </c>
      <c r="Z271" s="237">
        <f t="shared" si="87"/>
        <v>0</v>
      </c>
      <c r="AA271" s="237">
        <f t="shared" si="87"/>
        <v>0</v>
      </c>
      <c r="AB271" s="237">
        <f t="shared" si="87"/>
        <v>0</v>
      </c>
      <c r="AC271" s="237">
        <f t="shared" si="87"/>
        <v>0</v>
      </c>
      <c r="AD271" s="233">
        <f t="shared" si="86"/>
        <v>0</v>
      </c>
    </row>
    <row r="272">
      <c r="A272" s="213"/>
      <c r="AD272" s="222"/>
    </row>
    <row r="273">
      <c r="A273" s="225" t="s">
        <v>301</v>
      </c>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233">
        <f t="shared" ref="AD273:AD275" si="88">SUM(B273:AC273)</f>
        <v>0</v>
      </c>
    </row>
    <row r="274">
      <c r="A274" s="225" t="s">
        <v>302</v>
      </c>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233">
        <f t="shared" si="88"/>
        <v>0</v>
      </c>
    </row>
    <row r="275">
      <c r="A275" s="241" t="s">
        <v>121</v>
      </c>
      <c r="B275" s="237">
        <f t="shared" ref="B275:AC275" si="89">sum(B273:B274)</f>
        <v>0</v>
      </c>
      <c r="C275" s="237">
        <f t="shared" si="89"/>
        <v>0</v>
      </c>
      <c r="D275" s="237">
        <f t="shared" si="89"/>
        <v>0</v>
      </c>
      <c r="E275" s="237">
        <f t="shared" si="89"/>
        <v>0</v>
      </c>
      <c r="F275" s="237">
        <f t="shared" si="89"/>
        <v>0</v>
      </c>
      <c r="G275" s="237">
        <f t="shared" si="89"/>
        <v>0</v>
      </c>
      <c r="H275" s="237">
        <f t="shared" si="89"/>
        <v>0</v>
      </c>
      <c r="I275" s="237">
        <f t="shared" si="89"/>
        <v>0</v>
      </c>
      <c r="J275" s="237">
        <f t="shared" si="89"/>
        <v>0</v>
      </c>
      <c r="K275" s="237">
        <f t="shared" si="89"/>
        <v>0</v>
      </c>
      <c r="L275" s="237">
        <f t="shared" si="89"/>
        <v>0</v>
      </c>
      <c r="M275" s="237">
        <f t="shared" si="89"/>
        <v>0</v>
      </c>
      <c r="N275" s="237">
        <f t="shared" si="89"/>
        <v>0</v>
      </c>
      <c r="O275" s="237">
        <f t="shared" si="89"/>
        <v>0</v>
      </c>
      <c r="P275" s="237">
        <f t="shared" si="89"/>
        <v>0</v>
      </c>
      <c r="Q275" s="237">
        <f t="shared" si="89"/>
        <v>0</v>
      </c>
      <c r="R275" s="237">
        <f t="shared" si="89"/>
        <v>0</v>
      </c>
      <c r="S275" s="237">
        <f t="shared" si="89"/>
        <v>0</v>
      </c>
      <c r="T275" s="237">
        <f t="shared" si="89"/>
        <v>0</v>
      </c>
      <c r="U275" s="237">
        <f t="shared" si="89"/>
        <v>0</v>
      </c>
      <c r="V275" s="237">
        <f t="shared" si="89"/>
        <v>0</v>
      </c>
      <c r="W275" s="237">
        <f t="shared" si="89"/>
        <v>0</v>
      </c>
      <c r="X275" s="237">
        <f t="shared" si="89"/>
        <v>0</v>
      </c>
      <c r="Y275" s="237">
        <f t="shared" si="89"/>
        <v>0</v>
      </c>
      <c r="Z275" s="237">
        <f t="shared" si="89"/>
        <v>0</v>
      </c>
      <c r="AA275" s="237">
        <f t="shared" si="89"/>
        <v>0</v>
      </c>
      <c r="AB275" s="237">
        <f t="shared" si="89"/>
        <v>0</v>
      </c>
      <c r="AC275" s="237">
        <f t="shared" si="89"/>
        <v>0</v>
      </c>
      <c r="AD275" s="233">
        <f t="shared" si="88"/>
        <v>0</v>
      </c>
    </row>
    <row r="276">
      <c r="A276" s="213"/>
      <c r="B276" s="242"/>
      <c r="C276" s="242"/>
      <c r="D276" s="242"/>
      <c r="E276" s="242"/>
      <c r="F276" s="242"/>
      <c r="G276" s="242"/>
      <c r="H276" s="242"/>
      <c r="I276" s="242"/>
      <c r="J276" s="242"/>
      <c r="K276" s="242"/>
      <c r="L276" s="242"/>
      <c r="M276" s="242"/>
      <c r="N276" s="242"/>
      <c r="O276" s="242"/>
      <c r="P276" s="242"/>
      <c r="Q276" s="242"/>
      <c r="R276" s="242"/>
      <c r="S276" s="242"/>
      <c r="T276" s="242"/>
      <c r="U276" s="242"/>
      <c r="V276" s="242"/>
      <c r="W276" s="242"/>
      <c r="X276" s="242"/>
      <c r="Y276" s="242"/>
      <c r="Z276" s="242"/>
      <c r="AA276" s="242"/>
      <c r="AB276" s="242"/>
      <c r="AC276" s="242"/>
      <c r="AD276" s="222"/>
    </row>
    <row r="277">
      <c r="A277" s="225" t="s">
        <v>338</v>
      </c>
      <c r="B277" s="193">
        <v>1446.0</v>
      </c>
      <c r="C277" s="193">
        <v>299.0</v>
      </c>
      <c r="D277" s="193">
        <v>598.0</v>
      </c>
      <c r="E277" s="193">
        <v>598.0</v>
      </c>
      <c r="F277" s="193">
        <v>1196.0</v>
      </c>
      <c r="G277" s="193">
        <v>897.0</v>
      </c>
      <c r="H277" s="193">
        <v>897.0</v>
      </c>
      <c r="I277" s="193">
        <v>598.0</v>
      </c>
      <c r="J277" s="193">
        <v>598.0</v>
      </c>
      <c r="K277" s="193">
        <v>897.0</v>
      </c>
      <c r="L277" s="193">
        <v>598.0</v>
      </c>
      <c r="M277" s="193">
        <v>897.0</v>
      </c>
      <c r="N277" s="239">
        <v>0.0</v>
      </c>
      <c r="O277" s="193">
        <v>598.0</v>
      </c>
      <c r="P277" s="193">
        <v>598.0</v>
      </c>
      <c r="Q277" s="239">
        <v>0.0</v>
      </c>
      <c r="R277" s="193">
        <v>299.0</v>
      </c>
      <c r="S277" s="193">
        <v>897.0</v>
      </c>
      <c r="T277" s="193">
        <v>897.0</v>
      </c>
      <c r="U277" s="193">
        <v>1196.0</v>
      </c>
      <c r="V277" s="193">
        <v>598.0</v>
      </c>
      <c r="W277" s="193">
        <v>1495.0</v>
      </c>
      <c r="X277" s="193">
        <v>897.0</v>
      </c>
      <c r="Y277" s="193">
        <v>0.0</v>
      </c>
      <c r="Z277" s="193">
        <v>1196.0</v>
      </c>
      <c r="AA277" s="193">
        <v>897.0</v>
      </c>
      <c r="AB277" s="193">
        <v>1480.05</v>
      </c>
      <c r="AC277" s="193">
        <v>1495.0</v>
      </c>
      <c r="AD277" s="233">
        <f t="shared" ref="AD277:AD278" si="91">sum(B277:AC277)</f>
        <v>22062.05</v>
      </c>
    </row>
    <row r="278">
      <c r="A278" s="241" t="s">
        <v>339</v>
      </c>
      <c r="B278" s="237">
        <f t="shared" ref="B278:AC278" si="90">B277</f>
        <v>1446</v>
      </c>
      <c r="C278" s="237">
        <f t="shared" si="90"/>
        <v>299</v>
      </c>
      <c r="D278" s="237">
        <f t="shared" si="90"/>
        <v>598</v>
      </c>
      <c r="E278" s="237">
        <f t="shared" si="90"/>
        <v>598</v>
      </c>
      <c r="F278" s="237">
        <f t="shared" si="90"/>
        <v>1196</v>
      </c>
      <c r="G278" s="237">
        <f t="shared" si="90"/>
        <v>897</v>
      </c>
      <c r="H278" s="237">
        <f t="shared" si="90"/>
        <v>897</v>
      </c>
      <c r="I278" s="237">
        <f t="shared" si="90"/>
        <v>598</v>
      </c>
      <c r="J278" s="237">
        <f t="shared" si="90"/>
        <v>598</v>
      </c>
      <c r="K278" s="237">
        <f t="shared" si="90"/>
        <v>897</v>
      </c>
      <c r="L278" s="237">
        <f t="shared" si="90"/>
        <v>598</v>
      </c>
      <c r="M278" s="237">
        <f t="shared" si="90"/>
        <v>897</v>
      </c>
      <c r="N278" s="237">
        <f t="shared" si="90"/>
        <v>0</v>
      </c>
      <c r="O278" s="237">
        <f t="shared" si="90"/>
        <v>598</v>
      </c>
      <c r="P278" s="237">
        <f t="shared" si="90"/>
        <v>598</v>
      </c>
      <c r="Q278" s="237">
        <f t="shared" si="90"/>
        <v>0</v>
      </c>
      <c r="R278" s="237">
        <f t="shared" si="90"/>
        <v>299</v>
      </c>
      <c r="S278" s="237">
        <f t="shared" si="90"/>
        <v>897</v>
      </c>
      <c r="T278" s="237">
        <f t="shared" si="90"/>
        <v>897</v>
      </c>
      <c r="U278" s="237">
        <f t="shared" si="90"/>
        <v>1196</v>
      </c>
      <c r="V278" s="237">
        <f t="shared" si="90"/>
        <v>598</v>
      </c>
      <c r="W278" s="237">
        <f t="shared" si="90"/>
        <v>1495</v>
      </c>
      <c r="X278" s="237">
        <f t="shared" si="90"/>
        <v>897</v>
      </c>
      <c r="Y278" s="237">
        <f t="shared" si="90"/>
        <v>0</v>
      </c>
      <c r="Z278" s="237">
        <f t="shared" si="90"/>
        <v>1196</v>
      </c>
      <c r="AA278" s="237">
        <f t="shared" si="90"/>
        <v>897</v>
      </c>
      <c r="AB278" s="237">
        <f t="shared" si="90"/>
        <v>1480.05</v>
      </c>
      <c r="AC278" s="237">
        <f t="shared" si="90"/>
        <v>1495</v>
      </c>
      <c r="AD278" s="233">
        <f t="shared" si="91"/>
        <v>22062.05</v>
      </c>
    </row>
    <row r="279">
      <c r="A279" s="213"/>
      <c r="J279" s="2" t="s">
        <v>340</v>
      </c>
      <c r="AD279" s="222"/>
    </row>
    <row r="280">
      <c r="A280" s="160" t="s">
        <v>341</v>
      </c>
      <c r="B280" s="157"/>
      <c r="C280" s="157"/>
      <c r="D280" s="157"/>
      <c r="E280" s="157"/>
      <c r="F280" s="157"/>
      <c r="G280" s="157"/>
      <c r="H280" s="157"/>
      <c r="I280" s="23"/>
      <c r="J280" s="23"/>
      <c r="K280" s="23"/>
      <c r="L280" s="23"/>
      <c r="M280" s="23"/>
      <c r="N280" s="23"/>
      <c r="O280" s="23"/>
      <c r="P280" s="23"/>
      <c r="Q280" s="23"/>
      <c r="R280" s="23"/>
      <c r="S280" s="23"/>
      <c r="T280" s="23"/>
      <c r="U280" s="23"/>
      <c r="V280" s="23"/>
      <c r="W280" s="23"/>
      <c r="X280" s="23"/>
      <c r="Y280" s="23"/>
      <c r="Z280" s="23"/>
      <c r="AA280" s="23"/>
      <c r="AB280" s="23"/>
      <c r="AC280" s="23"/>
      <c r="AD280" s="181"/>
    </row>
    <row r="281">
      <c r="A281" s="243" t="s">
        <v>308</v>
      </c>
      <c r="B281" s="226">
        <v>6.0</v>
      </c>
      <c r="C281" s="203">
        <v>0.0</v>
      </c>
      <c r="D281" s="226">
        <v>3.0</v>
      </c>
      <c r="E281" s="226">
        <v>1.0</v>
      </c>
      <c r="F281" s="226">
        <v>1.0</v>
      </c>
      <c r="G281" s="226">
        <v>3.0</v>
      </c>
      <c r="H281" s="226">
        <v>3.0</v>
      </c>
      <c r="I281" s="226">
        <v>3.0</v>
      </c>
      <c r="J281" s="226">
        <v>4.0</v>
      </c>
      <c r="K281" s="226">
        <v>3.0</v>
      </c>
      <c r="L281" s="226">
        <v>4.0</v>
      </c>
      <c r="M281" s="226">
        <v>6.0</v>
      </c>
      <c r="N281" s="226">
        <v>0.0</v>
      </c>
      <c r="O281" s="226">
        <v>6.0</v>
      </c>
      <c r="P281" s="226">
        <v>7.0</v>
      </c>
      <c r="Q281" s="226">
        <v>4.0</v>
      </c>
      <c r="R281" s="226">
        <v>10.0</v>
      </c>
      <c r="S281" s="226">
        <v>7.0</v>
      </c>
      <c r="T281" s="226">
        <v>1.0</v>
      </c>
      <c r="U281" s="226">
        <v>1.0</v>
      </c>
      <c r="V281" s="226">
        <v>0.0</v>
      </c>
      <c r="W281" s="226">
        <v>0.0</v>
      </c>
      <c r="X281" s="226">
        <v>0.0</v>
      </c>
      <c r="Y281" s="226">
        <v>0.0</v>
      </c>
      <c r="Z281" s="226">
        <v>0.0</v>
      </c>
      <c r="AA281" s="226">
        <v>0.0</v>
      </c>
      <c r="AB281" s="226">
        <v>0.0</v>
      </c>
      <c r="AC281" s="226">
        <v>0.0</v>
      </c>
      <c r="AD281" s="186">
        <f t="shared" ref="AD281:AD288" si="92">SUM(B281:AC281)</f>
        <v>73</v>
      </c>
    </row>
    <row r="282">
      <c r="A282" s="243" t="s">
        <v>309</v>
      </c>
      <c r="B282" s="203">
        <v>0.0</v>
      </c>
      <c r="C282" s="226">
        <v>1.0</v>
      </c>
      <c r="D282" s="226">
        <v>3.0</v>
      </c>
      <c r="E282" s="226">
        <v>3.0</v>
      </c>
      <c r="F282" s="226">
        <v>0.0</v>
      </c>
      <c r="G282" s="226">
        <v>2.0</v>
      </c>
      <c r="H282" s="226">
        <v>0.0</v>
      </c>
      <c r="I282" s="226">
        <v>1.0</v>
      </c>
      <c r="J282" s="226">
        <v>1.0</v>
      </c>
      <c r="K282" s="226">
        <v>0.0</v>
      </c>
      <c r="L282" s="226">
        <v>6.0</v>
      </c>
      <c r="M282" s="226">
        <v>0.0</v>
      </c>
      <c r="N282" s="226">
        <v>4.0</v>
      </c>
      <c r="O282" s="226">
        <v>5.0</v>
      </c>
      <c r="P282" s="226">
        <v>4.0</v>
      </c>
      <c r="Q282" s="226">
        <v>0.0</v>
      </c>
      <c r="R282" s="226">
        <v>11.0</v>
      </c>
      <c r="S282" s="226">
        <v>6.0</v>
      </c>
      <c r="T282" s="226">
        <v>6.0</v>
      </c>
      <c r="U282" s="226">
        <v>1.0</v>
      </c>
      <c r="V282" s="226">
        <v>0.0</v>
      </c>
      <c r="W282" s="226">
        <v>2.0</v>
      </c>
      <c r="X282" s="226">
        <v>0.0</v>
      </c>
      <c r="Y282" s="226">
        <v>0.0</v>
      </c>
      <c r="Z282" s="226">
        <v>0.0</v>
      </c>
      <c r="AA282" s="226">
        <v>0.0</v>
      </c>
      <c r="AB282" s="226">
        <v>0.0</v>
      </c>
      <c r="AC282" s="226">
        <v>0.0</v>
      </c>
      <c r="AD282" s="186">
        <f t="shared" si="92"/>
        <v>56</v>
      </c>
    </row>
    <row r="283">
      <c r="A283" s="243" t="s">
        <v>310</v>
      </c>
      <c r="B283" s="203">
        <v>1.0</v>
      </c>
      <c r="C283" s="203">
        <v>0.0</v>
      </c>
      <c r="D283" s="226">
        <v>1.0</v>
      </c>
      <c r="E283" s="226">
        <v>0.0</v>
      </c>
      <c r="F283" s="226">
        <v>1.0</v>
      </c>
      <c r="G283" s="226">
        <v>0.0</v>
      </c>
      <c r="H283" s="226">
        <v>0.0</v>
      </c>
      <c r="I283" s="226">
        <v>1.0</v>
      </c>
      <c r="J283" s="226">
        <v>1.0</v>
      </c>
      <c r="K283" s="226">
        <v>0.0</v>
      </c>
      <c r="L283" s="226">
        <v>0.0</v>
      </c>
      <c r="M283" s="226">
        <v>0.0</v>
      </c>
      <c r="N283" s="226">
        <v>0.0</v>
      </c>
      <c r="O283" s="226">
        <v>0.0</v>
      </c>
      <c r="P283" s="226">
        <v>0.0</v>
      </c>
      <c r="Q283" s="226">
        <v>0.0</v>
      </c>
      <c r="R283" s="226">
        <v>0.0</v>
      </c>
      <c r="S283" s="226">
        <v>0.0</v>
      </c>
      <c r="T283" s="226">
        <v>0.0</v>
      </c>
      <c r="U283" s="226">
        <v>2.0</v>
      </c>
      <c r="V283" s="226">
        <v>0.0</v>
      </c>
      <c r="W283" s="226">
        <v>0.0</v>
      </c>
      <c r="X283" s="226">
        <v>0.0</v>
      </c>
      <c r="Y283" s="226">
        <v>0.0</v>
      </c>
      <c r="Z283" s="226">
        <v>0.0</v>
      </c>
      <c r="AA283" s="226">
        <v>0.0</v>
      </c>
      <c r="AB283" s="226">
        <v>0.0</v>
      </c>
      <c r="AC283" s="226">
        <v>0.0</v>
      </c>
      <c r="AD283" s="186">
        <f t="shared" si="92"/>
        <v>7</v>
      </c>
    </row>
    <row r="284">
      <c r="A284" s="243" t="s">
        <v>311</v>
      </c>
      <c r="B284" s="203">
        <v>1.0</v>
      </c>
      <c r="C284" s="203">
        <v>0.0</v>
      </c>
      <c r="D284" s="226">
        <v>0.0</v>
      </c>
      <c r="E284" s="226">
        <v>0.0</v>
      </c>
      <c r="F284" s="226">
        <v>0.0</v>
      </c>
      <c r="G284" s="226">
        <v>0.0</v>
      </c>
      <c r="H284" s="226">
        <v>0.0</v>
      </c>
      <c r="I284" s="226">
        <v>0.0</v>
      </c>
      <c r="J284" s="226">
        <v>2.0</v>
      </c>
      <c r="K284" s="226">
        <v>1.0</v>
      </c>
      <c r="L284" s="226">
        <v>0.0</v>
      </c>
      <c r="M284" s="226">
        <v>2.0</v>
      </c>
      <c r="N284" s="226">
        <v>1.0</v>
      </c>
      <c r="O284" s="226">
        <v>1.0</v>
      </c>
      <c r="P284" s="226">
        <v>0.0</v>
      </c>
      <c r="Q284" s="226">
        <v>2.0</v>
      </c>
      <c r="R284" s="226">
        <v>1.0</v>
      </c>
      <c r="S284" s="226">
        <v>0.0</v>
      </c>
      <c r="T284" s="226">
        <v>0.0</v>
      </c>
      <c r="U284" s="226">
        <v>0.0</v>
      </c>
      <c r="V284" s="226">
        <v>0.0</v>
      </c>
      <c r="W284" s="226">
        <v>1.0</v>
      </c>
      <c r="X284" s="226">
        <v>0.0</v>
      </c>
      <c r="Y284" s="226">
        <v>0.0</v>
      </c>
      <c r="Z284" s="226">
        <v>0.0</v>
      </c>
      <c r="AA284" s="226">
        <v>0.0</v>
      </c>
      <c r="AB284" s="226">
        <v>0.0</v>
      </c>
      <c r="AC284" s="226">
        <v>0.0</v>
      </c>
      <c r="AD284" s="186">
        <f t="shared" si="92"/>
        <v>12</v>
      </c>
    </row>
    <row r="285">
      <c r="A285" s="243" t="s">
        <v>312</v>
      </c>
      <c r="B285" s="244"/>
      <c r="C285" s="244"/>
      <c r="D285" s="244"/>
      <c r="E285" s="244"/>
      <c r="F285" s="244"/>
      <c r="G285" s="244"/>
      <c r="H285" s="244"/>
      <c r="I285" s="244"/>
      <c r="J285" s="244"/>
      <c r="K285" s="227"/>
      <c r="L285" s="244"/>
      <c r="M285" s="244"/>
      <c r="N285" s="244"/>
      <c r="O285" s="244"/>
      <c r="P285" s="244"/>
      <c r="Q285" s="244"/>
      <c r="R285" s="244"/>
      <c r="S285" s="226">
        <v>1.0</v>
      </c>
      <c r="T285" s="244"/>
      <c r="U285" s="244"/>
      <c r="V285" s="244"/>
      <c r="W285" s="244"/>
      <c r="X285" s="244"/>
      <c r="Y285" s="244"/>
      <c r="Z285" s="244"/>
      <c r="AA285" s="244"/>
      <c r="AB285" s="244"/>
      <c r="AC285" s="244"/>
      <c r="AD285" s="186">
        <f t="shared" si="92"/>
        <v>1</v>
      </c>
    </row>
    <row r="286">
      <c r="A286" s="243" t="s">
        <v>313</v>
      </c>
      <c r="B286" s="203">
        <v>1.0</v>
      </c>
      <c r="C286" s="244"/>
      <c r="D286" s="244"/>
      <c r="E286" s="244"/>
      <c r="F286" s="244"/>
      <c r="G286" s="244"/>
      <c r="H286" s="244"/>
      <c r="I286" s="244"/>
      <c r="J286" s="244"/>
      <c r="K286" s="244"/>
      <c r="L286" s="244"/>
      <c r="M286" s="226">
        <v>1.0</v>
      </c>
      <c r="N286" s="244"/>
      <c r="O286" s="244"/>
      <c r="P286" s="244"/>
      <c r="Q286" s="244"/>
      <c r="R286" s="244"/>
      <c r="S286" s="244"/>
      <c r="T286" s="244"/>
      <c r="U286" s="244"/>
      <c r="V286" s="244"/>
      <c r="W286" s="226">
        <v>1.0</v>
      </c>
      <c r="X286" s="244"/>
      <c r="Y286" s="244"/>
      <c r="Z286" s="244"/>
      <c r="AA286" s="244"/>
      <c r="AB286" s="244"/>
      <c r="AC286" s="244"/>
      <c r="AD286" s="186">
        <f t="shared" si="92"/>
        <v>3</v>
      </c>
    </row>
    <row r="287">
      <c r="A287" s="245" t="s">
        <v>298</v>
      </c>
      <c r="B287" s="246">
        <f t="shared" ref="B287:AC287" si="93">SUM(B281:B286)</f>
        <v>9</v>
      </c>
      <c r="C287" s="246">
        <f t="shared" si="93"/>
        <v>1</v>
      </c>
      <c r="D287" s="246">
        <f t="shared" si="93"/>
        <v>7</v>
      </c>
      <c r="E287" s="246">
        <f t="shared" si="93"/>
        <v>4</v>
      </c>
      <c r="F287" s="246">
        <f t="shared" si="93"/>
        <v>2</v>
      </c>
      <c r="G287" s="246">
        <f t="shared" si="93"/>
        <v>5</v>
      </c>
      <c r="H287" s="246">
        <f t="shared" si="93"/>
        <v>3</v>
      </c>
      <c r="I287" s="246">
        <f t="shared" si="93"/>
        <v>5</v>
      </c>
      <c r="J287" s="246">
        <f t="shared" si="93"/>
        <v>8</v>
      </c>
      <c r="K287" s="246">
        <f t="shared" si="93"/>
        <v>4</v>
      </c>
      <c r="L287" s="246">
        <f t="shared" si="93"/>
        <v>10</v>
      </c>
      <c r="M287" s="246">
        <f t="shared" si="93"/>
        <v>9</v>
      </c>
      <c r="N287" s="246">
        <f t="shared" si="93"/>
        <v>5</v>
      </c>
      <c r="O287" s="246">
        <f t="shared" si="93"/>
        <v>12</v>
      </c>
      <c r="P287" s="246">
        <f t="shared" si="93"/>
        <v>11</v>
      </c>
      <c r="Q287" s="246">
        <f t="shared" si="93"/>
        <v>6</v>
      </c>
      <c r="R287" s="246">
        <f t="shared" si="93"/>
        <v>22</v>
      </c>
      <c r="S287" s="246">
        <f t="shared" si="93"/>
        <v>14</v>
      </c>
      <c r="T287" s="246">
        <f t="shared" si="93"/>
        <v>7</v>
      </c>
      <c r="U287" s="246">
        <f t="shared" si="93"/>
        <v>4</v>
      </c>
      <c r="V287" s="246">
        <f t="shared" si="93"/>
        <v>0</v>
      </c>
      <c r="W287" s="246">
        <f t="shared" si="93"/>
        <v>4</v>
      </c>
      <c r="X287" s="246">
        <f t="shared" si="93"/>
        <v>0</v>
      </c>
      <c r="Y287" s="246">
        <f t="shared" si="93"/>
        <v>0</v>
      </c>
      <c r="Z287" s="246">
        <f t="shared" si="93"/>
        <v>0</v>
      </c>
      <c r="AA287" s="246">
        <f t="shared" si="93"/>
        <v>0</v>
      </c>
      <c r="AB287" s="246">
        <f t="shared" si="93"/>
        <v>0</v>
      </c>
      <c r="AC287" s="246">
        <f t="shared" si="93"/>
        <v>0</v>
      </c>
      <c r="AD287" s="186">
        <f t="shared" si="92"/>
        <v>152</v>
      </c>
    </row>
    <row r="288">
      <c r="A288" s="245" t="s">
        <v>314</v>
      </c>
      <c r="B288" s="246">
        <f>B281+B284+B286</f>
        <v>8</v>
      </c>
      <c r="C288" s="246">
        <f t="shared" ref="C288:AC288" si="94">C282+C284+C286</f>
        <v>1</v>
      </c>
      <c r="D288" s="246">
        <f t="shared" si="94"/>
        <v>3</v>
      </c>
      <c r="E288" s="246">
        <f t="shared" si="94"/>
        <v>3</v>
      </c>
      <c r="F288" s="246">
        <f t="shared" si="94"/>
        <v>0</v>
      </c>
      <c r="G288" s="246">
        <f t="shared" si="94"/>
        <v>2</v>
      </c>
      <c r="H288" s="246">
        <f t="shared" si="94"/>
        <v>0</v>
      </c>
      <c r="I288" s="246">
        <f t="shared" si="94"/>
        <v>1</v>
      </c>
      <c r="J288" s="246">
        <f t="shared" si="94"/>
        <v>3</v>
      </c>
      <c r="K288" s="246">
        <f t="shared" si="94"/>
        <v>1</v>
      </c>
      <c r="L288" s="246">
        <f t="shared" si="94"/>
        <v>6</v>
      </c>
      <c r="M288" s="246">
        <f t="shared" si="94"/>
        <v>3</v>
      </c>
      <c r="N288" s="246">
        <f t="shared" si="94"/>
        <v>5</v>
      </c>
      <c r="O288" s="246">
        <f t="shared" si="94"/>
        <v>6</v>
      </c>
      <c r="P288" s="246">
        <f t="shared" si="94"/>
        <v>4</v>
      </c>
      <c r="Q288" s="246">
        <f t="shared" si="94"/>
        <v>2</v>
      </c>
      <c r="R288" s="246">
        <f t="shared" si="94"/>
        <v>12</v>
      </c>
      <c r="S288" s="246">
        <f t="shared" si="94"/>
        <v>6</v>
      </c>
      <c r="T288" s="246">
        <f t="shared" si="94"/>
        <v>6</v>
      </c>
      <c r="U288" s="246">
        <f t="shared" si="94"/>
        <v>1</v>
      </c>
      <c r="V288" s="246">
        <f t="shared" si="94"/>
        <v>0</v>
      </c>
      <c r="W288" s="246">
        <f t="shared" si="94"/>
        <v>4</v>
      </c>
      <c r="X288" s="246">
        <f t="shared" si="94"/>
        <v>0</v>
      </c>
      <c r="Y288" s="246">
        <f t="shared" si="94"/>
        <v>0</v>
      </c>
      <c r="Z288" s="246">
        <f t="shared" si="94"/>
        <v>0</v>
      </c>
      <c r="AA288" s="246">
        <f t="shared" si="94"/>
        <v>0</v>
      </c>
      <c r="AB288" s="246">
        <f t="shared" si="94"/>
        <v>0</v>
      </c>
      <c r="AC288" s="246">
        <f t="shared" si="94"/>
        <v>0</v>
      </c>
      <c r="AD288" s="186">
        <f t="shared" si="92"/>
        <v>77</v>
      </c>
    </row>
    <row r="289">
      <c r="A289" s="27"/>
      <c r="B289" s="157"/>
      <c r="C289" s="157"/>
      <c r="D289" s="157"/>
      <c r="E289" s="157"/>
      <c r="F289" s="157"/>
      <c r="G289" s="157"/>
      <c r="H289" s="157"/>
      <c r="I289" s="23"/>
      <c r="J289" s="23"/>
      <c r="K289" s="23"/>
      <c r="L289" s="23"/>
      <c r="M289" s="23"/>
      <c r="N289" s="23"/>
      <c r="O289" s="23"/>
      <c r="P289" s="23"/>
      <c r="Q289" s="23"/>
      <c r="R289" s="23"/>
      <c r="S289" s="23"/>
      <c r="T289" s="23"/>
      <c r="U289" s="23"/>
      <c r="V289" s="23"/>
      <c r="W289" s="23"/>
      <c r="X289" s="23"/>
      <c r="Y289" s="23"/>
      <c r="Z289" s="23"/>
      <c r="AA289" s="23"/>
      <c r="AB289" s="23"/>
      <c r="AC289" s="23"/>
      <c r="AD289" s="186"/>
    </row>
    <row r="290">
      <c r="A290" s="243" t="s">
        <v>315</v>
      </c>
      <c r="B290" s="226">
        <v>7.0</v>
      </c>
      <c r="C290" s="226">
        <v>2.0</v>
      </c>
      <c r="D290" s="226">
        <v>4.0</v>
      </c>
      <c r="E290" s="226">
        <v>3.0</v>
      </c>
      <c r="F290" s="226">
        <v>2.0</v>
      </c>
      <c r="G290" s="226">
        <v>4.0</v>
      </c>
      <c r="H290" s="226">
        <v>3.0</v>
      </c>
      <c r="I290" s="226">
        <v>6.0</v>
      </c>
      <c r="J290" s="226">
        <v>1.0</v>
      </c>
      <c r="K290" s="226">
        <v>3.0</v>
      </c>
      <c r="L290" s="226">
        <v>11.0</v>
      </c>
      <c r="M290" s="226">
        <v>2.0</v>
      </c>
      <c r="N290" s="226">
        <v>2.0</v>
      </c>
      <c r="O290" s="226">
        <v>5.0</v>
      </c>
      <c r="P290" s="226">
        <v>11.0</v>
      </c>
      <c r="Q290" s="226">
        <v>4.0</v>
      </c>
      <c r="R290" s="226">
        <v>15.0</v>
      </c>
      <c r="S290" s="226">
        <v>13.0</v>
      </c>
      <c r="T290" s="226">
        <v>6.0</v>
      </c>
      <c r="U290" s="226">
        <v>3.0</v>
      </c>
      <c r="V290" s="226">
        <v>0.0</v>
      </c>
      <c r="W290" s="226">
        <v>1.0</v>
      </c>
      <c r="X290" s="226">
        <v>0.0</v>
      </c>
      <c r="Y290" s="226">
        <v>0.0</v>
      </c>
      <c r="Z290" s="226">
        <v>0.0</v>
      </c>
      <c r="AA290" s="226">
        <v>0.0</v>
      </c>
      <c r="AB290" s="226">
        <v>0.0</v>
      </c>
      <c r="AC290" s="226">
        <v>0.0</v>
      </c>
      <c r="AD290" s="186">
        <f t="shared" ref="AD290:AD295" si="95">SUM(B290:AC290)</f>
        <v>108</v>
      </c>
    </row>
    <row r="291">
      <c r="A291" s="243" t="s">
        <v>316</v>
      </c>
      <c r="B291" s="203">
        <v>0.0</v>
      </c>
      <c r="C291" s="203">
        <v>0.0</v>
      </c>
      <c r="D291" s="226">
        <v>0.0</v>
      </c>
      <c r="E291" s="226">
        <v>0.0</v>
      </c>
      <c r="F291" s="226">
        <v>0.0</v>
      </c>
      <c r="G291" s="226">
        <v>0.0</v>
      </c>
      <c r="H291" s="226">
        <v>0.0</v>
      </c>
      <c r="I291" s="226">
        <v>0.0</v>
      </c>
      <c r="J291" s="226">
        <v>0.0</v>
      </c>
      <c r="K291" s="226">
        <v>0.0</v>
      </c>
      <c r="L291" s="226">
        <v>0.0</v>
      </c>
      <c r="M291" s="226">
        <v>0.0</v>
      </c>
      <c r="N291" s="226">
        <v>0.0</v>
      </c>
      <c r="O291" s="226">
        <v>0.0</v>
      </c>
      <c r="P291" s="226">
        <v>1.0</v>
      </c>
      <c r="Q291" s="226">
        <v>0.0</v>
      </c>
      <c r="R291" s="226">
        <v>0.0</v>
      </c>
      <c r="S291" s="226">
        <v>0.0</v>
      </c>
      <c r="T291" s="226">
        <v>0.0</v>
      </c>
      <c r="U291" s="226">
        <v>0.0</v>
      </c>
      <c r="V291" s="226">
        <v>0.0</v>
      </c>
      <c r="W291" s="226">
        <v>0.0</v>
      </c>
      <c r="X291" s="226">
        <v>0.0</v>
      </c>
      <c r="Y291" s="226">
        <v>0.0</v>
      </c>
      <c r="Z291" s="226">
        <v>0.0</v>
      </c>
      <c r="AA291" s="226">
        <v>0.0</v>
      </c>
      <c r="AB291" s="226">
        <v>0.0</v>
      </c>
      <c r="AC291" s="226">
        <v>0.0</v>
      </c>
      <c r="AD291" s="186">
        <f t="shared" si="95"/>
        <v>1</v>
      </c>
    </row>
    <row r="292">
      <c r="A292" s="243" t="s">
        <v>317</v>
      </c>
      <c r="B292" s="226">
        <v>7.0</v>
      </c>
      <c r="C292" s="203">
        <v>0.0</v>
      </c>
      <c r="D292" s="226">
        <v>8.0</v>
      </c>
      <c r="E292" s="226">
        <v>4.0</v>
      </c>
      <c r="F292" s="226">
        <v>3.0</v>
      </c>
      <c r="G292" s="226">
        <v>5.0</v>
      </c>
      <c r="H292" s="226">
        <v>3.0</v>
      </c>
      <c r="I292" s="226">
        <v>8.0</v>
      </c>
      <c r="J292" s="226">
        <v>5.0</v>
      </c>
      <c r="K292" s="226">
        <v>5.0</v>
      </c>
      <c r="L292" s="226">
        <v>9.0</v>
      </c>
      <c r="M292" s="226">
        <v>4.0</v>
      </c>
      <c r="N292" s="226">
        <v>3.0</v>
      </c>
      <c r="O292" s="226">
        <v>10.0</v>
      </c>
      <c r="P292" s="226">
        <v>14.0</v>
      </c>
      <c r="Q292" s="226">
        <v>7.0</v>
      </c>
      <c r="R292" s="226">
        <v>24.0</v>
      </c>
      <c r="S292" s="226">
        <v>11.0</v>
      </c>
      <c r="T292" s="226">
        <v>8.0</v>
      </c>
      <c r="U292" s="226">
        <v>2.0</v>
      </c>
      <c r="V292" s="226">
        <v>0.0</v>
      </c>
      <c r="W292" s="226">
        <v>0.0</v>
      </c>
      <c r="X292" s="226">
        <v>0.0</v>
      </c>
      <c r="Y292" s="226">
        <v>0.0</v>
      </c>
      <c r="Z292" s="226">
        <v>0.0</v>
      </c>
      <c r="AA292" s="226">
        <v>0.0</v>
      </c>
      <c r="AB292" s="226">
        <v>0.0</v>
      </c>
      <c r="AC292" s="226">
        <v>0.0</v>
      </c>
      <c r="AD292" s="186">
        <f t="shared" si="95"/>
        <v>140</v>
      </c>
    </row>
    <row r="293">
      <c r="A293" s="243" t="s">
        <v>318</v>
      </c>
      <c r="B293" s="226">
        <v>1.0</v>
      </c>
      <c r="C293" s="203">
        <v>0.0</v>
      </c>
      <c r="D293" s="226">
        <v>4.0</v>
      </c>
      <c r="E293" s="226">
        <v>0.0</v>
      </c>
      <c r="F293" s="226">
        <v>1.0</v>
      </c>
      <c r="G293" s="226">
        <v>2.0</v>
      </c>
      <c r="H293" s="226">
        <v>1.0</v>
      </c>
      <c r="I293" s="226">
        <v>1.0</v>
      </c>
      <c r="J293" s="226">
        <v>1.0</v>
      </c>
      <c r="K293" s="226">
        <v>1.0</v>
      </c>
      <c r="L293" s="226">
        <v>3.0</v>
      </c>
      <c r="M293" s="226">
        <v>0.0</v>
      </c>
      <c r="N293" s="226">
        <v>0.0</v>
      </c>
      <c r="O293" s="226">
        <v>1.0</v>
      </c>
      <c r="P293" s="226">
        <v>4.0</v>
      </c>
      <c r="Q293" s="226">
        <v>2.0</v>
      </c>
      <c r="R293" s="226">
        <v>7.0</v>
      </c>
      <c r="S293" s="226">
        <v>5.0</v>
      </c>
      <c r="T293" s="226">
        <v>0.0</v>
      </c>
      <c r="U293" s="226">
        <v>1.0</v>
      </c>
      <c r="V293" s="226">
        <v>0.0</v>
      </c>
      <c r="W293" s="226">
        <v>0.0</v>
      </c>
      <c r="X293" s="226">
        <v>0.0</v>
      </c>
      <c r="Y293" s="226">
        <v>0.0</v>
      </c>
      <c r="Z293" s="226">
        <v>0.0</v>
      </c>
      <c r="AA293" s="226">
        <v>0.0</v>
      </c>
      <c r="AB293" s="226">
        <v>0.0</v>
      </c>
      <c r="AC293" s="226">
        <v>0.0</v>
      </c>
      <c r="AD293" s="186">
        <f t="shared" si="95"/>
        <v>35</v>
      </c>
    </row>
    <row r="294">
      <c r="A294" s="243" t="s">
        <v>319</v>
      </c>
      <c r="B294" s="226">
        <v>4.0</v>
      </c>
      <c r="C294" s="226">
        <v>1.0</v>
      </c>
      <c r="D294" s="226">
        <v>2.0</v>
      </c>
      <c r="E294" s="226">
        <v>1.0</v>
      </c>
      <c r="F294" s="226">
        <v>1.0</v>
      </c>
      <c r="G294" s="226">
        <v>2.0</v>
      </c>
      <c r="H294" s="226">
        <v>1.0</v>
      </c>
      <c r="I294" s="226">
        <v>2.0</v>
      </c>
      <c r="J294" s="226">
        <v>1.0</v>
      </c>
      <c r="K294" s="226">
        <v>2.0</v>
      </c>
      <c r="L294" s="226">
        <v>3.0</v>
      </c>
      <c r="M294" s="226">
        <v>1.0</v>
      </c>
      <c r="N294" s="226">
        <v>1.0</v>
      </c>
      <c r="O294" s="226">
        <v>2.0</v>
      </c>
      <c r="P294" s="226">
        <v>4.0</v>
      </c>
      <c r="Q294" s="226">
        <v>0.0</v>
      </c>
      <c r="R294" s="226">
        <v>4.0</v>
      </c>
      <c r="S294" s="226">
        <v>3.0</v>
      </c>
      <c r="T294" s="226">
        <v>2.0</v>
      </c>
      <c r="U294" s="226">
        <v>1.0</v>
      </c>
      <c r="V294" s="226">
        <v>0.0</v>
      </c>
      <c r="W294" s="226">
        <v>0.0</v>
      </c>
      <c r="X294" s="226">
        <v>0.0</v>
      </c>
      <c r="Y294" s="226">
        <v>0.0</v>
      </c>
      <c r="Z294" s="226">
        <v>0.0</v>
      </c>
      <c r="AA294" s="226">
        <v>0.0</v>
      </c>
      <c r="AB294" s="226">
        <v>0.0</v>
      </c>
      <c r="AC294" s="226">
        <v>0.0</v>
      </c>
      <c r="AD294" s="186">
        <f t="shared" si="95"/>
        <v>38</v>
      </c>
    </row>
    <row r="295">
      <c r="A295" s="247" t="s">
        <v>320</v>
      </c>
      <c r="B295" s="246">
        <f t="shared" ref="B295:AC295" si="96">SUM(B290:B294)</f>
        <v>19</v>
      </c>
      <c r="C295" s="246">
        <f t="shared" si="96"/>
        <v>3</v>
      </c>
      <c r="D295" s="246">
        <f t="shared" si="96"/>
        <v>18</v>
      </c>
      <c r="E295" s="246">
        <f t="shared" si="96"/>
        <v>8</v>
      </c>
      <c r="F295" s="246">
        <f t="shared" si="96"/>
        <v>7</v>
      </c>
      <c r="G295" s="246">
        <f t="shared" si="96"/>
        <v>13</v>
      </c>
      <c r="H295" s="246">
        <f t="shared" si="96"/>
        <v>8</v>
      </c>
      <c r="I295" s="246">
        <f t="shared" si="96"/>
        <v>17</v>
      </c>
      <c r="J295" s="246">
        <f t="shared" si="96"/>
        <v>8</v>
      </c>
      <c r="K295" s="246">
        <f t="shared" si="96"/>
        <v>11</v>
      </c>
      <c r="L295" s="246">
        <f t="shared" si="96"/>
        <v>26</v>
      </c>
      <c r="M295" s="246">
        <f t="shared" si="96"/>
        <v>7</v>
      </c>
      <c r="N295" s="246">
        <f t="shared" si="96"/>
        <v>6</v>
      </c>
      <c r="O295" s="246">
        <f t="shared" si="96"/>
        <v>18</v>
      </c>
      <c r="P295" s="246">
        <f t="shared" si="96"/>
        <v>34</v>
      </c>
      <c r="Q295" s="246">
        <f t="shared" si="96"/>
        <v>13</v>
      </c>
      <c r="R295" s="246">
        <f t="shared" si="96"/>
        <v>50</v>
      </c>
      <c r="S295" s="246">
        <f t="shared" si="96"/>
        <v>32</v>
      </c>
      <c r="T295" s="246">
        <f t="shared" si="96"/>
        <v>16</v>
      </c>
      <c r="U295" s="246">
        <f t="shared" si="96"/>
        <v>7</v>
      </c>
      <c r="V295" s="246">
        <f t="shared" si="96"/>
        <v>0</v>
      </c>
      <c r="W295" s="246">
        <f t="shared" si="96"/>
        <v>1</v>
      </c>
      <c r="X295" s="246">
        <f t="shared" si="96"/>
        <v>0</v>
      </c>
      <c r="Y295" s="246">
        <f t="shared" si="96"/>
        <v>0</v>
      </c>
      <c r="Z295" s="246">
        <f t="shared" si="96"/>
        <v>0</v>
      </c>
      <c r="AA295" s="246">
        <f t="shared" si="96"/>
        <v>0</v>
      </c>
      <c r="AB295" s="246">
        <f t="shared" si="96"/>
        <v>0</v>
      </c>
      <c r="AC295" s="246">
        <f t="shared" si="96"/>
        <v>0</v>
      </c>
      <c r="AD295" s="186">
        <f t="shared" si="95"/>
        <v>322</v>
      </c>
    </row>
    <row r="296">
      <c r="A296" s="27"/>
      <c r="B296" s="157"/>
      <c r="C296" s="157"/>
      <c r="D296" s="157"/>
      <c r="E296" s="157"/>
      <c r="F296" s="157"/>
      <c r="G296" s="157"/>
      <c r="H296" s="157"/>
      <c r="I296" s="23"/>
      <c r="J296" s="23"/>
      <c r="K296" s="23"/>
      <c r="L296" s="23"/>
      <c r="M296" s="23"/>
      <c r="N296" s="23"/>
      <c r="O296" s="23"/>
      <c r="P296" s="23"/>
      <c r="Q296" s="23"/>
      <c r="R296" s="23"/>
      <c r="S296" s="23"/>
      <c r="T296" s="23"/>
      <c r="U296" s="23"/>
      <c r="V296" s="23"/>
      <c r="W296" s="23"/>
      <c r="X296" s="23"/>
      <c r="Y296" s="23"/>
      <c r="Z296" s="23"/>
      <c r="AA296" s="23"/>
      <c r="AB296" s="23"/>
      <c r="AC296" s="23"/>
      <c r="AD296" s="186"/>
    </row>
    <row r="297">
      <c r="A297" s="243" t="s">
        <v>321</v>
      </c>
      <c r="B297" s="203">
        <v>2.0</v>
      </c>
      <c r="C297" s="203">
        <v>0.0</v>
      </c>
      <c r="D297" s="226">
        <v>2.0</v>
      </c>
      <c r="E297" s="226">
        <v>0.0</v>
      </c>
      <c r="F297" s="226">
        <v>2.0</v>
      </c>
      <c r="G297" s="226">
        <v>0.0</v>
      </c>
      <c r="H297" s="226">
        <v>2.0</v>
      </c>
      <c r="I297" s="226">
        <v>0.0</v>
      </c>
      <c r="J297" s="226">
        <v>2.0</v>
      </c>
      <c r="K297" s="226">
        <v>1.0</v>
      </c>
      <c r="L297" s="226">
        <v>0.0</v>
      </c>
      <c r="M297" s="226">
        <v>0.0</v>
      </c>
      <c r="N297" s="226">
        <v>0.0</v>
      </c>
      <c r="O297" s="226">
        <v>1.0</v>
      </c>
      <c r="P297" s="226">
        <v>0.0</v>
      </c>
      <c r="Q297" s="226">
        <v>0.0</v>
      </c>
      <c r="R297" s="226">
        <v>2.0</v>
      </c>
      <c r="S297" s="226">
        <v>2.0</v>
      </c>
      <c r="T297" s="226">
        <v>2.0</v>
      </c>
      <c r="U297" s="226">
        <v>1.0</v>
      </c>
      <c r="V297" s="226">
        <v>0.0</v>
      </c>
      <c r="W297" s="226">
        <v>2.0</v>
      </c>
      <c r="X297" s="226">
        <v>0.0</v>
      </c>
      <c r="Y297" s="226">
        <v>0.0</v>
      </c>
      <c r="Z297" s="226">
        <v>0.0</v>
      </c>
      <c r="AA297" s="226">
        <v>0.0</v>
      </c>
      <c r="AB297" s="226">
        <v>0.0</v>
      </c>
      <c r="AC297" s="226">
        <v>0.0</v>
      </c>
      <c r="AD297" s="186">
        <f t="shared" ref="AD297:AD302" si="97">SUM(B297:AC297)</f>
        <v>21</v>
      </c>
    </row>
    <row r="298">
      <c r="A298" s="243" t="s">
        <v>322</v>
      </c>
      <c r="B298" s="203">
        <v>0.0</v>
      </c>
      <c r="C298" s="203">
        <v>0.0</v>
      </c>
      <c r="D298" s="226">
        <v>0.0</v>
      </c>
      <c r="E298" s="226">
        <v>0.0</v>
      </c>
      <c r="F298" s="226">
        <v>0.0</v>
      </c>
      <c r="G298" s="226">
        <v>0.0</v>
      </c>
      <c r="H298" s="226">
        <v>1.0</v>
      </c>
      <c r="I298" s="226">
        <v>0.0</v>
      </c>
      <c r="J298" s="226">
        <v>1.0</v>
      </c>
      <c r="K298" s="226">
        <v>0.0</v>
      </c>
      <c r="L298" s="226">
        <v>0.0</v>
      </c>
      <c r="M298" s="226">
        <v>0.0</v>
      </c>
      <c r="N298" s="226">
        <v>0.0</v>
      </c>
      <c r="O298" s="226">
        <v>0.0</v>
      </c>
      <c r="P298" s="226">
        <v>0.0</v>
      </c>
      <c r="Q298" s="226">
        <v>0.0</v>
      </c>
      <c r="R298" s="226">
        <v>0.0</v>
      </c>
      <c r="S298" s="226">
        <v>0.0</v>
      </c>
      <c r="T298" s="226">
        <v>1.0</v>
      </c>
      <c r="U298" s="226">
        <v>1.0</v>
      </c>
      <c r="V298" s="226">
        <v>0.0</v>
      </c>
      <c r="W298" s="226">
        <v>0.0</v>
      </c>
      <c r="X298" s="226">
        <v>0.0</v>
      </c>
      <c r="Y298" s="226">
        <v>0.0</v>
      </c>
      <c r="Z298" s="226">
        <v>0.0</v>
      </c>
      <c r="AA298" s="226">
        <v>0.0</v>
      </c>
      <c r="AB298" s="226">
        <v>0.0</v>
      </c>
      <c r="AC298" s="226">
        <v>0.0</v>
      </c>
      <c r="AD298" s="186">
        <f t="shared" si="97"/>
        <v>4</v>
      </c>
    </row>
    <row r="299">
      <c r="A299" s="243" t="s">
        <v>323</v>
      </c>
      <c r="B299" s="203">
        <v>3.0</v>
      </c>
      <c r="C299" s="203">
        <v>0.0</v>
      </c>
      <c r="D299" s="226">
        <v>0.0</v>
      </c>
      <c r="E299" s="226">
        <v>0.0</v>
      </c>
      <c r="F299" s="226">
        <v>0.0</v>
      </c>
      <c r="G299" s="226">
        <v>0.0</v>
      </c>
      <c r="H299" s="226">
        <v>0.0</v>
      </c>
      <c r="I299" s="226">
        <v>1.0</v>
      </c>
      <c r="J299" s="226">
        <v>1.0</v>
      </c>
      <c r="K299" s="226">
        <v>1.0</v>
      </c>
      <c r="L299" s="226">
        <v>0.0</v>
      </c>
      <c r="M299" s="226">
        <v>1.0</v>
      </c>
      <c r="N299" s="226">
        <v>1.0</v>
      </c>
      <c r="O299" s="226">
        <v>3.0</v>
      </c>
      <c r="P299" s="226">
        <v>0.0</v>
      </c>
      <c r="Q299" s="226">
        <v>0.0</v>
      </c>
      <c r="R299" s="226">
        <v>2.0</v>
      </c>
      <c r="S299" s="226">
        <v>2.0</v>
      </c>
      <c r="T299" s="226">
        <v>3.0</v>
      </c>
      <c r="U299" s="226">
        <v>4.0</v>
      </c>
      <c r="V299" s="226">
        <v>0.0</v>
      </c>
      <c r="W299" s="226">
        <v>1.0</v>
      </c>
      <c r="X299" s="226">
        <v>0.0</v>
      </c>
      <c r="Y299" s="226">
        <v>0.0</v>
      </c>
      <c r="Z299" s="226">
        <v>0.0</v>
      </c>
      <c r="AA299" s="226">
        <v>0.0</v>
      </c>
      <c r="AB299" s="226">
        <v>0.0</v>
      </c>
      <c r="AC299" s="226">
        <v>0.0</v>
      </c>
      <c r="AD299" s="186">
        <f t="shared" si="97"/>
        <v>23</v>
      </c>
    </row>
    <row r="300">
      <c r="A300" s="243" t="s">
        <v>324</v>
      </c>
      <c r="B300" s="203">
        <v>2.0</v>
      </c>
      <c r="C300" s="203">
        <v>0.0</v>
      </c>
      <c r="D300" s="226">
        <v>0.0</v>
      </c>
      <c r="E300" s="226">
        <v>0.0</v>
      </c>
      <c r="F300" s="226">
        <v>0.0</v>
      </c>
      <c r="G300" s="226">
        <v>0.0</v>
      </c>
      <c r="H300" s="226">
        <v>2.0</v>
      </c>
      <c r="I300" s="226">
        <v>0.0</v>
      </c>
      <c r="J300" s="226">
        <v>0.0</v>
      </c>
      <c r="K300" s="226">
        <v>0.0</v>
      </c>
      <c r="L300" s="226">
        <v>0.0</v>
      </c>
      <c r="M300" s="226">
        <v>0.0</v>
      </c>
      <c r="N300" s="226">
        <v>0.0</v>
      </c>
      <c r="O300" s="226">
        <v>2.0</v>
      </c>
      <c r="P300" s="226">
        <v>0.0</v>
      </c>
      <c r="Q300" s="226">
        <v>0.0</v>
      </c>
      <c r="R300" s="226">
        <v>1.0</v>
      </c>
      <c r="S300" s="226">
        <v>0.0</v>
      </c>
      <c r="T300" s="226">
        <v>3.0</v>
      </c>
      <c r="U300" s="226">
        <v>0.0</v>
      </c>
      <c r="V300" s="226">
        <v>0.0</v>
      </c>
      <c r="W300" s="226">
        <v>1.0</v>
      </c>
      <c r="X300" s="226">
        <v>0.0</v>
      </c>
      <c r="Y300" s="226">
        <v>0.0</v>
      </c>
      <c r="Z300" s="226">
        <v>0.0</v>
      </c>
      <c r="AA300" s="226">
        <v>0.0</v>
      </c>
      <c r="AB300" s="226">
        <v>0.0</v>
      </c>
      <c r="AC300" s="226">
        <v>0.0</v>
      </c>
      <c r="AD300" s="186">
        <f t="shared" si="97"/>
        <v>11</v>
      </c>
    </row>
    <row r="301">
      <c r="A301" s="243" t="s">
        <v>325</v>
      </c>
      <c r="B301" s="203">
        <v>0.0</v>
      </c>
      <c r="C301" s="203">
        <v>0.0</v>
      </c>
      <c r="D301" s="226">
        <v>0.0</v>
      </c>
      <c r="E301" s="226">
        <v>0.0</v>
      </c>
      <c r="F301" s="226">
        <v>0.0</v>
      </c>
      <c r="G301" s="226">
        <v>0.0</v>
      </c>
      <c r="H301" s="226">
        <v>0.0</v>
      </c>
      <c r="I301" s="226">
        <v>0.0</v>
      </c>
      <c r="J301" s="226">
        <v>0.0</v>
      </c>
      <c r="K301" s="226">
        <v>0.0</v>
      </c>
      <c r="L301" s="226">
        <v>0.0</v>
      </c>
      <c r="M301" s="226">
        <v>0.0</v>
      </c>
      <c r="N301" s="226">
        <v>0.0</v>
      </c>
      <c r="O301" s="226">
        <v>1.0</v>
      </c>
      <c r="P301" s="226">
        <v>0.0</v>
      </c>
      <c r="Q301" s="226">
        <v>0.0</v>
      </c>
      <c r="R301" s="226">
        <v>0.0</v>
      </c>
      <c r="S301" s="226">
        <v>0.0</v>
      </c>
      <c r="T301" s="226">
        <v>1.0</v>
      </c>
      <c r="U301" s="226">
        <v>1.0</v>
      </c>
      <c r="V301" s="226">
        <v>0.0</v>
      </c>
      <c r="W301" s="226">
        <v>0.0</v>
      </c>
      <c r="X301" s="226">
        <v>0.0</v>
      </c>
      <c r="Y301" s="226">
        <v>0.0</v>
      </c>
      <c r="Z301" s="226">
        <v>0.0</v>
      </c>
      <c r="AA301" s="226">
        <v>0.0</v>
      </c>
      <c r="AB301" s="226">
        <v>0.0</v>
      </c>
      <c r="AC301" s="226">
        <v>0.0</v>
      </c>
      <c r="AD301" s="186">
        <f t="shared" si="97"/>
        <v>3</v>
      </c>
    </row>
    <row r="302">
      <c r="A302" s="247" t="s">
        <v>326</v>
      </c>
      <c r="B302" s="246">
        <f t="shared" ref="B302:AC302" si="98">SUM(B297:B301)</f>
        <v>7</v>
      </c>
      <c r="C302" s="246">
        <f t="shared" si="98"/>
        <v>0</v>
      </c>
      <c r="D302" s="246">
        <f t="shared" si="98"/>
        <v>2</v>
      </c>
      <c r="E302" s="246">
        <f t="shared" si="98"/>
        <v>0</v>
      </c>
      <c r="F302" s="246">
        <f t="shared" si="98"/>
        <v>2</v>
      </c>
      <c r="G302" s="246">
        <f t="shared" si="98"/>
        <v>0</v>
      </c>
      <c r="H302" s="246">
        <f t="shared" si="98"/>
        <v>5</v>
      </c>
      <c r="I302" s="246">
        <f t="shared" si="98"/>
        <v>1</v>
      </c>
      <c r="J302" s="246">
        <f t="shared" si="98"/>
        <v>4</v>
      </c>
      <c r="K302" s="246">
        <f t="shared" si="98"/>
        <v>2</v>
      </c>
      <c r="L302" s="246">
        <f t="shared" si="98"/>
        <v>0</v>
      </c>
      <c r="M302" s="246">
        <f t="shared" si="98"/>
        <v>1</v>
      </c>
      <c r="N302" s="246">
        <f t="shared" si="98"/>
        <v>1</v>
      </c>
      <c r="O302" s="246">
        <f t="shared" si="98"/>
        <v>7</v>
      </c>
      <c r="P302" s="246">
        <f t="shared" si="98"/>
        <v>0</v>
      </c>
      <c r="Q302" s="246">
        <f t="shared" si="98"/>
        <v>0</v>
      </c>
      <c r="R302" s="246">
        <f t="shared" si="98"/>
        <v>5</v>
      </c>
      <c r="S302" s="246">
        <f t="shared" si="98"/>
        <v>4</v>
      </c>
      <c r="T302" s="246">
        <f t="shared" si="98"/>
        <v>10</v>
      </c>
      <c r="U302" s="246">
        <f t="shared" si="98"/>
        <v>7</v>
      </c>
      <c r="V302" s="246">
        <f t="shared" si="98"/>
        <v>0</v>
      </c>
      <c r="W302" s="246">
        <f t="shared" si="98"/>
        <v>4</v>
      </c>
      <c r="X302" s="246">
        <f t="shared" si="98"/>
        <v>0</v>
      </c>
      <c r="Y302" s="246">
        <f t="shared" si="98"/>
        <v>0</v>
      </c>
      <c r="Z302" s="246">
        <f t="shared" si="98"/>
        <v>0</v>
      </c>
      <c r="AA302" s="246">
        <f t="shared" si="98"/>
        <v>0</v>
      </c>
      <c r="AB302" s="246">
        <f t="shared" si="98"/>
        <v>0</v>
      </c>
      <c r="AC302" s="246">
        <f t="shared" si="98"/>
        <v>0</v>
      </c>
      <c r="AD302" s="186">
        <f t="shared" si="97"/>
        <v>62</v>
      </c>
    </row>
    <row r="303">
      <c r="A303" s="27"/>
      <c r="B303" s="157"/>
      <c r="C303" s="157"/>
      <c r="D303" s="157"/>
      <c r="E303" s="157"/>
      <c r="F303" s="157"/>
      <c r="G303" s="157"/>
      <c r="H303" s="157"/>
      <c r="I303" s="23"/>
      <c r="J303" s="23"/>
      <c r="K303" s="23"/>
      <c r="L303" s="23"/>
      <c r="M303" s="23"/>
      <c r="N303" s="23"/>
      <c r="O303" s="23"/>
      <c r="P303" s="23"/>
      <c r="Q303" s="23"/>
      <c r="R303" s="23"/>
      <c r="S303" s="23"/>
      <c r="T303" s="23"/>
      <c r="U303" s="23"/>
      <c r="V303" s="23"/>
      <c r="W303" s="23"/>
      <c r="X303" s="23"/>
      <c r="Y303" s="23"/>
      <c r="Z303" s="23"/>
      <c r="AA303" s="23"/>
      <c r="AB303" s="23"/>
      <c r="AC303" s="23"/>
      <c r="AD303" s="186"/>
    </row>
    <row r="304">
      <c r="A304" s="243" t="s">
        <v>327</v>
      </c>
      <c r="B304" s="244"/>
      <c r="C304" s="244"/>
      <c r="D304" s="227"/>
      <c r="E304" s="244"/>
      <c r="F304" s="244"/>
      <c r="G304" s="244"/>
      <c r="H304" s="244"/>
      <c r="I304" s="244"/>
      <c r="J304" s="244"/>
      <c r="K304" s="244"/>
      <c r="L304" s="244"/>
      <c r="M304" s="226">
        <v>1.0</v>
      </c>
      <c r="N304" s="244"/>
      <c r="O304" s="244"/>
      <c r="P304" s="227"/>
      <c r="Q304" s="244"/>
      <c r="R304" s="244"/>
      <c r="S304" s="244"/>
      <c r="T304" s="227"/>
      <c r="U304" s="244"/>
      <c r="V304" s="244"/>
      <c r="W304" s="226">
        <v>1.0</v>
      </c>
      <c r="X304" s="244"/>
      <c r="Y304" s="244"/>
      <c r="Z304" s="244"/>
      <c r="AA304" s="244"/>
      <c r="AB304" s="244"/>
      <c r="AC304" s="244"/>
      <c r="AD304" s="186">
        <f t="shared" ref="AD304:AD309" si="99">SUM(B304:AC304)</f>
        <v>2</v>
      </c>
    </row>
    <row r="305">
      <c r="A305" s="243" t="s">
        <v>328</v>
      </c>
      <c r="B305" s="244"/>
      <c r="C305" s="244"/>
      <c r="D305" s="244"/>
      <c r="E305" s="244"/>
      <c r="F305" s="244"/>
      <c r="G305" s="244"/>
      <c r="H305" s="244"/>
      <c r="I305" s="244"/>
      <c r="J305" s="244"/>
      <c r="K305" s="244"/>
      <c r="L305" s="244"/>
      <c r="M305" s="244"/>
      <c r="N305" s="244"/>
      <c r="O305" s="244"/>
      <c r="P305" s="244"/>
      <c r="Q305" s="244"/>
      <c r="R305" s="244"/>
      <c r="S305" s="244"/>
      <c r="T305" s="244"/>
      <c r="U305" s="244"/>
      <c r="V305" s="244"/>
      <c r="W305" s="244"/>
      <c r="X305" s="244"/>
      <c r="Y305" s="244"/>
      <c r="Z305" s="244"/>
      <c r="AA305" s="244"/>
      <c r="AB305" s="244"/>
      <c r="AC305" s="244"/>
      <c r="AD305" s="186">
        <f t="shared" si="99"/>
        <v>0</v>
      </c>
    </row>
    <row r="306">
      <c r="A306" s="243" t="s">
        <v>329</v>
      </c>
      <c r="B306" s="244"/>
      <c r="C306" s="244"/>
      <c r="D306" s="227"/>
      <c r="E306" s="244"/>
      <c r="F306" s="244"/>
      <c r="G306" s="244"/>
      <c r="H306" s="244"/>
      <c r="I306" s="244"/>
      <c r="J306" s="244"/>
      <c r="K306" s="244"/>
      <c r="L306" s="244"/>
      <c r="M306" s="244"/>
      <c r="N306" s="244"/>
      <c r="O306" s="244"/>
      <c r="P306" s="244"/>
      <c r="Q306" s="244"/>
      <c r="R306" s="244"/>
      <c r="S306" s="244"/>
      <c r="T306" s="244"/>
      <c r="U306" s="244"/>
      <c r="V306" s="244"/>
      <c r="W306" s="244"/>
      <c r="X306" s="244"/>
      <c r="Y306" s="244"/>
      <c r="Z306" s="244"/>
      <c r="AA306" s="244"/>
      <c r="AB306" s="244"/>
      <c r="AC306" s="244"/>
      <c r="AD306" s="186">
        <f t="shared" si="99"/>
        <v>0</v>
      </c>
    </row>
    <row r="307">
      <c r="A307" s="243" t="s">
        <v>330</v>
      </c>
      <c r="B307" s="244"/>
      <c r="C307" s="244"/>
      <c r="D307" s="244"/>
      <c r="E307" s="244"/>
      <c r="F307" s="244"/>
      <c r="G307" s="244"/>
      <c r="H307" s="244"/>
      <c r="I307" s="244"/>
      <c r="J307" s="244"/>
      <c r="K307" s="244"/>
      <c r="L307" s="244"/>
      <c r="M307" s="244"/>
      <c r="N307" s="244"/>
      <c r="O307" s="244"/>
      <c r="P307" s="244"/>
      <c r="Q307" s="244"/>
      <c r="R307" s="244"/>
      <c r="S307" s="244"/>
      <c r="T307" s="244"/>
      <c r="U307" s="244"/>
      <c r="V307" s="244"/>
      <c r="W307" s="244"/>
      <c r="X307" s="244"/>
      <c r="Y307" s="244"/>
      <c r="Z307" s="244"/>
      <c r="AA307" s="244"/>
      <c r="AB307" s="244"/>
      <c r="AC307" s="244"/>
      <c r="AD307" s="186">
        <f t="shared" si="99"/>
        <v>0</v>
      </c>
    </row>
    <row r="308">
      <c r="A308" s="243" t="s">
        <v>331</v>
      </c>
      <c r="B308" s="244"/>
      <c r="C308" s="244"/>
      <c r="D308" s="244"/>
      <c r="E308" s="244"/>
      <c r="F308" s="244"/>
      <c r="G308" s="244"/>
      <c r="H308" s="244"/>
      <c r="I308" s="244"/>
      <c r="J308" s="244"/>
      <c r="K308" s="244"/>
      <c r="L308" s="244"/>
      <c r="M308" s="244"/>
      <c r="N308" s="244"/>
      <c r="O308" s="244"/>
      <c r="P308" s="244"/>
      <c r="Q308" s="244"/>
      <c r="R308" s="244"/>
      <c r="S308" s="244"/>
      <c r="T308" s="244"/>
      <c r="U308" s="244"/>
      <c r="V308" s="244"/>
      <c r="W308" s="244"/>
      <c r="X308" s="244"/>
      <c r="Y308" s="244"/>
      <c r="Z308" s="244"/>
      <c r="AA308" s="244"/>
      <c r="AB308" s="244"/>
      <c r="AC308" s="244"/>
      <c r="AD308" s="186">
        <f t="shared" si="99"/>
        <v>0</v>
      </c>
    </row>
    <row r="309">
      <c r="A309" s="247" t="s">
        <v>332</v>
      </c>
      <c r="B309" s="246">
        <f t="shared" ref="B309:AC309" si="100">SUM(B304:B308)</f>
        <v>0</v>
      </c>
      <c r="C309" s="246">
        <f t="shared" si="100"/>
        <v>0</v>
      </c>
      <c r="D309" s="246">
        <f t="shared" si="100"/>
        <v>0</v>
      </c>
      <c r="E309" s="246">
        <f t="shared" si="100"/>
        <v>0</v>
      </c>
      <c r="F309" s="246">
        <f t="shared" si="100"/>
        <v>0</v>
      </c>
      <c r="G309" s="246">
        <f t="shared" si="100"/>
        <v>0</v>
      </c>
      <c r="H309" s="246">
        <f t="shared" si="100"/>
        <v>0</v>
      </c>
      <c r="I309" s="246">
        <f t="shared" si="100"/>
        <v>0</v>
      </c>
      <c r="J309" s="246">
        <f t="shared" si="100"/>
        <v>0</v>
      </c>
      <c r="K309" s="246">
        <f t="shared" si="100"/>
        <v>0</v>
      </c>
      <c r="L309" s="246">
        <f t="shared" si="100"/>
        <v>0</v>
      </c>
      <c r="M309" s="246">
        <f t="shared" si="100"/>
        <v>1</v>
      </c>
      <c r="N309" s="246">
        <f t="shared" si="100"/>
        <v>0</v>
      </c>
      <c r="O309" s="246">
        <f t="shared" si="100"/>
        <v>0</v>
      </c>
      <c r="P309" s="246">
        <f t="shared" si="100"/>
        <v>0</v>
      </c>
      <c r="Q309" s="246">
        <f t="shared" si="100"/>
        <v>0</v>
      </c>
      <c r="R309" s="246">
        <f t="shared" si="100"/>
        <v>0</v>
      </c>
      <c r="S309" s="246">
        <f t="shared" si="100"/>
        <v>0</v>
      </c>
      <c r="T309" s="246">
        <f t="shared" si="100"/>
        <v>0</v>
      </c>
      <c r="U309" s="246">
        <f t="shared" si="100"/>
        <v>0</v>
      </c>
      <c r="V309" s="246">
        <f t="shared" si="100"/>
        <v>0</v>
      </c>
      <c r="W309" s="246">
        <f t="shared" si="100"/>
        <v>1</v>
      </c>
      <c r="X309" s="246">
        <f t="shared" si="100"/>
        <v>0</v>
      </c>
      <c r="Y309" s="246">
        <f t="shared" si="100"/>
        <v>0</v>
      </c>
      <c r="Z309" s="246">
        <f t="shared" si="100"/>
        <v>0</v>
      </c>
      <c r="AA309" s="246">
        <f t="shared" si="100"/>
        <v>0</v>
      </c>
      <c r="AB309" s="246">
        <f t="shared" si="100"/>
        <v>0</v>
      </c>
      <c r="AC309" s="246">
        <f t="shared" si="100"/>
        <v>0</v>
      </c>
      <c r="AD309" s="186">
        <f t="shared" si="99"/>
        <v>2</v>
      </c>
    </row>
    <row r="310">
      <c r="A310" s="213"/>
      <c r="B310" s="222"/>
      <c r="AD310" s="186"/>
    </row>
    <row r="311">
      <c r="A311" s="243" t="s">
        <v>336</v>
      </c>
      <c r="B311" s="244"/>
      <c r="C311" s="244"/>
      <c r="D311" s="244"/>
      <c r="E311" s="244"/>
      <c r="F311" s="244"/>
      <c r="G311" s="244"/>
      <c r="H311" s="244"/>
      <c r="I311" s="244"/>
      <c r="J311" s="244"/>
      <c r="K311" s="244"/>
      <c r="L311" s="244"/>
      <c r="M311" s="244"/>
      <c r="N311" s="244"/>
      <c r="O311" s="244"/>
      <c r="P311" s="244"/>
      <c r="Q311" s="244"/>
      <c r="R311" s="244"/>
      <c r="S311" s="244"/>
      <c r="T311" s="244"/>
      <c r="U311" s="244"/>
      <c r="V311" s="244"/>
      <c r="W311" s="244"/>
      <c r="X311" s="244"/>
      <c r="Y311" s="244"/>
      <c r="Z311" s="244"/>
      <c r="AA311" s="244"/>
      <c r="AB311" s="244"/>
      <c r="AC311" s="244"/>
      <c r="AD311" s="186">
        <f t="shared" ref="AD311:AD313" si="101">SUM(B311:AC311)</f>
        <v>0</v>
      </c>
    </row>
    <row r="312">
      <c r="A312" s="243" t="s">
        <v>337</v>
      </c>
      <c r="B312" s="244"/>
      <c r="C312" s="244"/>
      <c r="D312" s="244"/>
      <c r="E312" s="244"/>
      <c r="F312" s="244"/>
      <c r="G312" s="244"/>
      <c r="H312" s="244"/>
      <c r="I312" s="244"/>
      <c r="J312" s="244"/>
      <c r="K312" s="244"/>
      <c r="L312" s="244"/>
      <c r="M312" s="244"/>
      <c r="N312" s="244"/>
      <c r="O312" s="244"/>
      <c r="P312" s="244"/>
      <c r="Q312" s="244"/>
      <c r="R312" s="244"/>
      <c r="S312" s="244"/>
      <c r="T312" s="244"/>
      <c r="U312" s="244"/>
      <c r="V312" s="244"/>
      <c r="W312" s="244"/>
      <c r="X312" s="244"/>
      <c r="Y312" s="244"/>
      <c r="Z312" s="244"/>
      <c r="AA312" s="244"/>
      <c r="AB312" s="244"/>
      <c r="AC312" s="244"/>
      <c r="AD312" s="186">
        <f t="shared" si="101"/>
        <v>0</v>
      </c>
    </row>
    <row r="313">
      <c r="A313" s="247" t="s">
        <v>121</v>
      </c>
      <c r="B313" s="248">
        <f t="shared" ref="B313:AC313" si="102">SUM(B311:B312)</f>
        <v>0</v>
      </c>
      <c r="C313" s="246">
        <f t="shared" si="102"/>
        <v>0</v>
      </c>
      <c r="D313" s="246">
        <f t="shared" si="102"/>
        <v>0</v>
      </c>
      <c r="E313" s="246">
        <f t="shared" si="102"/>
        <v>0</v>
      </c>
      <c r="F313" s="246">
        <f t="shared" si="102"/>
        <v>0</v>
      </c>
      <c r="G313" s="246">
        <f t="shared" si="102"/>
        <v>0</v>
      </c>
      <c r="H313" s="246">
        <f t="shared" si="102"/>
        <v>0</v>
      </c>
      <c r="I313" s="246">
        <f t="shared" si="102"/>
        <v>0</v>
      </c>
      <c r="J313" s="246">
        <f t="shared" si="102"/>
        <v>0</v>
      </c>
      <c r="K313" s="246">
        <f t="shared" si="102"/>
        <v>0</v>
      </c>
      <c r="L313" s="246">
        <f t="shared" si="102"/>
        <v>0</v>
      </c>
      <c r="M313" s="246">
        <f t="shared" si="102"/>
        <v>0</v>
      </c>
      <c r="N313" s="246">
        <f t="shared" si="102"/>
        <v>0</v>
      </c>
      <c r="O313" s="246">
        <f t="shared" si="102"/>
        <v>0</v>
      </c>
      <c r="P313" s="246">
        <f t="shared" si="102"/>
        <v>0</v>
      </c>
      <c r="Q313" s="246">
        <f t="shared" si="102"/>
        <v>0</v>
      </c>
      <c r="R313" s="246">
        <f t="shared" si="102"/>
        <v>0</v>
      </c>
      <c r="S313" s="246">
        <f t="shared" si="102"/>
        <v>0</v>
      </c>
      <c r="T313" s="246">
        <f t="shared" si="102"/>
        <v>0</v>
      </c>
      <c r="U313" s="246">
        <f t="shared" si="102"/>
        <v>0</v>
      </c>
      <c r="V313" s="246">
        <f t="shared" si="102"/>
        <v>0</v>
      </c>
      <c r="W313" s="246">
        <f t="shared" si="102"/>
        <v>0</v>
      </c>
      <c r="X313" s="246">
        <f t="shared" si="102"/>
        <v>0</v>
      </c>
      <c r="Y313" s="246">
        <f t="shared" si="102"/>
        <v>0</v>
      </c>
      <c r="Z313" s="246">
        <f t="shared" si="102"/>
        <v>0</v>
      </c>
      <c r="AA313" s="246">
        <f t="shared" si="102"/>
        <v>0</v>
      </c>
      <c r="AB313" s="246">
        <f t="shared" si="102"/>
        <v>0</v>
      </c>
      <c r="AC313" s="246">
        <f t="shared" si="102"/>
        <v>0</v>
      </c>
      <c r="AD313" s="186">
        <f t="shared" si="101"/>
        <v>0</v>
      </c>
    </row>
    <row r="314">
      <c r="A314" s="213"/>
      <c r="B314" s="222"/>
      <c r="AD314" s="222"/>
    </row>
    <row r="315">
      <c r="A315" s="243" t="s">
        <v>301</v>
      </c>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c r="AA315" s="227"/>
      <c r="AB315" s="227"/>
      <c r="AC315" s="227"/>
      <c r="AD315" s="186">
        <f t="shared" ref="AD315:AD317" si="103">SUM(B315:AC315)</f>
        <v>0</v>
      </c>
    </row>
    <row r="316">
      <c r="A316" s="243" t="s">
        <v>302</v>
      </c>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c r="AA316" s="227"/>
      <c r="AB316" s="227"/>
      <c r="AC316" s="227"/>
      <c r="AD316" s="186">
        <f t="shared" si="103"/>
        <v>0</v>
      </c>
    </row>
    <row r="317">
      <c r="A317" s="247" t="s">
        <v>121</v>
      </c>
      <c r="B317" s="246">
        <f t="shared" ref="B317:AC317" si="104">SUM(B315:B316)</f>
        <v>0</v>
      </c>
      <c r="C317" s="246">
        <f t="shared" si="104"/>
        <v>0</v>
      </c>
      <c r="D317" s="246">
        <f t="shared" si="104"/>
        <v>0</v>
      </c>
      <c r="E317" s="246">
        <f t="shared" si="104"/>
        <v>0</v>
      </c>
      <c r="F317" s="246">
        <f t="shared" si="104"/>
        <v>0</v>
      </c>
      <c r="G317" s="246">
        <f t="shared" si="104"/>
        <v>0</v>
      </c>
      <c r="H317" s="246">
        <f t="shared" si="104"/>
        <v>0</v>
      </c>
      <c r="I317" s="246">
        <f t="shared" si="104"/>
        <v>0</v>
      </c>
      <c r="J317" s="246">
        <f t="shared" si="104"/>
        <v>0</v>
      </c>
      <c r="K317" s="246">
        <f t="shared" si="104"/>
        <v>0</v>
      </c>
      <c r="L317" s="246">
        <f t="shared" si="104"/>
        <v>0</v>
      </c>
      <c r="M317" s="246">
        <f t="shared" si="104"/>
        <v>0</v>
      </c>
      <c r="N317" s="246">
        <f t="shared" si="104"/>
        <v>0</v>
      </c>
      <c r="O317" s="246">
        <f t="shared" si="104"/>
        <v>0</v>
      </c>
      <c r="P317" s="246">
        <f t="shared" si="104"/>
        <v>0</v>
      </c>
      <c r="Q317" s="246">
        <f t="shared" si="104"/>
        <v>0</v>
      </c>
      <c r="R317" s="246">
        <f t="shared" si="104"/>
        <v>0</v>
      </c>
      <c r="S317" s="246">
        <f t="shared" si="104"/>
        <v>0</v>
      </c>
      <c r="T317" s="246">
        <f t="shared" si="104"/>
        <v>0</v>
      </c>
      <c r="U317" s="246">
        <f t="shared" si="104"/>
        <v>0</v>
      </c>
      <c r="V317" s="246">
        <f t="shared" si="104"/>
        <v>0</v>
      </c>
      <c r="W317" s="246">
        <f t="shared" si="104"/>
        <v>0</v>
      </c>
      <c r="X317" s="246">
        <f t="shared" si="104"/>
        <v>0</v>
      </c>
      <c r="Y317" s="246">
        <f t="shared" si="104"/>
        <v>0</v>
      </c>
      <c r="Z317" s="246">
        <f t="shared" si="104"/>
        <v>0</v>
      </c>
      <c r="AA317" s="246">
        <f t="shared" si="104"/>
        <v>0</v>
      </c>
      <c r="AB317" s="246">
        <f t="shared" si="104"/>
        <v>0</v>
      </c>
      <c r="AC317" s="246">
        <f t="shared" si="104"/>
        <v>0</v>
      </c>
      <c r="AD317" s="186">
        <f t="shared" si="103"/>
        <v>0</v>
      </c>
    </row>
    <row r="318">
      <c r="A318" s="213"/>
      <c r="AD318" s="222"/>
    </row>
    <row r="319">
      <c r="A319" s="243" t="s">
        <v>338</v>
      </c>
      <c r="B319" s="203">
        <v>0.0</v>
      </c>
      <c r="C319" s="203">
        <v>0.0</v>
      </c>
      <c r="D319" s="226">
        <v>0.0</v>
      </c>
      <c r="E319" s="226">
        <v>0.0</v>
      </c>
      <c r="F319" s="226">
        <v>0.0</v>
      </c>
      <c r="G319" s="226">
        <v>1.0</v>
      </c>
      <c r="H319" s="226">
        <v>0.0</v>
      </c>
      <c r="I319" s="226">
        <v>0.0</v>
      </c>
      <c r="J319" s="226">
        <v>0.0</v>
      </c>
      <c r="K319" s="226">
        <v>0.0</v>
      </c>
      <c r="L319" s="226">
        <v>0.0</v>
      </c>
      <c r="M319" s="226">
        <v>0.0</v>
      </c>
      <c r="N319" s="226">
        <v>0.0</v>
      </c>
      <c r="O319" s="226">
        <v>2.0</v>
      </c>
      <c r="P319" s="226">
        <v>0.0</v>
      </c>
      <c r="Q319" s="226">
        <v>0.0</v>
      </c>
      <c r="R319" s="226">
        <v>0.0</v>
      </c>
      <c r="S319" s="226">
        <v>0.0</v>
      </c>
      <c r="T319" s="226">
        <v>0.0</v>
      </c>
      <c r="U319" s="226">
        <v>0.0</v>
      </c>
      <c r="V319" s="226">
        <v>0.0</v>
      </c>
      <c r="W319" s="226">
        <v>0.0</v>
      </c>
      <c r="X319" s="226">
        <v>0.0</v>
      </c>
      <c r="Y319" s="226">
        <v>0.0</v>
      </c>
      <c r="Z319" s="226">
        <v>0.0</v>
      </c>
      <c r="AA319" s="226">
        <v>0.0</v>
      </c>
      <c r="AB319" s="226">
        <v>0.0</v>
      </c>
      <c r="AC319" s="226">
        <v>0.0</v>
      </c>
      <c r="AD319" s="186">
        <f t="shared" ref="AD319:AD320" si="106">sum(B319:AC319)</f>
        <v>3</v>
      </c>
    </row>
    <row r="320">
      <c r="A320" s="247" t="s">
        <v>339</v>
      </c>
      <c r="B320" s="246">
        <f t="shared" ref="B320:AC320" si="105">B319</f>
        <v>0</v>
      </c>
      <c r="C320" s="246">
        <f t="shared" si="105"/>
        <v>0</v>
      </c>
      <c r="D320" s="246">
        <f t="shared" si="105"/>
        <v>0</v>
      </c>
      <c r="E320" s="246">
        <f t="shared" si="105"/>
        <v>0</v>
      </c>
      <c r="F320" s="246">
        <f t="shared" si="105"/>
        <v>0</v>
      </c>
      <c r="G320" s="246">
        <f t="shared" si="105"/>
        <v>1</v>
      </c>
      <c r="H320" s="246">
        <f t="shared" si="105"/>
        <v>0</v>
      </c>
      <c r="I320" s="246">
        <f t="shared" si="105"/>
        <v>0</v>
      </c>
      <c r="J320" s="246">
        <f t="shared" si="105"/>
        <v>0</v>
      </c>
      <c r="K320" s="246">
        <f t="shared" si="105"/>
        <v>0</v>
      </c>
      <c r="L320" s="246">
        <f t="shared" si="105"/>
        <v>0</v>
      </c>
      <c r="M320" s="246">
        <f t="shared" si="105"/>
        <v>0</v>
      </c>
      <c r="N320" s="246">
        <f t="shared" si="105"/>
        <v>0</v>
      </c>
      <c r="O320" s="246">
        <f t="shared" si="105"/>
        <v>2</v>
      </c>
      <c r="P320" s="246">
        <f t="shared" si="105"/>
        <v>0</v>
      </c>
      <c r="Q320" s="246">
        <f t="shared" si="105"/>
        <v>0</v>
      </c>
      <c r="R320" s="246">
        <f t="shared" si="105"/>
        <v>0</v>
      </c>
      <c r="S320" s="246">
        <f t="shared" si="105"/>
        <v>0</v>
      </c>
      <c r="T320" s="246">
        <f t="shared" si="105"/>
        <v>0</v>
      </c>
      <c r="U320" s="246">
        <f t="shared" si="105"/>
        <v>0</v>
      </c>
      <c r="V320" s="246">
        <f t="shared" si="105"/>
        <v>0</v>
      </c>
      <c r="W320" s="246">
        <f t="shared" si="105"/>
        <v>0</v>
      </c>
      <c r="X320" s="246">
        <f t="shared" si="105"/>
        <v>0</v>
      </c>
      <c r="Y320" s="246">
        <f t="shared" si="105"/>
        <v>0</v>
      </c>
      <c r="Z320" s="246">
        <f t="shared" si="105"/>
        <v>0</v>
      </c>
      <c r="AA320" s="246">
        <f t="shared" si="105"/>
        <v>0</v>
      </c>
      <c r="AB320" s="246">
        <f t="shared" si="105"/>
        <v>0</v>
      </c>
      <c r="AC320" s="246">
        <f t="shared" si="105"/>
        <v>0</v>
      </c>
      <c r="AD320" s="186">
        <f t="shared" si="106"/>
        <v>3</v>
      </c>
    </row>
    <row r="321">
      <c r="A321" s="213"/>
      <c r="AD321" s="222"/>
    </row>
    <row r="322">
      <c r="A322" s="160" t="s">
        <v>342</v>
      </c>
      <c r="AD322" s="222"/>
    </row>
    <row r="323">
      <c r="A323" s="243" t="s">
        <v>308</v>
      </c>
      <c r="B323" s="226">
        <v>17.0</v>
      </c>
      <c r="C323" s="226">
        <v>15.0</v>
      </c>
      <c r="D323" s="226">
        <v>13.0</v>
      </c>
      <c r="E323" s="226">
        <v>0.0</v>
      </c>
      <c r="F323" s="226">
        <v>0.0</v>
      </c>
      <c r="G323" s="226">
        <v>1.0</v>
      </c>
      <c r="H323" s="226">
        <v>32.0</v>
      </c>
      <c r="I323" s="226">
        <v>13.0</v>
      </c>
      <c r="J323" s="226">
        <v>13.0</v>
      </c>
      <c r="K323" s="226">
        <v>24.0</v>
      </c>
      <c r="L323" s="226">
        <v>15.0</v>
      </c>
      <c r="M323" s="226">
        <v>3.0</v>
      </c>
      <c r="N323" s="226">
        <v>3.0</v>
      </c>
      <c r="O323" s="226">
        <v>10.0</v>
      </c>
      <c r="P323" s="226">
        <v>2.0</v>
      </c>
      <c r="Q323" s="226">
        <v>10.0</v>
      </c>
      <c r="R323" s="226">
        <v>8.0</v>
      </c>
      <c r="S323" s="226">
        <v>4.0</v>
      </c>
      <c r="T323" s="226">
        <v>0.0</v>
      </c>
      <c r="U323" s="226">
        <v>0.0</v>
      </c>
      <c r="V323" s="226">
        <v>1.0</v>
      </c>
      <c r="W323" s="226">
        <v>1.0</v>
      </c>
      <c r="X323" s="226">
        <v>0.0</v>
      </c>
      <c r="Y323" s="226">
        <v>0.0</v>
      </c>
      <c r="Z323" s="226">
        <v>0.0</v>
      </c>
      <c r="AA323" s="226">
        <v>0.0</v>
      </c>
      <c r="AB323" s="226">
        <v>0.0</v>
      </c>
      <c r="AC323" s="226">
        <v>0.0</v>
      </c>
      <c r="AD323" s="186">
        <f t="shared" ref="AD323:AD330" si="107">SUM(B323:AC323)</f>
        <v>185</v>
      </c>
    </row>
    <row r="324">
      <c r="A324" s="243" t="s">
        <v>309</v>
      </c>
      <c r="B324" s="226">
        <v>7.0</v>
      </c>
      <c r="C324" s="226">
        <v>5.0</v>
      </c>
      <c r="D324" s="226">
        <v>9.0</v>
      </c>
      <c r="E324" s="226">
        <v>0.0</v>
      </c>
      <c r="F324" s="226">
        <v>0.0</v>
      </c>
      <c r="G324" s="226">
        <v>0.0</v>
      </c>
      <c r="H324" s="226">
        <v>11.0</v>
      </c>
      <c r="I324" s="226">
        <v>10.0</v>
      </c>
      <c r="J324" s="226">
        <v>4.0</v>
      </c>
      <c r="K324" s="226">
        <v>10.0</v>
      </c>
      <c r="L324" s="226">
        <v>5.0</v>
      </c>
      <c r="M324" s="226">
        <v>0.0</v>
      </c>
      <c r="N324" s="226">
        <v>2.0</v>
      </c>
      <c r="O324" s="226">
        <v>13.0</v>
      </c>
      <c r="P324" s="226">
        <v>1.0</v>
      </c>
      <c r="Q324" s="226">
        <v>1.0</v>
      </c>
      <c r="R324" s="226">
        <v>3.0</v>
      </c>
      <c r="S324" s="226">
        <v>3.0</v>
      </c>
      <c r="T324" s="226">
        <v>0.0</v>
      </c>
      <c r="U324" s="226">
        <v>0.0</v>
      </c>
      <c r="V324" s="226">
        <v>0.0</v>
      </c>
      <c r="W324" s="226">
        <v>1.0</v>
      </c>
      <c r="X324" s="226">
        <v>0.0</v>
      </c>
      <c r="Y324" s="226">
        <v>0.0</v>
      </c>
      <c r="Z324" s="226">
        <v>0.0</v>
      </c>
      <c r="AA324" s="226">
        <v>0.0</v>
      </c>
      <c r="AB324" s="226">
        <v>0.0</v>
      </c>
      <c r="AC324" s="226">
        <v>0.0</v>
      </c>
      <c r="AD324" s="186">
        <f t="shared" si="107"/>
        <v>85</v>
      </c>
    </row>
    <row r="325">
      <c r="A325" s="243" t="s">
        <v>310</v>
      </c>
      <c r="B325" s="226">
        <v>0.0</v>
      </c>
      <c r="C325" s="226">
        <v>0.0</v>
      </c>
      <c r="D325" s="226">
        <v>0.0</v>
      </c>
      <c r="E325" s="226">
        <v>0.0</v>
      </c>
      <c r="F325" s="226">
        <v>0.0</v>
      </c>
      <c r="G325" s="226">
        <v>0.0</v>
      </c>
      <c r="H325" s="226">
        <v>0.0</v>
      </c>
      <c r="I325" s="226">
        <v>0.0</v>
      </c>
      <c r="J325" s="226">
        <v>0.0</v>
      </c>
      <c r="K325" s="226">
        <v>0.0</v>
      </c>
      <c r="L325" s="226">
        <v>0.0</v>
      </c>
      <c r="M325" s="226">
        <v>0.0</v>
      </c>
      <c r="N325" s="226">
        <v>0.0</v>
      </c>
      <c r="O325" s="226">
        <v>0.0</v>
      </c>
      <c r="P325" s="226">
        <v>0.0</v>
      </c>
      <c r="Q325" s="226">
        <v>1.0</v>
      </c>
      <c r="R325" s="226">
        <v>0.0</v>
      </c>
      <c r="S325" s="226">
        <v>0.0</v>
      </c>
      <c r="T325" s="226">
        <v>0.0</v>
      </c>
      <c r="U325" s="226">
        <v>1.0</v>
      </c>
      <c r="V325" s="226">
        <v>0.0</v>
      </c>
      <c r="W325" s="226">
        <v>0.0</v>
      </c>
      <c r="X325" s="226">
        <v>0.0</v>
      </c>
      <c r="Y325" s="226">
        <v>0.0</v>
      </c>
      <c r="Z325" s="226">
        <v>0.0</v>
      </c>
      <c r="AA325" s="226">
        <v>0.0</v>
      </c>
      <c r="AB325" s="226">
        <v>0.0</v>
      </c>
      <c r="AC325" s="226">
        <v>0.0</v>
      </c>
      <c r="AD325" s="186">
        <f t="shared" si="107"/>
        <v>2</v>
      </c>
    </row>
    <row r="326">
      <c r="A326" s="243" t="s">
        <v>311</v>
      </c>
      <c r="B326" s="226">
        <v>0.0</v>
      </c>
      <c r="C326" s="226">
        <v>0.0</v>
      </c>
      <c r="D326" s="226">
        <v>0.0</v>
      </c>
      <c r="E326" s="226">
        <v>0.0</v>
      </c>
      <c r="F326" s="226">
        <v>1.0</v>
      </c>
      <c r="G326" s="226">
        <v>0.0</v>
      </c>
      <c r="H326" s="226">
        <v>0.0</v>
      </c>
      <c r="I326" s="226">
        <v>0.0</v>
      </c>
      <c r="J326" s="226">
        <v>0.0</v>
      </c>
      <c r="K326" s="226">
        <v>0.0</v>
      </c>
      <c r="L326" s="226">
        <v>0.0</v>
      </c>
      <c r="M326" s="226">
        <v>0.0</v>
      </c>
      <c r="N326" s="226">
        <v>0.0</v>
      </c>
      <c r="O326" s="226">
        <v>1.0</v>
      </c>
      <c r="P326" s="226">
        <v>1.0</v>
      </c>
      <c r="Q326" s="226">
        <v>0.0</v>
      </c>
      <c r="R326" s="226">
        <v>0.0</v>
      </c>
      <c r="S326" s="226">
        <v>0.0</v>
      </c>
      <c r="T326" s="226">
        <v>0.0</v>
      </c>
      <c r="U326" s="226">
        <v>1.0</v>
      </c>
      <c r="V326" s="226">
        <v>0.0</v>
      </c>
      <c r="W326" s="226">
        <v>1.0</v>
      </c>
      <c r="X326" s="226">
        <v>0.0</v>
      </c>
      <c r="Y326" s="226">
        <v>0.0</v>
      </c>
      <c r="Z326" s="226">
        <v>0.0</v>
      </c>
      <c r="AA326" s="226">
        <v>0.0</v>
      </c>
      <c r="AB326" s="226">
        <v>0.0</v>
      </c>
      <c r="AC326" s="226">
        <v>0.0</v>
      </c>
      <c r="AD326" s="186">
        <f t="shared" si="107"/>
        <v>5</v>
      </c>
    </row>
    <row r="327">
      <c r="A327" s="243" t="s">
        <v>312</v>
      </c>
      <c r="B327" s="226">
        <v>0.0</v>
      </c>
      <c r="C327" s="226">
        <v>0.0</v>
      </c>
      <c r="D327" s="226">
        <v>0.0</v>
      </c>
      <c r="E327" s="226">
        <v>0.0</v>
      </c>
      <c r="F327" s="226">
        <v>0.0</v>
      </c>
      <c r="G327" s="226">
        <v>0.0</v>
      </c>
      <c r="H327" s="226">
        <v>0.0</v>
      </c>
      <c r="I327" s="226">
        <v>0.0</v>
      </c>
      <c r="J327" s="226">
        <v>0.0</v>
      </c>
      <c r="K327" s="226">
        <v>0.0</v>
      </c>
      <c r="L327" s="226">
        <v>0.0</v>
      </c>
      <c r="M327" s="226">
        <v>0.0</v>
      </c>
      <c r="N327" s="226">
        <v>0.0</v>
      </c>
      <c r="O327" s="226">
        <v>0.0</v>
      </c>
      <c r="P327" s="226">
        <v>0.0</v>
      </c>
      <c r="Q327" s="226">
        <v>0.0</v>
      </c>
      <c r="R327" s="226">
        <v>0.0</v>
      </c>
      <c r="S327" s="226">
        <v>0.0</v>
      </c>
      <c r="T327" s="226">
        <v>0.0</v>
      </c>
      <c r="U327" s="226">
        <v>0.0</v>
      </c>
      <c r="V327" s="226">
        <v>0.0</v>
      </c>
      <c r="W327" s="226">
        <v>0.0</v>
      </c>
      <c r="X327" s="226">
        <v>0.0</v>
      </c>
      <c r="Y327" s="226">
        <v>0.0</v>
      </c>
      <c r="Z327" s="226">
        <v>0.0</v>
      </c>
      <c r="AA327" s="226">
        <v>0.0</v>
      </c>
      <c r="AB327" s="226">
        <v>0.0</v>
      </c>
      <c r="AC327" s="226">
        <v>0.0</v>
      </c>
      <c r="AD327" s="186">
        <f t="shared" si="107"/>
        <v>0</v>
      </c>
    </row>
    <row r="328">
      <c r="A328" s="243" t="s">
        <v>313</v>
      </c>
      <c r="B328" s="226">
        <v>0.0</v>
      </c>
      <c r="C328" s="226">
        <v>0.0</v>
      </c>
      <c r="D328" s="226">
        <v>0.0</v>
      </c>
      <c r="E328" s="226">
        <v>0.0</v>
      </c>
      <c r="F328" s="226">
        <v>0.0</v>
      </c>
      <c r="G328" s="226">
        <v>0.0</v>
      </c>
      <c r="H328" s="226">
        <v>0.0</v>
      </c>
      <c r="I328" s="226">
        <v>0.0</v>
      </c>
      <c r="J328" s="226">
        <v>0.0</v>
      </c>
      <c r="K328" s="226">
        <v>0.0</v>
      </c>
      <c r="L328" s="226">
        <v>0.0</v>
      </c>
      <c r="M328" s="226">
        <v>0.0</v>
      </c>
      <c r="N328" s="226">
        <v>0.0</v>
      </c>
      <c r="O328" s="226">
        <v>0.0</v>
      </c>
      <c r="P328" s="226">
        <v>0.0</v>
      </c>
      <c r="Q328" s="226">
        <v>0.0</v>
      </c>
      <c r="R328" s="226">
        <v>0.0</v>
      </c>
      <c r="S328" s="226">
        <v>0.0</v>
      </c>
      <c r="T328" s="226">
        <v>0.0</v>
      </c>
      <c r="U328" s="226">
        <v>0.0</v>
      </c>
      <c r="V328" s="226">
        <v>0.0</v>
      </c>
      <c r="W328" s="226">
        <v>0.0</v>
      </c>
      <c r="X328" s="226">
        <v>0.0</v>
      </c>
      <c r="Y328" s="226">
        <v>0.0</v>
      </c>
      <c r="Z328" s="226">
        <v>0.0</v>
      </c>
      <c r="AA328" s="226">
        <v>0.0</v>
      </c>
      <c r="AB328" s="226">
        <v>0.0</v>
      </c>
      <c r="AC328" s="226">
        <v>0.0</v>
      </c>
      <c r="AD328" s="186">
        <f t="shared" si="107"/>
        <v>0</v>
      </c>
    </row>
    <row r="329">
      <c r="A329" s="245" t="s">
        <v>298</v>
      </c>
      <c r="B329" s="246">
        <f t="shared" ref="B329:V329" si="108">B323+B325+B327</f>
        <v>17</v>
      </c>
      <c r="C329" s="246">
        <f t="shared" si="108"/>
        <v>15</v>
      </c>
      <c r="D329" s="246">
        <f t="shared" si="108"/>
        <v>13</v>
      </c>
      <c r="E329" s="246">
        <f t="shared" si="108"/>
        <v>0</v>
      </c>
      <c r="F329" s="246">
        <f t="shared" si="108"/>
        <v>0</v>
      </c>
      <c r="G329" s="246">
        <f t="shared" si="108"/>
        <v>1</v>
      </c>
      <c r="H329" s="246">
        <f t="shared" si="108"/>
        <v>32</v>
      </c>
      <c r="I329" s="246">
        <f t="shared" si="108"/>
        <v>13</v>
      </c>
      <c r="J329" s="246">
        <f t="shared" si="108"/>
        <v>13</v>
      </c>
      <c r="K329" s="246">
        <f t="shared" si="108"/>
        <v>24</v>
      </c>
      <c r="L329" s="246">
        <f t="shared" si="108"/>
        <v>15</v>
      </c>
      <c r="M329" s="246">
        <f t="shared" si="108"/>
        <v>3</v>
      </c>
      <c r="N329" s="246">
        <f t="shared" si="108"/>
        <v>3</v>
      </c>
      <c r="O329" s="246">
        <f t="shared" si="108"/>
        <v>10</v>
      </c>
      <c r="P329" s="246">
        <f t="shared" si="108"/>
        <v>2</v>
      </c>
      <c r="Q329" s="246">
        <f t="shared" si="108"/>
        <v>11</v>
      </c>
      <c r="R329" s="246">
        <f t="shared" si="108"/>
        <v>8</v>
      </c>
      <c r="S329" s="246">
        <f t="shared" si="108"/>
        <v>4</v>
      </c>
      <c r="T329" s="246">
        <f t="shared" si="108"/>
        <v>0</v>
      </c>
      <c r="U329" s="246">
        <f t="shared" si="108"/>
        <v>1</v>
      </c>
      <c r="V329" s="246">
        <f t="shared" si="108"/>
        <v>1</v>
      </c>
      <c r="W329" s="246">
        <f>W323+W324+W327</f>
        <v>2</v>
      </c>
      <c r="X329" s="246">
        <f t="shared" ref="X329:AC329" si="109">X323+X325+X327</f>
        <v>0</v>
      </c>
      <c r="Y329" s="246">
        <f t="shared" si="109"/>
        <v>0</v>
      </c>
      <c r="Z329" s="246">
        <f t="shared" si="109"/>
        <v>0</v>
      </c>
      <c r="AA329" s="246">
        <f t="shared" si="109"/>
        <v>0</v>
      </c>
      <c r="AB329" s="246">
        <f t="shared" si="109"/>
        <v>0</v>
      </c>
      <c r="AC329" s="246">
        <f t="shared" si="109"/>
        <v>0</v>
      </c>
      <c r="AD329" s="186">
        <f t="shared" si="107"/>
        <v>188</v>
      </c>
    </row>
    <row r="330">
      <c r="A330" s="245" t="s">
        <v>314</v>
      </c>
      <c r="B330" s="246">
        <f t="shared" ref="B330:AC330" si="110">B324+B326+B328</f>
        <v>7</v>
      </c>
      <c r="C330" s="246">
        <f t="shared" si="110"/>
        <v>5</v>
      </c>
      <c r="D330" s="246">
        <f t="shared" si="110"/>
        <v>9</v>
      </c>
      <c r="E330" s="246">
        <f t="shared" si="110"/>
        <v>0</v>
      </c>
      <c r="F330" s="246">
        <f t="shared" si="110"/>
        <v>1</v>
      </c>
      <c r="G330" s="246">
        <f t="shared" si="110"/>
        <v>0</v>
      </c>
      <c r="H330" s="246">
        <f t="shared" si="110"/>
        <v>11</v>
      </c>
      <c r="I330" s="246">
        <f t="shared" si="110"/>
        <v>10</v>
      </c>
      <c r="J330" s="246">
        <f t="shared" si="110"/>
        <v>4</v>
      </c>
      <c r="K330" s="246">
        <f t="shared" si="110"/>
        <v>10</v>
      </c>
      <c r="L330" s="246">
        <f t="shared" si="110"/>
        <v>5</v>
      </c>
      <c r="M330" s="246">
        <f t="shared" si="110"/>
        <v>0</v>
      </c>
      <c r="N330" s="246">
        <f t="shared" si="110"/>
        <v>2</v>
      </c>
      <c r="O330" s="246">
        <f t="shared" si="110"/>
        <v>14</v>
      </c>
      <c r="P330" s="246">
        <f t="shared" si="110"/>
        <v>2</v>
      </c>
      <c r="Q330" s="246">
        <f t="shared" si="110"/>
        <v>1</v>
      </c>
      <c r="R330" s="246">
        <f t="shared" si="110"/>
        <v>3</v>
      </c>
      <c r="S330" s="246">
        <f t="shared" si="110"/>
        <v>3</v>
      </c>
      <c r="T330" s="246">
        <f t="shared" si="110"/>
        <v>0</v>
      </c>
      <c r="U330" s="246">
        <f t="shared" si="110"/>
        <v>1</v>
      </c>
      <c r="V330" s="246">
        <f t="shared" si="110"/>
        <v>0</v>
      </c>
      <c r="W330" s="246">
        <f t="shared" si="110"/>
        <v>2</v>
      </c>
      <c r="X330" s="246">
        <f t="shared" si="110"/>
        <v>0</v>
      </c>
      <c r="Y330" s="246">
        <f t="shared" si="110"/>
        <v>0</v>
      </c>
      <c r="Z330" s="246">
        <f t="shared" si="110"/>
        <v>0</v>
      </c>
      <c r="AA330" s="246">
        <f t="shared" si="110"/>
        <v>0</v>
      </c>
      <c r="AB330" s="246">
        <f t="shared" si="110"/>
        <v>0</v>
      </c>
      <c r="AC330" s="246">
        <f t="shared" si="110"/>
        <v>0</v>
      </c>
      <c r="AD330" s="186">
        <f t="shared" si="107"/>
        <v>90</v>
      </c>
    </row>
    <row r="331">
      <c r="A331" s="27"/>
      <c r="AD331" s="222"/>
    </row>
    <row r="332">
      <c r="A332" s="243" t="s">
        <v>315</v>
      </c>
      <c r="B332" s="226">
        <v>9.0</v>
      </c>
      <c r="C332" s="226">
        <v>6.0</v>
      </c>
      <c r="D332" s="226">
        <v>6.0</v>
      </c>
      <c r="E332" s="226">
        <v>0.0</v>
      </c>
      <c r="F332" s="226">
        <v>0.0</v>
      </c>
      <c r="G332" s="226">
        <v>1.0</v>
      </c>
      <c r="H332" s="226">
        <v>8.0</v>
      </c>
      <c r="I332" s="226">
        <v>6.0</v>
      </c>
      <c r="J332" s="226">
        <v>5.0</v>
      </c>
      <c r="K332" s="226">
        <v>11.0</v>
      </c>
      <c r="L332" s="226">
        <v>8.0</v>
      </c>
      <c r="M332" s="226">
        <v>0.0</v>
      </c>
      <c r="N332" s="226">
        <v>0.0</v>
      </c>
      <c r="O332" s="226">
        <v>5.0</v>
      </c>
      <c r="P332" s="226">
        <v>1.0</v>
      </c>
      <c r="Q332" s="226">
        <v>2.0</v>
      </c>
      <c r="R332" s="226">
        <v>3.0</v>
      </c>
      <c r="S332" s="226">
        <v>4.0</v>
      </c>
      <c r="T332" s="226">
        <v>0.0</v>
      </c>
      <c r="U332" s="226">
        <v>0.0</v>
      </c>
      <c r="V332" s="226">
        <v>1.0</v>
      </c>
      <c r="W332" s="226">
        <v>0.0</v>
      </c>
      <c r="X332" s="226">
        <v>0.0</v>
      </c>
      <c r="Y332" s="226">
        <v>0.0</v>
      </c>
      <c r="Z332" s="226">
        <v>0.0</v>
      </c>
      <c r="AA332" s="226">
        <v>0.0</v>
      </c>
      <c r="AB332" s="226">
        <v>0.0</v>
      </c>
      <c r="AC332" s="226">
        <v>0.0</v>
      </c>
      <c r="AD332" s="186">
        <f t="shared" ref="AD332:AD337" si="111">sum(B332:AC332)</f>
        <v>76</v>
      </c>
    </row>
    <row r="333">
      <c r="A333" s="243" t="s">
        <v>316</v>
      </c>
      <c r="B333" s="226">
        <v>1.0</v>
      </c>
      <c r="C333" s="226">
        <v>3.0</v>
      </c>
      <c r="D333" s="226">
        <v>1.0</v>
      </c>
      <c r="E333" s="226">
        <v>0.0</v>
      </c>
      <c r="F333" s="226">
        <v>0.0</v>
      </c>
      <c r="G333" s="226">
        <v>0.0</v>
      </c>
      <c r="H333" s="226">
        <v>3.0</v>
      </c>
      <c r="I333" s="226">
        <v>1.0</v>
      </c>
      <c r="J333" s="226">
        <v>0.0</v>
      </c>
      <c r="K333" s="226">
        <v>1.0</v>
      </c>
      <c r="L333" s="226">
        <v>0.0</v>
      </c>
      <c r="M333" s="226">
        <v>0.0</v>
      </c>
      <c r="N333" s="226">
        <v>0.0</v>
      </c>
      <c r="O333" s="226">
        <v>1.0</v>
      </c>
      <c r="P333" s="226">
        <v>0.0</v>
      </c>
      <c r="Q333" s="226">
        <v>0.0</v>
      </c>
      <c r="R333" s="226">
        <v>0.0</v>
      </c>
      <c r="S333" s="226">
        <v>0.0</v>
      </c>
      <c r="T333" s="226">
        <v>0.0</v>
      </c>
      <c r="U333" s="226">
        <v>0.0</v>
      </c>
      <c r="V333" s="226">
        <v>0.0</v>
      </c>
      <c r="W333" s="226">
        <v>1.0</v>
      </c>
      <c r="X333" s="226">
        <v>0.0</v>
      </c>
      <c r="Y333" s="226">
        <v>0.0</v>
      </c>
      <c r="Z333" s="226">
        <v>0.0</v>
      </c>
      <c r="AA333" s="226">
        <v>0.0</v>
      </c>
      <c r="AB333" s="226">
        <v>0.0</v>
      </c>
      <c r="AC333" s="226">
        <v>0.0</v>
      </c>
      <c r="AD333" s="186">
        <f t="shared" si="111"/>
        <v>12</v>
      </c>
    </row>
    <row r="334">
      <c r="A334" s="243" t="s">
        <v>317</v>
      </c>
      <c r="B334" s="226">
        <v>16.0</v>
      </c>
      <c r="C334" s="226">
        <v>11.0</v>
      </c>
      <c r="D334" s="226">
        <v>16.0</v>
      </c>
      <c r="E334" s="226">
        <v>0.0</v>
      </c>
      <c r="F334" s="226">
        <v>0.0</v>
      </c>
      <c r="G334" s="226">
        <v>1.0</v>
      </c>
      <c r="H334" s="226">
        <v>11.0</v>
      </c>
      <c r="I334" s="226">
        <v>8.0</v>
      </c>
      <c r="J334" s="226">
        <v>3.0</v>
      </c>
      <c r="K334" s="226">
        <v>15.0</v>
      </c>
      <c r="L334" s="226">
        <v>10.0</v>
      </c>
      <c r="M334" s="226">
        <v>0.0</v>
      </c>
      <c r="N334" s="226">
        <v>3.0</v>
      </c>
      <c r="O334" s="226">
        <v>12.0</v>
      </c>
      <c r="P334" s="226">
        <v>1.0</v>
      </c>
      <c r="Q334" s="226">
        <v>5.0</v>
      </c>
      <c r="R334" s="226">
        <v>7.0</v>
      </c>
      <c r="S334" s="226">
        <v>2.0</v>
      </c>
      <c r="T334" s="226">
        <v>0.0</v>
      </c>
      <c r="U334" s="226">
        <v>0.0</v>
      </c>
      <c r="V334" s="226">
        <v>1.0</v>
      </c>
      <c r="W334" s="226">
        <v>0.0</v>
      </c>
      <c r="X334" s="226">
        <v>0.0</v>
      </c>
      <c r="Y334" s="226">
        <v>0.0</v>
      </c>
      <c r="Z334" s="226">
        <v>0.0</v>
      </c>
      <c r="AA334" s="226">
        <v>0.0</v>
      </c>
      <c r="AB334" s="226">
        <v>0.0</v>
      </c>
      <c r="AC334" s="226">
        <v>0.0</v>
      </c>
      <c r="AD334" s="186">
        <f t="shared" si="111"/>
        <v>122</v>
      </c>
    </row>
    <row r="335">
      <c r="A335" s="243" t="s">
        <v>318</v>
      </c>
      <c r="B335" s="226">
        <v>1.0</v>
      </c>
      <c r="C335" s="226">
        <v>2.0</v>
      </c>
      <c r="D335" s="226">
        <v>3.0</v>
      </c>
      <c r="E335" s="226">
        <v>0.0</v>
      </c>
      <c r="F335" s="226">
        <v>0.0</v>
      </c>
      <c r="G335" s="226">
        <v>0.0</v>
      </c>
      <c r="H335" s="226">
        <v>0.0</v>
      </c>
      <c r="I335" s="226">
        <v>2.0</v>
      </c>
      <c r="J335" s="226">
        <v>0.0</v>
      </c>
      <c r="K335" s="226">
        <v>2.0</v>
      </c>
      <c r="L335" s="226">
        <v>1.0</v>
      </c>
      <c r="M335" s="226">
        <v>0.0</v>
      </c>
      <c r="N335" s="226">
        <v>0.0</v>
      </c>
      <c r="O335" s="226">
        <v>3.0</v>
      </c>
      <c r="P335" s="226">
        <v>0.0</v>
      </c>
      <c r="Q335" s="226">
        <v>0.0</v>
      </c>
      <c r="R335" s="226">
        <v>0.0</v>
      </c>
      <c r="S335" s="226">
        <v>0.0</v>
      </c>
      <c r="T335" s="226">
        <v>0.0</v>
      </c>
      <c r="U335" s="226">
        <v>0.0</v>
      </c>
      <c r="V335" s="226">
        <v>1.0</v>
      </c>
      <c r="W335" s="226">
        <v>0.0</v>
      </c>
      <c r="X335" s="226">
        <v>0.0</v>
      </c>
      <c r="Y335" s="226">
        <v>0.0</v>
      </c>
      <c r="Z335" s="226">
        <v>0.0</v>
      </c>
      <c r="AA335" s="226">
        <v>0.0</v>
      </c>
      <c r="AB335" s="226">
        <v>0.0</v>
      </c>
      <c r="AC335" s="226">
        <v>0.0</v>
      </c>
      <c r="AD335" s="186">
        <f t="shared" si="111"/>
        <v>15</v>
      </c>
    </row>
    <row r="336">
      <c r="A336" s="243" t="s">
        <v>319</v>
      </c>
      <c r="B336" s="226">
        <v>6.0</v>
      </c>
      <c r="C336" s="226">
        <v>10.0</v>
      </c>
      <c r="D336" s="226">
        <v>6.0</v>
      </c>
      <c r="E336" s="226">
        <v>0.0</v>
      </c>
      <c r="F336" s="226">
        <v>0.0</v>
      </c>
      <c r="G336" s="226">
        <v>0.0</v>
      </c>
      <c r="H336" s="226">
        <v>14.0</v>
      </c>
      <c r="I336" s="226">
        <v>3.0</v>
      </c>
      <c r="J336" s="226">
        <v>1.0</v>
      </c>
      <c r="K336" s="226">
        <v>10.0</v>
      </c>
      <c r="L336" s="226">
        <v>2.0</v>
      </c>
      <c r="M336" s="226">
        <v>0.0</v>
      </c>
      <c r="N336" s="226">
        <v>1.0</v>
      </c>
      <c r="O336" s="226">
        <v>4.0</v>
      </c>
      <c r="P336" s="226">
        <v>0.0</v>
      </c>
      <c r="Q336" s="226">
        <v>4.0</v>
      </c>
      <c r="R336" s="226">
        <v>3.0</v>
      </c>
      <c r="S336" s="226">
        <v>0.0</v>
      </c>
      <c r="T336" s="226">
        <v>0.0</v>
      </c>
      <c r="U336" s="226">
        <v>0.0</v>
      </c>
      <c r="V336" s="226">
        <v>1.0</v>
      </c>
      <c r="W336" s="226">
        <v>0.0</v>
      </c>
      <c r="X336" s="226">
        <v>0.0</v>
      </c>
      <c r="Y336" s="226">
        <v>0.0</v>
      </c>
      <c r="Z336" s="226">
        <v>0.0</v>
      </c>
      <c r="AA336" s="226">
        <v>0.0</v>
      </c>
      <c r="AB336" s="226">
        <v>0.0</v>
      </c>
      <c r="AC336" s="226">
        <v>0.0</v>
      </c>
      <c r="AD336" s="186">
        <f t="shared" si="111"/>
        <v>65</v>
      </c>
    </row>
    <row r="337">
      <c r="A337" s="247" t="s">
        <v>320</v>
      </c>
      <c r="B337" s="246">
        <f t="shared" ref="B337:AC337" si="112">SUM(B332:B336)</f>
        <v>33</v>
      </c>
      <c r="C337" s="246">
        <f t="shared" si="112"/>
        <v>32</v>
      </c>
      <c r="D337" s="246">
        <f t="shared" si="112"/>
        <v>32</v>
      </c>
      <c r="E337" s="246">
        <f t="shared" si="112"/>
        <v>0</v>
      </c>
      <c r="F337" s="246">
        <f t="shared" si="112"/>
        <v>0</v>
      </c>
      <c r="G337" s="246">
        <f t="shared" si="112"/>
        <v>2</v>
      </c>
      <c r="H337" s="246">
        <f t="shared" si="112"/>
        <v>36</v>
      </c>
      <c r="I337" s="246">
        <f t="shared" si="112"/>
        <v>20</v>
      </c>
      <c r="J337" s="246">
        <f t="shared" si="112"/>
        <v>9</v>
      </c>
      <c r="K337" s="246">
        <f t="shared" si="112"/>
        <v>39</v>
      </c>
      <c r="L337" s="246">
        <f t="shared" si="112"/>
        <v>21</v>
      </c>
      <c r="M337" s="246">
        <f t="shared" si="112"/>
        <v>0</v>
      </c>
      <c r="N337" s="246">
        <f t="shared" si="112"/>
        <v>4</v>
      </c>
      <c r="O337" s="246">
        <f t="shared" si="112"/>
        <v>25</v>
      </c>
      <c r="P337" s="246">
        <f t="shared" si="112"/>
        <v>2</v>
      </c>
      <c r="Q337" s="246">
        <f t="shared" si="112"/>
        <v>11</v>
      </c>
      <c r="R337" s="246">
        <f t="shared" si="112"/>
        <v>13</v>
      </c>
      <c r="S337" s="246">
        <f t="shared" si="112"/>
        <v>6</v>
      </c>
      <c r="T337" s="246">
        <f t="shared" si="112"/>
        <v>0</v>
      </c>
      <c r="U337" s="246">
        <f t="shared" si="112"/>
        <v>0</v>
      </c>
      <c r="V337" s="246">
        <f t="shared" si="112"/>
        <v>4</v>
      </c>
      <c r="W337" s="246">
        <f t="shared" si="112"/>
        <v>1</v>
      </c>
      <c r="X337" s="246">
        <f t="shared" si="112"/>
        <v>0</v>
      </c>
      <c r="Y337" s="246">
        <f t="shared" si="112"/>
        <v>0</v>
      </c>
      <c r="Z337" s="246">
        <f t="shared" si="112"/>
        <v>0</v>
      </c>
      <c r="AA337" s="246">
        <f t="shared" si="112"/>
        <v>0</v>
      </c>
      <c r="AB337" s="246">
        <f t="shared" si="112"/>
        <v>0</v>
      </c>
      <c r="AC337" s="246">
        <f t="shared" si="112"/>
        <v>0</v>
      </c>
      <c r="AD337" s="186">
        <f t="shared" si="111"/>
        <v>290</v>
      </c>
    </row>
    <row r="338">
      <c r="A338" s="27"/>
      <c r="AD338" s="222"/>
    </row>
    <row r="339">
      <c r="A339" s="243" t="s">
        <v>321</v>
      </c>
      <c r="B339" s="226">
        <v>0.0</v>
      </c>
      <c r="C339" s="226">
        <v>0.0</v>
      </c>
      <c r="D339" s="226">
        <v>0.0</v>
      </c>
      <c r="E339" s="226">
        <v>0.0</v>
      </c>
      <c r="F339" s="226">
        <v>0.0</v>
      </c>
      <c r="G339" s="226">
        <v>0.0</v>
      </c>
      <c r="H339" s="226">
        <v>0.0</v>
      </c>
      <c r="I339" s="226">
        <v>0.0</v>
      </c>
      <c r="J339" s="226">
        <v>0.0</v>
      </c>
      <c r="K339" s="226">
        <v>0.0</v>
      </c>
      <c r="L339" s="226">
        <v>0.0</v>
      </c>
      <c r="M339" s="226">
        <v>0.0</v>
      </c>
      <c r="N339" s="226">
        <v>0.0</v>
      </c>
      <c r="O339" s="226">
        <v>0.0</v>
      </c>
      <c r="P339" s="226">
        <v>0.0</v>
      </c>
      <c r="Q339" s="226">
        <v>1.0</v>
      </c>
      <c r="R339" s="226">
        <v>0.0</v>
      </c>
      <c r="S339" s="226">
        <v>0.0</v>
      </c>
      <c r="T339" s="226">
        <v>0.0</v>
      </c>
      <c r="U339" s="226">
        <v>0.0</v>
      </c>
      <c r="V339" s="226">
        <v>0.0</v>
      </c>
      <c r="W339" s="226">
        <v>0.0</v>
      </c>
      <c r="X339" s="226">
        <v>0.0</v>
      </c>
      <c r="Y339" s="226">
        <v>0.0</v>
      </c>
      <c r="Z339" s="226">
        <v>0.0</v>
      </c>
      <c r="AA339" s="226">
        <v>0.0</v>
      </c>
      <c r="AB339" s="226">
        <v>0.0</v>
      </c>
      <c r="AC339" s="226">
        <v>0.0</v>
      </c>
      <c r="AD339" s="186">
        <f t="shared" ref="AD339:AD344" si="113">sum(B339:AC339)</f>
        <v>1</v>
      </c>
    </row>
    <row r="340">
      <c r="A340" s="243" t="s">
        <v>322</v>
      </c>
      <c r="B340" s="226">
        <v>0.0</v>
      </c>
      <c r="C340" s="226">
        <v>0.0</v>
      </c>
      <c r="D340" s="226">
        <v>0.0</v>
      </c>
      <c r="E340" s="226">
        <v>0.0</v>
      </c>
      <c r="F340" s="226">
        <v>0.0</v>
      </c>
      <c r="G340" s="226">
        <v>0.0</v>
      </c>
      <c r="H340" s="226">
        <v>0.0</v>
      </c>
      <c r="I340" s="226">
        <v>0.0</v>
      </c>
      <c r="J340" s="226">
        <v>0.0</v>
      </c>
      <c r="K340" s="226">
        <v>0.0</v>
      </c>
      <c r="L340" s="226">
        <v>0.0</v>
      </c>
      <c r="M340" s="226">
        <v>0.0</v>
      </c>
      <c r="N340" s="226">
        <v>0.0</v>
      </c>
      <c r="O340" s="226">
        <v>0.0</v>
      </c>
      <c r="P340" s="226">
        <v>0.0</v>
      </c>
      <c r="Q340" s="226">
        <v>0.0</v>
      </c>
      <c r="R340" s="226">
        <v>0.0</v>
      </c>
      <c r="S340" s="226">
        <v>0.0</v>
      </c>
      <c r="T340" s="226">
        <v>0.0</v>
      </c>
      <c r="U340" s="226">
        <v>0.0</v>
      </c>
      <c r="V340" s="226">
        <v>0.0</v>
      </c>
      <c r="W340" s="226">
        <v>1.0</v>
      </c>
      <c r="X340" s="226">
        <v>0.0</v>
      </c>
      <c r="Y340" s="226">
        <v>0.0</v>
      </c>
      <c r="Z340" s="226">
        <v>0.0</v>
      </c>
      <c r="AA340" s="226">
        <v>0.0</v>
      </c>
      <c r="AB340" s="226">
        <v>0.0</v>
      </c>
      <c r="AC340" s="226">
        <v>0.0</v>
      </c>
      <c r="AD340" s="186">
        <f t="shared" si="113"/>
        <v>1</v>
      </c>
    </row>
    <row r="341">
      <c r="A341" s="243" t="s">
        <v>323</v>
      </c>
      <c r="B341" s="226">
        <v>0.0</v>
      </c>
      <c r="C341" s="226">
        <v>0.0</v>
      </c>
      <c r="D341" s="226">
        <v>0.0</v>
      </c>
      <c r="E341" s="226">
        <v>0.0</v>
      </c>
      <c r="F341" s="226">
        <v>0.0</v>
      </c>
      <c r="G341" s="226">
        <v>0.0</v>
      </c>
      <c r="H341" s="226">
        <v>0.0</v>
      </c>
      <c r="I341" s="226">
        <v>0.0</v>
      </c>
      <c r="J341" s="226">
        <v>0.0</v>
      </c>
      <c r="K341" s="226">
        <v>0.0</v>
      </c>
      <c r="L341" s="226">
        <v>0.0</v>
      </c>
      <c r="M341" s="226">
        <v>0.0</v>
      </c>
      <c r="N341" s="226">
        <v>0.0</v>
      </c>
      <c r="O341" s="226">
        <v>1.0</v>
      </c>
      <c r="P341" s="226">
        <v>0.0</v>
      </c>
      <c r="Q341" s="226">
        <v>1.0</v>
      </c>
      <c r="R341" s="226">
        <v>0.0</v>
      </c>
      <c r="S341" s="226">
        <v>0.0</v>
      </c>
      <c r="T341" s="226">
        <v>0.0</v>
      </c>
      <c r="U341" s="226">
        <v>0.0</v>
      </c>
      <c r="V341" s="226">
        <v>0.0</v>
      </c>
      <c r="W341" s="226">
        <v>1.0</v>
      </c>
      <c r="X341" s="226">
        <v>0.0</v>
      </c>
      <c r="Y341" s="226">
        <v>0.0</v>
      </c>
      <c r="Z341" s="226">
        <v>0.0</v>
      </c>
      <c r="AA341" s="226">
        <v>0.0</v>
      </c>
      <c r="AB341" s="226">
        <v>0.0</v>
      </c>
      <c r="AC341" s="226">
        <v>0.0</v>
      </c>
      <c r="AD341" s="186">
        <f t="shared" si="113"/>
        <v>3</v>
      </c>
    </row>
    <row r="342">
      <c r="A342" s="243" t="s">
        <v>324</v>
      </c>
      <c r="B342" s="226">
        <v>0.0</v>
      </c>
      <c r="C342" s="226">
        <v>0.0</v>
      </c>
      <c r="D342" s="226">
        <v>0.0</v>
      </c>
      <c r="E342" s="226">
        <v>0.0</v>
      </c>
      <c r="F342" s="226">
        <v>0.0</v>
      </c>
      <c r="G342" s="226">
        <v>0.0</v>
      </c>
      <c r="H342" s="226">
        <v>0.0</v>
      </c>
      <c r="I342" s="226">
        <v>0.0</v>
      </c>
      <c r="J342" s="226">
        <v>0.0</v>
      </c>
      <c r="K342" s="226">
        <v>0.0</v>
      </c>
      <c r="L342" s="226">
        <v>0.0</v>
      </c>
      <c r="M342" s="226">
        <v>0.0</v>
      </c>
      <c r="N342" s="226">
        <v>0.0</v>
      </c>
      <c r="O342" s="226">
        <v>0.0</v>
      </c>
      <c r="P342" s="226">
        <v>0.0</v>
      </c>
      <c r="Q342" s="226">
        <v>1.0</v>
      </c>
      <c r="R342" s="226">
        <v>0.0</v>
      </c>
      <c r="S342" s="226">
        <v>0.0</v>
      </c>
      <c r="T342" s="226">
        <v>0.0</v>
      </c>
      <c r="U342" s="226">
        <v>0.0</v>
      </c>
      <c r="V342" s="226">
        <v>0.0</v>
      </c>
      <c r="W342" s="226">
        <v>0.0</v>
      </c>
      <c r="X342" s="226">
        <v>0.0</v>
      </c>
      <c r="Y342" s="226">
        <v>0.0</v>
      </c>
      <c r="Z342" s="226">
        <v>0.0</v>
      </c>
      <c r="AA342" s="226">
        <v>0.0</v>
      </c>
      <c r="AB342" s="226">
        <v>0.0</v>
      </c>
      <c r="AC342" s="226">
        <v>0.0</v>
      </c>
      <c r="AD342" s="186">
        <f t="shared" si="113"/>
        <v>1</v>
      </c>
    </row>
    <row r="343">
      <c r="A343" s="243" t="s">
        <v>325</v>
      </c>
      <c r="B343" s="226">
        <v>0.0</v>
      </c>
      <c r="C343" s="226">
        <v>0.0</v>
      </c>
      <c r="D343" s="226">
        <v>0.0</v>
      </c>
      <c r="E343" s="226">
        <v>0.0</v>
      </c>
      <c r="F343" s="226">
        <v>0.0</v>
      </c>
      <c r="G343" s="226">
        <v>0.0</v>
      </c>
      <c r="H343" s="226">
        <v>0.0</v>
      </c>
      <c r="I343" s="226">
        <v>0.0</v>
      </c>
      <c r="J343" s="226">
        <v>0.0</v>
      </c>
      <c r="K343" s="226">
        <v>0.0</v>
      </c>
      <c r="L343" s="226">
        <v>0.0</v>
      </c>
      <c r="M343" s="226">
        <v>0.0</v>
      </c>
      <c r="N343" s="226">
        <v>0.0</v>
      </c>
      <c r="O343" s="226">
        <v>0.0</v>
      </c>
      <c r="P343" s="226">
        <v>0.0</v>
      </c>
      <c r="Q343" s="226">
        <v>0.0</v>
      </c>
      <c r="R343" s="226">
        <v>0.0</v>
      </c>
      <c r="S343" s="226">
        <v>0.0</v>
      </c>
      <c r="T343" s="226">
        <v>0.0</v>
      </c>
      <c r="U343" s="226">
        <v>0.0</v>
      </c>
      <c r="V343" s="226">
        <v>0.0</v>
      </c>
      <c r="W343" s="226">
        <v>0.0</v>
      </c>
      <c r="X343" s="226">
        <v>0.0</v>
      </c>
      <c r="Y343" s="226">
        <v>0.0</v>
      </c>
      <c r="Z343" s="226">
        <v>0.0</v>
      </c>
      <c r="AA343" s="226">
        <v>0.0</v>
      </c>
      <c r="AB343" s="226">
        <v>0.0</v>
      </c>
      <c r="AC343" s="226">
        <v>0.0</v>
      </c>
      <c r="AD343" s="186">
        <f t="shared" si="113"/>
        <v>0</v>
      </c>
    </row>
    <row r="344">
      <c r="A344" s="247" t="s">
        <v>326</v>
      </c>
      <c r="B344" s="246">
        <f t="shared" ref="B344:R344" si="114">SUM(B339:B343)</f>
        <v>0</v>
      </c>
      <c r="C344" s="246">
        <f t="shared" si="114"/>
        <v>0</v>
      </c>
      <c r="D344" s="246">
        <f t="shared" si="114"/>
        <v>0</v>
      </c>
      <c r="E344" s="246">
        <f t="shared" si="114"/>
        <v>0</v>
      </c>
      <c r="F344" s="246">
        <f t="shared" si="114"/>
        <v>0</v>
      </c>
      <c r="G344" s="246">
        <f t="shared" si="114"/>
        <v>0</v>
      </c>
      <c r="H344" s="246">
        <f t="shared" si="114"/>
        <v>0</v>
      </c>
      <c r="I344" s="246">
        <f t="shared" si="114"/>
        <v>0</v>
      </c>
      <c r="J344" s="246">
        <f t="shared" si="114"/>
        <v>0</v>
      </c>
      <c r="K344" s="246">
        <f t="shared" si="114"/>
        <v>0</v>
      </c>
      <c r="L344" s="246">
        <f t="shared" si="114"/>
        <v>0</v>
      </c>
      <c r="M344" s="246">
        <f t="shared" si="114"/>
        <v>0</v>
      </c>
      <c r="N344" s="246">
        <f t="shared" si="114"/>
        <v>0</v>
      </c>
      <c r="O344" s="246">
        <f t="shared" si="114"/>
        <v>1</v>
      </c>
      <c r="P344" s="246">
        <f t="shared" si="114"/>
        <v>0</v>
      </c>
      <c r="Q344" s="246">
        <f t="shared" si="114"/>
        <v>3</v>
      </c>
      <c r="R344" s="246">
        <f t="shared" si="114"/>
        <v>0</v>
      </c>
      <c r="S344" s="249">
        <v>0.0</v>
      </c>
      <c r="T344" s="246">
        <f t="shared" ref="T344:AC344" si="115">SUM(T339:T343)</f>
        <v>0</v>
      </c>
      <c r="U344" s="246">
        <f t="shared" si="115"/>
        <v>0</v>
      </c>
      <c r="V344" s="246">
        <f t="shared" si="115"/>
        <v>0</v>
      </c>
      <c r="W344" s="246">
        <f t="shared" si="115"/>
        <v>2</v>
      </c>
      <c r="X344" s="246">
        <f t="shared" si="115"/>
        <v>0</v>
      </c>
      <c r="Y344" s="246">
        <f t="shared" si="115"/>
        <v>0</v>
      </c>
      <c r="Z344" s="246">
        <f t="shared" si="115"/>
        <v>0</v>
      </c>
      <c r="AA344" s="246">
        <f t="shared" si="115"/>
        <v>0</v>
      </c>
      <c r="AB344" s="246">
        <f t="shared" si="115"/>
        <v>0</v>
      </c>
      <c r="AC344" s="246">
        <f t="shared" si="115"/>
        <v>0</v>
      </c>
      <c r="AD344" s="186">
        <f t="shared" si="113"/>
        <v>6</v>
      </c>
    </row>
    <row r="345">
      <c r="A345" s="27"/>
      <c r="AD345" s="222"/>
    </row>
    <row r="346">
      <c r="A346" s="243" t="s">
        <v>327</v>
      </c>
      <c r="B346" s="226">
        <v>0.0</v>
      </c>
      <c r="C346" s="226">
        <v>0.0</v>
      </c>
      <c r="D346" s="226">
        <v>0.0</v>
      </c>
      <c r="E346" s="226">
        <v>0.0</v>
      </c>
      <c r="F346" s="226">
        <v>0.0</v>
      </c>
      <c r="G346" s="226">
        <v>0.0</v>
      </c>
      <c r="H346" s="226">
        <v>0.0</v>
      </c>
      <c r="I346" s="226">
        <v>0.0</v>
      </c>
      <c r="J346" s="226">
        <v>0.0</v>
      </c>
      <c r="K346" s="226">
        <v>0.0</v>
      </c>
      <c r="L346" s="226">
        <v>0.0</v>
      </c>
      <c r="M346" s="226">
        <v>0.0</v>
      </c>
      <c r="N346" s="226">
        <v>0.0</v>
      </c>
      <c r="O346" s="226">
        <v>0.0</v>
      </c>
      <c r="P346" s="226">
        <v>0.0</v>
      </c>
      <c r="Q346" s="226">
        <v>0.0</v>
      </c>
      <c r="R346" s="226">
        <v>0.0</v>
      </c>
      <c r="S346" s="226">
        <v>0.0</v>
      </c>
      <c r="T346" s="226">
        <v>0.0</v>
      </c>
      <c r="U346" s="226">
        <v>1.0</v>
      </c>
      <c r="V346" s="226">
        <v>0.0</v>
      </c>
      <c r="W346" s="226">
        <v>0.0</v>
      </c>
      <c r="X346" s="226">
        <v>0.0</v>
      </c>
      <c r="Y346" s="226">
        <v>0.0</v>
      </c>
      <c r="Z346" s="226">
        <v>0.0</v>
      </c>
      <c r="AA346" s="226">
        <v>0.0</v>
      </c>
      <c r="AB346" s="226">
        <v>0.0</v>
      </c>
      <c r="AC346" s="226">
        <v>0.0</v>
      </c>
      <c r="AD346" s="186">
        <f t="shared" ref="AD346:AD351" si="116">sum(B346:AC346)</f>
        <v>1</v>
      </c>
    </row>
    <row r="347">
      <c r="A347" s="243" t="s">
        <v>328</v>
      </c>
      <c r="B347" s="226">
        <v>0.0</v>
      </c>
      <c r="C347" s="226">
        <v>0.0</v>
      </c>
      <c r="D347" s="226">
        <v>0.0</v>
      </c>
      <c r="E347" s="226">
        <v>0.0</v>
      </c>
      <c r="F347" s="226">
        <v>0.0</v>
      </c>
      <c r="G347" s="226">
        <v>0.0</v>
      </c>
      <c r="H347" s="226">
        <v>0.0</v>
      </c>
      <c r="I347" s="226">
        <v>0.0</v>
      </c>
      <c r="J347" s="226">
        <v>0.0</v>
      </c>
      <c r="K347" s="226">
        <v>0.0</v>
      </c>
      <c r="L347" s="226">
        <v>0.0</v>
      </c>
      <c r="M347" s="226">
        <v>0.0</v>
      </c>
      <c r="N347" s="226">
        <v>0.0</v>
      </c>
      <c r="O347" s="226">
        <v>0.0</v>
      </c>
      <c r="P347" s="226">
        <v>0.0</v>
      </c>
      <c r="Q347" s="226">
        <v>0.0</v>
      </c>
      <c r="R347" s="226">
        <v>0.0</v>
      </c>
      <c r="S347" s="226">
        <v>0.0</v>
      </c>
      <c r="T347" s="226">
        <v>0.0</v>
      </c>
      <c r="U347" s="226">
        <v>0.0</v>
      </c>
      <c r="V347" s="226">
        <v>0.0</v>
      </c>
      <c r="W347" s="226">
        <v>0.0</v>
      </c>
      <c r="X347" s="226">
        <v>0.0</v>
      </c>
      <c r="Y347" s="226">
        <v>0.0</v>
      </c>
      <c r="Z347" s="226">
        <v>0.0</v>
      </c>
      <c r="AA347" s="226">
        <v>0.0</v>
      </c>
      <c r="AB347" s="226">
        <v>0.0</v>
      </c>
      <c r="AC347" s="226">
        <v>0.0</v>
      </c>
      <c r="AD347" s="186">
        <f t="shared" si="116"/>
        <v>0</v>
      </c>
    </row>
    <row r="348">
      <c r="A348" s="243" t="s">
        <v>329</v>
      </c>
      <c r="B348" s="226">
        <v>0.0</v>
      </c>
      <c r="C348" s="226">
        <v>0.0</v>
      </c>
      <c r="D348" s="226">
        <v>0.0</v>
      </c>
      <c r="E348" s="226">
        <v>0.0</v>
      </c>
      <c r="F348" s="226">
        <v>0.0</v>
      </c>
      <c r="G348" s="226">
        <v>0.0</v>
      </c>
      <c r="H348" s="226">
        <v>0.0</v>
      </c>
      <c r="I348" s="226">
        <v>0.0</v>
      </c>
      <c r="J348" s="226">
        <v>0.0</v>
      </c>
      <c r="K348" s="226">
        <v>0.0</v>
      </c>
      <c r="L348" s="226">
        <v>0.0</v>
      </c>
      <c r="M348" s="226">
        <v>0.0</v>
      </c>
      <c r="N348" s="226">
        <v>0.0</v>
      </c>
      <c r="O348" s="226">
        <v>0.0</v>
      </c>
      <c r="P348" s="226">
        <v>0.0</v>
      </c>
      <c r="Q348" s="226">
        <v>0.0</v>
      </c>
      <c r="R348" s="226">
        <v>0.0</v>
      </c>
      <c r="S348" s="226">
        <v>0.0</v>
      </c>
      <c r="T348" s="226">
        <v>0.0</v>
      </c>
      <c r="U348" s="226">
        <v>0.0</v>
      </c>
      <c r="V348" s="226">
        <v>0.0</v>
      </c>
      <c r="W348" s="226">
        <v>0.0</v>
      </c>
      <c r="X348" s="226">
        <v>0.0</v>
      </c>
      <c r="Y348" s="226">
        <v>0.0</v>
      </c>
      <c r="Z348" s="226">
        <v>0.0</v>
      </c>
      <c r="AA348" s="226">
        <v>0.0</v>
      </c>
      <c r="AB348" s="226">
        <v>0.0</v>
      </c>
      <c r="AC348" s="226">
        <v>0.0</v>
      </c>
      <c r="AD348" s="186">
        <f t="shared" si="116"/>
        <v>0</v>
      </c>
    </row>
    <row r="349">
      <c r="A349" s="243" t="s">
        <v>330</v>
      </c>
      <c r="B349" s="226">
        <v>0.0</v>
      </c>
      <c r="C349" s="226">
        <v>0.0</v>
      </c>
      <c r="D349" s="226">
        <v>0.0</v>
      </c>
      <c r="E349" s="226">
        <v>0.0</v>
      </c>
      <c r="F349" s="226">
        <v>0.0</v>
      </c>
      <c r="G349" s="226">
        <v>0.0</v>
      </c>
      <c r="H349" s="226">
        <v>0.0</v>
      </c>
      <c r="I349" s="226">
        <v>0.0</v>
      </c>
      <c r="J349" s="226">
        <v>0.0</v>
      </c>
      <c r="K349" s="226">
        <v>0.0</v>
      </c>
      <c r="L349" s="226">
        <v>0.0</v>
      </c>
      <c r="M349" s="226">
        <v>0.0</v>
      </c>
      <c r="N349" s="226">
        <v>0.0</v>
      </c>
      <c r="O349" s="226">
        <v>0.0</v>
      </c>
      <c r="P349" s="226">
        <v>0.0</v>
      </c>
      <c r="Q349" s="226">
        <v>0.0</v>
      </c>
      <c r="R349" s="226">
        <v>0.0</v>
      </c>
      <c r="S349" s="226">
        <v>0.0</v>
      </c>
      <c r="T349" s="226">
        <v>0.0</v>
      </c>
      <c r="U349" s="226">
        <v>1.0</v>
      </c>
      <c r="V349" s="226">
        <v>0.0</v>
      </c>
      <c r="W349" s="226">
        <v>0.0</v>
      </c>
      <c r="X349" s="226">
        <v>0.0</v>
      </c>
      <c r="Y349" s="226">
        <v>0.0</v>
      </c>
      <c r="Z349" s="226">
        <v>0.0</v>
      </c>
      <c r="AA349" s="226">
        <v>0.0</v>
      </c>
      <c r="AB349" s="226">
        <v>0.0</v>
      </c>
      <c r="AC349" s="226">
        <v>0.0</v>
      </c>
      <c r="AD349" s="186">
        <f t="shared" si="116"/>
        <v>1</v>
      </c>
    </row>
    <row r="350">
      <c r="A350" s="243" t="s">
        <v>331</v>
      </c>
      <c r="B350" s="226">
        <v>0.0</v>
      </c>
      <c r="C350" s="226">
        <v>0.0</v>
      </c>
      <c r="D350" s="226">
        <v>0.0</v>
      </c>
      <c r="E350" s="226">
        <v>0.0</v>
      </c>
      <c r="F350" s="226">
        <v>0.0</v>
      </c>
      <c r="G350" s="226">
        <v>0.0</v>
      </c>
      <c r="H350" s="226">
        <v>0.0</v>
      </c>
      <c r="I350" s="226">
        <v>0.0</v>
      </c>
      <c r="J350" s="226">
        <v>0.0</v>
      </c>
      <c r="K350" s="226">
        <v>0.0</v>
      </c>
      <c r="L350" s="226">
        <v>0.0</v>
      </c>
      <c r="M350" s="226">
        <v>0.0</v>
      </c>
      <c r="N350" s="226">
        <v>0.0</v>
      </c>
      <c r="O350" s="226">
        <v>0.0</v>
      </c>
      <c r="P350" s="226">
        <v>0.0</v>
      </c>
      <c r="Q350" s="226">
        <v>0.0</v>
      </c>
      <c r="R350" s="226">
        <v>0.0</v>
      </c>
      <c r="S350" s="226">
        <v>0.0</v>
      </c>
      <c r="T350" s="226">
        <v>0.0</v>
      </c>
      <c r="U350" s="226">
        <v>0.0</v>
      </c>
      <c r="V350" s="226">
        <v>0.0</v>
      </c>
      <c r="W350" s="226">
        <v>0.0</v>
      </c>
      <c r="X350" s="226">
        <v>0.0</v>
      </c>
      <c r="Y350" s="226">
        <v>0.0</v>
      </c>
      <c r="Z350" s="226">
        <v>0.0</v>
      </c>
      <c r="AA350" s="226">
        <v>0.0</v>
      </c>
      <c r="AB350" s="226">
        <v>0.0</v>
      </c>
      <c r="AC350" s="226">
        <v>0.0</v>
      </c>
      <c r="AD350" s="186">
        <f t="shared" si="116"/>
        <v>0</v>
      </c>
    </row>
    <row r="351">
      <c r="A351" s="247" t="s">
        <v>332</v>
      </c>
      <c r="B351" s="246">
        <f t="shared" ref="B351:AC351" si="117">SUM(B346:B350)</f>
        <v>0</v>
      </c>
      <c r="C351" s="246">
        <f t="shared" si="117"/>
        <v>0</v>
      </c>
      <c r="D351" s="246">
        <f t="shared" si="117"/>
        <v>0</v>
      </c>
      <c r="E351" s="246">
        <f t="shared" si="117"/>
        <v>0</v>
      </c>
      <c r="F351" s="246">
        <f t="shared" si="117"/>
        <v>0</v>
      </c>
      <c r="G351" s="246">
        <f t="shared" si="117"/>
        <v>0</v>
      </c>
      <c r="H351" s="246">
        <f t="shared" si="117"/>
        <v>0</v>
      </c>
      <c r="I351" s="246">
        <f t="shared" si="117"/>
        <v>0</v>
      </c>
      <c r="J351" s="246">
        <f t="shared" si="117"/>
        <v>0</v>
      </c>
      <c r="K351" s="246">
        <f t="shared" si="117"/>
        <v>0</v>
      </c>
      <c r="L351" s="246">
        <f t="shared" si="117"/>
        <v>0</v>
      </c>
      <c r="M351" s="246">
        <f t="shared" si="117"/>
        <v>0</v>
      </c>
      <c r="N351" s="246">
        <f t="shared" si="117"/>
        <v>0</v>
      </c>
      <c r="O351" s="246">
        <f t="shared" si="117"/>
        <v>0</v>
      </c>
      <c r="P351" s="246">
        <f t="shared" si="117"/>
        <v>0</v>
      </c>
      <c r="Q351" s="246">
        <f t="shared" si="117"/>
        <v>0</v>
      </c>
      <c r="R351" s="246">
        <f t="shared" si="117"/>
        <v>0</v>
      </c>
      <c r="S351" s="246">
        <f t="shared" si="117"/>
        <v>0</v>
      </c>
      <c r="T351" s="246">
        <f t="shared" si="117"/>
        <v>0</v>
      </c>
      <c r="U351" s="246">
        <f t="shared" si="117"/>
        <v>2</v>
      </c>
      <c r="V351" s="246">
        <f t="shared" si="117"/>
        <v>0</v>
      </c>
      <c r="W351" s="246">
        <f t="shared" si="117"/>
        <v>0</v>
      </c>
      <c r="X351" s="246">
        <f t="shared" si="117"/>
        <v>0</v>
      </c>
      <c r="Y351" s="246">
        <f t="shared" si="117"/>
        <v>0</v>
      </c>
      <c r="Z351" s="246">
        <f t="shared" si="117"/>
        <v>0</v>
      </c>
      <c r="AA351" s="246">
        <f t="shared" si="117"/>
        <v>0</v>
      </c>
      <c r="AB351" s="246">
        <f t="shared" si="117"/>
        <v>0</v>
      </c>
      <c r="AC351" s="246">
        <f t="shared" si="117"/>
        <v>0</v>
      </c>
      <c r="AD351" s="186">
        <f t="shared" si="116"/>
        <v>2</v>
      </c>
    </row>
    <row r="352">
      <c r="A352" s="213"/>
      <c r="AD352" s="222"/>
    </row>
    <row r="353">
      <c r="A353" s="243" t="s">
        <v>336</v>
      </c>
      <c r="B353" s="226">
        <v>0.0</v>
      </c>
      <c r="C353" s="226">
        <v>0.0</v>
      </c>
      <c r="D353" s="226">
        <v>0.0</v>
      </c>
      <c r="E353" s="226">
        <v>0.0</v>
      </c>
      <c r="F353" s="226">
        <v>0.0</v>
      </c>
      <c r="G353" s="226">
        <v>0.0</v>
      </c>
      <c r="H353" s="226">
        <v>0.0</v>
      </c>
      <c r="I353" s="226">
        <v>0.0</v>
      </c>
      <c r="J353" s="226">
        <v>0.0</v>
      </c>
      <c r="K353" s="226">
        <v>0.0</v>
      </c>
      <c r="L353" s="226">
        <v>0.0</v>
      </c>
      <c r="M353" s="226">
        <v>0.0</v>
      </c>
      <c r="N353" s="226">
        <v>0.0</v>
      </c>
      <c r="O353" s="226">
        <v>0.0</v>
      </c>
      <c r="P353" s="226">
        <v>0.0</v>
      </c>
      <c r="Q353" s="226">
        <v>1.0</v>
      </c>
      <c r="R353" s="226">
        <v>0.0</v>
      </c>
      <c r="S353" s="226">
        <v>0.0</v>
      </c>
      <c r="T353" s="226">
        <v>0.0</v>
      </c>
      <c r="U353" s="226">
        <v>0.0</v>
      </c>
      <c r="V353" s="226">
        <v>0.0</v>
      </c>
      <c r="W353" s="226">
        <v>0.0</v>
      </c>
      <c r="X353" s="226">
        <v>0.0</v>
      </c>
      <c r="Y353" s="226">
        <v>0.0</v>
      </c>
      <c r="Z353" s="226">
        <v>0.0</v>
      </c>
      <c r="AA353" s="226">
        <v>0.0</v>
      </c>
      <c r="AB353" s="226">
        <v>0.0</v>
      </c>
      <c r="AC353" s="226">
        <v>0.0</v>
      </c>
      <c r="AD353" s="186">
        <f t="shared" ref="AD353:AD355" si="118">sum(B353:AC353)</f>
        <v>1</v>
      </c>
    </row>
    <row r="354">
      <c r="A354" s="243" t="s">
        <v>337</v>
      </c>
      <c r="B354" s="226">
        <v>0.0</v>
      </c>
      <c r="C354" s="226">
        <v>0.0</v>
      </c>
      <c r="D354" s="226">
        <v>0.0</v>
      </c>
      <c r="E354" s="226">
        <v>0.0</v>
      </c>
      <c r="F354" s="226">
        <v>0.0</v>
      </c>
      <c r="G354" s="226">
        <v>0.0</v>
      </c>
      <c r="H354" s="226">
        <v>0.0</v>
      </c>
      <c r="I354" s="226">
        <v>0.0</v>
      </c>
      <c r="J354" s="226">
        <v>0.0</v>
      </c>
      <c r="K354" s="226">
        <v>0.0</v>
      </c>
      <c r="L354" s="226">
        <v>0.0</v>
      </c>
      <c r="M354" s="226">
        <v>0.0</v>
      </c>
      <c r="N354" s="226">
        <v>0.0</v>
      </c>
      <c r="O354" s="226">
        <v>0.0</v>
      </c>
      <c r="P354" s="226">
        <v>0.0</v>
      </c>
      <c r="Q354" s="226">
        <v>0.0</v>
      </c>
      <c r="R354" s="226">
        <v>0.0</v>
      </c>
      <c r="S354" s="226">
        <v>0.0</v>
      </c>
      <c r="T354" s="226">
        <v>0.0</v>
      </c>
      <c r="U354" s="226">
        <v>0.0</v>
      </c>
      <c r="V354" s="226">
        <v>0.0</v>
      </c>
      <c r="W354" s="226">
        <v>0.0</v>
      </c>
      <c r="X354" s="226">
        <v>0.0</v>
      </c>
      <c r="Y354" s="226">
        <v>0.0</v>
      </c>
      <c r="Z354" s="226">
        <v>0.0</v>
      </c>
      <c r="AA354" s="226">
        <v>0.0</v>
      </c>
      <c r="AB354" s="226">
        <v>0.0</v>
      </c>
      <c r="AC354" s="226">
        <v>0.0</v>
      </c>
      <c r="AD354" s="186">
        <f t="shared" si="118"/>
        <v>0</v>
      </c>
    </row>
    <row r="355">
      <c r="A355" s="247" t="s">
        <v>121</v>
      </c>
      <c r="B355" s="246">
        <f t="shared" ref="B355:AC355" si="119">SUM(B353:B354)</f>
        <v>0</v>
      </c>
      <c r="C355" s="246">
        <f t="shared" si="119"/>
        <v>0</v>
      </c>
      <c r="D355" s="246">
        <f t="shared" si="119"/>
        <v>0</v>
      </c>
      <c r="E355" s="246">
        <f t="shared" si="119"/>
        <v>0</v>
      </c>
      <c r="F355" s="246">
        <f t="shared" si="119"/>
        <v>0</v>
      </c>
      <c r="G355" s="246">
        <f t="shared" si="119"/>
        <v>0</v>
      </c>
      <c r="H355" s="246">
        <f t="shared" si="119"/>
        <v>0</v>
      </c>
      <c r="I355" s="246">
        <f t="shared" si="119"/>
        <v>0</v>
      </c>
      <c r="J355" s="246">
        <f t="shared" si="119"/>
        <v>0</v>
      </c>
      <c r="K355" s="246">
        <f t="shared" si="119"/>
        <v>0</v>
      </c>
      <c r="L355" s="246">
        <f t="shared" si="119"/>
        <v>0</v>
      </c>
      <c r="M355" s="246">
        <f t="shared" si="119"/>
        <v>0</v>
      </c>
      <c r="N355" s="246">
        <f t="shared" si="119"/>
        <v>0</v>
      </c>
      <c r="O355" s="246">
        <f t="shared" si="119"/>
        <v>0</v>
      </c>
      <c r="P355" s="246">
        <f t="shared" si="119"/>
        <v>0</v>
      </c>
      <c r="Q355" s="246">
        <f t="shared" si="119"/>
        <v>1</v>
      </c>
      <c r="R355" s="246">
        <f t="shared" si="119"/>
        <v>0</v>
      </c>
      <c r="S355" s="246">
        <f t="shared" si="119"/>
        <v>0</v>
      </c>
      <c r="T355" s="246">
        <f t="shared" si="119"/>
        <v>0</v>
      </c>
      <c r="U355" s="246">
        <f t="shared" si="119"/>
        <v>0</v>
      </c>
      <c r="V355" s="246">
        <f t="shared" si="119"/>
        <v>0</v>
      </c>
      <c r="W355" s="246">
        <f t="shared" si="119"/>
        <v>0</v>
      </c>
      <c r="X355" s="246">
        <f t="shared" si="119"/>
        <v>0</v>
      </c>
      <c r="Y355" s="246">
        <f t="shared" si="119"/>
        <v>0</v>
      </c>
      <c r="Z355" s="246">
        <f t="shared" si="119"/>
        <v>0</v>
      </c>
      <c r="AA355" s="246">
        <f t="shared" si="119"/>
        <v>0</v>
      </c>
      <c r="AB355" s="246">
        <f t="shared" si="119"/>
        <v>0</v>
      </c>
      <c r="AC355" s="246">
        <f t="shared" si="119"/>
        <v>0</v>
      </c>
      <c r="AD355" s="186">
        <f t="shared" si="118"/>
        <v>1</v>
      </c>
    </row>
    <row r="356">
      <c r="A356" s="213"/>
      <c r="AD356" s="222"/>
    </row>
    <row r="357">
      <c r="A357" s="243" t="s">
        <v>301</v>
      </c>
      <c r="B357" s="226">
        <v>0.0</v>
      </c>
      <c r="C357" s="226">
        <v>1.0</v>
      </c>
      <c r="D357" s="226">
        <v>0.0</v>
      </c>
      <c r="E357" s="226">
        <v>0.0</v>
      </c>
      <c r="F357" s="226">
        <v>0.0</v>
      </c>
      <c r="G357" s="226">
        <v>0.0</v>
      </c>
      <c r="H357" s="226">
        <v>0.0</v>
      </c>
      <c r="I357" s="226">
        <v>0.0</v>
      </c>
      <c r="J357" s="226">
        <v>0.0</v>
      </c>
      <c r="K357" s="226">
        <v>0.0</v>
      </c>
      <c r="L357" s="226">
        <v>0.0</v>
      </c>
      <c r="M357" s="226">
        <v>0.0</v>
      </c>
      <c r="N357" s="226">
        <v>0.0</v>
      </c>
      <c r="O357" s="226">
        <v>0.0</v>
      </c>
      <c r="P357" s="226">
        <v>0.0</v>
      </c>
      <c r="Q357" s="226">
        <v>0.0</v>
      </c>
      <c r="R357" s="226">
        <v>0.0</v>
      </c>
      <c r="S357" s="226">
        <v>0.0</v>
      </c>
      <c r="T357" s="226">
        <v>0.0</v>
      </c>
      <c r="U357" s="226">
        <v>0.0</v>
      </c>
      <c r="V357" s="226">
        <v>0.0</v>
      </c>
      <c r="W357" s="226">
        <v>0.0</v>
      </c>
      <c r="X357" s="226">
        <v>0.0</v>
      </c>
      <c r="Y357" s="226">
        <v>0.0</v>
      </c>
      <c r="Z357" s="226">
        <v>0.0</v>
      </c>
      <c r="AA357" s="226">
        <v>0.0</v>
      </c>
      <c r="AB357" s="226">
        <v>0.0</v>
      </c>
      <c r="AC357" s="226">
        <v>0.0</v>
      </c>
      <c r="AD357" s="186">
        <f t="shared" ref="AD357:AD359" si="120">sum(B357:AC357)</f>
        <v>1</v>
      </c>
    </row>
    <row r="358">
      <c r="A358" s="243" t="s">
        <v>302</v>
      </c>
      <c r="B358" s="226">
        <v>0.0</v>
      </c>
      <c r="C358" s="226">
        <v>0.0</v>
      </c>
      <c r="D358" s="226">
        <v>0.0</v>
      </c>
      <c r="E358" s="226">
        <v>0.0</v>
      </c>
      <c r="F358" s="226">
        <v>0.0</v>
      </c>
      <c r="G358" s="226">
        <v>0.0</v>
      </c>
      <c r="H358" s="226">
        <v>0.0</v>
      </c>
      <c r="I358" s="226">
        <v>0.0</v>
      </c>
      <c r="J358" s="226">
        <v>0.0</v>
      </c>
      <c r="K358" s="226">
        <v>0.0</v>
      </c>
      <c r="L358" s="226">
        <v>0.0</v>
      </c>
      <c r="M358" s="226">
        <v>0.0</v>
      </c>
      <c r="N358" s="226">
        <v>0.0</v>
      </c>
      <c r="O358" s="226">
        <v>0.0</v>
      </c>
      <c r="P358" s="226">
        <v>0.0</v>
      </c>
      <c r="Q358" s="226">
        <v>0.0</v>
      </c>
      <c r="R358" s="226">
        <v>0.0</v>
      </c>
      <c r="S358" s="226">
        <v>0.0</v>
      </c>
      <c r="T358" s="226">
        <v>0.0</v>
      </c>
      <c r="U358" s="226">
        <v>0.0</v>
      </c>
      <c r="V358" s="226">
        <v>0.0</v>
      </c>
      <c r="W358" s="226">
        <v>0.0</v>
      </c>
      <c r="X358" s="226">
        <v>0.0</v>
      </c>
      <c r="Y358" s="226">
        <v>0.0</v>
      </c>
      <c r="Z358" s="226">
        <v>0.0</v>
      </c>
      <c r="AA358" s="226">
        <v>0.0</v>
      </c>
      <c r="AB358" s="226">
        <v>0.0</v>
      </c>
      <c r="AC358" s="226">
        <v>0.0</v>
      </c>
      <c r="AD358" s="186">
        <f t="shared" si="120"/>
        <v>0</v>
      </c>
    </row>
    <row r="359">
      <c r="A359" s="247" t="s">
        <v>121</v>
      </c>
      <c r="B359" s="246">
        <f t="shared" ref="B359:AC359" si="121">SUM(B357:B358)</f>
        <v>0</v>
      </c>
      <c r="C359" s="246">
        <f t="shared" si="121"/>
        <v>1</v>
      </c>
      <c r="D359" s="246">
        <f t="shared" si="121"/>
        <v>0</v>
      </c>
      <c r="E359" s="246">
        <f t="shared" si="121"/>
        <v>0</v>
      </c>
      <c r="F359" s="246">
        <f t="shared" si="121"/>
        <v>0</v>
      </c>
      <c r="G359" s="246">
        <f t="shared" si="121"/>
        <v>0</v>
      </c>
      <c r="H359" s="246">
        <f t="shared" si="121"/>
        <v>0</v>
      </c>
      <c r="I359" s="246">
        <f t="shared" si="121"/>
        <v>0</v>
      </c>
      <c r="J359" s="246">
        <f t="shared" si="121"/>
        <v>0</v>
      </c>
      <c r="K359" s="246">
        <f t="shared" si="121"/>
        <v>0</v>
      </c>
      <c r="L359" s="246">
        <f t="shared" si="121"/>
        <v>0</v>
      </c>
      <c r="M359" s="246">
        <f t="shared" si="121"/>
        <v>0</v>
      </c>
      <c r="N359" s="246">
        <f t="shared" si="121"/>
        <v>0</v>
      </c>
      <c r="O359" s="246">
        <f t="shared" si="121"/>
        <v>0</v>
      </c>
      <c r="P359" s="246">
        <f t="shared" si="121"/>
        <v>0</v>
      </c>
      <c r="Q359" s="246">
        <f t="shared" si="121"/>
        <v>0</v>
      </c>
      <c r="R359" s="246">
        <f t="shared" si="121"/>
        <v>0</v>
      </c>
      <c r="S359" s="246">
        <f t="shared" si="121"/>
        <v>0</v>
      </c>
      <c r="T359" s="246">
        <f t="shared" si="121"/>
        <v>0</v>
      </c>
      <c r="U359" s="246">
        <f t="shared" si="121"/>
        <v>0</v>
      </c>
      <c r="V359" s="246">
        <f t="shared" si="121"/>
        <v>0</v>
      </c>
      <c r="W359" s="246">
        <f t="shared" si="121"/>
        <v>0</v>
      </c>
      <c r="X359" s="246">
        <f t="shared" si="121"/>
        <v>0</v>
      </c>
      <c r="Y359" s="246">
        <f t="shared" si="121"/>
        <v>0</v>
      </c>
      <c r="Z359" s="246">
        <f t="shared" si="121"/>
        <v>0</v>
      </c>
      <c r="AA359" s="246">
        <f t="shared" si="121"/>
        <v>0</v>
      </c>
      <c r="AB359" s="246">
        <f t="shared" si="121"/>
        <v>0</v>
      </c>
      <c r="AC359" s="246">
        <f t="shared" si="121"/>
        <v>0</v>
      </c>
      <c r="AD359" s="186">
        <f t="shared" si="120"/>
        <v>1</v>
      </c>
    </row>
    <row r="360">
      <c r="A360" s="213"/>
      <c r="AD360" s="222"/>
    </row>
    <row r="361">
      <c r="A361" s="243" t="s">
        <v>338</v>
      </c>
      <c r="B361" s="226">
        <v>0.0</v>
      </c>
      <c r="C361" s="226">
        <v>0.0</v>
      </c>
      <c r="D361" s="226">
        <v>0.0</v>
      </c>
      <c r="E361" s="226">
        <v>0.0</v>
      </c>
      <c r="F361" s="226">
        <v>0.0</v>
      </c>
      <c r="G361" s="226">
        <v>0.0</v>
      </c>
      <c r="H361" s="226">
        <v>0.0</v>
      </c>
      <c r="I361" s="226">
        <v>0.0</v>
      </c>
      <c r="J361" s="226">
        <v>0.0</v>
      </c>
      <c r="K361" s="226">
        <v>0.0</v>
      </c>
      <c r="L361" s="226">
        <v>0.0</v>
      </c>
      <c r="M361" s="226">
        <v>0.0</v>
      </c>
      <c r="N361" s="226">
        <v>0.0</v>
      </c>
      <c r="O361" s="226">
        <v>0.0</v>
      </c>
      <c r="P361" s="226">
        <v>0.0</v>
      </c>
      <c r="Q361" s="226">
        <v>0.0</v>
      </c>
      <c r="R361" s="226">
        <v>0.0</v>
      </c>
      <c r="S361" s="226">
        <v>0.0</v>
      </c>
      <c r="T361" s="226">
        <v>0.0</v>
      </c>
      <c r="U361" s="226">
        <v>0.0</v>
      </c>
      <c r="V361" s="226">
        <v>0.0</v>
      </c>
      <c r="W361" s="226">
        <v>0.0</v>
      </c>
      <c r="X361" s="226">
        <v>0.0</v>
      </c>
      <c r="Y361" s="226">
        <v>0.0</v>
      </c>
      <c r="Z361" s="226">
        <v>0.0</v>
      </c>
      <c r="AA361" s="226">
        <v>0.0</v>
      </c>
      <c r="AB361" s="226">
        <v>0.0</v>
      </c>
      <c r="AC361" s="226">
        <v>0.0</v>
      </c>
      <c r="AD361" s="186">
        <f t="shared" ref="AD361:AD362" si="123">sum(B361:AC361)</f>
        <v>0</v>
      </c>
    </row>
    <row r="362">
      <c r="A362" s="247" t="s">
        <v>339</v>
      </c>
      <c r="B362" s="246">
        <f t="shared" ref="B362:AC362" si="122">B361</f>
        <v>0</v>
      </c>
      <c r="C362" s="246">
        <f t="shared" si="122"/>
        <v>0</v>
      </c>
      <c r="D362" s="246">
        <f t="shared" si="122"/>
        <v>0</v>
      </c>
      <c r="E362" s="246">
        <f t="shared" si="122"/>
        <v>0</v>
      </c>
      <c r="F362" s="246">
        <f t="shared" si="122"/>
        <v>0</v>
      </c>
      <c r="G362" s="246">
        <f t="shared" si="122"/>
        <v>0</v>
      </c>
      <c r="H362" s="246">
        <f t="shared" si="122"/>
        <v>0</v>
      </c>
      <c r="I362" s="246">
        <f t="shared" si="122"/>
        <v>0</v>
      </c>
      <c r="J362" s="246">
        <f t="shared" si="122"/>
        <v>0</v>
      </c>
      <c r="K362" s="246">
        <f t="shared" si="122"/>
        <v>0</v>
      </c>
      <c r="L362" s="246">
        <f t="shared" si="122"/>
        <v>0</v>
      </c>
      <c r="M362" s="246">
        <f t="shared" si="122"/>
        <v>0</v>
      </c>
      <c r="N362" s="246">
        <f t="shared" si="122"/>
        <v>0</v>
      </c>
      <c r="O362" s="246">
        <f t="shared" si="122"/>
        <v>0</v>
      </c>
      <c r="P362" s="246">
        <f t="shared" si="122"/>
        <v>0</v>
      </c>
      <c r="Q362" s="246">
        <f t="shared" si="122"/>
        <v>0</v>
      </c>
      <c r="R362" s="246">
        <f t="shared" si="122"/>
        <v>0</v>
      </c>
      <c r="S362" s="246">
        <f t="shared" si="122"/>
        <v>0</v>
      </c>
      <c r="T362" s="246">
        <f t="shared" si="122"/>
        <v>0</v>
      </c>
      <c r="U362" s="246">
        <f t="shared" si="122"/>
        <v>0</v>
      </c>
      <c r="V362" s="246">
        <f t="shared" si="122"/>
        <v>0</v>
      </c>
      <c r="W362" s="246">
        <f t="shared" si="122"/>
        <v>0</v>
      </c>
      <c r="X362" s="246">
        <f t="shared" si="122"/>
        <v>0</v>
      </c>
      <c r="Y362" s="246">
        <f t="shared" si="122"/>
        <v>0</v>
      </c>
      <c r="Z362" s="246">
        <f t="shared" si="122"/>
        <v>0</v>
      </c>
      <c r="AA362" s="246">
        <f t="shared" si="122"/>
        <v>0</v>
      </c>
      <c r="AB362" s="246">
        <f t="shared" si="122"/>
        <v>0</v>
      </c>
      <c r="AC362" s="246">
        <f t="shared" si="122"/>
        <v>0</v>
      </c>
      <c r="AD362" s="186">
        <f t="shared" si="123"/>
        <v>0</v>
      </c>
    </row>
    <row r="363">
      <c r="A363" s="213"/>
      <c r="AD363" s="222"/>
    </row>
    <row r="364">
      <c r="A364" s="243" t="s">
        <v>343</v>
      </c>
      <c r="B364" s="226">
        <v>25.0</v>
      </c>
      <c r="C364" s="226">
        <v>20.0</v>
      </c>
      <c r="D364" s="226">
        <v>25.0</v>
      </c>
      <c r="E364" s="226">
        <v>0.0</v>
      </c>
      <c r="F364" s="226">
        <v>0.0</v>
      </c>
      <c r="G364" s="226">
        <v>1.0</v>
      </c>
      <c r="H364" s="226">
        <v>45.0</v>
      </c>
      <c r="I364" s="226">
        <v>23.0</v>
      </c>
      <c r="J364" s="226">
        <v>18.0</v>
      </c>
      <c r="K364" s="226">
        <v>35.0</v>
      </c>
      <c r="L364" s="226">
        <v>19.0</v>
      </c>
      <c r="M364" s="226">
        <v>2.0</v>
      </c>
      <c r="N364" s="226">
        <v>5.0</v>
      </c>
      <c r="O364" s="226">
        <v>22.0</v>
      </c>
      <c r="P364" s="226">
        <v>2.0</v>
      </c>
      <c r="Q364" s="226">
        <v>11.0</v>
      </c>
      <c r="R364" s="226">
        <v>12.0</v>
      </c>
      <c r="S364" s="226">
        <v>7.0</v>
      </c>
      <c r="T364" s="226">
        <v>0.0</v>
      </c>
      <c r="U364" s="226">
        <v>0.0</v>
      </c>
      <c r="V364" s="226">
        <v>1.0</v>
      </c>
      <c r="W364" s="226">
        <v>3.0</v>
      </c>
      <c r="X364" s="226">
        <v>0.0</v>
      </c>
      <c r="Y364" s="226">
        <v>0.0</v>
      </c>
      <c r="Z364" s="226">
        <v>0.0</v>
      </c>
      <c r="AA364" s="226">
        <v>0.0</v>
      </c>
      <c r="AB364" s="226">
        <v>0.0</v>
      </c>
      <c r="AC364" s="226">
        <v>0.0</v>
      </c>
      <c r="AD364" s="186">
        <f t="shared" ref="AD364:AD367" si="124">sum(B364:AC364)</f>
        <v>276</v>
      </c>
    </row>
    <row r="365">
      <c r="A365" s="243" t="s">
        <v>344</v>
      </c>
      <c r="B365" s="226">
        <v>0.0</v>
      </c>
      <c r="C365" s="226">
        <v>0.0</v>
      </c>
      <c r="D365" s="226">
        <v>0.0</v>
      </c>
      <c r="E365" s="226">
        <v>0.0</v>
      </c>
      <c r="F365" s="226">
        <v>1.0</v>
      </c>
      <c r="G365" s="226">
        <v>0.0</v>
      </c>
      <c r="H365" s="226">
        <v>0.0</v>
      </c>
      <c r="I365" s="226">
        <v>0.0</v>
      </c>
      <c r="J365" s="226">
        <v>0.0</v>
      </c>
      <c r="K365" s="226">
        <v>0.0</v>
      </c>
      <c r="L365" s="226">
        <v>0.0</v>
      </c>
      <c r="M365" s="226">
        <v>0.0</v>
      </c>
      <c r="N365" s="226">
        <v>0.0</v>
      </c>
      <c r="O365" s="226">
        <v>1.0</v>
      </c>
      <c r="P365" s="226">
        <v>1.0</v>
      </c>
      <c r="Q365" s="226">
        <v>1.0</v>
      </c>
      <c r="R365" s="226">
        <v>0.0</v>
      </c>
      <c r="S365" s="226">
        <v>0.0</v>
      </c>
      <c r="T365" s="226">
        <v>0.0</v>
      </c>
      <c r="U365" s="226">
        <v>2.0</v>
      </c>
      <c r="V365" s="226">
        <v>0.0</v>
      </c>
      <c r="W365" s="226">
        <v>1.0</v>
      </c>
      <c r="X365" s="226">
        <v>0.0</v>
      </c>
      <c r="Y365" s="226">
        <v>0.0</v>
      </c>
      <c r="Z365" s="226">
        <v>0.0</v>
      </c>
      <c r="AA365" s="226">
        <v>0.0</v>
      </c>
      <c r="AB365" s="226">
        <v>0.0</v>
      </c>
      <c r="AC365" s="226">
        <v>0.0</v>
      </c>
      <c r="AD365" s="186">
        <f t="shared" si="124"/>
        <v>7</v>
      </c>
    </row>
    <row r="366">
      <c r="A366" s="243" t="s">
        <v>345</v>
      </c>
      <c r="B366" s="226">
        <v>0.0</v>
      </c>
      <c r="C366" s="226">
        <v>0.0</v>
      </c>
      <c r="D366" s="226">
        <v>0.0</v>
      </c>
      <c r="E366" s="226">
        <v>0.0</v>
      </c>
      <c r="F366" s="226">
        <v>0.0</v>
      </c>
      <c r="G366" s="226">
        <v>0.0</v>
      </c>
      <c r="H366" s="226">
        <v>0.0</v>
      </c>
      <c r="I366" s="226">
        <v>0.0</v>
      </c>
      <c r="J366" s="226">
        <v>0.0</v>
      </c>
      <c r="K366" s="226">
        <v>0.0</v>
      </c>
      <c r="L366" s="226">
        <v>0.0</v>
      </c>
      <c r="M366" s="226">
        <v>0.0</v>
      </c>
      <c r="N366" s="226">
        <v>0.0</v>
      </c>
      <c r="O366" s="226">
        <v>0.0</v>
      </c>
      <c r="P366" s="226">
        <v>0.0</v>
      </c>
      <c r="Q366" s="226">
        <v>0.0</v>
      </c>
      <c r="R366" s="226">
        <v>0.0</v>
      </c>
      <c r="S366" s="226">
        <v>0.0</v>
      </c>
      <c r="T366" s="226">
        <v>0.0</v>
      </c>
      <c r="U366" s="226">
        <v>0.0</v>
      </c>
      <c r="V366" s="226">
        <v>0.0</v>
      </c>
      <c r="W366" s="226">
        <v>0.0</v>
      </c>
      <c r="X366" s="226">
        <v>0.0</v>
      </c>
      <c r="Y366" s="226">
        <v>0.0</v>
      </c>
      <c r="Z366" s="226">
        <v>0.0</v>
      </c>
      <c r="AA366" s="226">
        <v>0.0</v>
      </c>
      <c r="AB366" s="226">
        <v>0.0</v>
      </c>
      <c r="AC366" s="226">
        <v>0.0</v>
      </c>
      <c r="AD366" s="186">
        <f t="shared" si="124"/>
        <v>0</v>
      </c>
    </row>
    <row r="367">
      <c r="A367" s="247" t="s">
        <v>339</v>
      </c>
      <c r="B367" s="246">
        <f t="shared" ref="B367:AC367" si="125">SUM(B364:B366)</f>
        <v>25</v>
      </c>
      <c r="C367" s="246">
        <f t="shared" si="125"/>
        <v>20</v>
      </c>
      <c r="D367" s="246">
        <f t="shared" si="125"/>
        <v>25</v>
      </c>
      <c r="E367" s="246">
        <f t="shared" si="125"/>
        <v>0</v>
      </c>
      <c r="F367" s="246">
        <f t="shared" si="125"/>
        <v>1</v>
      </c>
      <c r="G367" s="246">
        <f t="shared" si="125"/>
        <v>1</v>
      </c>
      <c r="H367" s="246">
        <f t="shared" si="125"/>
        <v>45</v>
      </c>
      <c r="I367" s="246">
        <f t="shared" si="125"/>
        <v>23</v>
      </c>
      <c r="J367" s="246">
        <f t="shared" si="125"/>
        <v>18</v>
      </c>
      <c r="K367" s="246">
        <f t="shared" si="125"/>
        <v>35</v>
      </c>
      <c r="L367" s="246">
        <f t="shared" si="125"/>
        <v>19</v>
      </c>
      <c r="M367" s="246">
        <f t="shared" si="125"/>
        <v>2</v>
      </c>
      <c r="N367" s="246">
        <f t="shared" si="125"/>
        <v>5</v>
      </c>
      <c r="O367" s="246">
        <f t="shared" si="125"/>
        <v>23</v>
      </c>
      <c r="P367" s="246">
        <f t="shared" si="125"/>
        <v>3</v>
      </c>
      <c r="Q367" s="246">
        <f t="shared" si="125"/>
        <v>12</v>
      </c>
      <c r="R367" s="246">
        <f t="shared" si="125"/>
        <v>12</v>
      </c>
      <c r="S367" s="246">
        <f t="shared" si="125"/>
        <v>7</v>
      </c>
      <c r="T367" s="246">
        <f t="shared" si="125"/>
        <v>0</v>
      </c>
      <c r="U367" s="246">
        <f t="shared" si="125"/>
        <v>2</v>
      </c>
      <c r="V367" s="246">
        <f t="shared" si="125"/>
        <v>1</v>
      </c>
      <c r="W367" s="246">
        <f t="shared" si="125"/>
        <v>4</v>
      </c>
      <c r="X367" s="246">
        <f t="shared" si="125"/>
        <v>0</v>
      </c>
      <c r="Y367" s="246">
        <f t="shared" si="125"/>
        <v>0</v>
      </c>
      <c r="Z367" s="246">
        <f t="shared" si="125"/>
        <v>0</v>
      </c>
      <c r="AA367" s="246">
        <f t="shared" si="125"/>
        <v>0</v>
      </c>
      <c r="AB367" s="246">
        <f t="shared" si="125"/>
        <v>0</v>
      </c>
      <c r="AC367" s="246">
        <f t="shared" si="125"/>
        <v>0</v>
      </c>
      <c r="AD367" s="186">
        <f t="shared" si="124"/>
        <v>283</v>
      </c>
    </row>
    <row r="368">
      <c r="A368" s="213"/>
      <c r="B368" s="222"/>
      <c r="AD368" s="222"/>
    </row>
    <row r="369">
      <c r="A369" s="160" t="s">
        <v>346</v>
      </c>
      <c r="B369" s="157"/>
      <c r="C369" s="157"/>
      <c r="D369" s="157"/>
      <c r="E369" s="157"/>
      <c r="F369" s="157"/>
      <c r="G369" s="157"/>
      <c r="H369" s="157"/>
      <c r="I369" s="23"/>
      <c r="J369" s="23"/>
      <c r="K369" s="23"/>
      <c r="L369" s="23"/>
      <c r="M369" s="23"/>
      <c r="N369" s="23"/>
      <c r="O369" s="23"/>
      <c r="P369" s="23"/>
      <c r="Q369" s="23"/>
      <c r="R369" s="23"/>
      <c r="S369" s="23"/>
      <c r="T369" s="23"/>
      <c r="U369" s="23"/>
      <c r="V369" s="23"/>
      <c r="W369" s="23"/>
      <c r="X369" s="23"/>
      <c r="Y369" s="23"/>
      <c r="Z369" s="23"/>
      <c r="AA369" s="23"/>
      <c r="AB369" s="23"/>
      <c r="AC369" s="23"/>
      <c r="AD369" s="222"/>
    </row>
    <row r="370">
      <c r="A370" s="243" t="s">
        <v>347</v>
      </c>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233">
        <f t="shared" ref="AD370:AD373" si="126">SUM(B370:AC370)</f>
        <v>0</v>
      </c>
    </row>
    <row r="371">
      <c r="A371" s="243" t="s">
        <v>348</v>
      </c>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233">
        <f t="shared" si="126"/>
        <v>0</v>
      </c>
    </row>
    <row r="372">
      <c r="A372" s="243" t="s">
        <v>349</v>
      </c>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233">
        <f t="shared" si="126"/>
        <v>0</v>
      </c>
    </row>
    <row r="373">
      <c r="A373" s="250" t="s">
        <v>320</v>
      </c>
      <c r="B373" s="251"/>
      <c r="C373" s="251"/>
      <c r="D373" s="251"/>
      <c r="E373" s="251"/>
      <c r="F373" s="251"/>
      <c r="G373" s="251"/>
      <c r="H373" s="251"/>
      <c r="I373" s="251"/>
      <c r="J373" s="251"/>
      <c r="K373" s="251"/>
      <c r="L373" s="251"/>
      <c r="M373" s="251"/>
      <c r="N373" s="251"/>
      <c r="O373" s="251"/>
      <c r="P373" s="251"/>
      <c r="Q373" s="251"/>
      <c r="R373" s="251"/>
      <c r="S373" s="251"/>
      <c r="T373" s="251"/>
      <c r="U373" s="251"/>
      <c r="V373" s="251"/>
      <c r="W373" s="251"/>
      <c r="X373" s="251"/>
      <c r="Y373" s="251"/>
      <c r="Z373" s="251"/>
      <c r="AA373" s="251"/>
      <c r="AB373" s="251"/>
      <c r="AC373" s="251"/>
      <c r="AD373" s="233">
        <f t="shared" si="126"/>
        <v>0</v>
      </c>
    </row>
    <row r="374">
      <c r="A374" s="213"/>
      <c r="AD374" s="233"/>
    </row>
    <row r="375">
      <c r="A375" s="243" t="s">
        <v>350</v>
      </c>
      <c r="B375" s="238">
        <f>199+24+22+269+24+22+12</f>
        <v>572</v>
      </c>
      <c r="C375" s="238">
        <v>0.0</v>
      </c>
      <c r="D375" s="232">
        <f>24+207</f>
        <v>231</v>
      </c>
      <c r="E375" s="232">
        <v>0.0</v>
      </c>
      <c r="F375" s="232">
        <f>189+18+24</f>
        <v>231</v>
      </c>
      <c r="G375" s="232">
        <v>0.0</v>
      </c>
      <c r="H375" s="232">
        <f>22+24+24+22</f>
        <v>92</v>
      </c>
      <c r="I375" s="232">
        <v>199.0</v>
      </c>
      <c r="J375" s="232">
        <f>258+18+228.1+18.2+12.1+18+248</f>
        <v>800.4</v>
      </c>
      <c r="K375" s="232">
        <v>0.0</v>
      </c>
      <c r="L375" s="232">
        <v>70.0</v>
      </c>
      <c r="M375" s="232">
        <f>228.7+269</f>
        <v>497.7</v>
      </c>
      <c r="N375" s="232">
        <f>249+12</f>
        <v>261</v>
      </c>
      <c r="O375" s="232">
        <f>14+22+22+14+70+269+17.8</f>
        <v>428.8</v>
      </c>
      <c r="P375" s="232">
        <v>0.0</v>
      </c>
      <c r="Q375" s="232">
        <v>463.0</v>
      </c>
      <c r="R375" s="232">
        <f>24+30+269+22</f>
        <v>345</v>
      </c>
      <c r="S375" s="232">
        <f>259+12+24+14+24</f>
        <v>333</v>
      </c>
      <c r="T375" s="232">
        <f>12+17.9+35.8+23.8+70</f>
        <v>159.5</v>
      </c>
      <c r="U375" s="232">
        <f>18.3+18.3+24.4+199+70+199</f>
        <v>529</v>
      </c>
      <c r="V375" s="238">
        <f t="shared" ref="V375:V376" si="127">(V373)*0.22</f>
        <v>0</v>
      </c>
      <c r="W375" s="232">
        <f>259+18+18</f>
        <v>295</v>
      </c>
      <c r="X375" s="238">
        <f t="shared" ref="X375:X376" si="128">(X373)*0.22</f>
        <v>0</v>
      </c>
      <c r="Y375" s="232">
        <v>0.0</v>
      </c>
      <c r="Z375" s="232">
        <v>0.0</v>
      </c>
      <c r="AA375" s="232">
        <v>0.0</v>
      </c>
      <c r="AB375" s="232">
        <v>0.0</v>
      </c>
      <c r="AC375" s="232">
        <v>0.0</v>
      </c>
      <c r="AD375" s="233">
        <f t="shared" ref="AD375:AD378" si="129">SUM(B375:AC375)</f>
        <v>5507.4</v>
      </c>
    </row>
    <row r="376">
      <c r="A376" s="243" t="s">
        <v>351</v>
      </c>
      <c r="B376" s="232">
        <f>32+32+13</f>
        <v>77</v>
      </c>
      <c r="C376" s="238">
        <v>0.0</v>
      </c>
      <c r="D376" s="232">
        <f>10+13</f>
        <v>23</v>
      </c>
      <c r="E376" s="232">
        <v>0.0</v>
      </c>
      <c r="F376" s="232">
        <f>27+10</f>
        <v>37</v>
      </c>
      <c r="G376" s="232">
        <v>0.0</v>
      </c>
      <c r="H376" s="232">
        <f>20+20</f>
        <v>40</v>
      </c>
      <c r="I376" s="232">
        <v>32.0</v>
      </c>
      <c r="J376" s="232">
        <f>32+21.8+13</f>
        <v>66.8</v>
      </c>
      <c r="K376" s="232">
        <v>0.0</v>
      </c>
      <c r="L376" s="232">
        <v>10.0</v>
      </c>
      <c r="M376" s="232">
        <f>13.4+35</f>
        <v>48.4</v>
      </c>
      <c r="N376" s="232">
        <v>32.0</v>
      </c>
      <c r="O376" s="232">
        <f>30+32+32+11.9</f>
        <v>105.9</v>
      </c>
      <c r="P376" s="232">
        <v>0.0</v>
      </c>
      <c r="Q376" s="232">
        <v>13.4</v>
      </c>
      <c r="R376" s="232">
        <f>10+35</f>
        <v>45</v>
      </c>
      <c r="S376" s="232">
        <f>32+15+10</f>
        <v>57</v>
      </c>
      <c r="T376" s="232">
        <f>32+11.9+32</f>
        <v>75.9</v>
      </c>
      <c r="U376" s="232">
        <f>15.9+35+35</f>
        <v>85.9</v>
      </c>
      <c r="V376" s="238">
        <f t="shared" si="127"/>
        <v>0</v>
      </c>
      <c r="W376" s="232">
        <f>32+13</f>
        <v>45</v>
      </c>
      <c r="X376" s="238">
        <f t="shared" si="128"/>
        <v>0</v>
      </c>
      <c r="Y376" s="232">
        <v>0.0</v>
      </c>
      <c r="Z376" s="232">
        <v>0.0</v>
      </c>
      <c r="AA376" s="232">
        <v>0.0</v>
      </c>
      <c r="AB376" s="232">
        <v>0.0</v>
      </c>
      <c r="AC376" s="232">
        <v>0.0</v>
      </c>
      <c r="AD376" s="233">
        <f t="shared" si="129"/>
        <v>794.3</v>
      </c>
    </row>
    <row r="377">
      <c r="A377" s="243" t="s">
        <v>352</v>
      </c>
      <c r="B377" s="238">
        <f t="shared" ref="B377:AC377" si="130">(B375)*0.22</f>
        <v>125.84</v>
      </c>
      <c r="C377" s="238">
        <f t="shared" si="130"/>
        <v>0</v>
      </c>
      <c r="D377" s="238">
        <f t="shared" si="130"/>
        <v>50.82</v>
      </c>
      <c r="E377" s="238">
        <f t="shared" si="130"/>
        <v>0</v>
      </c>
      <c r="F377" s="238">
        <f t="shared" si="130"/>
        <v>50.82</v>
      </c>
      <c r="G377" s="238">
        <f t="shared" si="130"/>
        <v>0</v>
      </c>
      <c r="H377" s="238">
        <f t="shared" si="130"/>
        <v>20.24</v>
      </c>
      <c r="I377" s="238">
        <f t="shared" si="130"/>
        <v>43.78</v>
      </c>
      <c r="J377" s="238">
        <f t="shared" si="130"/>
        <v>176.088</v>
      </c>
      <c r="K377" s="238">
        <f t="shared" si="130"/>
        <v>0</v>
      </c>
      <c r="L377" s="238">
        <f t="shared" si="130"/>
        <v>15.4</v>
      </c>
      <c r="M377" s="238">
        <f t="shared" si="130"/>
        <v>109.494</v>
      </c>
      <c r="N377" s="238">
        <f t="shared" si="130"/>
        <v>57.42</v>
      </c>
      <c r="O377" s="238">
        <f t="shared" si="130"/>
        <v>94.336</v>
      </c>
      <c r="P377" s="238">
        <f t="shared" si="130"/>
        <v>0</v>
      </c>
      <c r="Q377" s="238">
        <f t="shared" si="130"/>
        <v>101.86</v>
      </c>
      <c r="R377" s="238">
        <f t="shared" si="130"/>
        <v>75.9</v>
      </c>
      <c r="S377" s="238">
        <f t="shared" si="130"/>
        <v>73.26</v>
      </c>
      <c r="T377" s="238">
        <f t="shared" si="130"/>
        <v>35.09</v>
      </c>
      <c r="U377" s="238">
        <f t="shared" si="130"/>
        <v>116.38</v>
      </c>
      <c r="V377" s="238">
        <f t="shared" si="130"/>
        <v>0</v>
      </c>
      <c r="W377" s="238">
        <f t="shared" si="130"/>
        <v>64.9</v>
      </c>
      <c r="X377" s="238">
        <f t="shared" si="130"/>
        <v>0</v>
      </c>
      <c r="Y377" s="238">
        <f t="shared" si="130"/>
        <v>0</v>
      </c>
      <c r="Z377" s="238">
        <f t="shared" si="130"/>
        <v>0</v>
      </c>
      <c r="AA377" s="238">
        <f t="shared" si="130"/>
        <v>0</v>
      </c>
      <c r="AB377" s="238">
        <f t="shared" si="130"/>
        <v>0</v>
      </c>
      <c r="AC377" s="238">
        <f t="shared" si="130"/>
        <v>0</v>
      </c>
      <c r="AD377" s="233">
        <f t="shared" si="129"/>
        <v>1211.628</v>
      </c>
    </row>
    <row r="378">
      <c r="A378" s="250" t="s">
        <v>326</v>
      </c>
      <c r="B378" s="251">
        <f t="shared" ref="B378:AC378" si="131">B375+B376</f>
        <v>649</v>
      </c>
      <c r="C378" s="251">
        <f t="shared" si="131"/>
        <v>0</v>
      </c>
      <c r="D378" s="251">
        <f t="shared" si="131"/>
        <v>254</v>
      </c>
      <c r="E378" s="251">
        <f t="shared" si="131"/>
        <v>0</v>
      </c>
      <c r="F378" s="251">
        <f t="shared" si="131"/>
        <v>268</v>
      </c>
      <c r="G378" s="251">
        <f t="shared" si="131"/>
        <v>0</v>
      </c>
      <c r="H378" s="251">
        <f t="shared" si="131"/>
        <v>132</v>
      </c>
      <c r="I378" s="251">
        <f t="shared" si="131"/>
        <v>231</v>
      </c>
      <c r="J378" s="251">
        <f t="shared" si="131"/>
        <v>867.2</v>
      </c>
      <c r="K378" s="251">
        <f t="shared" si="131"/>
        <v>0</v>
      </c>
      <c r="L378" s="251">
        <f t="shared" si="131"/>
        <v>80</v>
      </c>
      <c r="M378" s="251">
        <f t="shared" si="131"/>
        <v>546.1</v>
      </c>
      <c r="N378" s="251">
        <f t="shared" si="131"/>
        <v>293</v>
      </c>
      <c r="O378" s="251">
        <f t="shared" si="131"/>
        <v>534.7</v>
      </c>
      <c r="P378" s="251">
        <f t="shared" si="131"/>
        <v>0</v>
      </c>
      <c r="Q378" s="251">
        <f t="shared" si="131"/>
        <v>476.4</v>
      </c>
      <c r="R378" s="251">
        <f t="shared" si="131"/>
        <v>390</v>
      </c>
      <c r="S378" s="251">
        <f t="shared" si="131"/>
        <v>390</v>
      </c>
      <c r="T378" s="251">
        <f t="shared" si="131"/>
        <v>235.4</v>
      </c>
      <c r="U378" s="251">
        <f t="shared" si="131"/>
        <v>614.9</v>
      </c>
      <c r="V378" s="251">
        <f t="shared" si="131"/>
        <v>0</v>
      </c>
      <c r="W378" s="251">
        <f t="shared" si="131"/>
        <v>340</v>
      </c>
      <c r="X378" s="251">
        <f t="shared" si="131"/>
        <v>0</v>
      </c>
      <c r="Y378" s="251">
        <f t="shared" si="131"/>
        <v>0</v>
      </c>
      <c r="Z378" s="251">
        <f t="shared" si="131"/>
        <v>0</v>
      </c>
      <c r="AA378" s="251">
        <f t="shared" si="131"/>
        <v>0</v>
      </c>
      <c r="AB378" s="251">
        <f t="shared" si="131"/>
        <v>0</v>
      </c>
      <c r="AC378" s="251">
        <f t="shared" si="131"/>
        <v>0</v>
      </c>
      <c r="AD378" s="233">
        <f t="shared" si="129"/>
        <v>6301.7</v>
      </c>
    </row>
    <row r="379">
      <c r="A379" s="213"/>
      <c r="B379" s="226"/>
      <c r="C379" s="226"/>
      <c r="D379" s="226"/>
      <c r="E379" s="226"/>
      <c r="F379" s="226"/>
      <c r="G379" s="226"/>
      <c r="H379" s="226"/>
      <c r="I379" s="226"/>
      <c r="J379" s="226"/>
      <c r="K379" s="226"/>
      <c r="L379" s="226"/>
      <c r="M379" s="226"/>
      <c r="N379" s="226"/>
      <c r="O379" s="208"/>
      <c r="P379" s="208"/>
      <c r="Q379" s="208"/>
      <c r="R379" s="208"/>
      <c r="S379" s="208"/>
      <c r="T379" s="208"/>
      <c r="U379" s="208"/>
      <c r="V379" s="208"/>
      <c r="W379" s="208"/>
      <c r="X379" s="208"/>
      <c r="Y379" s="208"/>
      <c r="Z379" s="208"/>
      <c r="AA379" s="208"/>
      <c r="AB379" s="208"/>
      <c r="AC379" s="208"/>
      <c r="AD379" s="233"/>
    </row>
    <row r="380">
      <c r="A380" s="243" t="s">
        <v>353</v>
      </c>
      <c r="B380" s="59"/>
      <c r="C380" s="59"/>
      <c r="D380" s="59"/>
      <c r="E380" s="59"/>
      <c r="F380" s="59"/>
      <c r="G380" s="59"/>
      <c r="H380" s="59"/>
      <c r="I380" s="59"/>
      <c r="J380" s="59"/>
      <c r="K380" s="59"/>
      <c r="L380" s="59"/>
      <c r="M380" s="232">
        <f>269+18</f>
        <v>287</v>
      </c>
      <c r="N380" s="59"/>
      <c r="O380" s="59"/>
      <c r="P380" s="59"/>
      <c r="Q380" s="59"/>
      <c r="R380" s="59"/>
      <c r="S380" s="232">
        <v>189.0</v>
      </c>
      <c r="T380" s="59"/>
      <c r="U380" s="59"/>
      <c r="V380" s="59"/>
      <c r="W380" s="232">
        <f>230.9+18.4</f>
        <v>249.3</v>
      </c>
      <c r="X380" s="59"/>
      <c r="Y380" s="59"/>
      <c r="Z380" s="59"/>
      <c r="AA380" s="59"/>
      <c r="AB380" s="59"/>
      <c r="AC380" s="59"/>
      <c r="AD380" s="233">
        <f t="shared" ref="AD380:AD383" si="132">SUM(B380:AC380)</f>
        <v>725.3</v>
      </c>
    </row>
    <row r="381">
      <c r="A381" s="243" t="s">
        <v>354</v>
      </c>
      <c r="B381" s="59"/>
      <c r="C381" s="59"/>
      <c r="D381" s="59"/>
      <c r="E381" s="59"/>
      <c r="F381" s="59"/>
      <c r="G381" s="59"/>
      <c r="H381" s="59"/>
      <c r="I381" s="59"/>
      <c r="J381" s="59"/>
      <c r="K381" s="59"/>
      <c r="L381" s="59"/>
      <c r="M381" s="232">
        <v>32.0</v>
      </c>
      <c r="N381" s="59"/>
      <c r="O381" s="59"/>
      <c r="P381" s="59"/>
      <c r="Q381" s="59"/>
      <c r="R381" s="59"/>
      <c r="S381" s="232">
        <v>27.0</v>
      </c>
      <c r="T381" s="59"/>
      <c r="U381" s="59"/>
      <c r="V381" s="59"/>
      <c r="W381" s="232">
        <v>27.0</v>
      </c>
      <c r="X381" s="59"/>
      <c r="Y381" s="59"/>
      <c r="Z381" s="59"/>
      <c r="AA381" s="59"/>
      <c r="AB381" s="59"/>
      <c r="AC381" s="59"/>
      <c r="AD381" s="233">
        <f t="shared" si="132"/>
        <v>86</v>
      </c>
    </row>
    <row r="382">
      <c r="A382" s="243" t="s">
        <v>355</v>
      </c>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233">
        <f t="shared" si="132"/>
        <v>0</v>
      </c>
    </row>
    <row r="383">
      <c r="A383" s="250" t="s">
        <v>332</v>
      </c>
      <c r="B383" s="251"/>
      <c r="C383" s="251"/>
      <c r="D383" s="251"/>
      <c r="E383" s="251"/>
      <c r="F383" s="251"/>
      <c r="G383" s="251"/>
      <c r="H383" s="251"/>
      <c r="I383" s="251"/>
      <c r="J383" s="251"/>
      <c r="K383" s="251"/>
      <c r="L383" s="251"/>
      <c r="M383" s="251"/>
      <c r="N383" s="251"/>
      <c r="O383" s="251"/>
      <c r="P383" s="251"/>
      <c r="Q383" s="251"/>
      <c r="R383" s="251"/>
      <c r="S383" s="251"/>
      <c r="T383" s="251"/>
      <c r="U383" s="251"/>
      <c r="V383" s="251"/>
      <c r="W383" s="251"/>
      <c r="X383" s="251"/>
      <c r="Y383" s="251"/>
      <c r="Z383" s="251"/>
      <c r="AA383" s="251"/>
      <c r="AB383" s="251"/>
      <c r="AC383" s="251"/>
      <c r="AD383" s="233">
        <f t="shared" si="132"/>
        <v>0</v>
      </c>
    </row>
    <row r="384">
      <c r="A384" s="213"/>
      <c r="AD384" s="222"/>
    </row>
    <row r="385">
      <c r="A385" s="160" t="s">
        <v>356</v>
      </c>
      <c r="AD385" s="222"/>
    </row>
    <row r="386">
      <c r="A386" s="243" t="s">
        <v>347</v>
      </c>
      <c r="B386" s="252">
        <v>6771.13</v>
      </c>
      <c r="C386" s="252">
        <v>5626.12</v>
      </c>
      <c r="D386" s="252">
        <v>7110.91</v>
      </c>
      <c r="E386" s="252">
        <v>0.0</v>
      </c>
      <c r="F386" s="252">
        <v>242.4</v>
      </c>
      <c r="G386" s="252">
        <v>265.5</v>
      </c>
      <c r="H386" s="252">
        <v>12293.7</v>
      </c>
      <c r="I386" s="252">
        <v>6215.5</v>
      </c>
      <c r="J386" s="252">
        <v>4337.07</v>
      </c>
      <c r="K386" s="252">
        <v>9221.37</v>
      </c>
      <c r="L386" s="252">
        <v>5037.72</v>
      </c>
      <c r="M386" s="252">
        <v>585.0</v>
      </c>
      <c r="N386" s="252">
        <v>242.74</v>
      </c>
      <c r="O386" s="252">
        <v>6577.35</v>
      </c>
      <c r="P386" s="252">
        <v>748.23</v>
      </c>
      <c r="Q386" s="252">
        <v>2939.84</v>
      </c>
      <c r="R386" s="252">
        <v>3075.89</v>
      </c>
      <c r="S386" s="252">
        <v>1923.29</v>
      </c>
      <c r="T386" s="252">
        <v>0.0</v>
      </c>
      <c r="U386" s="252">
        <v>0.0</v>
      </c>
      <c r="V386" s="252">
        <v>349.38</v>
      </c>
      <c r="W386" s="252">
        <v>573.17</v>
      </c>
      <c r="X386" s="238">
        <f>(X384)*0.22</f>
        <v>0</v>
      </c>
      <c r="Y386" s="252">
        <v>0.0</v>
      </c>
      <c r="Z386" s="252">
        <v>0.0</v>
      </c>
      <c r="AA386" s="252">
        <v>0.0</v>
      </c>
      <c r="AB386" s="252">
        <v>0.0</v>
      </c>
      <c r="AC386" s="252">
        <v>0.0</v>
      </c>
      <c r="AD386" s="233">
        <f t="shared" ref="AD386:AD389" si="133">sum(B386:AC386)</f>
        <v>74136.31</v>
      </c>
    </row>
    <row r="387">
      <c r="A387" s="243" t="s">
        <v>348</v>
      </c>
      <c r="B387" s="253"/>
      <c r="C387" s="253"/>
      <c r="D387" s="253"/>
      <c r="E387" s="253"/>
      <c r="F387" s="253"/>
      <c r="G387" s="253"/>
      <c r="H387" s="253"/>
      <c r="I387" s="253"/>
      <c r="J387" s="253"/>
      <c r="K387" s="253"/>
      <c r="L387" s="253"/>
      <c r="M387" s="253"/>
      <c r="N387" s="253"/>
      <c r="O387" s="253"/>
      <c r="P387" s="253"/>
      <c r="Q387" s="253"/>
      <c r="R387" s="253"/>
      <c r="S387" s="253"/>
      <c r="T387" s="253"/>
      <c r="U387" s="253"/>
      <c r="V387" s="253"/>
      <c r="W387" s="253"/>
      <c r="X387" s="253"/>
      <c r="Y387" s="253"/>
      <c r="Z387" s="253"/>
      <c r="AA387" s="253"/>
      <c r="AB387" s="253"/>
      <c r="AC387" s="253"/>
      <c r="AD387" s="186">
        <f t="shared" si="133"/>
        <v>0</v>
      </c>
    </row>
    <row r="388">
      <c r="A388" s="243" t="s">
        <v>349</v>
      </c>
      <c r="B388" s="253"/>
      <c r="C388" s="253"/>
      <c r="D388" s="253"/>
      <c r="E388" s="253"/>
      <c r="F388" s="253"/>
      <c r="G388" s="253"/>
      <c r="H388" s="253"/>
      <c r="I388" s="253"/>
      <c r="J388" s="253"/>
      <c r="K388" s="253"/>
      <c r="L388" s="253"/>
      <c r="M388" s="253"/>
      <c r="N388" s="253"/>
      <c r="O388" s="253"/>
      <c r="P388" s="253"/>
      <c r="Q388" s="253"/>
      <c r="R388" s="253"/>
      <c r="S388" s="253"/>
      <c r="T388" s="253"/>
      <c r="U388" s="253"/>
      <c r="V388" s="253"/>
      <c r="W388" s="253"/>
      <c r="X388" s="253"/>
      <c r="Y388" s="253"/>
      <c r="Z388" s="253"/>
      <c r="AA388" s="253"/>
      <c r="AB388" s="253"/>
      <c r="AC388" s="253"/>
      <c r="AD388" s="186">
        <f t="shared" si="133"/>
        <v>0</v>
      </c>
    </row>
    <row r="389">
      <c r="A389" s="250" t="s">
        <v>320</v>
      </c>
      <c r="B389" s="254">
        <f t="shared" ref="B389:AC389" si="134">sum(B386:B388)</f>
        <v>6771.13</v>
      </c>
      <c r="C389" s="254">
        <f t="shared" si="134"/>
        <v>5626.12</v>
      </c>
      <c r="D389" s="254">
        <f t="shared" si="134"/>
        <v>7110.91</v>
      </c>
      <c r="E389" s="254">
        <f t="shared" si="134"/>
        <v>0</v>
      </c>
      <c r="F389" s="254">
        <f t="shared" si="134"/>
        <v>242.4</v>
      </c>
      <c r="G389" s="254">
        <f t="shared" si="134"/>
        <v>265.5</v>
      </c>
      <c r="H389" s="254">
        <f t="shared" si="134"/>
        <v>12293.7</v>
      </c>
      <c r="I389" s="254">
        <f t="shared" si="134"/>
        <v>6215.5</v>
      </c>
      <c r="J389" s="254">
        <f t="shared" si="134"/>
        <v>4337.07</v>
      </c>
      <c r="K389" s="254">
        <f t="shared" si="134"/>
        <v>9221.37</v>
      </c>
      <c r="L389" s="254">
        <f t="shared" si="134"/>
        <v>5037.72</v>
      </c>
      <c r="M389" s="254">
        <f t="shared" si="134"/>
        <v>585</v>
      </c>
      <c r="N389" s="254">
        <f t="shared" si="134"/>
        <v>242.74</v>
      </c>
      <c r="O389" s="254">
        <f t="shared" si="134"/>
        <v>6577.35</v>
      </c>
      <c r="P389" s="254">
        <f t="shared" si="134"/>
        <v>748.23</v>
      </c>
      <c r="Q389" s="254">
        <f t="shared" si="134"/>
        <v>2939.84</v>
      </c>
      <c r="R389" s="254">
        <f t="shared" si="134"/>
        <v>3075.89</v>
      </c>
      <c r="S389" s="254">
        <f t="shared" si="134"/>
        <v>1923.29</v>
      </c>
      <c r="T389" s="254">
        <f t="shared" si="134"/>
        <v>0</v>
      </c>
      <c r="U389" s="254">
        <f t="shared" si="134"/>
        <v>0</v>
      </c>
      <c r="V389" s="254">
        <f t="shared" si="134"/>
        <v>349.38</v>
      </c>
      <c r="W389" s="254">
        <f t="shared" si="134"/>
        <v>573.17</v>
      </c>
      <c r="X389" s="254">
        <f t="shared" si="134"/>
        <v>0</v>
      </c>
      <c r="Y389" s="254">
        <f t="shared" si="134"/>
        <v>0</v>
      </c>
      <c r="Z389" s="254">
        <f t="shared" si="134"/>
        <v>0</v>
      </c>
      <c r="AA389" s="254">
        <f t="shared" si="134"/>
        <v>0</v>
      </c>
      <c r="AB389" s="254">
        <f t="shared" si="134"/>
        <v>0</v>
      </c>
      <c r="AC389" s="254">
        <f t="shared" si="134"/>
        <v>0</v>
      </c>
      <c r="AD389" s="233">
        <f t="shared" si="133"/>
        <v>74136.31</v>
      </c>
    </row>
    <row r="390">
      <c r="A390" s="213"/>
      <c r="B390" s="242"/>
      <c r="C390" s="242"/>
      <c r="D390" s="242"/>
      <c r="E390" s="242"/>
      <c r="F390" s="242"/>
      <c r="G390" s="242"/>
      <c r="H390" s="242"/>
      <c r="I390" s="242"/>
      <c r="J390" s="242"/>
      <c r="K390" s="242"/>
      <c r="L390" s="242"/>
      <c r="M390" s="242"/>
      <c r="N390" s="242"/>
      <c r="O390" s="242"/>
      <c r="P390" s="242"/>
      <c r="Q390" s="242"/>
      <c r="R390" s="242"/>
      <c r="S390" s="242"/>
      <c r="T390" s="242"/>
      <c r="U390" s="242"/>
      <c r="V390" s="242"/>
      <c r="W390" s="242"/>
      <c r="X390" s="242"/>
      <c r="Y390" s="242"/>
      <c r="Z390" s="242"/>
      <c r="AA390" s="242"/>
      <c r="AB390" s="242"/>
      <c r="AC390" s="242"/>
      <c r="AD390" s="222"/>
    </row>
    <row r="391">
      <c r="A391" s="243" t="s">
        <v>350</v>
      </c>
      <c r="B391" s="238">
        <v>0.0</v>
      </c>
      <c r="C391" s="238">
        <v>0.0</v>
      </c>
      <c r="D391" s="252">
        <v>0.0</v>
      </c>
      <c r="E391" s="252">
        <v>0.0</v>
      </c>
      <c r="F391" s="252">
        <v>229.0</v>
      </c>
      <c r="G391" s="252">
        <v>0.0</v>
      </c>
      <c r="H391" s="252">
        <v>0.0</v>
      </c>
      <c r="I391" s="252">
        <v>0.0</v>
      </c>
      <c r="J391" s="252">
        <v>0.0</v>
      </c>
      <c r="K391" s="252">
        <v>0.0</v>
      </c>
      <c r="L391" s="252">
        <v>0.0</v>
      </c>
      <c r="M391" s="252">
        <v>0.0</v>
      </c>
      <c r="N391" s="252">
        <v>0.0</v>
      </c>
      <c r="O391" s="252">
        <f>229.6+12.2</f>
        <v>241.8</v>
      </c>
      <c r="P391" s="252">
        <v>233.5</v>
      </c>
      <c r="Q391" s="252">
        <f>229.6+18.3+12.2</f>
        <v>260.1</v>
      </c>
      <c r="R391" s="252">
        <v>0.0</v>
      </c>
      <c r="S391" s="252">
        <v>0.0</v>
      </c>
      <c r="T391" s="252">
        <v>0.0</v>
      </c>
      <c r="U391" s="252">
        <f>154.7+269+24+22</f>
        <v>469.7</v>
      </c>
      <c r="V391" s="252">
        <v>0.0</v>
      </c>
      <c r="W391" s="252">
        <f>279.6+18.4+12.3</f>
        <v>310.3</v>
      </c>
      <c r="X391" s="238">
        <f t="shared" ref="X391:X393" si="135">(X389)*0.22</f>
        <v>0</v>
      </c>
      <c r="Y391" s="252">
        <v>0.0</v>
      </c>
      <c r="Z391" s="252">
        <v>0.0</v>
      </c>
      <c r="AA391" s="252">
        <v>0.0</v>
      </c>
      <c r="AB391" s="252">
        <v>0.0</v>
      </c>
      <c r="AC391" s="252">
        <v>0.0</v>
      </c>
      <c r="AD391" s="233">
        <f t="shared" ref="AD391:AD394" si="136">sum(B391:AC391)</f>
        <v>1744.4</v>
      </c>
    </row>
    <row r="392">
      <c r="A392" s="243" t="s">
        <v>351</v>
      </c>
      <c r="B392" s="238">
        <v>0.0</v>
      </c>
      <c r="C392" s="238">
        <v>0.0</v>
      </c>
      <c r="D392" s="252">
        <v>0.0</v>
      </c>
      <c r="E392" s="252">
        <v>0.0</v>
      </c>
      <c r="F392" s="252">
        <v>13.4</v>
      </c>
      <c r="G392" s="252">
        <v>0.0</v>
      </c>
      <c r="H392" s="252">
        <v>0.0</v>
      </c>
      <c r="I392" s="252">
        <v>0.0</v>
      </c>
      <c r="J392" s="252">
        <v>0.0</v>
      </c>
      <c r="K392" s="252">
        <v>0.0</v>
      </c>
      <c r="L392" s="252">
        <v>0.0</v>
      </c>
      <c r="M392" s="252">
        <v>0.0</v>
      </c>
      <c r="N392" s="252">
        <v>0.0</v>
      </c>
      <c r="O392" s="252">
        <v>13.4</v>
      </c>
      <c r="P392" s="252">
        <v>13.0</v>
      </c>
      <c r="Q392" s="252">
        <v>13.4</v>
      </c>
      <c r="R392" s="252">
        <v>0.0</v>
      </c>
      <c r="S392" s="252">
        <v>0.0</v>
      </c>
      <c r="T392" s="252">
        <v>0.0</v>
      </c>
      <c r="U392" s="252">
        <f>13.2+32</f>
        <v>45.2</v>
      </c>
      <c r="V392" s="252">
        <v>0.0</v>
      </c>
      <c r="W392" s="252">
        <v>13.5</v>
      </c>
      <c r="X392" s="238">
        <f t="shared" si="135"/>
        <v>0</v>
      </c>
      <c r="Y392" s="252">
        <v>0.0</v>
      </c>
      <c r="Z392" s="252">
        <v>0.0</v>
      </c>
      <c r="AA392" s="252">
        <v>0.0</v>
      </c>
      <c r="AB392" s="252">
        <v>0.0</v>
      </c>
      <c r="AC392" s="252">
        <v>0.0</v>
      </c>
      <c r="AD392" s="233">
        <f t="shared" si="136"/>
        <v>111.9</v>
      </c>
    </row>
    <row r="393">
      <c r="A393" s="243" t="s">
        <v>352</v>
      </c>
      <c r="B393" s="238">
        <v>0.0</v>
      </c>
      <c r="C393" s="238">
        <v>0.0</v>
      </c>
      <c r="D393" s="252">
        <v>0.0</v>
      </c>
      <c r="E393" s="252">
        <v>0.0</v>
      </c>
      <c r="F393" s="252"/>
      <c r="G393" s="252">
        <v>0.0</v>
      </c>
      <c r="H393" s="252">
        <v>0.0</v>
      </c>
      <c r="I393" s="252">
        <v>0.0</v>
      </c>
      <c r="J393" s="252">
        <v>0.0</v>
      </c>
      <c r="K393" s="252">
        <v>0.0</v>
      </c>
      <c r="L393" s="252">
        <v>0.0</v>
      </c>
      <c r="M393" s="252">
        <v>0.0</v>
      </c>
      <c r="N393" s="252">
        <v>0.0</v>
      </c>
      <c r="O393" s="252">
        <v>0.0</v>
      </c>
      <c r="P393" s="252">
        <v>0.0</v>
      </c>
      <c r="Q393" s="252">
        <v>0.0</v>
      </c>
      <c r="R393" s="252">
        <v>0.0</v>
      </c>
      <c r="S393" s="252">
        <v>0.0</v>
      </c>
      <c r="T393" s="252">
        <v>0.0</v>
      </c>
      <c r="U393" s="252">
        <v>0.0</v>
      </c>
      <c r="V393" s="252">
        <v>0.0</v>
      </c>
      <c r="W393" s="252">
        <v>0.0</v>
      </c>
      <c r="X393" s="238">
        <f t="shared" si="135"/>
        <v>0</v>
      </c>
      <c r="Y393" s="252">
        <v>0.0</v>
      </c>
      <c r="Z393" s="252">
        <v>0.0</v>
      </c>
      <c r="AA393" s="252">
        <v>0.0</v>
      </c>
      <c r="AB393" s="252">
        <v>0.0</v>
      </c>
      <c r="AC393" s="252">
        <v>0.0</v>
      </c>
      <c r="AD393" s="233">
        <f t="shared" si="136"/>
        <v>0</v>
      </c>
    </row>
    <row r="394">
      <c r="A394" s="247" t="s">
        <v>326</v>
      </c>
      <c r="B394" s="251">
        <f t="shared" ref="B394:AC394" si="137">SUM(B391:B393)</f>
        <v>0</v>
      </c>
      <c r="C394" s="251">
        <f t="shared" si="137"/>
        <v>0</v>
      </c>
      <c r="D394" s="251">
        <f t="shared" si="137"/>
        <v>0</v>
      </c>
      <c r="E394" s="251">
        <f t="shared" si="137"/>
        <v>0</v>
      </c>
      <c r="F394" s="251">
        <f t="shared" si="137"/>
        <v>242.4</v>
      </c>
      <c r="G394" s="251">
        <f t="shared" si="137"/>
        <v>0</v>
      </c>
      <c r="H394" s="251">
        <f t="shared" si="137"/>
        <v>0</v>
      </c>
      <c r="I394" s="251">
        <f t="shared" si="137"/>
        <v>0</v>
      </c>
      <c r="J394" s="251">
        <f t="shared" si="137"/>
        <v>0</v>
      </c>
      <c r="K394" s="251">
        <f t="shared" si="137"/>
        <v>0</v>
      </c>
      <c r="L394" s="251">
        <f t="shared" si="137"/>
        <v>0</v>
      </c>
      <c r="M394" s="251">
        <f t="shared" si="137"/>
        <v>0</v>
      </c>
      <c r="N394" s="251">
        <f t="shared" si="137"/>
        <v>0</v>
      </c>
      <c r="O394" s="251">
        <f t="shared" si="137"/>
        <v>255.2</v>
      </c>
      <c r="P394" s="251">
        <f t="shared" si="137"/>
        <v>246.5</v>
      </c>
      <c r="Q394" s="251">
        <f t="shared" si="137"/>
        <v>273.5</v>
      </c>
      <c r="R394" s="251">
        <f t="shared" si="137"/>
        <v>0</v>
      </c>
      <c r="S394" s="251">
        <f t="shared" si="137"/>
        <v>0</v>
      </c>
      <c r="T394" s="251">
        <f t="shared" si="137"/>
        <v>0</v>
      </c>
      <c r="U394" s="251">
        <f t="shared" si="137"/>
        <v>514.9</v>
      </c>
      <c r="V394" s="251">
        <f t="shared" si="137"/>
        <v>0</v>
      </c>
      <c r="W394" s="251">
        <f t="shared" si="137"/>
        <v>323.8</v>
      </c>
      <c r="X394" s="251">
        <f t="shared" si="137"/>
        <v>0</v>
      </c>
      <c r="Y394" s="251">
        <f t="shared" si="137"/>
        <v>0</v>
      </c>
      <c r="Z394" s="251">
        <f t="shared" si="137"/>
        <v>0</v>
      </c>
      <c r="AA394" s="251">
        <f t="shared" si="137"/>
        <v>0</v>
      </c>
      <c r="AB394" s="251">
        <f t="shared" si="137"/>
        <v>0</v>
      </c>
      <c r="AC394" s="251">
        <f t="shared" si="137"/>
        <v>0</v>
      </c>
      <c r="AD394" s="233">
        <f t="shared" si="136"/>
        <v>1856.3</v>
      </c>
    </row>
    <row r="395">
      <c r="A395" s="213"/>
      <c r="B395" s="242"/>
      <c r="C395" s="242"/>
      <c r="D395" s="242"/>
      <c r="E395" s="242"/>
      <c r="F395" s="242"/>
      <c r="G395" s="242"/>
      <c r="H395" s="242"/>
      <c r="I395" s="242"/>
      <c r="J395" s="242"/>
      <c r="K395" s="242"/>
      <c r="L395" s="242"/>
      <c r="M395" s="242"/>
      <c r="N395" s="242"/>
      <c r="O395" s="242"/>
      <c r="P395" s="242"/>
      <c r="Q395" s="242"/>
      <c r="R395" s="242"/>
      <c r="S395" s="242"/>
      <c r="T395" s="242"/>
      <c r="U395" s="242"/>
      <c r="V395" s="242"/>
      <c r="W395" s="242"/>
      <c r="X395" s="242"/>
      <c r="Y395" s="242"/>
      <c r="Z395" s="242"/>
      <c r="AA395" s="242"/>
      <c r="AB395" s="242"/>
      <c r="AC395" s="242"/>
      <c r="AD395" s="222"/>
    </row>
    <row r="396">
      <c r="A396" s="243" t="s">
        <v>353</v>
      </c>
      <c r="B396" s="255"/>
      <c r="C396" s="255"/>
      <c r="D396" s="255"/>
      <c r="E396" s="255"/>
      <c r="F396" s="255"/>
      <c r="G396" s="255"/>
      <c r="H396" s="255"/>
      <c r="I396" s="255"/>
      <c r="J396" s="255"/>
      <c r="K396" s="255"/>
      <c r="L396" s="255"/>
      <c r="M396" s="255"/>
      <c r="N396" s="255"/>
      <c r="O396" s="255"/>
      <c r="P396" s="255"/>
      <c r="Q396" s="255"/>
      <c r="R396" s="255"/>
      <c r="S396" s="255"/>
      <c r="T396" s="255"/>
      <c r="U396" s="255"/>
      <c r="V396" s="255"/>
      <c r="W396" s="255"/>
      <c r="X396" s="255"/>
      <c r="Y396" s="255"/>
      <c r="Z396" s="255"/>
      <c r="AA396" s="255"/>
      <c r="AB396" s="255"/>
      <c r="AC396" s="255"/>
      <c r="AD396" s="186">
        <f t="shared" ref="AD396:AD399" si="138">sum(B396:AC396)</f>
        <v>0</v>
      </c>
    </row>
    <row r="397">
      <c r="A397" s="243" t="s">
        <v>354</v>
      </c>
      <c r="B397" s="255"/>
      <c r="C397" s="255"/>
      <c r="D397" s="255"/>
      <c r="E397" s="255"/>
      <c r="F397" s="255"/>
      <c r="G397" s="255"/>
      <c r="H397" s="255"/>
      <c r="I397" s="255"/>
      <c r="J397" s="255"/>
      <c r="K397" s="255"/>
      <c r="L397" s="255"/>
      <c r="M397" s="255"/>
      <c r="N397" s="255"/>
      <c r="O397" s="255"/>
      <c r="P397" s="255"/>
      <c r="Q397" s="255"/>
      <c r="R397" s="255"/>
      <c r="S397" s="255"/>
      <c r="T397" s="255"/>
      <c r="U397" s="255"/>
      <c r="V397" s="255"/>
      <c r="W397" s="255"/>
      <c r="X397" s="255"/>
      <c r="Y397" s="255"/>
      <c r="Z397" s="255"/>
      <c r="AA397" s="255"/>
      <c r="AB397" s="255"/>
      <c r="AC397" s="255"/>
      <c r="AD397" s="186">
        <f t="shared" si="138"/>
        <v>0</v>
      </c>
    </row>
    <row r="398">
      <c r="A398" s="243" t="s">
        <v>355</v>
      </c>
      <c r="B398" s="255"/>
      <c r="C398" s="255"/>
      <c r="D398" s="255"/>
      <c r="E398" s="255"/>
      <c r="F398" s="255"/>
      <c r="G398" s="255"/>
      <c r="H398" s="255"/>
      <c r="I398" s="255"/>
      <c r="J398" s="255"/>
      <c r="K398" s="255"/>
      <c r="L398" s="255"/>
      <c r="M398" s="255"/>
      <c r="N398" s="255"/>
      <c r="O398" s="255"/>
      <c r="P398" s="255"/>
      <c r="Q398" s="255"/>
      <c r="R398" s="255"/>
      <c r="S398" s="255"/>
      <c r="T398" s="255"/>
      <c r="U398" s="255"/>
      <c r="V398" s="255"/>
      <c r="W398" s="255"/>
      <c r="X398" s="255"/>
      <c r="Y398" s="255"/>
      <c r="Z398" s="255"/>
      <c r="AA398" s="255"/>
      <c r="AB398" s="255"/>
      <c r="AC398" s="255"/>
      <c r="AD398" s="186">
        <f t="shared" si="138"/>
        <v>0</v>
      </c>
    </row>
    <row r="399">
      <c r="A399" s="250" t="s">
        <v>332</v>
      </c>
      <c r="B399" s="251">
        <f t="shared" ref="B399:AC399" si="139">SUM(B396:B398)</f>
        <v>0</v>
      </c>
      <c r="C399" s="251">
        <f t="shared" si="139"/>
        <v>0</v>
      </c>
      <c r="D399" s="251">
        <f t="shared" si="139"/>
        <v>0</v>
      </c>
      <c r="E399" s="251">
        <f t="shared" si="139"/>
        <v>0</v>
      </c>
      <c r="F399" s="251">
        <f t="shared" si="139"/>
        <v>0</v>
      </c>
      <c r="G399" s="251">
        <f t="shared" si="139"/>
        <v>0</v>
      </c>
      <c r="H399" s="251">
        <f t="shared" si="139"/>
        <v>0</v>
      </c>
      <c r="I399" s="251">
        <f t="shared" si="139"/>
        <v>0</v>
      </c>
      <c r="J399" s="251">
        <f t="shared" si="139"/>
        <v>0</v>
      </c>
      <c r="K399" s="251">
        <f t="shared" si="139"/>
        <v>0</v>
      </c>
      <c r="L399" s="251">
        <f t="shared" si="139"/>
        <v>0</v>
      </c>
      <c r="M399" s="251">
        <f t="shared" si="139"/>
        <v>0</v>
      </c>
      <c r="N399" s="251">
        <f t="shared" si="139"/>
        <v>0</v>
      </c>
      <c r="O399" s="251">
        <f t="shared" si="139"/>
        <v>0</v>
      </c>
      <c r="P399" s="251">
        <f t="shared" si="139"/>
        <v>0</v>
      </c>
      <c r="Q399" s="251">
        <f t="shared" si="139"/>
        <v>0</v>
      </c>
      <c r="R399" s="251">
        <f t="shared" si="139"/>
        <v>0</v>
      </c>
      <c r="S399" s="251">
        <f t="shared" si="139"/>
        <v>0</v>
      </c>
      <c r="T399" s="251">
        <f t="shared" si="139"/>
        <v>0</v>
      </c>
      <c r="U399" s="251">
        <f t="shared" si="139"/>
        <v>0</v>
      </c>
      <c r="V399" s="251">
        <f t="shared" si="139"/>
        <v>0</v>
      </c>
      <c r="W399" s="251">
        <f t="shared" si="139"/>
        <v>0</v>
      </c>
      <c r="X399" s="251">
        <f t="shared" si="139"/>
        <v>0</v>
      </c>
      <c r="Y399" s="251">
        <f t="shared" si="139"/>
        <v>0</v>
      </c>
      <c r="Z399" s="251">
        <f t="shared" si="139"/>
        <v>0</v>
      </c>
      <c r="AA399" s="251">
        <f t="shared" si="139"/>
        <v>0</v>
      </c>
      <c r="AB399" s="251">
        <f t="shared" si="139"/>
        <v>0</v>
      </c>
      <c r="AC399" s="251">
        <f t="shared" si="139"/>
        <v>0</v>
      </c>
      <c r="AD399" s="186">
        <f t="shared" si="138"/>
        <v>0</v>
      </c>
    </row>
    <row r="400">
      <c r="A400" s="213"/>
      <c r="AD400" s="222"/>
    </row>
    <row r="401">
      <c r="A401" s="160" t="s">
        <v>357</v>
      </c>
      <c r="AD401" s="222"/>
    </row>
    <row r="402">
      <c r="A402" s="243" t="s">
        <v>308</v>
      </c>
      <c r="B402" s="253"/>
      <c r="C402" s="253"/>
      <c r="D402" s="253"/>
      <c r="E402" s="253"/>
      <c r="F402" s="253"/>
      <c r="G402" s="226">
        <v>5.0</v>
      </c>
      <c r="H402" s="226">
        <v>64.0</v>
      </c>
      <c r="I402" s="256"/>
      <c r="J402" s="256"/>
      <c r="K402" s="256"/>
      <c r="L402" s="256"/>
      <c r="M402" s="256"/>
      <c r="N402" s="256"/>
      <c r="O402" s="226">
        <f>156+5</f>
        <v>161</v>
      </c>
      <c r="P402" s="256"/>
      <c r="Q402" s="256"/>
      <c r="R402" s="256"/>
      <c r="S402" s="256"/>
      <c r="T402" s="256"/>
      <c r="U402" s="256"/>
      <c r="V402" s="257">
        <f>180</f>
        <v>180</v>
      </c>
      <c r="W402" s="256"/>
      <c r="X402" s="256"/>
      <c r="Y402" s="256"/>
      <c r="Z402" s="256"/>
      <c r="AA402" s="256"/>
      <c r="AB402" s="256"/>
      <c r="AC402" s="203">
        <v>158.0</v>
      </c>
      <c r="AD402" s="186">
        <f t="shared" ref="AD402:AD409" si="140">SUM(B402:AC402)</f>
        <v>568</v>
      </c>
    </row>
    <row r="403">
      <c r="A403" s="243" t="s">
        <v>309</v>
      </c>
      <c r="B403" s="253"/>
      <c r="C403" s="253"/>
      <c r="D403" s="253"/>
      <c r="E403" s="253"/>
      <c r="F403" s="253"/>
      <c r="G403" s="226">
        <v>0.0</v>
      </c>
      <c r="H403" s="226">
        <v>0.0</v>
      </c>
      <c r="I403" s="256"/>
      <c r="J403" s="256"/>
      <c r="K403" s="256"/>
      <c r="L403" s="256"/>
      <c r="M403" s="256"/>
      <c r="N403" s="256"/>
      <c r="O403" s="226">
        <v>0.0</v>
      </c>
      <c r="P403" s="256"/>
      <c r="Q403" s="256"/>
      <c r="R403" s="256"/>
      <c r="S403" s="256"/>
      <c r="T403" s="256"/>
      <c r="U403" s="256"/>
      <c r="V403" s="203">
        <v>0.0</v>
      </c>
      <c r="W403" s="256"/>
      <c r="X403" s="256"/>
      <c r="Y403" s="256"/>
      <c r="Z403" s="256"/>
      <c r="AA403" s="256"/>
      <c r="AB403" s="256"/>
      <c r="AC403" s="203">
        <v>0.0</v>
      </c>
      <c r="AD403" s="186">
        <f t="shared" si="140"/>
        <v>0</v>
      </c>
    </row>
    <row r="404">
      <c r="A404" s="243" t="s">
        <v>310</v>
      </c>
      <c r="B404" s="253"/>
      <c r="C404" s="253"/>
      <c r="D404" s="253"/>
      <c r="E404" s="253"/>
      <c r="F404" s="253"/>
      <c r="G404" s="226">
        <v>0.0</v>
      </c>
      <c r="H404" s="226">
        <v>0.0</v>
      </c>
      <c r="I404" s="256"/>
      <c r="J404" s="256"/>
      <c r="K404" s="256"/>
      <c r="L404" s="256"/>
      <c r="M404" s="256"/>
      <c r="N404" s="256"/>
      <c r="O404" s="226">
        <v>0.0</v>
      </c>
      <c r="P404" s="256"/>
      <c r="Q404" s="256"/>
      <c r="R404" s="256"/>
      <c r="S404" s="256"/>
      <c r="T404" s="256"/>
      <c r="U404" s="256"/>
      <c r="V404" s="203">
        <v>0.0</v>
      </c>
      <c r="W404" s="256"/>
      <c r="X404" s="256"/>
      <c r="Y404" s="256"/>
      <c r="Z404" s="256"/>
      <c r="AA404" s="256"/>
      <c r="AB404" s="256"/>
      <c r="AC404" s="203">
        <v>0.0</v>
      </c>
      <c r="AD404" s="186">
        <f t="shared" si="140"/>
        <v>0</v>
      </c>
    </row>
    <row r="405">
      <c r="A405" s="243" t="s">
        <v>311</v>
      </c>
      <c r="B405" s="253"/>
      <c r="C405" s="253"/>
      <c r="D405" s="253"/>
      <c r="E405" s="253"/>
      <c r="F405" s="253"/>
      <c r="G405" s="226">
        <v>0.0</v>
      </c>
      <c r="H405" s="226">
        <v>0.0</v>
      </c>
      <c r="I405" s="256"/>
      <c r="J405" s="256"/>
      <c r="K405" s="256"/>
      <c r="L405" s="256"/>
      <c r="M405" s="256"/>
      <c r="N405" s="256"/>
      <c r="O405" s="226">
        <v>0.0</v>
      </c>
      <c r="P405" s="256"/>
      <c r="Q405" s="256"/>
      <c r="R405" s="256"/>
      <c r="S405" s="256"/>
      <c r="T405" s="256"/>
      <c r="U405" s="256"/>
      <c r="V405" s="203">
        <v>0.0</v>
      </c>
      <c r="W405" s="256"/>
      <c r="X405" s="256"/>
      <c r="Y405" s="256"/>
      <c r="Z405" s="256"/>
      <c r="AA405" s="256"/>
      <c r="AB405" s="256"/>
      <c r="AC405" s="203">
        <v>0.0</v>
      </c>
      <c r="AD405" s="186">
        <f t="shared" si="140"/>
        <v>0</v>
      </c>
    </row>
    <row r="406">
      <c r="A406" s="243" t="s">
        <v>312</v>
      </c>
      <c r="B406" s="253"/>
      <c r="C406" s="253"/>
      <c r="D406" s="253"/>
      <c r="E406" s="253"/>
      <c r="F406" s="253"/>
      <c r="G406" s="226">
        <v>0.0</v>
      </c>
      <c r="H406" s="226">
        <v>0.0</v>
      </c>
      <c r="I406" s="256"/>
      <c r="J406" s="256"/>
      <c r="K406" s="256"/>
      <c r="L406" s="256"/>
      <c r="M406" s="256"/>
      <c r="N406" s="256"/>
      <c r="O406" s="226">
        <v>0.0</v>
      </c>
      <c r="P406" s="256"/>
      <c r="Q406" s="256"/>
      <c r="R406" s="256"/>
      <c r="S406" s="256"/>
      <c r="T406" s="256"/>
      <c r="U406" s="256"/>
      <c r="V406" s="203">
        <v>0.0</v>
      </c>
      <c r="W406" s="256"/>
      <c r="X406" s="256"/>
      <c r="Y406" s="256"/>
      <c r="Z406" s="256"/>
      <c r="AA406" s="256"/>
      <c r="AB406" s="256"/>
      <c r="AC406" s="203">
        <v>0.0</v>
      </c>
      <c r="AD406" s="186">
        <f t="shared" si="140"/>
        <v>0</v>
      </c>
    </row>
    <row r="407">
      <c r="A407" s="243" t="s">
        <v>313</v>
      </c>
      <c r="B407" s="253"/>
      <c r="C407" s="253"/>
      <c r="D407" s="253"/>
      <c r="E407" s="253"/>
      <c r="F407" s="253"/>
      <c r="G407" s="226">
        <v>0.0</v>
      </c>
      <c r="H407" s="226">
        <v>0.0</v>
      </c>
      <c r="I407" s="256"/>
      <c r="J407" s="256"/>
      <c r="K407" s="256"/>
      <c r="L407" s="256"/>
      <c r="M407" s="256"/>
      <c r="N407" s="256"/>
      <c r="O407" s="226">
        <v>0.0</v>
      </c>
      <c r="P407" s="256"/>
      <c r="Q407" s="256"/>
      <c r="R407" s="256"/>
      <c r="S407" s="256"/>
      <c r="T407" s="256"/>
      <c r="U407" s="256"/>
      <c r="V407" s="203">
        <v>0.0</v>
      </c>
      <c r="W407" s="256"/>
      <c r="X407" s="256"/>
      <c r="Y407" s="256"/>
      <c r="Z407" s="256"/>
      <c r="AA407" s="256"/>
      <c r="AB407" s="256"/>
      <c r="AC407" s="203">
        <v>0.0</v>
      </c>
      <c r="AD407" s="186">
        <f t="shared" si="140"/>
        <v>0</v>
      </c>
    </row>
    <row r="408">
      <c r="A408" s="245" t="s">
        <v>298</v>
      </c>
      <c r="B408" s="253"/>
      <c r="C408" s="253"/>
      <c r="D408" s="253"/>
      <c r="E408" s="253"/>
      <c r="F408" s="253"/>
      <c r="G408" s="226">
        <f t="shared" ref="G408:H408" si="141">G402+G404+G406</f>
        <v>5</v>
      </c>
      <c r="H408" s="226">
        <f t="shared" si="141"/>
        <v>64</v>
      </c>
      <c r="I408" s="256"/>
      <c r="J408" s="256"/>
      <c r="K408" s="256"/>
      <c r="L408" s="256"/>
      <c r="M408" s="256"/>
      <c r="N408" s="256"/>
      <c r="O408" s="226">
        <f t="shared" ref="O408:O409" si="143">O402+O404+O406</f>
        <v>161</v>
      </c>
      <c r="P408" s="256"/>
      <c r="Q408" s="256"/>
      <c r="R408" s="256"/>
      <c r="S408" s="256"/>
      <c r="T408" s="256"/>
      <c r="U408" s="256"/>
      <c r="V408" s="257">
        <f t="shared" ref="V408:V409" si="144">V402+V404+V406</f>
        <v>180</v>
      </c>
      <c r="W408" s="256"/>
      <c r="X408" s="256"/>
      <c r="Y408" s="256"/>
      <c r="Z408" s="256"/>
      <c r="AA408" s="256"/>
      <c r="AB408" s="256"/>
      <c r="AC408" s="257">
        <f t="shared" ref="AC408:AC409" si="145">AC402+AC404+AC406</f>
        <v>158</v>
      </c>
      <c r="AD408" s="186">
        <f t="shared" si="140"/>
        <v>568</v>
      </c>
    </row>
    <row r="409">
      <c r="A409" s="245" t="s">
        <v>314</v>
      </c>
      <c r="B409" s="253"/>
      <c r="C409" s="253"/>
      <c r="D409" s="253"/>
      <c r="E409" s="253"/>
      <c r="F409" s="253"/>
      <c r="G409" s="226">
        <f t="shared" ref="G409:H409" si="142">G403+G405+G407</f>
        <v>0</v>
      </c>
      <c r="H409" s="226">
        <f t="shared" si="142"/>
        <v>0</v>
      </c>
      <c r="I409" s="256"/>
      <c r="J409" s="256"/>
      <c r="K409" s="256"/>
      <c r="L409" s="256"/>
      <c r="M409" s="256"/>
      <c r="N409" s="256"/>
      <c r="O409" s="226">
        <f t="shared" si="143"/>
        <v>0</v>
      </c>
      <c r="P409" s="256"/>
      <c r="Q409" s="256"/>
      <c r="R409" s="256"/>
      <c r="S409" s="256"/>
      <c r="T409" s="256"/>
      <c r="U409" s="256"/>
      <c r="V409" s="257">
        <f t="shared" si="144"/>
        <v>0</v>
      </c>
      <c r="W409" s="256"/>
      <c r="X409" s="256"/>
      <c r="Y409" s="256"/>
      <c r="Z409" s="256"/>
      <c r="AA409" s="256"/>
      <c r="AB409" s="256"/>
      <c r="AC409" s="257">
        <f t="shared" si="145"/>
        <v>0</v>
      </c>
      <c r="AD409" s="186">
        <f t="shared" si="140"/>
        <v>0</v>
      </c>
    </row>
    <row r="410">
      <c r="A410" s="27"/>
      <c r="B410" s="253"/>
      <c r="C410" s="253"/>
      <c r="D410" s="253"/>
      <c r="E410" s="253"/>
      <c r="F410" s="253"/>
      <c r="G410" s="226"/>
      <c r="H410" s="226"/>
      <c r="I410" s="256"/>
      <c r="J410" s="256"/>
      <c r="K410" s="256"/>
      <c r="L410" s="256"/>
      <c r="M410" s="256"/>
      <c r="N410" s="256"/>
      <c r="O410" s="226"/>
      <c r="P410" s="256"/>
      <c r="Q410" s="256"/>
      <c r="R410" s="256"/>
      <c r="S410" s="256"/>
      <c r="T410" s="256"/>
      <c r="U410" s="256"/>
      <c r="V410" s="257"/>
      <c r="W410" s="256"/>
      <c r="X410" s="256"/>
      <c r="Y410" s="256"/>
      <c r="Z410" s="256"/>
      <c r="AA410" s="256"/>
      <c r="AB410" s="256"/>
      <c r="AC410" s="257"/>
      <c r="AD410" s="222"/>
    </row>
    <row r="411">
      <c r="A411" s="243" t="s">
        <v>315</v>
      </c>
      <c r="B411" s="253"/>
      <c r="C411" s="253"/>
      <c r="D411" s="253"/>
      <c r="E411" s="253"/>
      <c r="F411" s="253"/>
      <c r="G411" s="226">
        <v>0.0</v>
      </c>
      <c r="H411" s="226">
        <v>0.0</v>
      </c>
      <c r="I411" s="256"/>
      <c r="J411" s="256"/>
      <c r="K411" s="256"/>
      <c r="L411" s="256"/>
      <c r="M411" s="256"/>
      <c r="N411" s="256"/>
      <c r="O411" s="226">
        <v>1.0</v>
      </c>
      <c r="P411" s="256"/>
      <c r="Q411" s="256"/>
      <c r="R411" s="256"/>
      <c r="S411" s="256"/>
      <c r="T411" s="256"/>
      <c r="U411" s="256"/>
      <c r="V411" s="203">
        <v>0.0</v>
      </c>
      <c r="W411" s="256"/>
      <c r="X411" s="256"/>
      <c r="Y411" s="256"/>
      <c r="Z411" s="256"/>
      <c r="AA411" s="256"/>
      <c r="AB411" s="256"/>
      <c r="AC411" s="203">
        <v>6.0</v>
      </c>
      <c r="AD411" s="186">
        <f t="shared" ref="AD411:AD416" si="146">SUM(B411:AC411)</f>
        <v>7</v>
      </c>
    </row>
    <row r="412">
      <c r="A412" s="243" t="s">
        <v>316</v>
      </c>
      <c r="B412" s="253"/>
      <c r="C412" s="253"/>
      <c r="D412" s="253"/>
      <c r="E412" s="253"/>
      <c r="F412" s="253"/>
      <c r="G412" s="226">
        <v>1.0</v>
      </c>
      <c r="H412" s="226">
        <v>0.0</v>
      </c>
      <c r="I412" s="256"/>
      <c r="J412" s="256"/>
      <c r="K412" s="256"/>
      <c r="L412" s="256"/>
      <c r="M412" s="256"/>
      <c r="N412" s="256"/>
      <c r="O412" s="226">
        <v>1.0</v>
      </c>
      <c r="P412" s="256"/>
      <c r="Q412" s="256"/>
      <c r="R412" s="256"/>
      <c r="S412" s="256"/>
      <c r="T412" s="256"/>
      <c r="U412" s="256"/>
      <c r="V412" s="203">
        <v>0.0</v>
      </c>
      <c r="W412" s="256"/>
      <c r="X412" s="256"/>
      <c r="Y412" s="256"/>
      <c r="Z412" s="256"/>
      <c r="AA412" s="256"/>
      <c r="AB412" s="256"/>
      <c r="AC412" s="203">
        <v>2.0</v>
      </c>
      <c r="AD412" s="186">
        <f t="shared" si="146"/>
        <v>4</v>
      </c>
    </row>
    <row r="413">
      <c r="A413" s="243" t="s">
        <v>317</v>
      </c>
      <c r="B413" s="253"/>
      <c r="C413" s="253"/>
      <c r="D413" s="253"/>
      <c r="E413" s="253"/>
      <c r="F413" s="253"/>
      <c r="G413" s="226">
        <v>3.0</v>
      </c>
      <c r="H413" s="226">
        <v>0.0</v>
      </c>
      <c r="I413" s="256"/>
      <c r="J413" s="256"/>
      <c r="K413" s="256"/>
      <c r="L413" s="256"/>
      <c r="M413" s="256"/>
      <c r="N413" s="256"/>
      <c r="O413" s="226">
        <v>0.0</v>
      </c>
      <c r="P413" s="256"/>
      <c r="Q413" s="256"/>
      <c r="R413" s="256"/>
      <c r="S413" s="256"/>
      <c r="T413" s="256"/>
      <c r="U413" s="256"/>
      <c r="V413" s="203">
        <v>0.0</v>
      </c>
      <c r="W413" s="256"/>
      <c r="X413" s="256"/>
      <c r="Y413" s="256"/>
      <c r="Z413" s="256"/>
      <c r="AA413" s="256"/>
      <c r="AB413" s="256"/>
      <c r="AC413" s="203">
        <v>2.0</v>
      </c>
      <c r="AD413" s="186">
        <f t="shared" si="146"/>
        <v>5</v>
      </c>
    </row>
    <row r="414">
      <c r="A414" s="243" t="s">
        <v>318</v>
      </c>
      <c r="B414" s="253"/>
      <c r="C414" s="253"/>
      <c r="D414" s="253"/>
      <c r="E414" s="253"/>
      <c r="F414" s="253"/>
      <c r="G414" s="226">
        <v>0.0</v>
      </c>
      <c r="H414" s="226">
        <v>0.0</v>
      </c>
      <c r="I414" s="256"/>
      <c r="J414" s="256"/>
      <c r="K414" s="256"/>
      <c r="L414" s="256"/>
      <c r="M414" s="256"/>
      <c r="N414" s="256"/>
      <c r="O414" s="226">
        <v>0.0</v>
      </c>
      <c r="P414" s="256"/>
      <c r="Q414" s="256"/>
      <c r="R414" s="256"/>
      <c r="S414" s="256"/>
      <c r="T414" s="256"/>
      <c r="U414" s="256"/>
      <c r="V414" s="203">
        <v>0.0</v>
      </c>
      <c r="W414" s="256"/>
      <c r="X414" s="256"/>
      <c r="Y414" s="256"/>
      <c r="Z414" s="256"/>
      <c r="AA414" s="256"/>
      <c r="AB414" s="256"/>
      <c r="AC414" s="203">
        <v>0.0</v>
      </c>
      <c r="AD414" s="186">
        <f t="shared" si="146"/>
        <v>0</v>
      </c>
    </row>
    <row r="415">
      <c r="A415" s="243" t="s">
        <v>319</v>
      </c>
      <c r="B415" s="253"/>
      <c r="C415" s="253"/>
      <c r="D415" s="253"/>
      <c r="E415" s="253"/>
      <c r="F415" s="253"/>
      <c r="G415" s="226">
        <v>3.0</v>
      </c>
      <c r="H415" s="226">
        <v>8.0</v>
      </c>
      <c r="I415" s="256"/>
      <c r="J415" s="256"/>
      <c r="K415" s="256"/>
      <c r="L415" s="256"/>
      <c r="M415" s="256"/>
      <c r="N415" s="256"/>
      <c r="O415" s="226">
        <f>15+4</f>
        <v>19</v>
      </c>
      <c r="P415" s="256"/>
      <c r="Q415" s="256"/>
      <c r="R415" s="256"/>
      <c r="S415" s="256"/>
      <c r="T415" s="256"/>
      <c r="U415" s="256"/>
      <c r="V415" s="203">
        <v>6.0</v>
      </c>
      <c r="W415" s="256"/>
      <c r="X415" s="256"/>
      <c r="Y415" s="256"/>
      <c r="Z415" s="256"/>
      <c r="AA415" s="256"/>
      <c r="AB415" s="256"/>
      <c r="AC415" s="203">
        <v>107.0</v>
      </c>
      <c r="AD415" s="186">
        <f t="shared" si="146"/>
        <v>143</v>
      </c>
    </row>
    <row r="416">
      <c r="A416" s="247" t="s">
        <v>320</v>
      </c>
      <c r="B416" s="253"/>
      <c r="C416" s="253"/>
      <c r="D416" s="253"/>
      <c r="E416" s="253"/>
      <c r="F416" s="253"/>
      <c r="G416" s="226">
        <f t="shared" ref="G416:H416" si="147">SUM(G411:G415)</f>
        <v>7</v>
      </c>
      <c r="H416" s="226">
        <f t="shared" si="147"/>
        <v>8</v>
      </c>
      <c r="I416" s="256"/>
      <c r="J416" s="256"/>
      <c r="K416" s="256"/>
      <c r="L416" s="256"/>
      <c r="M416" s="256"/>
      <c r="N416" s="256"/>
      <c r="O416" s="226">
        <f>SUM(O411:O415)</f>
        <v>21</v>
      </c>
      <c r="P416" s="256"/>
      <c r="Q416" s="256"/>
      <c r="R416" s="256"/>
      <c r="S416" s="256"/>
      <c r="T416" s="256"/>
      <c r="U416" s="256"/>
      <c r="V416" s="257">
        <f>SUM(V411:V415)</f>
        <v>6</v>
      </c>
      <c r="W416" s="256"/>
      <c r="X416" s="256"/>
      <c r="Y416" s="256"/>
      <c r="Z416" s="256"/>
      <c r="AA416" s="256"/>
      <c r="AB416" s="256"/>
      <c r="AC416" s="257">
        <f>SUM(AC411:AC415)</f>
        <v>117</v>
      </c>
      <c r="AD416" s="186">
        <f t="shared" si="146"/>
        <v>159</v>
      </c>
    </row>
    <row r="417">
      <c r="A417" s="27"/>
      <c r="B417" s="253"/>
      <c r="C417" s="253"/>
      <c r="D417" s="253"/>
      <c r="E417" s="253"/>
      <c r="F417" s="253"/>
      <c r="G417" s="226"/>
      <c r="H417" s="226"/>
      <c r="I417" s="256"/>
      <c r="J417" s="256"/>
      <c r="K417" s="256"/>
      <c r="L417" s="256"/>
      <c r="M417" s="256"/>
      <c r="N417" s="256"/>
      <c r="O417" s="226"/>
      <c r="P417" s="256"/>
      <c r="Q417" s="256"/>
      <c r="R417" s="256"/>
      <c r="S417" s="256"/>
      <c r="T417" s="256"/>
      <c r="U417" s="256"/>
      <c r="V417" s="257"/>
      <c r="W417" s="256"/>
      <c r="X417" s="256"/>
      <c r="Y417" s="256"/>
      <c r="Z417" s="256"/>
      <c r="AA417" s="256"/>
      <c r="AB417" s="256"/>
      <c r="AC417" s="257"/>
      <c r="AD417" s="186"/>
    </row>
    <row r="418">
      <c r="A418" s="243" t="s">
        <v>321</v>
      </c>
      <c r="B418" s="253"/>
      <c r="C418" s="253"/>
      <c r="D418" s="253"/>
      <c r="E418" s="253"/>
      <c r="F418" s="253"/>
      <c r="G418" s="226">
        <v>0.0</v>
      </c>
      <c r="H418" s="226">
        <v>0.0</v>
      </c>
      <c r="I418" s="256"/>
      <c r="J418" s="256"/>
      <c r="K418" s="256"/>
      <c r="L418" s="256"/>
      <c r="M418" s="256"/>
      <c r="N418" s="256"/>
      <c r="O418" s="226">
        <v>0.0</v>
      </c>
      <c r="P418" s="256"/>
      <c r="Q418" s="256"/>
      <c r="R418" s="256"/>
      <c r="S418" s="256"/>
      <c r="T418" s="256"/>
      <c r="U418" s="256"/>
      <c r="V418" s="203">
        <v>0.0</v>
      </c>
      <c r="W418" s="256"/>
      <c r="X418" s="256"/>
      <c r="Y418" s="256"/>
      <c r="Z418" s="256"/>
      <c r="AA418" s="256"/>
      <c r="AB418" s="256"/>
      <c r="AC418" s="203">
        <v>0.0</v>
      </c>
      <c r="AD418" s="186">
        <f t="shared" ref="AD418:AD423" si="148">SUM(B418:AC418)</f>
        <v>0</v>
      </c>
    </row>
    <row r="419">
      <c r="A419" s="243" t="s">
        <v>322</v>
      </c>
      <c r="B419" s="253"/>
      <c r="C419" s="253"/>
      <c r="D419" s="253"/>
      <c r="E419" s="253"/>
      <c r="F419" s="253"/>
      <c r="G419" s="226">
        <v>0.0</v>
      </c>
      <c r="H419" s="226">
        <v>0.0</v>
      </c>
      <c r="I419" s="256"/>
      <c r="J419" s="256"/>
      <c r="K419" s="256"/>
      <c r="L419" s="256"/>
      <c r="M419" s="256"/>
      <c r="N419" s="256"/>
      <c r="O419" s="226">
        <v>0.0</v>
      </c>
      <c r="P419" s="256"/>
      <c r="Q419" s="256"/>
      <c r="R419" s="256"/>
      <c r="S419" s="256"/>
      <c r="T419" s="256"/>
      <c r="U419" s="256"/>
      <c r="V419" s="203">
        <v>0.0</v>
      </c>
      <c r="W419" s="256"/>
      <c r="X419" s="256"/>
      <c r="Y419" s="256"/>
      <c r="Z419" s="256"/>
      <c r="AA419" s="256"/>
      <c r="AB419" s="256"/>
      <c r="AC419" s="203">
        <v>0.0</v>
      </c>
      <c r="AD419" s="186">
        <f t="shared" si="148"/>
        <v>0</v>
      </c>
    </row>
    <row r="420">
      <c r="A420" s="243" t="s">
        <v>323</v>
      </c>
      <c r="B420" s="253"/>
      <c r="C420" s="253"/>
      <c r="D420" s="253"/>
      <c r="E420" s="253"/>
      <c r="F420" s="253"/>
      <c r="G420" s="226">
        <v>0.0</v>
      </c>
      <c r="H420" s="226">
        <v>0.0</v>
      </c>
      <c r="I420" s="256"/>
      <c r="J420" s="256"/>
      <c r="K420" s="256"/>
      <c r="L420" s="256"/>
      <c r="M420" s="256"/>
      <c r="N420" s="256"/>
      <c r="O420" s="226">
        <v>0.0</v>
      </c>
      <c r="P420" s="256"/>
      <c r="Q420" s="256"/>
      <c r="R420" s="256"/>
      <c r="S420" s="256"/>
      <c r="T420" s="256"/>
      <c r="U420" s="256"/>
      <c r="V420" s="203">
        <v>0.0</v>
      </c>
      <c r="W420" s="256"/>
      <c r="X420" s="256"/>
      <c r="Y420" s="256"/>
      <c r="Z420" s="256"/>
      <c r="AA420" s="256"/>
      <c r="AB420" s="256"/>
      <c r="AC420" s="203">
        <v>0.0</v>
      </c>
      <c r="AD420" s="186">
        <f t="shared" si="148"/>
        <v>0</v>
      </c>
    </row>
    <row r="421">
      <c r="A421" s="243" t="s">
        <v>324</v>
      </c>
      <c r="B421" s="253"/>
      <c r="C421" s="253"/>
      <c r="D421" s="253"/>
      <c r="E421" s="253"/>
      <c r="F421" s="253"/>
      <c r="G421" s="226">
        <v>0.0</v>
      </c>
      <c r="H421" s="226">
        <v>0.0</v>
      </c>
      <c r="I421" s="256"/>
      <c r="J421" s="256"/>
      <c r="K421" s="256"/>
      <c r="L421" s="256"/>
      <c r="M421" s="256"/>
      <c r="N421" s="256"/>
      <c r="O421" s="226">
        <v>0.0</v>
      </c>
      <c r="P421" s="256"/>
      <c r="Q421" s="256"/>
      <c r="R421" s="256"/>
      <c r="S421" s="256"/>
      <c r="T421" s="256"/>
      <c r="U421" s="256"/>
      <c r="V421" s="203">
        <v>0.0</v>
      </c>
      <c r="W421" s="256"/>
      <c r="X421" s="256"/>
      <c r="Y421" s="256"/>
      <c r="Z421" s="256"/>
      <c r="AA421" s="256"/>
      <c r="AB421" s="256"/>
      <c r="AC421" s="203">
        <v>0.0</v>
      </c>
      <c r="AD421" s="186">
        <f t="shared" si="148"/>
        <v>0</v>
      </c>
    </row>
    <row r="422">
      <c r="A422" s="243" t="s">
        <v>325</v>
      </c>
      <c r="B422" s="253"/>
      <c r="C422" s="253"/>
      <c r="D422" s="253"/>
      <c r="E422" s="253"/>
      <c r="F422" s="253"/>
      <c r="G422" s="226">
        <v>0.0</v>
      </c>
      <c r="H422" s="226">
        <v>0.0</v>
      </c>
      <c r="I422" s="256"/>
      <c r="J422" s="256"/>
      <c r="K422" s="256"/>
      <c r="L422" s="256"/>
      <c r="M422" s="256"/>
      <c r="N422" s="256"/>
      <c r="O422" s="226">
        <v>0.0</v>
      </c>
      <c r="P422" s="256"/>
      <c r="Q422" s="256"/>
      <c r="R422" s="256"/>
      <c r="S422" s="256"/>
      <c r="T422" s="256"/>
      <c r="U422" s="256"/>
      <c r="V422" s="203">
        <v>0.0</v>
      </c>
      <c r="W422" s="256"/>
      <c r="X422" s="256"/>
      <c r="Y422" s="256"/>
      <c r="Z422" s="256"/>
      <c r="AA422" s="256"/>
      <c r="AB422" s="256"/>
      <c r="AC422" s="203">
        <v>0.0</v>
      </c>
      <c r="AD422" s="186">
        <f t="shared" si="148"/>
        <v>0</v>
      </c>
    </row>
    <row r="423">
      <c r="A423" s="247" t="s">
        <v>326</v>
      </c>
      <c r="B423" s="253"/>
      <c r="C423" s="253"/>
      <c r="D423" s="253"/>
      <c r="E423" s="253"/>
      <c r="F423" s="253"/>
      <c r="G423" s="226">
        <f t="shared" ref="G423:H423" si="149">SUM(G418:G422)</f>
        <v>0</v>
      </c>
      <c r="H423" s="226">
        <f t="shared" si="149"/>
        <v>0</v>
      </c>
      <c r="I423" s="256"/>
      <c r="J423" s="256"/>
      <c r="K423" s="256"/>
      <c r="L423" s="256"/>
      <c r="M423" s="256"/>
      <c r="N423" s="256"/>
      <c r="O423" s="226">
        <f>SUM(O418:O422)</f>
        <v>0</v>
      </c>
      <c r="P423" s="256"/>
      <c r="Q423" s="256"/>
      <c r="R423" s="256"/>
      <c r="S423" s="256"/>
      <c r="T423" s="256"/>
      <c r="U423" s="256"/>
      <c r="V423" s="257">
        <f>SUM(V418:V422)</f>
        <v>0</v>
      </c>
      <c r="W423" s="256"/>
      <c r="X423" s="256"/>
      <c r="Y423" s="256"/>
      <c r="Z423" s="256"/>
      <c r="AA423" s="256"/>
      <c r="AB423" s="256"/>
      <c r="AC423" s="257">
        <f>SUM(AC418:AC422)</f>
        <v>0</v>
      </c>
      <c r="AD423" s="186">
        <f t="shared" si="148"/>
        <v>0</v>
      </c>
    </row>
    <row r="424">
      <c r="A424" s="27"/>
      <c r="B424" s="253"/>
      <c r="C424" s="253"/>
      <c r="D424" s="253"/>
      <c r="E424" s="253"/>
      <c r="F424" s="253"/>
      <c r="G424" s="226"/>
      <c r="H424" s="226"/>
      <c r="I424" s="256"/>
      <c r="J424" s="256"/>
      <c r="K424" s="256"/>
      <c r="L424" s="256"/>
      <c r="M424" s="256"/>
      <c r="N424" s="256"/>
      <c r="O424" s="226"/>
      <c r="P424" s="256"/>
      <c r="Q424" s="256"/>
      <c r="R424" s="256"/>
      <c r="S424" s="256"/>
      <c r="T424" s="256"/>
      <c r="U424" s="256"/>
      <c r="V424" s="257"/>
      <c r="W424" s="256"/>
      <c r="X424" s="256"/>
      <c r="Y424" s="256"/>
      <c r="Z424" s="256"/>
      <c r="AA424" s="256"/>
      <c r="AB424" s="256"/>
      <c r="AC424" s="257"/>
      <c r="AD424" s="222"/>
    </row>
    <row r="425">
      <c r="A425" s="243" t="s">
        <v>327</v>
      </c>
      <c r="B425" s="253"/>
      <c r="C425" s="253"/>
      <c r="D425" s="253"/>
      <c r="E425" s="253"/>
      <c r="F425" s="253"/>
      <c r="G425" s="226">
        <v>0.0</v>
      </c>
      <c r="H425" s="226">
        <v>0.0</v>
      </c>
      <c r="I425" s="256"/>
      <c r="J425" s="256"/>
      <c r="K425" s="256"/>
      <c r="L425" s="256"/>
      <c r="M425" s="256"/>
      <c r="N425" s="256"/>
      <c r="O425" s="226">
        <v>0.0</v>
      </c>
      <c r="P425" s="256"/>
      <c r="Q425" s="256"/>
      <c r="R425" s="256"/>
      <c r="S425" s="256"/>
      <c r="T425" s="256"/>
      <c r="U425" s="256"/>
      <c r="V425" s="203">
        <v>0.0</v>
      </c>
      <c r="W425" s="256"/>
      <c r="X425" s="256"/>
      <c r="Y425" s="256"/>
      <c r="Z425" s="256"/>
      <c r="AA425" s="256"/>
      <c r="AB425" s="256"/>
      <c r="AC425" s="203">
        <v>0.0</v>
      </c>
      <c r="AD425" s="186">
        <f t="shared" ref="AD425:AD430" si="150">SUM(B425:AC425)</f>
        <v>0</v>
      </c>
    </row>
    <row r="426">
      <c r="A426" s="243" t="s">
        <v>328</v>
      </c>
      <c r="B426" s="253"/>
      <c r="C426" s="253"/>
      <c r="D426" s="253"/>
      <c r="E426" s="253"/>
      <c r="F426" s="253"/>
      <c r="G426" s="226">
        <v>0.0</v>
      </c>
      <c r="H426" s="226">
        <v>0.0</v>
      </c>
      <c r="I426" s="256"/>
      <c r="J426" s="256"/>
      <c r="K426" s="256"/>
      <c r="L426" s="256"/>
      <c r="M426" s="256"/>
      <c r="N426" s="256"/>
      <c r="O426" s="226">
        <v>0.0</v>
      </c>
      <c r="P426" s="256"/>
      <c r="Q426" s="256"/>
      <c r="R426" s="256"/>
      <c r="S426" s="256"/>
      <c r="T426" s="256"/>
      <c r="U426" s="256"/>
      <c r="V426" s="203">
        <v>0.0</v>
      </c>
      <c r="W426" s="256"/>
      <c r="X426" s="256"/>
      <c r="Y426" s="256"/>
      <c r="Z426" s="256"/>
      <c r="AA426" s="256"/>
      <c r="AB426" s="256"/>
      <c r="AC426" s="203">
        <v>0.0</v>
      </c>
      <c r="AD426" s="186">
        <f t="shared" si="150"/>
        <v>0</v>
      </c>
    </row>
    <row r="427">
      <c r="A427" s="243" t="s">
        <v>329</v>
      </c>
      <c r="B427" s="253"/>
      <c r="C427" s="253"/>
      <c r="D427" s="253"/>
      <c r="E427" s="253"/>
      <c r="F427" s="253"/>
      <c r="G427" s="226">
        <v>0.0</v>
      </c>
      <c r="H427" s="226">
        <v>0.0</v>
      </c>
      <c r="I427" s="256"/>
      <c r="J427" s="256"/>
      <c r="K427" s="256"/>
      <c r="L427" s="256"/>
      <c r="M427" s="256"/>
      <c r="N427" s="256"/>
      <c r="O427" s="226">
        <v>0.0</v>
      </c>
      <c r="P427" s="256"/>
      <c r="Q427" s="256"/>
      <c r="R427" s="256"/>
      <c r="S427" s="256"/>
      <c r="T427" s="256"/>
      <c r="U427" s="256"/>
      <c r="V427" s="203">
        <v>0.0</v>
      </c>
      <c r="W427" s="256"/>
      <c r="X427" s="256"/>
      <c r="Y427" s="256"/>
      <c r="Z427" s="256"/>
      <c r="AA427" s="256"/>
      <c r="AB427" s="256"/>
      <c r="AC427" s="203">
        <v>0.0</v>
      </c>
      <c r="AD427" s="186">
        <f t="shared" si="150"/>
        <v>0</v>
      </c>
    </row>
    <row r="428">
      <c r="A428" s="243" t="s">
        <v>330</v>
      </c>
      <c r="B428" s="253"/>
      <c r="C428" s="253"/>
      <c r="D428" s="253"/>
      <c r="E428" s="253"/>
      <c r="F428" s="253"/>
      <c r="G428" s="226">
        <v>0.0</v>
      </c>
      <c r="H428" s="226">
        <v>0.0</v>
      </c>
      <c r="I428" s="256"/>
      <c r="J428" s="256"/>
      <c r="K428" s="256"/>
      <c r="L428" s="256"/>
      <c r="M428" s="256"/>
      <c r="N428" s="256"/>
      <c r="O428" s="226">
        <v>0.0</v>
      </c>
      <c r="P428" s="256"/>
      <c r="Q428" s="256"/>
      <c r="R428" s="256"/>
      <c r="S428" s="256"/>
      <c r="T428" s="256"/>
      <c r="U428" s="256"/>
      <c r="V428" s="203">
        <v>0.0</v>
      </c>
      <c r="W428" s="256"/>
      <c r="X428" s="256"/>
      <c r="Y428" s="256"/>
      <c r="Z428" s="256"/>
      <c r="AA428" s="256"/>
      <c r="AB428" s="256"/>
      <c r="AC428" s="203">
        <v>0.0</v>
      </c>
      <c r="AD428" s="186">
        <f t="shared" si="150"/>
        <v>0</v>
      </c>
    </row>
    <row r="429">
      <c r="A429" s="243" t="s">
        <v>331</v>
      </c>
      <c r="B429" s="253"/>
      <c r="C429" s="253"/>
      <c r="D429" s="253"/>
      <c r="E429" s="253"/>
      <c r="F429" s="253"/>
      <c r="G429" s="226">
        <v>0.0</v>
      </c>
      <c r="H429" s="226">
        <v>0.0</v>
      </c>
      <c r="I429" s="256"/>
      <c r="J429" s="256"/>
      <c r="K429" s="256"/>
      <c r="L429" s="256"/>
      <c r="M429" s="256"/>
      <c r="N429" s="256"/>
      <c r="O429" s="226">
        <v>0.0</v>
      </c>
      <c r="P429" s="256"/>
      <c r="Q429" s="256"/>
      <c r="R429" s="256"/>
      <c r="S429" s="256"/>
      <c r="T429" s="256"/>
      <c r="U429" s="256"/>
      <c r="V429" s="203">
        <v>0.0</v>
      </c>
      <c r="W429" s="256"/>
      <c r="X429" s="256"/>
      <c r="Y429" s="256"/>
      <c r="Z429" s="256"/>
      <c r="AA429" s="256"/>
      <c r="AB429" s="256"/>
      <c r="AC429" s="203">
        <v>0.0</v>
      </c>
      <c r="AD429" s="186">
        <f t="shared" si="150"/>
        <v>0</v>
      </c>
    </row>
    <row r="430">
      <c r="A430" s="247" t="s">
        <v>332</v>
      </c>
      <c r="B430" s="253"/>
      <c r="C430" s="253"/>
      <c r="D430" s="253"/>
      <c r="E430" s="253"/>
      <c r="F430" s="253"/>
      <c r="G430" s="226">
        <f t="shared" ref="G430:H430" si="151">SUM(G425:G429)</f>
        <v>0</v>
      </c>
      <c r="H430" s="226">
        <f t="shared" si="151"/>
        <v>0</v>
      </c>
      <c r="I430" s="256"/>
      <c r="J430" s="256"/>
      <c r="K430" s="256"/>
      <c r="L430" s="256"/>
      <c r="M430" s="256"/>
      <c r="N430" s="256"/>
      <c r="O430" s="226">
        <f>SUM(O425:O429)</f>
        <v>0</v>
      </c>
      <c r="P430" s="256"/>
      <c r="Q430" s="256"/>
      <c r="R430" s="256"/>
      <c r="S430" s="256"/>
      <c r="T430" s="256"/>
      <c r="U430" s="256"/>
      <c r="V430" s="257">
        <f>SUM(V425:V429)</f>
        <v>0</v>
      </c>
      <c r="W430" s="256"/>
      <c r="X430" s="256"/>
      <c r="Y430" s="256"/>
      <c r="Z430" s="256"/>
      <c r="AA430" s="256"/>
      <c r="AB430" s="256"/>
      <c r="AC430" s="257">
        <f>SUM(AC425:AC429)</f>
        <v>0</v>
      </c>
      <c r="AD430" s="186">
        <f t="shared" si="150"/>
        <v>0</v>
      </c>
    </row>
    <row r="431">
      <c r="A431" s="213"/>
      <c r="AD431" s="222"/>
    </row>
    <row r="432">
      <c r="A432" s="160" t="s">
        <v>358</v>
      </c>
      <c r="B432" s="157"/>
      <c r="C432" s="157"/>
      <c r="D432" s="157"/>
      <c r="E432" s="157"/>
      <c r="F432" s="157"/>
      <c r="G432" s="157"/>
      <c r="H432" s="157"/>
      <c r="I432" s="23"/>
      <c r="J432" s="23"/>
      <c r="K432" s="23"/>
      <c r="L432" s="23"/>
      <c r="M432" s="23"/>
      <c r="N432" s="23"/>
      <c r="O432" s="23"/>
      <c r="P432" s="23"/>
      <c r="Q432" s="23"/>
      <c r="R432" s="23"/>
      <c r="S432" s="23"/>
      <c r="T432" s="23"/>
      <c r="U432" s="23"/>
      <c r="V432" s="23"/>
      <c r="W432" s="23"/>
      <c r="X432" s="23"/>
      <c r="Y432" s="23"/>
      <c r="Z432" s="23"/>
      <c r="AA432" s="23"/>
      <c r="AB432" s="23"/>
      <c r="AC432" s="23"/>
      <c r="AD432" s="181"/>
    </row>
    <row r="433">
      <c r="A433" s="258" t="s">
        <v>308</v>
      </c>
      <c r="B433" s="226">
        <f t="shared" ref="B433:AC433" si="152">B208-B281</f>
        <v>28</v>
      </c>
      <c r="C433" s="226">
        <f t="shared" si="152"/>
        <v>43</v>
      </c>
      <c r="D433" s="226">
        <f t="shared" si="152"/>
        <v>34</v>
      </c>
      <c r="E433" s="226">
        <f t="shared" si="152"/>
        <v>31</v>
      </c>
      <c r="F433" s="226">
        <f t="shared" si="152"/>
        <v>35</v>
      </c>
      <c r="G433" s="226">
        <f t="shared" si="152"/>
        <v>25</v>
      </c>
      <c r="H433" s="226">
        <f t="shared" si="152"/>
        <v>33</v>
      </c>
      <c r="I433" s="226">
        <f t="shared" si="152"/>
        <v>26</v>
      </c>
      <c r="J433" s="226">
        <f t="shared" si="152"/>
        <v>38</v>
      </c>
      <c r="K433" s="226">
        <f t="shared" si="152"/>
        <v>42</v>
      </c>
      <c r="L433" s="226">
        <f t="shared" si="152"/>
        <v>40</v>
      </c>
      <c r="M433" s="226">
        <f t="shared" si="152"/>
        <v>45</v>
      </c>
      <c r="N433" s="226">
        <f t="shared" si="152"/>
        <v>43</v>
      </c>
      <c r="O433" s="226">
        <f t="shared" si="152"/>
        <v>70</v>
      </c>
      <c r="P433" s="226">
        <f t="shared" si="152"/>
        <v>39</v>
      </c>
      <c r="Q433" s="226">
        <f t="shared" si="152"/>
        <v>41</v>
      </c>
      <c r="R433" s="226">
        <f t="shared" si="152"/>
        <v>31</v>
      </c>
      <c r="S433" s="226">
        <f t="shared" si="152"/>
        <v>38</v>
      </c>
      <c r="T433" s="226">
        <f t="shared" si="152"/>
        <v>37</v>
      </c>
      <c r="U433" s="226">
        <f t="shared" si="152"/>
        <v>26</v>
      </c>
      <c r="V433" s="226">
        <f t="shared" si="152"/>
        <v>34</v>
      </c>
      <c r="W433" s="226">
        <f t="shared" si="152"/>
        <v>25</v>
      </c>
      <c r="X433" s="226">
        <f t="shared" si="152"/>
        <v>26</v>
      </c>
      <c r="Y433" s="226">
        <f t="shared" si="152"/>
        <v>35</v>
      </c>
      <c r="Z433" s="226">
        <f t="shared" si="152"/>
        <v>40</v>
      </c>
      <c r="AA433" s="226">
        <f t="shared" si="152"/>
        <v>31</v>
      </c>
      <c r="AB433" s="226">
        <f t="shared" si="152"/>
        <v>37</v>
      </c>
      <c r="AC433" s="226">
        <f t="shared" si="152"/>
        <v>32</v>
      </c>
      <c r="AD433" s="186">
        <f t="shared" ref="AD433:AD440" si="154">SUM(B433:AC433)</f>
        <v>1005</v>
      </c>
    </row>
    <row r="434">
      <c r="A434" s="258" t="s">
        <v>309</v>
      </c>
      <c r="B434" s="226">
        <f>B209-B281</f>
        <v>81</v>
      </c>
      <c r="C434" s="226">
        <f t="shared" ref="C434:AC434" si="153">C209-C282</f>
        <v>94</v>
      </c>
      <c r="D434" s="226">
        <f t="shared" si="153"/>
        <v>77</v>
      </c>
      <c r="E434" s="226">
        <f t="shared" si="153"/>
        <v>99</v>
      </c>
      <c r="F434" s="226">
        <f t="shared" si="153"/>
        <v>87</v>
      </c>
      <c r="G434" s="226">
        <f t="shared" si="153"/>
        <v>77</v>
      </c>
      <c r="H434" s="226">
        <f t="shared" si="153"/>
        <v>88</v>
      </c>
      <c r="I434" s="226">
        <f t="shared" si="153"/>
        <v>104</v>
      </c>
      <c r="J434" s="226">
        <f t="shared" si="153"/>
        <v>87</v>
      </c>
      <c r="K434" s="226">
        <f t="shared" si="153"/>
        <v>101</v>
      </c>
      <c r="L434" s="226">
        <f t="shared" si="153"/>
        <v>116</v>
      </c>
      <c r="M434" s="226">
        <f t="shared" si="153"/>
        <v>181</v>
      </c>
      <c r="N434" s="226">
        <f t="shared" si="153"/>
        <v>127</v>
      </c>
      <c r="O434" s="226">
        <f t="shared" si="153"/>
        <v>141</v>
      </c>
      <c r="P434" s="226">
        <f t="shared" si="153"/>
        <v>108</v>
      </c>
      <c r="Q434" s="226">
        <f t="shared" si="153"/>
        <v>91</v>
      </c>
      <c r="R434" s="226">
        <f t="shared" si="153"/>
        <v>109</v>
      </c>
      <c r="S434" s="226">
        <f t="shared" si="153"/>
        <v>107</v>
      </c>
      <c r="T434" s="226">
        <f t="shared" si="153"/>
        <v>114</v>
      </c>
      <c r="U434" s="226">
        <f t="shared" si="153"/>
        <v>120</v>
      </c>
      <c r="V434" s="226">
        <f t="shared" si="153"/>
        <v>93</v>
      </c>
      <c r="W434" s="226">
        <f t="shared" si="153"/>
        <v>108</v>
      </c>
      <c r="X434" s="226">
        <f t="shared" si="153"/>
        <v>108</v>
      </c>
      <c r="Y434" s="226">
        <f t="shared" si="153"/>
        <v>96</v>
      </c>
      <c r="Z434" s="226">
        <f t="shared" si="153"/>
        <v>139</v>
      </c>
      <c r="AA434" s="226">
        <f t="shared" si="153"/>
        <v>106</v>
      </c>
      <c r="AB434" s="226">
        <f t="shared" si="153"/>
        <v>86</v>
      </c>
      <c r="AC434" s="226">
        <f t="shared" si="153"/>
        <v>93</v>
      </c>
      <c r="AD434" s="186">
        <f t="shared" si="154"/>
        <v>2938</v>
      </c>
    </row>
    <row r="435">
      <c r="A435" s="258" t="s">
        <v>310</v>
      </c>
      <c r="B435" s="226">
        <f t="shared" ref="B435:AC435" si="155">B210-B283</f>
        <v>3</v>
      </c>
      <c r="C435" s="226">
        <f t="shared" si="155"/>
        <v>15</v>
      </c>
      <c r="D435" s="226">
        <f t="shared" si="155"/>
        <v>0</v>
      </c>
      <c r="E435" s="226">
        <f t="shared" si="155"/>
        <v>2</v>
      </c>
      <c r="F435" s="226">
        <f t="shared" si="155"/>
        <v>3</v>
      </c>
      <c r="G435" s="226">
        <f t="shared" si="155"/>
        <v>2</v>
      </c>
      <c r="H435" s="226">
        <f t="shared" si="155"/>
        <v>1</v>
      </c>
      <c r="I435" s="226">
        <f t="shared" si="155"/>
        <v>5</v>
      </c>
      <c r="J435" s="226">
        <f t="shared" si="155"/>
        <v>1</v>
      </c>
      <c r="K435" s="226">
        <f t="shared" si="155"/>
        <v>7</v>
      </c>
      <c r="L435" s="226">
        <f t="shared" si="155"/>
        <v>5</v>
      </c>
      <c r="M435" s="226">
        <f t="shared" si="155"/>
        <v>4</v>
      </c>
      <c r="N435" s="226">
        <f t="shared" si="155"/>
        <v>6</v>
      </c>
      <c r="O435" s="226">
        <f t="shared" si="155"/>
        <v>2</v>
      </c>
      <c r="P435" s="226">
        <f t="shared" si="155"/>
        <v>3</v>
      </c>
      <c r="Q435" s="226">
        <f t="shared" si="155"/>
        <v>7</v>
      </c>
      <c r="R435" s="226">
        <f t="shared" si="155"/>
        <v>0</v>
      </c>
      <c r="S435" s="226">
        <f t="shared" si="155"/>
        <v>5</v>
      </c>
      <c r="T435" s="226">
        <f t="shared" si="155"/>
        <v>6</v>
      </c>
      <c r="U435" s="226">
        <f t="shared" si="155"/>
        <v>1</v>
      </c>
      <c r="V435" s="226">
        <f t="shared" si="155"/>
        <v>2</v>
      </c>
      <c r="W435" s="226">
        <f t="shared" si="155"/>
        <v>3</v>
      </c>
      <c r="X435" s="226">
        <f t="shared" si="155"/>
        <v>1</v>
      </c>
      <c r="Y435" s="226">
        <f t="shared" si="155"/>
        <v>2</v>
      </c>
      <c r="Z435" s="226">
        <f t="shared" si="155"/>
        <v>2</v>
      </c>
      <c r="AA435" s="226">
        <f t="shared" si="155"/>
        <v>4</v>
      </c>
      <c r="AB435" s="226">
        <f t="shared" si="155"/>
        <v>3</v>
      </c>
      <c r="AC435" s="226">
        <f t="shared" si="155"/>
        <v>2</v>
      </c>
      <c r="AD435" s="186">
        <f t="shared" si="154"/>
        <v>97</v>
      </c>
    </row>
    <row r="436">
      <c r="A436" s="258" t="s">
        <v>311</v>
      </c>
      <c r="B436" s="226">
        <f t="shared" ref="B436:AC436" si="156">B211-B284</f>
        <v>2</v>
      </c>
      <c r="C436" s="226">
        <f t="shared" si="156"/>
        <v>6</v>
      </c>
      <c r="D436" s="226">
        <f t="shared" si="156"/>
        <v>9</v>
      </c>
      <c r="E436" s="226">
        <f t="shared" si="156"/>
        <v>11</v>
      </c>
      <c r="F436" s="226">
        <f t="shared" si="156"/>
        <v>8</v>
      </c>
      <c r="G436" s="226">
        <f t="shared" si="156"/>
        <v>8</v>
      </c>
      <c r="H436" s="226">
        <f t="shared" si="156"/>
        <v>6</v>
      </c>
      <c r="I436" s="226">
        <f t="shared" si="156"/>
        <v>4</v>
      </c>
      <c r="J436" s="226">
        <f t="shared" si="156"/>
        <v>10</v>
      </c>
      <c r="K436" s="226">
        <f t="shared" si="156"/>
        <v>8</v>
      </c>
      <c r="L436" s="226">
        <f t="shared" si="156"/>
        <v>13</v>
      </c>
      <c r="M436" s="226">
        <f t="shared" si="156"/>
        <v>5</v>
      </c>
      <c r="N436" s="226">
        <f t="shared" si="156"/>
        <v>19</v>
      </c>
      <c r="O436" s="226">
        <f t="shared" si="156"/>
        <v>9</v>
      </c>
      <c r="P436" s="226">
        <f t="shared" si="156"/>
        <v>12</v>
      </c>
      <c r="Q436" s="226">
        <f t="shared" si="156"/>
        <v>9</v>
      </c>
      <c r="R436" s="226">
        <f t="shared" si="156"/>
        <v>7</v>
      </c>
      <c r="S436" s="226">
        <f t="shared" si="156"/>
        <v>8</v>
      </c>
      <c r="T436" s="226">
        <f t="shared" si="156"/>
        <v>9</v>
      </c>
      <c r="U436" s="226">
        <f t="shared" si="156"/>
        <v>4</v>
      </c>
      <c r="V436" s="226">
        <f t="shared" si="156"/>
        <v>3</v>
      </c>
      <c r="W436" s="226">
        <f t="shared" si="156"/>
        <v>7</v>
      </c>
      <c r="X436" s="226">
        <f t="shared" si="156"/>
        <v>8</v>
      </c>
      <c r="Y436" s="226">
        <f t="shared" si="156"/>
        <v>5</v>
      </c>
      <c r="Z436" s="226">
        <f t="shared" si="156"/>
        <v>5</v>
      </c>
      <c r="AA436" s="226">
        <f t="shared" si="156"/>
        <v>13</v>
      </c>
      <c r="AB436" s="226">
        <f t="shared" si="156"/>
        <v>16</v>
      </c>
      <c r="AC436" s="226">
        <f t="shared" si="156"/>
        <v>4</v>
      </c>
      <c r="AD436" s="186">
        <f t="shared" si="154"/>
        <v>228</v>
      </c>
    </row>
    <row r="437">
      <c r="A437" s="258" t="s">
        <v>312</v>
      </c>
      <c r="B437" s="208">
        <f t="shared" ref="B437:AC437" si="157">B212-B285</f>
        <v>0</v>
      </c>
      <c r="C437" s="208">
        <f t="shared" si="157"/>
        <v>0</v>
      </c>
      <c r="D437" s="208">
        <f t="shared" si="157"/>
        <v>0</v>
      </c>
      <c r="E437" s="208">
        <f t="shared" si="157"/>
        <v>0</v>
      </c>
      <c r="F437" s="208">
        <f t="shared" si="157"/>
        <v>0</v>
      </c>
      <c r="G437" s="208">
        <f t="shared" si="157"/>
        <v>0</v>
      </c>
      <c r="H437" s="208">
        <f t="shared" si="157"/>
        <v>0</v>
      </c>
      <c r="I437" s="208">
        <f t="shared" si="157"/>
        <v>0</v>
      </c>
      <c r="J437" s="208">
        <f t="shared" si="157"/>
        <v>1</v>
      </c>
      <c r="K437" s="208">
        <f t="shared" si="157"/>
        <v>0</v>
      </c>
      <c r="L437" s="208">
        <f t="shared" si="157"/>
        <v>0</v>
      </c>
      <c r="M437" s="208">
        <f t="shared" si="157"/>
        <v>0</v>
      </c>
      <c r="N437" s="208">
        <f t="shared" si="157"/>
        <v>0</v>
      </c>
      <c r="O437" s="208">
        <f t="shared" si="157"/>
        <v>0</v>
      </c>
      <c r="P437" s="208">
        <f t="shared" si="157"/>
        <v>0</v>
      </c>
      <c r="Q437" s="208">
        <f t="shared" si="157"/>
        <v>0</v>
      </c>
      <c r="R437" s="208">
        <f t="shared" si="157"/>
        <v>0</v>
      </c>
      <c r="S437" s="208">
        <f t="shared" si="157"/>
        <v>-1</v>
      </c>
      <c r="T437" s="208">
        <f t="shared" si="157"/>
        <v>0</v>
      </c>
      <c r="U437" s="208">
        <f t="shared" si="157"/>
        <v>0</v>
      </c>
      <c r="V437" s="208">
        <f t="shared" si="157"/>
        <v>0</v>
      </c>
      <c r="W437" s="208">
        <f t="shared" si="157"/>
        <v>0</v>
      </c>
      <c r="X437" s="208">
        <f t="shared" si="157"/>
        <v>0</v>
      </c>
      <c r="Y437" s="208">
        <f t="shared" si="157"/>
        <v>0</v>
      </c>
      <c r="Z437" s="208">
        <f t="shared" si="157"/>
        <v>0</v>
      </c>
      <c r="AA437" s="208">
        <f t="shared" si="157"/>
        <v>0</v>
      </c>
      <c r="AB437" s="208">
        <f t="shared" si="157"/>
        <v>0</v>
      </c>
      <c r="AC437" s="208">
        <f t="shared" si="157"/>
        <v>0</v>
      </c>
      <c r="AD437" s="186">
        <f t="shared" si="154"/>
        <v>0</v>
      </c>
    </row>
    <row r="438">
      <c r="A438" s="258" t="s">
        <v>313</v>
      </c>
      <c r="B438" s="208">
        <f t="shared" ref="B438:AC438" si="158">B213-B286</f>
        <v>-1</v>
      </c>
      <c r="C438" s="208">
        <f t="shared" si="158"/>
        <v>2</v>
      </c>
      <c r="D438" s="208">
        <f t="shared" si="158"/>
        <v>0</v>
      </c>
      <c r="E438" s="208">
        <f t="shared" si="158"/>
        <v>0</v>
      </c>
      <c r="F438" s="208">
        <f t="shared" si="158"/>
        <v>0</v>
      </c>
      <c r="G438" s="208">
        <f t="shared" si="158"/>
        <v>0</v>
      </c>
      <c r="H438" s="208">
        <f t="shared" si="158"/>
        <v>0</v>
      </c>
      <c r="I438" s="208">
        <f t="shared" si="158"/>
        <v>0</v>
      </c>
      <c r="J438" s="208">
        <f t="shared" si="158"/>
        <v>0</v>
      </c>
      <c r="K438" s="208">
        <f t="shared" si="158"/>
        <v>0</v>
      </c>
      <c r="L438" s="208">
        <f t="shared" si="158"/>
        <v>0</v>
      </c>
      <c r="M438" s="208">
        <f t="shared" si="158"/>
        <v>-1</v>
      </c>
      <c r="N438" s="208">
        <f t="shared" si="158"/>
        <v>0</v>
      </c>
      <c r="O438" s="208">
        <f t="shared" si="158"/>
        <v>0</v>
      </c>
      <c r="P438" s="208">
        <f t="shared" si="158"/>
        <v>0</v>
      </c>
      <c r="Q438" s="208">
        <f t="shared" si="158"/>
        <v>0</v>
      </c>
      <c r="R438" s="208">
        <f t="shared" si="158"/>
        <v>0</v>
      </c>
      <c r="S438" s="208">
        <f t="shared" si="158"/>
        <v>1</v>
      </c>
      <c r="T438" s="208">
        <f t="shared" si="158"/>
        <v>0</v>
      </c>
      <c r="U438" s="208">
        <f t="shared" si="158"/>
        <v>0</v>
      </c>
      <c r="V438" s="208">
        <f t="shared" si="158"/>
        <v>0</v>
      </c>
      <c r="W438" s="208">
        <f t="shared" si="158"/>
        <v>-1</v>
      </c>
      <c r="X438" s="208">
        <f t="shared" si="158"/>
        <v>0</v>
      </c>
      <c r="Y438" s="208">
        <f t="shared" si="158"/>
        <v>0</v>
      </c>
      <c r="Z438" s="208">
        <f t="shared" si="158"/>
        <v>0</v>
      </c>
      <c r="AA438" s="208">
        <f t="shared" si="158"/>
        <v>0</v>
      </c>
      <c r="AB438" s="208">
        <f t="shared" si="158"/>
        <v>0</v>
      </c>
      <c r="AC438" s="208">
        <f t="shared" si="158"/>
        <v>0</v>
      </c>
      <c r="AD438" s="186">
        <f t="shared" si="154"/>
        <v>0</v>
      </c>
    </row>
    <row r="439">
      <c r="A439" s="259" t="s">
        <v>298</v>
      </c>
      <c r="B439" s="260">
        <f t="shared" ref="B439:AC439" si="159">B433+B435+B437</f>
        <v>31</v>
      </c>
      <c r="C439" s="260">
        <f t="shared" si="159"/>
        <v>58</v>
      </c>
      <c r="D439" s="260">
        <f t="shared" si="159"/>
        <v>34</v>
      </c>
      <c r="E439" s="260">
        <f t="shared" si="159"/>
        <v>33</v>
      </c>
      <c r="F439" s="260">
        <f t="shared" si="159"/>
        <v>38</v>
      </c>
      <c r="G439" s="260">
        <f t="shared" si="159"/>
        <v>27</v>
      </c>
      <c r="H439" s="260">
        <f t="shared" si="159"/>
        <v>34</v>
      </c>
      <c r="I439" s="260">
        <f t="shared" si="159"/>
        <v>31</v>
      </c>
      <c r="J439" s="260">
        <f t="shared" si="159"/>
        <v>40</v>
      </c>
      <c r="K439" s="260">
        <f t="shared" si="159"/>
        <v>49</v>
      </c>
      <c r="L439" s="260">
        <f t="shared" si="159"/>
        <v>45</v>
      </c>
      <c r="M439" s="260">
        <f t="shared" si="159"/>
        <v>49</v>
      </c>
      <c r="N439" s="260">
        <f t="shared" si="159"/>
        <v>49</v>
      </c>
      <c r="O439" s="260">
        <f t="shared" si="159"/>
        <v>72</v>
      </c>
      <c r="P439" s="260">
        <f t="shared" si="159"/>
        <v>42</v>
      </c>
      <c r="Q439" s="260">
        <f t="shared" si="159"/>
        <v>48</v>
      </c>
      <c r="R439" s="260">
        <f t="shared" si="159"/>
        <v>31</v>
      </c>
      <c r="S439" s="260">
        <f t="shared" si="159"/>
        <v>42</v>
      </c>
      <c r="T439" s="260">
        <f t="shared" si="159"/>
        <v>43</v>
      </c>
      <c r="U439" s="260">
        <f t="shared" si="159"/>
        <v>27</v>
      </c>
      <c r="V439" s="260">
        <f t="shared" si="159"/>
        <v>36</v>
      </c>
      <c r="W439" s="260">
        <f t="shared" si="159"/>
        <v>28</v>
      </c>
      <c r="X439" s="260">
        <f t="shared" si="159"/>
        <v>27</v>
      </c>
      <c r="Y439" s="260">
        <f t="shared" si="159"/>
        <v>37</v>
      </c>
      <c r="Z439" s="260">
        <f t="shared" si="159"/>
        <v>42</v>
      </c>
      <c r="AA439" s="260">
        <f t="shared" si="159"/>
        <v>35</v>
      </c>
      <c r="AB439" s="260">
        <f t="shared" si="159"/>
        <v>40</v>
      </c>
      <c r="AC439" s="260">
        <f t="shared" si="159"/>
        <v>34</v>
      </c>
      <c r="AD439" s="186">
        <f t="shared" si="154"/>
        <v>1102</v>
      </c>
    </row>
    <row r="440">
      <c r="A440" s="259" t="s">
        <v>334</v>
      </c>
      <c r="B440" s="260">
        <f t="shared" ref="B440:AC440" si="160">B434+B436+B438</f>
        <v>82</v>
      </c>
      <c r="C440" s="260">
        <f t="shared" si="160"/>
        <v>102</v>
      </c>
      <c r="D440" s="260">
        <f t="shared" si="160"/>
        <v>86</v>
      </c>
      <c r="E440" s="260">
        <f t="shared" si="160"/>
        <v>110</v>
      </c>
      <c r="F440" s="260">
        <f t="shared" si="160"/>
        <v>95</v>
      </c>
      <c r="G440" s="260">
        <f t="shared" si="160"/>
        <v>85</v>
      </c>
      <c r="H440" s="260">
        <f t="shared" si="160"/>
        <v>94</v>
      </c>
      <c r="I440" s="260">
        <f t="shared" si="160"/>
        <v>108</v>
      </c>
      <c r="J440" s="260">
        <f t="shared" si="160"/>
        <v>97</v>
      </c>
      <c r="K440" s="260">
        <f t="shared" si="160"/>
        <v>109</v>
      </c>
      <c r="L440" s="260">
        <f t="shared" si="160"/>
        <v>129</v>
      </c>
      <c r="M440" s="260">
        <f t="shared" si="160"/>
        <v>185</v>
      </c>
      <c r="N440" s="260">
        <f t="shared" si="160"/>
        <v>146</v>
      </c>
      <c r="O440" s="260">
        <f t="shared" si="160"/>
        <v>150</v>
      </c>
      <c r="P440" s="260">
        <f t="shared" si="160"/>
        <v>120</v>
      </c>
      <c r="Q440" s="260">
        <f t="shared" si="160"/>
        <v>100</v>
      </c>
      <c r="R440" s="260">
        <f t="shared" si="160"/>
        <v>116</v>
      </c>
      <c r="S440" s="260">
        <f t="shared" si="160"/>
        <v>116</v>
      </c>
      <c r="T440" s="260">
        <f t="shared" si="160"/>
        <v>123</v>
      </c>
      <c r="U440" s="260">
        <f t="shared" si="160"/>
        <v>124</v>
      </c>
      <c r="V440" s="260">
        <f t="shared" si="160"/>
        <v>96</v>
      </c>
      <c r="W440" s="260">
        <f t="shared" si="160"/>
        <v>114</v>
      </c>
      <c r="X440" s="260">
        <f t="shared" si="160"/>
        <v>116</v>
      </c>
      <c r="Y440" s="260">
        <f t="shared" si="160"/>
        <v>101</v>
      </c>
      <c r="Z440" s="260">
        <f t="shared" si="160"/>
        <v>144</v>
      </c>
      <c r="AA440" s="260">
        <f t="shared" si="160"/>
        <v>119</v>
      </c>
      <c r="AB440" s="260">
        <f t="shared" si="160"/>
        <v>102</v>
      </c>
      <c r="AC440" s="260">
        <f t="shared" si="160"/>
        <v>97</v>
      </c>
      <c r="AD440" s="186">
        <f t="shared" si="154"/>
        <v>3166</v>
      </c>
    </row>
    <row r="441">
      <c r="A441" s="27"/>
      <c r="B441" s="157"/>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c r="AA441" s="157"/>
      <c r="AB441" s="157"/>
      <c r="AC441" s="157"/>
      <c r="AD441" s="186"/>
    </row>
    <row r="442">
      <c r="A442" s="258" t="s">
        <v>315</v>
      </c>
      <c r="B442" s="226">
        <f t="shared" ref="B442:AC442" si="161">B217-B290</f>
        <v>52</v>
      </c>
      <c r="C442" s="226">
        <f t="shared" si="161"/>
        <v>54</v>
      </c>
      <c r="D442" s="226">
        <f t="shared" si="161"/>
        <v>48</v>
      </c>
      <c r="E442" s="226">
        <f t="shared" si="161"/>
        <v>66</v>
      </c>
      <c r="F442" s="226">
        <f t="shared" si="161"/>
        <v>57</v>
      </c>
      <c r="G442" s="226">
        <f t="shared" si="161"/>
        <v>52</v>
      </c>
      <c r="H442" s="226">
        <f t="shared" si="161"/>
        <v>51</v>
      </c>
      <c r="I442" s="226">
        <f t="shared" si="161"/>
        <v>44</v>
      </c>
      <c r="J442" s="226">
        <f t="shared" si="161"/>
        <v>48</v>
      </c>
      <c r="K442" s="226">
        <f t="shared" si="161"/>
        <v>49</v>
      </c>
      <c r="L442" s="226">
        <f t="shared" si="161"/>
        <v>52</v>
      </c>
      <c r="M442" s="226">
        <f t="shared" si="161"/>
        <v>80</v>
      </c>
      <c r="N442" s="226">
        <f t="shared" si="161"/>
        <v>55</v>
      </c>
      <c r="O442" s="226">
        <f t="shared" si="161"/>
        <v>63</v>
      </c>
      <c r="P442" s="226">
        <f t="shared" si="161"/>
        <v>40</v>
      </c>
      <c r="Q442" s="226">
        <f t="shared" si="161"/>
        <v>52</v>
      </c>
      <c r="R442" s="226">
        <f t="shared" si="161"/>
        <v>42</v>
      </c>
      <c r="S442" s="226">
        <f t="shared" si="161"/>
        <v>52</v>
      </c>
      <c r="T442" s="226">
        <f t="shared" si="161"/>
        <v>64</v>
      </c>
      <c r="U442" s="226">
        <f t="shared" si="161"/>
        <v>70</v>
      </c>
      <c r="V442" s="226">
        <f t="shared" si="161"/>
        <v>59</v>
      </c>
      <c r="W442" s="226">
        <f t="shared" si="161"/>
        <v>50</v>
      </c>
      <c r="X442" s="226">
        <f t="shared" si="161"/>
        <v>60</v>
      </c>
      <c r="Y442" s="226">
        <f t="shared" si="161"/>
        <v>62</v>
      </c>
      <c r="Z442" s="226">
        <f t="shared" si="161"/>
        <v>77</v>
      </c>
      <c r="AA442" s="226">
        <f t="shared" si="161"/>
        <v>61</v>
      </c>
      <c r="AB442" s="226">
        <f t="shared" si="161"/>
        <v>47</v>
      </c>
      <c r="AC442" s="226">
        <f t="shared" si="161"/>
        <v>66</v>
      </c>
      <c r="AD442" s="186">
        <f t="shared" ref="AD442:AD447" si="163">SUM(B442:AC442)</f>
        <v>1573</v>
      </c>
    </row>
    <row r="443">
      <c r="A443" s="258" t="s">
        <v>316</v>
      </c>
      <c r="B443" s="226">
        <f t="shared" ref="B443:AC443" si="162">B218-B291</f>
        <v>0</v>
      </c>
      <c r="C443" s="226">
        <f t="shared" si="162"/>
        <v>0</v>
      </c>
      <c r="D443" s="226">
        <f t="shared" si="162"/>
        <v>0</v>
      </c>
      <c r="E443" s="226">
        <f t="shared" si="162"/>
        <v>0</v>
      </c>
      <c r="F443" s="226">
        <f t="shared" si="162"/>
        <v>0</v>
      </c>
      <c r="G443" s="226">
        <f t="shared" si="162"/>
        <v>0</v>
      </c>
      <c r="H443" s="226">
        <f t="shared" si="162"/>
        <v>0</v>
      </c>
      <c r="I443" s="226">
        <f t="shared" si="162"/>
        <v>0</v>
      </c>
      <c r="J443" s="226">
        <f t="shared" si="162"/>
        <v>0</v>
      </c>
      <c r="K443" s="226">
        <f t="shared" si="162"/>
        <v>0</v>
      </c>
      <c r="L443" s="226">
        <f t="shared" si="162"/>
        <v>0</v>
      </c>
      <c r="M443" s="226">
        <f t="shared" si="162"/>
        <v>0</v>
      </c>
      <c r="N443" s="226">
        <f t="shared" si="162"/>
        <v>0</v>
      </c>
      <c r="O443" s="226">
        <f t="shared" si="162"/>
        <v>1</v>
      </c>
      <c r="P443" s="226">
        <f t="shared" si="162"/>
        <v>-1</v>
      </c>
      <c r="Q443" s="226">
        <f t="shared" si="162"/>
        <v>0</v>
      </c>
      <c r="R443" s="226">
        <f t="shared" si="162"/>
        <v>0</v>
      </c>
      <c r="S443" s="226">
        <f t="shared" si="162"/>
        <v>0</v>
      </c>
      <c r="T443" s="226">
        <f t="shared" si="162"/>
        <v>0</v>
      </c>
      <c r="U443" s="226">
        <f t="shared" si="162"/>
        <v>0</v>
      </c>
      <c r="V443" s="226">
        <f t="shared" si="162"/>
        <v>0</v>
      </c>
      <c r="W443" s="226">
        <f t="shared" si="162"/>
        <v>0</v>
      </c>
      <c r="X443" s="226">
        <f t="shared" si="162"/>
        <v>0</v>
      </c>
      <c r="Y443" s="226">
        <f t="shared" si="162"/>
        <v>0</v>
      </c>
      <c r="Z443" s="226">
        <f t="shared" si="162"/>
        <v>0</v>
      </c>
      <c r="AA443" s="226">
        <f t="shared" si="162"/>
        <v>0</v>
      </c>
      <c r="AB443" s="226">
        <f t="shared" si="162"/>
        <v>0</v>
      </c>
      <c r="AC443" s="226">
        <f t="shared" si="162"/>
        <v>0</v>
      </c>
      <c r="AD443" s="186">
        <f t="shared" si="163"/>
        <v>0</v>
      </c>
    </row>
    <row r="444">
      <c r="A444" s="258" t="s">
        <v>317</v>
      </c>
      <c r="B444" s="226">
        <f t="shared" ref="B444:AC444" si="164">B219-B292</f>
        <v>118</v>
      </c>
      <c r="C444" s="226">
        <f t="shared" si="164"/>
        <v>141</v>
      </c>
      <c r="D444" s="226">
        <f t="shared" si="164"/>
        <v>108</v>
      </c>
      <c r="E444" s="226">
        <f t="shared" si="164"/>
        <v>133</v>
      </c>
      <c r="F444" s="226">
        <f t="shared" si="164"/>
        <v>125</v>
      </c>
      <c r="G444" s="226">
        <f t="shared" si="164"/>
        <v>106</v>
      </c>
      <c r="H444" s="226">
        <f t="shared" si="164"/>
        <v>125</v>
      </c>
      <c r="I444" s="226">
        <f t="shared" si="164"/>
        <v>125</v>
      </c>
      <c r="J444" s="226">
        <f t="shared" si="164"/>
        <v>127</v>
      </c>
      <c r="K444" s="226">
        <f t="shared" si="164"/>
        <v>146</v>
      </c>
      <c r="L444" s="226">
        <f t="shared" si="164"/>
        <v>168</v>
      </c>
      <c r="M444" s="226">
        <f t="shared" si="164"/>
        <v>230</v>
      </c>
      <c r="N444" s="226">
        <f t="shared" si="164"/>
        <v>170</v>
      </c>
      <c r="O444" s="226">
        <f t="shared" si="164"/>
        <v>205</v>
      </c>
      <c r="P444" s="226">
        <f t="shared" si="164"/>
        <v>146</v>
      </c>
      <c r="Q444" s="226">
        <f t="shared" si="164"/>
        <v>133</v>
      </c>
      <c r="R444" s="226">
        <f t="shared" si="164"/>
        <v>143</v>
      </c>
      <c r="S444" s="226">
        <f t="shared" si="164"/>
        <v>87</v>
      </c>
      <c r="T444" s="226">
        <f t="shared" si="164"/>
        <v>105</v>
      </c>
      <c r="U444" s="226">
        <f t="shared" si="164"/>
        <v>103</v>
      </c>
      <c r="V444" s="226">
        <f t="shared" si="164"/>
        <v>94</v>
      </c>
      <c r="W444" s="226">
        <f t="shared" si="164"/>
        <v>94</v>
      </c>
      <c r="X444" s="226">
        <f t="shared" si="164"/>
        <v>129</v>
      </c>
      <c r="Y444" s="226">
        <f t="shared" si="164"/>
        <v>122</v>
      </c>
      <c r="Z444" s="226">
        <f t="shared" si="164"/>
        <v>120</v>
      </c>
      <c r="AA444" s="226">
        <f t="shared" si="164"/>
        <v>103</v>
      </c>
      <c r="AB444" s="226">
        <f t="shared" si="164"/>
        <v>109</v>
      </c>
      <c r="AC444" s="226">
        <f t="shared" si="164"/>
        <v>141</v>
      </c>
      <c r="AD444" s="186">
        <f t="shared" si="163"/>
        <v>3656</v>
      </c>
    </row>
    <row r="445">
      <c r="A445" s="258" t="s">
        <v>318</v>
      </c>
      <c r="B445" s="226">
        <f t="shared" ref="B445:AC445" si="165">B220-B293</f>
        <v>37</v>
      </c>
      <c r="C445" s="226">
        <f t="shared" si="165"/>
        <v>48</v>
      </c>
      <c r="D445" s="226">
        <f t="shared" si="165"/>
        <v>38</v>
      </c>
      <c r="E445" s="226">
        <f t="shared" si="165"/>
        <v>52</v>
      </c>
      <c r="F445" s="226">
        <f t="shared" si="165"/>
        <v>38</v>
      </c>
      <c r="G445" s="226">
        <f t="shared" si="165"/>
        <v>36</v>
      </c>
      <c r="H445" s="226">
        <f t="shared" si="165"/>
        <v>32</v>
      </c>
      <c r="I445" s="226">
        <f t="shared" si="165"/>
        <v>28</v>
      </c>
      <c r="J445" s="226">
        <f t="shared" si="165"/>
        <v>26</v>
      </c>
      <c r="K445" s="226">
        <f t="shared" si="165"/>
        <v>39</v>
      </c>
      <c r="L445" s="226">
        <f t="shared" si="165"/>
        <v>44</v>
      </c>
      <c r="M445" s="226">
        <f t="shared" si="165"/>
        <v>60</v>
      </c>
      <c r="N445" s="226">
        <f t="shared" si="165"/>
        <v>48</v>
      </c>
      <c r="O445" s="226">
        <f t="shared" si="165"/>
        <v>38</v>
      </c>
      <c r="P445" s="226">
        <f t="shared" si="165"/>
        <v>34</v>
      </c>
      <c r="Q445" s="226">
        <f t="shared" si="165"/>
        <v>33</v>
      </c>
      <c r="R445" s="226">
        <f t="shared" si="165"/>
        <v>31</v>
      </c>
      <c r="S445" s="226">
        <f t="shared" si="165"/>
        <v>50</v>
      </c>
      <c r="T445" s="226">
        <f t="shared" si="165"/>
        <v>49</v>
      </c>
      <c r="U445" s="226">
        <f t="shared" si="165"/>
        <v>55</v>
      </c>
      <c r="V445" s="226">
        <f t="shared" si="165"/>
        <v>45</v>
      </c>
      <c r="W445" s="226">
        <f t="shared" si="165"/>
        <v>47</v>
      </c>
      <c r="X445" s="226">
        <f t="shared" si="165"/>
        <v>127</v>
      </c>
      <c r="Y445" s="226">
        <f t="shared" si="165"/>
        <v>60</v>
      </c>
      <c r="Z445" s="226">
        <f t="shared" si="165"/>
        <v>63</v>
      </c>
      <c r="AA445" s="226">
        <f t="shared" si="165"/>
        <v>57</v>
      </c>
      <c r="AB445" s="226">
        <f t="shared" si="165"/>
        <v>41</v>
      </c>
      <c r="AC445" s="226">
        <f t="shared" si="165"/>
        <v>183</v>
      </c>
      <c r="AD445" s="186">
        <f t="shared" si="163"/>
        <v>1439</v>
      </c>
    </row>
    <row r="446">
      <c r="A446" s="258" t="s">
        <v>319</v>
      </c>
      <c r="B446" s="226">
        <f t="shared" ref="B446:AC446" si="166">B221-B294</f>
        <v>13</v>
      </c>
      <c r="C446" s="226">
        <f t="shared" si="166"/>
        <v>16</v>
      </c>
      <c r="D446" s="226">
        <f t="shared" si="166"/>
        <v>9</v>
      </c>
      <c r="E446" s="226">
        <f t="shared" si="166"/>
        <v>14</v>
      </c>
      <c r="F446" s="226">
        <f t="shared" si="166"/>
        <v>23</v>
      </c>
      <c r="G446" s="226">
        <f t="shared" si="166"/>
        <v>14</v>
      </c>
      <c r="H446" s="226">
        <f t="shared" si="166"/>
        <v>17</v>
      </c>
      <c r="I446" s="226">
        <f t="shared" si="166"/>
        <v>6</v>
      </c>
      <c r="J446" s="226">
        <f t="shared" si="166"/>
        <v>8</v>
      </c>
      <c r="K446" s="226">
        <f t="shared" si="166"/>
        <v>12</v>
      </c>
      <c r="L446" s="226">
        <f t="shared" si="166"/>
        <v>11</v>
      </c>
      <c r="M446" s="226">
        <f t="shared" si="166"/>
        <v>26</v>
      </c>
      <c r="N446" s="226">
        <f t="shared" si="166"/>
        <v>18</v>
      </c>
      <c r="O446" s="226">
        <f t="shared" si="166"/>
        <v>24</v>
      </c>
      <c r="P446" s="226">
        <f t="shared" si="166"/>
        <v>25</v>
      </c>
      <c r="Q446" s="226">
        <f t="shared" si="166"/>
        <v>10</v>
      </c>
      <c r="R446" s="226">
        <f t="shared" si="166"/>
        <v>3</v>
      </c>
      <c r="S446" s="226">
        <f t="shared" si="166"/>
        <v>12</v>
      </c>
      <c r="T446" s="226">
        <f t="shared" si="166"/>
        <v>16</v>
      </c>
      <c r="U446" s="226">
        <f t="shared" si="166"/>
        <v>13</v>
      </c>
      <c r="V446" s="226">
        <f t="shared" si="166"/>
        <v>14</v>
      </c>
      <c r="W446" s="226">
        <f t="shared" si="166"/>
        <v>7</v>
      </c>
      <c r="X446" s="226">
        <f t="shared" si="166"/>
        <v>22</v>
      </c>
      <c r="Y446" s="226">
        <f t="shared" si="166"/>
        <v>17</v>
      </c>
      <c r="Z446" s="226">
        <f t="shared" si="166"/>
        <v>13</v>
      </c>
      <c r="AA446" s="226">
        <f t="shared" si="166"/>
        <v>13</v>
      </c>
      <c r="AB446" s="226">
        <f t="shared" si="166"/>
        <v>9</v>
      </c>
      <c r="AC446" s="226">
        <f t="shared" si="166"/>
        <v>18</v>
      </c>
      <c r="AD446" s="186">
        <f t="shared" si="163"/>
        <v>403</v>
      </c>
    </row>
    <row r="447">
      <c r="A447" s="261" t="s">
        <v>320</v>
      </c>
      <c r="B447" s="260">
        <f t="shared" ref="B447:AC447" si="167">SUM(B442:B446)</f>
        <v>220</v>
      </c>
      <c r="C447" s="260">
        <f t="shared" si="167"/>
        <v>259</v>
      </c>
      <c r="D447" s="260">
        <f t="shared" si="167"/>
        <v>203</v>
      </c>
      <c r="E447" s="260">
        <f t="shared" si="167"/>
        <v>265</v>
      </c>
      <c r="F447" s="260">
        <f t="shared" si="167"/>
        <v>243</v>
      </c>
      <c r="G447" s="260">
        <f t="shared" si="167"/>
        <v>208</v>
      </c>
      <c r="H447" s="260">
        <f t="shared" si="167"/>
        <v>225</v>
      </c>
      <c r="I447" s="260">
        <f t="shared" si="167"/>
        <v>203</v>
      </c>
      <c r="J447" s="260">
        <f t="shared" si="167"/>
        <v>209</v>
      </c>
      <c r="K447" s="260">
        <f t="shared" si="167"/>
        <v>246</v>
      </c>
      <c r="L447" s="260">
        <f t="shared" si="167"/>
        <v>275</v>
      </c>
      <c r="M447" s="260">
        <f t="shared" si="167"/>
        <v>396</v>
      </c>
      <c r="N447" s="260">
        <f t="shared" si="167"/>
        <v>291</v>
      </c>
      <c r="O447" s="260">
        <f t="shared" si="167"/>
        <v>331</v>
      </c>
      <c r="P447" s="260">
        <f t="shared" si="167"/>
        <v>244</v>
      </c>
      <c r="Q447" s="260">
        <f t="shared" si="167"/>
        <v>228</v>
      </c>
      <c r="R447" s="260">
        <f t="shared" si="167"/>
        <v>219</v>
      </c>
      <c r="S447" s="260">
        <f t="shared" si="167"/>
        <v>201</v>
      </c>
      <c r="T447" s="260">
        <f t="shared" si="167"/>
        <v>234</v>
      </c>
      <c r="U447" s="260">
        <f t="shared" si="167"/>
        <v>241</v>
      </c>
      <c r="V447" s="260">
        <f t="shared" si="167"/>
        <v>212</v>
      </c>
      <c r="W447" s="260">
        <f t="shared" si="167"/>
        <v>198</v>
      </c>
      <c r="X447" s="260">
        <f t="shared" si="167"/>
        <v>338</v>
      </c>
      <c r="Y447" s="260">
        <f t="shared" si="167"/>
        <v>261</v>
      </c>
      <c r="Z447" s="260">
        <f t="shared" si="167"/>
        <v>273</v>
      </c>
      <c r="AA447" s="260">
        <f t="shared" si="167"/>
        <v>234</v>
      </c>
      <c r="AB447" s="260">
        <f t="shared" si="167"/>
        <v>206</v>
      </c>
      <c r="AC447" s="260">
        <f t="shared" si="167"/>
        <v>408</v>
      </c>
      <c r="AD447" s="186">
        <f t="shared" si="163"/>
        <v>7071</v>
      </c>
    </row>
    <row r="448">
      <c r="A448" s="27"/>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c r="AA448" s="157"/>
      <c r="AB448" s="157"/>
      <c r="AC448" s="157"/>
      <c r="AD448" s="186"/>
    </row>
    <row r="449">
      <c r="A449" s="258" t="s">
        <v>321</v>
      </c>
      <c r="B449" s="226">
        <f t="shared" ref="B449:AC449" si="168">B224-B297</f>
        <v>9</v>
      </c>
      <c r="C449" s="226">
        <f t="shared" si="168"/>
        <v>10</v>
      </c>
      <c r="D449" s="226">
        <f t="shared" si="168"/>
        <v>8</v>
      </c>
      <c r="E449" s="226">
        <f t="shared" si="168"/>
        <v>13</v>
      </c>
      <c r="F449" s="226">
        <f t="shared" si="168"/>
        <v>15</v>
      </c>
      <c r="G449" s="226">
        <f t="shared" si="168"/>
        <v>9</v>
      </c>
      <c r="H449" s="226">
        <f t="shared" si="168"/>
        <v>5</v>
      </c>
      <c r="I449" s="226">
        <f t="shared" si="168"/>
        <v>6</v>
      </c>
      <c r="J449" s="226">
        <f t="shared" si="168"/>
        <v>6</v>
      </c>
      <c r="K449" s="226">
        <f t="shared" si="168"/>
        <v>12</v>
      </c>
      <c r="L449" s="226">
        <f t="shared" si="168"/>
        <v>15</v>
      </c>
      <c r="M449" s="226">
        <f t="shared" si="168"/>
        <v>13</v>
      </c>
      <c r="N449" s="226">
        <f t="shared" si="168"/>
        <v>11</v>
      </c>
      <c r="O449" s="226">
        <f t="shared" si="168"/>
        <v>8</v>
      </c>
      <c r="P449" s="226">
        <f t="shared" si="168"/>
        <v>6</v>
      </c>
      <c r="Q449" s="226">
        <f t="shared" si="168"/>
        <v>13</v>
      </c>
      <c r="R449" s="226">
        <f t="shared" si="168"/>
        <v>5</v>
      </c>
      <c r="S449" s="226">
        <f t="shared" si="168"/>
        <v>6</v>
      </c>
      <c r="T449" s="226">
        <f t="shared" si="168"/>
        <v>13</v>
      </c>
      <c r="U449" s="226">
        <f t="shared" si="168"/>
        <v>3</v>
      </c>
      <c r="V449" s="226">
        <f t="shared" si="168"/>
        <v>3</v>
      </c>
      <c r="W449" s="226">
        <f t="shared" si="168"/>
        <v>5</v>
      </c>
      <c r="X449" s="226">
        <f t="shared" si="168"/>
        <v>7</v>
      </c>
      <c r="Y449" s="226">
        <f t="shared" si="168"/>
        <v>4</v>
      </c>
      <c r="Z449" s="226">
        <f t="shared" si="168"/>
        <v>8</v>
      </c>
      <c r="AA449" s="226">
        <f t="shared" si="168"/>
        <v>12</v>
      </c>
      <c r="AB449" s="226">
        <f t="shared" si="168"/>
        <v>11</v>
      </c>
      <c r="AC449" s="226">
        <f t="shared" si="168"/>
        <v>18</v>
      </c>
      <c r="AD449" s="186">
        <f t="shared" ref="AD449:AD454" si="170">SUM(B449:AC449)</f>
        <v>254</v>
      </c>
    </row>
    <row r="450">
      <c r="A450" s="258" t="s">
        <v>322</v>
      </c>
      <c r="B450" s="226">
        <f t="shared" ref="B450:AC450" si="169">B225-B298</f>
        <v>0</v>
      </c>
      <c r="C450" s="226">
        <f t="shared" si="169"/>
        <v>0</v>
      </c>
      <c r="D450" s="226">
        <f t="shared" si="169"/>
        <v>0</v>
      </c>
      <c r="E450" s="226">
        <f t="shared" si="169"/>
        <v>0</v>
      </c>
      <c r="F450" s="226">
        <f t="shared" si="169"/>
        <v>0</v>
      </c>
      <c r="G450" s="226">
        <f t="shared" si="169"/>
        <v>0</v>
      </c>
      <c r="H450" s="226">
        <f t="shared" si="169"/>
        <v>-1</v>
      </c>
      <c r="I450" s="226">
        <f t="shared" si="169"/>
        <v>0</v>
      </c>
      <c r="J450" s="226">
        <f t="shared" si="169"/>
        <v>-1</v>
      </c>
      <c r="K450" s="226">
        <f t="shared" si="169"/>
        <v>0</v>
      </c>
      <c r="L450" s="226">
        <f t="shared" si="169"/>
        <v>0</v>
      </c>
      <c r="M450" s="226">
        <f t="shared" si="169"/>
        <v>0</v>
      </c>
      <c r="N450" s="226">
        <f t="shared" si="169"/>
        <v>0</v>
      </c>
      <c r="O450" s="226">
        <f t="shared" si="169"/>
        <v>0</v>
      </c>
      <c r="P450" s="226">
        <f t="shared" si="169"/>
        <v>0</v>
      </c>
      <c r="Q450" s="226">
        <f t="shared" si="169"/>
        <v>0</v>
      </c>
      <c r="R450" s="226">
        <f t="shared" si="169"/>
        <v>0</v>
      </c>
      <c r="S450" s="226">
        <f t="shared" si="169"/>
        <v>0</v>
      </c>
      <c r="T450" s="226">
        <f t="shared" si="169"/>
        <v>-1</v>
      </c>
      <c r="U450" s="226">
        <f t="shared" si="169"/>
        <v>-1</v>
      </c>
      <c r="V450" s="226">
        <f t="shared" si="169"/>
        <v>0</v>
      </c>
      <c r="W450" s="226">
        <f t="shared" si="169"/>
        <v>0</v>
      </c>
      <c r="X450" s="226">
        <f t="shared" si="169"/>
        <v>0</v>
      </c>
      <c r="Y450" s="226">
        <f t="shared" si="169"/>
        <v>0</v>
      </c>
      <c r="Z450" s="226">
        <f t="shared" si="169"/>
        <v>0</v>
      </c>
      <c r="AA450" s="226">
        <f t="shared" si="169"/>
        <v>0</v>
      </c>
      <c r="AB450" s="226">
        <f t="shared" si="169"/>
        <v>0</v>
      </c>
      <c r="AC450" s="226">
        <f t="shared" si="169"/>
        <v>0</v>
      </c>
      <c r="AD450" s="186">
        <f t="shared" si="170"/>
        <v>-4</v>
      </c>
    </row>
    <row r="451">
      <c r="A451" s="258" t="s">
        <v>323</v>
      </c>
      <c r="B451" s="226">
        <f t="shared" ref="B451:AC451" si="171">B226-B299</f>
        <v>11</v>
      </c>
      <c r="C451" s="226">
        <f t="shared" si="171"/>
        <v>16</v>
      </c>
      <c r="D451" s="226">
        <f t="shared" si="171"/>
        <v>11</v>
      </c>
      <c r="E451" s="226">
        <f t="shared" si="171"/>
        <v>22</v>
      </c>
      <c r="F451" s="226">
        <f t="shared" si="171"/>
        <v>15</v>
      </c>
      <c r="G451" s="226">
        <f t="shared" si="171"/>
        <v>12</v>
      </c>
      <c r="H451" s="226">
        <f t="shared" si="171"/>
        <v>7</v>
      </c>
      <c r="I451" s="226">
        <f t="shared" si="171"/>
        <v>11</v>
      </c>
      <c r="J451" s="226">
        <f t="shared" si="171"/>
        <v>15</v>
      </c>
      <c r="K451" s="226">
        <f t="shared" si="171"/>
        <v>17</v>
      </c>
      <c r="L451" s="226">
        <f t="shared" si="171"/>
        <v>22</v>
      </c>
      <c r="M451" s="226">
        <f t="shared" si="171"/>
        <v>12</v>
      </c>
      <c r="N451" s="226">
        <f t="shared" si="171"/>
        <v>31</v>
      </c>
      <c r="O451" s="226">
        <f t="shared" si="171"/>
        <v>10</v>
      </c>
      <c r="P451" s="226">
        <f t="shared" si="171"/>
        <v>17</v>
      </c>
      <c r="Q451" s="226">
        <f t="shared" si="171"/>
        <v>18</v>
      </c>
      <c r="R451" s="226">
        <f t="shared" si="171"/>
        <v>6</v>
      </c>
      <c r="S451" s="226">
        <f t="shared" si="171"/>
        <v>6</v>
      </c>
      <c r="T451" s="226">
        <f t="shared" si="171"/>
        <v>15</v>
      </c>
      <c r="U451" s="226">
        <f t="shared" si="171"/>
        <v>1</v>
      </c>
      <c r="V451" s="226">
        <f t="shared" si="171"/>
        <v>3</v>
      </c>
      <c r="W451" s="226">
        <f t="shared" si="171"/>
        <v>3</v>
      </c>
      <c r="X451" s="226">
        <f t="shared" si="171"/>
        <v>10</v>
      </c>
      <c r="Y451" s="226">
        <f t="shared" si="171"/>
        <v>12</v>
      </c>
      <c r="Z451" s="226">
        <f t="shared" si="171"/>
        <v>5</v>
      </c>
      <c r="AA451" s="226">
        <f t="shared" si="171"/>
        <v>14</v>
      </c>
      <c r="AB451" s="226">
        <f t="shared" si="171"/>
        <v>13</v>
      </c>
      <c r="AC451" s="226">
        <f t="shared" si="171"/>
        <v>37</v>
      </c>
      <c r="AD451" s="186">
        <f t="shared" si="170"/>
        <v>372</v>
      </c>
    </row>
    <row r="452">
      <c r="A452" s="258" t="s">
        <v>324</v>
      </c>
      <c r="B452" s="226">
        <f t="shared" ref="B452:AC452" si="172">B227-B300</f>
        <v>6</v>
      </c>
      <c r="C452" s="226">
        <f t="shared" si="172"/>
        <v>5</v>
      </c>
      <c r="D452" s="226">
        <f t="shared" si="172"/>
        <v>17</v>
      </c>
      <c r="E452" s="226">
        <f t="shared" si="172"/>
        <v>9</v>
      </c>
      <c r="F452" s="226">
        <f t="shared" si="172"/>
        <v>11</v>
      </c>
      <c r="G452" s="226">
        <f t="shared" si="172"/>
        <v>6</v>
      </c>
      <c r="H452" s="226">
        <f t="shared" si="172"/>
        <v>2</v>
      </c>
      <c r="I452" s="226">
        <f t="shared" si="172"/>
        <v>6</v>
      </c>
      <c r="J452" s="226">
        <f t="shared" si="172"/>
        <v>7</v>
      </c>
      <c r="K452" s="226">
        <f t="shared" si="172"/>
        <v>10</v>
      </c>
      <c r="L452" s="226">
        <f t="shared" si="172"/>
        <v>10</v>
      </c>
      <c r="M452" s="226">
        <f t="shared" si="172"/>
        <v>8</v>
      </c>
      <c r="N452" s="226">
        <f t="shared" si="172"/>
        <v>13</v>
      </c>
      <c r="O452" s="226">
        <f t="shared" si="172"/>
        <v>5</v>
      </c>
      <c r="P452" s="226">
        <f t="shared" si="172"/>
        <v>7</v>
      </c>
      <c r="Q452" s="226">
        <f t="shared" si="172"/>
        <v>12</v>
      </c>
      <c r="R452" s="226">
        <f t="shared" si="172"/>
        <v>12</v>
      </c>
      <c r="S452" s="226">
        <f t="shared" si="172"/>
        <v>7</v>
      </c>
      <c r="T452" s="226">
        <f t="shared" si="172"/>
        <v>11</v>
      </c>
      <c r="U452" s="226">
        <f t="shared" si="172"/>
        <v>6</v>
      </c>
      <c r="V452" s="226">
        <f t="shared" si="172"/>
        <v>1</v>
      </c>
      <c r="W452" s="226">
        <f t="shared" si="172"/>
        <v>6</v>
      </c>
      <c r="X452" s="226">
        <f t="shared" si="172"/>
        <v>16</v>
      </c>
      <c r="Y452" s="226">
        <f t="shared" si="172"/>
        <v>8</v>
      </c>
      <c r="Z452" s="226">
        <f t="shared" si="172"/>
        <v>11</v>
      </c>
      <c r="AA452" s="226">
        <f t="shared" si="172"/>
        <v>10</v>
      </c>
      <c r="AB452" s="226">
        <f t="shared" si="172"/>
        <v>5</v>
      </c>
      <c r="AC452" s="226">
        <f t="shared" si="172"/>
        <v>150</v>
      </c>
      <c r="AD452" s="186">
        <f t="shared" si="170"/>
        <v>377</v>
      </c>
    </row>
    <row r="453">
      <c r="A453" s="258" t="s">
        <v>325</v>
      </c>
      <c r="B453" s="226">
        <f t="shared" ref="B453:AC453" si="173">B228-B301</f>
        <v>8</v>
      </c>
      <c r="C453" s="226">
        <f t="shared" si="173"/>
        <v>7</v>
      </c>
      <c r="D453" s="226">
        <f t="shared" si="173"/>
        <v>5</v>
      </c>
      <c r="E453" s="226">
        <f t="shared" si="173"/>
        <v>8</v>
      </c>
      <c r="F453" s="226">
        <f t="shared" si="173"/>
        <v>11</v>
      </c>
      <c r="G453" s="226">
        <f t="shared" si="173"/>
        <v>9</v>
      </c>
      <c r="H453" s="226">
        <f t="shared" si="173"/>
        <v>4</v>
      </c>
      <c r="I453" s="226">
        <f t="shared" si="173"/>
        <v>5</v>
      </c>
      <c r="J453" s="226">
        <f t="shared" si="173"/>
        <v>1</v>
      </c>
      <c r="K453" s="226">
        <f t="shared" si="173"/>
        <v>3</v>
      </c>
      <c r="L453" s="226">
        <f t="shared" si="173"/>
        <v>3</v>
      </c>
      <c r="M453" s="226">
        <f t="shared" si="173"/>
        <v>8</v>
      </c>
      <c r="N453" s="226">
        <f t="shared" si="173"/>
        <v>2</v>
      </c>
      <c r="O453" s="226">
        <f t="shared" si="173"/>
        <v>4</v>
      </c>
      <c r="P453" s="226">
        <f t="shared" si="173"/>
        <v>3</v>
      </c>
      <c r="Q453" s="226">
        <f t="shared" si="173"/>
        <v>10</v>
      </c>
      <c r="R453" s="226">
        <f t="shared" si="173"/>
        <v>1</v>
      </c>
      <c r="S453" s="226">
        <f t="shared" si="173"/>
        <v>5</v>
      </c>
      <c r="T453" s="226">
        <f t="shared" si="173"/>
        <v>4</v>
      </c>
      <c r="U453" s="226">
        <f t="shared" si="173"/>
        <v>2</v>
      </c>
      <c r="V453" s="226">
        <f t="shared" si="173"/>
        <v>1</v>
      </c>
      <c r="W453" s="226">
        <f t="shared" si="173"/>
        <v>2</v>
      </c>
      <c r="X453" s="226">
        <f t="shared" si="173"/>
        <v>4</v>
      </c>
      <c r="Y453" s="226">
        <f t="shared" si="173"/>
        <v>3</v>
      </c>
      <c r="Z453" s="226">
        <f t="shared" si="173"/>
        <v>3</v>
      </c>
      <c r="AA453" s="226">
        <f t="shared" si="173"/>
        <v>3</v>
      </c>
      <c r="AB453" s="226">
        <f t="shared" si="173"/>
        <v>4</v>
      </c>
      <c r="AC453" s="226">
        <f t="shared" si="173"/>
        <v>10</v>
      </c>
      <c r="AD453" s="186">
        <f t="shared" si="170"/>
        <v>133</v>
      </c>
    </row>
    <row r="454">
      <c r="A454" s="261" t="s">
        <v>326</v>
      </c>
      <c r="B454" s="262">
        <f t="shared" ref="B454:AC454" si="174">SUM(B449:B453)</f>
        <v>34</v>
      </c>
      <c r="C454" s="260">
        <f t="shared" si="174"/>
        <v>38</v>
      </c>
      <c r="D454" s="260">
        <f t="shared" si="174"/>
        <v>41</v>
      </c>
      <c r="E454" s="260">
        <f t="shared" si="174"/>
        <v>52</v>
      </c>
      <c r="F454" s="260">
        <f t="shared" si="174"/>
        <v>52</v>
      </c>
      <c r="G454" s="260">
        <f t="shared" si="174"/>
        <v>36</v>
      </c>
      <c r="H454" s="260">
        <f t="shared" si="174"/>
        <v>17</v>
      </c>
      <c r="I454" s="260">
        <f t="shared" si="174"/>
        <v>28</v>
      </c>
      <c r="J454" s="260">
        <f t="shared" si="174"/>
        <v>28</v>
      </c>
      <c r="K454" s="260">
        <f t="shared" si="174"/>
        <v>42</v>
      </c>
      <c r="L454" s="260">
        <f t="shared" si="174"/>
        <v>50</v>
      </c>
      <c r="M454" s="260">
        <f t="shared" si="174"/>
        <v>41</v>
      </c>
      <c r="N454" s="260">
        <f t="shared" si="174"/>
        <v>57</v>
      </c>
      <c r="O454" s="260">
        <f t="shared" si="174"/>
        <v>27</v>
      </c>
      <c r="P454" s="260">
        <f t="shared" si="174"/>
        <v>33</v>
      </c>
      <c r="Q454" s="260">
        <f t="shared" si="174"/>
        <v>53</v>
      </c>
      <c r="R454" s="260">
        <f t="shared" si="174"/>
        <v>24</v>
      </c>
      <c r="S454" s="260">
        <f t="shared" si="174"/>
        <v>24</v>
      </c>
      <c r="T454" s="260">
        <f t="shared" si="174"/>
        <v>42</v>
      </c>
      <c r="U454" s="260">
        <f t="shared" si="174"/>
        <v>11</v>
      </c>
      <c r="V454" s="260">
        <f t="shared" si="174"/>
        <v>8</v>
      </c>
      <c r="W454" s="260">
        <f t="shared" si="174"/>
        <v>16</v>
      </c>
      <c r="X454" s="260">
        <f t="shared" si="174"/>
        <v>37</v>
      </c>
      <c r="Y454" s="260">
        <f t="shared" si="174"/>
        <v>27</v>
      </c>
      <c r="Z454" s="260">
        <f t="shared" si="174"/>
        <v>27</v>
      </c>
      <c r="AA454" s="260">
        <f t="shared" si="174"/>
        <v>39</v>
      </c>
      <c r="AB454" s="260">
        <f t="shared" si="174"/>
        <v>33</v>
      </c>
      <c r="AC454" s="260">
        <f t="shared" si="174"/>
        <v>215</v>
      </c>
      <c r="AD454" s="186">
        <f t="shared" si="170"/>
        <v>1132</v>
      </c>
    </row>
    <row r="455">
      <c r="A455" s="27"/>
      <c r="B455" s="157"/>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c r="AA455" s="157"/>
      <c r="AB455" s="157"/>
      <c r="AC455" s="157"/>
      <c r="AD455" s="186"/>
    </row>
    <row r="456">
      <c r="A456" s="258" t="s">
        <v>327</v>
      </c>
      <c r="B456" s="244">
        <f t="shared" ref="B456:AC456" si="175">B231-B304</f>
        <v>0</v>
      </c>
      <c r="C456" s="244">
        <f t="shared" si="175"/>
        <v>2</v>
      </c>
      <c r="D456" s="244">
        <f t="shared" si="175"/>
        <v>0</v>
      </c>
      <c r="E456" s="244">
        <f t="shared" si="175"/>
        <v>0</v>
      </c>
      <c r="F456" s="244">
        <f t="shared" si="175"/>
        <v>0</v>
      </c>
      <c r="G456" s="244">
        <f t="shared" si="175"/>
        <v>0</v>
      </c>
      <c r="H456" s="244">
        <f t="shared" si="175"/>
        <v>0</v>
      </c>
      <c r="I456" s="244">
        <f t="shared" si="175"/>
        <v>0</v>
      </c>
      <c r="J456" s="244">
        <f t="shared" si="175"/>
        <v>1</v>
      </c>
      <c r="K456" s="244">
        <f t="shared" si="175"/>
        <v>0</v>
      </c>
      <c r="L456" s="244">
        <f t="shared" si="175"/>
        <v>0</v>
      </c>
      <c r="M456" s="244">
        <f t="shared" si="175"/>
        <v>-1</v>
      </c>
      <c r="N456" s="244">
        <f t="shared" si="175"/>
        <v>0</v>
      </c>
      <c r="O456" s="244">
        <f t="shared" si="175"/>
        <v>0</v>
      </c>
      <c r="P456" s="244">
        <f t="shared" si="175"/>
        <v>0</v>
      </c>
      <c r="Q456" s="244">
        <f t="shared" si="175"/>
        <v>0</v>
      </c>
      <c r="R456" s="244">
        <f t="shared" si="175"/>
        <v>0</v>
      </c>
      <c r="S456" s="244">
        <f t="shared" si="175"/>
        <v>1</v>
      </c>
      <c r="T456" s="244">
        <f t="shared" si="175"/>
        <v>0</v>
      </c>
      <c r="U456" s="244">
        <f t="shared" si="175"/>
        <v>0</v>
      </c>
      <c r="V456" s="244">
        <f t="shared" si="175"/>
        <v>0</v>
      </c>
      <c r="W456" s="244">
        <f t="shared" si="175"/>
        <v>-1</v>
      </c>
      <c r="X456" s="244">
        <f t="shared" si="175"/>
        <v>0</v>
      </c>
      <c r="Y456" s="244">
        <f t="shared" si="175"/>
        <v>0</v>
      </c>
      <c r="Z456" s="244">
        <f t="shared" si="175"/>
        <v>0</v>
      </c>
      <c r="AA456" s="244">
        <f t="shared" si="175"/>
        <v>0</v>
      </c>
      <c r="AB456" s="244">
        <f t="shared" si="175"/>
        <v>0</v>
      </c>
      <c r="AC456" s="244">
        <f t="shared" si="175"/>
        <v>0</v>
      </c>
      <c r="AD456" s="186">
        <f t="shared" ref="AD456:AD461" si="177">SUM(B456:AC456)</f>
        <v>2</v>
      </c>
    </row>
    <row r="457">
      <c r="A457" s="258" t="s">
        <v>328</v>
      </c>
      <c r="B457" s="244">
        <f t="shared" ref="B457:AC457" si="176">B232-B305</f>
        <v>0</v>
      </c>
      <c r="C457" s="244">
        <f t="shared" si="176"/>
        <v>0</v>
      </c>
      <c r="D457" s="244">
        <f t="shared" si="176"/>
        <v>0</v>
      </c>
      <c r="E457" s="244">
        <f t="shared" si="176"/>
        <v>0</v>
      </c>
      <c r="F457" s="244">
        <f t="shared" si="176"/>
        <v>0</v>
      </c>
      <c r="G457" s="244">
        <f t="shared" si="176"/>
        <v>0</v>
      </c>
      <c r="H457" s="244">
        <f t="shared" si="176"/>
        <v>0</v>
      </c>
      <c r="I457" s="244">
        <f t="shared" si="176"/>
        <v>0</v>
      </c>
      <c r="J457" s="244">
        <f t="shared" si="176"/>
        <v>0</v>
      </c>
      <c r="K457" s="244">
        <f t="shared" si="176"/>
        <v>0</v>
      </c>
      <c r="L457" s="244">
        <f t="shared" si="176"/>
        <v>0</v>
      </c>
      <c r="M457" s="244">
        <f t="shared" si="176"/>
        <v>0</v>
      </c>
      <c r="N457" s="244">
        <f t="shared" si="176"/>
        <v>0</v>
      </c>
      <c r="O457" s="244">
        <f t="shared" si="176"/>
        <v>0</v>
      </c>
      <c r="P457" s="244">
        <f t="shared" si="176"/>
        <v>0</v>
      </c>
      <c r="Q457" s="244">
        <f t="shared" si="176"/>
        <v>0</v>
      </c>
      <c r="R457" s="244">
        <f t="shared" si="176"/>
        <v>0</v>
      </c>
      <c r="S457" s="244">
        <f t="shared" si="176"/>
        <v>0</v>
      </c>
      <c r="T457" s="244">
        <f t="shared" si="176"/>
        <v>0</v>
      </c>
      <c r="U457" s="244">
        <f t="shared" si="176"/>
        <v>0</v>
      </c>
      <c r="V457" s="244">
        <f t="shared" si="176"/>
        <v>0</v>
      </c>
      <c r="W457" s="244">
        <f t="shared" si="176"/>
        <v>0</v>
      </c>
      <c r="X457" s="244">
        <f t="shared" si="176"/>
        <v>0</v>
      </c>
      <c r="Y457" s="244">
        <f t="shared" si="176"/>
        <v>0</v>
      </c>
      <c r="Z457" s="244">
        <f t="shared" si="176"/>
        <v>0</v>
      </c>
      <c r="AA457" s="244">
        <f t="shared" si="176"/>
        <v>0</v>
      </c>
      <c r="AB457" s="244">
        <f t="shared" si="176"/>
        <v>0</v>
      </c>
      <c r="AC457" s="244">
        <f t="shared" si="176"/>
        <v>0</v>
      </c>
      <c r="AD457" s="186">
        <f t="shared" si="177"/>
        <v>0</v>
      </c>
    </row>
    <row r="458">
      <c r="A458" s="258" t="s">
        <v>329</v>
      </c>
      <c r="B458" s="244">
        <f t="shared" ref="B458:AC458" si="178">B233-B306</f>
        <v>0</v>
      </c>
      <c r="C458" s="244">
        <f t="shared" si="178"/>
        <v>0</v>
      </c>
      <c r="D458" s="244">
        <f t="shared" si="178"/>
        <v>0</v>
      </c>
      <c r="E458" s="244">
        <f t="shared" si="178"/>
        <v>0</v>
      </c>
      <c r="F458" s="244">
        <f t="shared" si="178"/>
        <v>0</v>
      </c>
      <c r="G458" s="244">
        <f t="shared" si="178"/>
        <v>0</v>
      </c>
      <c r="H458" s="244">
        <f t="shared" si="178"/>
        <v>0</v>
      </c>
      <c r="I458" s="244">
        <f t="shared" si="178"/>
        <v>0</v>
      </c>
      <c r="J458" s="244">
        <f t="shared" si="178"/>
        <v>0</v>
      </c>
      <c r="K458" s="244">
        <f t="shared" si="178"/>
        <v>0</v>
      </c>
      <c r="L458" s="244">
        <f t="shared" si="178"/>
        <v>0</v>
      </c>
      <c r="M458" s="244">
        <f t="shared" si="178"/>
        <v>0</v>
      </c>
      <c r="N458" s="244">
        <f t="shared" si="178"/>
        <v>0</v>
      </c>
      <c r="O458" s="244">
        <f t="shared" si="178"/>
        <v>0</v>
      </c>
      <c r="P458" s="244">
        <f t="shared" si="178"/>
        <v>0</v>
      </c>
      <c r="Q458" s="244">
        <f t="shared" si="178"/>
        <v>0</v>
      </c>
      <c r="R458" s="244">
        <f t="shared" si="178"/>
        <v>0</v>
      </c>
      <c r="S458" s="244">
        <f t="shared" si="178"/>
        <v>1</v>
      </c>
      <c r="T458" s="244">
        <f t="shared" si="178"/>
        <v>0</v>
      </c>
      <c r="U458" s="244">
        <f t="shared" si="178"/>
        <v>0</v>
      </c>
      <c r="V458" s="244">
        <f t="shared" si="178"/>
        <v>0</v>
      </c>
      <c r="W458" s="244">
        <f t="shared" si="178"/>
        <v>0</v>
      </c>
      <c r="X458" s="244">
        <f t="shared" si="178"/>
        <v>0</v>
      </c>
      <c r="Y458" s="244">
        <f t="shared" si="178"/>
        <v>0</v>
      </c>
      <c r="Z458" s="244">
        <f t="shared" si="178"/>
        <v>0</v>
      </c>
      <c r="AA458" s="244">
        <f t="shared" si="178"/>
        <v>0</v>
      </c>
      <c r="AB458" s="244">
        <f t="shared" si="178"/>
        <v>0</v>
      </c>
      <c r="AC458" s="244">
        <f t="shared" si="178"/>
        <v>0</v>
      </c>
      <c r="AD458" s="186">
        <f t="shared" si="177"/>
        <v>1</v>
      </c>
    </row>
    <row r="459">
      <c r="A459" s="258" t="s">
        <v>330</v>
      </c>
      <c r="B459" s="244">
        <f t="shared" ref="B459:AC459" si="179">B234-B307</f>
        <v>1</v>
      </c>
      <c r="C459" s="244">
        <f t="shared" si="179"/>
        <v>2</v>
      </c>
      <c r="D459" s="244">
        <f t="shared" si="179"/>
        <v>0</v>
      </c>
      <c r="E459" s="244">
        <f t="shared" si="179"/>
        <v>0</v>
      </c>
      <c r="F459" s="244">
        <f t="shared" si="179"/>
        <v>0</v>
      </c>
      <c r="G459" s="244">
        <f t="shared" si="179"/>
        <v>0</v>
      </c>
      <c r="H459" s="244">
        <f t="shared" si="179"/>
        <v>0</v>
      </c>
      <c r="I459" s="244">
        <f t="shared" si="179"/>
        <v>0</v>
      </c>
      <c r="J459" s="244">
        <f t="shared" si="179"/>
        <v>1</v>
      </c>
      <c r="K459" s="244">
        <f t="shared" si="179"/>
        <v>0</v>
      </c>
      <c r="L459" s="244">
        <f t="shared" si="179"/>
        <v>0</v>
      </c>
      <c r="M459" s="244">
        <f t="shared" si="179"/>
        <v>0</v>
      </c>
      <c r="N459" s="244">
        <f t="shared" si="179"/>
        <v>0</v>
      </c>
      <c r="O459" s="244">
        <f t="shared" si="179"/>
        <v>0</v>
      </c>
      <c r="P459" s="244">
        <f t="shared" si="179"/>
        <v>0</v>
      </c>
      <c r="Q459" s="244">
        <f t="shared" si="179"/>
        <v>0</v>
      </c>
      <c r="R459" s="244">
        <f t="shared" si="179"/>
        <v>0</v>
      </c>
      <c r="S459" s="244">
        <f t="shared" si="179"/>
        <v>1</v>
      </c>
      <c r="T459" s="244">
        <f t="shared" si="179"/>
        <v>0</v>
      </c>
      <c r="U459" s="244">
        <f t="shared" si="179"/>
        <v>0</v>
      </c>
      <c r="V459" s="244">
        <f t="shared" si="179"/>
        <v>0</v>
      </c>
      <c r="W459" s="244">
        <f t="shared" si="179"/>
        <v>0</v>
      </c>
      <c r="X459" s="244">
        <f t="shared" si="179"/>
        <v>0</v>
      </c>
      <c r="Y459" s="244">
        <f t="shared" si="179"/>
        <v>0</v>
      </c>
      <c r="Z459" s="244">
        <f t="shared" si="179"/>
        <v>0</v>
      </c>
      <c r="AA459" s="244">
        <f t="shared" si="179"/>
        <v>0</v>
      </c>
      <c r="AB459" s="244">
        <f t="shared" si="179"/>
        <v>0</v>
      </c>
      <c r="AC459" s="244">
        <f t="shared" si="179"/>
        <v>0</v>
      </c>
      <c r="AD459" s="186">
        <f t="shared" si="177"/>
        <v>5</v>
      </c>
    </row>
    <row r="460">
      <c r="A460" s="258" t="s">
        <v>331</v>
      </c>
      <c r="B460" s="227">
        <v>0.0</v>
      </c>
      <c r="C460" s="227">
        <v>0.0</v>
      </c>
      <c r="D460" s="227">
        <v>0.0</v>
      </c>
      <c r="E460" s="227">
        <v>0.0</v>
      </c>
      <c r="F460" s="227">
        <v>0.0</v>
      </c>
      <c r="G460" s="227">
        <v>0.0</v>
      </c>
      <c r="H460" s="227">
        <v>0.0</v>
      </c>
      <c r="I460" s="227">
        <v>0.0</v>
      </c>
      <c r="J460" s="227">
        <v>0.0</v>
      </c>
      <c r="K460" s="227">
        <v>0.0</v>
      </c>
      <c r="L460" s="227">
        <v>0.0</v>
      </c>
      <c r="M460" s="227">
        <v>0.0</v>
      </c>
      <c r="N460" s="227">
        <v>0.0</v>
      </c>
      <c r="O460" s="227">
        <v>0.0</v>
      </c>
      <c r="P460" s="227">
        <v>0.0</v>
      </c>
      <c r="Q460" s="227">
        <v>0.0</v>
      </c>
      <c r="R460" s="227">
        <v>0.0</v>
      </c>
      <c r="S460" s="227">
        <v>0.0</v>
      </c>
      <c r="T460" s="227">
        <v>0.0</v>
      </c>
      <c r="U460" s="227">
        <v>0.0</v>
      </c>
      <c r="V460" s="227">
        <v>0.0</v>
      </c>
      <c r="W460" s="227">
        <v>0.0</v>
      </c>
      <c r="X460" s="227">
        <v>0.0</v>
      </c>
      <c r="Y460" s="227">
        <v>0.0</v>
      </c>
      <c r="Z460" s="227">
        <v>0.0</v>
      </c>
      <c r="AA460" s="227">
        <v>0.0</v>
      </c>
      <c r="AB460" s="227">
        <v>0.0</v>
      </c>
      <c r="AC460" s="227">
        <v>0.0</v>
      </c>
      <c r="AD460" s="186">
        <f t="shared" si="177"/>
        <v>0</v>
      </c>
    </row>
    <row r="461">
      <c r="A461" s="261" t="s">
        <v>332</v>
      </c>
      <c r="B461" s="262">
        <f t="shared" ref="B461:AC461" si="180">SUM(B456:B460)</f>
        <v>1</v>
      </c>
      <c r="C461" s="260">
        <f t="shared" si="180"/>
        <v>4</v>
      </c>
      <c r="D461" s="260">
        <f t="shared" si="180"/>
        <v>0</v>
      </c>
      <c r="E461" s="260">
        <f t="shared" si="180"/>
        <v>0</v>
      </c>
      <c r="F461" s="260">
        <f t="shared" si="180"/>
        <v>0</v>
      </c>
      <c r="G461" s="260">
        <f t="shared" si="180"/>
        <v>0</v>
      </c>
      <c r="H461" s="260">
        <f t="shared" si="180"/>
        <v>0</v>
      </c>
      <c r="I461" s="260">
        <f t="shared" si="180"/>
        <v>0</v>
      </c>
      <c r="J461" s="260">
        <f t="shared" si="180"/>
        <v>2</v>
      </c>
      <c r="K461" s="260">
        <f t="shared" si="180"/>
        <v>0</v>
      </c>
      <c r="L461" s="260">
        <f t="shared" si="180"/>
        <v>0</v>
      </c>
      <c r="M461" s="260">
        <f t="shared" si="180"/>
        <v>-1</v>
      </c>
      <c r="N461" s="260">
        <f t="shared" si="180"/>
        <v>0</v>
      </c>
      <c r="O461" s="260">
        <f t="shared" si="180"/>
        <v>0</v>
      </c>
      <c r="P461" s="260">
        <f t="shared" si="180"/>
        <v>0</v>
      </c>
      <c r="Q461" s="260">
        <f t="shared" si="180"/>
        <v>0</v>
      </c>
      <c r="R461" s="260">
        <f t="shared" si="180"/>
        <v>0</v>
      </c>
      <c r="S461" s="260">
        <f t="shared" si="180"/>
        <v>3</v>
      </c>
      <c r="T461" s="260">
        <f t="shared" si="180"/>
        <v>0</v>
      </c>
      <c r="U461" s="260">
        <f t="shared" si="180"/>
        <v>0</v>
      </c>
      <c r="V461" s="260">
        <f t="shared" si="180"/>
        <v>0</v>
      </c>
      <c r="W461" s="260">
        <f t="shared" si="180"/>
        <v>-1</v>
      </c>
      <c r="X461" s="260">
        <f t="shared" si="180"/>
        <v>0</v>
      </c>
      <c r="Y461" s="260">
        <f t="shared" si="180"/>
        <v>0</v>
      </c>
      <c r="Z461" s="260">
        <f t="shared" si="180"/>
        <v>0</v>
      </c>
      <c r="AA461" s="260">
        <f t="shared" si="180"/>
        <v>0</v>
      </c>
      <c r="AB461" s="260">
        <f t="shared" si="180"/>
        <v>0</v>
      </c>
      <c r="AC461" s="260">
        <f t="shared" si="180"/>
        <v>0</v>
      </c>
      <c r="AD461" s="186">
        <f t="shared" si="177"/>
        <v>8</v>
      </c>
    </row>
    <row r="462">
      <c r="A462" s="213"/>
      <c r="B462" s="222"/>
      <c r="AD462" s="186"/>
    </row>
    <row r="463">
      <c r="A463" s="258" t="s">
        <v>336</v>
      </c>
      <c r="B463" s="227">
        <f t="shared" ref="B463:AC463" si="181">B149-B311</f>
        <v>0</v>
      </c>
      <c r="C463" s="227">
        <f t="shared" si="181"/>
        <v>0</v>
      </c>
      <c r="D463" s="227">
        <f t="shared" si="181"/>
        <v>0</v>
      </c>
      <c r="E463" s="227">
        <f t="shared" si="181"/>
        <v>0</v>
      </c>
      <c r="F463" s="227">
        <f t="shared" si="181"/>
        <v>0</v>
      </c>
      <c r="G463" s="227">
        <f t="shared" si="181"/>
        <v>0</v>
      </c>
      <c r="H463" s="227">
        <f t="shared" si="181"/>
        <v>0</v>
      </c>
      <c r="I463" s="227">
        <f t="shared" si="181"/>
        <v>0</v>
      </c>
      <c r="J463" s="227">
        <f t="shared" si="181"/>
        <v>0</v>
      </c>
      <c r="K463" s="227">
        <f t="shared" si="181"/>
        <v>0</v>
      </c>
      <c r="L463" s="227">
        <f t="shared" si="181"/>
        <v>0</v>
      </c>
      <c r="M463" s="227">
        <f t="shared" si="181"/>
        <v>0</v>
      </c>
      <c r="N463" s="227">
        <f t="shared" si="181"/>
        <v>0</v>
      </c>
      <c r="O463" s="227">
        <f t="shared" si="181"/>
        <v>0</v>
      </c>
      <c r="P463" s="227">
        <f t="shared" si="181"/>
        <v>0</v>
      </c>
      <c r="Q463" s="227">
        <f t="shared" si="181"/>
        <v>0</v>
      </c>
      <c r="R463" s="227">
        <f t="shared" si="181"/>
        <v>0</v>
      </c>
      <c r="S463" s="227">
        <f t="shared" si="181"/>
        <v>0</v>
      </c>
      <c r="T463" s="227">
        <f t="shared" si="181"/>
        <v>0</v>
      </c>
      <c r="U463" s="227">
        <f t="shared" si="181"/>
        <v>0</v>
      </c>
      <c r="V463" s="227">
        <f t="shared" si="181"/>
        <v>0</v>
      </c>
      <c r="W463" s="227">
        <f t="shared" si="181"/>
        <v>0</v>
      </c>
      <c r="X463" s="227">
        <f t="shared" si="181"/>
        <v>0</v>
      </c>
      <c r="Y463" s="227">
        <f t="shared" si="181"/>
        <v>0</v>
      </c>
      <c r="Z463" s="227">
        <f t="shared" si="181"/>
        <v>0</v>
      </c>
      <c r="AA463" s="227">
        <f t="shared" si="181"/>
        <v>0</v>
      </c>
      <c r="AB463" s="227">
        <f t="shared" si="181"/>
        <v>0</v>
      </c>
      <c r="AC463" s="227">
        <f t="shared" si="181"/>
        <v>0</v>
      </c>
      <c r="AD463" s="186">
        <f t="shared" ref="AD463:AD465" si="183">SUM(B463:AC463)</f>
        <v>0</v>
      </c>
    </row>
    <row r="464">
      <c r="A464" s="258" t="s">
        <v>337</v>
      </c>
      <c r="B464" s="227">
        <f t="shared" ref="B464:AC464" si="182">B150-B312</f>
        <v>0</v>
      </c>
      <c r="C464" s="227">
        <f t="shared" si="182"/>
        <v>0</v>
      </c>
      <c r="D464" s="227">
        <f t="shared" si="182"/>
        <v>0</v>
      </c>
      <c r="E464" s="227">
        <f t="shared" si="182"/>
        <v>0</v>
      </c>
      <c r="F464" s="227">
        <f t="shared" si="182"/>
        <v>0</v>
      </c>
      <c r="G464" s="227">
        <f t="shared" si="182"/>
        <v>0</v>
      </c>
      <c r="H464" s="227">
        <f t="shared" si="182"/>
        <v>0</v>
      </c>
      <c r="I464" s="227">
        <f t="shared" si="182"/>
        <v>0</v>
      </c>
      <c r="J464" s="227">
        <f t="shared" si="182"/>
        <v>0</v>
      </c>
      <c r="K464" s="227">
        <f t="shared" si="182"/>
        <v>0</v>
      </c>
      <c r="L464" s="227">
        <f t="shared" si="182"/>
        <v>0</v>
      </c>
      <c r="M464" s="227">
        <f t="shared" si="182"/>
        <v>0</v>
      </c>
      <c r="N464" s="227">
        <f t="shared" si="182"/>
        <v>0</v>
      </c>
      <c r="O464" s="227">
        <f t="shared" si="182"/>
        <v>0</v>
      </c>
      <c r="P464" s="227">
        <f t="shared" si="182"/>
        <v>0</v>
      </c>
      <c r="Q464" s="227">
        <f t="shared" si="182"/>
        <v>0</v>
      </c>
      <c r="R464" s="227">
        <f t="shared" si="182"/>
        <v>0</v>
      </c>
      <c r="S464" s="227">
        <f t="shared" si="182"/>
        <v>0</v>
      </c>
      <c r="T464" s="227">
        <f t="shared" si="182"/>
        <v>0</v>
      </c>
      <c r="U464" s="227">
        <f t="shared" si="182"/>
        <v>0</v>
      </c>
      <c r="V464" s="227">
        <f t="shared" si="182"/>
        <v>0</v>
      </c>
      <c r="W464" s="227">
        <f t="shared" si="182"/>
        <v>0</v>
      </c>
      <c r="X464" s="227">
        <f t="shared" si="182"/>
        <v>0</v>
      </c>
      <c r="Y464" s="227">
        <f t="shared" si="182"/>
        <v>0</v>
      </c>
      <c r="Z464" s="227">
        <f t="shared" si="182"/>
        <v>0</v>
      </c>
      <c r="AA464" s="227">
        <f t="shared" si="182"/>
        <v>0</v>
      </c>
      <c r="AB464" s="227">
        <f t="shared" si="182"/>
        <v>0</v>
      </c>
      <c r="AC464" s="227">
        <f t="shared" si="182"/>
        <v>0</v>
      </c>
      <c r="AD464" s="186">
        <f t="shared" si="183"/>
        <v>0</v>
      </c>
    </row>
    <row r="465">
      <c r="A465" s="261" t="s">
        <v>121</v>
      </c>
      <c r="B465" s="260">
        <f t="shared" ref="B465:AC465" si="184">SUM(B463:B464)</f>
        <v>0</v>
      </c>
      <c r="C465" s="260">
        <f t="shared" si="184"/>
        <v>0</v>
      </c>
      <c r="D465" s="260">
        <f t="shared" si="184"/>
        <v>0</v>
      </c>
      <c r="E465" s="260">
        <f t="shared" si="184"/>
        <v>0</v>
      </c>
      <c r="F465" s="260">
        <f t="shared" si="184"/>
        <v>0</v>
      </c>
      <c r="G465" s="260">
        <f t="shared" si="184"/>
        <v>0</v>
      </c>
      <c r="H465" s="260">
        <f t="shared" si="184"/>
        <v>0</v>
      </c>
      <c r="I465" s="260">
        <f t="shared" si="184"/>
        <v>0</v>
      </c>
      <c r="J465" s="260">
        <f t="shared" si="184"/>
        <v>0</v>
      </c>
      <c r="K465" s="260">
        <f t="shared" si="184"/>
        <v>0</v>
      </c>
      <c r="L465" s="260">
        <f t="shared" si="184"/>
        <v>0</v>
      </c>
      <c r="M465" s="260">
        <f t="shared" si="184"/>
        <v>0</v>
      </c>
      <c r="N465" s="260">
        <f t="shared" si="184"/>
        <v>0</v>
      </c>
      <c r="O465" s="260">
        <f t="shared" si="184"/>
        <v>0</v>
      </c>
      <c r="P465" s="260">
        <f t="shared" si="184"/>
        <v>0</v>
      </c>
      <c r="Q465" s="260">
        <f t="shared" si="184"/>
        <v>0</v>
      </c>
      <c r="R465" s="260">
        <f t="shared" si="184"/>
        <v>0</v>
      </c>
      <c r="S465" s="260">
        <f t="shared" si="184"/>
        <v>0</v>
      </c>
      <c r="T465" s="260">
        <f t="shared" si="184"/>
        <v>0</v>
      </c>
      <c r="U465" s="260">
        <f t="shared" si="184"/>
        <v>0</v>
      </c>
      <c r="V465" s="260">
        <f t="shared" si="184"/>
        <v>0</v>
      </c>
      <c r="W465" s="260">
        <f t="shared" si="184"/>
        <v>0</v>
      </c>
      <c r="X465" s="260">
        <f t="shared" si="184"/>
        <v>0</v>
      </c>
      <c r="Y465" s="260">
        <f t="shared" si="184"/>
        <v>0</v>
      </c>
      <c r="Z465" s="260">
        <f t="shared" si="184"/>
        <v>0</v>
      </c>
      <c r="AA465" s="260">
        <f t="shared" si="184"/>
        <v>0</v>
      </c>
      <c r="AB465" s="260">
        <f t="shared" si="184"/>
        <v>0</v>
      </c>
      <c r="AC465" s="260">
        <f t="shared" si="184"/>
        <v>0</v>
      </c>
      <c r="AD465" s="186">
        <f t="shared" si="183"/>
        <v>0</v>
      </c>
    </row>
    <row r="466">
      <c r="A466" s="213"/>
      <c r="AD466" s="222"/>
    </row>
    <row r="467">
      <c r="A467" s="258" t="s">
        <v>301</v>
      </c>
      <c r="B467" s="227">
        <f t="shared" ref="B467:AC467" si="185">B153-B315</f>
        <v>0</v>
      </c>
      <c r="C467" s="227">
        <f t="shared" si="185"/>
        <v>0</v>
      </c>
      <c r="D467" s="227">
        <f t="shared" si="185"/>
        <v>0</v>
      </c>
      <c r="E467" s="227">
        <f t="shared" si="185"/>
        <v>0</v>
      </c>
      <c r="F467" s="227">
        <f t="shared" si="185"/>
        <v>0</v>
      </c>
      <c r="G467" s="227">
        <f t="shared" si="185"/>
        <v>0</v>
      </c>
      <c r="H467" s="227">
        <f t="shared" si="185"/>
        <v>0</v>
      </c>
      <c r="I467" s="227">
        <f t="shared" si="185"/>
        <v>0</v>
      </c>
      <c r="J467" s="227">
        <f t="shared" si="185"/>
        <v>0</v>
      </c>
      <c r="K467" s="227">
        <f t="shared" si="185"/>
        <v>0</v>
      </c>
      <c r="L467" s="227">
        <f t="shared" si="185"/>
        <v>0</v>
      </c>
      <c r="M467" s="227">
        <f t="shared" si="185"/>
        <v>0</v>
      </c>
      <c r="N467" s="227">
        <f t="shared" si="185"/>
        <v>0</v>
      </c>
      <c r="O467" s="227">
        <f t="shared" si="185"/>
        <v>0</v>
      </c>
      <c r="P467" s="227">
        <f t="shared" si="185"/>
        <v>0</v>
      </c>
      <c r="Q467" s="227">
        <f t="shared" si="185"/>
        <v>0</v>
      </c>
      <c r="R467" s="227">
        <f t="shared" si="185"/>
        <v>0</v>
      </c>
      <c r="S467" s="227">
        <f t="shared" si="185"/>
        <v>0</v>
      </c>
      <c r="T467" s="227">
        <f t="shared" si="185"/>
        <v>0</v>
      </c>
      <c r="U467" s="227">
        <f t="shared" si="185"/>
        <v>0</v>
      </c>
      <c r="V467" s="227">
        <f t="shared" si="185"/>
        <v>0</v>
      </c>
      <c r="W467" s="227">
        <f t="shared" si="185"/>
        <v>0</v>
      </c>
      <c r="X467" s="227">
        <f t="shared" si="185"/>
        <v>0</v>
      </c>
      <c r="Y467" s="227">
        <f t="shared" si="185"/>
        <v>0</v>
      </c>
      <c r="Z467" s="227">
        <f t="shared" si="185"/>
        <v>0</v>
      </c>
      <c r="AA467" s="227">
        <f t="shared" si="185"/>
        <v>0</v>
      </c>
      <c r="AB467" s="227">
        <f t="shared" si="185"/>
        <v>0</v>
      </c>
      <c r="AC467" s="227">
        <f t="shared" si="185"/>
        <v>0</v>
      </c>
      <c r="AD467" s="186">
        <f t="shared" ref="AD467:AD469" si="187">SUM(B467:AC467)</f>
        <v>0</v>
      </c>
    </row>
    <row r="468">
      <c r="A468" s="258" t="s">
        <v>302</v>
      </c>
      <c r="B468" s="227">
        <f t="shared" ref="B468:AC468" si="186">B154-B316</f>
        <v>0</v>
      </c>
      <c r="C468" s="227">
        <f t="shared" si="186"/>
        <v>0</v>
      </c>
      <c r="D468" s="227">
        <f t="shared" si="186"/>
        <v>0</v>
      </c>
      <c r="E468" s="227">
        <f t="shared" si="186"/>
        <v>0</v>
      </c>
      <c r="F468" s="227">
        <f t="shared" si="186"/>
        <v>0</v>
      </c>
      <c r="G468" s="227">
        <f t="shared" si="186"/>
        <v>0</v>
      </c>
      <c r="H468" s="227">
        <f t="shared" si="186"/>
        <v>0</v>
      </c>
      <c r="I468" s="227">
        <f t="shared" si="186"/>
        <v>0</v>
      </c>
      <c r="J468" s="227">
        <f t="shared" si="186"/>
        <v>0</v>
      </c>
      <c r="K468" s="227">
        <f t="shared" si="186"/>
        <v>0</v>
      </c>
      <c r="L468" s="227">
        <f t="shared" si="186"/>
        <v>0</v>
      </c>
      <c r="M468" s="227">
        <f t="shared" si="186"/>
        <v>0</v>
      </c>
      <c r="N468" s="227">
        <f t="shared" si="186"/>
        <v>0</v>
      </c>
      <c r="O468" s="227">
        <f t="shared" si="186"/>
        <v>0</v>
      </c>
      <c r="P468" s="227">
        <f t="shared" si="186"/>
        <v>0</v>
      </c>
      <c r="Q468" s="227">
        <f t="shared" si="186"/>
        <v>0</v>
      </c>
      <c r="R468" s="227">
        <f t="shared" si="186"/>
        <v>0</v>
      </c>
      <c r="S468" s="227">
        <f t="shared" si="186"/>
        <v>0</v>
      </c>
      <c r="T468" s="227">
        <f t="shared" si="186"/>
        <v>0</v>
      </c>
      <c r="U468" s="227">
        <f t="shared" si="186"/>
        <v>0</v>
      </c>
      <c r="V468" s="227">
        <f t="shared" si="186"/>
        <v>0</v>
      </c>
      <c r="W468" s="227">
        <f t="shared" si="186"/>
        <v>0</v>
      </c>
      <c r="X468" s="227">
        <f t="shared" si="186"/>
        <v>0</v>
      </c>
      <c r="Y468" s="227">
        <f t="shared" si="186"/>
        <v>0</v>
      </c>
      <c r="Z468" s="227">
        <f t="shared" si="186"/>
        <v>0</v>
      </c>
      <c r="AA468" s="227">
        <f t="shared" si="186"/>
        <v>0</v>
      </c>
      <c r="AB468" s="227">
        <f t="shared" si="186"/>
        <v>0</v>
      </c>
      <c r="AC468" s="227">
        <f t="shared" si="186"/>
        <v>0</v>
      </c>
      <c r="AD468" s="186">
        <f t="shared" si="187"/>
        <v>0</v>
      </c>
    </row>
    <row r="469">
      <c r="A469" s="261" t="s">
        <v>121</v>
      </c>
      <c r="B469" s="260">
        <f t="shared" ref="B469:AC469" si="188">SUM(B467:B468)</f>
        <v>0</v>
      </c>
      <c r="C469" s="260">
        <f t="shared" si="188"/>
        <v>0</v>
      </c>
      <c r="D469" s="260">
        <f t="shared" si="188"/>
        <v>0</v>
      </c>
      <c r="E469" s="260">
        <f t="shared" si="188"/>
        <v>0</v>
      </c>
      <c r="F469" s="260">
        <f t="shared" si="188"/>
        <v>0</v>
      </c>
      <c r="G469" s="260">
        <f t="shared" si="188"/>
        <v>0</v>
      </c>
      <c r="H469" s="260">
        <f t="shared" si="188"/>
        <v>0</v>
      </c>
      <c r="I469" s="260">
        <f t="shared" si="188"/>
        <v>0</v>
      </c>
      <c r="J469" s="260">
        <f t="shared" si="188"/>
        <v>0</v>
      </c>
      <c r="K469" s="260">
        <f t="shared" si="188"/>
        <v>0</v>
      </c>
      <c r="L469" s="260">
        <f t="shared" si="188"/>
        <v>0</v>
      </c>
      <c r="M469" s="260">
        <f t="shared" si="188"/>
        <v>0</v>
      </c>
      <c r="N469" s="260">
        <f t="shared" si="188"/>
        <v>0</v>
      </c>
      <c r="O469" s="260">
        <f t="shared" si="188"/>
        <v>0</v>
      </c>
      <c r="P469" s="260">
        <f t="shared" si="188"/>
        <v>0</v>
      </c>
      <c r="Q469" s="260">
        <f t="shared" si="188"/>
        <v>0</v>
      </c>
      <c r="R469" s="260">
        <f t="shared" si="188"/>
        <v>0</v>
      </c>
      <c r="S469" s="260">
        <f t="shared" si="188"/>
        <v>0</v>
      </c>
      <c r="T469" s="260">
        <f t="shared" si="188"/>
        <v>0</v>
      </c>
      <c r="U469" s="260">
        <f t="shared" si="188"/>
        <v>0</v>
      </c>
      <c r="V469" s="260">
        <f t="shared" si="188"/>
        <v>0</v>
      </c>
      <c r="W469" s="260">
        <f t="shared" si="188"/>
        <v>0</v>
      </c>
      <c r="X469" s="260">
        <f t="shared" si="188"/>
        <v>0</v>
      </c>
      <c r="Y469" s="260">
        <f t="shared" si="188"/>
        <v>0</v>
      </c>
      <c r="Z469" s="260">
        <f t="shared" si="188"/>
        <v>0</v>
      </c>
      <c r="AA469" s="260">
        <f t="shared" si="188"/>
        <v>0</v>
      </c>
      <c r="AB469" s="260">
        <f t="shared" si="188"/>
        <v>0</v>
      </c>
      <c r="AC469" s="260">
        <f t="shared" si="188"/>
        <v>0</v>
      </c>
      <c r="AD469" s="186">
        <f t="shared" si="187"/>
        <v>0</v>
      </c>
    </row>
    <row r="470">
      <c r="A470" s="213"/>
      <c r="AD470" s="222"/>
    </row>
    <row r="471">
      <c r="A471" s="258" t="s">
        <v>338</v>
      </c>
      <c r="B471" s="226">
        <f t="shared" ref="B471:AC471" si="189">B157-B319</f>
        <v>5</v>
      </c>
      <c r="C471" s="226">
        <f t="shared" si="189"/>
        <v>1</v>
      </c>
      <c r="D471" s="226">
        <f t="shared" si="189"/>
        <v>2</v>
      </c>
      <c r="E471" s="226">
        <f t="shared" si="189"/>
        <v>2</v>
      </c>
      <c r="F471" s="226">
        <f t="shared" si="189"/>
        <v>4</v>
      </c>
      <c r="G471" s="226">
        <f t="shared" si="189"/>
        <v>2</v>
      </c>
      <c r="H471" s="226">
        <f t="shared" si="189"/>
        <v>3</v>
      </c>
      <c r="I471" s="226">
        <f t="shared" si="189"/>
        <v>2</v>
      </c>
      <c r="J471" s="226">
        <f t="shared" si="189"/>
        <v>2</v>
      </c>
      <c r="K471" s="226">
        <f t="shared" si="189"/>
        <v>3</v>
      </c>
      <c r="L471" s="226">
        <f t="shared" si="189"/>
        <v>2</v>
      </c>
      <c r="M471" s="226">
        <f t="shared" si="189"/>
        <v>3</v>
      </c>
      <c r="N471" s="226">
        <f t="shared" si="189"/>
        <v>0</v>
      </c>
      <c r="O471" s="226">
        <f t="shared" si="189"/>
        <v>0</v>
      </c>
      <c r="P471" s="226">
        <f t="shared" si="189"/>
        <v>2</v>
      </c>
      <c r="Q471" s="226">
        <f t="shared" si="189"/>
        <v>0</v>
      </c>
      <c r="R471" s="226">
        <f t="shared" si="189"/>
        <v>1</v>
      </c>
      <c r="S471" s="226">
        <f t="shared" si="189"/>
        <v>3</v>
      </c>
      <c r="T471" s="226">
        <f t="shared" si="189"/>
        <v>3</v>
      </c>
      <c r="U471" s="226">
        <f t="shared" si="189"/>
        <v>4</v>
      </c>
      <c r="V471" s="226">
        <f t="shared" si="189"/>
        <v>2</v>
      </c>
      <c r="W471" s="226">
        <f t="shared" si="189"/>
        <v>5</v>
      </c>
      <c r="X471" s="226">
        <f t="shared" si="189"/>
        <v>3</v>
      </c>
      <c r="Y471" s="226">
        <f t="shared" si="189"/>
        <v>0</v>
      </c>
      <c r="Z471" s="226">
        <f t="shared" si="189"/>
        <v>4</v>
      </c>
      <c r="AA471" s="226">
        <f t="shared" si="189"/>
        <v>3</v>
      </c>
      <c r="AB471" s="226">
        <f t="shared" si="189"/>
        <v>5</v>
      </c>
      <c r="AC471" s="226">
        <f t="shared" si="189"/>
        <v>5</v>
      </c>
      <c r="AD471" s="186">
        <f t="shared" ref="AD471:AD472" si="191">sum(B471:AC471)</f>
        <v>71</v>
      </c>
    </row>
    <row r="472">
      <c r="A472" s="261" t="s">
        <v>339</v>
      </c>
      <c r="B472" s="260">
        <f t="shared" ref="B472:AC472" si="190">B158-B320</f>
        <v>5</v>
      </c>
      <c r="C472" s="260">
        <f t="shared" si="190"/>
        <v>1</v>
      </c>
      <c r="D472" s="260">
        <f t="shared" si="190"/>
        <v>2</v>
      </c>
      <c r="E472" s="260">
        <f t="shared" si="190"/>
        <v>2</v>
      </c>
      <c r="F472" s="260">
        <f t="shared" si="190"/>
        <v>4</v>
      </c>
      <c r="G472" s="260">
        <f t="shared" si="190"/>
        <v>2</v>
      </c>
      <c r="H472" s="260">
        <f t="shared" si="190"/>
        <v>3</v>
      </c>
      <c r="I472" s="260">
        <f t="shared" si="190"/>
        <v>2</v>
      </c>
      <c r="J472" s="260">
        <f t="shared" si="190"/>
        <v>2</v>
      </c>
      <c r="K472" s="260">
        <f t="shared" si="190"/>
        <v>3</v>
      </c>
      <c r="L472" s="260">
        <f t="shared" si="190"/>
        <v>2</v>
      </c>
      <c r="M472" s="260">
        <f t="shared" si="190"/>
        <v>3</v>
      </c>
      <c r="N472" s="260">
        <f t="shared" si="190"/>
        <v>0</v>
      </c>
      <c r="O472" s="260">
        <f t="shared" si="190"/>
        <v>0</v>
      </c>
      <c r="P472" s="260">
        <f t="shared" si="190"/>
        <v>2</v>
      </c>
      <c r="Q472" s="260">
        <f t="shared" si="190"/>
        <v>0</v>
      </c>
      <c r="R472" s="260">
        <f t="shared" si="190"/>
        <v>1</v>
      </c>
      <c r="S472" s="260">
        <f t="shared" si="190"/>
        <v>3</v>
      </c>
      <c r="T472" s="260">
        <f t="shared" si="190"/>
        <v>3</v>
      </c>
      <c r="U472" s="260">
        <f t="shared" si="190"/>
        <v>4</v>
      </c>
      <c r="V472" s="260">
        <f t="shared" si="190"/>
        <v>2</v>
      </c>
      <c r="W472" s="260">
        <f t="shared" si="190"/>
        <v>5</v>
      </c>
      <c r="X472" s="260">
        <f t="shared" si="190"/>
        <v>3</v>
      </c>
      <c r="Y472" s="260">
        <f t="shared" si="190"/>
        <v>0</v>
      </c>
      <c r="Z472" s="260">
        <f t="shared" si="190"/>
        <v>4</v>
      </c>
      <c r="AA472" s="260">
        <f t="shared" si="190"/>
        <v>3</v>
      </c>
      <c r="AB472" s="260">
        <f t="shared" si="190"/>
        <v>5</v>
      </c>
      <c r="AC472" s="260">
        <f t="shared" si="190"/>
        <v>5</v>
      </c>
      <c r="AD472" s="186">
        <f t="shared" si="191"/>
        <v>71</v>
      </c>
    </row>
    <row r="473">
      <c r="A473" s="213"/>
      <c r="AD473" s="222"/>
    </row>
    <row r="474">
      <c r="A474" s="99" t="s">
        <v>206</v>
      </c>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181"/>
    </row>
    <row r="475">
      <c r="A475" s="33" t="s">
        <v>359</v>
      </c>
      <c r="B475" s="263">
        <f t="shared" ref="B475:AC475" si="192">B30+B36+B33+B38+B29+B31+B39+B32+B40</f>
        <v>12017.93</v>
      </c>
      <c r="C475" s="264">
        <f t="shared" si="192"/>
        <v>13715.38</v>
      </c>
      <c r="D475" s="265">
        <f t="shared" si="192"/>
        <v>15174.95</v>
      </c>
      <c r="E475" s="266">
        <f t="shared" si="192"/>
        <v>15303.4</v>
      </c>
      <c r="F475" s="267">
        <f t="shared" si="192"/>
        <v>15967.72</v>
      </c>
      <c r="G475" s="268">
        <f t="shared" si="192"/>
        <v>15353.79</v>
      </c>
      <c r="H475" s="269">
        <f t="shared" si="192"/>
        <v>14506.56</v>
      </c>
      <c r="I475" s="270">
        <f t="shared" si="192"/>
        <v>14148.84</v>
      </c>
      <c r="J475" s="271">
        <f t="shared" si="192"/>
        <v>13516.04</v>
      </c>
      <c r="K475" s="272">
        <f t="shared" si="192"/>
        <v>14907.05</v>
      </c>
      <c r="L475" s="273">
        <f t="shared" si="192"/>
        <v>12890.59</v>
      </c>
      <c r="M475" s="274">
        <f t="shared" si="192"/>
        <v>14492.95</v>
      </c>
      <c r="N475" s="275">
        <f t="shared" si="192"/>
        <v>16154.87</v>
      </c>
      <c r="O475" s="276">
        <f t="shared" si="192"/>
        <v>16815.42</v>
      </c>
      <c r="P475" s="277">
        <f t="shared" si="192"/>
        <v>15277.56</v>
      </c>
      <c r="Q475" s="278">
        <f t="shared" si="192"/>
        <v>15144.11</v>
      </c>
      <c r="R475" s="279">
        <f t="shared" si="192"/>
        <v>14000.01</v>
      </c>
      <c r="S475" s="280">
        <f t="shared" si="192"/>
        <v>16906.29</v>
      </c>
      <c r="T475" s="280">
        <f t="shared" si="192"/>
        <v>16486.66</v>
      </c>
      <c r="U475" s="280">
        <f t="shared" si="192"/>
        <v>16158.19</v>
      </c>
      <c r="V475" s="280">
        <f t="shared" si="192"/>
        <v>14214.77</v>
      </c>
      <c r="W475" s="280">
        <f t="shared" si="192"/>
        <v>14889.25</v>
      </c>
      <c r="X475" s="280">
        <f t="shared" si="192"/>
        <v>14245.85</v>
      </c>
      <c r="Y475" s="280">
        <f t="shared" si="192"/>
        <v>13808.14</v>
      </c>
      <c r="Z475" s="280">
        <f t="shared" si="192"/>
        <v>14956.57</v>
      </c>
      <c r="AA475" s="280">
        <f t="shared" si="192"/>
        <v>15297.42</v>
      </c>
      <c r="AB475" s="280">
        <f t="shared" si="192"/>
        <v>13194.55</v>
      </c>
      <c r="AC475" s="280">
        <f t="shared" si="192"/>
        <v>13106.98</v>
      </c>
      <c r="AD475" s="97">
        <f t="shared" ref="AD475:AD498" si="194">SUM(B475:AC475)</f>
        <v>412651.84</v>
      </c>
    </row>
    <row r="476">
      <c r="A476" s="33" t="s">
        <v>360</v>
      </c>
      <c r="B476" s="121">
        <f t="shared" ref="B476:AC476" si="193">B35+B37+B34</f>
        <v>0</v>
      </c>
      <c r="C476" s="121">
        <f t="shared" si="193"/>
        <v>0</v>
      </c>
      <c r="D476" s="121">
        <f t="shared" si="193"/>
        <v>0</v>
      </c>
      <c r="E476" s="121">
        <f t="shared" si="193"/>
        <v>65.63</v>
      </c>
      <c r="F476" s="121">
        <f t="shared" si="193"/>
        <v>0</v>
      </c>
      <c r="G476" s="121">
        <f t="shared" si="193"/>
        <v>63.7</v>
      </c>
      <c r="H476" s="121">
        <f t="shared" si="193"/>
        <v>0</v>
      </c>
      <c r="I476" s="121">
        <f t="shared" si="193"/>
        <v>76.5</v>
      </c>
      <c r="J476" s="121">
        <f t="shared" si="193"/>
        <v>0</v>
      </c>
      <c r="K476" s="121">
        <f t="shared" si="193"/>
        <v>60.61</v>
      </c>
      <c r="L476" s="121">
        <f t="shared" si="193"/>
        <v>0</v>
      </c>
      <c r="M476" s="121">
        <f t="shared" si="193"/>
        <v>0</v>
      </c>
      <c r="N476" s="121">
        <f t="shared" si="193"/>
        <v>0</v>
      </c>
      <c r="O476" s="121">
        <f t="shared" si="193"/>
        <v>0</v>
      </c>
      <c r="P476" s="121">
        <f t="shared" si="193"/>
        <v>0</v>
      </c>
      <c r="Q476" s="121">
        <f t="shared" si="193"/>
        <v>0</v>
      </c>
      <c r="R476" s="121">
        <f t="shared" si="193"/>
        <v>0</v>
      </c>
      <c r="S476" s="121">
        <f t="shared" si="193"/>
        <v>0</v>
      </c>
      <c r="T476" s="121">
        <f t="shared" si="193"/>
        <v>0</v>
      </c>
      <c r="U476" s="121">
        <f t="shared" si="193"/>
        <v>70.35</v>
      </c>
      <c r="V476" s="121">
        <f t="shared" si="193"/>
        <v>59.8</v>
      </c>
      <c r="W476" s="121">
        <f t="shared" si="193"/>
        <v>0</v>
      </c>
      <c r="X476" s="121">
        <f t="shared" si="193"/>
        <v>0</v>
      </c>
      <c r="Y476" s="121">
        <f t="shared" si="193"/>
        <v>0</v>
      </c>
      <c r="Z476" s="121">
        <f t="shared" si="193"/>
        <v>0</v>
      </c>
      <c r="AA476" s="121">
        <f t="shared" si="193"/>
        <v>72.53</v>
      </c>
      <c r="AB476" s="121">
        <f t="shared" si="193"/>
        <v>0</v>
      </c>
      <c r="AC476" s="121">
        <f t="shared" si="193"/>
        <v>0</v>
      </c>
      <c r="AD476" s="97">
        <f t="shared" si="194"/>
        <v>469.12</v>
      </c>
    </row>
    <row r="477">
      <c r="A477" s="53" t="s">
        <v>361</v>
      </c>
      <c r="B477" s="121">
        <f>B185*Formulas!$C4</f>
        <v>2045.37</v>
      </c>
      <c r="C477" s="121">
        <f>C185*Formulas!$C4</f>
        <v>4020.21</v>
      </c>
      <c r="D477" s="121">
        <f>D185*Formulas!$C4</f>
        <v>2186.43</v>
      </c>
      <c r="E477" s="121">
        <f>E185*Formulas!$C4</f>
        <v>2115.9</v>
      </c>
      <c r="F477" s="121">
        <f>F185*Formulas!$C4</f>
        <v>2609.61</v>
      </c>
      <c r="G477" s="121">
        <f>G185*Formulas!$C4</f>
        <v>1410.6</v>
      </c>
      <c r="H477" s="121">
        <f>H185*Formulas!$C4</f>
        <v>2398.02</v>
      </c>
      <c r="I477" s="121">
        <f>I185*Formulas!$C4</f>
        <v>2115.9</v>
      </c>
      <c r="J477" s="121">
        <f>J185*Formulas!$C4</f>
        <v>2609.61</v>
      </c>
      <c r="K477" s="121">
        <f>K185*Formulas!$C4</f>
        <v>3385.44</v>
      </c>
      <c r="L477" s="121">
        <f>L185*Formulas!$C4</f>
        <v>2750.67</v>
      </c>
      <c r="M477" s="121">
        <f>M185*Formulas!$C4</f>
        <v>3173.85</v>
      </c>
      <c r="N477" s="121">
        <f>N185*Formulas!$C4</f>
        <v>3032.79</v>
      </c>
      <c r="O477" s="121">
        <f>O185*Formulas!$C4</f>
        <v>4302.33</v>
      </c>
      <c r="P477" s="121">
        <f>P185*Formulas!$C4</f>
        <v>2680.14</v>
      </c>
      <c r="Q477" s="121">
        <f>Q185*Formulas!$C4</f>
        <v>3244.38</v>
      </c>
      <c r="R477" s="121">
        <f>R185*Formulas!$C4</f>
        <v>1340.07</v>
      </c>
      <c r="S477" s="121">
        <f>S185*Formulas!$C4</f>
        <v>2539.08</v>
      </c>
      <c r="T477" s="121">
        <f>T185*Formulas!$C4</f>
        <v>2609.61</v>
      </c>
      <c r="U477" s="121">
        <f>U185*Formulas!$C4</f>
        <v>1904.31</v>
      </c>
      <c r="V477" s="121">
        <f>V185*Formulas!$C4</f>
        <v>2539.08</v>
      </c>
      <c r="W477" s="121">
        <f>W185*Formulas!$C4</f>
        <v>1692.72</v>
      </c>
      <c r="X477" s="121">
        <f>X185*Formulas!$C4</f>
        <v>1833.78</v>
      </c>
      <c r="Y477" s="121">
        <f>Y185*Formulas!$C4</f>
        <v>2609.61</v>
      </c>
      <c r="Z477" s="121">
        <f>Z185*Formulas!$C4</f>
        <v>2962.26</v>
      </c>
      <c r="AA477" s="121">
        <f>AA185*Formulas!$C4</f>
        <v>2468.55</v>
      </c>
      <c r="AB477" s="121">
        <f>AB185*Formulas!$C4</f>
        <v>2821.2</v>
      </c>
      <c r="AC477" s="121">
        <f>AC185*Formulas!$C4</f>
        <v>2398.02</v>
      </c>
      <c r="AD477" s="97">
        <f t="shared" si="194"/>
        <v>71799.54</v>
      </c>
    </row>
    <row r="478">
      <c r="A478" s="33" t="s">
        <v>362</v>
      </c>
      <c r="B478" s="121">
        <f>(B477)*Formulas!$C37</f>
        <v>153.40275</v>
      </c>
      <c r="C478" s="121">
        <f>(C477)*Formulas!$C37</f>
        <v>301.51575</v>
      </c>
      <c r="D478" s="121">
        <f>(D477)*Formulas!$C37</f>
        <v>163.98225</v>
      </c>
      <c r="E478" s="121">
        <f>(E477)*Formulas!$C37</f>
        <v>158.6925</v>
      </c>
      <c r="F478" s="121">
        <f>(F477)*Formulas!$C37</f>
        <v>195.72075</v>
      </c>
      <c r="G478" s="121">
        <f>(G477)*Formulas!$C37</f>
        <v>105.795</v>
      </c>
      <c r="H478" s="121">
        <f>(H477)*Formulas!$C37</f>
        <v>179.8515</v>
      </c>
      <c r="I478" s="121">
        <f>(I477)*Formulas!$C37</f>
        <v>158.6925</v>
      </c>
      <c r="J478" s="121">
        <f>(J477)*Formulas!$C37</f>
        <v>195.72075</v>
      </c>
      <c r="K478" s="121">
        <f>(K477)*Formulas!$C37</f>
        <v>253.908</v>
      </c>
      <c r="L478" s="121">
        <f>(L477)*Formulas!$C37</f>
        <v>206.30025</v>
      </c>
      <c r="M478" s="121">
        <f>(M477)*Formulas!$C37</f>
        <v>238.03875</v>
      </c>
      <c r="N478" s="121">
        <f>(N477)*Formulas!$C37</f>
        <v>227.45925</v>
      </c>
      <c r="O478" s="121">
        <f>(O477)*Formulas!$C37</f>
        <v>322.67475</v>
      </c>
      <c r="P478" s="121">
        <f>(P477)*Formulas!$C37</f>
        <v>201.0105</v>
      </c>
      <c r="Q478" s="121">
        <f>(Q477)*Formulas!$C37</f>
        <v>243.3285</v>
      </c>
      <c r="R478" s="121">
        <f>(R477)*Formulas!$C37</f>
        <v>100.50525</v>
      </c>
      <c r="S478" s="121">
        <f>(S477)*Formulas!$C37</f>
        <v>190.431</v>
      </c>
      <c r="T478" s="121">
        <f>(T477)*Formulas!$C37</f>
        <v>195.72075</v>
      </c>
      <c r="U478" s="121">
        <f>(U477)*Formulas!$C37</f>
        <v>142.82325</v>
      </c>
      <c r="V478" s="121">
        <f>(V477)*Formulas!$C37</f>
        <v>190.431</v>
      </c>
      <c r="W478" s="121">
        <f>(W477)*Formulas!$C37</f>
        <v>126.954</v>
      </c>
      <c r="X478" s="121">
        <f>(X477)*Formulas!$C37</f>
        <v>137.5335</v>
      </c>
      <c r="Y478" s="121">
        <f>(Y477)*Formulas!$C37</f>
        <v>195.72075</v>
      </c>
      <c r="Z478" s="121">
        <f>(Z477)*Formulas!$C37</f>
        <v>222.1695</v>
      </c>
      <c r="AA478" s="121">
        <f>(AA477)*Formulas!$C37</f>
        <v>185.14125</v>
      </c>
      <c r="AB478" s="121">
        <f>(AB477)*Formulas!$C37</f>
        <v>211.59</v>
      </c>
      <c r="AC478" s="121">
        <f>(AC477)*Formulas!$C37</f>
        <v>179.8515</v>
      </c>
      <c r="AD478" s="97">
        <f t="shared" si="194"/>
        <v>5384.9655</v>
      </c>
    </row>
    <row r="479">
      <c r="A479" s="53" t="s">
        <v>363</v>
      </c>
      <c r="B479" s="121">
        <f>B186*Formulas!$C$5</f>
        <v>6486.48</v>
      </c>
      <c r="C479" s="121">
        <f>C186*Formulas!$C$5</f>
        <v>8168.16</v>
      </c>
      <c r="D479" s="121">
        <f>D186*Formulas!$C$5</f>
        <v>6886.88</v>
      </c>
      <c r="E479" s="121">
        <f>E186*Formulas!$C$5</f>
        <v>8808.8</v>
      </c>
      <c r="F479" s="121">
        <f>F186*Formulas!$C$5</f>
        <v>7607.6</v>
      </c>
      <c r="G479" s="121">
        <f>G186*Formulas!$C$5</f>
        <v>6806.8</v>
      </c>
      <c r="H479" s="121">
        <f>H186*Formulas!$C$5</f>
        <v>7527.52</v>
      </c>
      <c r="I479" s="121">
        <f>I186*Formulas!$C$5</f>
        <v>8568.56</v>
      </c>
      <c r="J479" s="121">
        <f>J186*Formulas!$C$5</f>
        <v>7767.76</v>
      </c>
      <c r="K479" s="121">
        <f>K186*Formulas!$C$5</f>
        <v>8648.64</v>
      </c>
      <c r="L479" s="121">
        <f>L186*Formulas!$C$5</f>
        <v>10330.32</v>
      </c>
      <c r="M479" s="121">
        <f>M186*Formulas!$C$5</f>
        <v>14734.72</v>
      </c>
      <c r="N479" s="121">
        <f>N186*Formulas!$C$5</f>
        <v>11531.52</v>
      </c>
      <c r="O479" s="121">
        <f>O186*Formulas!$C$5</f>
        <v>12012</v>
      </c>
      <c r="P479" s="121">
        <f>P186*Formulas!$C$5</f>
        <v>9609.6</v>
      </c>
      <c r="Q479" s="121">
        <f>Q186*Formulas!$C$5</f>
        <v>8008</v>
      </c>
      <c r="R479" s="121">
        <f>R186*Formulas!$C$5</f>
        <v>9289.28</v>
      </c>
      <c r="S479" s="121">
        <f>S186*Formulas!$C$5</f>
        <v>9289.28</v>
      </c>
      <c r="T479" s="121">
        <f>T186*Formulas!$C$5</f>
        <v>9769.76</v>
      </c>
      <c r="U479" s="121">
        <f>U186*Formulas!$C$5</f>
        <v>9849.84</v>
      </c>
      <c r="V479" s="121">
        <f>V186*Formulas!$C$5</f>
        <v>7687.68</v>
      </c>
      <c r="W479" s="121">
        <f>W186*Formulas!$C$5</f>
        <v>9129.12</v>
      </c>
      <c r="X479" s="121">
        <f>X186*Formulas!$C$5</f>
        <v>9289.28</v>
      </c>
      <c r="Y479" s="121">
        <f>Y186*Formulas!$C$5</f>
        <v>8088.08</v>
      </c>
      <c r="Z479" s="121">
        <f>Z186*Formulas!$C$5</f>
        <v>11531.52</v>
      </c>
      <c r="AA479" s="121">
        <f>AA186*Formulas!$C$5</f>
        <v>9529.52</v>
      </c>
      <c r="AB479" s="121">
        <f>AB186*Formulas!$C$5</f>
        <v>8168.16</v>
      </c>
      <c r="AC479" s="121">
        <f>AC186*Formulas!$C$5</f>
        <v>7767.76</v>
      </c>
      <c r="AD479" s="97">
        <f t="shared" si="194"/>
        <v>252892.64</v>
      </c>
    </row>
    <row r="480">
      <c r="A480" s="33" t="s">
        <v>364</v>
      </c>
      <c r="B480" s="121">
        <f>(B479+B481)*Formulas!$C37</f>
        <v>486.486</v>
      </c>
      <c r="C480" s="121">
        <f>(C479+C481)*Formulas!$C37</f>
        <v>645.099</v>
      </c>
      <c r="D480" s="121">
        <f>(D479+D481)*Formulas!$C37</f>
        <v>516.516</v>
      </c>
      <c r="E480" s="121">
        <f>(E479+E481)*Formulas!$C37</f>
        <v>660.66</v>
      </c>
      <c r="F480" s="121">
        <f>(F479+F481)*Formulas!$C37</f>
        <v>570.57</v>
      </c>
      <c r="G480" s="121">
        <f>(G479+G481)*Formulas!$C37</f>
        <v>510.51</v>
      </c>
      <c r="H480" s="121">
        <f>(H479+H481)*Formulas!$C37</f>
        <v>564.08625</v>
      </c>
      <c r="I480" s="121">
        <f>(I479+I481)*Formulas!$C37</f>
        <v>642.642</v>
      </c>
      <c r="J480" s="121">
        <f>(J479+J481)*Formulas!$C37</f>
        <v>609.336</v>
      </c>
      <c r="K480" s="121">
        <f>(K479+K481)*Formulas!$C37</f>
        <v>648.648</v>
      </c>
      <c r="L480" s="121">
        <f>(L479+L481)*Formulas!$C37</f>
        <v>774.774</v>
      </c>
      <c r="M480" s="121">
        <f>(M479+M481)*Formulas!$C37</f>
        <v>1105.104</v>
      </c>
      <c r="N480" s="121">
        <f>(N479+N481)*Formulas!$C37</f>
        <v>864.864</v>
      </c>
      <c r="O480" s="121">
        <f>(O479+O481)*Formulas!$C37</f>
        <v>900.9</v>
      </c>
      <c r="P480" s="121">
        <f>(P479+P481)*Formulas!$C37</f>
        <v>720.24225</v>
      </c>
      <c r="Q480" s="121">
        <f>(Q479+Q481)*Formulas!$C37</f>
        <v>600.6</v>
      </c>
      <c r="R480" s="121">
        <f>(R479+R481)*Formulas!$C37</f>
        <v>696.696</v>
      </c>
      <c r="S480" s="121">
        <f>(S479+S481)*Formulas!$C37</f>
        <v>696.696</v>
      </c>
      <c r="T480" s="121">
        <f>(T479+T481)*Formulas!$C37</f>
        <v>732.25425</v>
      </c>
      <c r="U480" s="121">
        <f>(U479+U481)*Formulas!$C37</f>
        <v>738.26025</v>
      </c>
      <c r="V480" s="121">
        <f>(V479+V481)*Formulas!$C37</f>
        <v>576.576</v>
      </c>
      <c r="W480" s="121">
        <f>(W479+W481)*Formulas!$C37</f>
        <v>684.684</v>
      </c>
      <c r="X480" s="121">
        <f>(X479+X481)*Formulas!$C37</f>
        <v>696.696</v>
      </c>
      <c r="Y480" s="121">
        <f>(Y479+Y481)*Formulas!$C37</f>
        <v>606.606</v>
      </c>
      <c r="Z480" s="121">
        <f>(Z479+Z481)*Formulas!$C37</f>
        <v>864.864</v>
      </c>
      <c r="AA480" s="121">
        <f>(AA479+AA481)*Formulas!$C37</f>
        <v>714.714</v>
      </c>
      <c r="AB480" s="121">
        <f>(AB479+AB481)*Formulas!$C37</f>
        <v>612.612</v>
      </c>
      <c r="AC480" s="121">
        <f>(AC479+AC481)*Formulas!$C37</f>
        <v>582.582</v>
      </c>
      <c r="AD480" s="97">
        <f t="shared" si="194"/>
        <v>19024.278</v>
      </c>
    </row>
    <row r="481">
      <c r="A481" s="53" t="s">
        <v>365</v>
      </c>
      <c r="B481" s="121">
        <f>B190*Formulas!$C8</f>
        <v>0</v>
      </c>
      <c r="C481" s="121">
        <f>C190*Formulas!$C8</f>
        <v>433.16</v>
      </c>
      <c r="D481" s="121">
        <f>D190*Formulas!$C8</f>
        <v>0</v>
      </c>
      <c r="E481" s="121">
        <f>E190*Formulas!$C8</f>
        <v>0</v>
      </c>
      <c r="F481" s="121">
        <f>F190*Formulas!$C8</f>
        <v>0</v>
      </c>
      <c r="G481" s="121">
        <f>G190*Formulas!$C8</f>
        <v>0</v>
      </c>
      <c r="H481" s="121">
        <f>H190*Formulas!$C8</f>
        <v>-6.37</v>
      </c>
      <c r="I481" s="121">
        <f>I190*Formulas!$C8</f>
        <v>0</v>
      </c>
      <c r="J481" s="121">
        <f>J190*Formulas!$C8</f>
        <v>356.72</v>
      </c>
      <c r="K481" s="121">
        <f>K190*Formulas!$C8</f>
        <v>0</v>
      </c>
      <c r="L481" s="121">
        <f>L190*Formulas!$C8</f>
        <v>0</v>
      </c>
      <c r="M481" s="121">
        <f>M190*Formulas!$C8</f>
        <v>0</v>
      </c>
      <c r="N481" s="121">
        <f>N190*Formulas!$C8</f>
        <v>0</v>
      </c>
      <c r="O481" s="121">
        <f>O190*Formulas!$C8</f>
        <v>0</v>
      </c>
      <c r="P481" s="121">
        <f>P190*Formulas!$C8</f>
        <v>-6.37</v>
      </c>
      <c r="Q481" s="121">
        <f>Q190*Formulas!$C8</f>
        <v>0</v>
      </c>
      <c r="R481" s="121">
        <f>R190*Formulas!$C8</f>
        <v>0</v>
      </c>
      <c r="S481" s="121">
        <f>S190*Formulas!$C8</f>
        <v>0</v>
      </c>
      <c r="T481" s="121">
        <f>T190*Formulas!$C8</f>
        <v>-6.37</v>
      </c>
      <c r="U481" s="121">
        <f>U190*Formulas!$C8</f>
        <v>-6.37</v>
      </c>
      <c r="V481" s="121">
        <f>V190*Formulas!$C8</f>
        <v>0</v>
      </c>
      <c r="W481" s="121">
        <f>W190*Formulas!$C8</f>
        <v>0</v>
      </c>
      <c r="X481" s="121">
        <f>X190*Formulas!$C8</f>
        <v>0</v>
      </c>
      <c r="Y481" s="121">
        <f>Y190*Formulas!$C8</f>
        <v>0</v>
      </c>
      <c r="Z481" s="121">
        <f>Z190*Formulas!$C8</f>
        <v>0</v>
      </c>
      <c r="AA481" s="121">
        <f>AA190*Formulas!$C8</f>
        <v>0</v>
      </c>
      <c r="AB481" s="121">
        <f>AB190*Formulas!$C8</f>
        <v>0</v>
      </c>
      <c r="AC481" s="121">
        <f>AC190*Formulas!$C8</f>
        <v>0</v>
      </c>
      <c r="AD481" s="97">
        <f t="shared" si="194"/>
        <v>764.4</v>
      </c>
    </row>
    <row r="482">
      <c r="A482" s="33" t="s">
        <v>366</v>
      </c>
      <c r="B482" s="121">
        <f>B481*Formulas!$C37</f>
        <v>0</v>
      </c>
      <c r="C482" s="121">
        <f>C481*Formulas!$C37</f>
        <v>32.487</v>
      </c>
      <c r="D482" s="121">
        <f>D481*Formulas!$C37</f>
        <v>0</v>
      </c>
      <c r="E482" s="121">
        <f>E481*Formulas!$C37</f>
        <v>0</v>
      </c>
      <c r="F482" s="121">
        <f>F481*Formulas!$C37</f>
        <v>0</v>
      </c>
      <c r="G482" s="121">
        <f>G481*Formulas!$C37</f>
        <v>0</v>
      </c>
      <c r="H482" s="121">
        <f>H481*Formulas!$C37</f>
        <v>-0.47775</v>
      </c>
      <c r="I482" s="121">
        <f>I481*Formulas!$C37</f>
        <v>0</v>
      </c>
      <c r="J482" s="121">
        <f>J481*Formulas!$C37</f>
        <v>26.754</v>
      </c>
      <c r="K482" s="121">
        <f>K481*Formulas!$C37</f>
        <v>0</v>
      </c>
      <c r="L482" s="121">
        <f>L481*Formulas!$C37</f>
        <v>0</v>
      </c>
      <c r="M482" s="121">
        <f>M481*Formulas!$C37</f>
        <v>0</v>
      </c>
      <c r="N482" s="121">
        <f>N481*Formulas!$C37</f>
        <v>0</v>
      </c>
      <c r="O482" s="121">
        <f>O481*Formulas!$C37</f>
        <v>0</v>
      </c>
      <c r="P482" s="121">
        <f>P481*Formulas!$C37</f>
        <v>-0.47775</v>
      </c>
      <c r="Q482" s="121">
        <f>Q481*Formulas!$C37</f>
        <v>0</v>
      </c>
      <c r="R482" s="121">
        <f>R481*Formulas!$C37</f>
        <v>0</v>
      </c>
      <c r="S482" s="121">
        <f>S481*Formulas!$C37</f>
        <v>0</v>
      </c>
      <c r="T482" s="121">
        <f>T481*Formulas!$C37</f>
        <v>-0.47775</v>
      </c>
      <c r="U482" s="121">
        <f>U481*Formulas!$C37</f>
        <v>-0.47775</v>
      </c>
      <c r="V482" s="121">
        <f>V481*Formulas!$C37</f>
        <v>0</v>
      </c>
      <c r="W482" s="121">
        <f>W481*Formulas!$C37</f>
        <v>0</v>
      </c>
      <c r="X482" s="121">
        <f>X481*Formulas!$C37</f>
        <v>0</v>
      </c>
      <c r="Y482" s="121">
        <f>Y481*Formulas!$C37</f>
        <v>0</v>
      </c>
      <c r="Z482" s="121">
        <f>Z481*Formulas!$C37</f>
        <v>0</v>
      </c>
      <c r="AA482" s="121">
        <f>AA481*Formulas!$C37</f>
        <v>0</v>
      </c>
      <c r="AB482" s="121">
        <f>AB481*Formulas!$C37</f>
        <v>0</v>
      </c>
      <c r="AC482" s="121">
        <f>AC481*Formulas!$C37</f>
        <v>0</v>
      </c>
      <c r="AD482" s="97">
        <f t="shared" si="194"/>
        <v>57.33</v>
      </c>
    </row>
    <row r="483">
      <c r="A483" s="33" t="s">
        <v>367</v>
      </c>
      <c r="B483" s="121">
        <f>B481*Formulas!$C36</f>
        <v>0</v>
      </c>
      <c r="C483" s="121">
        <f>C481*Formulas!$C36</f>
        <v>14.72744</v>
      </c>
      <c r="D483" s="121">
        <f>D481*Formulas!$C36</f>
        <v>0</v>
      </c>
      <c r="E483" s="121">
        <f>E481*Formulas!$C36</f>
        <v>0</v>
      </c>
      <c r="F483" s="121">
        <f>F481*Formulas!$C36</f>
        <v>0</v>
      </c>
      <c r="G483" s="121">
        <f>G481*Formulas!$C36</f>
        <v>0</v>
      </c>
      <c r="H483" s="121">
        <f>H481*Formulas!$C36</f>
        <v>-0.21658</v>
      </c>
      <c r="I483" s="121">
        <f>I481*Formulas!$C36</f>
        <v>0</v>
      </c>
      <c r="J483" s="121">
        <f>J481*Formulas!$C36</f>
        <v>12.12848</v>
      </c>
      <c r="K483" s="121">
        <f>K481*Formulas!$C36</f>
        <v>0</v>
      </c>
      <c r="L483" s="121">
        <f>L481*Formulas!$C36</f>
        <v>0</v>
      </c>
      <c r="M483" s="121">
        <f>M481*Formulas!$C36</f>
        <v>0</v>
      </c>
      <c r="N483" s="121">
        <f>N481*Formulas!$C36</f>
        <v>0</v>
      </c>
      <c r="O483" s="121">
        <f>O481*Formulas!$C36</f>
        <v>0</v>
      </c>
      <c r="P483" s="121">
        <f>P481*Formulas!$C36</f>
        <v>-0.21658</v>
      </c>
      <c r="Q483" s="121">
        <f>Q481*Formulas!$C36</f>
        <v>0</v>
      </c>
      <c r="R483" s="121">
        <f>R481*Formulas!$C36</f>
        <v>0</v>
      </c>
      <c r="S483" s="121">
        <f>S481*Formulas!$C36</f>
        <v>0</v>
      </c>
      <c r="T483" s="121">
        <f>T481*Formulas!$C36</f>
        <v>-0.21658</v>
      </c>
      <c r="U483" s="121">
        <f>U481*Formulas!$C36</f>
        <v>-0.21658</v>
      </c>
      <c r="V483" s="121">
        <f>V481*Formulas!$C36</f>
        <v>0</v>
      </c>
      <c r="W483" s="121">
        <f>W481*Formulas!$C36</f>
        <v>0</v>
      </c>
      <c r="X483" s="121">
        <f>X481*Formulas!$C36</f>
        <v>0</v>
      </c>
      <c r="Y483" s="121">
        <f>Y481*Formulas!$C36</f>
        <v>0</v>
      </c>
      <c r="Z483" s="121">
        <f>Z481*Formulas!$C36</f>
        <v>0</v>
      </c>
      <c r="AA483" s="121">
        <f>AA481*Formulas!$C36</f>
        <v>0</v>
      </c>
      <c r="AB483" s="121">
        <f>AB481*Formulas!$C36</f>
        <v>0</v>
      </c>
      <c r="AC483" s="121">
        <f>AC481*Formulas!$C36</f>
        <v>0</v>
      </c>
      <c r="AD483" s="97">
        <f t="shared" si="194"/>
        <v>25.9896</v>
      </c>
    </row>
    <row r="484">
      <c r="A484" s="53" t="s">
        <v>368</v>
      </c>
      <c r="B484" s="121">
        <f>B189*Formulas!$C7</f>
        <v>300.73</v>
      </c>
      <c r="C484" s="121">
        <f>C189*Formulas!$C7</f>
        <v>325.38</v>
      </c>
      <c r="D484" s="121">
        <f>D189*Formulas!$C7</f>
        <v>276.08</v>
      </c>
      <c r="E484" s="121">
        <f>E189*Formulas!$C7</f>
        <v>389.47</v>
      </c>
      <c r="F484" s="121">
        <f>F189*Formulas!$C7</f>
        <v>354.96</v>
      </c>
      <c r="G484" s="121">
        <f>G189*Formulas!$C7</f>
        <v>300.73</v>
      </c>
      <c r="H484" s="121">
        <f>H189*Formulas!$C7</f>
        <v>276.08</v>
      </c>
      <c r="I484" s="121">
        <f>I189*Formulas!$C7</f>
        <v>246.5</v>
      </c>
      <c r="J484" s="121">
        <f>J189*Formulas!$C7</f>
        <v>266.22</v>
      </c>
      <c r="K484" s="121">
        <f>K189*Formulas!$C7</f>
        <v>300.73</v>
      </c>
      <c r="L484" s="121">
        <f>L189*Formulas!$C7</f>
        <v>325.38</v>
      </c>
      <c r="M484" s="121">
        <f>M189*Formulas!$C7</f>
        <v>443.7</v>
      </c>
      <c r="N484" s="121">
        <f>N189*Formulas!$C7</f>
        <v>325.38</v>
      </c>
      <c r="O484" s="121">
        <f>O189*Formulas!$C7</f>
        <v>345.1</v>
      </c>
      <c r="P484" s="121">
        <f>P189*Formulas!$C7</f>
        <v>226.78</v>
      </c>
      <c r="Q484" s="121">
        <f>Q189*Formulas!$C7</f>
        <v>320.45</v>
      </c>
      <c r="R484" s="121">
        <f>R189*Formulas!$C7</f>
        <v>231.71</v>
      </c>
      <c r="S484" s="121">
        <f>S189*Formulas!$C7</f>
        <v>290.87</v>
      </c>
      <c r="T484" s="121">
        <f>T189*Formulas!$C7</f>
        <v>379.61</v>
      </c>
      <c r="U484" s="121">
        <f>U189*Formulas!$C7</f>
        <v>354.96</v>
      </c>
      <c r="V484" s="121">
        <f>V189*Formulas!$C7</f>
        <v>305.66</v>
      </c>
      <c r="W484" s="121">
        <f>W189*Formulas!$C7</f>
        <v>266.22</v>
      </c>
      <c r="X484" s="121">
        <f>X189*Formulas!$C7</f>
        <v>330.31</v>
      </c>
      <c r="Y484" s="121">
        <f>Y189*Formulas!$C7</f>
        <v>325.38</v>
      </c>
      <c r="Z484" s="121">
        <f>Z189*Formulas!$C7</f>
        <v>419.05</v>
      </c>
      <c r="AA484" s="121">
        <f>AA189*Formulas!$C7</f>
        <v>359.89</v>
      </c>
      <c r="AB484" s="121">
        <f>AB189*Formulas!$C7</f>
        <v>285.94</v>
      </c>
      <c r="AC484" s="121">
        <f>AC189*Formulas!$C7</f>
        <v>414.12</v>
      </c>
      <c r="AD484" s="97">
        <f t="shared" si="194"/>
        <v>8987.39</v>
      </c>
    </row>
    <row r="485">
      <c r="A485" s="33" t="s">
        <v>369</v>
      </c>
      <c r="B485" s="121">
        <f>B484*Formulas!$C37</f>
        <v>22.55475</v>
      </c>
      <c r="C485" s="121">
        <f>C484*Formulas!$C37</f>
        <v>24.4035</v>
      </c>
      <c r="D485" s="121">
        <f>D484*Formulas!$C37</f>
        <v>20.706</v>
      </c>
      <c r="E485" s="121">
        <f>E484*Formulas!$C37</f>
        <v>29.21025</v>
      </c>
      <c r="F485" s="121">
        <f>F484*Formulas!$C37</f>
        <v>26.622</v>
      </c>
      <c r="G485" s="121">
        <f>G484*Formulas!$C37</f>
        <v>22.55475</v>
      </c>
      <c r="H485" s="121">
        <f>H484*Formulas!$C37</f>
        <v>20.706</v>
      </c>
      <c r="I485" s="121">
        <f>I484*Formulas!$C37</f>
        <v>18.4875</v>
      </c>
      <c r="J485" s="121">
        <f>J484*Formulas!$C37</f>
        <v>19.9665</v>
      </c>
      <c r="K485" s="121">
        <f>K484*Formulas!$C37</f>
        <v>22.55475</v>
      </c>
      <c r="L485" s="121">
        <f>L484*Formulas!$C37</f>
        <v>24.4035</v>
      </c>
      <c r="M485" s="121">
        <f>M484*Formulas!$C37</f>
        <v>33.2775</v>
      </c>
      <c r="N485" s="121">
        <f>N484*Formulas!$C37</f>
        <v>24.4035</v>
      </c>
      <c r="O485" s="121">
        <f>O484*Formulas!$C37</f>
        <v>25.8825</v>
      </c>
      <c r="P485" s="121">
        <f>P484*Formulas!$C37</f>
        <v>17.0085</v>
      </c>
      <c r="Q485" s="121">
        <f>Q484*Formulas!$C37</f>
        <v>24.03375</v>
      </c>
      <c r="R485" s="121">
        <f>R484*Formulas!$C37</f>
        <v>17.37825</v>
      </c>
      <c r="S485" s="121">
        <f>S484*Formulas!$C37</f>
        <v>21.81525</v>
      </c>
      <c r="T485" s="121">
        <f>T484*Formulas!$C37</f>
        <v>28.47075</v>
      </c>
      <c r="U485" s="121">
        <f>U484*Formulas!$C37</f>
        <v>26.622</v>
      </c>
      <c r="V485" s="121">
        <f>V484*Formulas!$C37</f>
        <v>22.9245</v>
      </c>
      <c r="W485" s="121">
        <f>W484*Formulas!$C37</f>
        <v>19.9665</v>
      </c>
      <c r="X485" s="121">
        <f>X484*Formulas!$C37</f>
        <v>24.77325</v>
      </c>
      <c r="Y485" s="121">
        <f>Y484*Formulas!$C37</f>
        <v>24.4035</v>
      </c>
      <c r="Z485" s="121">
        <f>Z484*Formulas!$C37</f>
        <v>31.42875</v>
      </c>
      <c r="AA485" s="121">
        <f>AA484*Formulas!$C37</f>
        <v>26.99175</v>
      </c>
      <c r="AB485" s="121">
        <f>AB484*Formulas!$C37</f>
        <v>21.4455</v>
      </c>
      <c r="AC485" s="121">
        <f>AC484*Formulas!$C37</f>
        <v>31.059</v>
      </c>
      <c r="AD485" s="97">
        <f t="shared" si="194"/>
        <v>674.05425</v>
      </c>
    </row>
    <row r="486">
      <c r="A486" s="33" t="s">
        <v>370</v>
      </c>
      <c r="B486" s="121">
        <f>B484*Formulas!$C36</f>
        <v>10.22482</v>
      </c>
      <c r="C486" s="121">
        <f>C484*Formulas!$C36</f>
        <v>11.06292</v>
      </c>
      <c r="D486" s="121">
        <f>D484*Formulas!$C36</f>
        <v>9.38672</v>
      </c>
      <c r="E486" s="121">
        <f>E484*Formulas!$C36</f>
        <v>13.24198</v>
      </c>
      <c r="F486" s="121">
        <f>F484*Formulas!$C36</f>
        <v>12.06864</v>
      </c>
      <c r="G486" s="121">
        <f>G484*Formulas!$C36</f>
        <v>10.22482</v>
      </c>
      <c r="H486" s="121">
        <f>H484*Formulas!$C36</f>
        <v>9.38672</v>
      </c>
      <c r="I486" s="121">
        <f>I484*Formulas!$C36</f>
        <v>8.381</v>
      </c>
      <c r="J486" s="121">
        <f>J484*Formulas!$C36</f>
        <v>9.05148</v>
      </c>
      <c r="K486" s="121">
        <f>K484*Formulas!$C36</f>
        <v>10.22482</v>
      </c>
      <c r="L486" s="121">
        <f>L484*Formulas!$C36</f>
        <v>11.06292</v>
      </c>
      <c r="M486" s="121">
        <f>M484*Formulas!$C36</f>
        <v>15.0858</v>
      </c>
      <c r="N486" s="121">
        <f>N484*Formulas!$C36</f>
        <v>11.06292</v>
      </c>
      <c r="O486" s="121">
        <f>O484*Formulas!$C36</f>
        <v>11.7334</v>
      </c>
      <c r="P486" s="121">
        <f>P484*Formulas!$C36</f>
        <v>7.71052</v>
      </c>
      <c r="Q486" s="121">
        <f>Q484*Formulas!$C36</f>
        <v>10.8953</v>
      </c>
      <c r="R486" s="121">
        <f>R484*Formulas!$C36</f>
        <v>7.87814</v>
      </c>
      <c r="S486" s="121">
        <f>S484*Formulas!$C36</f>
        <v>9.88958</v>
      </c>
      <c r="T486" s="121">
        <f>T484*Formulas!$C36</f>
        <v>12.90674</v>
      </c>
      <c r="U486" s="121">
        <f>U484*Formulas!$C36</f>
        <v>12.06864</v>
      </c>
      <c r="V486" s="121">
        <f>V484*Formulas!$C36</f>
        <v>10.39244</v>
      </c>
      <c r="W486" s="121">
        <f>W484*Formulas!$C36</f>
        <v>9.05148</v>
      </c>
      <c r="X486" s="121">
        <f>X484*Formulas!$C36</f>
        <v>11.23054</v>
      </c>
      <c r="Y486" s="121">
        <f>Y484*Formulas!$C36</f>
        <v>11.06292</v>
      </c>
      <c r="Z486" s="121">
        <f>Z484*Formulas!$C36</f>
        <v>14.2477</v>
      </c>
      <c r="AA486" s="121">
        <f>AA484*Formulas!$C36</f>
        <v>12.23626</v>
      </c>
      <c r="AB486" s="121">
        <f>AB484*Formulas!$C36</f>
        <v>9.72196</v>
      </c>
      <c r="AC486" s="121">
        <f>AC484*Formulas!$C36</f>
        <v>14.08008</v>
      </c>
      <c r="AD486" s="97">
        <f t="shared" si="194"/>
        <v>305.57126</v>
      </c>
    </row>
    <row r="487">
      <c r="A487" s="53" t="s">
        <v>371</v>
      </c>
      <c r="B487" s="121">
        <f>B191*Formulas!$C9</f>
        <v>138.03</v>
      </c>
      <c r="C487" s="121">
        <f>C191*Formulas!$C9</f>
        <v>166.92</v>
      </c>
      <c r="D487" s="121">
        <f>D191*Formulas!$C9</f>
        <v>127.33</v>
      </c>
      <c r="E487" s="121">
        <f>E191*Formulas!$C9</f>
        <v>165.85</v>
      </c>
      <c r="F487" s="121">
        <f>F191*Formulas!$C9</f>
        <v>149.8</v>
      </c>
      <c r="G487" s="121">
        <f>G191*Formulas!$C9</f>
        <v>123.05</v>
      </c>
      <c r="H487" s="121">
        <f>H191*Formulas!$C9</f>
        <v>141.24</v>
      </c>
      <c r="I487" s="121">
        <f>I191*Formulas!$C9</f>
        <v>145.52</v>
      </c>
      <c r="J487" s="121">
        <f>J191*Formulas!$C9</f>
        <v>151.94</v>
      </c>
      <c r="K487" s="121">
        <f>K191*Formulas!$C9</f>
        <v>174.41</v>
      </c>
      <c r="L487" s="121">
        <f>L191*Formulas!$C9</f>
        <v>203.3</v>
      </c>
      <c r="M487" s="121">
        <f>M191*Formulas!$C9</f>
        <v>258.94</v>
      </c>
      <c r="N487" s="121">
        <f>N191*Formulas!$C9</f>
        <v>215.07</v>
      </c>
      <c r="O487" s="121">
        <f>O191*Formulas!$C9</f>
        <v>230.05</v>
      </c>
      <c r="P487" s="121">
        <f>P191*Formulas!$C9</f>
        <v>173.34</v>
      </c>
      <c r="Q487" s="121">
        <f>Q191*Formulas!$C9</f>
        <v>161.57</v>
      </c>
      <c r="R487" s="121">
        <f>R191*Formulas!$C9</f>
        <v>159.43</v>
      </c>
      <c r="S487" s="121">
        <f>S191*Formulas!$C9</f>
        <v>100.58</v>
      </c>
      <c r="T487" s="121">
        <f>T191*Formulas!$C9</f>
        <v>128.4</v>
      </c>
      <c r="U487" s="121">
        <f>U191*Formulas!$C9</f>
        <v>110.21</v>
      </c>
      <c r="V487" s="121">
        <f>V191*Formulas!$C9</f>
        <v>103.79</v>
      </c>
      <c r="W487" s="121">
        <f>W191*Formulas!$C9</f>
        <v>103.79</v>
      </c>
      <c r="X487" s="121">
        <f>X191*Formulas!$C9</f>
        <v>148.73</v>
      </c>
      <c r="Y487" s="121">
        <f>Y191*Formulas!$C9</f>
        <v>143.38</v>
      </c>
      <c r="Z487" s="121">
        <f>Z191*Formulas!$C9</f>
        <v>133.75</v>
      </c>
      <c r="AA487" s="121">
        <f>AA191*Formulas!$C9</f>
        <v>125.19</v>
      </c>
      <c r="AB487" s="121">
        <f>AB191*Formulas!$C9</f>
        <v>130.54</v>
      </c>
      <c r="AC487" s="121">
        <f>AC191*Formulas!$C9</f>
        <v>190.46</v>
      </c>
      <c r="AD487" s="97">
        <f t="shared" si="194"/>
        <v>4304.61</v>
      </c>
    </row>
    <row r="488">
      <c r="A488" s="33" t="s">
        <v>372</v>
      </c>
      <c r="B488" s="121">
        <f>B487*Formulas!$C37</f>
        <v>10.35225</v>
      </c>
      <c r="C488" s="121">
        <f>C487*Formulas!$C37</f>
        <v>12.519</v>
      </c>
      <c r="D488" s="121">
        <f>D487*Formulas!$C37</f>
        <v>9.54975</v>
      </c>
      <c r="E488" s="121">
        <f>E487*Formulas!$C37</f>
        <v>12.43875</v>
      </c>
      <c r="F488" s="121">
        <f>F487*Formulas!$C37</f>
        <v>11.235</v>
      </c>
      <c r="G488" s="121">
        <f>G487*Formulas!$C37</f>
        <v>9.22875</v>
      </c>
      <c r="H488" s="121">
        <f>H487*Formulas!$C37</f>
        <v>10.593</v>
      </c>
      <c r="I488" s="121">
        <f>I487*Formulas!$C37</f>
        <v>10.914</v>
      </c>
      <c r="J488" s="121">
        <f>J487*Formulas!$C37</f>
        <v>11.3955</v>
      </c>
      <c r="K488" s="121">
        <f>K487*Formulas!$C37</f>
        <v>13.08075</v>
      </c>
      <c r="L488" s="121">
        <f>L487*Formulas!$C37</f>
        <v>15.2475</v>
      </c>
      <c r="M488" s="121">
        <f>M487*Formulas!$C37</f>
        <v>19.4205</v>
      </c>
      <c r="N488" s="121">
        <f>N487*Formulas!$C37</f>
        <v>16.13025</v>
      </c>
      <c r="O488" s="121">
        <f>O487*Formulas!$C37</f>
        <v>17.25375</v>
      </c>
      <c r="P488" s="121">
        <f>P487*Formulas!$C37</f>
        <v>13.0005</v>
      </c>
      <c r="Q488" s="121">
        <f>Q487*Formulas!$C37</f>
        <v>12.11775</v>
      </c>
      <c r="R488" s="121">
        <f>R487*Formulas!$C37</f>
        <v>11.95725</v>
      </c>
      <c r="S488" s="121">
        <f>S487*Formulas!$C37</f>
        <v>7.5435</v>
      </c>
      <c r="T488" s="121">
        <f>T487*Formulas!$C37</f>
        <v>9.63</v>
      </c>
      <c r="U488" s="121">
        <f>U487*Formulas!$C37</f>
        <v>8.26575</v>
      </c>
      <c r="V488" s="121">
        <f>V487*Formulas!$C37</f>
        <v>7.78425</v>
      </c>
      <c r="W488" s="121">
        <f>W487*Formulas!$C37</f>
        <v>7.78425</v>
      </c>
      <c r="X488" s="121">
        <f>X487*Formulas!$C37</f>
        <v>11.15475</v>
      </c>
      <c r="Y488" s="121">
        <f>Y487*Formulas!$C37</f>
        <v>10.7535</v>
      </c>
      <c r="Z488" s="121">
        <f>Z487*Formulas!$C37</f>
        <v>10.03125</v>
      </c>
      <c r="AA488" s="121">
        <f>AA487*Formulas!$C37</f>
        <v>9.38925</v>
      </c>
      <c r="AB488" s="121">
        <f>AB487*Formulas!$C37</f>
        <v>9.7905</v>
      </c>
      <c r="AC488" s="121">
        <f>AC487*Formulas!$C37</f>
        <v>14.2845</v>
      </c>
      <c r="AD488" s="97">
        <f t="shared" si="194"/>
        <v>322.84575</v>
      </c>
    </row>
    <row r="489">
      <c r="A489" s="33" t="s">
        <v>373</v>
      </c>
      <c r="B489" s="121">
        <f>B487*Formulas!$C36</f>
        <v>4.69302</v>
      </c>
      <c r="C489" s="121">
        <f>C487*Formulas!$C36</f>
        <v>5.67528</v>
      </c>
      <c r="D489" s="121">
        <f>D487*Formulas!$C36</f>
        <v>4.32922</v>
      </c>
      <c r="E489" s="121">
        <f>E487*Formulas!$C36</f>
        <v>5.6389</v>
      </c>
      <c r="F489" s="121">
        <f>F487*Formulas!$C36</f>
        <v>5.0932</v>
      </c>
      <c r="G489" s="121">
        <f>G487*Formulas!$C36</f>
        <v>4.1837</v>
      </c>
      <c r="H489" s="121">
        <f>H487*Formulas!$C36</f>
        <v>4.80216</v>
      </c>
      <c r="I489" s="121">
        <f>I487*Formulas!$C36</f>
        <v>4.94768</v>
      </c>
      <c r="J489" s="121">
        <f>J487*Formulas!$C36</f>
        <v>5.16596</v>
      </c>
      <c r="K489" s="121">
        <f>K487*Formulas!$C36</f>
        <v>5.92994</v>
      </c>
      <c r="L489" s="121">
        <f>L487*Formulas!$C36</f>
        <v>6.9122</v>
      </c>
      <c r="M489" s="121">
        <f>M487*Formulas!$C36</f>
        <v>8.80396</v>
      </c>
      <c r="N489" s="121">
        <f>N487*Formulas!$C36</f>
        <v>7.31238</v>
      </c>
      <c r="O489" s="121">
        <f>O487*Formulas!$C36</f>
        <v>7.8217</v>
      </c>
      <c r="P489" s="121">
        <f>P487*Formulas!$C36</f>
        <v>5.89356</v>
      </c>
      <c r="Q489" s="121">
        <f>Q487*Formulas!$C36</f>
        <v>5.49338</v>
      </c>
      <c r="R489" s="121">
        <f>R487*Formulas!$C36</f>
        <v>5.42062</v>
      </c>
      <c r="S489" s="121">
        <f>S487*Formulas!$C36</f>
        <v>3.41972</v>
      </c>
      <c r="T489" s="121">
        <f>T487*Formulas!$C36</f>
        <v>4.3656</v>
      </c>
      <c r="U489" s="121">
        <f>U487*Formulas!$C36</f>
        <v>3.74714</v>
      </c>
      <c r="V489" s="121">
        <f>V487*Formulas!$C36</f>
        <v>3.52886</v>
      </c>
      <c r="W489" s="121">
        <f>W487*Formulas!$C36</f>
        <v>3.52886</v>
      </c>
      <c r="X489" s="121">
        <f>X487*Formulas!$C36</f>
        <v>5.05682</v>
      </c>
      <c r="Y489" s="121">
        <f>Y487*Formulas!$C36</f>
        <v>4.87492</v>
      </c>
      <c r="Z489" s="121">
        <f>Z487*Formulas!$C36</f>
        <v>4.5475</v>
      </c>
      <c r="AA489" s="121">
        <f>AA487*Formulas!$C36</f>
        <v>4.25646</v>
      </c>
      <c r="AB489" s="121">
        <f>AB487*Formulas!$C36</f>
        <v>4.43836</v>
      </c>
      <c r="AC489" s="121">
        <f>AC487*Formulas!$C36</f>
        <v>6.47564</v>
      </c>
      <c r="AD489" s="97">
        <f t="shared" si="194"/>
        <v>146.35674</v>
      </c>
    </row>
    <row r="490">
      <c r="A490" s="53" t="s">
        <v>374</v>
      </c>
      <c r="B490" s="121">
        <f>B192*Formulas!$C10</f>
        <v>261.44</v>
      </c>
      <c r="C490" s="121">
        <f>C192*Formulas!$C10</f>
        <v>334.4</v>
      </c>
      <c r="D490" s="121">
        <f>D192*Formulas!$C10</f>
        <v>334.4</v>
      </c>
      <c r="E490" s="121">
        <f>E192*Formulas!$C10</f>
        <v>370.88</v>
      </c>
      <c r="F490" s="121">
        <f>F192*Formulas!$C10</f>
        <v>297.92</v>
      </c>
      <c r="G490" s="121">
        <f>G192*Formulas!$C10</f>
        <v>249.28</v>
      </c>
      <c r="H490" s="121">
        <f>H192*Formulas!$C10</f>
        <v>206.72</v>
      </c>
      <c r="I490" s="121">
        <f>I192*Formulas!$C10</f>
        <v>206.72</v>
      </c>
      <c r="J490" s="121">
        <f>J192*Formulas!$C10</f>
        <v>200.64</v>
      </c>
      <c r="K490" s="121">
        <f>K192*Formulas!$C10</f>
        <v>291.84</v>
      </c>
      <c r="L490" s="121">
        <f>L192*Formulas!$C10</f>
        <v>328.32</v>
      </c>
      <c r="M490" s="121">
        <f>M192*Formulas!$C10</f>
        <v>407.36</v>
      </c>
      <c r="N490" s="121">
        <f>N192*Formulas!$C10</f>
        <v>370.88</v>
      </c>
      <c r="O490" s="121">
        <f>O192*Formulas!$C10</f>
        <v>261.44</v>
      </c>
      <c r="P490" s="121">
        <f>P192*Formulas!$C10</f>
        <v>249.28</v>
      </c>
      <c r="Q490" s="121">
        <f>Q192*Formulas!$C10</f>
        <v>273.6</v>
      </c>
      <c r="R490" s="121">
        <f>R192*Formulas!$C10</f>
        <v>261.44</v>
      </c>
      <c r="S490" s="121">
        <f>S192*Formulas!$C10</f>
        <v>352.64</v>
      </c>
      <c r="T490" s="121">
        <f>T192*Formulas!$C10</f>
        <v>364.8</v>
      </c>
      <c r="U490" s="121">
        <f>U192*Formulas!$C10</f>
        <v>370.88</v>
      </c>
      <c r="V490" s="121">
        <f>V192*Formulas!$C10</f>
        <v>279.68</v>
      </c>
      <c r="W490" s="121">
        <f>W192*Formulas!$C10</f>
        <v>322.24</v>
      </c>
      <c r="X490" s="121">
        <f>X192*Formulas!$C10</f>
        <v>869.44</v>
      </c>
      <c r="Y490" s="121">
        <f>Y192*Formulas!$C10</f>
        <v>413.44</v>
      </c>
      <c r="Z490" s="121">
        <f>Z192*Formulas!$C10</f>
        <v>425.6</v>
      </c>
      <c r="AA490" s="121">
        <f>AA192*Formulas!$C10</f>
        <v>407.36</v>
      </c>
      <c r="AB490" s="121">
        <f>AB192*Formulas!$C10</f>
        <v>279.68</v>
      </c>
      <c r="AC490" s="121">
        <f>AC192*Formulas!$C10</f>
        <v>2024.64</v>
      </c>
      <c r="AD490" s="97">
        <f t="shared" si="194"/>
        <v>11016.96</v>
      </c>
    </row>
    <row r="491">
      <c r="A491" s="33" t="s">
        <v>375</v>
      </c>
      <c r="B491" s="121">
        <f>B490*Formulas!$C37</f>
        <v>19.608</v>
      </c>
      <c r="C491" s="121">
        <f>C490*Formulas!$C37</f>
        <v>25.08</v>
      </c>
      <c r="D491" s="121">
        <f>D490*Formulas!$C37</f>
        <v>25.08</v>
      </c>
      <c r="E491" s="121">
        <f>E490*Formulas!$C37</f>
        <v>27.816</v>
      </c>
      <c r="F491" s="121">
        <f>F490*Formulas!$C37</f>
        <v>22.344</v>
      </c>
      <c r="G491" s="121">
        <f>G490*Formulas!$C37</f>
        <v>18.696</v>
      </c>
      <c r="H491" s="121">
        <f>H490*Formulas!$C37</f>
        <v>15.504</v>
      </c>
      <c r="I491" s="121">
        <f>I490*Formulas!$C37</f>
        <v>15.504</v>
      </c>
      <c r="J491" s="121">
        <f>J490*Formulas!$C37</f>
        <v>15.048</v>
      </c>
      <c r="K491" s="121">
        <f>K490*Formulas!$C37</f>
        <v>21.888</v>
      </c>
      <c r="L491" s="121">
        <f>L490*Formulas!$C37</f>
        <v>24.624</v>
      </c>
      <c r="M491" s="121">
        <f>M490*Formulas!$C37</f>
        <v>30.552</v>
      </c>
      <c r="N491" s="121">
        <f>N490*Formulas!$C37</f>
        <v>27.816</v>
      </c>
      <c r="O491" s="121">
        <f>O490*Formulas!$C37</f>
        <v>19.608</v>
      </c>
      <c r="P491" s="121">
        <f>P490*Formulas!$C37</f>
        <v>18.696</v>
      </c>
      <c r="Q491" s="121">
        <f>Q490*Formulas!$C37</f>
        <v>20.52</v>
      </c>
      <c r="R491" s="121">
        <f>R490*Formulas!$C37</f>
        <v>19.608</v>
      </c>
      <c r="S491" s="121">
        <f>S490*Formulas!$C37</f>
        <v>26.448</v>
      </c>
      <c r="T491" s="121">
        <f>T490*Formulas!$C37</f>
        <v>27.36</v>
      </c>
      <c r="U491" s="121">
        <f>U490*Formulas!$C37</f>
        <v>27.816</v>
      </c>
      <c r="V491" s="121">
        <f>V490*Formulas!$C37</f>
        <v>20.976</v>
      </c>
      <c r="W491" s="121">
        <f>W490*Formulas!$C37</f>
        <v>24.168</v>
      </c>
      <c r="X491" s="121">
        <f>X490*Formulas!$C37</f>
        <v>65.208</v>
      </c>
      <c r="Y491" s="121">
        <f>Y490*Formulas!$C37</f>
        <v>31.008</v>
      </c>
      <c r="Z491" s="121">
        <f>Z490*Formulas!$C37</f>
        <v>31.92</v>
      </c>
      <c r="AA491" s="121">
        <f>AA490*Formulas!$C37</f>
        <v>30.552</v>
      </c>
      <c r="AB491" s="121">
        <f>AB490*Formulas!$C37</f>
        <v>20.976</v>
      </c>
      <c r="AC491" s="121">
        <f>AC490*Formulas!$C37</f>
        <v>151.848</v>
      </c>
      <c r="AD491" s="97">
        <f t="shared" si="194"/>
        <v>826.272</v>
      </c>
    </row>
    <row r="492">
      <c r="A492" s="33" t="s">
        <v>376</v>
      </c>
      <c r="B492" s="121">
        <f>B490*Formulas!$C36</f>
        <v>8.88896</v>
      </c>
      <c r="C492" s="121">
        <f>C490*Formulas!$C36</f>
        <v>11.3696</v>
      </c>
      <c r="D492" s="121">
        <f>D490*Formulas!$C36</f>
        <v>11.3696</v>
      </c>
      <c r="E492" s="121">
        <f>E490*Formulas!$C36</f>
        <v>12.60992</v>
      </c>
      <c r="F492" s="121">
        <f>F490*Formulas!$C36</f>
        <v>10.12928</v>
      </c>
      <c r="G492" s="121">
        <f>G490*Formulas!$C36</f>
        <v>8.47552</v>
      </c>
      <c r="H492" s="121">
        <f>H490*Formulas!$C36</f>
        <v>7.02848</v>
      </c>
      <c r="I492" s="121">
        <f>I490*Formulas!$C36</f>
        <v>7.02848</v>
      </c>
      <c r="J492" s="121">
        <f>J490*Formulas!$C36</f>
        <v>6.82176</v>
      </c>
      <c r="K492" s="121">
        <f>K490*Formulas!$C36</f>
        <v>9.92256</v>
      </c>
      <c r="L492" s="121">
        <f>L490*Formulas!$C36</f>
        <v>11.16288</v>
      </c>
      <c r="M492" s="121">
        <f>M490*Formulas!$C36</f>
        <v>13.85024</v>
      </c>
      <c r="N492" s="121">
        <f>N490*Formulas!$C36</f>
        <v>12.60992</v>
      </c>
      <c r="O492" s="121">
        <f>O490*Formulas!$C36</f>
        <v>8.88896</v>
      </c>
      <c r="P492" s="121">
        <f>P490*Formulas!$C36</f>
        <v>8.47552</v>
      </c>
      <c r="Q492" s="121">
        <f>Q490*Formulas!$C36</f>
        <v>9.3024</v>
      </c>
      <c r="R492" s="121">
        <f>R490*Formulas!$C36</f>
        <v>8.88896</v>
      </c>
      <c r="S492" s="121">
        <f>S490*Formulas!$C36</f>
        <v>11.98976</v>
      </c>
      <c r="T492" s="121">
        <f>T490*Formulas!$C36</f>
        <v>12.4032</v>
      </c>
      <c r="U492" s="121">
        <f>U490*Formulas!$C36</f>
        <v>12.60992</v>
      </c>
      <c r="V492" s="121">
        <f>V490*Formulas!$C36</f>
        <v>9.50912</v>
      </c>
      <c r="W492" s="121">
        <f>W490*Formulas!$C36</f>
        <v>10.95616</v>
      </c>
      <c r="X492" s="121">
        <f>X490*Formulas!$C36</f>
        <v>29.56096</v>
      </c>
      <c r="Y492" s="121">
        <f>Y490*Formulas!$C36</f>
        <v>14.05696</v>
      </c>
      <c r="Z492" s="121">
        <f>Z490*Formulas!$C36</f>
        <v>14.4704</v>
      </c>
      <c r="AA492" s="121">
        <f>AA490*Formulas!$C36</f>
        <v>13.85024</v>
      </c>
      <c r="AB492" s="121">
        <f>AB490*Formulas!$C36</f>
        <v>9.50912</v>
      </c>
      <c r="AC492" s="121">
        <f>AC490*Formulas!$C36</f>
        <v>68.83776</v>
      </c>
      <c r="AD492" s="97">
        <f t="shared" si="194"/>
        <v>374.57664</v>
      </c>
    </row>
    <row r="493">
      <c r="A493" s="53" t="s">
        <v>377</v>
      </c>
      <c r="B493" s="121">
        <f>B193*Formulas!$C6</f>
        <v>209.58</v>
      </c>
      <c r="C493" s="121">
        <f>C193*Formulas!$C6</f>
        <v>209.58</v>
      </c>
      <c r="D493" s="121">
        <f>D193*Formulas!$C6</f>
        <v>139.72</v>
      </c>
      <c r="E493" s="121">
        <f>E193*Formulas!$C6</f>
        <v>219.56</v>
      </c>
      <c r="F493" s="121">
        <f>F193*Formulas!$C6</f>
        <v>339.32</v>
      </c>
      <c r="G493" s="121">
        <f>G193*Formulas!$C6</f>
        <v>179.64</v>
      </c>
      <c r="H493" s="121">
        <f>H193*Formulas!$C6</f>
        <v>209.58</v>
      </c>
      <c r="I493" s="121">
        <f>I193*Formulas!$C6</f>
        <v>109.78</v>
      </c>
      <c r="J493" s="121">
        <f>J193*Formulas!$C6</f>
        <v>99.8</v>
      </c>
      <c r="K493" s="121">
        <f>K193*Formulas!$C6</f>
        <v>149.7</v>
      </c>
      <c r="L493" s="121">
        <f>L193*Formulas!$C6</f>
        <v>139.72</v>
      </c>
      <c r="M493" s="121">
        <f>M193*Formulas!$C6</f>
        <v>319.36</v>
      </c>
      <c r="N493" s="121">
        <f>N193*Formulas!$C6</f>
        <v>199.6</v>
      </c>
      <c r="O493" s="121">
        <f>O193*Formulas!$C6</f>
        <v>239.52</v>
      </c>
      <c r="P493" s="121">
        <f>P193*Formulas!$C6</f>
        <v>279.44</v>
      </c>
      <c r="Q493" s="121">
        <f>Q193*Formulas!$C6</f>
        <v>199.6</v>
      </c>
      <c r="R493" s="121">
        <f>R193*Formulas!$C6</f>
        <v>39.92</v>
      </c>
      <c r="S493" s="121">
        <f>S193*Formulas!$C6</f>
        <v>169.66</v>
      </c>
      <c r="T493" s="121">
        <f>T193*Formulas!$C6</f>
        <v>199.6</v>
      </c>
      <c r="U493" s="121">
        <f>U193*Formulas!$C6</f>
        <v>159.68</v>
      </c>
      <c r="V493" s="121">
        <f>V193*Formulas!$C6</f>
        <v>149.7</v>
      </c>
      <c r="W493" s="121">
        <f>W193*Formulas!$C6</f>
        <v>89.82</v>
      </c>
      <c r="X493" s="121">
        <f>X193*Formulas!$C6</f>
        <v>249.5</v>
      </c>
      <c r="Y493" s="121">
        <f>Y193*Formulas!$C6</f>
        <v>199.6</v>
      </c>
      <c r="Z493" s="121">
        <f>Z193*Formulas!$C6</f>
        <v>159.68</v>
      </c>
      <c r="AA493" s="121">
        <f>AA193*Formulas!$C6</f>
        <v>149.7</v>
      </c>
      <c r="AB493" s="121">
        <f>AB193*Formulas!$C6</f>
        <v>119.76</v>
      </c>
      <c r="AC493" s="121">
        <f>AC193*Formulas!$C6</f>
        <v>279.44</v>
      </c>
      <c r="AD493" s="97">
        <f t="shared" si="194"/>
        <v>5209.56</v>
      </c>
    </row>
    <row r="494">
      <c r="A494" s="33" t="s">
        <v>378</v>
      </c>
      <c r="B494" s="121">
        <f>B493*Formulas!$C40</f>
        <v>52.395</v>
      </c>
      <c r="C494" s="121">
        <f>C493*Formulas!$C40</f>
        <v>52.395</v>
      </c>
      <c r="D494" s="121">
        <f>D493*Formulas!$C40</f>
        <v>34.93</v>
      </c>
      <c r="E494" s="121">
        <f>E493*Formulas!$C40</f>
        <v>54.89</v>
      </c>
      <c r="F494" s="121">
        <f>F493*Formulas!$C40</f>
        <v>84.83</v>
      </c>
      <c r="G494" s="121">
        <f>G493*Formulas!$C40</f>
        <v>44.91</v>
      </c>
      <c r="H494" s="121">
        <f>H493*Formulas!$C40</f>
        <v>52.395</v>
      </c>
      <c r="I494" s="121">
        <f>I493*Formulas!$C40</f>
        <v>27.445</v>
      </c>
      <c r="J494" s="121">
        <f>J493*Formulas!$C40</f>
        <v>24.95</v>
      </c>
      <c r="K494" s="121">
        <f>K493*Formulas!$C40</f>
        <v>37.425</v>
      </c>
      <c r="L494" s="121">
        <f>L493*Formulas!$C40</f>
        <v>34.93</v>
      </c>
      <c r="M494" s="121">
        <f>M493*Formulas!$C40</f>
        <v>79.84</v>
      </c>
      <c r="N494" s="121">
        <f>N493*Formulas!$C40</f>
        <v>49.9</v>
      </c>
      <c r="O494" s="121">
        <f>O493*Formulas!$C40</f>
        <v>59.88</v>
      </c>
      <c r="P494" s="121">
        <f>P493*Formulas!$C40</f>
        <v>69.86</v>
      </c>
      <c r="Q494" s="121">
        <f>Q493*Formulas!$C40</f>
        <v>49.9</v>
      </c>
      <c r="R494" s="121">
        <f>R493*Formulas!$C40</f>
        <v>9.98</v>
      </c>
      <c r="S494" s="121">
        <f>S493*Formulas!$C40</f>
        <v>42.415</v>
      </c>
      <c r="T494" s="121">
        <f>T493*Formulas!$C40</f>
        <v>49.9</v>
      </c>
      <c r="U494" s="121">
        <f>U493*Formulas!$C40</f>
        <v>39.92</v>
      </c>
      <c r="V494" s="121">
        <f>V493*Formulas!$C40</f>
        <v>37.425</v>
      </c>
      <c r="W494" s="121">
        <f>W493*Formulas!$C40</f>
        <v>22.455</v>
      </c>
      <c r="X494" s="121">
        <f>X493*Formulas!$C40</f>
        <v>62.375</v>
      </c>
      <c r="Y494" s="121">
        <f>Y493*Formulas!$C40</f>
        <v>49.9</v>
      </c>
      <c r="Z494" s="121">
        <f>Z493*Formulas!$C40</f>
        <v>39.92</v>
      </c>
      <c r="AA494" s="121">
        <f>AA493*Formulas!$C40</f>
        <v>37.425</v>
      </c>
      <c r="AB494" s="121">
        <f>AB493*Formulas!$C40</f>
        <v>29.94</v>
      </c>
      <c r="AC494" s="121">
        <f>AC493*Formulas!$C40</f>
        <v>69.86</v>
      </c>
      <c r="AD494" s="97">
        <f t="shared" si="194"/>
        <v>1302.39</v>
      </c>
    </row>
    <row r="495">
      <c r="A495" s="33" t="s">
        <v>379</v>
      </c>
      <c r="B495" s="121">
        <f>B493*Formulas!$C41</f>
        <v>5.2395</v>
      </c>
      <c r="C495" s="121">
        <f>C493*Formulas!$C41</f>
        <v>5.2395</v>
      </c>
      <c r="D495" s="121">
        <f>D493*Formulas!$C41</f>
        <v>3.493</v>
      </c>
      <c r="E495" s="121">
        <f>E493*Formulas!$C41</f>
        <v>5.489</v>
      </c>
      <c r="F495" s="121">
        <f>F493*Formulas!$C41</f>
        <v>8.483</v>
      </c>
      <c r="G495" s="121">
        <f>G493*Formulas!$C41</f>
        <v>4.491</v>
      </c>
      <c r="H495" s="121">
        <f>H493*Formulas!$C41</f>
        <v>5.2395</v>
      </c>
      <c r="I495" s="121">
        <f>I493*Formulas!$C41</f>
        <v>2.7445</v>
      </c>
      <c r="J495" s="121">
        <f>J493*Formulas!$C41</f>
        <v>2.495</v>
      </c>
      <c r="K495" s="121">
        <f>K493*Formulas!$C41</f>
        <v>3.7425</v>
      </c>
      <c r="L495" s="121">
        <f>L493*Formulas!$C41</f>
        <v>3.493</v>
      </c>
      <c r="M495" s="121">
        <f>M493*Formulas!$C41</f>
        <v>7.984</v>
      </c>
      <c r="N495" s="121">
        <f>N493*Formulas!$C41</f>
        <v>4.99</v>
      </c>
      <c r="O495" s="121">
        <f>O493*Formulas!$C41</f>
        <v>5.988</v>
      </c>
      <c r="P495" s="121">
        <f>P493*Formulas!$C41</f>
        <v>6.986</v>
      </c>
      <c r="Q495" s="121">
        <f>Q493*Formulas!$C41</f>
        <v>4.99</v>
      </c>
      <c r="R495" s="121">
        <f>R493*Formulas!$C41</f>
        <v>0.998</v>
      </c>
      <c r="S495" s="121">
        <f>S493*Formulas!$C41</f>
        <v>4.2415</v>
      </c>
      <c r="T495" s="121">
        <f>T493*Formulas!$C41</f>
        <v>4.99</v>
      </c>
      <c r="U495" s="121">
        <f>U493*Formulas!$C41</f>
        <v>3.992</v>
      </c>
      <c r="V495" s="121">
        <f>V493*Formulas!$C41</f>
        <v>3.7425</v>
      </c>
      <c r="W495" s="121">
        <f>W493*Formulas!$C41</f>
        <v>2.2455</v>
      </c>
      <c r="X495" s="121">
        <f>X493*Formulas!$C41</f>
        <v>6.2375</v>
      </c>
      <c r="Y495" s="121">
        <f>Y493*Formulas!$C41</f>
        <v>4.99</v>
      </c>
      <c r="Z495" s="121">
        <f>Z493*Formulas!$C41</f>
        <v>3.992</v>
      </c>
      <c r="AA495" s="121">
        <f>AA493*Formulas!$C41</f>
        <v>3.7425</v>
      </c>
      <c r="AB495" s="121">
        <f>AB493*Formulas!$C41</f>
        <v>2.994</v>
      </c>
      <c r="AC495" s="121">
        <f>AC493*Formulas!$C41</f>
        <v>6.986</v>
      </c>
      <c r="AD495" s="97">
        <f t="shared" si="194"/>
        <v>130.239</v>
      </c>
    </row>
    <row r="496">
      <c r="A496" s="33" t="s">
        <v>112</v>
      </c>
      <c r="B496" s="121">
        <f t="shared" ref="B496:AC496" si="195">(B131*0.2059)*0.0349+(B131*0.1138)*0.0499+(B131*0.0277)*0.05+(B131*0.5015)*0.0215+(B131*0.1511)*0.0315</f>
        <v>1328.647728</v>
      </c>
      <c r="C496" s="121">
        <f t="shared" si="195"/>
        <v>1499.68003</v>
      </c>
      <c r="D496" s="121">
        <f t="shared" si="195"/>
        <v>1291.096227</v>
      </c>
      <c r="E496" s="121">
        <f t="shared" si="195"/>
        <v>1548.028542</v>
      </c>
      <c r="F496" s="121">
        <f t="shared" si="195"/>
        <v>1453.207485</v>
      </c>
      <c r="G496" s="121">
        <f t="shared" si="195"/>
        <v>1247.496469</v>
      </c>
      <c r="H496" s="121">
        <f t="shared" si="195"/>
        <v>1298.516676</v>
      </c>
      <c r="I496" s="121">
        <f t="shared" si="195"/>
        <v>1380.553039</v>
      </c>
      <c r="J496" s="121">
        <f t="shared" si="195"/>
        <v>1362.361796</v>
      </c>
      <c r="K496" s="121">
        <f t="shared" si="195"/>
        <v>1552.807981</v>
      </c>
      <c r="L496" s="121">
        <f t="shared" si="195"/>
        <v>1797.888074</v>
      </c>
      <c r="M496" s="121">
        <f t="shared" si="195"/>
        <v>2420.465505</v>
      </c>
      <c r="N496" s="121">
        <f t="shared" si="195"/>
        <v>1924.239784</v>
      </c>
      <c r="O496" s="121">
        <f t="shared" si="195"/>
        <v>2149.635488</v>
      </c>
      <c r="P496" s="121">
        <f t="shared" si="195"/>
        <v>1675.235267</v>
      </c>
      <c r="Q496" s="121">
        <f t="shared" si="195"/>
        <v>1466.122368</v>
      </c>
      <c r="R496" s="121">
        <f t="shared" si="195"/>
        <v>1652.346511</v>
      </c>
      <c r="S496" s="121">
        <f t="shared" si="195"/>
        <v>1699.439612</v>
      </c>
      <c r="T496" s="121">
        <f t="shared" si="195"/>
        <v>1754.373817</v>
      </c>
      <c r="U496" s="121">
        <f t="shared" si="195"/>
        <v>1602.260861</v>
      </c>
      <c r="V496" s="121">
        <f t="shared" si="195"/>
        <v>1242.604716</v>
      </c>
      <c r="W496" s="121">
        <f t="shared" si="195"/>
        <v>1466.616607</v>
      </c>
      <c r="X496" s="121">
        <f t="shared" si="195"/>
        <v>1592.181229</v>
      </c>
      <c r="Y496" s="121">
        <f t="shared" si="195"/>
        <v>1431.112969</v>
      </c>
      <c r="Z496" s="121">
        <f t="shared" si="195"/>
        <v>1898.708827</v>
      </c>
      <c r="AA496" s="121">
        <f t="shared" si="195"/>
        <v>1580.939135</v>
      </c>
      <c r="AB496" s="121">
        <f t="shared" si="195"/>
        <v>1317.103847</v>
      </c>
      <c r="AC496" s="121">
        <f t="shared" si="195"/>
        <v>1654.117612</v>
      </c>
      <c r="AD496" s="97">
        <f t="shared" si="194"/>
        <v>44287.7882</v>
      </c>
    </row>
    <row r="497">
      <c r="A497" s="33" t="s">
        <v>114</v>
      </c>
      <c r="B497" s="121">
        <f t="shared" ref="B497:AC497" si="196">(B125*0.2059)*0.49+(B125*0.1138)*0.49+(B125*0.0277)*0.3+(B125*0.5015)*0.3+(B125*0.1511)*0.3</f>
        <v>58.079623</v>
      </c>
      <c r="C497" s="121">
        <f t="shared" si="196"/>
        <v>63.851511</v>
      </c>
      <c r="D497" s="121">
        <f t="shared" si="196"/>
        <v>56.275908</v>
      </c>
      <c r="E497" s="121">
        <f t="shared" si="196"/>
        <v>67.098198</v>
      </c>
      <c r="F497" s="121">
        <f t="shared" si="196"/>
        <v>64.93374</v>
      </c>
      <c r="G497" s="121">
        <f t="shared" si="196"/>
        <v>57.358137</v>
      </c>
      <c r="H497" s="121">
        <f t="shared" si="196"/>
        <v>53.750707</v>
      </c>
      <c r="I497" s="121">
        <f t="shared" si="196"/>
        <v>55.554422</v>
      </c>
      <c r="J497" s="121">
        <f t="shared" si="196"/>
        <v>52.307735</v>
      </c>
      <c r="K497" s="121">
        <f t="shared" si="196"/>
        <v>62.047796</v>
      </c>
      <c r="L497" s="121">
        <f t="shared" si="196"/>
        <v>70.344885</v>
      </c>
      <c r="M497" s="121">
        <f t="shared" si="196"/>
        <v>91.628722</v>
      </c>
      <c r="N497" s="121">
        <f t="shared" si="196"/>
        <v>69.623399</v>
      </c>
      <c r="O497" s="121">
        <f t="shared" si="196"/>
        <v>76.838259</v>
      </c>
      <c r="P497" s="121">
        <f t="shared" si="196"/>
        <v>64.212254</v>
      </c>
      <c r="Q497" s="121">
        <f t="shared" si="196"/>
        <v>60.244081</v>
      </c>
      <c r="R497" s="121">
        <f t="shared" si="196"/>
        <v>59.883338</v>
      </c>
      <c r="S497" s="121">
        <f t="shared" si="196"/>
        <v>68.54117</v>
      </c>
      <c r="T497" s="121">
        <f t="shared" si="196"/>
        <v>75.75603</v>
      </c>
      <c r="U497" s="121">
        <f t="shared" si="196"/>
        <v>62.769282</v>
      </c>
      <c r="V497" s="121">
        <f t="shared" si="196"/>
        <v>49.421791</v>
      </c>
      <c r="W497" s="121">
        <f t="shared" si="196"/>
        <v>59.161852</v>
      </c>
      <c r="X497" s="121">
        <f t="shared" si="196"/>
        <v>93.071694</v>
      </c>
      <c r="Y497" s="121">
        <f t="shared" si="196"/>
        <v>62.408539</v>
      </c>
      <c r="Z497" s="121">
        <f t="shared" si="196"/>
        <v>80.084946</v>
      </c>
      <c r="AA497" s="121">
        <f t="shared" si="196"/>
        <v>64.93374</v>
      </c>
      <c r="AB497" s="121">
        <f t="shared" si="196"/>
        <v>54.472193</v>
      </c>
      <c r="AC497" s="121">
        <f t="shared" si="196"/>
        <v>158.72692</v>
      </c>
      <c r="AD497" s="97">
        <f t="shared" si="194"/>
        <v>1913.380872</v>
      </c>
    </row>
    <row r="498">
      <c r="A498" s="33" t="s">
        <v>380</v>
      </c>
      <c r="B498" s="281">
        <f>(B477+B479+B481+B484+B487+B490+B493)*Formulas!$C38</f>
        <v>11.8020375</v>
      </c>
      <c r="C498" s="281">
        <f>(C477+C479+C481+C484+C487+C490+C493)*Formulas!$C38</f>
        <v>17.0722625</v>
      </c>
      <c r="D498" s="281">
        <f>(D477+D479+D481+D484+D487+D490+D493)*Formulas!$C38</f>
        <v>12.43855</v>
      </c>
      <c r="E498" s="281">
        <f>(E477+E479+E481+E484+E487+E490+E493)*Formulas!$C38</f>
        <v>15.088075</v>
      </c>
      <c r="F498" s="281">
        <f>(F477+F479+F481+F484+F487+F490+F493)*Formulas!$C38</f>
        <v>14.1990125</v>
      </c>
      <c r="G498" s="281">
        <f>(G477+G479+G481+G484+G487+G490+G493)*Formulas!$C38</f>
        <v>11.337625</v>
      </c>
      <c r="H498" s="281">
        <f>(H477+H479+H481+H484+H487+H490+H493)*Formulas!$C38</f>
        <v>13.4409875</v>
      </c>
      <c r="I498" s="281">
        <f>(I477+I479+I481+I484+I487+I490+I493)*Formulas!$C38</f>
        <v>14.241225</v>
      </c>
      <c r="J498" s="281">
        <f>(J477+J479+J481+J484+J487+J490+J493)*Formulas!$C38</f>
        <v>14.3158625</v>
      </c>
      <c r="K498" s="281">
        <f>(K477+K479+K481+K484+K487+K490+K493)*Formulas!$C38</f>
        <v>16.18845</v>
      </c>
      <c r="L498" s="281">
        <f>(L477+L479+L481+L484+L487+L490+L493)*Formulas!$C38</f>
        <v>17.5971375</v>
      </c>
      <c r="M498" s="281">
        <f>(M477+M479+M481+M484+M487+M490+M493)*Formulas!$C38</f>
        <v>24.1724125</v>
      </c>
      <c r="N498" s="281">
        <f>(N477+N479+N481+N484+N487+N490+N493)*Formulas!$C38</f>
        <v>19.59405</v>
      </c>
      <c r="O498" s="281">
        <f>(O477+O479+O481+O484+O487+O490+O493)*Formulas!$C38</f>
        <v>21.73805</v>
      </c>
      <c r="P498" s="281">
        <f>(P477+P479+P481+P484+P487+P490+P493)*Formulas!$C38</f>
        <v>16.5152625</v>
      </c>
      <c r="Q498" s="281">
        <f>(Q477+Q479+Q481+Q484+Q487+Q490+Q493)*Formulas!$C38</f>
        <v>15.2595</v>
      </c>
      <c r="R498" s="281">
        <f>(R477+R479+R481+R484+R487+R490+R493)*Formulas!$C38</f>
        <v>14.1523125</v>
      </c>
      <c r="S498" s="281">
        <f>(S477+S479+S481+S484+S487+S490+S493)*Formulas!$C38</f>
        <v>15.9276375</v>
      </c>
      <c r="T498" s="281">
        <f>(T477+T479+T481+T484+T487+T490+T493)*Formulas!$C38</f>
        <v>16.8067625</v>
      </c>
      <c r="U498" s="281">
        <f>(U477+U479+U481+U484+U487+U490+U493)*Formulas!$C38</f>
        <v>15.9293875</v>
      </c>
      <c r="V498" s="281">
        <f>(V477+V479+V481+V484+V487+V490+V493)*Formulas!$C38</f>
        <v>13.8319875</v>
      </c>
      <c r="W498" s="281">
        <f>(W477+W479+W481+W484+W487+W490+W493)*Formulas!$C38</f>
        <v>14.5048875</v>
      </c>
      <c r="X498" s="281">
        <f>(X477+X479+X481+X484+X487+X490+X493)*Formulas!$C38</f>
        <v>15.9013</v>
      </c>
      <c r="Y498" s="281">
        <f>(Y477+Y479+Y481+Y484+Y487+Y490+Y493)*Formulas!$C38</f>
        <v>14.7243625</v>
      </c>
      <c r="Z498" s="281">
        <f>(Z477+Z479+Z481+Z484+Z487+Z490+Z493)*Formulas!$C38</f>
        <v>19.539825</v>
      </c>
      <c r="AA498" s="281">
        <f>(AA477+AA479+AA481+AA484+AA487+AA490+AA493)*Formulas!$C38</f>
        <v>16.3002625</v>
      </c>
      <c r="AB498" s="281">
        <f>(AB477+AB479+AB481+AB484+AB487+AB490+AB493)*Formulas!$C38</f>
        <v>14.7566</v>
      </c>
      <c r="AC498" s="281">
        <f>(AC477+AC479+AC481+AC484+AC487+AC490+AC493)*Formulas!$C38</f>
        <v>16.34305</v>
      </c>
      <c r="AD498" s="97">
        <f t="shared" si="194"/>
        <v>443.718875</v>
      </c>
    </row>
    <row r="499">
      <c r="A499" s="33" t="s">
        <v>381</v>
      </c>
      <c r="B499" s="281">
        <f t="shared" ref="B499:AC499" si="197">$AD499/30</f>
        <v>17.94666667</v>
      </c>
      <c r="C499" s="281">
        <f t="shared" si="197"/>
        <v>17.94666667</v>
      </c>
      <c r="D499" s="281">
        <f t="shared" si="197"/>
        <v>17.94666667</v>
      </c>
      <c r="E499" s="281">
        <f t="shared" si="197"/>
        <v>17.94666667</v>
      </c>
      <c r="F499" s="281">
        <f t="shared" si="197"/>
        <v>17.94666667</v>
      </c>
      <c r="G499" s="281">
        <f t="shared" si="197"/>
        <v>17.94666667</v>
      </c>
      <c r="H499" s="281">
        <f t="shared" si="197"/>
        <v>17.94666667</v>
      </c>
      <c r="I499" s="281">
        <f t="shared" si="197"/>
        <v>17.94666667</v>
      </c>
      <c r="J499" s="281">
        <f t="shared" si="197"/>
        <v>17.94666667</v>
      </c>
      <c r="K499" s="281">
        <f t="shared" si="197"/>
        <v>17.94666667</v>
      </c>
      <c r="L499" s="281">
        <f t="shared" si="197"/>
        <v>17.94666667</v>
      </c>
      <c r="M499" s="281">
        <f t="shared" si="197"/>
        <v>17.94666667</v>
      </c>
      <c r="N499" s="281">
        <f t="shared" si="197"/>
        <v>17.94666667</v>
      </c>
      <c r="O499" s="281">
        <f t="shared" si="197"/>
        <v>17.94666667</v>
      </c>
      <c r="P499" s="281">
        <f t="shared" si="197"/>
        <v>17.94666667</v>
      </c>
      <c r="Q499" s="281">
        <f t="shared" si="197"/>
        <v>17.94666667</v>
      </c>
      <c r="R499" s="281">
        <f t="shared" si="197"/>
        <v>17.94666667</v>
      </c>
      <c r="S499" s="281">
        <f t="shared" si="197"/>
        <v>17.94666667</v>
      </c>
      <c r="T499" s="281">
        <f t="shared" si="197"/>
        <v>17.94666667</v>
      </c>
      <c r="U499" s="281">
        <f t="shared" si="197"/>
        <v>17.94666667</v>
      </c>
      <c r="V499" s="281">
        <f t="shared" si="197"/>
        <v>17.94666667</v>
      </c>
      <c r="W499" s="281">
        <f t="shared" si="197"/>
        <v>17.94666667</v>
      </c>
      <c r="X499" s="281">
        <f t="shared" si="197"/>
        <v>17.94666667</v>
      </c>
      <c r="Y499" s="281">
        <f t="shared" si="197"/>
        <v>17.94666667</v>
      </c>
      <c r="Z499" s="281">
        <f t="shared" si="197"/>
        <v>17.94666667</v>
      </c>
      <c r="AA499" s="281">
        <f t="shared" si="197"/>
        <v>17.94666667</v>
      </c>
      <c r="AB499" s="281">
        <f t="shared" si="197"/>
        <v>17.94666667</v>
      </c>
      <c r="AC499" s="281">
        <f t="shared" si="197"/>
        <v>17.94666667</v>
      </c>
      <c r="AD499" s="97">
        <v>538.4</v>
      </c>
    </row>
    <row r="500">
      <c r="A500" s="33" t="s">
        <v>382</v>
      </c>
      <c r="B500" s="121">
        <f>((B433+B434)*Formulas!$C13)+((B435+B436)*Formulas!$C14)+((B437+B438)*Formulas!$C15)</f>
        <v>2023.77</v>
      </c>
      <c r="C500" s="121">
        <f>((C433+C434)*Formulas!$C13)+((C435+C436)*Formulas!$C14)+((C437+C438)*Formulas!$C15)</f>
        <v>2649.49</v>
      </c>
      <c r="D500" s="121">
        <f>((D433+D434)*Formulas!$C13)+((D435+D436)*Formulas!$C14)+((D437+D438)*Formulas!$C15)</f>
        <v>2090.55</v>
      </c>
      <c r="E500" s="121">
        <f>((E433+E434)*Formulas!$C13)+((E435+E436)*Formulas!$C14)+((E437+E438)*Formulas!$C15)</f>
        <v>2460.64</v>
      </c>
      <c r="F500" s="121">
        <f>((F433+F434)*Formulas!$C13)+((F435+F436)*Formulas!$C14)+((F437+F438)*Formulas!$C15)</f>
        <v>2303.24</v>
      </c>
      <c r="G500" s="121">
        <f>((G433+G434)*Formulas!$C13)+((G435+G436)*Formulas!$C14)+((G437+G438)*Formulas!$C15)</f>
        <v>1929.66</v>
      </c>
      <c r="H500" s="121">
        <f>((H433+H434)*Formulas!$C13)+((H435+H436)*Formulas!$C14)+((H437+H438)*Formulas!$C15)</f>
        <v>2264.89</v>
      </c>
      <c r="I500" s="121">
        <f>((I433+I434)*Formulas!$C13)+((I435+I436)*Formulas!$C14)+((I437+I438)*Formulas!$C15)</f>
        <v>2440.72</v>
      </c>
      <c r="J500" s="121">
        <f>((J433+J434)*Formulas!$C13)+((J435+J436)*Formulas!$C14)+((J437+J438)*Formulas!$C15)</f>
        <v>2368.53</v>
      </c>
      <c r="K500" s="121">
        <f>((K433+K434)*Formulas!$C13)+((K435+K436)*Formulas!$C14)+((K437+K438)*Formulas!$C15)</f>
        <v>2710.19</v>
      </c>
      <c r="L500" s="121">
        <f>((L433+L434)*Formulas!$C13)+((L435+L436)*Formulas!$C14)+((L437+L438)*Formulas!$C15)</f>
        <v>2964.72</v>
      </c>
      <c r="M500" s="121">
        <f>((M433+M434)*Formulas!$C13)+((M435+M436)*Formulas!$C14)+((M437+M438)*Formulas!$C15)</f>
        <v>4200</v>
      </c>
      <c r="N500" s="121">
        <f>((N433+N434)*Formulas!$C13)+((N435+N436)*Formulas!$C14)+((N437+N438)*Formulas!$C15)</f>
        <v>3257.6</v>
      </c>
      <c r="O500" s="121">
        <f>((O433+O434)*Formulas!$C13)+((O435+O436)*Formulas!$C14)+((O437+O438)*Formulas!$C15)</f>
        <v>3943.51</v>
      </c>
      <c r="P500" s="121">
        <f>((P433+P434)*Formulas!$C13)+((P435+P436)*Formulas!$C14)+((P437+P438)*Formulas!$C15)</f>
        <v>2783.91</v>
      </c>
      <c r="Q500" s="121">
        <f>((Q433+Q434)*Formulas!$C13)+((Q435+Q436)*Formulas!$C14)+((Q437+Q438)*Formulas!$C15)</f>
        <v>2512.44</v>
      </c>
      <c r="R500" s="121">
        <f>((R433+R434)*Formulas!$C13)+((R435+R436)*Formulas!$C14)+((R437+R438)*Formulas!$C15)</f>
        <v>2615.06</v>
      </c>
      <c r="S500" s="121">
        <f>((S433+S434)*Formulas!$C13)+((S435+S436)*Formulas!$C14)+((S437+S438)*Formulas!$C15)</f>
        <v>2737.09</v>
      </c>
      <c r="T500" s="121">
        <f>((T433+T434)*Formulas!$C13)+((T435+T436)*Formulas!$C14)+((T437+T438)*Formulas!$C15)</f>
        <v>2857.63</v>
      </c>
      <c r="U500" s="121">
        <f>((U433+U434)*Formulas!$C13)+((U435+U436)*Formulas!$C14)+((U437+U438)*Formulas!$C15)</f>
        <v>2715.68</v>
      </c>
      <c r="V500" s="121">
        <f>((V433+V434)*Formulas!$C13)+((V435+V436)*Formulas!$C14)+((V437+V438)*Formulas!$C15)</f>
        <v>2365.51</v>
      </c>
      <c r="W500" s="121">
        <f>((W433+W434)*Formulas!$C13)+((W435+W436)*Formulas!$C14)+((W437+W438)*Formulas!$C15)</f>
        <v>2490.99</v>
      </c>
      <c r="X500" s="121">
        <f>((X433+X434)*Formulas!$C13)+((X435+X436)*Formulas!$C14)+((X437+X438)*Formulas!$C15)</f>
        <v>2514.44</v>
      </c>
      <c r="Y500" s="121">
        <f>((Y433+Y434)*Formulas!$C13)+((Y435+Y436)*Formulas!$C14)+((Y437+Y438)*Formulas!$C15)</f>
        <v>2449.19</v>
      </c>
      <c r="Z500" s="121">
        <f>((Z433+Z434)*Formulas!$C13)+((Z435+Z436)*Formulas!$C14)+((Z437+Z438)*Formulas!$C15)</f>
        <v>3333.83</v>
      </c>
      <c r="AA500" s="121">
        <f>((AA433+AA434)*Formulas!$C13)+((AA435+AA436)*Formulas!$C14)+((AA437+AA438)*Formulas!$C15)</f>
        <v>2609.57</v>
      </c>
      <c r="AB500" s="121">
        <f>((AB433+AB434)*Formulas!$C13)+((AB435+AB436)*Formulas!$C14)+((AB437+AB438)*Formulas!$C15)</f>
        <v>2361.51</v>
      </c>
      <c r="AC500" s="121">
        <f>((AC433+AC434)*Formulas!$C13)+((AC435+AC436)*Formulas!$C14)+((AC437+AC438)*Formulas!$C15)</f>
        <v>2333.63</v>
      </c>
      <c r="AD500" s="97">
        <f t="shared" ref="AD500:AD513" si="198">SUM(B500:AC500)</f>
        <v>74287.99</v>
      </c>
    </row>
    <row r="501">
      <c r="A501" s="33" t="s">
        <v>383</v>
      </c>
      <c r="B501" s="281">
        <f>((B433+B434)*Formulas!$C16)+((B435+B436)*Formulas!$C17)+((B437+B438)*Formulas!$C18)</f>
        <v>1318.31</v>
      </c>
      <c r="C501" s="281">
        <f>((C433+C434)*Formulas!$C16)+((C435+C436)*Formulas!$C17)+((C437+C438)*Formulas!$C18)</f>
        <v>1942.83</v>
      </c>
      <c r="D501" s="281">
        <f>((D433+D434)*Formulas!$C16)+((D435+D436)*Formulas!$C17)+((D437+D438)*Formulas!$C18)</f>
        <v>1421.49</v>
      </c>
      <c r="E501" s="281">
        <f>((E433+E434)*Formulas!$C16)+((E435+E436)*Formulas!$C17)+((E437+E438)*Formulas!$C18)</f>
        <v>1701.7</v>
      </c>
      <c r="F501" s="281">
        <f>((F433+F434)*Formulas!$C16)+((F435+F436)*Formulas!$C17)+((F437+F438)*Formulas!$C18)</f>
        <v>1578.98</v>
      </c>
      <c r="G501" s="281">
        <f>((G433+G434)*Formulas!$C16)+((G435+G436)*Formulas!$C17)+((G437+G438)*Formulas!$C18)</f>
        <v>1332.18</v>
      </c>
      <c r="H501" s="281">
        <f>((H433+H434)*Formulas!$C16)+((H435+H436)*Formulas!$C17)+((H437+H438)*Formulas!$C18)</f>
        <v>1507.39</v>
      </c>
      <c r="I501" s="281">
        <f>((I433+I434)*Formulas!$C16)+((I435+I436)*Formulas!$C17)+((I437+I438)*Formulas!$C18)</f>
        <v>1641.7</v>
      </c>
      <c r="J501" s="281">
        <f>((J433+J434)*Formulas!$C16)+((J435+J436)*Formulas!$C17)+((J437+J438)*Formulas!$C18)</f>
        <v>1633.75</v>
      </c>
      <c r="K501" s="281">
        <f>((K433+K434)*Formulas!$C16)+((K435+K436)*Formulas!$C17)+((K437+K438)*Formulas!$C18)</f>
        <v>1882.37</v>
      </c>
      <c r="L501" s="281">
        <f>((L433+L434)*Formulas!$C16)+((L435+L436)*Formulas!$C17)+((L437+L438)*Formulas!$C18)</f>
        <v>2078.04</v>
      </c>
      <c r="M501" s="281">
        <f>((M433+M434)*Formulas!$C16)+((M435+M436)*Formulas!$C17)+((M437+M438)*Formulas!$C18)</f>
        <v>2734.34</v>
      </c>
      <c r="N501" s="281">
        <f>((N433+N434)*Formulas!$C16)+((N435+N436)*Formulas!$C17)+((N437+N438)*Formulas!$C18)</f>
        <v>2345.3</v>
      </c>
      <c r="O501" s="281">
        <f>((O433+O434)*Formulas!$C16)+((O435+O436)*Formulas!$C17)+((O437+O438)*Formulas!$C18)</f>
        <v>2610.49</v>
      </c>
      <c r="P501" s="281">
        <f>((P433+P434)*Formulas!$C16)+((P435+P436)*Formulas!$C17)+((P437+P438)*Formulas!$C18)</f>
        <v>1928.73</v>
      </c>
      <c r="Q501" s="281">
        <f>((Q433+Q434)*Formulas!$C16)+((Q435+Q436)*Formulas!$C17)+((Q437+Q438)*Formulas!$C18)</f>
        <v>1769.88</v>
      </c>
      <c r="R501" s="281">
        <f>((R433+R434)*Formulas!$C16)+((R435+R436)*Formulas!$C17)+((R437+R438)*Formulas!$C18)</f>
        <v>1727.6</v>
      </c>
      <c r="S501" s="281">
        <f>((S433+S434)*Formulas!$C16)+((S435+S436)*Formulas!$C17)+((S437+S438)*Formulas!$C18)</f>
        <v>1875.55</v>
      </c>
      <c r="T501" s="281">
        <f>((T433+T434)*Formulas!$C16)+((T435+T436)*Formulas!$C17)+((T437+T438)*Formulas!$C18)</f>
        <v>1975.09</v>
      </c>
      <c r="U501" s="281">
        <f>((U433+U434)*Formulas!$C16)+((U435+U436)*Formulas!$C17)+((U437+U438)*Formulas!$C18)</f>
        <v>1767.14</v>
      </c>
      <c r="V501" s="281">
        <f>((V433+V434)*Formulas!$C16)+((V435+V436)*Formulas!$C17)+((V437+V438)*Formulas!$C18)</f>
        <v>1546.93</v>
      </c>
      <c r="W501" s="281">
        <f>((W433+W434)*Formulas!$C16)+((W435+W436)*Formulas!$C17)+((W437+W438)*Formulas!$C18)</f>
        <v>1671.47</v>
      </c>
      <c r="X501" s="281">
        <f>((X433+X434)*Formulas!$C16)+((X435+X436)*Formulas!$C17)+((X437+X438)*Formulas!$C18)</f>
        <v>1688.06</v>
      </c>
      <c r="Y501" s="281">
        <f>((Y433+Y434)*Formulas!$C16)+((Y435+Y436)*Formulas!$C17)+((Y437+Y438)*Formulas!$C18)</f>
        <v>1623.29</v>
      </c>
      <c r="Z501" s="281">
        <f>((Z433+Z434)*Formulas!$C16)+((Z435+Z436)*Formulas!$C17)+((Z437+Z438)*Formulas!$C18)</f>
        <v>2179.61</v>
      </c>
      <c r="AA501" s="281">
        <f>((AA433+AA434)*Formulas!$C16)+((AA435+AA436)*Formulas!$C17)+((AA437+AA438)*Formulas!$C18)</f>
        <v>1842.83</v>
      </c>
      <c r="AB501" s="281">
        <f>((AB433+AB434)*Formulas!$C16)+((AB435+AB436)*Formulas!$C17)+((AB437+AB438)*Formulas!$C18)</f>
        <v>1710.57</v>
      </c>
      <c r="AC501" s="281">
        <f>((AC433+AC434)*Formulas!$C16)+((AC435+AC436)*Formulas!$C17)+((AC437+AC438)*Formulas!$C18)</f>
        <v>1538.75</v>
      </c>
      <c r="AD501" s="97">
        <f t="shared" si="198"/>
        <v>50574.37</v>
      </c>
    </row>
    <row r="502">
      <c r="A502" s="33" t="s">
        <v>384</v>
      </c>
      <c r="B502" s="136">
        <f>(B447*Formulas!$F13)+(B454*Formulas!$F14)+(B461*Formulas!$F15)</f>
        <v>268.4</v>
      </c>
      <c r="C502" s="136">
        <f>(C447*Formulas!$F13)+(C454*Formulas!$F14)+(C461*Formulas!$F15)</f>
        <v>315.98</v>
      </c>
      <c r="D502" s="136">
        <f>(D447*Formulas!$F13)+(D454*Formulas!$F14)+(D461*Formulas!$F15)</f>
        <v>247.66</v>
      </c>
      <c r="E502" s="136">
        <f>(E447*Formulas!$F13)+(E454*Formulas!$F14)+(E461*Formulas!$F15)</f>
        <v>323.3</v>
      </c>
      <c r="F502" s="136">
        <f>(F447*Formulas!$F13)+(F454*Formulas!$F14)+(F461*Formulas!$F15)</f>
        <v>296.46</v>
      </c>
      <c r="G502" s="136">
        <f>(G447*Formulas!$F13)+(G454*Formulas!$F14)+(G461*Formulas!$F15)</f>
        <v>253.76</v>
      </c>
      <c r="H502" s="136">
        <f>(H447*Formulas!$F13)+(H454*Formulas!$F14)+(H461*Formulas!$F15)</f>
        <v>274.5</v>
      </c>
      <c r="I502" s="136">
        <f>(I447*Formulas!$F13)+(I454*Formulas!$F14)+(I461*Formulas!$F15)</f>
        <v>247.66</v>
      </c>
      <c r="J502" s="136">
        <f>(J447*Formulas!$F13)+(J454*Formulas!$F14)+(J461*Formulas!$F15)</f>
        <v>254.98</v>
      </c>
      <c r="K502" s="136">
        <f>(K447*Formulas!$F13)+(K454*Formulas!$F14)+(K461*Formulas!$F15)</f>
        <v>300.12</v>
      </c>
      <c r="L502" s="136">
        <f>(L447*Formulas!$F13)+(L454*Formulas!$F14)+(L461*Formulas!$F15)</f>
        <v>335.5</v>
      </c>
      <c r="M502" s="136">
        <f>(M447*Formulas!$F13)+(M454*Formulas!$F14)+(M461*Formulas!$F15)</f>
        <v>483.12</v>
      </c>
      <c r="N502" s="136">
        <f>(N447*Formulas!$F13)+(N454*Formulas!$F14)+(N461*Formulas!$F15)</f>
        <v>355.02</v>
      </c>
      <c r="O502" s="136">
        <f>(O447*Formulas!$F13)+(O454*Formulas!$F14)+(O461*Formulas!$F15)</f>
        <v>403.82</v>
      </c>
      <c r="P502" s="136">
        <f>(P447*Formulas!$F13)+(P454*Formulas!$F14)+(P461*Formulas!$F15)</f>
        <v>297.68</v>
      </c>
      <c r="Q502" s="136">
        <f>(Q447*Formulas!$F13)+(Q454*Formulas!$F14)+(Q461*Formulas!$F15)</f>
        <v>278.16</v>
      </c>
      <c r="R502" s="136">
        <f>(R447*Formulas!$F13)+(R454*Formulas!$F14)+(R461*Formulas!$F15)</f>
        <v>267.18</v>
      </c>
      <c r="S502" s="136">
        <f>(S447*Formulas!$F13)+(S454*Formulas!$F14)+(S461*Formulas!$F15)</f>
        <v>245.22</v>
      </c>
      <c r="T502" s="136">
        <f>(T447*Formulas!$F13)+(T454*Formulas!$F14)+(T461*Formulas!$F15)</f>
        <v>285.48</v>
      </c>
      <c r="U502" s="136">
        <f>(U447*Formulas!$F13)+(U454*Formulas!$F14)+(U461*Formulas!$F15)</f>
        <v>294.02</v>
      </c>
      <c r="V502" s="136">
        <f>(V447*Formulas!$F13)+(V454*Formulas!$F14)+(V461*Formulas!$F15)</f>
        <v>258.64</v>
      </c>
      <c r="W502" s="136">
        <f>(W447*Formulas!$F13)+(W454*Formulas!$F14)+(W461*Formulas!$F15)</f>
        <v>241.56</v>
      </c>
      <c r="X502" s="136">
        <f>(X447*Formulas!$F13)+(X454*Formulas!$F14)+(X461*Formulas!$F15)</f>
        <v>412.36</v>
      </c>
      <c r="Y502" s="136">
        <f>(Y447*Formulas!$F13)+(Y454*Formulas!$F14)+(Y461*Formulas!$F15)</f>
        <v>318.42</v>
      </c>
      <c r="Z502" s="136">
        <f>(Z447*Formulas!$F13)+(Z454*Formulas!$F14)+(Z461*Formulas!$F15)</f>
        <v>333.06</v>
      </c>
      <c r="AA502" s="136">
        <f>(AA447*Formulas!$F13)+(AA454*Formulas!$F14)+(AA461*Formulas!$F15)</f>
        <v>285.48</v>
      </c>
      <c r="AB502" s="136">
        <f>(AB447*Formulas!$F13)+(AB454*Formulas!$F14)+(AB461*Formulas!$F15)</f>
        <v>251.32</v>
      </c>
      <c r="AC502" s="136">
        <f>(AC447*Formulas!$F13)+(AC454*Formulas!$F14)+(AC461*Formulas!$F15)</f>
        <v>497.76</v>
      </c>
      <c r="AD502" s="97">
        <f t="shared" si="198"/>
        <v>8626.62</v>
      </c>
    </row>
    <row r="503">
      <c r="A503" s="33" t="s">
        <v>385</v>
      </c>
      <c r="B503" s="136">
        <f>(B182*Formulas!$F16)</f>
        <v>0</v>
      </c>
      <c r="C503" s="136">
        <f>(C182*Formulas!$F16)</f>
        <v>0</v>
      </c>
      <c r="D503" s="136">
        <f>(D182*Formulas!$F16)</f>
        <v>0</v>
      </c>
      <c r="E503" s="136">
        <f>(E182*Formulas!$F16)</f>
        <v>0</v>
      </c>
      <c r="F503" s="136">
        <f>(F182*Formulas!$F16)</f>
        <v>0</v>
      </c>
      <c r="G503" s="136">
        <f>(G182*Formulas!$F16)</f>
        <v>0</v>
      </c>
      <c r="H503" s="136">
        <f>(H182*Formulas!$F16)</f>
        <v>0</v>
      </c>
      <c r="I503" s="136">
        <f>(I182*Formulas!$F16)</f>
        <v>0</v>
      </c>
      <c r="J503" s="136">
        <f>(J182*Formulas!$F16)</f>
        <v>0</v>
      </c>
      <c r="K503" s="136">
        <f>(K182*Formulas!$F16)</f>
        <v>0</v>
      </c>
      <c r="L503" s="136">
        <f>(L182*Formulas!$F16)</f>
        <v>0</v>
      </c>
      <c r="M503" s="136">
        <f>(M182*Formulas!$F16)</f>
        <v>0</v>
      </c>
      <c r="N503" s="136">
        <f>(N182*Formulas!$F16)</f>
        <v>0</v>
      </c>
      <c r="O503" s="136">
        <f>(O182*Formulas!$F16)</f>
        <v>0</v>
      </c>
      <c r="P503" s="136">
        <f>(P182*Formulas!$F16)</f>
        <v>0</v>
      </c>
      <c r="Q503" s="136">
        <f>(Q182*Formulas!$F16)</f>
        <v>0</v>
      </c>
      <c r="R503" s="136">
        <f>(R182*Formulas!$F16)</f>
        <v>0</v>
      </c>
      <c r="S503" s="136">
        <f>(S182*Formulas!$F16)</f>
        <v>0</v>
      </c>
      <c r="T503" s="136">
        <f>(T182*Formulas!$F16)</f>
        <v>0</v>
      </c>
      <c r="U503" s="136">
        <f>(U182*Formulas!$F16)</f>
        <v>0</v>
      </c>
      <c r="V503" s="136">
        <f>(V182*Formulas!$F16)</f>
        <v>0</v>
      </c>
      <c r="W503" s="136">
        <f>(W182*Formulas!$F16)</f>
        <v>0</v>
      </c>
      <c r="X503" s="136">
        <f>(X182*Formulas!$F16)</f>
        <v>0</v>
      </c>
      <c r="Y503" s="136">
        <f>(Y182*Formulas!$F16)</f>
        <v>0</v>
      </c>
      <c r="Z503" s="136">
        <f>(Z182*Formulas!$F16)</f>
        <v>0</v>
      </c>
      <c r="AA503" s="136">
        <f>(AA182*Formulas!$F16)</f>
        <v>0</v>
      </c>
      <c r="AB503" s="136">
        <f>(AB182*Formulas!$F16)</f>
        <v>0</v>
      </c>
      <c r="AC503" s="136">
        <f>(AC182*Formulas!$F16)</f>
        <v>0</v>
      </c>
      <c r="AD503" s="97">
        <f t="shared" si="198"/>
        <v>0</v>
      </c>
    </row>
    <row r="504">
      <c r="A504" s="33" t="s">
        <v>386</v>
      </c>
      <c r="B504" s="136">
        <f t="shared" ref="B504:AC504" si="199">B130</f>
        <v>1823.32</v>
      </c>
      <c r="C504" s="136">
        <f t="shared" si="199"/>
        <v>2375.31</v>
      </c>
      <c r="D504" s="136">
        <f t="shared" si="199"/>
        <v>1984.84</v>
      </c>
      <c r="E504" s="136">
        <f t="shared" si="199"/>
        <v>2558.21</v>
      </c>
      <c r="F504" s="136">
        <f t="shared" si="199"/>
        <v>2377.38</v>
      </c>
      <c r="G504" s="136">
        <f t="shared" si="199"/>
        <v>1974.34</v>
      </c>
      <c r="H504" s="136">
        <f t="shared" si="199"/>
        <v>1586.92</v>
      </c>
      <c r="I504" s="136">
        <f t="shared" si="199"/>
        <v>2071.61</v>
      </c>
      <c r="J504" s="136">
        <f t="shared" si="199"/>
        <v>1924.79</v>
      </c>
      <c r="K504" s="136">
        <f t="shared" si="199"/>
        <v>2193.64</v>
      </c>
      <c r="L504" s="136">
        <f t="shared" si="199"/>
        <v>2777.17</v>
      </c>
      <c r="M504" s="136">
        <f t="shared" si="199"/>
        <v>4056.04</v>
      </c>
      <c r="N504" s="136">
        <f t="shared" si="199"/>
        <v>2949.38</v>
      </c>
      <c r="O504" s="136">
        <f t="shared" si="199"/>
        <v>3596</v>
      </c>
      <c r="P504" s="136">
        <f t="shared" si="199"/>
        <v>2519.12</v>
      </c>
      <c r="Q504" s="136">
        <f t="shared" si="199"/>
        <v>2120.89</v>
      </c>
      <c r="R504" s="136">
        <f t="shared" si="199"/>
        <v>2800.82</v>
      </c>
      <c r="S504" s="136">
        <f t="shared" si="199"/>
        <v>2818.58</v>
      </c>
      <c r="T504" s="136">
        <f t="shared" si="199"/>
        <v>2877.54</v>
      </c>
      <c r="U504" s="136">
        <f t="shared" si="199"/>
        <v>2973.61</v>
      </c>
      <c r="V504" s="136">
        <f t="shared" si="199"/>
        <v>2280.14</v>
      </c>
      <c r="W504" s="136">
        <f t="shared" si="199"/>
        <v>2248.98</v>
      </c>
      <c r="X504" s="136">
        <f t="shared" si="199"/>
        <v>2365.27</v>
      </c>
      <c r="Y504" s="136">
        <f t="shared" si="199"/>
        <v>2420.74</v>
      </c>
      <c r="Z504" s="136">
        <f t="shared" si="199"/>
        <v>3255.39</v>
      </c>
      <c r="AA504" s="136">
        <f t="shared" si="199"/>
        <v>2594.91</v>
      </c>
      <c r="AB504" s="136">
        <f t="shared" si="199"/>
        <v>2122.83</v>
      </c>
      <c r="AC504" s="136">
        <f t="shared" si="199"/>
        <v>2557.27</v>
      </c>
      <c r="AD504" s="97">
        <f t="shared" si="198"/>
        <v>70205.04</v>
      </c>
    </row>
    <row r="505">
      <c r="A505" s="33" t="s">
        <v>387</v>
      </c>
      <c r="B505" s="282">
        <f>(((B241+B242)+(B260))-B377)*Formulas!$F21</f>
        <v>561.2552</v>
      </c>
      <c r="C505" s="282">
        <f>(((C241+C242)+(C260))-C377)*Formulas!$F21</f>
        <v>771.98</v>
      </c>
      <c r="D505" s="282">
        <f>(((D241+D242)+(D260))-D377)*Formulas!$F21</f>
        <v>775.9796</v>
      </c>
      <c r="E505" s="282">
        <f>(((E241+E242)+(E260))-E377)*Formulas!$F21</f>
        <v>999.46</v>
      </c>
      <c r="F505" s="282">
        <f>(((F241+F242)+(F260))-F377)*Formulas!$F21</f>
        <v>959.0196</v>
      </c>
      <c r="G505" s="282">
        <f>(((G241+G242)+(G260))-G377)*Formulas!$F21</f>
        <v>782.32</v>
      </c>
      <c r="H505" s="282">
        <f>(((H241+H242)+(H260))-H377)*Formulas!$F21</f>
        <v>492.3732</v>
      </c>
      <c r="I505" s="282">
        <f>(((I241+I242)+(I260))-I377)*Formulas!$F21</f>
        <v>620.5144</v>
      </c>
      <c r="J505" s="282">
        <f>(((J241+J242)+(J260))-J377)*Formulas!$F21</f>
        <v>818.95264</v>
      </c>
      <c r="K505" s="282">
        <f>(((K241+K242)+(K260))-K377)*Formulas!$F21</f>
        <v>984.676</v>
      </c>
      <c r="L505" s="282">
        <f>(((L241+L242)+(L260))-L377)*Formulas!$F21</f>
        <v>1122.33</v>
      </c>
      <c r="M505" s="282">
        <f>(((M241+M242)+(M260))-M377)*Formulas!$F21</f>
        <v>778.31732</v>
      </c>
      <c r="N505" s="282">
        <f>(((N241+N242)+(N260))-N377)*Formulas!$F21</f>
        <v>1505.4336</v>
      </c>
      <c r="O505" s="282">
        <f>(((O241+O242)+(O260))-O377)*Formulas!$F21</f>
        <v>781.16808</v>
      </c>
      <c r="P505" s="282">
        <f>(((P241+P242)+(P260))-P377)*Formulas!$F21</f>
        <v>901.758</v>
      </c>
      <c r="Q505" s="282">
        <f>(((Q241+Q242)+(Q260))-Q377)*Formulas!$F21</f>
        <v>1174.8088</v>
      </c>
      <c r="R505" s="282">
        <f>(((R241+R242)+(R260))-R377)*Formulas!$F21</f>
        <v>508.002</v>
      </c>
      <c r="S505" s="282">
        <f>(((S241+S242)+(S260))-S377)*Formulas!$F21</f>
        <v>833.3028</v>
      </c>
      <c r="T505" s="282">
        <f>(((T241+T242)+(T260))-T377)*Formulas!$F21</f>
        <v>1032.7702</v>
      </c>
      <c r="U505" s="282">
        <f>(((U241+U242)+(U260))-U377)*Formulas!$F21</f>
        <v>438.8164</v>
      </c>
      <c r="V505" s="282">
        <f>(((V241+V242)+(V260))-V377)*Formulas!$F21</f>
        <v>304.26</v>
      </c>
      <c r="W505" s="282">
        <f>(((W241+W242)+(W260))-W377)*Formulas!$F21</f>
        <v>683.089</v>
      </c>
      <c r="X505" s="282">
        <f>(((X241+X242)+(X260))-X377)*Formulas!$F21</f>
        <v>694.1</v>
      </c>
      <c r="Y505" s="282">
        <f>(((Y241+Y242)+(Y260))-Y377)*Formulas!$F21</f>
        <v>489.5</v>
      </c>
      <c r="Z505" s="282">
        <f>(((Z241+Z242)+(Z260))-Z377)*Formulas!$F21</f>
        <v>540.54</v>
      </c>
      <c r="AA505" s="282">
        <f>(((AA241+AA242)+(AA260))-AA377)*Formulas!$F21</f>
        <v>1098.02</v>
      </c>
      <c r="AB505" s="282">
        <f>(((AB241+AB242)+(AB260))-AB377)*Formulas!$F21</f>
        <v>862.18</v>
      </c>
      <c r="AC505" s="282">
        <f>(((AC241+AC242)+(AC260))-AC377)*Formulas!$F21</f>
        <v>1391.093</v>
      </c>
      <c r="AD505" s="97">
        <f t="shared" si="198"/>
        <v>22906.01984</v>
      </c>
    </row>
    <row r="506">
      <c r="A506" s="33" t="s">
        <v>388</v>
      </c>
      <c r="B506" s="283">
        <f>(((B243+B244)+(B267))-B382)*Formulas!$F22</f>
        <v>2.86</v>
      </c>
      <c r="C506" s="283">
        <f>(((C243+C244)+(C267))-C382)*Formulas!$F22</f>
        <v>81.9</v>
      </c>
      <c r="D506" s="283">
        <f>(((D243+D244)+(D267))-D382)*Formulas!$F22</f>
        <v>0</v>
      </c>
      <c r="E506" s="283">
        <f>(((E243+E244)+(E267))-E382)*Formulas!$F22</f>
        <v>0</v>
      </c>
      <c r="F506" s="283">
        <f>(((F243+F244)+(F267))-F382)*Formulas!$F22</f>
        <v>0</v>
      </c>
      <c r="G506" s="283">
        <f>(((G243+G244)+(G267))-G382)*Formulas!$F22</f>
        <v>0</v>
      </c>
      <c r="H506" s="283">
        <f>(((H243+H244)+(H267))-H382)*Formulas!$F22</f>
        <v>0</v>
      </c>
      <c r="I506" s="283">
        <f>(((I243+I244)+(I267))-I382)*Formulas!$F22</f>
        <v>0</v>
      </c>
      <c r="J506" s="283">
        <f>(((J243+J244)+(J267))-J382)*Formulas!$F22</f>
        <v>40.95</v>
      </c>
      <c r="K506" s="283">
        <f>(((K243+K244)+(K267))-K382)*Formulas!$F22</f>
        <v>0</v>
      </c>
      <c r="L506" s="283">
        <f>(((L243+L244)+(L267))-L382)*Formulas!$F22</f>
        <v>0</v>
      </c>
      <c r="M506" s="283">
        <f>(((M243+M244)+(M267))-M382)*Formulas!$F22</f>
        <v>0</v>
      </c>
      <c r="N506" s="283">
        <f>(((N243+N244)+(N267))-N382)*Formulas!$F22</f>
        <v>0</v>
      </c>
      <c r="O506" s="283">
        <f>(((O243+O244)+(O267))-O382)*Formulas!$F22</f>
        <v>0</v>
      </c>
      <c r="P506" s="283">
        <f>(((P243+P244)+(P267))-P382)*Formulas!$F22</f>
        <v>0</v>
      </c>
      <c r="Q506" s="283">
        <f>(((Q243+Q244)+(Q267))-Q382)*Formulas!$F22</f>
        <v>0</v>
      </c>
      <c r="R506" s="283">
        <f>(((R243+R244)+(R267))-R382)*Formulas!$F22</f>
        <v>0</v>
      </c>
      <c r="S506" s="283">
        <f>(((S243+S244)+(S267))-S382)*Formulas!$F22</f>
        <v>0</v>
      </c>
      <c r="T506" s="283">
        <f>(((T243+T244)+(T267))-T382)*Formulas!$F22</f>
        <v>0</v>
      </c>
      <c r="U506" s="283">
        <f>(((U243+U244)+(U267))-U382)*Formulas!$F22</f>
        <v>0</v>
      </c>
      <c r="V506" s="283">
        <f>(((V243+V244)+(V267))-V382)*Formulas!$F22</f>
        <v>0</v>
      </c>
      <c r="W506" s="283">
        <f>(((W243+W244)+(W267))-W382)*Formulas!$F22</f>
        <v>0</v>
      </c>
      <c r="X506" s="283">
        <f>(((X243+X244)+(X267))-X382)*Formulas!$F22</f>
        <v>0</v>
      </c>
      <c r="Y506" s="283">
        <f>(((Y243+Y244)+(Y267))-Y382)*Formulas!$F22</f>
        <v>0</v>
      </c>
      <c r="Z506" s="283">
        <f>(((Z243+Z244)+(Z267))-Z382)*Formulas!$F22</f>
        <v>0</v>
      </c>
      <c r="AA506" s="283">
        <f>(((AA243+AA244)+(AA267))-AA382)*Formulas!$F22</f>
        <v>0</v>
      </c>
      <c r="AB506" s="283">
        <f>(((AB243+AB244)+(AB267))-AB382)*Formulas!$F22</f>
        <v>0</v>
      </c>
      <c r="AC506" s="283">
        <f>(((AC243+AC244)+(AC267))-AC382)*Formulas!$F22</f>
        <v>0</v>
      </c>
      <c r="AD506" s="97">
        <f t="shared" si="198"/>
        <v>125.71</v>
      </c>
    </row>
    <row r="507">
      <c r="A507" s="33" t="s">
        <v>389</v>
      </c>
      <c r="B507" s="282">
        <v>2924.52</v>
      </c>
      <c r="C507" s="282">
        <v>1226.48</v>
      </c>
      <c r="D507" s="282">
        <v>2331.24</v>
      </c>
      <c r="E507" s="282">
        <v>1281.14</v>
      </c>
      <c r="F507" s="282">
        <v>692.04</v>
      </c>
      <c r="G507" s="282">
        <v>2041.78</v>
      </c>
      <c r="H507" s="282">
        <v>992.17</v>
      </c>
      <c r="I507" s="232">
        <v>1618.9</v>
      </c>
      <c r="J507" s="282">
        <v>2010.84</v>
      </c>
      <c r="K507" s="282">
        <v>1260.54</v>
      </c>
      <c r="L507" s="282">
        <v>3979.75</v>
      </c>
      <c r="M507" s="282">
        <v>2393.67</v>
      </c>
      <c r="N507" s="282">
        <v>84.2</v>
      </c>
      <c r="O507" s="282">
        <v>4235.56</v>
      </c>
      <c r="P507" s="282">
        <v>3701.09</v>
      </c>
      <c r="Q507" s="282">
        <v>1613.98</v>
      </c>
      <c r="R507" s="284">
        <v>7120.07</v>
      </c>
      <c r="S507" s="284">
        <v>4782.7</v>
      </c>
      <c r="T507" s="284">
        <v>2491.4</v>
      </c>
      <c r="U507" s="284">
        <v>1260.22</v>
      </c>
      <c r="V507" s="284">
        <v>0.0</v>
      </c>
      <c r="W507" s="284">
        <v>1282.63</v>
      </c>
      <c r="X507" s="284">
        <v>0.0</v>
      </c>
      <c r="Y507" s="284">
        <v>0.0</v>
      </c>
      <c r="Z507" s="284">
        <v>0.0</v>
      </c>
      <c r="AA507" s="284">
        <v>0.0</v>
      </c>
      <c r="AB507" s="284">
        <v>0.0</v>
      </c>
      <c r="AC507" s="284">
        <v>0.0</v>
      </c>
      <c r="AD507" s="97">
        <f t="shared" si="198"/>
        <v>49324.92</v>
      </c>
    </row>
    <row r="508">
      <c r="A508" s="33" t="s">
        <v>390</v>
      </c>
      <c r="B508" s="281">
        <f t="shared" ref="B508:AC508" si="200">(B389+B394+B399)</f>
        <v>6771.13</v>
      </c>
      <c r="C508" s="281">
        <f t="shared" si="200"/>
        <v>5626.12</v>
      </c>
      <c r="D508" s="281">
        <f t="shared" si="200"/>
        <v>7110.91</v>
      </c>
      <c r="E508" s="281">
        <f t="shared" si="200"/>
        <v>0</v>
      </c>
      <c r="F508" s="281">
        <f t="shared" si="200"/>
        <v>484.8</v>
      </c>
      <c r="G508" s="281">
        <f t="shared" si="200"/>
        <v>265.5</v>
      </c>
      <c r="H508" s="281">
        <f t="shared" si="200"/>
        <v>12293.7</v>
      </c>
      <c r="I508" s="281">
        <f t="shared" si="200"/>
        <v>6215.5</v>
      </c>
      <c r="J508" s="281">
        <f t="shared" si="200"/>
        <v>4337.07</v>
      </c>
      <c r="K508" s="281">
        <f t="shared" si="200"/>
        <v>9221.37</v>
      </c>
      <c r="L508" s="281">
        <f t="shared" si="200"/>
        <v>5037.72</v>
      </c>
      <c r="M508" s="281">
        <f t="shared" si="200"/>
        <v>585</v>
      </c>
      <c r="N508" s="281">
        <f t="shared" si="200"/>
        <v>242.74</v>
      </c>
      <c r="O508" s="281">
        <f t="shared" si="200"/>
        <v>6832.55</v>
      </c>
      <c r="P508" s="281">
        <f t="shared" si="200"/>
        <v>994.73</v>
      </c>
      <c r="Q508" s="281">
        <f t="shared" si="200"/>
        <v>3213.34</v>
      </c>
      <c r="R508" s="281">
        <f t="shared" si="200"/>
        <v>3075.89</v>
      </c>
      <c r="S508" s="281">
        <f t="shared" si="200"/>
        <v>1923.29</v>
      </c>
      <c r="T508" s="281">
        <f t="shared" si="200"/>
        <v>0</v>
      </c>
      <c r="U508" s="281">
        <f t="shared" si="200"/>
        <v>514.9</v>
      </c>
      <c r="V508" s="281">
        <f t="shared" si="200"/>
        <v>349.38</v>
      </c>
      <c r="W508" s="281">
        <f t="shared" si="200"/>
        <v>896.97</v>
      </c>
      <c r="X508" s="281">
        <f t="shared" si="200"/>
        <v>0</v>
      </c>
      <c r="Y508" s="281">
        <f t="shared" si="200"/>
        <v>0</v>
      </c>
      <c r="Z508" s="281">
        <f t="shared" si="200"/>
        <v>0</v>
      </c>
      <c r="AA508" s="281">
        <f t="shared" si="200"/>
        <v>0</v>
      </c>
      <c r="AB508" s="281">
        <f t="shared" si="200"/>
        <v>0</v>
      </c>
      <c r="AC508" s="281">
        <f t="shared" si="200"/>
        <v>0</v>
      </c>
      <c r="AD508" s="97">
        <f t="shared" si="198"/>
        <v>75992.61</v>
      </c>
    </row>
    <row r="509">
      <c r="A509" s="33" t="s">
        <v>391</v>
      </c>
      <c r="B509" s="281">
        <f>(B364*Formulas!$F35)+(B365*Formulas!$F36)+(B366*Formulas!$F37)</f>
        <v>250</v>
      </c>
      <c r="C509" s="281">
        <f>(C364*Formulas!$F35)+(C365*Formulas!$F36)+(C366*Formulas!$F37)</f>
        <v>200</v>
      </c>
      <c r="D509" s="281">
        <f>(D364*Formulas!$F35)+(D365*Formulas!$F36)+(D366*Formulas!$F37)</f>
        <v>250</v>
      </c>
      <c r="E509" s="281">
        <f>(E364*Formulas!$F35)+(E365*Formulas!$F36)+(E366*Formulas!$F37)</f>
        <v>0</v>
      </c>
      <c r="F509" s="281">
        <f>(F364*Formulas!$F35)+(F365*Formulas!$F36)+(F366*Formulas!$F37)</f>
        <v>20</v>
      </c>
      <c r="G509" s="281">
        <f>(G364*Formulas!$F35)+(G365*Formulas!$F36)+(G366*Formulas!$F37)</f>
        <v>10</v>
      </c>
      <c r="H509" s="281">
        <f>(H364*Formulas!$F35)+(H365*Formulas!$F36)+(H366*Formulas!$F37)</f>
        <v>450</v>
      </c>
      <c r="I509" s="281">
        <f>(I364*Formulas!$F35)+(I365*Formulas!$F36)+(I366*Formulas!$F37)</f>
        <v>230</v>
      </c>
      <c r="J509" s="281">
        <f>(J364*Formulas!$F35)+(J365*Formulas!$F36)+(J366*Formulas!$F37)</f>
        <v>180</v>
      </c>
      <c r="K509" s="281">
        <f>(K364*Formulas!$F35)+(K365*Formulas!$F36)+(K366*Formulas!$F37)</f>
        <v>350</v>
      </c>
      <c r="L509" s="281">
        <f>(L364*Formulas!$F35)+(L365*Formulas!$F36)+(L366*Formulas!$F37)</f>
        <v>190</v>
      </c>
      <c r="M509" s="281">
        <f>(M364*Formulas!$F35)+(M365*Formulas!$F36)+(M366*Formulas!$F37)</f>
        <v>20</v>
      </c>
      <c r="N509" s="281">
        <f>(N364*Formulas!$F35)+(N365*Formulas!$F36)+(N366*Formulas!$F37)</f>
        <v>50</v>
      </c>
      <c r="O509" s="281">
        <f>(O364*Formulas!$F35)+(O365*Formulas!$F36)+(O366*Formulas!$F37)</f>
        <v>240</v>
      </c>
      <c r="P509" s="281">
        <f>(P364*Formulas!$F35)+(P365*Formulas!$F36)+(P366*Formulas!$F37)</f>
        <v>40</v>
      </c>
      <c r="Q509" s="281">
        <f>(Q364*Formulas!$F35)+(Q365*Formulas!$F36)+(Q366*Formulas!$F37)</f>
        <v>130</v>
      </c>
      <c r="R509" s="281">
        <f>(R364*Formulas!$F35)+(R365*Formulas!$F36)+(R366*Formulas!$F37)</f>
        <v>120</v>
      </c>
      <c r="S509" s="281">
        <f>(S364*Formulas!$F35)+(S365*Formulas!$F36)+(S366*Formulas!$F37)</f>
        <v>70</v>
      </c>
      <c r="T509" s="281">
        <f>(T364*Formulas!$F35)+(T365*Formulas!$F36)+(T366*Formulas!$F37)</f>
        <v>0</v>
      </c>
      <c r="U509" s="281">
        <f>(U364*Formulas!$F35)+(U365*Formulas!$F36)+(U366*Formulas!$F37)</f>
        <v>40</v>
      </c>
      <c r="V509" s="281">
        <f>(V364*Formulas!$F35)+(V365*Formulas!$F36)+(V366*Formulas!$F37)</f>
        <v>10</v>
      </c>
      <c r="W509" s="281">
        <f>(W364*Formulas!$F35)+(W365*Formulas!$F36)+(W366*Formulas!$F37)</f>
        <v>50</v>
      </c>
      <c r="X509" s="281">
        <f>(X364*Formulas!$F35)+(X365*Formulas!$F36)+(X366*Formulas!$F37)</f>
        <v>0</v>
      </c>
      <c r="Y509" s="281">
        <f>(Y364*Formulas!$F35)+(Y365*Formulas!$F36)+(Y366*Formulas!$F37)</f>
        <v>0</v>
      </c>
      <c r="Z509" s="281">
        <f>(Z364*Formulas!$F35)+(Z365*Formulas!$F36)+(Z366*Formulas!$F37)</f>
        <v>0</v>
      </c>
      <c r="AA509" s="281">
        <f>(AA364*Formulas!$F35)+(AA365*Formulas!$F36)+(AA366*Formulas!$F37)</f>
        <v>0</v>
      </c>
      <c r="AB509" s="281">
        <f>(AB364*Formulas!$F35)+(AB365*Formulas!$F36)+(AB366*Formulas!$F37)</f>
        <v>0</v>
      </c>
      <c r="AC509" s="281">
        <f>(AC364*Formulas!$F35)+(AC365*Formulas!$F36)+(AC366*Formulas!$F37)</f>
        <v>0</v>
      </c>
      <c r="AD509" s="97">
        <f t="shared" si="198"/>
        <v>2900</v>
      </c>
    </row>
    <row r="510">
      <c r="A510" s="33" t="s">
        <v>392</v>
      </c>
      <c r="B510" s="285">
        <v>0.0</v>
      </c>
      <c r="C510" s="285">
        <v>0.0</v>
      </c>
      <c r="D510" s="285">
        <v>0.0</v>
      </c>
      <c r="E510" s="285">
        <v>0.0</v>
      </c>
      <c r="F510" s="285">
        <v>0.0</v>
      </c>
      <c r="G510" s="285">
        <v>0.0</v>
      </c>
      <c r="H510" s="285">
        <v>0.0</v>
      </c>
      <c r="I510" s="285">
        <v>0.0</v>
      </c>
      <c r="J510" s="285">
        <v>0.0</v>
      </c>
      <c r="K510" s="285">
        <v>0.0</v>
      </c>
      <c r="L510" s="285">
        <v>0.0</v>
      </c>
      <c r="M510" s="285">
        <v>0.0</v>
      </c>
      <c r="N510" s="285">
        <f>328.15+326.15+85</f>
        <v>739.3</v>
      </c>
      <c r="O510" s="285">
        <v>333.45</v>
      </c>
      <c r="P510" s="285">
        <v>314.0</v>
      </c>
      <c r="Q510" s="285">
        <v>89.2</v>
      </c>
      <c r="R510" s="285">
        <v>332.69</v>
      </c>
      <c r="S510" s="285">
        <v>0.0</v>
      </c>
      <c r="T510" s="285">
        <v>0.0</v>
      </c>
      <c r="U510" s="285">
        <v>0.0</v>
      </c>
      <c r="V510" s="285">
        <v>102.1</v>
      </c>
      <c r="W510" s="285">
        <f>322.06+360.03</f>
        <v>682.09</v>
      </c>
      <c r="X510" s="285">
        <v>0.0</v>
      </c>
      <c r="Y510" s="286">
        <f>1121.58+116.93</f>
        <v>1238.51</v>
      </c>
      <c r="Z510" s="285">
        <v>0.0</v>
      </c>
      <c r="AA510" s="285">
        <v>0.0</v>
      </c>
      <c r="AB510" s="285">
        <f>2413.35+46+268+280+260.04</f>
        <v>3267.39</v>
      </c>
      <c r="AC510" s="285">
        <v>51.38</v>
      </c>
      <c r="AD510" s="287">
        <f t="shared" si="198"/>
        <v>7150.11</v>
      </c>
    </row>
    <row r="511">
      <c r="A511" s="33" t="s">
        <v>393</v>
      </c>
      <c r="B511" s="281">
        <f>B125*Formulas!$F4</f>
        <v>241.5</v>
      </c>
      <c r="C511" s="281">
        <f>C125*Formulas!$F4</f>
        <v>265.5</v>
      </c>
      <c r="D511" s="281">
        <f>D125*Formulas!$F4</f>
        <v>234</v>
      </c>
      <c r="E511" s="281">
        <f>E125*Formulas!$F4</f>
        <v>279</v>
      </c>
      <c r="F511" s="281">
        <f>F125*Formulas!$F4</f>
        <v>270</v>
      </c>
      <c r="G511" s="281">
        <f>G125*Formulas!$F4</f>
        <v>238.5</v>
      </c>
      <c r="H511" s="281">
        <f>H125*Formulas!$F4</f>
        <v>223.5</v>
      </c>
      <c r="I511" s="281">
        <f>I125*Formulas!$F4</f>
        <v>231</v>
      </c>
      <c r="J511" s="281">
        <f>J125*Formulas!$F4</f>
        <v>217.5</v>
      </c>
      <c r="K511" s="281">
        <f>K125*Formulas!$F4</f>
        <v>258</v>
      </c>
      <c r="L511" s="281">
        <f>L125*Formulas!$F4</f>
        <v>292.5</v>
      </c>
      <c r="M511" s="281">
        <f>M125*Formulas!$F4</f>
        <v>381</v>
      </c>
      <c r="N511" s="281">
        <f>N125*Formulas!$F4</f>
        <v>289.5</v>
      </c>
      <c r="O511" s="281">
        <f>O125*Formulas!$F4</f>
        <v>319.5</v>
      </c>
      <c r="P511" s="281">
        <f>P125*Formulas!$F4</f>
        <v>267</v>
      </c>
      <c r="Q511" s="281">
        <f>Q125*Formulas!$F4</f>
        <v>250.5</v>
      </c>
      <c r="R511" s="281">
        <f>R125*Formulas!$F4</f>
        <v>249</v>
      </c>
      <c r="S511" s="281">
        <f>S125*Formulas!$F4</f>
        <v>285</v>
      </c>
      <c r="T511" s="281">
        <f>T125*Formulas!$F4</f>
        <v>315</v>
      </c>
      <c r="U511" s="281">
        <f>U125*Formulas!$F4</f>
        <v>261</v>
      </c>
      <c r="V511" s="281">
        <f>V125*Formulas!$F4</f>
        <v>205.5</v>
      </c>
      <c r="W511" s="281">
        <f>W125*Formulas!$F4</f>
        <v>246</v>
      </c>
      <c r="X511" s="281">
        <f>X125*Formulas!$F4</f>
        <v>387</v>
      </c>
      <c r="Y511" s="281">
        <f>Y125*Formulas!$F4</f>
        <v>259.5</v>
      </c>
      <c r="Z511" s="281">
        <f>Z125*Formulas!$F4</f>
        <v>333</v>
      </c>
      <c r="AA511" s="281">
        <f>AA125*Formulas!$F4</f>
        <v>270</v>
      </c>
      <c r="AB511" s="281">
        <f>AB125*Formulas!$F4</f>
        <v>226.5</v>
      </c>
      <c r="AC511" s="281">
        <f>AC125*Formulas!$F4</f>
        <v>660</v>
      </c>
      <c r="AD511" s="97">
        <f t="shared" si="198"/>
        <v>7956</v>
      </c>
    </row>
    <row r="512">
      <c r="A512" s="33" t="s">
        <v>398</v>
      </c>
      <c r="B512" s="281">
        <f>B125*Formulas!$F22</f>
        <v>20.93</v>
      </c>
      <c r="C512" s="281">
        <f>C125*Formulas!$F22</f>
        <v>23.01</v>
      </c>
      <c r="D512" s="281">
        <f>D125*Formulas!$F22</f>
        <v>20.28</v>
      </c>
      <c r="E512" s="281">
        <f>E125*Formulas!$F22</f>
        <v>24.18</v>
      </c>
      <c r="F512" s="281">
        <f>F125*Formulas!$F22</f>
        <v>23.4</v>
      </c>
      <c r="G512" s="281">
        <f>G125*Formulas!$F22</f>
        <v>20.67</v>
      </c>
      <c r="H512" s="281">
        <f>H125*Formulas!$F22</f>
        <v>19.37</v>
      </c>
      <c r="I512" s="281">
        <f>I125*Formulas!$F22</f>
        <v>20.02</v>
      </c>
      <c r="J512" s="281">
        <f>J125*Formulas!$F22</f>
        <v>18.85</v>
      </c>
      <c r="K512" s="281">
        <f>K125*Formulas!$F22</f>
        <v>22.36</v>
      </c>
      <c r="L512" s="281">
        <f>L125*Formulas!$F22</f>
        <v>25.35</v>
      </c>
      <c r="M512" s="281">
        <f>M125*Formulas!$F22</f>
        <v>33.02</v>
      </c>
      <c r="N512" s="281">
        <f>N125*Formulas!$F22</f>
        <v>25.09</v>
      </c>
      <c r="O512" s="281">
        <f>O125*Formulas!$F22</f>
        <v>27.69</v>
      </c>
      <c r="P512" s="281">
        <f>P125*Formulas!$F22</f>
        <v>23.14</v>
      </c>
      <c r="Q512" s="281">
        <f>Q125*Formulas!$F22</f>
        <v>21.71</v>
      </c>
      <c r="R512" s="281">
        <f>R125*Formulas!$F22</f>
        <v>21.58</v>
      </c>
      <c r="S512" s="281">
        <f>S125*Formulas!$F22</f>
        <v>24.7</v>
      </c>
      <c r="T512" s="281">
        <f>T125*Formulas!$F22</f>
        <v>27.3</v>
      </c>
      <c r="U512" s="281">
        <f>U125*Formulas!$F22</f>
        <v>22.62</v>
      </c>
      <c r="V512" s="281">
        <f>V125*Formulas!$F22</f>
        <v>17.81</v>
      </c>
      <c r="W512" s="281">
        <f>W125*Formulas!$F22</f>
        <v>21.32</v>
      </c>
      <c r="X512" s="281">
        <f>X125*Formulas!$F22</f>
        <v>33.54</v>
      </c>
      <c r="Y512" s="281">
        <f>Y125*Formulas!$F22</f>
        <v>22.49</v>
      </c>
      <c r="Z512" s="281">
        <f>Z125*Formulas!$F22</f>
        <v>28.86</v>
      </c>
      <c r="AA512" s="281">
        <f>AA125*Formulas!$F22</f>
        <v>23.4</v>
      </c>
      <c r="AB512" s="281">
        <f>AB125*Formulas!$F22</f>
        <v>19.63</v>
      </c>
      <c r="AC512" s="281">
        <f>AC125*Formulas!$F22</f>
        <v>57.2</v>
      </c>
      <c r="AD512" s="97">
        <f t="shared" si="198"/>
        <v>689.52</v>
      </c>
    </row>
    <row r="513">
      <c r="A513" s="33" t="s">
        <v>416</v>
      </c>
      <c r="B513" s="238">
        <f>B140*Formulas!$F$6</f>
        <v>39.37</v>
      </c>
      <c r="C513" s="238">
        <f>C140*Formulas!$F$6</f>
        <v>49.91</v>
      </c>
      <c r="D513" s="238">
        <f>D140*Formulas!$F$6</f>
        <v>39.37</v>
      </c>
      <c r="E513" s="238">
        <f>E140*Formulas!$F$6</f>
        <v>45.57</v>
      </c>
      <c r="F513" s="238">
        <f>F140*Formulas!$F$6</f>
        <v>41.54</v>
      </c>
      <c r="G513" s="238">
        <f>G140*Formulas!$F$6</f>
        <v>34.72</v>
      </c>
      <c r="H513" s="238">
        <f>H140*Formulas!$F$6</f>
        <v>40.61</v>
      </c>
      <c r="I513" s="238">
        <f>I140*Formulas!$F$6</f>
        <v>44.33</v>
      </c>
      <c r="J513" s="238">
        <f>J140*Formulas!$F$6</f>
        <v>44.95</v>
      </c>
      <c r="K513" s="238">
        <f>K140*Formulas!$F$6</f>
        <v>49.91</v>
      </c>
      <c r="L513" s="238">
        <f>L140*Formulas!$F$6</f>
        <v>57.04</v>
      </c>
      <c r="M513" s="238">
        <f>M140*Formulas!$F$6</f>
        <v>74.71</v>
      </c>
      <c r="N513" s="238">
        <f>N140*Formulas!$F$6</f>
        <v>61.07</v>
      </c>
      <c r="O513" s="238">
        <f>O140*Formulas!$F$6</f>
        <v>70.99</v>
      </c>
      <c r="P513" s="238">
        <f>P140*Formulas!$F$6</f>
        <v>53.63</v>
      </c>
      <c r="Q513" s="238">
        <f>Q140*Formulas!$F$6</f>
        <v>47.74</v>
      </c>
      <c r="R513" s="238">
        <f>R140*Formulas!$F$6</f>
        <v>52.39</v>
      </c>
      <c r="S513" s="238">
        <f>S140*Formulas!$F$6</f>
        <v>53.32</v>
      </c>
      <c r="T513" s="238">
        <f>T140*Formulas!$F$6</f>
        <v>53.32</v>
      </c>
      <c r="U513" s="238">
        <f>U140*Formulas!$F$6</f>
        <v>48.05</v>
      </c>
      <c r="V513" s="238">
        <f>V140*Formulas!$F$6</f>
        <v>40.92</v>
      </c>
      <c r="W513" s="238">
        <f>W140*Formulas!$F$6</f>
        <v>45.26</v>
      </c>
      <c r="X513" s="238">
        <f>X140*Formulas!$F$6</f>
        <v>44.02</v>
      </c>
      <c r="Y513" s="238">
        <f>Y140*Formulas!$F$6</f>
        <v>42.78</v>
      </c>
      <c r="Z513" s="238">
        <f>Z140*Formulas!$F$6</f>
        <v>57.66</v>
      </c>
      <c r="AA513" s="238">
        <f>AA140*Formulas!$F$6</f>
        <v>47.74</v>
      </c>
      <c r="AB513" s="238">
        <f>AB140*Formulas!$F$6</f>
        <v>44.02</v>
      </c>
      <c r="AC513" s="238">
        <f>AC140*Formulas!$F$6</f>
        <v>40.61</v>
      </c>
      <c r="AD513" s="97">
        <f t="shared" si="198"/>
        <v>1365.55</v>
      </c>
    </row>
    <row r="514">
      <c r="A514" s="302" t="s">
        <v>419</v>
      </c>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14"/>
    </row>
    <row r="515" hidden="1">
      <c r="A515" s="53" t="s">
        <v>361</v>
      </c>
      <c r="B515" s="238">
        <f>B408*Formulas!$C4</f>
        <v>0</v>
      </c>
      <c r="C515" s="238">
        <f>C408*Formulas!$C4</f>
        <v>0</v>
      </c>
      <c r="D515" s="238">
        <f>D408*Formulas!$C4</f>
        <v>0</v>
      </c>
      <c r="E515" s="238">
        <f>E408*Formulas!$C4</f>
        <v>0</v>
      </c>
      <c r="F515" s="238">
        <f>F408*Formulas!$C4</f>
        <v>0</v>
      </c>
      <c r="G515" s="238">
        <f>G408*Formulas!$C4</f>
        <v>352.65</v>
      </c>
      <c r="H515" s="238">
        <f>H408*Formulas!$C4</f>
        <v>4513.92</v>
      </c>
      <c r="I515" s="238">
        <f>I408*Formulas!$C4</f>
        <v>0</v>
      </c>
      <c r="J515" s="238">
        <f>J408*Formulas!$C4</f>
        <v>0</v>
      </c>
      <c r="K515" s="238">
        <f>K408*Formulas!$C4</f>
        <v>0</v>
      </c>
      <c r="L515" s="238">
        <f>L408*Formulas!$C4</f>
        <v>0</v>
      </c>
      <c r="M515" s="238">
        <f>M408*Formulas!$C4</f>
        <v>0</v>
      </c>
      <c r="N515" s="238">
        <f>N408*Formulas!$C4</f>
        <v>0</v>
      </c>
      <c r="O515" s="238">
        <f>O408*Formulas!$C4</f>
        <v>11355.33</v>
      </c>
      <c r="P515" s="238">
        <f>P408*Formulas!$C4</f>
        <v>0</v>
      </c>
      <c r="Q515" s="238">
        <f>Q408*Formulas!$C4</f>
        <v>0</v>
      </c>
      <c r="R515" s="238">
        <f>R408*Formulas!$C4</f>
        <v>0</v>
      </c>
      <c r="S515" s="238">
        <f>S408*Formulas!$C4</f>
        <v>0</v>
      </c>
      <c r="T515" s="238">
        <f>T408*Formulas!$C4</f>
        <v>0</v>
      </c>
      <c r="U515" s="238">
        <f>U408*Formulas!$C4</f>
        <v>0</v>
      </c>
      <c r="V515" s="238">
        <f>V408*Formulas!$C4</f>
        <v>12695.4</v>
      </c>
      <c r="W515" s="238">
        <f>W408*Formulas!$C4</f>
        <v>0</v>
      </c>
      <c r="X515" s="238">
        <f>X408*Formulas!$C4</f>
        <v>0</v>
      </c>
      <c r="Y515" s="238">
        <f>Y408*Formulas!$C4</f>
        <v>0</v>
      </c>
      <c r="Z515" s="238">
        <f>Z408*Formulas!$C4</f>
        <v>0</v>
      </c>
      <c r="AA515" s="238">
        <f>AA408*Formulas!$C4</f>
        <v>0</v>
      </c>
      <c r="AB515" s="238">
        <f>AB408*Formulas!$C4</f>
        <v>0</v>
      </c>
      <c r="AC515" s="238">
        <f>AC408*Formulas!$C4</f>
        <v>11143.74</v>
      </c>
      <c r="AD515" s="304">
        <f t="shared" ref="AD515:AD542" si="201">SUM(B515:AC515)</f>
        <v>40061.04</v>
      </c>
    </row>
    <row r="516" hidden="1">
      <c r="A516" s="33" t="s">
        <v>362</v>
      </c>
      <c r="B516" s="238">
        <f>B515*Formulas!$C37</f>
        <v>0</v>
      </c>
      <c r="C516" s="238">
        <f>C515*Formulas!$C37</f>
        <v>0</v>
      </c>
      <c r="D516" s="238">
        <f>D515*Formulas!$C37</f>
        <v>0</v>
      </c>
      <c r="E516" s="238">
        <f>E515*Formulas!$C37</f>
        <v>0</v>
      </c>
      <c r="F516" s="238">
        <f>F515*Formulas!$C37</f>
        <v>0</v>
      </c>
      <c r="G516" s="238">
        <f>G515*Formulas!$C37</f>
        <v>26.44875</v>
      </c>
      <c r="H516" s="238">
        <f>H515*Formulas!$C37</f>
        <v>338.544</v>
      </c>
      <c r="I516" s="238">
        <f>I515*Formulas!$C37</f>
        <v>0</v>
      </c>
      <c r="J516" s="238">
        <f>J515*Formulas!$C37</f>
        <v>0</v>
      </c>
      <c r="K516" s="238">
        <f>K515*Formulas!$C37</f>
        <v>0</v>
      </c>
      <c r="L516" s="238">
        <f>L515*Formulas!$C37</f>
        <v>0</v>
      </c>
      <c r="M516" s="238">
        <f>M515*Formulas!$C37</f>
        <v>0</v>
      </c>
      <c r="N516" s="238">
        <f>N515*Formulas!$C37</f>
        <v>0</v>
      </c>
      <c r="O516" s="238">
        <f>O515*Formulas!$C37</f>
        <v>851.64975</v>
      </c>
      <c r="P516" s="238">
        <f>P515*Formulas!$C37</f>
        <v>0</v>
      </c>
      <c r="Q516" s="238">
        <f>Q515*Formulas!$C37</f>
        <v>0</v>
      </c>
      <c r="R516" s="238">
        <f>R515*Formulas!$C37</f>
        <v>0</v>
      </c>
      <c r="S516" s="238">
        <f>S515*Formulas!$C37</f>
        <v>0</v>
      </c>
      <c r="T516" s="238">
        <f>T515*Formulas!$C37</f>
        <v>0</v>
      </c>
      <c r="U516" s="238">
        <f>U515*Formulas!$C37</f>
        <v>0</v>
      </c>
      <c r="V516" s="238">
        <f>V515*Formulas!$C37</f>
        <v>952.155</v>
      </c>
      <c r="W516" s="238">
        <f>W515*Formulas!$C37</f>
        <v>0</v>
      </c>
      <c r="X516" s="238">
        <f>X515*Formulas!$C37</f>
        <v>0</v>
      </c>
      <c r="Y516" s="238">
        <f>Y515*Formulas!$C37</f>
        <v>0</v>
      </c>
      <c r="Z516" s="238">
        <f>Z515*Formulas!$C37</f>
        <v>0</v>
      </c>
      <c r="AA516" s="238">
        <f>AA515*Formulas!$C37</f>
        <v>0</v>
      </c>
      <c r="AB516" s="238">
        <f>AB515*Formulas!$C37</f>
        <v>0</v>
      </c>
      <c r="AC516" s="238">
        <f>AC515*Formulas!$C37</f>
        <v>835.7805</v>
      </c>
      <c r="AD516" s="304">
        <f t="shared" si="201"/>
        <v>3004.578</v>
      </c>
    </row>
    <row r="517" hidden="1">
      <c r="A517" s="53" t="s">
        <v>363</v>
      </c>
      <c r="B517" s="238">
        <f>B409*Formulas!$C5</f>
        <v>0</v>
      </c>
      <c r="C517" s="238">
        <f>C409*Formulas!$C5</f>
        <v>0</v>
      </c>
      <c r="D517" s="238">
        <f>D409*Formulas!$C5</f>
        <v>0</v>
      </c>
      <c r="E517" s="238">
        <f>E409*Formulas!$C5</f>
        <v>0</v>
      </c>
      <c r="F517" s="238">
        <f>F409*Formulas!$C5</f>
        <v>0</v>
      </c>
      <c r="G517" s="238">
        <f>G409*Formulas!$C5</f>
        <v>0</v>
      </c>
      <c r="H517" s="238">
        <f>H409*Formulas!$C5</f>
        <v>0</v>
      </c>
      <c r="I517" s="238">
        <f>I409*Formulas!$C5</f>
        <v>0</v>
      </c>
      <c r="J517" s="238">
        <f>J409*Formulas!$C5</f>
        <v>0</v>
      </c>
      <c r="K517" s="238">
        <f>K409*Formulas!$C5</f>
        <v>0</v>
      </c>
      <c r="L517" s="238">
        <f>L409*Formulas!$C5</f>
        <v>0</v>
      </c>
      <c r="M517" s="238">
        <f>M409*Formulas!$C5</f>
        <v>0</v>
      </c>
      <c r="N517" s="238">
        <f>N409*Formulas!$C5</f>
        <v>0</v>
      </c>
      <c r="O517" s="238">
        <f>O409*Formulas!$C5</f>
        <v>0</v>
      </c>
      <c r="P517" s="238">
        <f>P409*Formulas!$C5</f>
        <v>0</v>
      </c>
      <c r="Q517" s="238">
        <f>Q409*Formulas!$C5</f>
        <v>0</v>
      </c>
      <c r="R517" s="238">
        <f>R409*Formulas!$C5</f>
        <v>0</v>
      </c>
      <c r="S517" s="238">
        <f>S409*Formulas!$C5</f>
        <v>0</v>
      </c>
      <c r="T517" s="238">
        <f>T409*Formulas!$C5</f>
        <v>0</v>
      </c>
      <c r="U517" s="238">
        <f>U409*Formulas!$C5</f>
        <v>0</v>
      </c>
      <c r="V517" s="238">
        <f>V409*Formulas!$C5</f>
        <v>0</v>
      </c>
      <c r="W517" s="238">
        <f>W409*Formulas!$C5</f>
        <v>0</v>
      </c>
      <c r="X517" s="238">
        <f>X409*Formulas!$C5</f>
        <v>0</v>
      </c>
      <c r="Y517" s="238">
        <f>Y409*Formulas!$C5</f>
        <v>0</v>
      </c>
      <c r="Z517" s="238">
        <f>Z409*Formulas!$C5</f>
        <v>0</v>
      </c>
      <c r="AA517" s="238">
        <f>AA409*Formulas!$C5</f>
        <v>0</v>
      </c>
      <c r="AB517" s="238">
        <f>AB409*Formulas!$C5</f>
        <v>0</v>
      </c>
      <c r="AC517" s="238">
        <f>AC409*Formulas!$C5</f>
        <v>0</v>
      </c>
      <c r="AD517" s="304">
        <f t="shared" si="201"/>
        <v>0</v>
      </c>
    </row>
    <row r="518" hidden="1">
      <c r="A518" s="33" t="s">
        <v>364</v>
      </c>
      <c r="B518" s="238">
        <f>B517*Formulas!$C37</f>
        <v>0</v>
      </c>
      <c r="C518" s="238">
        <f>C517*Formulas!$C37</f>
        <v>0</v>
      </c>
      <c r="D518" s="238">
        <f>D517*Formulas!$C37</f>
        <v>0</v>
      </c>
      <c r="E518" s="238">
        <f>E517*Formulas!$C37</f>
        <v>0</v>
      </c>
      <c r="F518" s="238">
        <f>F517*Formulas!$C37</f>
        <v>0</v>
      </c>
      <c r="G518" s="238">
        <f>G517*Formulas!$C37</f>
        <v>0</v>
      </c>
      <c r="H518" s="238">
        <f>H517*Formulas!$C37</f>
        <v>0</v>
      </c>
      <c r="I518" s="238">
        <f>I517*Formulas!$C37</f>
        <v>0</v>
      </c>
      <c r="J518" s="238">
        <f>J517*Formulas!$C37</f>
        <v>0</v>
      </c>
      <c r="K518" s="238">
        <f>K517*Formulas!$C37</f>
        <v>0</v>
      </c>
      <c r="L518" s="238">
        <f>L517*Formulas!$C37</f>
        <v>0</v>
      </c>
      <c r="M518" s="238">
        <f>M517*Formulas!$C37</f>
        <v>0</v>
      </c>
      <c r="N518" s="238">
        <f>N517*Formulas!$C37</f>
        <v>0</v>
      </c>
      <c r="O518" s="238">
        <f>O517*Formulas!$C37</f>
        <v>0</v>
      </c>
      <c r="P518" s="238">
        <f>P517*Formulas!$C37</f>
        <v>0</v>
      </c>
      <c r="Q518" s="238">
        <f>Q517*Formulas!$C37</f>
        <v>0</v>
      </c>
      <c r="R518" s="238">
        <f>R517*Formulas!$C37</f>
        <v>0</v>
      </c>
      <c r="S518" s="238">
        <f>S517*Formulas!$C37</f>
        <v>0</v>
      </c>
      <c r="T518" s="238">
        <f>T517*Formulas!$C37</f>
        <v>0</v>
      </c>
      <c r="U518" s="238">
        <f>U517*Formulas!$C37</f>
        <v>0</v>
      </c>
      <c r="V518" s="238">
        <f>V517*Formulas!$C37</f>
        <v>0</v>
      </c>
      <c r="W518" s="238">
        <f>W517*Formulas!$C37</f>
        <v>0</v>
      </c>
      <c r="X518" s="238">
        <f>X517*Formulas!$C37</f>
        <v>0</v>
      </c>
      <c r="Y518" s="238">
        <f>Y517*Formulas!$C37</f>
        <v>0</v>
      </c>
      <c r="Z518" s="238">
        <f>Z517*Formulas!$C37</f>
        <v>0</v>
      </c>
      <c r="AA518" s="238">
        <f>AA517*Formulas!$C37</f>
        <v>0</v>
      </c>
      <c r="AB518" s="238">
        <f>AB517*Formulas!$C37</f>
        <v>0</v>
      </c>
      <c r="AC518" s="238">
        <f>AC517*Formulas!$C37</f>
        <v>0</v>
      </c>
      <c r="AD518" s="304">
        <f t="shared" si="201"/>
        <v>0</v>
      </c>
    </row>
    <row r="519" hidden="1">
      <c r="A519" s="53" t="s">
        <v>365</v>
      </c>
      <c r="B519" s="238">
        <f>(B412+B419+B426)*Formulas!$C8</f>
        <v>0</v>
      </c>
      <c r="C519" s="238">
        <f>(C412+C419+C426)*Formulas!$C8</f>
        <v>0</v>
      </c>
      <c r="D519" s="238">
        <f>(D412+D419+D426)*Formulas!$C8</f>
        <v>0</v>
      </c>
      <c r="E519" s="238">
        <f>(E412+E419+E426)*Formulas!$C8</f>
        <v>0</v>
      </c>
      <c r="F519" s="238">
        <f>(F412+F419+F426)*Formulas!$C8</f>
        <v>0</v>
      </c>
      <c r="G519" s="238">
        <f>(G412+G419+G426)*Formulas!$C8</f>
        <v>6.37</v>
      </c>
      <c r="H519" s="238">
        <f>(H412+H419+H426)*Formulas!$C8</f>
        <v>0</v>
      </c>
      <c r="I519" s="238">
        <f>(I412+I419+I426)*Formulas!$C8</f>
        <v>0</v>
      </c>
      <c r="J519" s="238">
        <f>(J412+J419+J426)*Formulas!$C8</f>
        <v>0</v>
      </c>
      <c r="K519" s="238">
        <f>(K412+K419+K426)*Formulas!$C8</f>
        <v>0</v>
      </c>
      <c r="L519" s="238">
        <f>(L412+L419+L426)*Formulas!$C8</f>
        <v>0</v>
      </c>
      <c r="M519" s="238">
        <f>(M412+M419+M426)*Formulas!$C8</f>
        <v>0</v>
      </c>
      <c r="N519" s="238">
        <f>(N412+N419+N426)*Formulas!$C8</f>
        <v>0</v>
      </c>
      <c r="O519" s="238">
        <f>(O412+O419+O426)*Formulas!$C8</f>
        <v>6.37</v>
      </c>
      <c r="P519" s="238">
        <f>(P412+P419+P426)*Formulas!$C8</f>
        <v>0</v>
      </c>
      <c r="Q519" s="238">
        <f>(Q412+Q419+Q426)*Formulas!$C8</f>
        <v>0</v>
      </c>
      <c r="R519" s="238">
        <f>(R412+R419+R426)*Formulas!$C8</f>
        <v>0</v>
      </c>
      <c r="S519" s="238">
        <f>(S412+S419+S426)*Formulas!$C8</f>
        <v>0</v>
      </c>
      <c r="T519" s="238">
        <f>(T412+T419+T426)*Formulas!$C8</f>
        <v>0</v>
      </c>
      <c r="U519" s="238">
        <f>(U412+U419+U426)*Formulas!$C8</f>
        <v>0</v>
      </c>
      <c r="V519" s="238">
        <f>(V412+V419+V426)*Formulas!$C8</f>
        <v>0</v>
      </c>
      <c r="W519" s="238">
        <f>(W412+W419+W426)*Formulas!$C8</f>
        <v>0</v>
      </c>
      <c r="X519" s="238">
        <f>(X412+X419+X426)*Formulas!$C8</f>
        <v>0</v>
      </c>
      <c r="Y519" s="238">
        <f>(Y412+Y419+Y426)*Formulas!$C8</f>
        <v>0</v>
      </c>
      <c r="Z519" s="238">
        <f>(Z412+Z419+Z426)*Formulas!$C8</f>
        <v>0</v>
      </c>
      <c r="AA519" s="238">
        <f>(AA412+AA419+AA426)*Formulas!$C8</f>
        <v>0</v>
      </c>
      <c r="AB519" s="238">
        <f>(AB412+AB419+AB426)*Formulas!$C8</f>
        <v>0</v>
      </c>
      <c r="AC519" s="238">
        <f>(AC412+AC419+AC426)*Formulas!$C8</f>
        <v>12.74</v>
      </c>
      <c r="AD519" s="304">
        <f t="shared" si="201"/>
        <v>25.48</v>
      </c>
    </row>
    <row r="520" hidden="1">
      <c r="A520" s="33" t="s">
        <v>366</v>
      </c>
      <c r="B520" s="238">
        <f>B519*Formulas!$C37</f>
        <v>0</v>
      </c>
      <c r="C520" s="238">
        <f>C519*Formulas!$C37</f>
        <v>0</v>
      </c>
      <c r="D520" s="238">
        <f>D519*Formulas!$C37</f>
        <v>0</v>
      </c>
      <c r="E520" s="238">
        <f>E519*Formulas!$C37</f>
        <v>0</v>
      </c>
      <c r="F520" s="238">
        <f>F519*Formulas!$C37</f>
        <v>0</v>
      </c>
      <c r="G520" s="238">
        <f>G519*Formulas!$C37</f>
        <v>0.47775</v>
      </c>
      <c r="H520" s="238">
        <f>H519*Formulas!$C37</f>
        <v>0</v>
      </c>
      <c r="I520" s="238">
        <f>I519*Formulas!$C37</f>
        <v>0</v>
      </c>
      <c r="J520" s="238">
        <f>J519*Formulas!$C37</f>
        <v>0</v>
      </c>
      <c r="K520" s="238">
        <f>K519*Formulas!$C37</f>
        <v>0</v>
      </c>
      <c r="L520" s="238">
        <f>L519*Formulas!$C37</f>
        <v>0</v>
      </c>
      <c r="M520" s="238">
        <f>M519*Formulas!$C37</f>
        <v>0</v>
      </c>
      <c r="N520" s="238">
        <f>N519*Formulas!$C37</f>
        <v>0</v>
      </c>
      <c r="O520" s="238">
        <f>O519*Formulas!$C37</f>
        <v>0.47775</v>
      </c>
      <c r="P520" s="238">
        <f>P519*Formulas!$C37</f>
        <v>0</v>
      </c>
      <c r="Q520" s="238">
        <f>Q519*Formulas!$C37</f>
        <v>0</v>
      </c>
      <c r="R520" s="238">
        <f>R519*Formulas!$C37</f>
        <v>0</v>
      </c>
      <c r="S520" s="238">
        <f>S519*Formulas!$C37</f>
        <v>0</v>
      </c>
      <c r="T520" s="238">
        <f>T519*Formulas!$C37</f>
        <v>0</v>
      </c>
      <c r="U520" s="238">
        <f>U519*Formulas!$C37</f>
        <v>0</v>
      </c>
      <c r="V520" s="238">
        <f>V519*Formulas!$C37</f>
        <v>0</v>
      </c>
      <c r="W520" s="238">
        <f>W519*Formulas!$C37</f>
        <v>0</v>
      </c>
      <c r="X520" s="238">
        <f>X519*Formulas!$C37</f>
        <v>0</v>
      </c>
      <c r="Y520" s="238">
        <f>Y519*Formulas!$C37</f>
        <v>0</v>
      </c>
      <c r="Z520" s="238">
        <f>Z519*Formulas!$C37</f>
        <v>0</v>
      </c>
      <c r="AA520" s="238">
        <f>AA519*Formulas!$C37</f>
        <v>0</v>
      </c>
      <c r="AB520" s="238">
        <f>AB519*Formulas!$C37</f>
        <v>0</v>
      </c>
      <c r="AC520" s="238">
        <f>AC519*Formulas!$C37</f>
        <v>0.9555</v>
      </c>
      <c r="AD520" s="304">
        <f t="shared" si="201"/>
        <v>1.911</v>
      </c>
    </row>
    <row r="521" hidden="1">
      <c r="A521" s="33" t="s">
        <v>367</v>
      </c>
      <c r="B521" s="238">
        <f>B519*Formulas!$C36</f>
        <v>0</v>
      </c>
      <c r="C521" s="238">
        <f>C519*Formulas!$C36</f>
        <v>0</v>
      </c>
      <c r="D521" s="238">
        <f>D519*Formulas!$C36</f>
        <v>0</v>
      </c>
      <c r="E521" s="238">
        <f>E519*Formulas!$C36</f>
        <v>0</v>
      </c>
      <c r="F521" s="238">
        <f>F519*Formulas!$C36</f>
        <v>0</v>
      </c>
      <c r="G521" s="238">
        <f>G519*Formulas!$C36</f>
        <v>0.21658</v>
      </c>
      <c r="H521" s="238">
        <f>H519*Formulas!$C36</f>
        <v>0</v>
      </c>
      <c r="I521" s="238">
        <f>I519*Formulas!$C36</f>
        <v>0</v>
      </c>
      <c r="J521" s="238">
        <f>J519*Formulas!$C36</f>
        <v>0</v>
      </c>
      <c r="K521" s="238">
        <f>K519*Formulas!$C36</f>
        <v>0</v>
      </c>
      <c r="L521" s="238">
        <f>L519*Formulas!$C36</f>
        <v>0</v>
      </c>
      <c r="M521" s="238">
        <f>M519*Formulas!$C36</f>
        <v>0</v>
      </c>
      <c r="N521" s="238">
        <f>N519*Formulas!$C36</f>
        <v>0</v>
      </c>
      <c r="O521" s="238">
        <f>O519*Formulas!$C36</f>
        <v>0.21658</v>
      </c>
      <c r="P521" s="238">
        <f>P519*Formulas!$C36</f>
        <v>0</v>
      </c>
      <c r="Q521" s="238">
        <f>Q519*Formulas!$C36</f>
        <v>0</v>
      </c>
      <c r="R521" s="238">
        <f>R519*Formulas!$C36</f>
        <v>0</v>
      </c>
      <c r="S521" s="238">
        <f>S519*Formulas!$C36</f>
        <v>0</v>
      </c>
      <c r="T521" s="238">
        <f>T519*Formulas!$C36</f>
        <v>0</v>
      </c>
      <c r="U521" s="238">
        <f>U519*Formulas!$C36</f>
        <v>0</v>
      </c>
      <c r="V521" s="238">
        <f>V519*Formulas!$C36</f>
        <v>0</v>
      </c>
      <c r="W521" s="238">
        <f>W519*Formulas!$C36</f>
        <v>0</v>
      </c>
      <c r="X521" s="238">
        <f>X519*Formulas!$C36</f>
        <v>0</v>
      </c>
      <c r="Y521" s="238">
        <f>Y519*Formulas!$C36</f>
        <v>0</v>
      </c>
      <c r="Z521" s="238">
        <f>Z519*Formulas!$C36</f>
        <v>0</v>
      </c>
      <c r="AA521" s="238">
        <f>AA519*Formulas!$C36</f>
        <v>0</v>
      </c>
      <c r="AB521" s="238">
        <f>AB519*Formulas!$C36</f>
        <v>0</v>
      </c>
      <c r="AC521" s="238">
        <f>AC519*Formulas!$C36</f>
        <v>0.43316</v>
      </c>
      <c r="AD521" s="304">
        <f t="shared" si="201"/>
        <v>0.86632</v>
      </c>
    </row>
    <row r="522" hidden="1">
      <c r="A522" s="53" t="s">
        <v>368</v>
      </c>
      <c r="B522" s="238">
        <f>(B411+B418+B425)*Formulas!$C7</f>
        <v>0</v>
      </c>
      <c r="C522" s="238">
        <f>(C411+C418+C425)*Formulas!$C7</f>
        <v>0</v>
      </c>
      <c r="D522" s="238">
        <f>(D411+D418+D425)*Formulas!$C7</f>
        <v>0</v>
      </c>
      <c r="E522" s="238">
        <f>(E411+E418+E425)*Formulas!$C7</f>
        <v>0</v>
      </c>
      <c r="F522" s="238">
        <f>(F411+F418+F425)*Formulas!$C7</f>
        <v>0</v>
      </c>
      <c r="G522" s="238">
        <f>(G411+G418+G425)*Formulas!$C7</f>
        <v>0</v>
      </c>
      <c r="H522" s="238">
        <f>(H411+H418+H425)*Formulas!$C7</f>
        <v>0</v>
      </c>
      <c r="I522" s="238">
        <f>(I411+I418+I425)*Formulas!$C7</f>
        <v>0</v>
      </c>
      <c r="J522" s="238">
        <f>(J411+J418+J425)*Formulas!$C7</f>
        <v>0</v>
      </c>
      <c r="K522" s="238">
        <f>(K411+K418+K425)*Formulas!$C7</f>
        <v>0</v>
      </c>
      <c r="L522" s="238">
        <f>(L411+L418+L425)*Formulas!$C7</f>
        <v>0</v>
      </c>
      <c r="M522" s="238">
        <f>(M411+M418+M425)*Formulas!$C7</f>
        <v>0</v>
      </c>
      <c r="N522" s="238">
        <f>(N411+N418+N425)*Formulas!$C7</f>
        <v>0</v>
      </c>
      <c r="O522" s="238">
        <f>(O411+O418+O425)*Formulas!$C7</f>
        <v>4.93</v>
      </c>
      <c r="P522" s="238">
        <f>(P411+P418+P425)*Formulas!$C7</f>
        <v>0</v>
      </c>
      <c r="Q522" s="238">
        <f>(Q411+Q418+Q425)*Formulas!$C7</f>
        <v>0</v>
      </c>
      <c r="R522" s="238">
        <f>(R411+R418+R425)*Formulas!$C7</f>
        <v>0</v>
      </c>
      <c r="S522" s="238">
        <f>(S411+S418+S425)*Formulas!$C7</f>
        <v>0</v>
      </c>
      <c r="T522" s="238">
        <f>(T411+T418+T425)*Formulas!$C7</f>
        <v>0</v>
      </c>
      <c r="U522" s="238">
        <f>(U411+U418+U425)*Formulas!$C7</f>
        <v>0</v>
      </c>
      <c r="V522" s="238">
        <f>(V411+V418+V425)*Formulas!$C7</f>
        <v>0</v>
      </c>
      <c r="W522" s="238">
        <f>(W411+W418+W425)*Formulas!$C7</f>
        <v>0</v>
      </c>
      <c r="X522" s="238">
        <f>(X411+X418+X425)*Formulas!$C7</f>
        <v>0</v>
      </c>
      <c r="Y522" s="238">
        <f>(Y411+Y418+Y425)*Formulas!$C7</f>
        <v>0</v>
      </c>
      <c r="Z522" s="238">
        <f>(Z411+Z418+Z425)*Formulas!$C7</f>
        <v>0</v>
      </c>
      <c r="AA522" s="238">
        <f>(AA411+AA418+AA425)*Formulas!$C7</f>
        <v>0</v>
      </c>
      <c r="AB522" s="238">
        <f>(AB411+AB418+AB425)*Formulas!$C7</f>
        <v>0</v>
      </c>
      <c r="AC522" s="238">
        <f>(AC411+AC418+AC425)*Formulas!$C7</f>
        <v>29.58</v>
      </c>
      <c r="AD522" s="304">
        <f t="shared" si="201"/>
        <v>34.51</v>
      </c>
    </row>
    <row r="523" hidden="1">
      <c r="A523" s="33" t="s">
        <v>369</v>
      </c>
      <c r="B523" s="238">
        <f>B522*Formulas!$C37</f>
        <v>0</v>
      </c>
      <c r="C523" s="238">
        <f>C522*Formulas!$C37</f>
        <v>0</v>
      </c>
      <c r="D523" s="238">
        <f>D522*Formulas!$C37</f>
        <v>0</v>
      </c>
      <c r="E523" s="238">
        <f>E522*Formulas!$C37</f>
        <v>0</v>
      </c>
      <c r="F523" s="238">
        <f>F522*Formulas!$C37</f>
        <v>0</v>
      </c>
      <c r="G523" s="238">
        <f>G522*Formulas!$C37</f>
        <v>0</v>
      </c>
      <c r="H523" s="238">
        <f>H522*Formulas!$C37</f>
        <v>0</v>
      </c>
      <c r="I523" s="238">
        <f>I522*Formulas!$C37</f>
        <v>0</v>
      </c>
      <c r="J523" s="238">
        <f>J522*Formulas!$C37</f>
        <v>0</v>
      </c>
      <c r="K523" s="238">
        <f>K522*Formulas!$C37</f>
        <v>0</v>
      </c>
      <c r="L523" s="238">
        <f>L522*Formulas!$C37</f>
        <v>0</v>
      </c>
      <c r="M523" s="238">
        <f>M522*Formulas!$C37</f>
        <v>0</v>
      </c>
      <c r="N523" s="238">
        <f>N522*Formulas!$C37</f>
        <v>0</v>
      </c>
      <c r="O523" s="238">
        <f>O522*Formulas!$C37</f>
        <v>0.36975</v>
      </c>
      <c r="P523" s="238">
        <f>P522*Formulas!$C37</f>
        <v>0</v>
      </c>
      <c r="Q523" s="238">
        <f>Q522*Formulas!$C37</f>
        <v>0</v>
      </c>
      <c r="R523" s="238">
        <f>R522*Formulas!$C37</f>
        <v>0</v>
      </c>
      <c r="S523" s="238">
        <f>S522*Formulas!$C37</f>
        <v>0</v>
      </c>
      <c r="T523" s="238">
        <f>T522*Formulas!$C37</f>
        <v>0</v>
      </c>
      <c r="U523" s="238">
        <f>U522*Formulas!$C37</f>
        <v>0</v>
      </c>
      <c r="V523" s="238">
        <f>V522*Formulas!$C37</f>
        <v>0</v>
      </c>
      <c r="W523" s="238">
        <f>W522*Formulas!$C37</f>
        <v>0</v>
      </c>
      <c r="X523" s="238">
        <f>X522*Formulas!$C37</f>
        <v>0</v>
      </c>
      <c r="Y523" s="238">
        <f>Y522*Formulas!$C37</f>
        <v>0</v>
      </c>
      <c r="Z523" s="238">
        <f>Z522*Formulas!$C37</f>
        <v>0</v>
      </c>
      <c r="AA523" s="238">
        <f>AA522*Formulas!$C37</f>
        <v>0</v>
      </c>
      <c r="AB523" s="238">
        <f>AB522*Formulas!$C37</f>
        <v>0</v>
      </c>
      <c r="AC523" s="238">
        <f>AC522*Formulas!$C37</f>
        <v>2.2185</v>
      </c>
      <c r="AD523" s="304">
        <f t="shared" si="201"/>
        <v>2.58825</v>
      </c>
    </row>
    <row r="524" hidden="1">
      <c r="A524" s="33" t="s">
        <v>370</v>
      </c>
      <c r="B524" s="238">
        <f>B522*Formulas!$C36</f>
        <v>0</v>
      </c>
      <c r="C524" s="238">
        <f>C522*Formulas!$C36</f>
        <v>0</v>
      </c>
      <c r="D524" s="238">
        <f>D522*Formulas!$C36</f>
        <v>0</v>
      </c>
      <c r="E524" s="238">
        <f>E522*Formulas!$C36</f>
        <v>0</v>
      </c>
      <c r="F524" s="238">
        <f>F522*Formulas!$C36</f>
        <v>0</v>
      </c>
      <c r="G524" s="238">
        <f>G522*Formulas!$C36</f>
        <v>0</v>
      </c>
      <c r="H524" s="238">
        <f>H522*Formulas!$C36</f>
        <v>0</v>
      </c>
      <c r="I524" s="238">
        <f>I522*Formulas!$C36</f>
        <v>0</v>
      </c>
      <c r="J524" s="238">
        <f>J522*Formulas!$C36</f>
        <v>0</v>
      </c>
      <c r="K524" s="238">
        <f>K522*Formulas!$C36</f>
        <v>0</v>
      </c>
      <c r="L524" s="238">
        <f>L522*Formulas!$C36</f>
        <v>0</v>
      </c>
      <c r="M524" s="238">
        <f>M522*Formulas!$C36</f>
        <v>0</v>
      </c>
      <c r="N524" s="238">
        <f>N522*Formulas!$C36</f>
        <v>0</v>
      </c>
      <c r="O524" s="238">
        <f>O522*Formulas!$C36</f>
        <v>0.16762</v>
      </c>
      <c r="P524" s="238">
        <f>P522*Formulas!$C36</f>
        <v>0</v>
      </c>
      <c r="Q524" s="238">
        <f>Q522*Formulas!$C36</f>
        <v>0</v>
      </c>
      <c r="R524" s="238">
        <f>R522*Formulas!$C36</f>
        <v>0</v>
      </c>
      <c r="S524" s="238">
        <f>S522*Formulas!$C36</f>
        <v>0</v>
      </c>
      <c r="T524" s="238">
        <f>T522*Formulas!$C36</f>
        <v>0</v>
      </c>
      <c r="U524" s="238">
        <f>U522*Formulas!$C36</f>
        <v>0</v>
      </c>
      <c r="V524" s="238">
        <f>V522*Formulas!$C36</f>
        <v>0</v>
      </c>
      <c r="W524" s="238">
        <f>W522*Formulas!$C36</f>
        <v>0</v>
      </c>
      <c r="X524" s="238">
        <f>X522*Formulas!$C36</f>
        <v>0</v>
      </c>
      <c r="Y524" s="238">
        <f>Y522*Formulas!$C36</f>
        <v>0</v>
      </c>
      <c r="Z524" s="238">
        <f>Z522*Formulas!$C36</f>
        <v>0</v>
      </c>
      <c r="AA524" s="238">
        <f>AA522*Formulas!$C36</f>
        <v>0</v>
      </c>
      <c r="AB524" s="238">
        <f>AB522*Formulas!$C36</f>
        <v>0</v>
      </c>
      <c r="AC524" s="238">
        <f>AC522*Formulas!$C36</f>
        <v>1.00572</v>
      </c>
      <c r="AD524" s="304">
        <f t="shared" si="201"/>
        <v>1.17334</v>
      </c>
    </row>
    <row r="525" hidden="1">
      <c r="A525" s="53" t="s">
        <v>371</v>
      </c>
      <c r="B525" s="238">
        <f>(B413+B420+B427)*Formulas!$C9</f>
        <v>0</v>
      </c>
      <c r="C525" s="238">
        <f>(C413+C420+C427)*Formulas!$C9</f>
        <v>0</v>
      </c>
      <c r="D525" s="238">
        <f>(D413+D420+D427)*Formulas!$C9</f>
        <v>0</v>
      </c>
      <c r="E525" s="238">
        <f>(E413+E420+E427)*Formulas!$C9</f>
        <v>0</v>
      </c>
      <c r="F525" s="238">
        <f>(F413+F420+F427)*Formulas!$C9</f>
        <v>0</v>
      </c>
      <c r="G525" s="238">
        <f>(G413+G420+G427)*Formulas!$C9</f>
        <v>3.21</v>
      </c>
      <c r="H525" s="238">
        <f>(H413+H420+H427)*Formulas!$C9</f>
        <v>0</v>
      </c>
      <c r="I525" s="238">
        <f>(I413+I420+I427)*Formulas!$C9</f>
        <v>0</v>
      </c>
      <c r="J525" s="238">
        <f>(J413+J420+J427)*Formulas!$C9</f>
        <v>0</v>
      </c>
      <c r="K525" s="238">
        <f>(K413+K420+K427)*Formulas!$C9</f>
        <v>0</v>
      </c>
      <c r="L525" s="238">
        <f>(L413+L420+L427)*Formulas!$C9</f>
        <v>0</v>
      </c>
      <c r="M525" s="238">
        <f>(M413+M420+M427)*Formulas!$C9</f>
        <v>0</v>
      </c>
      <c r="N525" s="238">
        <f>(N413+N420+N427)*Formulas!$C9</f>
        <v>0</v>
      </c>
      <c r="O525" s="238">
        <f>(O413+O420+O427)*Formulas!$C9</f>
        <v>0</v>
      </c>
      <c r="P525" s="238">
        <f>(P413+P420+P427)*Formulas!$C9</f>
        <v>0</v>
      </c>
      <c r="Q525" s="238">
        <f>(Q413+Q420+Q427)*Formulas!$C9</f>
        <v>0</v>
      </c>
      <c r="R525" s="238">
        <f>(R413+R420+R427)*Formulas!$C9</f>
        <v>0</v>
      </c>
      <c r="S525" s="238">
        <f>(S413+S420+S427)*Formulas!$C9</f>
        <v>0</v>
      </c>
      <c r="T525" s="238">
        <f>(T413+T420+T427)*Formulas!$C9</f>
        <v>0</v>
      </c>
      <c r="U525" s="238">
        <f>(U413+U420+U427)*Formulas!$C9</f>
        <v>0</v>
      </c>
      <c r="V525" s="238">
        <f>(V413+V420+V427)*Formulas!$C9</f>
        <v>0</v>
      </c>
      <c r="W525" s="238">
        <f>(W413+W420+W427)*Formulas!$C9</f>
        <v>0</v>
      </c>
      <c r="X525" s="238">
        <f>(X413+X420+X427)*Formulas!$C9</f>
        <v>0</v>
      </c>
      <c r="Y525" s="238">
        <f>(Y413+Y420+Y427)*Formulas!$C9</f>
        <v>0</v>
      </c>
      <c r="Z525" s="238">
        <f>(Z413+Z420+Z427)*Formulas!$C9</f>
        <v>0</v>
      </c>
      <c r="AA525" s="238">
        <f>(AA413+AA420+AA427)*Formulas!$C9</f>
        <v>0</v>
      </c>
      <c r="AB525" s="238">
        <f>(AB413+AB420+AB427)*Formulas!$C9</f>
        <v>0</v>
      </c>
      <c r="AC525" s="238">
        <f>(AC413+AC420+AC427)*Formulas!$C9</f>
        <v>2.14</v>
      </c>
      <c r="AD525" s="304">
        <f t="shared" si="201"/>
        <v>5.35</v>
      </c>
    </row>
    <row r="526" hidden="1">
      <c r="A526" s="33" t="s">
        <v>372</v>
      </c>
      <c r="B526" s="238">
        <f>B525*Formulas!$C37</f>
        <v>0</v>
      </c>
      <c r="C526" s="238">
        <f>C525*Formulas!$C37</f>
        <v>0</v>
      </c>
      <c r="D526" s="238">
        <f>D525*Formulas!$C37</f>
        <v>0</v>
      </c>
      <c r="E526" s="238">
        <f>E525*Formulas!$C37</f>
        <v>0</v>
      </c>
      <c r="F526" s="238">
        <f>F525*Formulas!$C37</f>
        <v>0</v>
      </c>
      <c r="G526" s="238">
        <f>G525*Formulas!$C37</f>
        <v>0.24075</v>
      </c>
      <c r="H526" s="238">
        <f>H525*Formulas!$C37</f>
        <v>0</v>
      </c>
      <c r="I526" s="238">
        <f>I525*Formulas!$C37</f>
        <v>0</v>
      </c>
      <c r="J526" s="238">
        <f>J525*Formulas!$C37</f>
        <v>0</v>
      </c>
      <c r="K526" s="238">
        <f>K525*Formulas!$C37</f>
        <v>0</v>
      </c>
      <c r="L526" s="238">
        <f>L525*Formulas!$C37</f>
        <v>0</v>
      </c>
      <c r="M526" s="238">
        <f>M525*Formulas!$C37</f>
        <v>0</v>
      </c>
      <c r="N526" s="238">
        <f>N525*Formulas!$C37</f>
        <v>0</v>
      </c>
      <c r="O526" s="238">
        <f>O525*Formulas!$C37</f>
        <v>0</v>
      </c>
      <c r="P526" s="238">
        <f>P525*Formulas!$C37</f>
        <v>0</v>
      </c>
      <c r="Q526" s="238">
        <f>Q525*Formulas!$C37</f>
        <v>0</v>
      </c>
      <c r="R526" s="238">
        <f>R525*Formulas!$C37</f>
        <v>0</v>
      </c>
      <c r="S526" s="238">
        <f>S525*Formulas!$C37</f>
        <v>0</v>
      </c>
      <c r="T526" s="238">
        <f>T525*Formulas!$C37</f>
        <v>0</v>
      </c>
      <c r="U526" s="238">
        <f>U525*Formulas!$C37</f>
        <v>0</v>
      </c>
      <c r="V526" s="238">
        <f>V525*Formulas!$C37</f>
        <v>0</v>
      </c>
      <c r="W526" s="238">
        <f>W525*Formulas!$C37</f>
        <v>0</v>
      </c>
      <c r="X526" s="238">
        <f>X525*Formulas!$C37</f>
        <v>0</v>
      </c>
      <c r="Y526" s="238">
        <f>Y525*Formulas!$C37</f>
        <v>0</v>
      </c>
      <c r="Z526" s="238">
        <f>Z525*Formulas!$C37</f>
        <v>0</v>
      </c>
      <c r="AA526" s="238">
        <f>AA525*Formulas!$C37</f>
        <v>0</v>
      </c>
      <c r="AB526" s="238">
        <f>AB525*Formulas!$C37</f>
        <v>0</v>
      </c>
      <c r="AC526" s="238">
        <f>AC525*Formulas!$C37</f>
        <v>0.1605</v>
      </c>
      <c r="AD526" s="304">
        <f t="shared" si="201"/>
        <v>0.40125</v>
      </c>
    </row>
    <row r="527" hidden="1">
      <c r="A527" s="33" t="s">
        <v>373</v>
      </c>
      <c r="B527" s="238">
        <f>B525*Formulas!$C36</f>
        <v>0</v>
      </c>
      <c r="C527" s="238">
        <f>C525*Formulas!$C36</f>
        <v>0</v>
      </c>
      <c r="D527" s="238">
        <f>D525*Formulas!$C36</f>
        <v>0</v>
      </c>
      <c r="E527" s="238">
        <f>E525*Formulas!$C36</f>
        <v>0</v>
      </c>
      <c r="F527" s="238">
        <f>F525*Formulas!$C36</f>
        <v>0</v>
      </c>
      <c r="G527" s="238">
        <f>G525*Formulas!$C36</f>
        <v>0.10914</v>
      </c>
      <c r="H527" s="238">
        <f>H525*Formulas!$C36</f>
        <v>0</v>
      </c>
      <c r="I527" s="238">
        <f>I525*Formulas!$C36</f>
        <v>0</v>
      </c>
      <c r="J527" s="238">
        <f>J525*Formulas!$C36</f>
        <v>0</v>
      </c>
      <c r="K527" s="238">
        <f>K525*Formulas!$C36</f>
        <v>0</v>
      </c>
      <c r="L527" s="238">
        <f>L525*Formulas!$C36</f>
        <v>0</v>
      </c>
      <c r="M527" s="238">
        <f>M525*Formulas!$C36</f>
        <v>0</v>
      </c>
      <c r="N527" s="238">
        <f>N525*Formulas!$C36</f>
        <v>0</v>
      </c>
      <c r="O527" s="238">
        <f>O525*Formulas!$C36</f>
        <v>0</v>
      </c>
      <c r="P527" s="238">
        <f>P525*Formulas!$C36</f>
        <v>0</v>
      </c>
      <c r="Q527" s="238">
        <f>Q525*Formulas!$C36</f>
        <v>0</v>
      </c>
      <c r="R527" s="238">
        <f>R525*Formulas!$C36</f>
        <v>0</v>
      </c>
      <c r="S527" s="238">
        <f>S525*Formulas!$C36</f>
        <v>0</v>
      </c>
      <c r="T527" s="238">
        <f>T525*Formulas!$C36</f>
        <v>0</v>
      </c>
      <c r="U527" s="238">
        <f>U525*Formulas!$C36</f>
        <v>0</v>
      </c>
      <c r="V527" s="238">
        <f>V525*Formulas!$C36</f>
        <v>0</v>
      </c>
      <c r="W527" s="238">
        <f>W525*Formulas!$C36</f>
        <v>0</v>
      </c>
      <c r="X527" s="238">
        <f>X525*Formulas!$C36</f>
        <v>0</v>
      </c>
      <c r="Y527" s="238">
        <f>Y525*Formulas!$C36</f>
        <v>0</v>
      </c>
      <c r="Z527" s="238">
        <f>Z525*Formulas!$C36</f>
        <v>0</v>
      </c>
      <c r="AA527" s="238">
        <f>AA525*Formulas!$C36</f>
        <v>0</v>
      </c>
      <c r="AB527" s="238">
        <f>AB525*Formulas!$C36</f>
        <v>0</v>
      </c>
      <c r="AC527" s="238">
        <f>AC525*Formulas!$C36</f>
        <v>0.07276</v>
      </c>
      <c r="AD527" s="304">
        <f t="shared" si="201"/>
        <v>0.1819</v>
      </c>
    </row>
    <row r="528" hidden="1">
      <c r="A528" s="53" t="s">
        <v>374</v>
      </c>
      <c r="B528" s="238">
        <f>(B414+B421+B428)*Formulas!$C10</f>
        <v>0</v>
      </c>
      <c r="C528" s="238">
        <f>(C414+C421+C428)*Formulas!$C10</f>
        <v>0</v>
      </c>
      <c r="D528" s="238">
        <f>(D414+D421+D428)*Formulas!$C10</f>
        <v>0</v>
      </c>
      <c r="E528" s="238">
        <f>(E414+E421+E428)*Formulas!$C10</f>
        <v>0</v>
      </c>
      <c r="F528" s="238">
        <f>(F414+F421+F428)*Formulas!$C10</f>
        <v>0</v>
      </c>
      <c r="G528" s="238">
        <f>(G414+G421+G428)*Formulas!$C10</f>
        <v>0</v>
      </c>
      <c r="H528" s="238">
        <f>(H414+H421+H428)*Formulas!$C10</f>
        <v>0</v>
      </c>
      <c r="I528" s="238">
        <f>(I414+I421+I428)*Formulas!$C10</f>
        <v>0</v>
      </c>
      <c r="J528" s="238">
        <f>(J414+J421+J428)*Formulas!$C10</f>
        <v>0</v>
      </c>
      <c r="K528" s="238">
        <f>(K414+K421+K428)*Formulas!$C10</f>
        <v>0</v>
      </c>
      <c r="L528" s="238">
        <f>(L414+L421+L428)*Formulas!$C10</f>
        <v>0</v>
      </c>
      <c r="M528" s="238">
        <f>(M414+M421+M428)*Formulas!$C10</f>
        <v>0</v>
      </c>
      <c r="N528" s="238">
        <f>(N414+N421+N428)*Formulas!$C10</f>
        <v>0</v>
      </c>
      <c r="O528" s="238">
        <f>(O414+O421+O428)*Formulas!$C10</f>
        <v>0</v>
      </c>
      <c r="P528" s="238">
        <f>(P414+P421+P428)*Formulas!$C10</f>
        <v>0</v>
      </c>
      <c r="Q528" s="238">
        <f>(Q414+Q421+Q428)*Formulas!$C10</f>
        <v>0</v>
      </c>
      <c r="R528" s="238">
        <f>(R414+R421+R428)*Formulas!$C10</f>
        <v>0</v>
      </c>
      <c r="S528" s="238">
        <f>(S414+S421+S428)*Formulas!$C10</f>
        <v>0</v>
      </c>
      <c r="T528" s="238">
        <f>(T414+T421+T428)*Formulas!$C10</f>
        <v>0</v>
      </c>
      <c r="U528" s="238">
        <f>(U414+U421+U428)*Formulas!$C10</f>
        <v>0</v>
      </c>
      <c r="V528" s="238">
        <f>(V414+V421+V428)*Formulas!$C10</f>
        <v>0</v>
      </c>
      <c r="W528" s="238">
        <f>(W414+W421+W428)*Formulas!$C10</f>
        <v>0</v>
      </c>
      <c r="X528" s="238">
        <f>(X414+X421+X428)*Formulas!$C10</f>
        <v>0</v>
      </c>
      <c r="Y528" s="238">
        <f>(Y414+Y421+Y428)*Formulas!$C10</f>
        <v>0</v>
      </c>
      <c r="Z528" s="238">
        <f>(Z414+Z421+Z428)*Formulas!$C10</f>
        <v>0</v>
      </c>
      <c r="AA528" s="238">
        <f>(AA414+AA421+AA428)*Formulas!$C10</f>
        <v>0</v>
      </c>
      <c r="AB528" s="238">
        <f>(AB414+AB421+AB428)*Formulas!$C10</f>
        <v>0</v>
      </c>
      <c r="AC528" s="238">
        <f>(AC414+AC421+AC428)*Formulas!$C10</f>
        <v>0</v>
      </c>
      <c r="AD528" s="304">
        <f t="shared" si="201"/>
        <v>0</v>
      </c>
    </row>
    <row r="529" hidden="1">
      <c r="A529" s="33" t="s">
        <v>375</v>
      </c>
      <c r="B529" s="238">
        <f>B528*Formulas!$C37</f>
        <v>0</v>
      </c>
      <c r="C529" s="238">
        <f>C528*Formulas!$C37</f>
        <v>0</v>
      </c>
      <c r="D529" s="238">
        <f>D528*Formulas!$C37</f>
        <v>0</v>
      </c>
      <c r="E529" s="238">
        <f>E528*Formulas!$C37</f>
        <v>0</v>
      </c>
      <c r="F529" s="238">
        <f>F528*Formulas!$C37</f>
        <v>0</v>
      </c>
      <c r="G529" s="238">
        <f>G528*Formulas!$C37</f>
        <v>0</v>
      </c>
      <c r="H529" s="238">
        <f>H528*Formulas!$C37</f>
        <v>0</v>
      </c>
      <c r="I529" s="238">
        <f>I528*Formulas!$C37</f>
        <v>0</v>
      </c>
      <c r="J529" s="238">
        <f>J528*Formulas!$C37</f>
        <v>0</v>
      </c>
      <c r="K529" s="238">
        <f>K528*Formulas!$C37</f>
        <v>0</v>
      </c>
      <c r="L529" s="238">
        <f>L528*Formulas!$C37</f>
        <v>0</v>
      </c>
      <c r="M529" s="238">
        <f>M528*Formulas!$C37</f>
        <v>0</v>
      </c>
      <c r="N529" s="238">
        <f>N528*Formulas!$C37</f>
        <v>0</v>
      </c>
      <c r="O529" s="238">
        <f>O528*Formulas!$C37</f>
        <v>0</v>
      </c>
      <c r="P529" s="238">
        <f>P528*Formulas!$C37</f>
        <v>0</v>
      </c>
      <c r="Q529" s="238">
        <f>Q528*Formulas!$C37</f>
        <v>0</v>
      </c>
      <c r="R529" s="238">
        <f>R528*Formulas!$C37</f>
        <v>0</v>
      </c>
      <c r="S529" s="238">
        <f>S528*Formulas!$C37</f>
        <v>0</v>
      </c>
      <c r="T529" s="238">
        <f>T528*Formulas!$C37</f>
        <v>0</v>
      </c>
      <c r="U529" s="238">
        <f>U528*Formulas!$C37</f>
        <v>0</v>
      </c>
      <c r="V529" s="238">
        <f>V528*Formulas!$C37</f>
        <v>0</v>
      </c>
      <c r="W529" s="238">
        <f>W528*Formulas!$C37</f>
        <v>0</v>
      </c>
      <c r="X529" s="238">
        <f>X528*Formulas!$C37</f>
        <v>0</v>
      </c>
      <c r="Y529" s="238">
        <f>Y528*Formulas!$C37</f>
        <v>0</v>
      </c>
      <c r="Z529" s="238">
        <f>Z528*Formulas!$C37</f>
        <v>0</v>
      </c>
      <c r="AA529" s="238">
        <f>AA528*Formulas!$C37</f>
        <v>0</v>
      </c>
      <c r="AB529" s="238">
        <f>AB528*Formulas!$C37</f>
        <v>0</v>
      </c>
      <c r="AC529" s="238">
        <f>AC528*Formulas!$C37</f>
        <v>0</v>
      </c>
      <c r="AD529" s="304">
        <f t="shared" si="201"/>
        <v>0</v>
      </c>
    </row>
    <row r="530" hidden="1">
      <c r="A530" s="33" t="s">
        <v>376</v>
      </c>
      <c r="B530" s="238">
        <f>B528*Formulas!$C36</f>
        <v>0</v>
      </c>
      <c r="C530" s="238">
        <f>C528*Formulas!$C36</f>
        <v>0</v>
      </c>
      <c r="D530" s="238">
        <f>D528*Formulas!$C36</f>
        <v>0</v>
      </c>
      <c r="E530" s="238">
        <f>E528*Formulas!$C36</f>
        <v>0</v>
      </c>
      <c r="F530" s="238">
        <f>F528*Formulas!$C36</f>
        <v>0</v>
      </c>
      <c r="G530" s="238">
        <f>G528*Formulas!$C36</f>
        <v>0</v>
      </c>
      <c r="H530" s="238">
        <f>H528*Formulas!$C36</f>
        <v>0</v>
      </c>
      <c r="I530" s="238">
        <f>I528*Formulas!$C36</f>
        <v>0</v>
      </c>
      <c r="J530" s="238">
        <f>J528*Formulas!$C36</f>
        <v>0</v>
      </c>
      <c r="K530" s="238">
        <f>K528*Formulas!$C36</f>
        <v>0</v>
      </c>
      <c r="L530" s="238">
        <f>L528*Formulas!$C36</f>
        <v>0</v>
      </c>
      <c r="M530" s="238">
        <f>M528*Formulas!$C36</f>
        <v>0</v>
      </c>
      <c r="N530" s="238">
        <f>N528*Formulas!$C36</f>
        <v>0</v>
      </c>
      <c r="O530" s="238">
        <f>O528*Formulas!$C36</f>
        <v>0</v>
      </c>
      <c r="P530" s="238">
        <f>P528*Formulas!$C36</f>
        <v>0</v>
      </c>
      <c r="Q530" s="238">
        <f>Q528*Formulas!$C36</f>
        <v>0</v>
      </c>
      <c r="R530" s="238">
        <f>R528*Formulas!$C36</f>
        <v>0</v>
      </c>
      <c r="S530" s="238">
        <f>S528*Formulas!$C36</f>
        <v>0</v>
      </c>
      <c r="T530" s="238">
        <f>T528*Formulas!$C36</f>
        <v>0</v>
      </c>
      <c r="U530" s="238">
        <f>U528*Formulas!$C36</f>
        <v>0</v>
      </c>
      <c r="V530" s="238">
        <f>V528*Formulas!$C36</f>
        <v>0</v>
      </c>
      <c r="W530" s="238">
        <f>W528*Formulas!$C36</f>
        <v>0</v>
      </c>
      <c r="X530" s="238">
        <f>X528*Formulas!$C36</f>
        <v>0</v>
      </c>
      <c r="Y530" s="238">
        <f>Y528*Formulas!$C36</f>
        <v>0</v>
      </c>
      <c r="Z530" s="238">
        <f>Z528*Formulas!$C36</f>
        <v>0</v>
      </c>
      <c r="AA530" s="238">
        <f>AA528*Formulas!$C36</f>
        <v>0</v>
      </c>
      <c r="AB530" s="238">
        <f>AB528*Formulas!$C36</f>
        <v>0</v>
      </c>
      <c r="AC530" s="238">
        <f>AC528*Formulas!$C36</f>
        <v>0</v>
      </c>
      <c r="AD530" s="304">
        <f t="shared" si="201"/>
        <v>0</v>
      </c>
    </row>
    <row r="531" hidden="1">
      <c r="A531" s="53" t="s">
        <v>377</v>
      </c>
      <c r="B531" s="238">
        <f>(B415+B422+B429)*Formulas!$C6</f>
        <v>0</v>
      </c>
      <c r="C531" s="238">
        <f>(C415+C422+C429)*Formulas!$C6</f>
        <v>0</v>
      </c>
      <c r="D531" s="238">
        <f>(D415+D422+D429)*Formulas!$C6</f>
        <v>0</v>
      </c>
      <c r="E531" s="238">
        <f>(E415+E422+E429)*Formulas!$C6</f>
        <v>0</v>
      </c>
      <c r="F531" s="238">
        <f>(F415+F422+F429)*Formulas!$C6</f>
        <v>0</v>
      </c>
      <c r="G531" s="238">
        <f>(G415+G422+G429)*Formulas!$C6</f>
        <v>29.94</v>
      </c>
      <c r="H531" s="238">
        <f>(H415+H422+H429)*Formulas!$C6</f>
        <v>79.84</v>
      </c>
      <c r="I531" s="238">
        <f>(I415+I422+I429)*Formulas!$C6</f>
        <v>0</v>
      </c>
      <c r="J531" s="238">
        <f>(J415+J422+J429)*Formulas!$C6</f>
        <v>0</v>
      </c>
      <c r="K531" s="238">
        <f>(K415+K422+K429)*Formulas!$C6</f>
        <v>0</v>
      </c>
      <c r="L531" s="238">
        <f>(L415+L422+L429)*Formulas!$C6</f>
        <v>0</v>
      </c>
      <c r="M531" s="238">
        <f>(M415+M422+M429)*Formulas!$C6</f>
        <v>0</v>
      </c>
      <c r="N531" s="238">
        <f>(N415+N422+N429)*Formulas!$C6</f>
        <v>0</v>
      </c>
      <c r="O531" s="238">
        <f>(O415+O422+O429)*Formulas!$C6</f>
        <v>189.62</v>
      </c>
      <c r="P531" s="238">
        <f>(P415+P422+P429)*Formulas!$C6</f>
        <v>0</v>
      </c>
      <c r="Q531" s="238">
        <f>(Q415+Q422+Q429)*Formulas!$C6</f>
        <v>0</v>
      </c>
      <c r="R531" s="238">
        <f>(R415+R422+R429)*Formulas!$C6</f>
        <v>0</v>
      </c>
      <c r="S531" s="238">
        <f>(S415+S422+S429)*Formulas!$C6</f>
        <v>0</v>
      </c>
      <c r="T531" s="238">
        <f>(T415+T422+T429)*Formulas!$C6</f>
        <v>0</v>
      </c>
      <c r="U531" s="238">
        <f>(U415+U422+U429)*Formulas!$C6</f>
        <v>0</v>
      </c>
      <c r="V531" s="238">
        <f>(V415+V422+V429)*Formulas!$C6</f>
        <v>59.88</v>
      </c>
      <c r="W531" s="238">
        <f>(W415+W422+W429)*Formulas!$C6</f>
        <v>0</v>
      </c>
      <c r="X531" s="238">
        <f>(X415+X422+X429)*Formulas!$C6</f>
        <v>0</v>
      </c>
      <c r="Y531" s="238">
        <f>(Y415+Y422+Y429)*Formulas!$C6</f>
        <v>0</v>
      </c>
      <c r="Z531" s="238">
        <f>(Z415+Z422+Z429)*Formulas!$C6</f>
        <v>0</v>
      </c>
      <c r="AA531" s="238">
        <f>(AA415+AA422+AA429)*Formulas!$C6</f>
        <v>0</v>
      </c>
      <c r="AB531" s="238">
        <f>(AB415+AB422+AB429)*Formulas!$C6</f>
        <v>0</v>
      </c>
      <c r="AC531" s="238">
        <f>(AC415+AC422+AC429)*Formulas!$C6</f>
        <v>1067.86</v>
      </c>
      <c r="AD531" s="304">
        <f t="shared" si="201"/>
        <v>1427.14</v>
      </c>
    </row>
    <row r="532" hidden="1">
      <c r="A532" s="33" t="s">
        <v>378</v>
      </c>
      <c r="B532" s="238">
        <f>B531*Formulas!$C40</f>
        <v>0</v>
      </c>
      <c r="C532" s="238">
        <f>C531*Formulas!$C40</f>
        <v>0</v>
      </c>
      <c r="D532" s="238">
        <f>D531*Formulas!$C40</f>
        <v>0</v>
      </c>
      <c r="E532" s="238">
        <f>E531*Formulas!$C40</f>
        <v>0</v>
      </c>
      <c r="F532" s="238">
        <f>F531*Formulas!$C40</f>
        <v>0</v>
      </c>
      <c r="G532" s="238">
        <f>G531*Formulas!$C40</f>
        <v>7.485</v>
      </c>
      <c r="H532" s="238">
        <f>H531*Formulas!$C40</f>
        <v>19.96</v>
      </c>
      <c r="I532" s="238">
        <f>I531*Formulas!$C40</f>
        <v>0</v>
      </c>
      <c r="J532" s="238">
        <f>J531*Formulas!$C40</f>
        <v>0</v>
      </c>
      <c r="K532" s="238">
        <f>K531*Formulas!$C40</f>
        <v>0</v>
      </c>
      <c r="L532" s="238">
        <f>L531*Formulas!$C40</f>
        <v>0</v>
      </c>
      <c r="M532" s="238">
        <f>M531*Formulas!$C40</f>
        <v>0</v>
      </c>
      <c r="N532" s="238">
        <f>N531*Formulas!$C40</f>
        <v>0</v>
      </c>
      <c r="O532" s="238">
        <f>O531*Formulas!$C40</f>
        <v>47.405</v>
      </c>
      <c r="P532" s="238">
        <f>P531*Formulas!$C40</f>
        <v>0</v>
      </c>
      <c r="Q532" s="238">
        <f>Q531*Formulas!$C40</f>
        <v>0</v>
      </c>
      <c r="R532" s="238">
        <f>R531*Formulas!$C40</f>
        <v>0</v>
      </c>
      <c r="S532" s="238">
        <f>S531*Formulas!$C40</f>
        <v>0</v>
      </c>
      <c r="T532" s="238">
        <f>T531*Formulas!$C40</f>
        <v>0</v>
      </c>
      <c r="U532" s="238">
        <f>U531*Formulas!$C40</f>
        <v>0</v>
      </c>
      <c r="V532" s="238">
        <f>V531*Formulas!$C40</f>
        <v>14.97</v>
      </c>
      <c r="W532" s="238">
        <f>W531*Formulas!$C40</f>
        <v>0</v>
      </c>
      <c r="X532" s="238">
        <f>X531*Formulas!$C40</f>
        <v>0</v>
      </c>
      <c r="Y532" s="238">
        <f>Y531*Formulas!$C40</f>
        <v>0</v>
      </c>
      <c r="Z532" s="238">
        <f>Z531*Formulas!$C40</f>
        <v>0</v>
      </c>
      <c r="AA532" s="238">
        <f>AA531*Formulas!$C40</f>
        <v>0</v>
      </c>
      <c r="AB532" s="238">
        <f>AB531*Formulas!$C40</f>
        <v>0</v>
      </c>
      <c r="AC532" s="238">
        <f>AC531*Formulas!$C40</f>
        <v>266.965</v>
      </c>
      <c r="AD532" s="304">
        <f t="shared" si="201"/>
        <v>356.785</v>
      </c>
    </row>
    <row r="533" hidden="1">
      <c r="A533" s="33" t="s">
        <v>379</v>
      </c>
      <c r="B533" s="238">
        <f>B531*Formulas!$C41</f>
        <v>0</v>
      </c>
      <c r="C533" s="238">
        <f>C531*Formulas!$C41</f>
        <v>0</v>
      </c>
      <c r="D533" s="238">
        <f>D531*Formulas!$C41</f>
        <v>0</v>
      </c>
      <c r="E533" s="238">
        <f>E531*Formulas!$C41</f>
        <v>0</v>
      </c>
      <c r="F533" s="238">
        <f>F531*Formulas!$C41</f>
        <v>0</v>
      </c>
      <c r="G533" s="238">
        <f>G531*Formulas!$C41</f>
        <v>0.7485</v>
      </c>
      <c r="H533" s="238">
        <f>H531*Formulas!$C41</f>
        <v>1.996</v>
      </c>
      <c r="I533" s="238">
        <f>I531*Formulas!$C41</f>
        <v>0</v>
      </c>
      <c r="J533" s="238">
        <f>J531*Formulas!$C41</f>
        <v>0</v>
      </c>
      <c r="K533" s="238">
        <f>K531*Formulas!$C41</f>
        <v>0</v>
      </c>
      <c r="L533" s="238">
        <f>L531*Formulas!$C41</f>
        <v>0</v>
      </c>
      <c r="M533" s="238">
        <f>M531*Formulas!$C41</f>
        <v>0</v>
      </c>
      <c r="N533" s="238">
        <f>N531*Formulas!$C41</f>
        <v>0</v>
      </c>
      <c r="O533" s="238">
        <f>O531*Formulas!$C41</f>
        <v>4.7405</v>
      </c>
      <c r="P533" s="238">
        <f>P531*Formulas!$C41</f>
        <v>0</v>
      </c>
      <c r="Q533" s="238">
        <f>Q531*Formulas!$C41</f>
        <v>0</v>
      </c>
      <c r="R533" s="238">
        <f>R531*Formulas!$C41</f>
        <v>0</v>
      </c>
      <c r="S533" s="238">
        <f>S531*Formulas!$C41</f>
        <v>0</v>
      </c>
      <c r="T533" s="238">
        <f>T531*Formulas!$C41</f>
        <v>0</v>
      </c>
      <c r="U533" s="238">
        <f>U531*Formulas!$C41</f>
        <v>0</v>
      </c>
      <c r="V533" s="238">
        <f>V531*Formulas!$C41</f>
        <v>1.497</v>
      </c>
      <c r="W533" s="238">
        <f>W531*Formulas!$C41</f>
        <v>0</v>
      </c>
      <c r="X533" s="238">
        <f>X531*Formulas!$C41</f>
        <v>0</v>
      </c>
      <c r="Y533" s="238">
        <f>Y531*Formulas!$C41</f>
        <v>0</v>
      </c>
      <c r="Z533" s="238">
        <f>Z531*Formulas!$C41</f>
        <v>0</v>
      </c>
      <c r="AA533" s="238">
        <f>AA531*Formulas!$C41</f>
        <v>0</v>
      </c>
      <c r="AB533" s="238">
        <f>AB531*Formulas!$C41</f>
        <v>0</v>
      </c>
      <c r="AC533" s="238">
        <f>AC531*Formulas!$C41</f>
        <v>26.6965</v>
      </c>
      <c r="AD533" s="304">
        <f t="shared" si="201"/>
        <v>35.6785</v>
      </c>
    </row>
    <row r="534" hidden="1">
      <c r="A534" s="33" t="s">
        <v>380</v>
      </c>
      <c r="B534" s="238">
        <f>(B515+B517+B519+B522+B525+B528+B531)*Formulas!$C38</f>
        <v>0</v>
      </c>
      <c r="C534" s="238">
        <f>(C515+C517+C519+C522+C525+C528+C531)*Formulas!$C38</f>
        <v>0</v>
      </c>
      <c r="D534" s="238">
        <f>(D515+D517+D519+D522+D525+D528+D531)*Formulas!$C38</f>
        <v>0</v>
      </c>
      <c r="E534" s="238">
        <f>(E515+E517+E519+E522+E525+E528+E531)*Formulas!$C38</f>
        <v>0</v>
      </c>
      <c r="F534" s="238">
        <f>(F515+F517+F519+F522+F525+F528+F531)*Formulas!$C38</f>
        <v>0</v>
      </c>
      <c r="G534" s="238">
        <f>(G515+G517+G519+G522+G525+G528+G531)*Formulas!$C38</f>
        <v>0.4902125</v>
      </c>
      <c r="H534" s="238">
        <f>(H515+H517+H519+H522+H525+H528+H531)*Formulas!$C38</f>
        <v>5.7422</v>
      </c>
      <c r="I534" s="238">
        <f>(I515+I517+I519+I522+I525+I528+I531)*Formulas!$C38</f>
        <v>0</v>
      </c>
      <c r="J534" s="238">
        <f>(J515+J517+J519+J522+J525+J528+J531)*Formulas!$C38</f>
        <v>0</v>
      </c>
      <c r="K534" s="238">
        <f>(K515+K517+K519+K522+K525+K528+K531)*Formulas!$C38</f>
        <v>0</v>
      </c>
      <c r="L534" s="238">
        <f>(L515+L517+L519+L522+L525+L528+L531)*Formulas!$C38</f>
        <v>0</v>
      </c>
      <c r="M534" s="238">
        <f>(M515+M517+M519+M522+M525+M528+M531)*Formulas!$C38</f>
        <v>0</v>
      </c>
      <c r="N534" s="238">
        <f>(N515+N517+N519+N522+N525+N528+N531)*Formulas!$C38</f>
        <v>0</v>
      </c>
      <c r="O534" s="238">
        <f>(O515+O517+O519+O522+O525+O528+O531)*Formulas!$C38</f>
        <v>14.4453125</v>
      </c>
      <c r="P534" s="238">
        <f>(P515+P517+P519+P522+P525+P528+P531)*Formulas!$C38</f>
        <v>0</v>
      </c>
      <c r="Q534" s="238">
        <f>(Q515+Q517+Q519+Q522+Q525+Q528+Q531)*Formulas!$C38</f>
        <v>0</v>
      </c>
      <c r="R534" s="238">
        <f>(R515+R517+R519+R522+R525+R528+R531)*Formulas!$C38</f>
        <v>0</v>
      </c>
      <c r="S534" s="238">
        <f>(S515+S517+S519+S522+S525+S528+S531)*Formulas!$C38</f>
        <v>0</v>
      </c>
      <c r="T534" s="238">
        <f>(T515+T517+T519+T522+T525+T528+T531)*Formulas!$C38</f>
        <v>0</v>
      </c>
      <c r="U534" s="238">
        <f>(U515+U517+U519+U522+U525+U528+U531)*Formulas!$C38</f>
        <v>0</v>
      </c>
      <c r="V534" s="238">
        <f>(V515+V517+V519+V522+V525+V528+V531)*Formulas!$C38</f>
        <v>15.9441</v>
      </c>
      <c r="W534" s="238">
        <f>(W515+W517+W519+W522+W525+W528+W531)*Formulas!$C38</f>
        <v>0</v>
      </c>
      <c r="X534" s="238">
        <f>(X515+X517+X519+X522+X525+X528+X531)*Formulas!$C38</f>
        <v>0</v>
      </c>
      <c r="Y534" s="238">
        <f>(Y515+Y517+Y519+Y522+Y525+Y528+Y531)*Formulas!$C38</f>
        <v>0</v>
      </c>
      <c r="Z534" s="238">
        <f>(Z515+Z517+Z519+Z522+Z525+Z528+Z531)*Formulas!$C38</f>
        <v>0</v>
      </c>
      <c r="AA534" s="238">
        <f>(AA515+AA517+AA519+AA522+AA525+AA528+AA531)*Formulas!$C38</f>
        <v>0</v>
      </c>
      <c r="AB534" s="238">
        <f>(AB515+AB517+AB519+AB522+AB525+AB528+AB531)*Formulas!$C38</f>
        <v>0</v>
      </c>
      <c r="AC534" s="238">
        <f>(AC515+AC517+AC519+AC522+AC525+AC528+AC531)*Formulas!$C38</f>
        <v>15.320075</v>
      </c>
      <c r="AD534" s="304">
        <f t="shared" si="201"/>
        <v>51.9419</v>
      </c>
    </row>
    <row r="535" hidden="1">
      <c r="A535" s="33" t="s">
        <v>382</v>
      </c>
      <c r="B535" s="238">
        <f>((B402+B403)*Formulas!$C13)+((B404+B405)*Formulas!$C14)+((B406+B407)*Formulas!$C15)</f>
        <v>0</v>
      </c>
      <c r="C535" s="238">
        <f>((C402+C403)*Formulas!$C13)+((C404+C405)*Formulas!$C14)+((C406+C407)*Formulas!$C15)</f>
        <v>0</v>
      </c>
      <c r="D535" s="238">
        <f>((D402+D403)*Formulas!$C13)+((D404+D405)*Formulas!$C14)+((D406+D407)*Formulas!$C15)</f>
        <v>0</v>
      </c>
      <c r="E535" s="238">
        <f>((E402+E403)*Formulas!$C13)+((E404+E405)*Formulas!$C14)+((E406+E407)*Formulas!$C15)</f>
        <v>0</v>
      </c>
      <c r="F535" s="238">
        <f>((F402+F403)*Formulas!$C13)+((F404+F405)*Formulas!$C14)+((F406+F407)*Formulas!$C15)</f>
        <v>0</v>
      </c>
      <c r="G535" s="238">
        <f>((G402+G403)*Formulas!$C13)+((G404+G405)*Formulas!$C14)+((G406+G407)*Formulas!$C15)</f>
        <v>92.15</v>
      </c>
      <c r="H535" s="238">
        <f>((H402+H403)*Formulas!$C13)+((H404+H405)*Formulas!$C14)+((H406+H407)*Formulas!$C15)</f>
        <v>1179.52</v>
      </c>
      <c r="I535" s="238">
        <f>((I402+I403)*Formulas!$C13)+((I404+I405)*Formulas!$C14)+((I406+I407)*Formulas!$C15)</f>
        <v>0</v>
      </c>
      <c r="J535" s="238">
        <f>((J402+J403)*Formulas!$C13)+((J404+J405)*Formulas!$C14)+((J406+J407)*Formulas!$C15)</f>
        <v>0</v>
      </c>
      <c r="K535" s="238">
        <f>((K402+K403)*Formulas!$C13)+((K404+K405)*Formulas!$C14)+((K406+K407)*Formulas!$C15)</f>
        <v>0</v>
      </c>
      <c r="L535" s="238">
        <f>((L402+L403)*Formulas!$C13)+((L404+L405)*Formulas!$C14)+((L406+L407)*Formulas!$C15)</f>
        <v>0</v>
      </c>
      <c r="M535" s="238">
        <f>((M402+M403)*Formulas!$C13)+((M404+M405)*Formulas!$C14)+((M406+M407)*Formulas!$C15)</f>
        <v>0</v>
      </c>
      <c r="N535" s="238">
        <f>((N402+N403)*Formulas!$C13)+((N404+N405)*Formulas!$C14)+((N406+N407)*Formulas!$C15)</f>
        <v>0</v>
      </c>
      <c r="O535" s="238">
        <f>((O402+O403)*Formulas!$C13)+((O404+O405)*Formulas!$C14)+((O406+O407)*Formulas!$C15)</f>
        <v>2967.23</v>
      </c>
      <c r="P535" s="238">
        <f>((P402+P403)*Formulas!$C13)+((P404+P405)*Formulas!$C14)+((P406+P407)*Formulas!$C15)</f>
        <v>0</v>
      </c>
      <c r="Q535" s="238">
        <f>((Q402+Q403)*Formulas!$C13)+((Q404+Q405)*Formulas!$C14)+((Q406+Q407)*Formulas!$C15)</f>
        <v>0</v>
      </c>
      <c r="R535" s="238">
        <f>((R402+R403)*Formulas!$C13)+((R404+R405)*Formulas!$C14)+((R406+R407)*Formulas!$C15)</f>
        <v>0</v>
      </c>
      <c r="S535" s="238">
        <f>((S402+S403)*Formulas!$C13)+((S404+S405)*Formulas!$C14)+((S406+S407)*Formulas!$C15)</f>
        <v>0</v>
      </c>
      <c r="T535" s="238">
        <f>((T402+T403)*Formulas!$C13)+((T404+T405)*Formulas!$C14)+((T406+T407)*Formulas!$C15)</f>
        <v>0</v>
      </c>
      <c r="U535" s="238">
        <f>((U402+U403)*Formulas!$C13)+((U404+U405)*Formulas!$C14)+((U406+U407)*Formulas!$C15)</f>
        <v>0</v>
      </c>
      <c r="V535" s="238">
        <f>((V402+V403)*Formulas!$C13)+((V404+V405)*Formulas!$C14)+((V406+V407)*Formulas!$C15)</f>
        <v>3317.4</v>
      </c>
      <c r="W535" s="238">
        <f>((W402+W403)*Formulas!$C13)+((W404+W405)*Formulas!$C14)+((W406+W407)*Formulas!$C15)</f>
        <v>0</v>
      </c>
      <c r="X535" s="238">
        <f>((X402+X403)*Formulas!$C13)+((X404+X405)*Formulas!$C14)+((X406+X407)*Formulas!$C15)</f>
        <v>0</v>
      </c>
      <c r="Y535" s="238">
        <f>((Y402+Y403)*Formulas!$C13)+((Y404+Y405)*Formulas!$C14)+((Y406+Y407)*Formulas!$C15)</f>
        <v>0</v>
      </c>
      <c r="Z535" s="238">
        <f>((Z402+Z403)*Formulas!$C13)+((Z404+Z405)*Formulas!$C14)+((Z406+Z407)*Formulas!$C15)</f>
        <v>0</v>
      </c>
      <c r="AA535" s="238">
        <f>((AA402+AA403)*Formulas!$C13)+((AA404+AA405)*Formulas!$C14)+((AA406+AA407)*Formulas!$C15)</f>
        <v>0</v>
      </c>
      <c r="AB535" s="238">
        <f>((AB402+AB403)*Formulas!$C13)+((AB404+AB405)*Formulas!$C14)+((AB406+AB407)*Formulas!$C15)</f>
        <v>0</v>
      </c>
      <c r="AC535" s="238">
        <f>((AC402+AC403)*Formulas!$C13)+((AC404+AC405)*Formulas!$C14)+((AC406+AC407)*Formulas!$C15)</f>
        <v>2911.94</v>
      </c>
      <c r="AD535" s="304">
        <f t="shared" si="201"/>
        <v>10468.24</v>
      </c>
    </row>
    <row r="536" hidden="1">
      <c r="A536" s="33" t="s">
        <v>383</v>
      </c>
      <c r="B536" s="238">
        <f>((B402+B403)*Formulas!$C16)+((B404+B405)*Formulas!$C17)+((B406+B407)*Formulas!$C18)</f>
        <v>0</v>
      </c>
      <c r="C536" s="238">
        <f>((C402+C403)*Formulas!$C16)+((C404+C405)*Formulas!$C17)+((C406+C407)*Formulas!$C18)</f>
        <v>0</v>
      </c>
      <c r="D536" s="238">
        <f>((D402+D403)*Formulas!$C16)+((D404+D405)*Formulas!$C17)+((D406+D407)*Formulas!$C18)</f>
        <v>0</v>
      </c>
      <c r="E536" s="238">
        <f>((E402+E403)*Formulas!$C16)+((E404+E405)*Formulas!$C17)+((E406+E407)*Formulas!$C18)</f>
        <v>0</v>
      </c>
      <c r="F536" s="238">
        <f>((F402+F403)*Formulas!$C16)+((F404+F405)*Formulas!$C17)+((F406+F407)*Formulas!$C18)</f>
        <v>0</v>
      </c>
      <c r="G536" s="238">
        <f>((G402+G403)*Formulas!$C16)+((G404+G405)*Formulas!$C17)+((G406+G407)*Formulas!$C18)</f>
        <v>57.95</v>
      </c>
      <c r="H536" s="238">
        <f>((H402+H403)*Formulas!$C16)+((H404+H405)*Formulas!$C17)+((H406+H407)*Formulas!$C18)</f>
        <v>741.76</v>
      </c>
      <c r="I536" s="238">
        <f>((I402+I403)*Formulas!$C16)+((I404+I405)*Formulas!$C17)+((I406+I407)*Formulas!$C18)</f>
        <v>0</v>
      </c>
      <c r="J536" s="238">
        <f>((J402+J403)*Formulas!$C16)+((J404+J405)*Formulas!$C17)+((J406+J407)*Formulas!$C18)</f>
        <v>0</v>
      </c>
      <c r="K536" s="238">
        <f>((K402+K403)*Formulas!$C16)+((K404+K405)*Formulas!$C17)+((K406+K407)*Formulas!$C18)</f>
        <v>0</v>
      </c>
      <c r="L536" s="238">
        <f>((L402+L403)*Formulas!$C16)+((L404+L405)*Formulas!$C17)+((L406+L407)*Formulas!$C18)</f>
        <v>0</v>
      </c>
      <c r="M536" s="238">
        <f>((M402+M403)*Formulas!$C16)+((M404+M405)*Formulas!$C17)+((M406+M407)*Formulas!$C18)</f>
        <v>0</v>
      </c>
      <c r="N536" s="238">
        <f>((N402+N403)*Formulas!$C16)+((N404+N405)*Formulas!$C17)+((N406+N407)*Formulas!$C18)</f>
        <v>0</v>
      </c>
      <c r="O536" s="238">
        <f>((O402+O403)*Formulas!$C16)+((O404+O405)*Formulas!$C17)+((O406+O407)*Formulas!$C18)</f>
        <v>1865.99</v>
      </c>
      <c r="P536" s="238">
        <f>((P402+P403)*Formulas!$C16)+((P404+P405)*Formulas!$C17)+((P406+P407)*Formulas!$C18)</f>
        <v>0</v>
      </c>
      <c r="Q536" s="238">
        <f>((Q402+Q403)*Formulas!$C16)+((Q404+Q405)*Formulas!$C17)+((Q406+Q407)*Formulas!$C18)</f>
        <v>0</v>
      </c>
      <c r="R536" s="238">
        <f>((R402+R403)*Formulas!$C16)+((R404+R405)*Formulas!$C17)+((R406+R407)*Formulas!$C18)</f>
        <v>0</v>
      </c>
      <c r="S536" s="238">
        <f>((S402+S403)*Formulas!$C16)+((S404+S405)*Formulas!$C17)+((S406+S407)*Formulas!$C18)</f>
        <v>0</v>
      </c>
      <c r="T536" s="238">
        <f>((T402+T403)*Formulas!$C16)+((T404+T405)*Formulas!$C17)+((T406+T407)*Formulas!$C18)</f>
        <v>0</v>
      </c>
      <c r="U536" s="238">
        <f>((U402+U403)*Formulas!$C16)+((U404+U405)*Formulas!$C17)+((U406+U407)*Formulas!$C18)</f>
        <v>0</v>
      </c>
      <c r="V536" s="238">
        <f>((V402+V403)*Formulas!$C16)+((V404+V405)*Formulas!$C17)+((V406+V407)*Formulas!$C18)</f>
        <v>2086.2</v>
      </c>
      <c r="W536" s="238">
        <f>((W402+W403)*Formulas!$C16)+((W404+W405)*Formulas!$C17)+((W406+W407)*Formulas!$C18)</f>
        <v>0</v>
      </c>
      <c r="X536" s="238">
        <f>((X402+X403)*Formulas!$C16)+((X404+X405)*Formulas!$C17)+((X406+X407)*Formulas!$C18)</f>
        <v>0</v>
      </c>
      <c r="Y536" s="238">
        <f>((Y402+Y403)*Formulas!$C16)+((Y404+Y405)*Formulas!$C17)+((Y406+Y407)*Formulas!$C18)</f>
        <v>0</v>
      </c>
      <c r="Z536" s="238">
        <f>((Z402+Z403)*Formulas!$C16)+((Z404+Z405)*Formulas!$C17)+((Z406+Z407)*Formulas!$C18)</f>
        <v>0</v>
      </c>
      <c r="AA536" s="238">
        <f>((AA402+AA403)*Formulas!$C16)+((AA404+AA405)*Formulas!$C17)+((AA406+AA407)*Formulas!$C18)</f>
        <v>0</v>
      </c>
      <c r="AB536" s="238">
        <f>((AB402+AB403)*Formulas!$C16)+((AB404+AB405)*Formulas!$C17)+((AB406+AB407)*Formulas!$C18)</f>
        <v>0</v>
      </c>
      <c r="AC536" s="238">
        <f>((AC402+AC403)*Formulas!$C16)+((AC404+AC405)*Formulas!$C17)+((AC406+AC407)*Formulas!$C18)</f>
        <v>1831.22</v>
      </c>
      <c r="AD536" s="304">
        <f t="shared" si="201"/>
        <v>6583.12</v>
      </c>
    </row>
    <row r="537" hidden="1">
      <c r="A537" s="33" t="s">
        <v>384</v>
      </c>
      <c r="B537" s="238">
        <f>(B416*Formulas!$F13)+(B423*Formulas!$F14)+(B430*Formulas!$F15)</f>
        <v>0</v>
      </c>
      <c r="C537" s="238">
        <f>(C416*Formulas!$F13)+(C423*Formulas!$F14)+(C430*Formulas!$F15)</f>
        <v>0</v>
      </c>
      <c r="D537" s="238">
        <f>(D416*Formulas!$F13)+(D423*Formulas!$F14)+(D430*Formulas!$F15)</f>
        <v>0</v>
      </c>
      <c r="E537" s="238">
        <f>(E416*Formulas!$F13)+(E423*Formulas!$F14)+(E430*Formulas!$F15)</f>
        <v>0</v>
      </c>
      <c r="F537" s="238">
        <f>(F416*Formulas!$F13)+(F423*Formulas!$F14)+(F430*Formulas!$F15)</f>
        <v>0</v>
      </c>
      <c r="G537" s="238">
        <f>(G416*Formulas!$F13)+(G423*Formulas!$F14)+(G430*Formulas!$F15)</f>
        <v>8.54</v>
      </c>
      <c r="H537" s="238">
        <f>(H416*Formulas!$F13)+(H423*Formulas!$F14)+(H430*Formulas!$F15)</f>
        <v>9.76</v>
      </c>
      <c r="I537" s="238">
        <f>(I416*Formulas!$F13)+(I423*Formulas!$F14)+(I430*Formulas!$F15)</f>
        <v>0</v>
      </c>
      <c r="J537" s="238">
        <f>(J416*Formulas!$F13)+(J423*Formulas!$F14)+(J430*Formulas!$F15)</f>
        <v>0</v>
      </c>
      <c r="K537" s="238">
        <f>(K416*Formulas!$F13)+(K423*Formulas!$F14)+(K430*Formulas!$F15)</f>
        <v>0</v>
      </c>
      <c r="L537" s="238">
        <f>(L416*Formulas!$F13)+(L423*Formulas!$F14)+(L430*Formulas!$F15)</f>
        <v>0</v>
      </c>
      <c r="M537" s="238">
        <f>(M416*Formulas!$F13)+(M423*Formulas!$F14)+(M430*Formulas!$F15)</f>
        <v>0</v>
      </c>
      <c r="N537" s="238">
        <f>(N416*Formulas!$F13)+(N423*Formulas!$F14)+(N430*Formulas!$F15)</f>
        <v>0</v>
      </c>
      <c r="O537" s="238">
        <f>(O416*Formulas!$F13)+(O423*Formulas!$F14)+(O430*Formulas!$F15)</f>
        <v>25.62</v>
      </c>
      <c r="P537" s="238">
        <f>(P416*Formulas!$F13)+(P423*Formulas!$F14)+(P430*Formulas!$F15)</f>
        <v>0</v>
      </c>
      <c r="Q537" s="238">
        <f>(Q416*Formulas!$F13)+(Q423*Formulas!$F14)+(Q430*Formulas!$F15)</f>
        <v>0</v>
      </c>
      <c r="R537" s="238">
        <f>(R416*Formulas!$F13)+(R423*Formulas!$F14)+(R430*Formulas!$F15)</f>
        <v>0</v>
      </c>
      <c r="S537" s="238">
        <f>(S416*Formulas!$F13)+(S423*Formulas!$F14)+(S430*Formulas!$F15)</f>
        <v>0</v>
      </c>
      <c r="T537" s="238">
        <f>(T416*Formulas!$F13)+(T423*Formulas!$F14)+(T430*Formulas!$F15)</f>
        <v>0</v>
      </c>
      <c r="U537" s="238">
        <f>(U416*Formulas!$F13)+(U423*Formulas!$F14)+(U430*Formulas!$F15)</f>
        <v>0</v>
      </c>
      <c r="V537" s="238">
        <f>(V416*Formulas!$F13)+(V423*Formulas!$F14)+(V430*Formulas!$F15)</f>
        <v>7.32</v>
      </c>
      <c r="W537" s="238">
        <f>(W416*Formulas!$F13)+(W423*Formulas!$F14)+(W430*Formulas!$F15)</f>
        <v>0</v>
      </c>
      <c r="X537" s="238">
        <f>(X416*Formulas!$F13)+(X423*Formulas!$F14)+(X430*Formulas!$F15)</f>
        <v>0</v>
      </c>
      <c r="Y537" s="238">
        <f>(Y416*Formulas!$F13)+(Y423*Formulas!$F14)+(Y430*Formulas!$F15)</f>
        <v>0</v>
      </c>
      <c r="Z537" s="238">
        <f>(Z416*Formulas!$F13)+(Z423*Formulas!$F14)+(Z430*Formulas!$F15)</f>
        <v>0</v>
      </c>
      <c r="AA537" s="238">
        <f>(AA416*Formulas!$F13)+(AA423*Formulas!$F14)+(AA430*Formulas!$F15)</f>
        <v>0</v>
      </c>
      <c r="AB537" s="238">
        <f>(AB416*Formulas!$F13)+(AB423*Formulas!$F14)+(AB430*Formulas!$F15)</f>
        <v>0</v>
      </c>
      <c r="AC537" s="238">
        <f>(AC416*Formulas!$F13)+(AC423*Formulas!$F14)+(AC430*Formulas!$F15)</f>
        <v>142.74</v>
      </c>
      <c r="AD537" s="304">
        <f t="shared" si="201"/>
        <v>193.98</v>
      </c>
    </row>
    <row r="538" hidden="1">
      <c r="A538" s="33" t="s">
        <v>385</v>
      </c>
      <c r="B538" s="238">
        <f>(B416*Formulas!$F16)+(B423*Formulas!$F17)+(B430*Formulas!$F18)</f>
        <v>0</v>
      </c>
      <c r="C538" s="238">
        <f>(C416*Formulas!$F16)+(C423*Formulas!$F17)+(C430*Formulas!$F18)</f>
        <v>0</v>
      </c>
      <c r="D538" s="238">
        <f>(D416*Formulas!$F16)+(D423*Formulas!$F17)+(D430*Formulas!$F18)</f>
        <v>0</v>
      </c>
      <c r="E538" s="238">
        <f>(E416*Formulas!$F16)+(E423*Formulas!$F17)+(E430*Formulas!$F18)</f>
        <v>0</v>
      </c>
      <c r="F538" s="238">
        <f>(F416*Formulas!$F16)+(F423*Formulas!$F17)+(F430*Formulas!$F18)</f>
        <v>0</v>
      </c>
      <c r="G538" s="238">
        <f>(G416*Formulas!$F16)+(G423*Formulas!$F17)+(G430*Formulas!$F18)</f>
        <v>0</v>
      </c>
      <c r="H538" s="238">
        <f>(H416*Formulas!$F16)+(H423*Formulas!$F17)+(H430*Formulas!$F18)</f>
        <v>0</v>
      </c>
      <c r="I538" s="238">
        <f>(I416*Formulas!$F16)+(I423*Formulas!$F17)+(I430*Formulas!$F18)</f>
        <v>0</v>
      </c>
      <c r="J538" s="238">
        <f>(J416*Formulas!$F16)+(J423*Formulas!$F17)+(J430*Formulas!$F18)</f>
        <v>0</v>
      </c>
      <c r="K538" s="238">
        <f>(K416*Formulas!$F16)+(K423*Formulas!$F17)+(K430*Formulas!$F18)</f>
        <v>0</v>
      </c>
      <c r="L538" s="238">
        <f>(L416*Formulas!$F16)+(L423*Formulas!$F17)+(L430*Formulas!$F18)</f>
        <v>0</v>
      </c>
      <c r="M538" s="238">
        <f>(M416*Formulas!$F16)+(M423*Formulas!$F17)+(M430*Formulas!$F18)</f>
        <v>0</v>
      </c>
      <c r="N538" s="238">
        <f>(N416*Formulas!$F16)+(N423*Formulas!$F17)+(N430*Formulas!$F18)</f>
        <v>0</v>
      </c>
      <c r="O538" s="238">
        <f>(O416*Formulas!$F16)+(O423*Formulas!$F17)+(O430*Formulas!$F18)</f>
        <v>0</v>
      </c>
      <c r="P538" s="238">
        <f>(P416*Formulas!$F16)+(P423*Formulas!$F17)+(P430*Formulas!$F18)</f>
        <v>0</v>
      </c>
      <c r="Q538" s="238">
        <f>(Q416*Formulas!$F16)+(Q423*Formulas!$F17)+(Q430*Formulas!$F18)</f>
        <v>0</v>
      </c>
      <c r="R538" s="238">
        <f>(R416*Formulas!$F16)+(R423*Formulas!$F17)+(R430*Formulas!$F18)</f>
        <v>0</v>
      </c>
      <c r="S538" s="238">
        <f>(S416*Formulas!$F16)+(S423*Formulas!$F17)+(S430*Formulas!$F18)</f>
        <v>0</v>
      </c>
      <c r="T538" s="238">
        <f>(T416*Formulas!$F16)+(T423*Formulas!$F17)+(T430*Formulas!$F18)</f>
        <v>0</v>
      </c>
      <c r="U538" s="238">
        <f>(U416*Formulas!$F16)+(U423*Formulas!$F17)+(U430*Formulas!$F18)</f>
        <v>0</v>
      </c>
      <c r="V538" s="238">
        <f>(V416*Formulas!$F16)+(V423*Formulas!$F17)+(V430*Formulas!$F18)</f>
        <v>0</v>
      </c>
      <c r="W538" s="238">
        <f>(W416*Formulas!$F16)+(W423*Formulas!$F17)+(W430*Formulas!$F18)</f>
        <v>0</v>
      </c>
      <c r="X538" s="238">
        <f>(X416*Formulas!$F16)+(X423*Formulas!$F17)+(X430*Formulas!$F18)</f>
        <v>0</v>
      </c>
      <c r="Y538" s="238">
        <f>(Y416*Formulas!$F16)+(Y423*Formulas!$F17)+(Y430*Formulas!$F18)</f>
        <v>0</v>
      </c>
      <c r="Z538" s="238">
        <f>(Z416*Formulas!$F16)+(Z423*Formulas!$F17)+(Z430*Formulas!$F18)</f>
        <v>0</v>
      </c>
      <c r="AA538" s="238">
        <f>(AA416*Formulas!$F16)+(AA423*Formulas!$F17)+(AA430*Formulas!$F18)</f>
        <v>0</v>
      </c>
      <c r="AB538" s="238">
        <f>(AB416*Formulas!$F16)+(AB423*Formulas!$F17)+(AB430*Formulas!$F18)</f>
        <v>0</v>
      </c>
      <c r="AC538" s="238">
        <f>(AC416*Formulas!$F16)+(AC423*Formulas!$F17)+(AC430*Formulas!$F18)</f>
        <v>0</v>
      </c>
      <c r="AD538" s="304">
        <f t="shared" si="201"/>
        <v>0</v>
      </c>
    </row>
    <row r="539" hidden="1">
      <c r="A539" s="33" t="s">
        <v>393</v>
      </c>
      <c r="B539" s="238">
        <f>(B408+B409)*Formulas!$C29</f>
        <v>0</v>
      </c>
      <c r="C539" s="238">
        <f>(C408+C409)*Formulas!$C29</f>
        <v>0</v>
      </c>
      <c r="D539" s="238">
        <f>(D408+D409)*Formulas!$C29</f>
        <v>0</v>
      </c>
      <c r="E539" s="238">
        <f>(E408+E409)*Formulas!$C29</f>
        <v>0</v>
      </c>
      <c r="F539" s="238">
        <f>(F408+F409)*Formulas!$C29</f>
        <v>0</v>
      </c>
      <c r="G539" s="238">
        <f>(G408+G409)*Formulas!$C29</f>
        <v>7.5</v>
      </c>
      <c r="H539" s="238">
        <f>(H408+H409)*Formulas!$C29</f>
        <v>96</v>
      </c>
      <c r="I539" s="238">
        <f>(I408+I409)*Formulas!$C29</f>
        <v>0</v>
      </c>
      <c r="J539" s="238">
        <f>(J408+J409)*Formulas!$C29</f>
        <v>0</v>
      </c>
      <c r="K539" s="238">
        <f>(K408+K409)*Formulas!$C29</f>
        <v>0</v>
      </c>
      <c r="L539" s="238">
        <f>(L408+L409)*Formulas!$C29</f>
        <v>0</v>
      </c>
      <c r="M539" s="238">
        <f>(M408+M409)*Formulas!$C29</f>
        <v>0</v>
      </c>
      <c r="N539" s="238">
        <f>(N408+N409)*Formulas!$C29</f>
        <v>0</v>
      </c>
      <c r="O539" s="238">
        <f>(O408+O409)*Formulas!$C29</f>
        <v>241.5</v>
      </c>
      <c r="P539" s="238">
        <f>(P408+P409)*Formulas!$C29</f>
        <v>0</v>
      </c>
      <c r="Q539" s="238">
        <f>(Q408+Q409)*Formulas!$C29</f>
        <v>0</v>
      </c>
      <c r="R539" s="238">
        <f>(R408+R409)*Formulas!$C29</f>
        <v>0</v>
      </c>
      <c r="S539" s="238">
        <f>(S408+S409)*Formulas!$C29</f>
        <v>0</v>
      </c>
      <c r="T539" s="238">
        <f>(T408+T409)*Formulas!$C29</f>
        <v>0</v>
      </c>
      <c r="U539" s="238">
        <f>(U408+U409)*Formulas!$C29</f>
        <v>0</v>
      </c>
      <c r="V539" s="238">
        <f>(V408+V409)*Formulas!$C29</f>
        <v>270</v>
      </c>
      <c r="W539" s="238">
        <f>(W408+W409)*Formulas!$C29</f>
        <v>0</v>
      </c>
      <c r="X539" s="238">
        <f>(X408+X409)*Formulas!$C29</f>
        <v>0</v>
      </c>
      <c r="Y539" s="238">
        <f>(Y408+Y409)*Formulas!$C29</f>
        <v>0</v>
      </c>
      <c r="Z539" s="238">
        <f>(Z408+Z409)*Formulas!$C29</f>
        <v>0</v>
      </c>
      <c r="AA539" s="238">
        <f>(AA408+AA409)*Formulas!$C29</f>
        <v>0</v>
      </c>
      <c r="AB539" s="238">
        <f>(AB408+AB409)*Formulas!$C29</f>
        <v>0</v>
      </c>
      <c r="AC539" s="238">
        <f>(AC408+AC409)*Formulas!$C29</f>
        <v>237</v>
      </c>
      <c r="AD539" s="304">
        <f t="shared" si="201"/>
        <v>852</v>
      </c>
    </row>
    <row r="540" hidden="1">
      <c r="A540" s="33" t="s">
        <v>398</v>
      </c>
      <c r="B540" s="238">
        <f>Formulas!$C30*(B408+B409)</f>
        <v>0</v>
      </c>
      <c r="C540" s="238">
        <f>Formulas!$C30*(C408+C409)</f>
        <v>0</v>
      </c>
      <c r="D540" s="238">
        <f>Formulas!$C30*(D408+D409)</f>
        <v>0</v>
      </c>
      <c r="E540" s="238">
        <f>Formulas!$C30*(E408+E409)</f>
        <v>0</v>
      </c>
      <c r="F540" s="238">
        <f>Formulas!$C30*(F408+F409)</f>
        <v>0</v>
      </c>
      <c r="G540" s="238">
        <f>Formulas!$C30*(G408+G409)</f>
        <v>1.5</v>
      </c>
      <c r="H540" s="238">
        <f>Formulas!$C30*(H408+H409)</f>
        <v>19.2</v>
      </c>
      <c r="I540" s="238">
        <f>Formulas!$C30*(I408+I409)</f>
        <v>0</v>
      </c>
      <c r="J540" s="238">
        <f>Formulas!$C30*(J408+J409)</f>
        <v>0</v>
      </c>
      <c r="K540" s="238">
        <f>Formulas!$C30*(K408+K409)</f>
        <v>0</v>
      </c>
      <c r="L540" s="238">
        <f>Formulas!$C30*(L408+L409)</f>
        <v>0</v>
      </c>
      <c r="M540" s="238">
        <f>Formulas!$C30*(M408+M409)</f>
        <v>0</v>
      </c>
      <c r="N540" s="238">
        <f>Formulas!$C30*(N408+N409)</f>
        <v>0</v>
      </c>
      <c r="O540" s="238">
        <f>Formulas!$C30*(O408+O409)</f>
        <v>48.3</v>
      </c>
      <c r="P540" s="238">
        <f>Formulas!$C30*(P408+P409)</f>
        <v>0</v>
      </c>
      <c r="Q540" s="238">
        <f>Formulas!$C30*(Q408+Q409)</f>
        <v>0</v>
      </c>
      <c r="R540" s="238">
        <f>Formulas!$C30*(R408+R409)</f>
        <v>0</v>
      </c>
      <c r="S540" s="238">
        <f>Formulas!$C30*(S408+S409)</f>
        <v>0</v>
      </c>
      <c r="T540" s="238">
        <f>Formulas!$C30*(T408+T409)</f>
        <v>0</v>
      </c>
      <c r="U540" s="238">
        <f>Formulas!$C30*(U408+U409)</f>
        <v>0</v>
      </c>
      <c r="V540" s="238">
        <f>Formulas!$C30*(V408+V409)</f>
        <v>54</v>
      </c>
      <c r="W540" s="238">
        <f>Formulas!$C30*(W408+W409)</f>
        <v>0</v>
      </c>
      <c r="X540" s="238">
        <f>Formulas!$C30*(X408+X409)</f>
        <v>0</v>
      </c>
      <c r="Y540" s="238">
        <f>Formulas!$C30*(Y408+Y409)</f>
        <v>0</v>
      </c>
      <c r="Z540" s="238">
        <f>Formulas!$C30*(Z408+Z409)</f>
        <v>0</v>
      </c>
      <c r="AA540" s="238">
        <f>Formulas!$C30*(AA408+AA409)</f>
        <v>0</v>
      </c>
      <c r="AB540" s="238">
        <f>Formulas!$C30*(AB408+AB409)</f>
        <v>0</v>
      </c>
      <c r="AC540" s="238">
        <f>Formulas!$C30*(AC408+AC409)</f>
        <v>47.4</v>
      </c>
      <c r="AD540" s="304">
        <f t="shared" si="201"/>
        <v>170.4</v>
      </c>
    </row>
    <row r="541" hidden="1">
      <c r="A541" s="33" t="s">
        <v>416</v>
      </c>
      <c r="B541" s="238">
        <f>Formulas!$C31*(B408+B409)</f>
        <v>0</v>
      </c>
      <c r="C541" s="238">
        <f>Formulas!$C31*(C408+C409)</f>
        <v>0</v>
      </c>
      <c r="D541" s="238">
        <f>Formulas!$C31*(D408+D409)</f>
        <v>0</v>
      </c>
      <c r="E541" s="238">
        <f>Formulas!$C31*(E408+E409)</f>
        <v>0</v>
      </c>
      <c r="F541" s="238">
        <f>Formulas!$C31*(F408+F409)</f>
        <v>0</v>
      </c>
      <c r="G541" s="238">
        <f>Formulas!$C31*(G408+G409)</f>
        <v>1.55</v>
      </c>
      <c r="H541" s="238">
        <f>Formulas!$C31*(H408+H409)</f>
        <v>19.84</v>
      </c>
      <c r="I541" s="238">
        <f>Formulas!$C31*(I408+I409)</f>
        <v>0</v>
      </c>
      <c r="J541" s="238">
        <f>Formulas!$C31*(J408+J409)</f>
        <v>0</v>
      </c>
      <c r="K541" s="238">
        <f>Formulas!$C31*(K408+K409)</f>
        <v>0</v>
      </c>
      <c r="L541" s="238">
        <f>Formulas!$C31*(L408+L409)</f>
        <v>0</v>
      </c>
      <c r="M541" s="238">
        <f>Formulas!$C31*(M408+M409)</f>
        <v>0</v>
      </c>
      <c r="N541" s="238">
        <f>Formulas!$C31*(N408+N409)</f>
        <v>0</v>
      </c>
      <c r="O541" s="238">
        <f>Formulas!$C31*(O408+O409)</f>
        <v>49.91</v>
      </c>
      <c r="P541" s="238">
        <f>Formulas!$C31*(P408+P409)</f>
        <v>0</v>
      </c>
      <c r="Q541" s="238">
        <f>Formulas!$C31*(Q408+Q409)</f>
        <v>0</v>
      </c>
      <c r="R541" s="238">
        <f>Formulas!$C31*(R408+R409)</f>
        <v>0</v>
      </c>
      <c r="S541" s="238">
        <f>Formulas!$C31*(S408+S409)</f>
        <v>0</v>
      </c>
      <c r="T541" s="238">
        <f>Formulas!$C31*(T408+T409)</f>
        <v>0</v>
      </c>
      <c r="U541" s="238">
        <f>Formulas!$C31*(U408+U409)</f>
        <v>0</v>
      </c>
      <c r="V541" s="238">
        <f>Formulas!$C31*(V408+V409)</f>
        <v>55.8</v>
      </c>
      <c r="W541" s="238">
        <f>Formulas!$C31*(W408+W409)</f>
        <v>0</v>
      </c>
      <c r="X541" s="238">
        <f>Formulas!$C31*(X408+X409)</f>
        <v>0</v>
      </c>
      <c r="Y541" s="238">
        <f>Formulas!$C31*(Y408+Y409)</f>
        <v>0</v>
      </c>
      <c r="Z541" s="238">
        <f>Formulas!$C31*(Z408+Z409)</f>
        <v>0</v>
      </c>
      <c r="AA541" s="238">
        <f>Formulas!$C31*(AA408+AA409)</f>
        <v>0</v>
      </c>
      <c r="AB541" s="238">
        <f>Formulas!$C31*(AB408+AB409)</f>
        <v>0</v>
      </c>
      <c r="AC541" s="238">
        <f>Formulas!$C31*(AC408+AC409)</f>
        <v>48.98</v>
      </c>
      <c r="AD541" s="304">
        <f t="shared" si="201"/>
        <v>176.08</v>
      </c>
    </row>
    <row r="542">
      <c r="A542" s="53" t="s">
        <v>177</v>
      </c>
      <c r="B542" s="238">
        <f t="shared" ref="B542:AC542" si="202">sum(B515:B541)</f>
        <v>0</v>
      </c>
      <c r="C542" s="238">
        <f t="shared" si="202"/>
        <v>0</v>
      </c>
      <c r="D542" s="238">
        <f t="shared" si="202"/>
        <v>0</v>
      </c>
      <c r="E542" s="238">
        <f t="shared" si="202"/>
        <v>0</v>
      </c>
      <c r="F542" s="238">
        <f t="shared" si="202"/>
        <v>0</v>
      </c>
      <c r="G542" s="238">
        <f t="shared" si="202"/>
        <v>597.5766825</v>
      </c>
      <c r="H542" s="238">
        <f t="shared" si="202"/>
        <v>7026.0822</v>
      </c>
      <c r="I542" s="238">
        <f t="shared" si="202"/>
        <v>0</v>
      </c>
      <c r="J542" s="238">
        <f t="shared" si="202"/>
        <v>0</v>
      </c>
      <c r="K542" s="238">
        <f t="shared" si="202"/>
        <v>0</v>
      </c>
      <c r="L542" s="238">
        <f t="shared" si="202"/>
        <v>0</v>
      </c>
      <c r="M542" s="238">
        <f t="shared" si="202"/>
        <v>0</v>
      </c>
      <c r="N542" s="238">
        <f t="shared" si="202"/>
        <v>0</v>
      </c>
      <c r="O542" s="238">
        <f t="shared" si="202"/>
        <v>17674.27226</v>
      </c>
      <c r="P542" s="238">
        <f t="shared" si="202"/>
        <v>0</v>
      </c>
      <c r="Q542" s="238">
        <f t="shared" si="202"/>
        <v>0</v>
      </c>
      <c r="R542" s="238">
        <f t="shared" si="202"/>
        <v>0</v>
      </c>
      <c r="S542" s="238">
        <f t="shared" si="202"/>
        <v>0</v>
      </c>
      <c r="T542" s="238">
        <f t="shared" si="202"/>
        <v>0</v>
      </c>
      <c r="U542" s="238">
        <f t="shared" si="202"/>
        <v>0</v>
      </c>
      <c r="V542" s="238">
        <f t="shared" si="202"/>
        <v>19530.5661</v>
      </c>
      <c r="W542" s="238">
        <f t="shared" si="202"/>
        <v>0</v>
      </c>
      <c r="X542" s="238">
        <f t="shared" si="202"/>
        <v>0</v>
      </c>
      <c r="Y542" s="238">
        <f t="shared" si="202"/>
        <v>0</v>
      </c>
      <c r="Z542" s="238">
        <f t="shared" si="202"/>
        <v>0</v>
      </c>
      <c r="AA542" s="238">
        <f t="shared" si="202"/>
        <v>0</v>
      </c>
      <c r="AB542" s="238">
        <f t="shared" si="202"/>
        <v>0</v>
      </c>
      <c r="AC542" s="238">
        <f t="shared" si="202"/>
        <v>18624.94822</v>
      </c>
      <c r="AD542" s="304">
        <f t="shared" si="201"/>
        <v>63453.44546</v>
      </c>
    </row>
    <row r="543">
      <c r="A543" s="27"/>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14"/>
    </row>
    <row r="544">
      <c r="A544" s="323" t="s">
        <v>121</v>
      </c>
      <c r="B544" s="324">
        <f t="shared" ref="B544:AC544" si="203">SUM(B475:B513)+B542</f>
        <v>39895.24631</v>
      </c>
      <c r="C544" s="324">
        <f t="shared" si="203"/>
        <v>45641.82446</v>
      </c>
      <c r="D544" s="324">
        <f t="shared" si="203"/>
        <v>43809.20949</v>
      </c>
      <c r="E544" s="324">
        <f t="shared" si="203"/>
        <v>39741.53878</v>
      </c>
      <c r="F544" s="324">
        <f t="shared" si="203"/>
        <v>38871.17237</v>
      </c>
      <c r="G544" s="324">
        <f t="shared" si="203"/>
        <v>36041.80512</v>
      </c>
      <c r="H544" s="324">
        <f t="shared" si="203"/>
        <v>54683.40872</v>
      </c>
      <c r="I544" s="324">
        <f t="shared" si="203"/>
        <v>43365.35641</v>
      </c>
      <c r="J544" s="324">
        <f t="shared" si="203"/>
        <v>41205.65813</v>
      </c>
      <c r="K544" s="324">
        <f t="shared" si="203"/>
        <v>49827.91121</v>
      </c>
      <c r="L544" s="324">
        <f t="shared" si="203"/>
        <v>48845.10701</v>
      </c>
      <c r="M544" s="324">
        <f t="shared" si="203"/>
        <v>53676.26738</v>
      </c>
      <c r="N544" s="324">
        <f t="shared" si="203"/>
        <v>47012.69572</v>
      </c>
      <c r="O544" s="324">
        <f t="shared" si="203"/>
        <v>78921.64987</v>
      </c>
      <c r="P544" s="324">
        <f t="shared" si="203"/>
        <v>45156.65647</v>
      </c>
      <c r="Q544" s="324">
        <f t="shared" si="203"/>
        <v>43115.1125</v>
      </c>
      <c r="R544" s="324">
        <f t="shared" si="203"/>
        <v>46835.7813</v>
      </c>
      <c r="S544" s="324">
        <f t="shared" si="203"/>
        <v>48113.8972</v>
      </c>
      <c r="T544" s="324">
        <f t="shared" si="203"/>
        <v>44789.79044</v>
      </c>
      <c r="U544" s="324">
        <f t="shared" si="203"/>
        <v>42022.44322</v>
      </c>
      <c r="V544" s="324">
        <f t="shared" si="203"/>
        <v>54559.01093</v>
      </c>
      <c r="W544" s="324">
        <f t="shared" si="203"/>
        <v>39523.54276</v>
      </c>
      <c r="X544" s="324">
        <f t="shared" si="203"/>
        <v>37874.60721</v>
      </c>
      <c r="Y544" s="324">
        <f t="shared" si="203"/>
        <v>36931.61909</v>
      </c>
      <c r="Z544" s="324">
        <f t="shared" si="203"/>
        <v>43904.25136</v>
      </c>
      <c r="AA544" s="324">
        <f t="shared" si="203"/>
        <v>39900.52851</v>
      </c>
      <c r="AB544" s="324">
        <f t="shared" si="203"/>
        <v>38203.07675</v>
      </c>
      <c r="AC544" s="324">
        <f t="shared" si="203"/>
        <v>56907.05994</v>
      </c>
      <c r="AD544" s="97">
        <f>SUM(B544:AC544)</f>
        <v>1279376.229</v>
      </c>
    </row>
    <row r="545">
      <c r="A545" s="27"/>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c r="AA545" s="136"/>
      <c r="AB545" s="136"/>
      <c r="AC545" s="136"/>
      <c r="AD545" s="14"/>
    </row>
    <row r="546">
      <c r="A546" s="56" t="s">
        <v>447</v>
      </c>
      <c r="B546" s="121">
        <f t="shared" ref="B546:AC546" si="204">B134-B544</f>
        <v>3135.363694</v>
      </c>
      <c r="C546" s="121">
        <f t="shared" si="204"/>
        <v>1693.44554</v>
      </c>
      <c r="D546" s="121">
        <f t="shared" si="204"/>
        <v>-1557.439491</v>
      </c>
      <c r="E546" s="121">
        <f t="shared" si="204"/>
        <v>10083.61122</v>
      </c>
      <c r="F546" s="121">
        <f t="shared" si="204"/>
        <v>7590.747626</v>
      </c>
      <c r="G546" s="121">
        <f t="shared" si="204"/>
        <v>4202.17488</v>
      </c>
      <c r="H546" s="121">
        <f t="shared" si="204"/>
        <v>-12467.59872</v>
      </c>
      <c r="I546" s="121">
        <f t="shared" si="204"/>
        <v>424.7335874</v>
      </c>
      <c r="J546" s="121">
        <f t="shared" si="204"/>
        <v>2191.92187</v>
      </c>
      <c r="K546" s="121">
        <f t="shared" si="204"/>
        <v>-1552.411214</v>
      </c>
      <c r="L546" s="121">
        <f t="shared" si="204"/>
        <v>7442.002987</v>
      </c>
      <c r="M546" s="121">
        <f t="shared" si="204"/>
        <v>21272.45262</v>
      </c>
      <c r="N546" s="121">
        <f t="shared" si="204"/>
        <v>11623.77428</v>
      </c>
      <c r="O546" s="121">
        <f t="shared" si="204"/>
        <v>-13314.59987</v>
      </c>
      <c r="P546" s="121">
        <f t="shared" si="204"/>
        <v>7068.18353</v>
      </c>
      <c r="Q546" s="121">
        <f t="shared" si="204"/>
        <v>3198.957505</v>
      </c>
      <c r="R546" s="121">
        <f t="shared" si="204"/>
        <v>5179.358702</v>
      </c>
      <c r="S546" s="121">
        <f t="shared" si="204"/>
        <v>7814.392804</v>
      </c>
      <c r="T546" s="121">
        <f t="shared" si="204"/>
        <v>11603.56956</v>
      </c>
      <c r="U546" s="121">
        <f t="shared" si="204"/>
        <v>9509.686783</v>
      </c>
      <c r="V546" s="121">
        <f t="shared" si="204"/>
        <v>-15215.86093</v>
      </c>
      <c r="W546" s="121">
        <f t="shared" si="204"/>
        <v>2260.277236</v>
      </c>
      <c r="X546" s="121">
        <f t="shared" si="204"/>
        <v>9052.992791</v>
      </c>
      <c r="Y546" s="121">
        <f t="shared" si="204"/>
        <v>7860.470913</v>
      </c>
      <c r="Z546" s="121">
        <f t="shared" si="204"/>
        <v>15554.48864</v>
      </c>
      <c r="AA546" s="121">
        <f t="shared" si="204"/>
        <v>8822.931486</v>
      </c>
      <c r="AB546" s="121">
        <f t="shared" si="204"/>
        <v>3108.853253</v>
      </c>
      <c r="AC546" s="121">
        <f t="shared" si="204"/>
        <v>-4659.939943</v>
      </c>
      <c r="AD546" s="97">
        <f>SUM(B546:AC546)</f>
        <v>111926.5413</v>
      </c>
    </row>
    <row r="547">
      <c r="A547" s="325">
        <f>SUM(B546:AC546)</f>
        <v>111926.5413</v>
      </c>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c r="AA547" s="136"/>
      <c r="AB547" s="136"/>
      <c r="AC547" s="136"/>
      <c r="AD547" s="326"/>
    </row>
    <row r="548">
      <c r="A548" s="27"/>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c r="AA548" s="136"/>
      <c r="AB548" s="136"/>
      <c r="AC548" s="136"/>
      <c r="AD548" s="326"/>
    </row>
    <row r="549">
      <c r="A549" s="327" t="s">
        <v>448</v>
      </c>
      <c r="B549" s="328">
        <f t="shared" ref="B549:AC549" si="205">B134/B544</f>
        <v>1.078589907</v>
      </c>
      <c r="C549" s="328">
        <f t="shared" si="205"/>
        <v>1.037102933</v>
      </c>
      <c r="D549" s="328">
        <f t="shared" si="205"/>
        <v>0.9644494957</v>
      </c>
      <c r="E549" s="328">
        <f t="shared" si="205"/>
        <v>1.253729763</v>
      </c>
      <c r="F549" s="328">
        <f t="shared" si="205"/>
        <v>1.195279616</v>
      </c>
      <c r="G549" s="328">
        <f t="shared" si="205"/>
        <v>1.116591688</v>
      </c>
      <c r="H549" s="328">
        <f t="shared" si="205"/>
        <v>0.7720039952</v>
      </c>
      <c r="I549" s="328">
        <f t="shared" si="205"/>
        <v>1.009794306</v>
      </c>
      <c r="J549" s="328">
        <f t="shared" si="205"/>
        <v>1.053194682</v>
      </c>
      <c r="K549" s="328">
        <f t="shared" si="205"/>
        <v>0.9688445456</v>
      </c>
      <c r="L549" s="328">
        <f t="shared" si="205"/>
        <v>1.152359232</v>
      </c>
      <c r="M549" s="328">
        <f t="shared" si="205"/>
        <v>1.396310207</v>
      </c>
      <c r="N549" s="328">
        <f t="shared" si="205"/>
        <v>1.247247559</v>
      </c>
      <c r="O549" s="328">
        <f t="shared" si="205"/>
        <v>0.8312934424</v>
      </c>
      <c r="P549" s="328">
        <f t="shared" si="205"/>
        <v>1.156525839</v>
      </c>
      <c r="Q549" s="328">
        <f t="shared" si="205"/>
        <v>1.074195736</v>
      </c>
      <c r="R549" s="328">
        <f t="shared" si="205"/>
        <v>1.110585509</v>
      </c>
      <c r="S549" s="328">
        <f t="shared" si="205"/>
        <v>1.162414464</v>
      </c>
      <c r="T549" s="328">
        <f t="shared" si="205"/>
        <v>1.259067289</v>
      </c>
      <c r="U549" s="328">
        <f t="shared" si="205"/>
        <v>1.226300188</v>
      </c>
      <c r="V549" s="328">
        <f t="shared" si="205"/>
        <v>0.7211118627</v>
      </c>
      <c r="W549" s="328">
        <f t="shared" si="205"/>
        <v>1.057188123</v>
      </c>
      <c r="X549" s="328">
        <f t="shared" si="205"/>
        <v>1.239025391</v>
      </c>
      <c r="Y549" s="328">
        <f t="shared" si="205"/>
        <v>1.212838514</v>
      </c>
      <c r="Z549" s="328">
        <f t="shared" si="205"/>
        <v>1.35428206</v>
      </c>
      <c r="AA549" s="328">
        <f t="shared" si="205"/>
        <v>1.221123173</v>
      </c>
      <c r="AB549" s="328">
        <f t="shared" si="205"/>
        <v>1.081377039</v>
      </c>
      <c r="AC549" s="328">
        <f t="shared" si="205"/>
        <v>0.9181131489</v>
      </c>
      <c r="AD549" s="326"/>
    </row>
    <row r="550">
      <c r="A550" s="329" t="s">
        <v>449</v>
      </c>
      <c r="B550" s="330">
        <f t="shared" ref="B550:AC550" si="206">(B134-B504-B505-B506)/B475</f>
        <v>3.381878144</v>
      </c>
      <c r="C550" s="330">
        <f t="shared" si="206"/>
        <v>3.215811738</v>
      </c>
      <c r="D550" s="330">
        <f t="shared" si="206"/>
        <v>2.602377629</v>
      </c>
      <c r="E550" s="330">
        <f t="shared" si="206"/>
        <v>3.023346446</v>
      </c>
      <c r="F550" s="330">
        <f t="shared" si="206"/>
        <v>2.700793877</v>
      </c>
      <c r="G550" s="330">
        <f t="shared" si="206"/>
        <v>2.441567847</v>
      </c>
      <c r="H550" s="330">
        <f t="shared" si="206"/>
        <v>2.76678391</v>
      </c>
      <c r="I550" s="330">
        <f t="shared" si="206"/>
        <v>2.904687989</v>
      </c>
      <c r="J550" s="330">
        <f t="shared" si="206"/>
        <v>3.004791889</v>
      </c>
      <c r="K550" s="330">
        <f t="shared" si="206"/>
        <v>3.025225246</v>
      </c>
      <c r="L550" s="330">
        <f t="shared" si="206"/>
        <v>4.064019568</v>
      </c>
      <c r="M550" s="330">
        <f t="shared" si="206"/>
        <v>4.837825472</v>
      </c>
      <c r="N550" s="330">
        <f t="shared" si="206"/>
        <v>3.353889966</v>
      </c>
      <c r="O550" s="330">
        <f t="shared" si="206"/>
        <v>3.641293641</v>
      </c>
      <c r="P550" s="330">
        <f t="shared" si="206"/>
        <v>3.194486685</v>
      </c>
      <c r="Q550" s="330">
        <f t="shared" si="206"/>
        <v>2.840600814</v>
      </c>
      <c r="R550" s="330">
        <f t="shared" si="206"/>
        <v>3.479020229</v>
      </c>
      <c r="S550" s="330">
        <f t="shared" si="206"/>
        <v>3.092127676</v>
      </c>
      <c r="T550" s="330">
        <f t="shared" si="206"/>
        <v>3.183364599</v>
      </c>
      <c r="U550" s="330">
        <f t="shared" si="206"/>
        <v>2.978037986</v>
      </c>
      <c r="V550" s="330">
        <f t="shared" si="206"/>
        <v>2.585954609</v>
      </c>
      <c r="W550" s="330">
        <f t="shared" si="206"/>
        <v>2.609382675</v>
      </c>
      <c r="X550" s="330">
        <f t="shared" si="206"/>
        <v>3.079369079</v>
      </c>
      <c r="Y550" s="330">
        <f t="shared" si="206"/>
        <v>3.033127561</v>
      </c>
      <c r="Z550" s="330">
        <f t="shared" si="206"/>
        <v>3.721629358</v>
      </c>
      <c r="AA550" s="330">
        <f t="shared" si="206"/>
        <v>2.943668279</v>
      </c>
      <c r="AB550" s="330">
        <f t="shared" si="206"/>
        <v>2.904753857</v>
      </c>
      <c r="AC550" s="330">
        <f t="shared" si="206"/>
        <v>3.684964576</v>
      </c>
      <c r="AD550" s="326"/>
    </row>
    <row r="551">
      <c r="A551" s="327" t="s">
        <v>450</v>
      </c>
      <c r="B551" s="330">
        <f>Sales!B21</f>
        <v>3.600088368</v>
      </c>
      <c r="C551" s="330">
        <f>Sales!C21</f>
        <v>3.456358482</v>
      </c>
      <c r="D551" s="330">
        <f>Sales!D21</f>
        <v>2.803099845</v>
      </c>
      <c r="E551" s="330">
        <f>Sales!E21</f>
        <v>3.241918976</v>
      </c>
      <c r="F551" s="330">
        <f>Sales!F21</f>
        <v>2.922950803</v>
      </c>
      <c r="G551" s="330">
        <f>Sales!G21</f>
        <v>2.588104808</v>
      </c>
      <c r="H551" s="330">
        <f>Sales!H21</f>
        <v>2.921699562</v>
      </c>
      <c r="I551" s="330">
        <f>Sales!I21</f>
        <v>3.097225796</v>
      </c>
      <c r="J551" s="330">
        <f>Sales!J21</f>
        <v>3.214223989</v>
      </c>
      <c r="K551" s="330">
        <f>Sales!K21</f>
        <v>3.262297513</v>
      </c>
      <c r="L551" s="330">
        <f>Sales!L21</f>
        <v>4.366527056</v>
      </c>
      <c r="M551" s="330">
        <f>Sales!M21</f>
        <v>5.215815966</v>
      </c>
      <c r="N551" s="330">
        <f>Sales!N21</f>
        <v>3.670756249</v>
      </c>
      <c r="O551" s="330">
        <f>Sales!O21</f>
        <v>3.925549882</v>
      </c>
      <c r="P551" s="330">
        <f>Sales!P21</f>
        <v>3.418401891</v>
      </c>
      <c r="Q551" s="330">
        <f>Sales!Q21</f>
        <v>3.058223296</v>
      </c>
      <c r="R551" s="330">
        <f>Sales!R21</f>
        <v>3.690473793</v>
      </c>
      <c r="S551" s="330">
        <f>Sales!S21</f>
        <v>3.31225952</v>
      </c>
      <c r="T551" s="330">
        <f>Sales!T21</f>
        <v>3.438431435</v>
      </c>
      <c r="U551" s="330">
        <f>Sales!U21</f>
        <v>3.170786158</v>
      </c>
      <c r="V551" s="330">
        <f>Sales!V21</f>
        <v>2.756169888</v>
      </c>
      <c r="W551" s="330">
        <f>Sales!W21</f>
        <v>2.806307907</v>
      </c>
      <c r="X551" s="330">
        <f>Sales!X21</f>
        <v>3.288370999</v>
      </c>
      <c r="Y551" s="330">
        <f>Sales!Y21</f>
        <v>3.265124774</v>
      </c>
      <c r="Z551" s="330">
        <f>Sales!Z21</f>
        <v>3.975426184</v>
      </c>
      <c r="AA551" s="330">
        <f>Sales!AA21</f>
        <v>3.174601088</v>
      </c>
      <c r="AB551" s="330">
        <f>Sales!AB21</f>
        <v>3.130984384</v>
      </c>
      <c r="AC551" s="330">
        <f>Sales!AC21</f>
        <v>3.986205823</v>
      </c>
      <c r="AD551" s="326"/>
    </row>
    <row r="552">
      <c r="A552" s="27"/>
      <c r="B552" s="137"/>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14"/>
    </row>
    <row r="553">
      <c r="A553" s="94"/>
      <c r="B553" s="331"/>
      <c r="C553" s="332"/>
      <c r="D553" s="332"/>
      <c r="E553" s="332"/>
      <c r="F553" s="332"/>
      <c r="G553" s="332"/>
      <c r="H553" s="332"/>
      <c r="I553" s="332"/>
      <c r="J553" s="332"/>
      <c r="K553" s="332"/>
      <c r="L553" s="332"/>
      <c r="M553" s="332"/>
      <c r="N553" s="332"/>
      <c r="O553" s="332"/>
      <c r="P553" s="332"/>
      <c r="Q553" s="332"/>
      <c r="R553" s="332"/>
      <c r="S553" s="332"/>
      <c r="T553" s="332"/>
      <c r="U553" s="94"/>
      <c r="V553" s="94"/>
      <c r="W553" s="94"/>
      <c r="X553" s="94"/>
      <c r="Y553" s="94"/>
      <c r="Z553" s="94"/>
      <c r="AA553" s="94"/>
      <c r="AB553" s="94"/>
      <c r="AC553" s="94"/>
      <c r="AD553" s="14"/>
    </row>
    <row r="554">
      <c r="A554" s="327" t="s">
        <v>138</v>
      </c>
      <c r="B554" s="333"/>
      <c r="C554" s="333"/>
      <c r="D554" s="333"/>
      <c r="E554" s="333"/>
      <c r="F554" s="333"/>
      <c r="G554" s="333"/>
      <c r="H554" s="333"/>
      <c r="I554" s="333"/>
      <c r="J554" s="333"/>
      <c r="K554" s="333"/>
      <c r="L554" s="333"/>
      <c r="M554" s="333"/>
      <c r="N554" s="333"/>
      <c r="O554" s="333"/>
      <c r="P554" s="333"/>
      <c r="Q554" s="333"/>
      <c r="R554" s="333"/>
      <c r="S554" s="333"/>
      <c r="T554" s="333"/>
      <c r="U554" s="333"/>
      <c r="V554" s="333"/>
      <c r="W554" s="333"/>
      <c r="X554" s="333"/>
      <c r="Y554" s="333"/>
      <c r="Z554" s="333"/>
      <c r="AA554" s="23"/>
      <c r="AB554" s="333"/>
      <c r="AC554" s="333"/>
      <c r="AD554" s="14"/>
    </row>
    <row r="555">
      <c r="A555" s="138">
        <f>SUM(B134:AC134)</f>
        <v>1391302.77</v>
      </c>
      <c r="B555" s="333"/>
      <c r="C555" s="333"/>
      <c r="D555" s="333"/>
      <c r="E555" s="333"/>
      <c r="F555" s="333"/>
      <c r="G555" s="333"/>
      <c r="H555" s="333"/>
      <c r="I555" s="333"/>
      <c r="J555" s="333"/>
      <c r="K555" s="333"/>
      <c r="L555" s="333"/>
      <c r="M555" s="333"/>
      <c r="N555" s="333"/>
      <c r="O555" s="333"/>
      <c r="P555" s="333"/>
      <c r="Q555" s="333"/>
      <c r="R555" s="333"/>
      <c r="S555" s="333"/>
      <c r="T555" s="333"/>
      <c r="U555" s="333"/>
      <c r="V555" s="333"/>
      <c r="W555" s="333"/>
      <c r="X555" s="333"/>
      <c r="Y555" s="333"/>
      <c r="Z555" s="333"/>
      <c r="AA555" s="333"/>
      <c r="AB555" s="333"/>
      <c r="AC555" s="333"/>
      <c r="AD555" s="334"/>
    </row>
    <row r="556">
      <c r="A556" s="27"/>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14"/>
    </row>
    <row r="557">
      <c r="A557" s="335" t="s">
        <v>206</v>
      </c>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14"/>
    </row>
    <row r="558">
      <c r="A558" s="138">
        <f>SUM(B544:AC544)</f>
        <v>1279376.229</v>
      </c>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14"/>
    </row>
    <row r="559">
      <c r="A559" s="27"/>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14"/>
    </row>
    <row r="560">
      <c r="A560" s="327" t="s">
        <v>279</v>
      </c>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14"/>
    </row>
    <row r="561">
      <c r="A561" s="336">
        <f>A555/A558</f>
        <v>1.087485244</v>
      </c>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14"/>
    </row>
    <row r="562">
      <c r="A562" s="27"/>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14"/>
    </row>
    <row r="563">
      <c r="A563" s="213"/>
      <c r="AD563" s="222"/>
    </row>
    <row r="564">
      <c r="A564" s="213"/>
      <c r="AD564" s="222"/>
    </row>
    <row r="565">
      <c r="A565" s="213"/>
      <c r="AD565" s="222"/>
    </row>
    <row r="566">
      <c r="A566" s="213"/>
      <c r="AD566" s="222"/>
    </row>
    <row r="567">
      <c r="A567" s="213"/>
      <c r="AD567" s="222"/>
    </row>
    <row r="568">
      <c r="A568" s="213"/>
      <c r="AD568" s="222"/>
    </row>
    <row r="569">
      <c r="A569" s="213"/>
      <c r="AD569" s="222"/>
    </row>
    <row r="570">
      <c r="A570" s="213"/>
      <c r="AD570" s="222"/>
    </row>
    <row r="571">
      <c r="A571" s="213"/>
      <c r="AD571" s="222"/>
    </row>
    <row r="572">
      <c r="A572" s="213"/>
      <c r="AD572" s="222"/>
    </row>
    <row r="573">
      <c r="A573" s="213"/>
      <c r="AD573" s="222"/>
    </row>
    <row r="574">
      <c r="A574" s="213"/>
      <c r="AD574" s="222"/>
    </row>
    <row r="575">
      <c r="A575" s="213"/>
      <c r="AD575" s="222"/>
    </row>
    <row r="576">
      <c r="A576" s="213"/>
      <c r="AD576" s="222"/>
    </row>
    <row r="577">
      <c r="A577" s="213"/>
      <c r="AD577" s="222"/>
    </row>
    <row r="578">
      <c r="A578" s="213"/>
      <c r="AD578" s="222"/>
    </row>
    <row r="579">
      <c r="A579" s="213"/>
      <c r="AD579" s="222"/>
    </row>
    <row r="580">
      <c r="A580" s="213"/>
      <c r="AD580" s="222"/>
    </row>
    <row r="581">
      <c r="A581" s="213"/>
      <c r="AD581" s="222"/>
    </row>
    <row r="582">
      <c r="A582" s="213"/>
      <c r="AD582" s="222"/>
    </row>
    <row r="583">
      <c r="A583" s="213"/>
      <c r="AD583" s="222"/>
    </row>
    <row r="584">
      <c r="A584" s="213"/>
      <c r="AD584" s="222"/>
    </row>
    <row r="585">
      <c r="A585" s="213"/>
      <c r="AD585" s="222"/>
    </row>
    <row r="586">
      <c r="A586" s="213"/>
      <c r="AD586" s="222"/>
    </row>
    <row r="587">
      <c r="A587" s="213"/>
      <c r="AD587" s="222"/>
    </row>
    <row r="588">
      <c r="A588" s="213"/>
      <c r="AD588" s="222"/>
    </row>
    <row r="589">
      <c r="A589" s="213"/>
      <c r="AD589" s="222"/>
    </row>
    <row r="590">
      <c r="A590" s="213"/>
      <c r="AD590" s="222"/>
    </row>
    <row r="591">
      <c r="A591" s="213"/>
      <c r="AD591" s="222"/>
    </row>
    <row r="592">
      <c r="A592" s="213"/>
      <c r="AD592" s="222"/>
    </row>
    <row r="593">
      <c r="A593" s="213"/>
      <c r="AD593" s="222"/>
    </row>
    <row r="594">
      <c r="A594" s="213"/>
      <c r="AD594" s="222"/>
    </row>
    <row r="595">
      <c r="A595" s="213"/>
      <c r="AD595" s="222"/>
    </row>
    <row r="596">
      <c r="A596" s="213"/>
      <c r="AD596" s="222"/>
    </row>
    <row r="597">
      <c r="A597" s="213"/>
      <c r="AD597" s="222"/>
    </row>
    <row r="598">
      <c r="A598" s="213"/>
      <c r="AD598" s="222"/>
    </row>
    <row r="599">
      <c r="A599" s="213"/>
      <c r="AD599" s="222"/>
    </row>
    <row r="600">
      <c r="A600" s="213"/>
      <c r="AD600" s="222"/>
    </row>
    <row r="601">
      <c r="A601" s="213"/>
      <c r="AD601" s="222"/>
    </row>
    <row r="602">
      <c r="A602" s="213"/>
      <c r="AD602" s="222"/>
    </row>
    <row r="603">
      <c r="A603" s="213"/>
      <c r="AD603" s="222"/>
    </row>
    <row r="604">
      <c r="A604" s="213"/>
      <c r="AD604" s="222"/>
    </row>
    <row r="605">
      <c r="A605" s="213"/>
      <c r="AD605" s="222"/>
    </row>
    <row r="606">
      <c r="A606" s="213"/>
      <c r="AD606" s="222"/>
    </row>
    <row r="607">
      <c r="A607" s="213"/>
      <c r="AD607" s="222"/>
    </row>
    <row r="608">
      <c r="A608" s="213"/>
      <c r="AD608" s="222"/>
    </row>
    <row r="609">
      <c r="A609" s="213"/>
      <c r="AD609" s="222"/>
    </row>
    <row r="610">
      <c r="A610" s="213"/>
      <c r="AD610" s="222"/>
    </row>
    <row r="611">
      <c r="A611" s="213"/>
      <c r="AD611" s="222"/>
    </row>
    <row r="612">
      <c r="A612" s="213"/>
      <c r="AD612" s="222"/>
    </row>
    <row r="613">
      <c r="A613" s="213"/>
      <c r="AD613" s="222"/>
    </row>
    <row r="614">
      <c r="A614" s="213"/>
      <c r="AD614" s="222"/>
    </row>
    <row r="615">
      <c r="A615" s="213"/>
      <c r="AD615" s="222"/>
    </row>
    <row r="616">
      <c r="A616" s="213"/>
      <c r="AD616" s="222"/>
    </row>
    <row r="617">
      <c r="A617" s="213"/>
      <c r="AD617" s="222"/>
    </row>
    <row r="618">
      <c r="A618" s="213"/>
      <c r="AD618" s="222"/>
    </row>
    <row r="619">
      <c r="A619" s="213"/>
      <c r="AD619" s="222"/>
    </row>
    <row r="620">
      <c r="A620" s="213"/>
      <c r="AD620" s="222"/>
    </row>
    <row r="621">
      <c r="A621" s="213"/>
      <c r="AD621" s="222"/>
    </row>
    <row r="622">
      <c r="A622" s="213"/>
      <c r="AD622" s="222"/>
    </row>
    <row r="623">
      <c r="A623" s="213"/>
      <c r="AD623" s="222"/>
    </row>
    <row r="624">
      <c r="A624" s="213"/>
      <c r="AD624" s="222"/>
    </row>
    <row r="625">
      <c r="A625" s="213"/>
      <c r="AD625" s="222"/>
    </row>
    <row r="626">
      <c r="A626" s="213"/>
      <c r="AD626" s="222"/>
    </row>
    <row r="627">
      <c r="A627" s="213"/>
      <c r="AD627" s="222"/>
    </row>
    <row r="628">
      <c r="A628" s="213"/>
      <c r="AD628" s="222"/>
    </row>
    <row r="629">
      <c r="A629" s="213"/>
      <c r="AD629" s="222"/>
    </row>
    <row r="630">
      <c r="A630" s="213"/>
      <c r="AD630" s="222"/>
    </row>
    <row r="631">
      <c r="A631" s="213"/>
      <c r="AD631" s="222"/>
    </row>
    <row r="632">
      <c r="A632" s="213"/>
      <c r="AD632" s="222"/>
    </row>
    <row r="633">
      <c r="A633" s="213"/>
      <c r="AD633" s="222"/>
    </row>
    <row r="634">
      <c r="A634" s="213"/>
      <c r="AD634" s="222"/>
    </row>
    <row r="635">
      <c r="A635" s="213"/>
      <c r="AD635" s="222"/>
    </row>
    <row r="636">
      <c r="A636" s="213"/>
      <c r="AD636" s="222"/>
    </row>
    <row r="637">
      <c r="A637" s="213"/>
      <c r="AD637" s="222"/>
    </row>
    <row r="638">
      <c r="A638" s="213"/>
      <c r="AD638" s="222"/>
    </row>
    <row r="639">
      <c r="A639" s="213"/>
      <c r="AD639" s="222"/>
    </row>
    <row r="640">
      <c r="A640" s="213"/>
      <c r="AD640" s="222"/>
    </row>
    <row r="641">
      <c r="A641" s="213"/>
      <c r="AD641" s="222"/>
    </row>
    <row r="642">
      <c r="A642" s="213"/>
      <c r="AD642" s="222"/>
    </row>
    <row r="643">
      <c r="A643" s="213"/>
      <c r="AD643" s="222"/>
    </row>
    <row r="644">
      <c r="A644" s="213"/>
      <c r="AD644" s="222"/>
    </row>
    <row r="645">
      <c r="A645" s="213"/>
      <c r="AD645" s="222"/>
    </row>
    <row r="646">
      <c r="A646" s="213"/>
      <c r="AD646" s="222"/>
    </row>
    <row r="647">
      <c r="A647" s="213"/>
      <c r="AD647" s="222"/>
    </row>
    <row r="648">
      <c r="A648" s="213"/>
      <c r="AD648" s="222"/>
    </row>
    <row r="649">
      <c r="A649" s="213"/>
      <c r="AD649" s="222"/>
    </row>
    <row r="650">
      <c r="A650" s="213"/>
      <c r="AD650" s="222"/>
    </row>
    <row r="651">
      <c r="A651" s="213"/>
      <c r="AD651" s="222"/>
    </row>
    <row r="652">
      <c r="A652" s="213"/>
      <c r="AD652" s="222"/>
    </row>
    <row r="653">
      <c r="A653" s="213"/>
      <c r="AD653" s="222"/>
    </row>
    <row r="654">
      <c r="A654" s="213"/>
      <c r="AD654" s="222"/>
    </row>
    <row r="655">
      <c r="A655" s="213"/>
      <c r="AD655" s="222"/>
    </row>
    <row r="656">
      <c r="A656" s="213"/>
      <c r="AD656" s="222"/>
    </row>
    <row r="657">
      <c r="A657" s="213"/>
      <c r="AD657" s="222"/>
    </row>
    <row r="658">
      <c r="A658" s="213"/>
      <c r="AD658" s="222"/>
    </row>
    <row r="659">
      <c r="A659" s="213"/>
      <c r="AD659" s="222"/>
    </row>
    <row r="660">
      <c r="A660" s="213"/>
      <c r="AD660" s="222"/>
    </row>
    <row r="661">
      <c r="A661" s="213"/>
      <c r="AD661" s="222"/>
    </row>
    <row r="662">
      <c r="A662" s="213"/>
      <c r="AD662" s="222"/>
    </row>
    <row r="663">
      <c r="A663" s="213"/>
      <c r="AD663" s="222"/>
    </row>
    <row r="664">
      <c r="A664" s="213"/>
      <c r="AD664" s="222"/>
    </row>
    <row r="665">
      <c r="A665" s="213"/>
      <c r="AD665" s="222"/>
    </row>
    <row r="666">
      <c r="A666" s="213"/>
      <c r="AD666" s="222"/>
    </row>
    <row r="667">
      <c r="A667" s="213"/>
      <c r="AD667" s="222"/>
    </row>
    <row r="668">
      <c r="A668" s="213"/>
      <c r="AD668" s="222"/>
    </row>
    <row r="669">
      <c r="A669" s="213"/>
      <c r="AD669" s="222"/>
    </row>
    <row r="670">
      <c r="A670" s="213"/>
      <c r="AD670" s="222"/>
    </row>
    <row r="671">
      <c r="A671" s="213"/>
      <c r="AD671" s="222"/>
    </row>
    <row r="672">
      <c r="A672" s="213"/>
      <c r="AD672" s="222"/>
    </row>
    <row r="673">
      <c r="A673" s="213"/>
      <c r="AD673" s="222"/>
    </row>
    <row r="674">
      <c r="A674" s="213"/>
      <c r="AD674" s="222"/>
    </row>
    <row r="675">
      <c r="A675" s="213"/>
      <c r="AD675" s="222"/>
    </row>
    <row r="676">
      <c r="A676" s="213"/>
      <c r="AD676" s="222"/>
    </row>
    <row r="677">
      <c r="A677" s="213"/>
      <c r="AD677" s="222"/>
    </row>
    <row r="678">
      <c r="A678" s="213"/>
      <c r="AD678" s="222"/>
    </row>
    <row r="679">
      <c r="A679" s="213"/>
      <c r="AD679" s="222"/>
    </row>
    <row r="680">
      <c r="A680" s="213"/>
      <c r="AD680" s="222"/>
    </row>
    <row r="681">
      <c r="A681" s="213"/>
      <c r="AD681" s="222"/>
    </row>
    <row r="682">
      <c r="A682" s="213"/>
      <c r="AD682" s="222"/>
    </row>
    <row r="683">
      <c r="A683" s="213"/>
      <c r="AD683" s="222"/>
    </row>
    <row r="684">
      <c r="A684" s="213"/>
      <c r="AD684" s="222"/>
    </row>
    <row r="685">
      <c r="A685" s="213"/>
      <c r="AD685" s="222"/>
    </row>
    <row r="686">
      <c r="A686" s="213"/>
      <c r="AD686" s="222"/>
    </row>
    <row r="687">
      <c r="A687" s="213"/>
      <c r="AD687" s="222"/>
    </row>
    <row r="688">
      <c r="A688" s="213"/>
      <c r="AD688" s="222"/>
    </row>
    <row r="689">
      <c r="A689" s="213"/>
      <c r="AD689" s="222"/>
    </row>
    <row r="690">
      <c r="A690" s="213"/>
      <c r="AD690" s="222"/>
    </row>
    <row r="691">
      <c r="A691" s="213"/>
      <c r="AD691" s="222"/>
    </row>
    <row r="692">
      <c r="A692" s="213"/>
      <c r="AD692" s="222"/>
    </row>
    <row r="693">
      <c r="A693" s="213"/>
      <c r="AD693" s="222"/>
    </row>
    <row r="694">
      <c r="A694" s="213"/>
      <c r="AD694" s="222"/>
    </row>
    <row r="695">
      <c r="A695" s="213"/>
      <c r="AD695" s="222"/>
    </row>
    <row r="696">
      <c r="A696" s="213"/>
      <c r="AD696" s="222"/>
    </row>
    <row r="697">
      <c r="A697" s="213"/>
      <c r="AD697" s="222"/>
    </row>
    <row r="698">
      <c r="A698" s="213"/>
      <c r="AD698" s="222"/>
    </row>
    <row r="699">
      <c r="A699" s="213"/>
      <c r="AD699" s="222"/>
    </row>
    <row r="700">
      <c r="A700" s="213"/>
      <c r="AD700" s="222"/>
    </row>
    <row r="701">
      <c r="A701" s="213"/>
      <c r="AD701" s="222"/>
    </row>
    <row r="702">
      <c r="A702" s="213"/>
      <c r="AD702" s="222"/>
    </row>
    <row r="703">
      <c r="A703" s="213"/>
      <c r="AD703" s="222"/>
    </row>
    <row r="704">
      <c r="A704" s="213"/>
      <c r="AD704" s="222"/>
    </row>
    <row r="705">
      <c r="A705" s="213"/>
      <c r="AD705" s="222"/>
    </row>
    <row r="706">
      <c r="A706" s="213"/>
      <c r="AD706" s="222"/>
    </row>
    <row r="707">
      <c r="A707" s="213"/>
      <c r="AD707" s="222"/>
    </row>
    <row r="708">
      <c r="A708" s="213"/>
      <c r="AD708" s="222"/>
    </row>
    <row r="709">
      <c r="A709" s="213"/>
      <c r="AD709" s="222"/>
    </row>
    <row r="710">
      <c r="A710" s="213"/>
      <c r="AD710" s="222"/>
    </row>
    <row r="711">
      <c r="A711" s="213"/>
      <c r="AD711" s="222"/>
    </row>
    <row r="712">
      <c r="A712" s="213"/>
      <c r="AD712" s="222"/>
    </row>
    <row r="713">
      <c r="A713" s="213"/>
      <c r="AD713" s="222"/>
    </row>
    <row r="714">
      <c r="A714" s="213"/>
      <c r="AD714" s="222"/>
    </row>
    <row r="715">
      <c r="A715" s="213"/>
      <c r="AD715" s="222"/>
    </row>
    <row r="716">
      <c r="A716" s="213"/>
      <c r="AD716" s="222"/>
    </row>
    <row r="717">
      <c r="A717" s="213"/>
      <c r="AD717" s="222"/>
    </row>
    <row r="718">
      <c r="A718" s="213"/>
      <c r="AD718" s="222"/>
    </row>
    <row r="719">
      <c r="A719" s="213"/>
      <c r="AD719" s="222"/>
    </row>
    <row r="720">
      <c r="A720" s="213"/>
      <c r="AD720" s="222"/>
    </row>
    <row r="721">
      <c r="A721" s="213"/>
      <c r="AD721" s="222"/>
    </row>
    <row r="722">
      <c r="A722" s="213"/>
      <c r="AD722" s="222"/>
    </row>
    <row r="723">
      <c r="A723" s="213"/>
      <c r="AD723" s="222"/>
    </row>
    <row r="724">
      <c r="A724" s="213"/>
      <c r="AD724" s="222"/>
    </row>
    <row r="725">
      <c r="A725" s="213"/>
      <c r="AD725" s="222"/>
    </row>
    <row r="726">
      <c r="A726" s="213"/>
      <c r="AD726" s="222"/>
    </row>
    <row r="727">
      <c r="A727" s="213"/>
      <c r="AD727" s="222"/>
    </row>
    <row r="728">
      <c r="A728" s="213"/>
      <c r="AD728" s="222"/>
    </row>
    <row r="729">
      <c r="A729" s="213"/>
      <c r="AD729" s="222"/>
    </row>
    <row r="730">
      <c r="A730" s="213"/>
      <c r="AD730" s="222"/>
    </row>
    <row r="731">
      <c r="A731" s="213"/>
      <c r="AD731" s="222"/>
    </row>
    <row r="732">
      <c r="A732" s="213"/>
      <c r="AD732" s="222"/>
    </row>
    <row r="733">
      <c r="A733" s="213"/>
      <c r="AD733" s="222"/>
    </row>
    <row r="734">
      <c r="A734" s="213"/>
      <c r="AD734" s="222"/>
    </row>
    <row r="735">
      <c r="A735" s="213"/>
      <c r="AD735" s="222"/>
    </row>
    <row r="736">
      <c r="A736" s="213"/>
      <c r="AD736" s="222"/>
    </row>
    <row r="737">
      <c r="A737" s="213"/>
      <c r="AD737" s="222"/>
    </row>
    <row r="738">
      <c r="A738" s="213"/>
      <c r="AD738" s="222"/>
    </row>
    <row r="739">
      <c r="A739" s="213"/>
      <c r="AD739" s="222"/>
    </row>
    <row r="740">
      <c r="A740" s="213"/>
      <c r="AD740" s="222"/>
    </row>
    <row r="741">
      <c r="A741" s="213"/>
      <c r="AD741" s="222"/>
    </row>
    <row r="742">
      <c r="A742" s="213"/>
      <c r="AD742" s="222"/>
    </row>
    <row r="743">
      <c r="A743" s="213"/>
      <c r="AD743" s="222"/>
    </row>
    <row r="744">
      <c r="A744" s="213"/>
      <c r="AD744" s="222"/>
    </row>
    <row r="745">
      <c r="A745" s="213"/>
      <c r="AD745" s="222"/>
    </row>
    <row r="746">
      <c r="A746" s="213"/>
      <c r="AD746" s="222"/>
    </row>
    <row r="747">
      <c r="A747" s="213"/>
      <c r="AD747" s="222"/>
    </row>
    <row r="748">
      <c r="A748" s="213"/>
      <c r="AD748" s="222"/>
    </row>
    <row r="749">
      <c r="A749" s="213"/>
      <c r="AD749" s="222"/>
    </row>
    <row r="750">
      <c r="A750" s="213"/>
      <c r="AD750" s="222"/>
    </row>
    <row r="751">
      <c r="A751" s="213"/>
      <c r="AD751" s="222"/>
    </row>
    <row r="752">
      <c r="A752" s="213"/>
      <c r="AD752" s="222"/>
    </row>
    <row r="753">
      <c r="A753" s="213"/>
      <c r="AD753" s="222"/>
    </row>
    <row r="754">
      <c r="A754" s="213"/>
      <c r="AD754" s="222"/>
    </row>
    <row r="755">
      <c r="A755" s="213"/>
      <c r="AD755" s="222"/>
    </row>
    <row r="756">
      <c r="A756" s="213"/>
      <c r="AD756" s="222"/>
    </row>
    <row r="757">
      <c r="A757" s="213"/>
      <c r="AD757" s="222"/>
    </row>
    <row r="758">
      <c r="A758" s="213"/>
      <c r="AD758" s="222"/>
    </row>
    <row r="759">
      <c r="A759" s="213"/>
      <c r="AD759" s="222"/>
    </row>
    <row r="760">
      <c r="A760" s="213"/>
      <c r="AD760" s="222"/>
    </row>
    <row r="761">
      <c r="A761" s="213"/>
      <c r="AD761" s="222"/>
    </row>
    <row r="762">
      <c r="A762" s="213"/>
      <c r="AD762" s="222"/>
    </row>
    <row r="763">
      <c r="A763" s="213"/>
      <c r="AD763" s="222"/>
    </row>
    <row r="764">
      <c r="A764" s="213"/>
      <c r="AD764" s="222"/>
    </row>
    <row r="765">
      <c r="A765" s="213"/>
      <c r="AD765" s="222"/>
    </row>
    <row r="766">
      <c r="A766" s="213"/>
      <c r="AD766" s="222"/>
    </row>
    <row r="767">
      <c r="A767" s="213"/>
      <c r="AD767" s="222"/>
    </row>
    <row r="768">
      <c r="A768" s="213"/>
      <c r="AD768" s="222"/>
    </row>
    <row r="769">
      <c r="A769" s="213"/>
      <c r="AD769" s="222"/>
    </row>
    <row r="770">
      <c r="A770" s="213"/>
      <c r="AD770" s="222"/>
    </row>
    <row r="771">
      <c r="A771" s="213"/>
      <c r="AD771" s="222"/>
    </row>
    <row r="772">
      <c r="A772" s="213"/>
      <c r="AD772" s="222"/>
    </row>
    <row r="773">
      <c r="A773" s="213"/>
      <c r="AD773" s="222"/>
    </row>
    <row r="774">
      <c r="A774" s="213"/>
      <c r="AD774" s="222"/>
    </row>
    <row r="775">
      <c r="A775" s="213"/>
      <c r="AD775" s="222"/>
    </row>
    <row r="776">
      <c r="A776" s="213"/>
      <c r="AD776" s="222"/>
    </row>
    <row r="777">
      <c r="A777" s="213"/>
      <c r="AD777" s="222"/>
    </row>
    <row r="778">
      <c r="A778" s="213"/>
      <c r="AD778" s="222"/>
    </row>
    <row r="779">
      <c r="A779" s="213"/>
      <c r="AD779" s="222"/>
    </row>
    <row r="780">
      <c r="A780" s="213"/>
      <c r="AD780" s="222"/>
    </row>
    <row r="781">
      <c r="A781" s="213"/>
      <c r="AD781" s="222"/>
    </row>
    <row r="782">
      <c r="A782" s="213"/>
      <c r="AD782" s="222"/>
    </row>
    <row r="783">
      <c r="A783" s="213"/>
      <c r="AD783" s="222"/>
    </row>
    <row r="784">
      <c r="A784" s="213"/>
      <c r="AD784" s="222"/>
    </row>
    <row r="785">
      <c r="A785" s="213"/>
      <c r="AD785" s="222"/>
    </row>
    <row r="786">
      <c r="A786" s="213"/>
      <c r="AD786" s="222"/>
    </row>
    <row r="787">
      <c r="A787" s="213"/>
      <c r="AD787" s="222"/>
    </row>
    <row r="788">
      <c r="A788" s="213"/>
      <c r="AD788" s="222"/>
    </row>
    <row r="789">
      <c r="A789" s="213"/>
      <c r="AD789" s="222"/>
    </row>
    <row r="790">
      <c r="A790" s="213"/>
      <c r="AD790" s="222"/>
    </row>
    <row r="791">
      <c r="A791" s="213"/>
      <c r="AD791" s="222"/>
    </row>
    <row r="792">
      <c r="A792" s="213"/>
      <c r="AD792" s="222"/>
    </row>
    <row r="793">
      <c r="A793" s="213"/>
      <c r="AD793" s="222"/>
    </row>
    <row r="794">
      <c r="A794" s="213"/>
      <c r="AD794" s="222"/>
    </row>
    <row r="795">
      <c r="A795" s="213"/>
      <c r="AD795" s="222"/>
    </row>
    <row r="796">
      <c r="A796" s="213"/>
      <c r="AD796" s="222"/>
    </row>
    <row r="797">
      <c r="A797" s="213"/>
      <c r="AD797" s="222"/>
    </row>
    <row r="798">
      <c r="A798" s="213"/>
      <c r="AD798" s="222"/>
    </row>
    <row r="799">
      <c r="A799" s="213"/>
      <c r="AD799" s="222"/>
    </row>
    <row r="800">
      <c r="A800" s="213"/>
      <c r="AD800" s="222"/>
    </row>
    <row r="801">
      <c r="A801" s="213"/>
      <c r="AD801" s="222"/>
    </row>
    <row r="802">
      <c r="A802" s="213"/>
      <c r="AD802" s="222"/>
    </row>
    <row r="803">
      <c r="A803" s="213"/>
      <c r="AD803" s="222"/>
    </row>
    <row r="804">
      <c r="A804" s="213"/>
      <c r="AD804" s="222"/>
    </row>
    <row r="805">
      <c r="A805" s="213"/>
      <c r="AD805" s="222"/>
    </row>
    <row r="806">
      <c r="A806" s="213"/>
      <c r="AD806" s="222"/>
    </row>
    <row r="807">
      <c r="A807" s="213"/>
      <c r="AD807" s="222"/>
    </row>
    <row r="808">
      <c r="A808" s="213"/>
      <c r="AD808" s="222"/>
    </row>
    <row r="809">
      <c r="A809" s="213"/>
      <c r="AD809" s="222"/>
    </row>
    <row r="810">
      <c r="A810" s="213"/>
      <c r="AD810" s="222"/>
    </row>
    <row r="811">
      <c r="A811" s="213"/>
      <c r="AD811" s="222"/>
    </row>
    <row r="812">
      <c r="A812" s="213"/>
      <c r="AD812" s="222"/>
    </row>
    <row r="813">
      <c r="A813" s="213"/>
      <c r="AD813" s="222"/>
    </row>
    <row r="814">
      <c r="A814" s="213"/>
      <c r="AD814" s="222"/>
    </row>
    <row r="815">
      <c r="A815" s="213"/>
      <c r="AD815" s="222"/>
    </row>
    <row r="816">
      <c r="A816" s="213"/>
      <c r="AD816" s="222"/>
    </row>
    <row r="817">
      <c r="A817" s="213"/>
      <c r="AD817" s="222"/>
    </row>
    <row r="818">
      <c r="A818" s="213"/>
      <c r="AD818" s="222"/>
    </row>
    <row r="819">
      <c r="A819" s="213"/>
      <c r="AD819" s="222"/>
    </row>
    <row r="820">
      <c r="A820" s="213"/>
      <c r="AD820" s="222"/>
    </row>
    <row r="821">
      <c r="A821" s="213"/>
      <c r="AD821" s="222"/>
    </row>
    <row r="822">
      <c r="A822" s="213"/>
      <c r="AD822" s="222"/>
    </row>
    <row r="823">
      <c r="A823" s="213"/>
      <c r="AD823" s="222"/>
    </row>
    <row r="824">
      <c r="A824" s="213"/>
      <c r="AD824" s="222"/>
    </row>
    <row r="825">
      <c r="A825" s="213"/>
      <c r="AD825" s="222"/>
    </row>
    <row r="826">
      <c r="A826" s="213"/>
      <c r="AD826" s="222"/>
    </row>
    <row r="827">
      <c r="A827" s="213"/>
      <c r="AD827" s="222"/>
    </row>
    <row r="828">
      <c r="A828" s="213"/>
      <c r="AD828" s="222"/>
    </row>
    <row r="829">
      <c r="A829" s="213"/>
      <c r="AD829" s="222"/>
    </row>
    <row r="830">
      <c r="A830" s="213"/>
      <c r="AD830" s="222"/>
    </row>
    <row r="831">
      <c r="A831" s="213"/>
      <c r="AD831" s="222"/>
    </row>
    <row r="832">
      <c r="A832" s="213"/>
      <c r="AD832" s="222"/>
    </row>
    <row r="833">
      <c r="A833" s="213"/>
      <c r="AD833" s="222"/>
    </row>
    <row r="834">
      <c r="A834" s="213"/>
      <c r="AD834" s="222"/>
    </row>
    <row r="835">
      <c r="A835" s="213"/>
      <c r="AD835" s="222"/>
    </row>
    <row r="836">
      <c r="A836" s="213"/>
      <c r="AD836" s="222"/>
    </row>
    <row r="837">
      <c r="A837" s="213"/>
      <c r="AD837" s="222"/>
    </row>
    <row r="838">
      <c r="A838" s="213"/>
      <c r="AD838" s="222"/>
    </row>
    <row r="839">
      <c r="A839" s="213"/>
      <c r="AD839" s="222"/>
    </row>
    <row r="840">
      <c r="A840" s="213"/>
      <c r="AD840" s="222"/>
    </row>
    <row r="841">
      <c r="A841" s="213"/>
      <c r="AD841" s="222"/>
    </row>
    <row r="842">
      <c r="A842" s="213"/>
      <c r="AD842" s="222"/>
    </row>
    <row r="843">
      <c r="A843" s="213"/>
      <c r="AD843" s="222"/>
    </row>
    <row r="844">
      <c r="A844" s="213"/>
      <c r="AD844" s="222"/>
    </row>
    <row r="845">
      <c r="A845" s="213"/>
      <c r="AD845" s="222"/>
    </row>
    <row r="846">
      <c r="A846" s="213"/>
      <c r="AD846" s="222"/>
    </row>
    <row r="847">
      <c r="A847" s="213"/>
      <c r="AD847" s="222"/>
    </row>
    <row r="848">
      <c r="A848" s="213"/>
      <c r="AD848" s="222"/>
    </row>
    <row r="849">
      <c r="A849" s="213"/>
      <c r="AD849" s="222"/>
    </row>
    <row r="850">
      <c r="A850" s="213"/>
      <c r="AD850" s="222"/>
    </row>
    <row r="851">
      <c r="A851" s="213"/>
      <c r="AD851" s="222"/>
    </row>
    <row r="852">
      <c r="A852" s="213"/>
      <c r="AD852" s="222"/>
    </row>
    <row r="853">
      <c r="A853" s="213"/>
      <c r="AD853" s="222"/>
    </row>
    <row r="854">
      <c r="A854" s="213"/>
      <c r="AD854" s="222"/>
    </row>
    <row r="855">
      <c r="A855" s="213"/>
      <c r="AD855" s="222"/>
    </row>
    <row r="856">
      <c r="A856" s="213"/>
      <c r="AD856" s="222"/>
    </row>
    <row r="857">
      <c r="A857" s="213"/>
      <c r="AD857" s="222"/>
    </row>
    <row r="858">
      <c r="A858" s="213"/>
      <c r="AD858" s="222"/>
    </row>
    <row r="859">
      <c r="A859" s="213"/>
      <c r="AD859" s="222"/>
    </row>
    <row r="860">
      <c r="A860" s="213"/>
      <c r="AD860" s="222"/>
    </row>
    <row r="861">
      <c r="A861" s="213"/>
      <c r="AD861" s="222"/>
    </row>
    <row r="862">
      <c r="A862" s="213"/>
      <c r="AD862" s="222"/>
    </row>
    <row r="863">
      <c r="A863" s="213"/>
      <c r="AD863" s="222"/>
    </row>
    <row r="864">
      <c r="A864" s="213"/>
      <c r="AD864" s="222"/>
    </row>
    <row r="865">
      <c r="A865" s="213"/>
      <c r="AD865" s="222"/>
    </row>
    <row r="866">
      <c r="A866" s="213"/>
      <c r="AD866" s="222"/>
    </row>
    <row r="867">
      <c r="A867" s="213"/>
      <c r="AD867" s="222"/>
    </row>
    <row r="868">
      <c r="A868" s="213"/>
      <c r="AD868" s="222"/>
    </row>
    <row r="869">
      <c r="A869" s="213"/>
      <c r="AD869" s="222"/>
    </row>
    <row r="870">
      <c r="A870" s="213"/>
      <c r="AD870" s="222"/>
    </row>
    <row r="871">
      <c r="A871" s="213"/>
      <c r="AD871" s="222"/>
    </row>
    <row r="872">
      <c r="A872" s="213"/>
      <c r="AD872" s="222"/>
    </row>
    <row r="873">
      <c r="A873" s="213"/>
      <c r="AD873" s="222"/>
    </row>
    <row r="874">
      <c r="A874" s="213"/>
      <c r="AD874" s="222"/>
    </row>
    <row r="875">
      <c r="A875" s="213"/>
      <c r="AD875" s="222"/>
    </row>
    <row r="876">
      <c r="A876" s="213"/>
      <c r="AD876" s="222"/>
    </row>
    <row r="877">
      <c r="A877" s="213"/>
      <c r="AD877" s="222"/>
    </row>
    <row r="878">
      <c r="A878" s="213"/>
      <c r="AD878" s="222"/>
    </row>
    <row r="879">
      <c r="A879" s="213"/>
      <c r="AD879" s="222"/>
    </row>
    <row r="880">
      <c r="A880" s="213"/>
      <c r="AD880" s="222"/>
    </row>
    <row r="881">
      <c r="A881" s="213"/>
      <c r="AD881" s="222"/>
    </row>
    <row r="882">
      <c r="A882" s="213"/>
      <c r="AD882" s="222"/>
    </row>
    <row r="883">
      <c r="A883" s="213"/>
      <c r="AD883" s="222"/>
    </row>
    <row r="884">
      <c r="A884" s="213"/>
      <c r="AD884" s="222"/>
    </row>
    <row r="885">
      <c r="A885" s="213"/>
      <c r="AD885" s="222"/>
    </row>
    <row r="886">
      <c r="A886" s="213"/>
      <c r="AD886" s="222"/>
    </row>
    <row r="887">
      <c r="A887" s="213"/>
      <c r="AD887" s="222"/>
    </row>
    <row r="888">
      <c r="A888" s="213"/>
      <c r="AD888" s="222"/>
    </row>
    <row r="889">
      <c r="A889" s="213"/>
      <c r="AD889" s="222"/>
    </row>
    <row r="890">
      <c r="A890" s="213"/>
      <c r="AD890" s="222"/>
    </row>
    <row r="891">
      <c r="A891" s="213"/>
      <c r="AD891" s="222"/>
    </row>
    <row r="892">
      <c r="A892" s="213"/>
      <c r="AD892" s="222"/>
    </row>
    <row r="893">
      <c r="A893" s="213"/>
      <c r="AD893" s="222"/>
    </row>
    <row r="894">
      <c r="A894" s="213"/>
      <c r="AD894" s="222"/>
    </row>
    <row r="895">
      <c r="A895" s="213"/>
      <c r="AD895" s="222"/>
    </row>
    <row r="896">
      <c r="A896" s="213"/>
      <c r="AD896" s="222"/>
    </row>
    <row r="897">
      <c r="A897" s="213"/>
      <c r="AD897" s="222"/>
    </row>
    <row r="898">
      <c r="A898" s="213"/>
      <c r="AD898" s="222"/>
    </row>
    <row r="899">
      <c r="A899" s="213"/>
      <c r="AD899" s="222"/>
    </row>
    <row r="900">
      <c r="A900" s="213"/>
      <c r="AD900" s="222"/>
    </row>
    <row r="901">
      <c r="A901" s="213"/>
      <c r="AD901" s="222"/>
    </row>
    <row r="902">
      <c r="A902" s="213"/>
      <c r="AD902" s="222"/>
    </row>
    <row r="903">
      <c r="A903" s="213"/>
      <c r="AD903" s="222"/>
    </row>
    <row r="904">
      <c r="A904" s="213"/>
      <c r="AD904" s="222"/>
    </row>
    <row r="905">
      <c r="A905" s="213"/>
      <c r="AD905" s="222"/>
    </row>
    <row r="906">
      <c r="A906" s="213"/>
      <c r="AD906" s="222"/>
    </row>
    <row r="907">
      <c r="A907" s="213"/>
      <c r="AD907" s="222"/>
    </row>
    <row r="908">
      <c r="A908" s="213"/>
      <c r="AD908" s="222"/>
    </row>
    <row r="909">
      <c r="A909" s="213"/>
      <c r="AD909" s="222"/>
    </row>
    <row r="910">
      <c r="A910" s="213"/>
      <c r="AD910" s="222"/>
    </row>
    <row r="911">
      <c r="A911" s="213"/>
      <c r="AD911" s="222"/>
    </row>
    <row r="912">
      <c r="A912" s="213"/>
      <c r="AD912" s="222"/>
    </row>
    <row r="913">
      <c r="A913" s="213"/>
      <c r="AD913" s="222"/>
    </row>
    <row r="914">
      <c r="A914" s="213"/>
      <c r="AD914" s="222"/>
    </row>
    <row r="915">
      <c r="A915" s="213"/>
      <c r="AD915" s="222"/>
    </row>
    <row r="916">
      <c r="A916" s="213"/>
      <c r="AD916" s="222"/>
    </row>
    <row r="917">
      <c r="A917" s="213"/>
      <c r="AD917" s="222"/>
    </row>
    <row r="918">
      <c r="A918" s="213"/>
      <c r="AD918" s="222"/>
    </row>
    <row r="919">
      <c r="A919" s="213"/>
      <c r="AD919" s="222"/>
    </row>
    <row r="920">
      <c r="A920" s="213"/>
      <c r="AD920" s="222"/>
    </row>
    <row r="921">
      <c r="A921" s="213"/>
      <c r="AD921" s="222"/>
    </row>
    <row r="922">
      <c r="A922" s="213"/>
      <c r="AD922" s="222"/>
    </row>
    <row r="923">
      <c r="A923" s="213"/>
      <c r="AD923" s="222"/>
    </row>
    <row r="924">
      <c r="A924" s="213"/>
      <c r="AD924" s="222"/>
    </row>
    <row r="925">
      <c r="A925" s="213"/>
      <c r="AD925" s="222"/>
    </row>
    <row r="926">
      <c r="A926" s="213"/>
      <c r="AD926" s="222"/>
    </row>
    <row r="927">
      <c r="A927" s="213"/>
      <c r="AD927" s="222"/>
    </row>
    <row r="928">
      <c r="A928" s="213"/>
      <c r="AD928" s="222"/>
    </row>
    <row r="929">
      <c r="A929" s="213"/>
      <c r="AD929" s="222"/>
    </row>
    <row r="930">
      <c r="A930" s="213"/>
      <c r="AD930" s="222"/>
    </row>
    <row r="931">
      <c r="A931" s="213"/>
      <c r="AD931" s="222"/>
    </row>
    <row r="932">
      <c r="A932" s="213"/>
      <c r="AD932" s="222"/>
    </row>
    <row r="933">
      <c r="A933" s="213"/>
      <c r="AD933" s="222"/>
    </row>
    <row r="934">
      <c r="A934" s="213"/>
      <c r="AD934" s="222"/>
    </row>
    <row r="935">
      <c r="A935" s="213"/>
      <c r="AD935" s="222"/>
    </row>
    <row r="936">
      <c r="A936" s="213"/>
      <c r="AD936" s="222"/>
    </row>
    <row r="937">
      <c r="A937" s="213"/>
      <c r="AD937" s="222"/>
    </row>
    <row r="938">
      <c r="A938" s="213"/>
      <c r="AD938" s="222"/>
    </row>
    <row r="939">
      <c r="A939" s="213"/>
      <c r="AD939" s="222"/>
    </row>
    <row r="940">
      <c r="A940" s="213"/>
      <c r="AD940" s="222"/>
    </row>
    <row r="941">
      <c r="A941" s="213"/>
      <c r="AD941" s="222"/>
    </row>
    <row r="942">
      <c r="A942" s="213"/>
      <c r="AD942" s="222"/>
    </row>
    <row r="943">
      <c r="A943" s="213"/>
      <c r="AD943" s="222"/>
    </row>
    <row r="944">
      <c r="A944" s="213"/>
      <c r="AD944" s="222"/>
    </row>
    <row r="945">
      <c r="A945" s="213"/>
      <c r="AD945" s="222"/>
    </row>
    <row r="946">
      <c r="A946" s="213"/>
      <c r="AD946" s="222"/>
    </row>
    <row r="947">
      <c r="A947" s="213"/>
      <c r="AD947" s="222"/>
    </row>
    <row r="948">
      <c r="A948" s="213"/>
      <c r="AD948" s="222"/>
    </row>
    <row r="949">
      <c r="A949" s="213"/>
      <c r="AD949" s="222"/>
    </row>
    <row r="950">
      <c r="A950" s="213"/>
      <c r="AD950" s="222"/>
    </row>
    <row r="951">
      <c r="A951" s="213"/>
      <c r="AD951" s="222"/>
    </row>
    <row r="952">
      <c r="A952" s="213"/>
      <c r="AD952" s="222"/>
    </row>
    <row r="953">
      <c r="A953" s="213"/>
      <c r="AD953" s="222"/>
    </row>
    <row r="954">
      <c r="A954" s="213"/>
      <c r="AD954" s="222"/>
    </row>
    <row r="955">
      <c r="A955" s="213"/>
      <c r="AD955" s="222"/>
    </row>
    <row r="956">
      <c r="A956" s="213"/>
      <c r="AD956" s="222"/>
    </row>
    <row r="957">
      <c r="A957" s="213"/>
      <c r="AD957" s="222"/>
    </row>
    <row r="958">
      <c r="A958" s="213"/>
      <c r="AD958" s="222"/>
    </row>
    <row r="959">
      <c r="A959" s="213"/>
      <c r="AD959" s="222"/>
    </row>
    <row r="960">
      <c r="A960" s="213"/>
      <c r="AD960" s="222"/>
    </row>
    <row r="961">
      <c r="A961" s="213"/>
      <c r="AD961" s="222"/>
    </row>
    <row r="962">
      <c r="A962" s="213"/>
      <c r="AD962" s="222"/>
    </row>
    <row r="963">
      <c r="A963" s="213"/>
      <c r="AD963" s="222"/>
    </row>
    <row r="964">
      <c r="A964" s="213"/>
      <c r="AD964" s="222"/>
    </row>
    <row r="965">
      <c r="A965" s="213"/>
      <c r="AD965" s="222"/>
    </row>
    <row r="966">
      <c r="A966" s="213"/>
      <c r="AD966" s="222"/>
    </row>
    <row r="967">
      <c r="A967" s="213"/>
      <c r="AD967" s="222"/>
    </row>
    <row r="968">
      <c r="A968" s="213"/>
      <c r="AD968" s="222"/>
    </row>
    <row r="969">
      <c r="A969" s="213"/>
      <c r="AD969" s="222"/>
    </row>
    <row r="970">
      <c r="A970" s="213"/>
      <c r="AD970" s="222"/>
    </row>
    <row r="971">
      <c r="A971" s="213"/>
      <c r="AD971" s="222"/>
    </row>
    <row r="972">
      <c r="A972" s="213"/>
      <c r="AD972" s="222"/>
    </row>
    <row r="973">
      <c r="A973" s="213"/>
      <c r="AD973" s="222"/>
    </row>
    <row r="974">
      <c r="A974" s="213"/>
      <c r="AD974" s="222"/>
    </row>
    <row r="975">
      <c r="A975" s="213"/>
      <c r="AD975" s="222"/>
    </row>
    <row r="976">
      <c r="A976" s="213"/>
      <c r="AD976" s="222"/>
    </row>
    <row r="977">
      <c r="A977" s="213"/>
      <c r="AD977" s="222"/>
    </row>
    <row r="978">
      <c r="A978" s="213"/>
      <c r="AD978" s="222"/>
    </row>
    <row r="979">
      <c r="A979" s="213"/>
      <c r="AD979" s="222"/>
    </row>
    <row r="980">
      <c r="A980" s="213"/>
      <c r="AD980" s="222"/>
    </row>
    <row r="981">
      <c r="A981" s="213"/>
      <c r="AD981" s="222"/>
    </row>
    <row r="982">
      <c r="A982" s="213"/>
      <c r="AD982" s="222"/>
    </row>
    <row r="983">
      <c r="A983" s="213"/>
      <c r="AD983" s="222"/>
    </row>
    <row r="984">
      <c r="A984" s="213"/>
      <c r="AD984" s="222"/>
    </row>
    <row r="985">
      <c r="A985" s="213"/>
      <c r="AD985" s="222"/>
    </row>
    <row r="986">
      <c r="A986" s="213"/>
      <c r="AD986" s="222"/>
    </row>
    <row r="987">
      <c r="A987" s="213"/>
      <c r="AD987" s="222"/>
    </row>
    <row r="988">
      <c r="A988" s="213"/>
      <c r="AD988" s="222"/>
    </row>
    <row r="989">
      <c r="A989" s="213"/>
      <c r="AD989" s="222"/>
    </row>
    <row r="990">
      <c r="A990" s="213"/>
      <c r="AD990" s="222"/>
    </row>
    <row r="991">
      <c r="A991" s="213"/>
      <c r="AD991" s="222"/>
    </row>
    <row r="992">
      <c r="A992" s="213"/>
      <c r="AD992" s="222"/>
    </row>
    <row r="993">
      <c r="A993" s="213"/>
      <c r="AD993" s="222"/>
    </row>
    <row r="994">
      <c r="A994" s="213"/>
      <c r="AD994" s="222"/>
    </row>
    <row r="995">
      <c r="A995" s="213"/>
      <c r="AD995" s="222"/>
    </row>
    <row r="996">
      <c r="A996" s="213"/>
      <c r="AD996" s="222"/>
    </row>
    <row r="997">
      <c r="A997" s="213"/>
      <c r="AD997" s="222"/>
    </row>
    <row r="998">
      <c r="A998" s="213"/>
      <c r="AD998" s="222"/>
    </row>
    <row r="999">
      <c r="A999" s="213"/>
      <c r="AD999" s="222"/>
    </row>
    <row r="1000">
      <c r="A1000" s="213"/>
      <c r="AD1000" s="222"/>
    </row>
    <row r="1001">
      <c r="A1001" s="213"/>
      <c r="AD1001" s="222"/>
    </row>
    <row r="1002">
      <c r="A1002" s="213"/>
      <c r="AD1002" s="222"/>
    </row>
    <row r="1003">
      <c r="A1003" s="213"/>
      <c r="AD1003" s="222"/>
    </row>
    <row r="1004">
      <c r="A1004" s="213"/>
      <c r="AD1004" s="222"/>
    </row>
    <row r="1005">
      <c r="A1005" s="213"/>
      <c r="AD1005" s="222"/>
    </row>
    <row r="1006">
      <c r="A1006" s="213"/>
      <c r="AD1006" s="222"/>
    </row>
    <row r="1007">
      <c r="A1007" s="213"/>
      <c r="AD1007" s="222"/>
    </row>
    <row r="1008">
      <c r="A1008" s="213"/>
      <c r="AD1008" s="222"/>
    </row>
    <row r="1009">
      <c r="A1009" s="213"/>
      <c r="AD1009" s="222"/>
    </row>
    <row r="1010">
      <c r="A1010" s="213"/>
      <c r="AD1010" s="222"/>
    </row>
    <row r="1011">
      <c r="A1011" s="213"/>
      <c r="AD1011" s="222"/>
    </row>
    <row r="1012">
      <c r="A1012" s="213"/>
      <c r="AD1012" s="222"/>
    </row>
    <row r="1013">
      <c r="A1013" s="213"/>
      <c r="AD1013" s="222"/>
    </row>
    <row r="1014">
      <c r="A1014" s="213"/>
      <c r="AD1014" s="222"/>
    </row>
    <row r="1015">
      <c r="A1015" s="213"/>
      <c r="AD1015" s="222"/>
    </row>
    <row r="1016">
      <c r="A1016" s="213"/>
      <c r="AD1016" s="222"/>
    </row>
    <row r="1017">
      <c r="A1017" s="213"/>
      <c r="AD1017" s="222"/>
    </row>
    <row r="1018">
      <c r="A1018" s="213"/>
      <c r="AD1018" s="222"/>
    </row>
    <row r="1019">
      <c r="A1019" s="213"/>
      <c r="AD1019" s="222"/>
    </row>
    <row r="1020">
      <c r="A1020" s="213"/>
      <c r="AD1020" s="222"/>
    </row>
    <row r="1021">
      <c r="A1021" s="213"/>
      <c r="AD1021" s="222"/>
    </row>
    <row r="1022">
      <c r="A1022" s="213"/>
      <c r="AD1022" s="222"/>
    </row>
    <row r="1023">
      <c r="A1023" s="213"/>
      <c r="AD1023" s="222"/>
    </row>
    <row r="1024">
      <c r="A1024" s="213"/>
      <c r="AD1024" s="222"/>
    </row>
    <row r="1025">
      <c r="A1025" s="213"/>
      <c r="AD1025" s="222"/>
    </row>
    <row r="1026">
      <c r="A1026" s="213"/>
      <c r="AD1026" s="222"/>
    </row>
    <row r="1027">
      <c r="A1027" s="213"/>
      <c r="AD1027" s="222"/>
    </row>
    <row r="1028">
      <c r="A1028" s="213"/>
      <c r="AD1028" s="222"/>
    </row>
    <row r="1029">
      <c r="A1029" s="213"/>
      <c r="AD1029" s="222"/>
    </row>
    <row r="1030">
      <c r="A1030" s="213"/>
      <c r="AD1030" s="222"/>
    </row>
    <row r="1031">
      <c r="A1031" s="213"/>
      <c r="AD1031" s="222"/>
    </row>
    <row r="1032">
      <c r="A1032" s="213"/>
      <c r="AD1032" s="222"/>
    </row>
    <row r="1033">
      <c r="A1033" s="213"/>
      <c r="AD1033" s="222"/>
    </row>
    <row r="1034">
      <c r="A1034" s="213"/>
      <c r="AD1034" s="222"/>
    </row>
    <row r="1035">
      <c r="A1035" s="213"/>
      <c r="AD1035" s="222"/>
    </row>
    <row r="1036">
      <c r="A1036" s="213"/>
      <c r="AD1036" s="222"/>
    </row>
    <row r="1037">
      <c r="A1037" s="213"/>
      <c r="AD1037" s="222"/>
    </row>
    <row r="1038">
      <c r="A1038" s="213"/>
      <c r="AD1038" s="222"/>
    </row>
    <row r="1039">
      <c r="A1039" s="213"/>
      <c r="AD1039" s="222"/>
    </row>
    <row r="1040">
      <c r="A1040" s="213"/>
      <c r="AD1040" s="222"/>
    </row>
    <row r="1041">
      <c r="A1041" s="213"/>
      <c r="AD1041" s="222"/>
    </row>
    <row r="1042">
      <c r="A1042" s="213"/>
      <c r="AD1042" s="222"/>
    </row>
    <row r="1043">
      <c r="A1043" s="213"/>
      <c r="AD1043" s="222"/>
    </row>
    <row r="1044">
      <c r="A1044" s="213"/>
      <c r="AD1044" s="222"/>
    </row>
    <row r="1045">
      <c r="A1045" s="213"/>
      <c r="AD1045" s="222"/>
    </row>
    <row r="1046">
      <c r="A1046" s="213"/>
      <c r="AD1046" s="222"/>
    </row>
    <row r="1047">
      <c r="A1047" s="213"/>
      <c r="AD1047" s="222"/>
    </row>
    <row r="1048">
      <c r="A1048" s="213"/>
      <c r="AD1048" s="222"/>
    </row>
    <row r="1049">
      <c r="A1049" s="213"/>
      <c r="AD1049" s="222"/>
    </row>
    <row r="1050">
      <c r="A1050" s="213"/>
      <c r="AD1050" s="222"/>
    </row>
    <row r="1051">
      <c r="A1051" s="213"/>
      <c r="AD1051" s="222"/>
    </row>
    <row r="1052">
      <c r="A1052" s="213"/>
      <c r="AD1052" s="222"/>
    </row>
    <row r="1053">
      <c r="A1053" s="213"/>
      <c r="AD1053" s="222"/>
    </row>
    <row r="1054">
      <c r="A1054" s="213"/>
      <c r="AD1054" s="222"/>
    </row>
    <row r="1055">
      <c r="A1055" s="213"/>
      <c r="AD1055" s="222"/>
    </row>
    <row r="1056">
      <c r="A1056" s="213"/>
      <c r="AD1056" s="222"/>
    </row>
    <row r="1057">
      <c r="A1057" s="213"/>
      <c r="AD1057" s="222"/>
    </row>
    <row r="1058">
      <c r="A1058" s="213"/>
      <c r="AD1058" s="222"/>
    </row>
    <row r="1059">
      <c r="A1059" s="213"/>
      <c r="AD1059" s="222"/>
    </row>
    <row r="1060">
      <c r="A1060" s="213"/>
      <c r="AD1060" s="222"/>
    </row>
    <row r="1061">
      <c r="A1061" s="213"/>
      <c r="AD1061" s="222"/>
    </row>
    <row r="1062">
      <c r="A1062" s="213"/>
      <c r="AD1062" s="222"/>
    </row>
    <row r="1063">
      <c r="A1063" s="213"/>
      <c r="AD1063" s="222"/>
    </row>
    <row r="1064">
      <c r="A1064" s="213"/>
      <c r="AD1064" s="222"/>
    </row>
    <row r="1065">
      <c r="A1065" s="213"/>
      <c r="AD1065" s="222"/>
    </row>
    <row r="1066">
      <c r="A1066" s="213"/>
      <c r="AD1066" s="222"/>
    </row>
    <row r="1067">
      <c r="A1067" s="213"/>
      <c r="AD1067" s="222"/>
    </row>
    <row r="1068">
      <c r="A1068" s="213"/>
      <c r="AD1068" s="222"/>
    </row>
    <row r="1069">
      <c r="A1069" s="213"/>
      <c r="AD1069" s="222"/>
    </row>
    <row r="1070">
      <c r="A1070" s="213"/>
      <c r="AD1070" s="222"/>
    </row>
    <row r="1071">
      <c r="A1071" s="213"/>
      <c r="AD1071" s="222"/>
    </row>
    <row r="1072">
      <c r="A1072" s="213"/>
      <c r="AD1072" s="222"/>
    </row>
    <row r="1073">
      <c r="A1073" s="213"/>
      <c r="AD1073" s="222"/>
    </row>
    <row r="1074">
      <c r="A1074" s="213"/>
      <c r="AD1074" s="222"/>
    </row>
    <row r="1075">
      <c r="A1075" s="213"/>
      <c r="AD1075" s="222"/>
    </row>
    <row r="1076">
      <c r="A1076" s="213"/>
      <c r="AD1076" s="222"/>
    </row>
    <row r="1077">
      <c r="A1077" s="213"/>
      <c r="AD1077" s="222"/>
    </row>
    <row r="1078">
      <c r="A1078" s="213"/>
      <c r="AD1078" s="222"/>
    </row>
    <row r="1079">
      <c r="A1079" s="213"/>
      <c r="AD1079" s="222"/>
    </row>
    <row r="1080">
      <c r="A1080" s="213"/>
      <c r="AD1080" s="222"/>
    </row>
    <row r="1081">
      <c r="A1081" s="213"/>
      <c r="AD1081" s="222"/>
    </row>
    <row r="1082">
      <c r="A1082" s="213"/>
      <c r="AD1082" s="222"/>
    </row>
    <row r="1083">
      <c r="A1083" s="213"/>
      <c r="AD1083" s="222"/>
    </row>
    <row r="1084">
      <c r="A1084" s="213"/>
      <c r="AD1084" s="222"/>
    </row>
    <row r="1085">
      <c r="A1085" s="213"/>
      <c r="AD1085" s="222"/>
    </row>
    <row r="1086">
      <c r="A1086" s="213"/>
      <c r="AD1086" s="222"/>
    </row>
    <row r="1087">
      <c r="A1087" s="213"/>
      <c r="AD1087" s="222"/>
    </row>
    <row r="1088">
      <c r="A1088" s="213"/>
      <c r="AD1088" s="222"/>
    </row>
    <row r="1089">
      <c r="A1089" s="213"/>
      <c r="AD1089" s="222"/>
    </row>
    <row r="1090">
      <c r="A1090" s="213"/>
      <c r="AD1090" s="222"/>
    </row>
    <row r="1091">
      <c r="A1091" s="213"/>
      <c r="AD1091" s="222"/>
    </row>
    <row r="1092">
      <c r="A1092" s="213"/>
      <c r="AD1092" s="222"/>
    </row>
    <row r="1093">
      <c r="A1093" s="213"/>
      <c r="AD1093" s="222"/>
    </row>
    <row r="1094">
      <c r="A1094" s="213"/>
      <c r="AD1094" s="222"/>
    </row>
    <row r="1095">
      <c r="A1095" s="213"/>
      <c r="AD1095" s="222"/>
    </row>
    <row r="1096">
      <c r="A1096" s="213"/>
      <c r="AD1096" s="222"/>
    </row>
    <row r="1097">
      <c r="A1097" s="213"/>
      <c r="AD1097" s="222"/>
    </row>
    <row r="1098">
      <c r="A1098" s="213"/>
      <c r="AD1098" s="222"/>
    </row>
    <row r="1099">
      <c r="A1099" s="213"/>
      <c r="AD1099" s="222"/>
    </row>
    <row r="1100">
      <c r="A1100" s="213"/>
      <c r="AD1100" s="222"/>
    </row>
    <row r="1101">
      <c r="A1101" s="213"/>
      <c r="AD1101" s="222"/>
    </row>
    <row r="1102">
      <c r="A1102" s="213"/>
      <c r="AD1102" s="222"/>
    </row>
    <row r="1103">
      <c r="A1103" s="213"/>
      <c r="AD1103" s="222"/>
    </row>
    <row r="1104">
      <c r="A1104" s="213"/>
      <c r="AD1104" s="222"/>
    </row>
    <row r="1105">
      <c r="A1105" s="213"/>
      <c r="AD1105" s="222"/>
    </row>
    <row r="1106">
      <c r="A1106" s="213"/>
      <c r="AD1106" s="222"/>
    </row>
    <row r="1107">
      <c r="A1107" s="213"/>
      <c r="AD1107" s="222"/>
    </row>
    <row r="1108">
      <c r="A1108" s="213"/>
      <c r="AD1108" s="222"/>
    </row>
    <row r="1109">
      <c r="A1109" s="213"/>
      <c r="AD1109" s="222"/>
    </row>
    <row r="1110">
      <c r="A1110" s="213"/>
      <c r="AD1110" s="222"/>
    </row>
    <row r="1111">
      <c r="A1111" s="213"/>
      <c r="AD1111" s="222"/>
    </row>
    <row r="1112">
      <c r="A1112" s="213"/>
      <c r="AD1112" s="222"/>
    </row>
    <row r="1113">
      <c r="A1113" s="213"/>
      <c r="AD1113" s="222"/>
    </row>
    <row r="1114">
      <c r="A1114" s="213"/>
      <c r="AD1114" s="222"/>
    </row>
    <row r="1115">
      <c r="A1115" s="213"/>
      <c r="AD1115" s="222"/>
    </row>
    <row r="1116">
      <c r="A1116" s="213"/>
      <c r="AD1116" s="222"/>
    </row>
    <row r="1117">
      <c r="A1117" s="213"/>
      <c r="AD1117" s="222"/>
    </row>
    <row r="1118">
      <c r="A1118" s="213"/>
      <c r="AD1118" s="222"/>
    </row>
    <row r="1119">
      <c r="A1119" s="213"/>
      <c r="AD1119" s="222"/>
    </row>
    <row r="1120">
      <c r="A1120" s="213"/>
      <c r="AD1120" s="222"/>
    </row>
  </sheetData>
  <conditionalFormatting sqref="B546:AC546">
    <cfRule type="cellIs" dxfId="0" priority="1" operator="lessThan">
      <formula>0</formula>
    </cfRule>
  </conditionalFormatting>
  <conditionalFormatting sqref="B546:AC546">
    <cfRule type="cellIs" dxfId="1" priority="2" operator="greaterThan">
      <formula>0</formula>
    </cfRule>
  </conditionalFormatting>
  <conditionalFormatting sqref="B475:AC475">
    <cfRule type="colorScale" priority="3">
      <colorScale>
        <cfvo type="min"/>
        <cfvo type="max"/>
        <color rgb="FFFFFFFF"/>
        <color rgb="FFE67C73"/>
      </colorScale>
    </cfRule>
  </conditionalFormatting>
  <conditionalFormatting sqref="B63:AC63 B75:AC75 B112:AC112 B115:AC115">
    <cfRule type="cellIs" dxfId="0" priority="4" operator="lessThan">
      <formula>0</formula>
    </cfRule>
  </conditionalFormatting>
  <conditionalFormatting sqref="B63:AC63 B75:AC75 B112:AC112 B115:AC115">
    <cfRule type="cellIs" dxfId="1" priority="5" operator="greaterThan">
      <formula>0</formula>
    </cfRule>
  </conditionalFormatting>
  <conditionalFormatting sqref="B81:AC81 B87:AC87 B112:AC112 B115:AC115">
    <cfRule type="cellIs" dxfId="1" priority="6" operator="greaterThan">
      <formula>0</formula>
    </cfRule>
  </conditionalFormatting>
  <conditionalFormatting sqref="B81:AC81 B87:AC87 B112:AC112 B115:AC115">
    <cfRule type="cellIs" dxfId="0" priority="7" operator="lessThan">
      <formula>0</formula>
    </cfRule>
  </conditionalFormatting>
  <conditionalFormatting sqref="B57:AC57">
    <cfRule type="cellIs" dxfId="1" priority="8" operator="greaterThan">
      <formula>0</formula>
    </cfRule>
  </conditionalFormatting>
  <conditionalFormatting sqref="B57:AC57">
    <cfRule type="cellIs" dxfId="0" priority="9" operator="lessThan">
      <formula>0</formula>
    </cfRule>
  </conditionalFormatting>
  <conditionalFormatting sqref="B549:AC549">
    <cfRule type="colorScale" priority="10">
      <colorScale>
        <cfvo type="min"/>
        <cfvo type="max"/>
        <color rgb="FFFFFFFF"/>
        <color rgb="FF57BB8A"/>
      </colorScale>
    </cfRule>
  </conditionalFormatting>
  <conditionalFormatting sqref="B551:AC551">
    <cfRule type="colorScale" priority="11">
      <colorScale>
        <cfvo type="min"/>
        <cfvo type="max"/>
        <color rgb="FFFFFFFF"/>
        <color rgb="FF57BB8A"/>
      </colorScale>
    </cfRule>
  </conditionalFormatting>
  <conditionalFormatting sqref="A58">
    <cfRule type="cellIs" dxfId="2" priority="12" operator="greaterThan">
      <formula>0</formula>
    </cfRule>
  </conditionalFormatting>
  <conditionalFormatting sqref="A58">
    <cfRule type="cellIs" dxfId="0" priority="13" operator="lessThan">
      <formula>0</formula>
    </cfRule>
  </conditionalFormatting>
  <conditionalFormatting sqref="B69:AC69 R91">
    <cfRule type="cellIs" dxfId="1" priority="14" operator="greaterThan">
      <formula>0</formula>
    </cfRule>
  </conditionalFormatting>
  <conditionalFormatting sqref="B69:AC69 R91">
    <cfRule type="cellIs" dxfId="0" priority="15" operator="lessThan">
      <formula>0</formula>
    </cfRule>
  </conditionalFormatting>
  <conditionalFormatting sqref="A547">
    <cfRule type="cellIs" dxfId="3" priority="16" operator="greaterThan">
      <formula>0</formula>
    </cfRule>
  </conditionalFormatting>
  <conditionalFormatting sqref="A547">
    <cfRule type="cellIs" dxfId="4" priority="17" operator="lessThan">
      <formula>0</formula>
    </cfRule>
  </conditionalFormatting>
  <conditionalFormatting sqref="B507:AC507">
    <cfRule type="colorScale" priority="18">
      <colorScale>
        <cfvo type="min"/>
        <cfvo type="max"/>
        <color rgb="FFFFFFFF"/>
        <color rgb="FFE67C73"/>
      </colorScale>
    </cfRule>
  </conditionalFormatting>
  <conditionalFormatting sqref="B508:AC508">
    <cfRule type="colorScale" priority="19">
      <colorScale>
        <cfvo type="min"/>
        <cfvo type="max"/>
        <color rgb="FFFFFFFF"/>
        <color rgb="FFE67C7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 customWidth="1" min="5" max="5" width="17.38"/>
  </cols>
  <sheetData>
    <row r="1">
      <c r="B1" s="1" t="s">
        <v>0</v>
      </c>
    </row>
    <row r="3">
      <c r="A3" s="3"/>
      <c r="B3" s="4" t="s">
        <v>4</v>
      </c>
      <c r="C3" s="7" t="s">
        <v>9</v>
      </c>
      <c r="E3" s="8" t="s">
        <v>28</v>
      </c>
    </row>
    <row r="4">
      <c r="A4" s="9"/>
      <c r="B4" s="10" t="s">
        <v>33</v>
      </c>
      <c r="C4" s="11">
        <v>70.53</v>
      </c>
      <c r="E4" s="10" t="s">
        <v>38</v>
      </c>
      <c r="F4" s="11">
        <v>1.5</v>
      </c>
    </row>
    <row r="5">
      <c r="A5" s="3"/>
      <c r="B5" s="10" t="s">
        <v>43</v>
      </c>
      <c r="C5" s="11">
        <v>80.08</v>
      </c>
      <c r="E5" s="10" t="s">
        <v>46</v>
      </c>
      <c r="F5" s="11">
        <v>0.3</v>
      </c>
    </row>
    <row r="6">
      <c r="A6" s="12"/>
      <c r="B6" s="10" t="s">
        <v>50</v>
      </c>
      <c r="C6" s="11">
        <v>9.98</v>
      </c>
      <c r="E6" s="10" t="s">
        <v>52</v>
      </c>
      <c r="F6" s="13">
        <v>0.31</v>
      </c>
    </row>
    <row r="7">
      <c r="A7" s="12"/>
      <c r="B7" s="10" t="s">
        <v>53</v>
      </c>
      <c r="C7" s="11">
        <v>4.93</v>
      </c>
      <c r="E7" s="10" t="s">
        <v>54</v>
      </c>
      <c r="F7" s="15"/>
    </row>
    <row r="8">
      <c r="A8" s="12"/>
      <c r="B8" s="10" t="s">
        <v>56</v>
      </c>
      <c r="C8" s="11">
        <v>6.37</v>
      </c>
      <c r="E8" s="7" t="s">
        <v>9</v>
      </c>
      <c r="F8" s="11"/>
    </row>
    <row r="9">
      <c r="A9" s="12"/>
      <c r="B9" s="10" t="s">
        <v>72</v>
      </c>
      <c r="C9" s="11">
        <v>1.07</v>
      </c>
      <c r="E9" s="10"/>
      <c r="F9" s="11"/>
    </row>
    <row r="10">
      <c r="A10" s="12"/>
      <c r="B10" s="20" t="s">
        <v>76</v>
      </c>
      <c r="C10" s="11">
        <v>6.08</v>
      </c>
      <c r="E10" s="20"/>
      <c r="F10" s="21"/>
    </row>
    <row r="11">
      <c r="A11" s="12"/>
    </row>
    <row r="12">
      <c r="A12" s="12"/>
      <c r="B12" s="8" t="s">
        <v>79</v>
      </c>
      <c r="C12" s="24" t="s">
        <v>9</v>
      </c>
      <c r="E12" s="8" t="s">
        <v>81</v>
      </c>
    </row>
    <row r="13">
      <c r="A13" s="12"/>
      <c r="B13" s="10" t="s">
        <v>83</v>
      </c>
      <c r="C13" s="13">
        <v>18.43</v>
      </c>
      <c r="E13" s="10" t="s">
        <v>83</v>
      </c>
      <c r="F13" s="13">
        <v>1.22</v>
      </c>
    </row>
    <row r="14">
      <c r="A14" s="12"/>
      <c r="B14" s="10" t="s">
        <v>85</v>
      </c>
      <c r="C14" s="11">
        <v>4.98</v>
      </c>
      <c r="E14" s="10" t="s">
        <v>85</v>
      </c>
      <c r="F14" s="15"/>
    </row>
    <row r="15">
      <c r="B15" s="10" t="s">
        <v>86</v>
      </c>
      <c r="C15" s="15">
        <v>10.0</v>
      </c>
      <c r="E15" s="10" t="s">
        <v>86</v>
      </c>
      <c r="F15" s="15"/>
    </row>
    <row r="16">
      <c r="B16" s="2" t="s">
        <v>87</v>
      </c>
      <c r="C16" s="11">
        <v>11.59</v>
      </c>
      <c r="E16" s="2" t="s">
        <v>87</v>
      </c>
      <c r="F16" s="15"/>
    </row>
    <row r="17">
      <c r="B17" s="2" t="s">
        <v>88</v>
      </c>
      <c r="C17" s="15">
        <v>15.0</v>
      </c>
      <c r="E17" s="2" t="s">
        <v>88</v>
      </c>
      <c r="F17" s="15"/>
    </row>
    <row r="18">
      <c r="B18" s="2" t="s">
        <v>92</v>
      </c>
      <c r="C18" s="15">
        <v>20.0</v>
      </c>
      <c r="E18" s="2" t="s">
        <v>92</v>
      </c>
      <c r="F18" s="15"/>
    </row>
    <row r="20">
      <c r="B20" s="8" t="s">
        <v>94</v>
      </c>
      <c r="E20" s="8" t="s">
        <v>95</v>
      </c>
    </row>
    <row r="21">
      <c r="B21" s="10" t="s">
        <v>4</v>
      </c>
      <c r="C21" s="11">
        <f>(C4*1)+(C6*F26)+(C7*F27)+(C8*F28)+(C9*F29)+(C10*F30)</f>
        <v>76.26328231</v>
      </c>
      <c r="E21" s="10" t="s">
        <v>98</v>
      </c>
      <c r="F21" s="31">
        <v>0.22</v>
      </c>
    </row>
    <row r="22">
      <c r="B22" s="10" t="s">
        <v>99</v>
      </c>
      <c r="C22" s="11">
        <f>C13</f>
        <v>18.43</v>
      </c>
      <c r="E22" s="10" t="s">
        <v>101</v>
      </c>
      <c r="F22" s="31">
        <v>0.13</v>
      </c>
    </row>
    <row r="23">
      <c r="B23" s="10" t="s">
        <v>102</v>
      </c>
      <c r="C23" s="11">
        <f>C16</f>
        <v>11.59</v>
      </c>
      <c r="E23" s="10" t="s">
        <v>104</v>
      </c>
      <c r="F23" s="15"/>
    </row>
    <row r="24">
      <c r="B24" s="10" t="s">
        <v>106</v>
      </c>
      <c r="C24" s="11">
        <v>10.89</v>
      </c>
      <c r="F24" s="11"/>
    </row>
    <row r="25">
      <c r="B25" s="2" t="s">
        <v>107</v>
      </c>
      <c r="C25" s="34">
        <f>C21*0.075</f>
        <v>5.719746173</v>
      </c>
      <c r="E25" s="8" t="s">
        <v>108</v>
      </c>
    </row>
    <row r="26">
      <c r="B26" s="2" t="s">
        <v>109</v>
      </c>
      <c r="C26" s="11">
        <f>C21*0.034</f>
        <v>2.592951599</v>
      </c>
      <c r="E26" s="2" t="s">
        <v>111</v>
      </c>
      <c r="F26" s="35">
        <f>('Detailed Report'!AD169)/'Detailed Report'!AD163</f>
        <v>0.07458697765</v>
      </c>
    </row>
    <row r="27">
      <c r="B27" s="2" t="s">
        <v>112</v>
      </c>
      <c r="C27" s="11">
        <f>Sales!B48*0.0297</f>
        <v>7.809865692</v>
      </c>
      <c r="E27" s="2" t="s">
        <v>53</v>
      </c>
      <c r="F27" s="35">
        <f>('Detailed Report'!AD165)/'Detailed Report'!AD163</f>
        <v>0.4139941691</v>
      </c>
    </row>
    <row r="28">
      <c r="B28" s="2" t="s">
        <v>114</v>
      </c>
      <c r="C28" s="34">
        <f>0.36</f>
        <v>0.36</v>
      </c>
      <c r="E28" s="2" t="s">
        <v>56</v>
      </c>
      <c r="F28" s="35">
        <f>('Detailed Report'!AD166)/'Detailed Report'!AD163</f>
        <v>0.002186588921</v>
      </c>
    </row>
    <row r="29">
      <c r="B29" s="2" t="s">
        <v>116</v>
      </c>
      <c r="C29" s="34">
        <f t="shared" ref="C29:C31" si="1">F4</f>
        <v>1.5</v>
      </c>
      <c r="E29" s="2" t="s">
        <v>72</v>
      </c>
      <c r="F29" s="35">
        <f>('Detailed Report'!AD167)/'Detailed Report'!AD163</f>
        <v>0.9183673469</v>
      </c>
    </row>
    <row r="30">
      <c r="B30" s="2" t="s">
        <v>117</v>
      </c>
      <c r="C30" s="34">
        <f t="shared" si="1"/>
        <v>0.3</v>
      </c>
      <c r="E30" s="2" t="s">
        <v>118</v>
      </c>
      <c r="F30" s="35">
        <f>('Detailed Report'!AD168)/'Detailed Report'!AD163</f>
        <v>0.3209426628</v>
      </c>
    </row>
    <row r="31">
      <c r="B31" s="38" t="s">
        <v>119</v>
      </c>
      <c r="C31" s="40">
        <f t="shared" si="1"/>
        <v>0.31</v>
      </c>
    </row>
    <row r="32">
      <c r="B32" s="2" t="s">
        <v>121</v>
      </c>
      <c r="C32" s="34">
        <f>SUM(C21:C30)</f>
        <v>135.4558458</v>
      </c>
    </row>
    <row r="34">
      <c r="B34" s="8" t="s">
        <v>122</v>
      </c>
      <c r="E34" s="8" t="s">
        <v>123</v>
      </c>
    </row>
    <row r="35">
      <c r="B35" s="2" t="s">
        <v>124</v>
      </c>
      <c r="C35" s="31">
        <v>0.0297</v>
      </c>
      <c r="E35" s="2" t="s">
        <v>125</v>
      </c>
      <c r="F35" s="42">
        <v>10.0</v>
      </c>
    </row>
    <row r="36">
      <c r="B36" s="2" t="s">
        <v>127</v>
      </c>
      <c r="C36" s="31">
        <v>0.034</v>
      </c>
      <c r="E36" s="2" t="s">
        <v>128</v>
      </c>
      <c r="F36" s="42">
        <v>20.0</v>
      </c>
    </row>
    <row r="37">
      <c r="B37" s="2" t="s">
        <v>129</v>
      </c>
      <c r="C37" s="31">
        <v>0.075</v>
      </c>
      <c r="E37" s="2" t="s">
        <v>130</v>
      </c>
      <c r="F37" s="42">
        <v>20.0</v>
      </c>
    </row>
    <row r="38">
      <c r="B38" s="2" t="s">
        <v>131</v>
      </c>
      <c r="C38" s="45">
        <v>0.00125</v>
      </c>
      <c r="E38" s="2" t="s">
        <v>132</v>
      </c>
      <c r="F38" s="46">
        <v>0.8</v>
      </c>
    </row>
    <row r="39">
      <c r="B39" s="2" t="s">
        <v>133</v>
      </c>
      <c r="C39" s="47">
        <v>0.003464</v>
      </c>
      <c r="F39" s="42"/>
    </row>
    <row r="40">
      <c r="B40" s="2" t="s">
        <v>134</v>
      </c>
      <c r="C40" s="46">
        <v>0.25</v>
      </c>
    </row>
    <row r="41">
      <c r="B41" s="2" t="s">
        <v>135</v>
      </c>
      <c r="C41" s="31">
        <v>0.025</v>
      </c>
    </row>
  </sheetData>
  <mergeCells count="1">
    <mergeCell ref="B1:F1"/>
  </mergeCells>
  <hyperlinks>
    <hyperlink display="Source" location="'Business Metrics US'!A1" ref="C3"/>
    <hyperlink r:id="rId1" location="gid=1038709083" ref="E8"/>
    <hyperlink r:id="rId2" ref="C12"/>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38"/>
    <col customWidth="1" min="2" max="9" width="23.13"/>
  </cols>
  <sheetData>
    <row r="1">
      <c r="A1" s="61" t="s">
        <v>139</v>
      </c>
    </row>
    <row r="2">
      <c r="A2" s="62" t="s">
        <v>140</v>
      </c>
      <c r="B2" s="62" t="s">
        <v>33</v>
      </c>
      <c r="C2" s="62" t="s">
        <v>43</v>
      </c>
      <c r="D2" s="62" t="s">
        <v>111</v>
      </c>
      <c r="E2" s="62" t="s">
        <v>53</v>
      </c>
      <c r="F2" s="62" t="s">
        <v>72</v>
      </c>
      <c r="G2" s="62" t="s">
        <v>76</v>
      </c>
      <c r="H2" s="2" t="s">
        <v>141</v>
      </c>
      <c r="I2" s="2" t="s">
        <v>142</v>
      </c>
      <c r="J2" s="2" t="s">
        <v>143</v>
      </c>
    </row>
    <row r="3">
      <c r="A3" s="63" t="s">
        <v>144</v>
      </c>
      <c r="B3" s="63" t="s">
        <v>145</v>
      </c>
      <c r="C3" s="63" t="s">
        <v>145</v>
      </c>
      <c r="D3" s="63" t="s">
        <v>146</v>
      </c>
      <c r="E3" s="63" t="s">
        <v>146</v>
      </c>
      <c r="F3" s="63" t="s">
        <v>146</v>
      </c>
      <c r="G3" s="63" t="s">
        <v>146</v>
      </c>
    </row>
    <row r="5">
      <c r="A5" s="64" t="s">
        <v>4</v>
      </c>
    </row>
    <row r="6">
      <c r="A6" s="65" t="s">
        <v>9</v>
      </c>
    </row>
    <row r="7">
      <c r="A7" s="67" t="s">
        <v>147</v>
      </c>
      <c r="B7" s="10" t="s">
        <v>148</v>
      </c>
      <c r="C7" s="10" t="s">
        <v>148</v>
      </c>
      <c r="D7" s="10" t="s">
        <v>148</v>
      </c>
      <c r="E7" s="10" t="s">
        <v>148</v>
      </c>
      <c r="F7" s="10" t="s">
        <v>148</v>
      </c>
      <c r="G7" s="10" t="s">
        <v>148</v>
      </c>
    </row>
    <row r="8">
      <c r="A8" s="67" t="s">
        <v>149</v>
      </c>
      <c r="B8" s="10" t="s">
        <v>150</v>
      </c>
      <c r="C8" s="10" t="s">
        <v>150</v>
      </c>
      <c r="D8" s="10" t="s">
        <v>150</v>
      </c>
      <c r="E8" s="10" t="s">
        <v>150</v>
      </c>
      <c r="F8" s="10" t="s">
        <v>150</v>
      </c>
      <c r="G8" s="10" t="s">
        <v>150</v>
      </c>
    </row>
    <row r="9">
      <c r="A9" s="67" t="s">
        <v>152</v>
      </c>
      <c r="B9" s="10" t="s">
        <v>153</v>
      </c>
      <c r="C9" s="10" t="s">
        <v>153</v>
      </c>
      <c r="D9" s="10" t="s">
        <v>153</v>
      </c>
      <c r="E9" s="10" t="s">
        <v>153</v>
      </c>
      <c r="F9" s="10" t="s">
        <v>153</v>
      </c>
      <c r="G9" s="10" t="s">
        <v>153</v>
      </c>
    </row>
    <row r="10">
      <c r="A10" s="67" t="s">
        <v>154</v>
      </c>
      <c r="B10" s="71">
        <v>150000.0</v>
      </c>
      <c r="C10" s="71">
        <v>150000.0</v>
      </c>
      <c r="D10" s="72"/>
      <c r="E10" s="72"/>
      <c r="F10" s="72"/>
      <c r="G10" s="72"/>
    </row>
    <row r="11">
      <c r="A11" s="67" t="s">
        <v>155</v>
      </c>
      <c r="B11" s="10" t="s">
        <v>156</v>
      </c>
      <c r="C11" s="10" t="s">
        <v>156</v>
      </c>
      <c r="D11" s="72"/>
      <c r="E11" s="72"/>
      <c r="F11" s="72"/>
      <c r="G11" s="72"/>
    </row>
    <row r="12">
      <c r="B12" s="10"/>
      <c r="C12" s="10"/>
      <c r="D12" s="10"/>
      <c r="E12" s="10"/>
      <c r="F12" s="10"/>
      <c r="G12" s="10"/>
    </row>
    <row r="13">
      <c r="A13" s="74" t="s">
        <v>157</v>
      </c>
      <c r="B13" s="75">
        <v>6.1433</v>
      </c>
      <c r="C13" s="75">
        <v>6.1433</v>
      </c>
      <c r="D13" s="76">
        <v>0.0</v>
      </c>
      <c r="E13" s="76">
        <v>0.0</v>
      </c>
      <c r="F13" s="76">
        <v>0.0</v>
      </c>
      <c r="G13" s="76">
        <v>0.0</v>
      </c>
      <c r="H13" s="77"/>
      <c r="I13" s="79"/>
    </row>
    <row r="14">
      <c r="A14" s="74" t="s">
        <v>158</v>
      </c>
      <c r="B14" s="75">
        <v>38.23</v>
      </c>
      <c r="C14" s="75">
        <v>45.3</v>
      </c>
      <c r="D14" s="81">
        <v>6.87</v>
      </c>
      <c r="E14" s="81">
        <v>3.79</v>
      </c>
      <c r="F14" s="81">
        <v>0.82</v>
      </c>
      <c r="G14" s="82">
        <v>3.8336</v>
      </c>
      <c r="H14" s="77"/>
      <c r="I14" s="79"/>
    </row>
    <row r="15">
      <c r="A15" s="74" t="s">
        <v>159</v>
      </c>
      <c r="B15" s="75">
        <f t="shared" ref="B15:G15" si="1">(B13+B14)*B23</f>
        <v>15.530655</v>
      </c>
      <c r="C15" s="75">
        <f t="shared" si="1"/>
        <v>18.005155</v>
      </c>
      <c r="D15" s="75">
        <f t="shared" si="1"/>
        <v>2.4045</v>
      </c>
      <c r="E15" s="75">
        <f t="shared" si="1"/>
        <v>1.137</v>
      </c>
      <c r="F15" s="75">
        <f t="shared" si="1"/>
        <v>0.246</v>
      </c>
      <c r="G15" s="75">
        <f t="shared" si="1"/>
        <v>1.15008</v>
      </c>
      <c r="H15" s="77"/>
      <c r="I15" s="79"/>
    </row>
    <row r="16">
      <c r="A16" s="74" t="s">
        <v>160</v>
      </c>
      <c r="B16" s="75">
        <v>8.1762</v>
      </c>
      <c r="C16" s="75">
        <v>8.1762</v>
      </c>
      <c r="D16" s="83">
        <v>0.544</v>
      </c>
      <c r="E16" s="84">
        <v>0.0</v>
      </c>
      <c r="F16" s="84">
        <v>0.0</v>
      </c>
      <c r="G16" s="84">
        <v>0.8422</v>
      </c>
      <c r="H16" s="77"/>
      <c r="I16" s="85"/>
    </row>
    <row r="17">
      <c r="A17" s="74" t="s">
        <v>161</v>
      </c>
      <c r="B17" s="75">
        <f t="shared" ref="B17:G17" si="2">B16*B24</f>
        <v>2.45286</v>
      </c>
      <c r="C17" s="75">
        <f t="shared" si="2"/>
        <v>2.45286</v>
      </c>
      <c r="D17" s="75">
        <f t="shared" si="2"/>
        <v>0.1632</v>
      </c>
      <c r="E17" s="75">
        <f t="shared" si="2"/>
        <v>0</v>
      </c>
      <c r="F17" s="75">
        <f t="shared" si="2"/>
        <v>0</v>
      </c>
      <c r="G17" s="75">
        <f t="shared" si="2"/>
        <v>0.25266</v>
      </c>
      <c r="H17" s="77"/>
      <c r="I17" s="79"/>
    </row>
    <row r="18">
      <c r="A18" s="89" t="s">
        <v>162</v>
      </c>
      <c r="B18" s="90">
        <f t="shared" ref="B18:G18" si="3">SUM(B13:B17)</f>
        <v>70.533015</v>
      </c>
      <c r="C18" s="90">
        <f t="shared" si="3"/>
        <v>80.077515</v>
      </c>
      <c r="D18" s="90">
        <f t="shared" si="3"/>
        <v>9.9817</v>
      </c>
      <c r="E18" s="90">
        <f t="shared" si="3"/>
        <v>4.927</v>
      </c>
      <c r="F18" s="90">
        <f t="shared" si="3"/>
        <v>1.066</v>
      </c>
      <c r="G18" s="90">
        <f t="shared" si="3"/>
        <v>6.07854</v>
      </c>
      <c r="H18" s="91"/>
      <c r="I18" s="93"/>
    </row>
    <row r="19">
      <c r="A19" s="12"/>
      <c r="B19" s="10"/>
      <c r="C19" s="10"/>
      <c r="D19" s="10"/>
      <c r="E19" s="10"/>
      <c r="F19" s="10"/>
      <c r="G19" s="10"/>
      <c r="H19" s="77"/>
      <c r="I19" s="79"/>
    </row>
    <row r="20">
      <c r="A20" s="10" t="s">
        <v>163</v>
      </c>
      <c r="B20" s="75">
        <v>10.0</v>
      </c>
      <c r="C20" s="75">
        <v>10.0</v>
      </c>
      <c r="D20" s="75">
        <v>0.0</v>
      </c>
      <c r="E20" s="75">
        <v>0.0</v>
      </c>
      <c r="F20" s="75">
        <v>0.0</v>
      </c>
      <c r="G20" s="75">
        <v>0.0</v>
      </c>
      <c r="H20" s="77"/>
      <c r="I20" s="79"/>
    </row>
    <row r="21">
      <c r="A21" s="10" t="s">
        <v>164</v>
      </c>
      <c r="B21" s="75">
        <v>1.88</v>
      </c>
      <c r="C21" s="75">
        <v>1.88</v>
      </c>
      <c r="D21" s="75">
        <v>0.0</v>
      </c>
      <c r="E21" s="75">
        <v>0.0</v>
      </c>
      <c r="F21" s="75">
        <v>0.0</v>
      </c>
      <c r="G21" s="75">
        <v>0.0</v>
      </c>
      <c r="H21" s="77"/>
      <c r="I21" s="79"/>
    </row>
    <row r="22">
      <c r="A22" s="12"/>
      <c r="B22" s="10"/>
      <c r="C22" s="10"/>
      <c r="D22" s="10"/>
      <c r="E22" s="10"/>
      <c r="F22" s="10"/>
      <c r="G22" s="10"/>
      <c r="H22" s="77"/>
      <c r="I22" s="79"/>
    </row>
    <row r="23">
      <c r="A23" s="10" t="s">
        <v>165</v>
      </c>
      <c r="B23" s="95">
        <v>0.35</v>
      </c>
      <c r="C23" s="95">
        <v>0.35</v>
      </c>
      <c r="D23" s="95">
        <v>0.35</v>
      </c>
      <c r="E23" s="95">
        <v>0.3</v>
      </c>
      <c r="F23" s="95">
        <v>0.3</v>
      </c>
      <c r="G23" s="96">
        <v>0.3</v>
      </c>
      <c r="H23" s="77"/>
      <c r="I23" s="85"/>
    </row>
    <row r="24">
      <c r="A24" s="2" t="s">
        <v>166</v>
      </c>
      <c r="B24" s="95">
        <v>0.3</v>
      </c>
      <c r="C24" s="95">
        <v>0.3</v>
      </c>
      <c r="D24" s="95">
        <v>0.3</v>
      </c>
      <c r="E24" s="96">
        <v>0.3</v>
      </c>
      <c r="F24" s="96">
        <v>0.3</v>
      </c>
      <c r="G24" s="96">
        <v>0.3</v>
      </c>
      <c r="H24" s="77"/>
      <c r="I24" s="79"/>
    </row>
    <row r="25">
      <c r="B25" s="10"/>
      <c r="C25" s="10"/>
      <c r="D25" s="10"/>
      <c r="E25" s="10"/>
      <c r="F25" s="10"/>
      <c r="G25" s="10"/>
      <c r="H25" s="77"/>
      <c r="I25" s="79"/>
    </row>
    <row r="26">
      <c r="A26" s="74" t="s">
        <v>167</v>
      </c>
      <c r="B26" s="75">
        <f t="shared" ref="B26:G26" si="4">sum(B13:B17)*B32</f>
        <v>0</v>
      </c>
      <c r="C26" s="75">
        <f t="shared" si="4"/>
        <v>0</v>
      </c>
      <c r="D26" s="75">
        <f t="shared" si="4"/>
        <v>0.2495425</v>
      </c>
      <c r="E26" s="75">
        <f t="shared" si="4"/>
        <v>0.167518</v>
      </c>
      <c r="F26" s="75">
        <f t="shared" si="4"/>
        <v>0.036244</v>
      </c>
      <c r="G26" s="75">
        <f t="shared" si="4"/>
        <v>0.20667036</v>
      </c>
      <c r="H26" s="94"/>
      <c r="I26" s="93"/>
    </row>
    <row r="27">
      <c r="A27" s="74" t="s">
        <v>169</v>
      </c>
      <c r="B27" s="75">
        <f t="shared" ref="B27:G27" si="5">sum(B13:B17)*B33</f>
        <v>5.289976125</v>
      </c>
      <c r="C27" s="75">
        <f t="shared" si="5"/>
        <v>6.005813625</v>
      </c>
      <c r="D27" s="75">
        <f t="shared" si="5"/>
        <v>2.495425</v>
      </c>
      <c r="E27" s="75">
        <f t="shared" si="5"/>
        <v>0.369525</v>
      </c>
      <c r="F27" s="75">
        <f t="shared" si="5"/>
        <v>0.07995</v>
      </c>
      <c r="G27" s="75">
        <f t="shared" si="5"/>
        <v>0.4558905</v>
      </c>
      <c r="H27" s="77"/>
      <c r="I27" s="101"/>
    </row>
    <row r="28">
      <c r="A28" s="74" t="s">
        <v>131</v>
      </c>
      <c r="B28" s="75">
        <f t="shared" ref="B28:G28" si="6">SUM($B$13:$B$17)*B34</f>
        <v>0.08816626875</v>
      </c>
      <c r="C28" s="75">
        <f t="shared" si="6"/>
        <v>0.08816626875</v>
      </c>
      <c r="D28" s="75">
        <f t="shared" si="6"/>
        <v>0.08816626875</v>
      </c>
      <c r="E28" s="75">
        <f t="shared" si="6"/>
        <v>0.08816626875</v>
      </c>
      <c r="F28" s="75">
        <f t="shared" si="6"/>
        <v>0.08816626875</v>
      </c>
      <c r="G28" s="75">
        <f t="shared" si="6"/>
        <v>0.08816626875</v>
      </c>
    </row>
    <row r="29">
      <c r="A29" s="74" t="s">
        <v>133</v>
      </c>
      <c r="B29" s="75">
        <f t="shared" ref="B29:G29" si="7">SUM($B$13:$B$17)*B35</f>
        <v>0.244326364</v>
      </c>
      <c r="C29" s="75">
        <f t="shared" si="7"/>
        <v>0.244326364</v>
      </c>
      <c r="D29" s="75">
        <f t="shared" si="7"/>
        <v>0.244326364</v>
      </c>
      <c r="E29" s="75">
        <f t="shared" si="7"/>
        <v>0.244326364</v>
      </c>
      <c r="F29" s="75">
        <f t="shared" si="7"/>
        <v>0.244326364</v>
      </c>
      <c r="G29" s="75">
        <f t="shared" si="7"/>
        <v>0.244326364</v>
      </c>
    </row>
    <row r="30">
      <c r="A30" s="89" t="s">
        <v>171</v>
      </c>
      <c r="B30" s="90">
        <f t="shared" ref="B30:G30" si="8">SUM(B26:B29)</f>
        <v>5.622468758</v>
      </c>
      <c r="C30" s="90">
        <f t="shared" si="8"/>
        <v>6.338306258</v>
      </c>
      <c r="D30" s="90">
        <f t="shared" si="8"/>
        <v>3.077460133</v>
      </c>
      <c r="E30" s="90">
        <f t="shared" si="8"/>
        <v>0.8695356327</v>
      </c>
      <c r="F30" s="90">
        <f t="shared" si="8"/>
        <v>0.4486866327</v>
      </c>
      <c r="G30" s="90">
        <f t="shared" si="8"/>
        <v>0.9950534927</v>
      </c>
    </row>
    <row r="31">
      <c r="B31" s="10"/>
      <c r="C31" s="10"/>
      <c r="D31" s="10"/>
      <c r="E31" s="10"/>
      <c r="F31" s="10"/>
      <c r="G31" s="10"/>
    </row>
    <row r="32">
      <c r="A32" s="102" t="s">
        <v>172</v>
      </c>
      <c r="B32" s="95">
        <v>0.0</v>
      </c>
      <c r="C32" s="95">
        <v>0.0</v>
      </c>
      <c r="D32" s="95">
        <v>0.025</v>
      </c>
      <c r="E32" s="95">
        <v>0.034</v>
      </c>
      <c r="F32" s="95">
        <v>0.034</v>
      </c>
      <c r="G32" s="95">
        <v>0.034</v>
      </c>
    </row>
    <row r="33">
      <c r="A33" s="102" t="s">
        <v>173</v>
      </c>
      <c r="B33" s="95">
        <v>0.075</v>
      </c>
      <c r="C33" s="95">
        <v>0.075</v>
      </c>
      <c r="D33" s="95">
        <v>0.25</v>
      </c>
      <c r="E33" s="95">
        <v>0.075</v>
      </c>
      <c r="F33" s="95">
        <v>0.075</v>
      </c>
      <c r="G33" s="95">
        <v>0.075</v>
      </c>
    </row>
    <row r="34">
      <c r="A34" s="2" t="s">
        <v>174</v>
      </c>
      <c r="B34" s="103">
        <v>0.00125</v>
      </c>
      <c r="C34" s="103">
        <v>0.00125</v>
      </c>
      <c r="D34" s="103">
        <v>0.00125</v>
      </c>
      <c r="E34" s="103">
        <v>0.00125</v>
      </c>
      <c r="F34" s="103">
        <v>0.00125</v>
      </c>
      <c r="G34" s="103">
        <v>0.00125</v>
      </c>
    </row>
    <row r="35">
      <c r="A35" s="2" t="s">
        <v>175</v>
      </c>
      <c r="B35" s="104">
        <v>0.003464</v>
      </c>
      <c r="C35" s="104">
        <v>0.003464</v>
      </c>
      <c r="D35" s="104">
        <v>0.003464</v>
      </c>
      <c r="E35" s="104">
        <v>0.003464</v>
      </c>
      <c r="F35" s="104">
        <v>0.003464</v>
      </c>
      <c r="G35" s="104">
        <v>0.003464</v>
      </c>
    </row>
    <row r="36">
      <c r="B36" s="10"/>
      <c r="C36" s="10"/>
      <c r="D36" s="10"/>
      <c r="E36" s="10"/>
      <c r="F36" s="10"/>
      <c r="G36" s="10"/>
    </row>
    <row r="37">
      <c r="A37" s="105" t="s">
        <v>177</v>
      </c>
      <c r="B37" s="106">
        <f t="shared" ref="B37:G37" si="9">B18+B20+B21+B30</f>
        <v>88.03548376</v>
      </c>
      <c r="C37" s="106">
        <f t="shared" si="9"/>
        <v>98.29582126</v>
      </c>
      <c r="D37" s="106">
        <f t="shared" si="9"/>
        <v>13.05916013</v>
      </c>
      <c r="E37" s="106">
        <f t="shared" si="9"/>
        <v>5.796535633</v>
      </c>
      <c r="F37" s="106">
        <f t="shared" si="9"/>
        <v>1.514686633</v>
      </c>
      <c r="G37" s="106">
        <f t="shared" si="9"/>
        <v>7.073593493</v>
      </c>
    </row>
    <row r="40">
      <c r="C40" s="31"/>
      <c r="F40" s="42"/>
    </row>
    <row r="41">
      <c r="A41" s="64" t="s">
        <v>99</v>
      </c>
    </row>
    <row r="42">
      <c r="A42" s="65" t="s">
        <v>9</v>
      </c>
    </row>
    <row r="43">
      <c r="A43" s="67" t="s">
        <v>147</v>
      </c>
      <c r="B43" s="10" t="s">
        <v>179</v>
      </c>
      <c r="C43" s="10" t="s">
        <v>179</v>
      </c>
      <c r="D43" s="10" t="s">
        <v>179</v>
      </c>
      <c r="E43" s="10" t="s">
        <v>179</v>
      </c>
      <c r="F43" s="10" t="s">
        <v>179</v>
      </c>
      <c r="G43" s="10" t="s">
        <v>179</v>
      </c>
    </row>
    <row r="44">
      <c r="A44" s="67" t="s">
        <v>149</v>
      </c>
      <c r="B44" s="10" t="s">
        <v>150</v>
      </c>
      <c r="C44" s="10" t="s">
        <v>150</v>
      </c>
      <c r="D44" s="10" t="s">
        <v>150</v>
      </c>
      <c r="E44" s="10" t="s">
        <v>150</v>
      </c>
      <c r="F44" s="10" t="s">
        <v>150</v>
      </c>
      <c r="G44" s="10" t="s">
        <v>150</v>
      </c>
    </row>
    <row r="45">
      <c r="A45" s="67" t="s">
        <v>152</v>
      </c>
      <c r="B45" s="10" t="s">
        <v>153</v>
      </c>
      <c r="C45" s="10" t="s">
        <v>153</v>
      </c>
      <c r="D45" s="10" t="s">
        <v>153</v>
      </c>
      <c r="E45" s="10" t="s">
        <v>153</v>
      </c>
      <c r="F45" s="10" t="s">
        <v>153</v>
      </c>
      <c r="G45" s="10" t="s">
        <v>153</v>
      </c>
    </row>
    <row r="46">
      <c r="A46" s="67" t="s">
        <v>154</v>
      </c>
      <c r="B46" s="72"/>
      <c r="C46" s="72"/>
      <c r="D46" s="72"/>
      <c r="E46" s="72"/>
      <c r="F46" s="72"/>
      <c r="G46" s="72"/>
    </row>
    <row r="47">
      <c r="A47" s="67" t="s">
        <v>155</v>
      </c>
      <c r="B47" s="72"/>
      <c r="C47" s="72"/>
      <c r="D47" s="72"/>
      <c r="E47" s="72"/>
      <c r="F47" s="72"/>
      <c r="G47" s="72"/>
    </row>
    <row r="49">
      <c r="A49" s="74" t="s">
        <v>180</v>
      </c>
      <c r="B49" s="107">
        <v>22.88</v>
      </c>
      <c r="C49" s="107">
        <v>22.88</v>
      </c>
      <c r="D49" s="107">
        <v>3.06</v>
      </c>
      <c r="E49" s="107">
        <v>4.88</v>
      </c>
      <c r="F49" s="107">
        <v>0.75</v>
      </c>
      <c r="G49" s="107">
        <v>2.55</v>
      </c>
    </row>
    <row r="50">
      <c r="A50" s="74" t="s">
        <v>181</v>
      </c>
      <c r="B50" s="107">
        <v>10.56</v>
      </c>
      <c r="C50" s="107">
        <v>10.56</v>
      </c>
      <c r="D50" s="107">
        <v>1.31</v>
      </c>
      <c r="E50" s="108">
        <v>2.09</v>
      </c>
      <c r="F50" s="108">
        <v>0.32</v>
      </c>
      <c r="G50" s="108">
        <v>0.97</v>
      </c>
    </row>
    <row r="51">
      <c r="A51" s="74" t="s">
        <v>182</v>
      </c>
      <c r="B51" s="107">
        <v>2.65</v>
      </c>
      <c r="C51" s="107">
        <v>2.65</v>
      </c>
      <c r="D51" s="107">
        <v>0.39</v>
      </c>
      <c r="E51" s="107">
        <v>0.58</v>
      </c>
      <c r="F51" s="107">
        <v>0.1</v>
      </c>
      <c r="G51" s="107">
        <v>0.35</v>
      </c>
    </row>
    <row r="52">
      <c r="A52" s="89" t="s">
        <v>183</v>
      </c>
      <c r="B52" s="90">
        <f t="shared" ref="B52:G52" si="10">(B49*B54)+(B50*B55)+(B56*B51)</f>
        <v>11.442</v>
      </c>
      <c r="C52" s="90">
        <f t="shared" si="10"/>
        <v>11.442</v>
      </c>
      <c r="D52" s="90">
        <f t="shared" si="10"/>
        <v>1.476</v>
      </c>
      <c r="E52" s="90">
        <f t="shared" si="10"/>
        <v>2.346</v>
      </c>
      <c r="F52" s="90">
        <f t="shared" si="10"/>
        <v>0.362</v>
      </c>
      <c r="G52" s="90">
        <f t="shared" si="10"/>
        <v>1.162</v>
      </c>
    </row>
    <row r="53">
      <c r="A53" s="12"/>
      <c r="B53" s="10"/>
      <c r="C53" s="10"/>
      <c r="D53" s="10"/>
      <c r="E53" s="10"/>
      <c r="F53" s="10"/>
      <c r="G53" s="10"/>
    </row>
    <row r="54">
      <c r="A54" s="10" t="s">
        <v>185</v>
      </c>
      <c r="B54" s="96">
        <v>0.2</v>
      </c>
      <c r="C54" s="96">
        <v>0.2</v>
      </c>
      <c r="D54" s="96">
        <v>0.2</v>
      </c>
      <c r="E54" s="96">
        <v>0.2</v>
      </c>
      <c r="F54" s="96">
        <v>0.2</v>
      </c>
      <c r="G54" s="96">
        <v>0.2</v>
      </c>
    </row>
    <row r="55">
      <c r="A55" s="2" t="s">
        <v>186</v>
      </c>
      <c r="B55" s="96">
        <v>0.6</v>
      </c>
      <c r="C55" s="96">
        <v>0.6</v>
      </c>
      <c r="D55" s="96">
        <v>0.6</v>
      </c>
      <c r="E55" s="96">
        <v>0.6</v>
      </c>
      <c r="F55" s="96">
        <v>0.6</v>
      </c>
      <c r="G55" s="96">
        <v>0.6</v>
      </c>
    </row>
    <row r="56">
      <c r="A56" s="38" t="s">
        <v>187</v>
      </c>
      <c r="B56" s="109">
        <v>0.2</v>
      </c>
      <c r="C56" s="109">
        <v>0.2</v>
      </c>
      <c r="D56" s="109">
        <v>0.2</v>
      </c>
      <c r="E56" s="109">
        <v>0.2</v>
      </c>
      <c r="F56" s="109">
        <v>0.2</v>
      </c>
      <c r="G56" s="109">
        <v>0.2</v>
      </c>
    </row>
    <row r="57">
      <c r="B57" s="35">
        <f t="shared" ref="B57:G57" si="11">SUM(B54:B56)</f>
        <v>1</v>
      </c>
      <c r="C57" s="35">
        <f t="shared" si="11"/>
        <v>1</v>
      </c>
      <c r="D57" s="35">
        <f t="shared" si="11"/>
        <v>1</v>
      </c>
      <c r="E57" s="35">
        <f t="shared" si="11"/>
        <v>1</v>
      </c>
      <c r="F57" s="35">
        <f t="shared" si="11"/>
        <v>1</v>
      </c>
      <c r="G57" s="35">
        <f t="shared" si="11"/>
        <v>1</v>
      </c>
    </row>
    <row r="59">
      <c r="A59" s="105" t="s">
        <v>177</v>
      </c>
      <c r="B59" s="106">
        <f t="shared" ref="B59:G59" si="12">B37+B52</f>
        <v>99.47748376</v>
      </c>
      <c r="C59" s="106">
        <f t="shared" si="12"/>
        <v>109.7378213</v>
      </c>
      <c r="D59" s="106">
        <f t="shared" si="12"/>
        <v>14.53516013</v>
      </c>
      <c r="E59" s="106">
        <f t="shared" si="12"/>
        <v>8.142535633</v>
      </c>
      <c r="F59" s="106">
        <f t="shared" si="12"/>
        <v>1.876686633</v>
      </c>
      <c r="G59" s="106">
        <f t="shared" si="12"/>
        <v>8.235593493</v>
      </c>
    </row>
    <row r="63">
      <c r="A63" s="64" t="s">
        <v>102</v>
      </c>
    </row>
    <row r="64">
      <c r="A64" s="65" t="s">
        <v>9</v>
      </c>
    </row>
    <row r="65">
      <c r="A65" s="67" t="s">
        <v>147</v>
      </c>
      <c r="B65" s="10" t="s">
        <v>188</v>
      </c>
      <c r="C65" s="10" t="s">
        <v>188</v>
      </c>
      <c r="D65" s="10" t="s">
        <v>188</v>
      </c>
      <c r="E65" s="10" t="s">
        <v>188</v>
      </c>
      <c r="F65" s="10" t="s">
        <v>188</v>
      </c>
      <c r="G65" s="10" t="s">
        <v>188</v>
      </c>
    </row>
    <row r="66">
      <c r="A66" s="67" t="s">
        <v>149</v>
      </c>
      <c r="B66" s="10" t="s">
        <v>150</v>
      </c>
      <c r="C66" s="10" t="s">
        <v>150</v>
      </c>
      <c r="D66" s="10" t="s">
        <v>150</v>
      </c>
      <c r="E66" s="10" t="s">
        <v>150</v>
      </c>
      <c r="F66" s="10" t="s">
        <v>150</v>
      </c>
      <c r="G66" s="10" t="s">
        <v>150</v>
      </c>
    </row>
    <row r="67">
      <c r="A67" s="67" t="s">
        <v>152</v>
      </c>
      <c r="B67" s="10" t="s">
        <v>153</v>
      </c>
      <c r="C67" s="10" t="s">
        <v>153</v>
      </c>
      <c r="D67" s="10" t="s">
        <v>153</v>
      </c>
      <c r="E67" s="10" t="s">
        <v>153</v>
      </c>
      <c r="F67" s="10" t="s">
        <v>153</v>
      </c>
      <c r="G67" s="10" t="s">
        <v>153</v>
      </c>
    </row>
    <row r="68">
      <c r="A68" s="67" t="s">
        <v>154</v>
      </c>
      <c r="B68" s="72"/>
      <c r="C68" s="72"/>
      <c r="D68" s="72"/>
      <c r="E68" s="72"/>
      <c r="F68" s="72"/>
      <c r="G68" s="72"/>
    </row>
    <row r="69">
      <c r="A69" s="67" t="s">
        <v>155</v>
      </c>
      <c r="B69" s="72"/>
      <c r="C69" s="72"/>
      <c r="D69" s="72"/>
      <c r="E69" s="72"/>
      <c r="F69" s="72"/>
      <c r="G69" s="72"/>
    </row>
    <row r="71">
      <c r="A71" s="74" t="s">
        <v>102</v>
      </c>
      <c r="B71" s="75">
        <v>11.94</v>
      </c>
      <c r="C71" s="75">
        <v>11.94</v>
      </c>
      <c r="D71" s="75">
        <v>6.28</v>
      </c>
      <c r="E71" s="75">
        <v>6.28</v>
      </c>
      <c r="F71" s="75">
        <v>5.78</v>
      </c>
      <c r="G71" s="75">
        <v>6.28</v>
      </c>
    </row>
    <row r="72">
      <c r="A72" s="74" t="s">
        <v>189</v>
      </c>
      <c r="B72" s="74"/>
      <c r="C72" s="74"/>
      <c r="D72" s="74"/>
      <c r="E72" s="74"/>
      <c r="F72" s="74"/>
      <c r="G72" s="74"/>
    </row>
    <row r="73">
      <c r="A73" s="74" t="s">
        <v>190</v>
      </c>
      <c r="B73" s="76">
        <v>1.01</v>
      </c>
      <c r="C73" s="76">
        <v>1.01</v>
      </c>
      <c r="D73" s="76">
        <v>0.6</v>
      </c>
      <c r="E73" s="76">
        <v>0.6</v>
      </c>
      <c r="F73" s="76">
        <v>0.6</v>
      </c>
      <c r="G73" s="76">
        <v>0.6</v>
      </c>
    </row>
    <row r="74">
      <c r="A74" s="74" t="s">
        <v>191</v>
      </c>
      <c r="B74" s="76">
        <v>0.3</v>
      </c>
      <c r="C74" s="76">
        <v>0.3</v>
      </c>
      <c r="D74" s="76">
        <v>0.3</v>
      </c>
      <c r="E74" s="76">
        <v>0.3</v>
      </c>
      <c r="F74" s="76">
        <v>0.3</v>
      </c>
      <c r="G74" s="76">
        <v>0.3</v>
      </c>
    </row>
    <row r="75">
      <c r="A75" s="74" t="s">
        <v>192</v>
      </c>
      <c r="B75" s="74"/>
      <c r="C75" s="74"/>
      <c r="D75" s="74"/>
      <c r="E75" s="74"/>
      <c r="F75" s="74"/>
      <c r="G75" s="74"/>
      <c r="H75" s="111"/>
      <c r="I75" s="111"/>
      <c r="J75" s="111"/>
      <c r="K75" s="111"/>
      <c r="L75" s="111"/>
      <c r="M75" s="111"/>
      <c r="N75" s="111"/>
      <c r="O75" s="111"/>
      <c r="P75" s="111"/>
      <c r="Q75" s="111"/>
      <c r="R75" s="111"/>
      <c r="S75" s="111"/>
      <c r="T75" s="111"/>
      <c r="U75" s="111"/>
    </row>
    <row r="76">
      <c r="A76" s="74" t="s">
        <v>193</v>
      </c>
      <c r="B76" s="112">
        <v>0.0</v>
      </c>
      <c r="C76" s="112">
        <v>0.0</v>
      </c>
      <c r="D76" s="112">
        <v>1.1</v>
      </c>
      <c r="E76" s="112">
        <v>1.1</v>
      </c>
      <c r="F76" s="112">
        <v>1.1</v>
      </c>
      <c r="G76" s="112">
        <v>1.1</v>
      </c>
    </row>
    <row r="77">
      <c r="A77" s="74" t="s">
        <v>194</v>
      </c>
      <c r="B77" s="112">
        <v>1.2</v>
      </c>
      <c r="C77" s="112">
        <v>1.2</v>
      </c>
      <c r="D77" s="112">
        <v>0.0</v>
      </c>
      <c r="E77" s="112">
        <v>0.0</v>
      </c>
      <c r="F77" s="112">
        <v>0.0</v>
      </c>
      <c r="G77" s="112">
        <v>0.0</v>
      </c>
    </row>
    <row r="78">
      <c r="A78" s="74" t="s">
        <v>195</v>
      </c>
      <c r="B78" s="74"/>
      <c r="C78" s="74"/>
      <c r="D78" s="74"/>
      <c r="E78" s="74"/>
      <c r="F78" s="74"/>
      <c r="G78" s="74"/>
    </row>
    <row r="79">
      <c r="A79" s="74" t="s">
        <v>46</v>
      </c>
      <c r="B79" s="76">
        <v>0.3</v>
      </c>
      <c r="C79" s="76">
        <v>0.3</v>
      </c>
      <c r="D79" s="112">
        <v>0.0</v>
      </c>
      <c r="E79" s="112">
        <v>0.0</v>
      </c>
      <c r="F79" s="112">
        <v>0.0</v>
      </c>
      <c r="G79" s="112">
        <v>0.0</v>
      </c>
    </row>
    <row r="80">
      <c r="A80" s="74" t="s">
        <v>196</v>
      </c>
      <c r="B80" s="11">
        <v>0.31</v>
      </c>
      <c r="C80" s="11">
        <v>0.31</v>
      </c>
      <c r="D80" s="11">
        <v>0.31</v>
      </c>
      <c r="E80" s="11">
        <v>0.31</v>
      </c>
      <c r="F80" s="11">
        <v>0.31</v>
      </c>
      <c r="G80" s="11">
        <v>0.31</v>
      </c>
    </row>
    <row r="81">
      <c r="A81" s="89" t="s">
        <v>197</v>
      </c>
      <c r="B81" s="90">
        <f t="shared" ref="B81:G81" si="13">SUM(B71:B80)</f>
        <v>15.06</v>
      </c>
      <c r="C81" s="90">
        <f t="shared" si="13"/>
        <v>15.06</v>
      </c>
      <c r="D81" s="90">
        <f t="shared" si="13"/>
        <v>8.59</v>
      </c>
      <c r="E81" s="90">
        <f t="shared" si="13"/>
        <v>8.59</v>
      </c>
      <c r="F81" s="90">
        <f t="shared" si="13"/>
        <v>8.09</v>
      </c>
      <c r="G81" s="90">
        <f t="shared" si="13"/>
        <v>8.59</v>
      </c>
    </row>
    <row r="83">
      <c r="A83" s="105" t="s">
        <v>177</v>
      </c>
      <c r="B83" s="106">
        <f t="shared" ref="B83:G83" si="14">B59+B81</f>
        <v>114.5374838</v>
      </c>
      <c r="C83" s="106">
        <f t="shared" si="14"/>
        <v>124.7978213</v>
      </c>
      <c r="D83" s="106">
        <f t="shared" si="14"/>
        <v>23.12516013</v>
      </c>
      <c r="E83" s="106">
        <f t="shared" si="14"/>
        <v>16.73253563</v>
      </c>
      <c r="F83" s="106">
        <f t="shared" si="14"/>
        <v>9.966686633</v>
      </c>
      <c r="G83" s="106">
        <f t="shared" si="14"/>
        <v>16.82559349</v>
      </c>
    </row>
    <row r="87">
      <c r="A87" s="12"/>
      <c r="B87" s="10"/>
      <c r="C87" s="10"/>
      <c r="D87" s="10"/>
      <c r="E87" s="10"/>
      <c r="F87" s="10"/>
      <c r="G87" s="10"/>
    </row>
  </sheetData>
  <mergeCells count="7">
    <mergeCell ref="A1:G1"/>
    <mergeCell ref="A5:G5"/>
    <mergeCell ref="A6:G6"/>
    <mergeCell ref="A41:G41"/>
    <mergeCell ref="A42:G42"/>
    <mergeCell ref="A63:G63"/>
    <mergeCell ref="A64:G64"/>
  </mergeCells>
  <hyperlinks>
    <hyperlink r:id="rId4" location="gid=1038709083" ref="A6"/>
    <hyperlink r:id="rId5" location="gid=1038709083" ref="A42"/>
    <hyperlink r:id="rId6" ref="A64"/>
  </hyperlinks>
  <drawing r:id="rId7"/>
  <legacy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38"/>
    <col customWidth="1" min="2" max="9" width="23.13"/>
  </cols>
  <sheetData>
    <row r="1">
      <c r="A1" s="61" t="s">
        <v>151</v>
      </c>
    </row>
    <row r="2">
      <c r="A2" s="62" t="s">
        <v>140</v>
      </c>
      <c r="B2" s="62" t="s">
        <v>33</v>
      </c>
      <c r="C2" s="62" t="s">
        <v>43</v>
      </c>
      <c r="D2" s="62" t="s">
        <v>111</v>
      </c>
      <c r="E2" s="62" t="s">
        <v>53</v>
      </c>
      <c r="F2" s="62" t="s">
        <v>72</v>
      </c>
      <c r="G2" s="62" t="s">
        <v>76</v>
      </c>
      <c r="H2" s="2" t="s">
        <v>141</v>
      </c>
      <c r="I2" s="2" t="s">
        <v>142</v>
      </c>
      <c r="J2" s="2" t="s">
        <v>143</v>
      </c>
    </row>
    <row r="3">
      <c r="A3" s="63" t="s">
        <v>144</v>
      </c>
      <c r="B3" s="63" t="s">
        <v>145</v>
      </c>
      <c r="C3" s="63" t="s">
        <v>145</v>
      </c>
      <c r="D3" s="63" t="s">
        <v>146</v>
      </c>
      <c r="E3" s="63" t="s">
        <v>146</v>
      </c>
      <c r="F3" s="63" t="s">
        <v>146</v>
      </c>
      <c r="G3" s="63" t="s">
        <v>146</v>
      </c>
    </row>
    <row r="5">
      <c r="A5" s="64" t="s">
        <v>4</v>
      </c>
    </row>
    <row r="6">
      <c r="A6" s="65" t="s">
        <v>9</v>
      </c>
    </row>
    <row r="7">
      <c r="A7" s="67" t="s">
        <v>147</v>
      </c>
      <c r="B7" s="10" t="s">
        <v>148</v>
      </c>
      <c r="C7" s="10" t="s">
        <v>148</v>
      </c>
      <c r="D7" s="10" t="s">
        <v>148</v>
      </c>
      <c r="E7" s="10" t="s">
        <v>148</v>
      </c>
      <c r="F7" s="10" t="s">
        <v>148</v>
      </c>
      <c r="G7" s="10" t="s">
        <v>148</v>
      </c>
    </row>
    <row r="8">
      <c r="A8" s="67" t="s">
        <v>149</v>
      </c>
      <c r="B8" s="10" t="s">
        <v>150</v>
      </c>
      <c r="C8" s="10" t="s">
        <v>150</v>
      </c>
      <c r="D8" s="10" t="s">
        <v>150</v>
      </c>
      <c r="E8" s="10" t="s">
        <v>150</v>
      </c>
      <c r="F8" s="10" t="s">
        <v>150</v>
      </c>
      <c r="G8" s="10" t="s">
        <v>150</v>
      </c>
    </row>
    <row r="9">
      <c r="A9" s="67" t="s">
        <v>152</v>
      </c>
      <c r="B9" s="10" t="s">
        <v>153</v>
      </c>
      <c r="C9" s="10" t="s">
        <v>153</v>
      </c>
      <c r="D9" s="10" t="s">
        <v>153</v>
      </c>
      <c r="E9" s="10" t="s">
        <v>153</v>
      </c>
      <c r="F9" s="10" t="s">
        <v>153</v>
      </c>
      <c r="G9" s="10" t="s">
        <v>153</v>
      </c>
    </row>
    <row r="10">
      <c r="A10" s="67" t="s">
        <v>154</v>
      </c>
      <c r="B10" s="71">
        <v>150000.0</v>
      </c>
      <c r="C10" s="71">
        <v>150000.0</v>
      </c>
      <c r="D10" s="72"/>
      <c r="E10" s="72"/>
      <c r="F10" s="72"/>
      <c r="G10" s="72"/>
    </row>
    <row r="11">
      <c r="A11" s="67" t="s">
        <v>155</v>
      </c>
      <c r="B11" s="10" t="s">
        <v>156</v>
      </c>
      <c r="C11" s="10" t="s">
        <v>156</v>
      </c>
      <c r="D11" s="72"/>
      <c r="E11" s="72"/>
      <c r="F11" s="72"/>
      <c r="G11" s="72"/>
    </row>
    <row r="12">
      <c r="B12" s="10"/>
      <c r="C12" s="10"/>
      <c r="D12" s="10"/>
      <c r="E12" s="10"/>
      <c r="F12" s="10"/>
      <c r="G12" s="10"/>
    </row>
    <row r="13">
      <c r="A13" s="74" t="s">
        <v>157</v>
      </c>
      <c r="B13" s="75">
        <v>6.1433</v>
      </c>
      <c r="C13" s="75">
        <v>6.1433</v>
      </c>
      <c r="D13" s="76">
        <v>0.0</v>
      </c>
      <c r="E13" s="76">
        <v>0.0</v>
      </c>
      <c r="F13" s="76">
        <v>0.0</v>
      </c>
      <c r="G13" s="76">
        <v>0.0</v>
      </c>
      <c r="H13" s="77"/>
      <c r="I13" s="79"/>
    </row>
    <row r="14">
      <c r="A14" s="74" t="s">
        <v>158</v>
      </c>
      <c r="B14" s="75">
        <v>38.23</v>
      </c>
      <c r="C14" s="75">
        <v>45.3</v>
      </c>
      <c r="D14" s="81">
        <v>6.87</v>
      </c>
      <c r="E14" s="81">
        <v>3.79</v>
      </c>
      <c r="F14" s="81">
        <v>0.82</v>
      </c>
      <c r="G14" s="82">
        <v>3.8336</v>
      </c>
      <c r="H14" s="77"/>
      <c r="I14" s="79"/>
    </row>
    <row r="15">
      <c r="A15" s="74" t="s">
        <v>159</v>
      </c>
      <c r="B15" s="75">
        <f t="shared" ref="B15:G15" si="1">(B13+B14)*B23</f>
        <v>15.530655</v>
      </c>
      <c r="C15" s="75">
        <f t="shared" si="1"/>
        <v>18.005155</v>
      </c>
      <c r="D15" s="75">
        <f t="shared" si="1"/>
        <v>2.4045</v>
      </c>
      <c r="E15" s="75">
        <f t="shared" si="1"/>
        <v>1.137</v>
      </c>
      <c r="F15" s="75">
        <f t="shared" si="1"/>
        <v>0.246</v>
      </c>
      <c r="G15" s="75">
        <f t="shared" si="1"/>
        <v>1.15008</v>
      </c>
      <c r="H15" s="77"/>
      <c r="I15" s="79"/>
    </row>
    <row r="16">
      <c r="A16" s="74" t="s">
        <v>160</v>
      </c>
      <c r="B16" s="75">
        <v>8.1762</v>
      </c>
      <c r="C16" s="75">
        <v>8.1762</v>
      </c>
      <c r="D16" s="83">
        <v>0.544</v>
      </c>
      <c r="E16" s="84">
        <v>0.0</v>
      </c>
      <c r="F16" s="84">
        <v>0.0</v>
      </c>
      <c r="G16" s="84">
        <v>0.8422</v>
      </c>
      <c r="H16" s="77"/>
      <c r="I16" s="85"/>
    </row>
    <row r="17">
      <c r="A17" s="74" t="s">
        <v>161</v>
      </c>
      <c r="B17" s="75">
        <f t="shared" ref="B17:G17" si="2">B16*B24</f>
        <v>2.45286</v>
      </c>
      <c r="C17" s="75">
        <f t="shared" si="2"/>
        <v>2.45286</v>
      </c>
      <c r="D17" s="75">
        <f t="shared" si="2"/>
        <v>0.1632</v>
      </c>
      <c r="E17" s="75">
        <f t="shared" si="2"/>
        <v>0</v>
      </c>
      <c r="F17" s="75">
        <f t="shared" si="2"/>
        <v>0</v>
      </c>
      <c r="G17" s="75">
        <f t="shared" si="2"/>
        <v>0.25266</v>
      </c>
      <c r="H17" s="77"/>
      <c r="I17" s="79"/>
    </row>
    <row r="18">
      <c r="A18" s="89" t="s">
        <v>162</v>
      </c>
      <c r="B18" s="90">
        <f t="shared" ref="B18:G18" si="3">SUM(B13:B17)</f>
        <v>70.533015</v>
      </c>
      <c r="C18" s="90">
        <f t="shared" si="3"/>
        <v>80.077515</v>
      </c>
      <c r="D18" s="90">
        <f t="shared" si="3"/>
        <v>9.9817</v>
      </c>
      <c r="E18" s="90">
        <f t="shared" si="3"/>
        <v>4.927</v>
      </c>
      <c r="F18" s="90">
        <f t="shared" si="3"/>
        <v>1.066</v>
      </c>
      <c r="G18" s="90">
        <f t="shared" si="3"/>
        <v>6.07854</v>
      </c>
      <c r="H18" s="94"/>
      <c r="I18" s="93"/>
    </row>
    <row r="19">
      <c r="A19" s="12"/>
      <c r="B19" s="10"/>
      <c r="C19" s="10"/>
      <c r="D19" s="10"/>
      <c r="E19" s="10"/>
      <c r="F19" s="10"/>
      <c r="G19" s="10"/>
      <c r="H19" s="77"/>
      <c r="I19" s="79"/>
    </row>
    <row r="20">
      <c r="A20" s="10" t="s">
        <v>163</v>
      </c>
      <c r="B20" s="75">
        <v>10.0</v>
      </c>
      <c r="C20" s="75">
        <v>10.0</v>
      </c>
      <c r="D20" s="75">
        <v>0.0</v>
      </c>
      <c r="E20" s="75">
        <v>0.0</v>
      </c>
      <c r="F20" s="75">
        <v>0.0</v>
      </c>
      <c r="G20" s="75">
        <v>0.0</v>
      </c>
      <c r="H20" s="77"/>
      <c r="I20" s="79"/>
    </row>
    <row r="21">
      <c r="A21" s="10" t="s">
        <v>164</v>
      </c>
      <c r="B21" s="75">
        <v>1.88</v>
      </c>
      <c r="C21" s="75">
        <v>1.88</v>
      </c>
      <c r="D21" s="75">
        <v>0.0</v>
      </c>
      <c r="E21" s="75">
        <v>0.0</v>
      </c>
      <c r="F21" s="75">
        <v>0.0</v>
      </c>
      <c r="G21" s="75">
        <v>0.0</v>
      </c>
      <c r="H21" s="77"/>
      <c r="I21" s="79"/>
    </row>
    <row r="22">
      <c r="A22" s="12"/>
      <c r="B22" s="10"/>
      <c r="C22" s="10"/>
      <c r="D22" s="10"/>
      <c r="E22" s="10"/>
      <c r="F22" s="10"/>
      <c r="G22" s="10"/>
      <c r="H22" s="77"/>
      <c r="I22" s="79"/>
    </row>
    <row r="23">
      <c r="A23" s="10" t="s">
        <v>165</v>
      </c>
      <c r="B23" s="95">
        <v>0.35</v>
      </c>
      <c r="C23" s="95">
        <v>0.35</v>
      </c>
      <c r="D23" s="95">
        <v>0.35</v>
      </c>
      <c r="E23" s="95">
        <v>0.3</v>
      </c>
      <c r="F23" s="95">
        <v>0.3</v>
      </c>
      <c r="G23" s="96">
        <v>0.3</v>
      </c>
      <c r="H23" s="77"/>
      <c r="I23" s="85"/>
    </row>
    <row r="24">
      <c r="A24" s="2" t="s">
        <v>166</v>
      </c>
      <c r="B24" s="95">
        <v>0.3</v>
      </c>
      <c r="C24" s="95">
        <v>0.3</v>
      </c>
      <c r="D24" s="95">
        <v>0.3</v>
      </c>
      <c r="E24" s="96">
        <v>0.3</v>
      </c>
      <c r="F24" s="96">
        <v>0.3</v>
      </c>
      <c r="G24" s="96">
        <v>0.3</v>
      </c>
      <c r="H24" s="77"/>
      <c r="I24" s="79"/>
    </row>
    <row r="25">
      <c r="B25" s="10"/>
      <c r="C25" s="10"/>
      <c r="D25" s="10"/>
      <c r="E25" s="10"/>
      <c r="F25" s="10"/>
      <c r="G25" s="10"/>
      <c r="H25" s="77"/>
      <c r="I25" s="79"/>
    </row>
    <row r="26">
      <c r="A26" s="74" t="s">
        <v>167</v>
      </c>
      <c r="B26" s="75">
        <f t="shared" ref="B26:G26" si="4">sum(B13:B17)*B32</f>
        <v>0</v>
      </c>
      <c r="C26" s="75">
        <f t="shared" si="4"/>
        <v>0</v>
      </c>
      <c r="D26" s="75">
        <f t="shared" si="4"/>
        <v>0.2495425</v>
      </c>
      <c r="E26" s="75">
        <f t="shared" si="4"/>
        <v>0.167518</v>
      </c>
      <c r="F26" s="75">
        <f t="shared" si="4"/>
        <v>0.036244</v>
      </c>
      <c r="G26" s="75">
        <f t="shared" si="4"/>
        <v>0.20667036</v>
      </c>
      <c r="H26" s="94"/>
      <c r="I26" s="93"/>
    </row>
    <row r="27">
      <c r="A27" s="74" t="s">
        <v>169</v>
      </c>
      <c r="B27" s="75">
        <f t="shared" ref="B27:G27" si="5">sum(B13:B17)*B33</f>
        <v>5.289976125</v>
      </c>
      <c r="C27" s="75">
        <f t="shared" si="5"/>
        <v>6.005813625</v>
      </c>
      <c r="D27" s="75">
        <f t="shared" si="5"/>
        <v>2.495425</v>
      </c>
      <c r="E27" s="75">
        <f t="shared" si="5"/>
        <v>0.369525</v>
      </c>
      <c r="F27" s="75">
        <f t="shared" si="5"/>
        <v>0.07995</v>
      </c>
      <c r="G27" s="75">
        <f t="shared" si="5"/>
        <v>0.4558905</v>
      </c>
      <c r="H27" s="77"/>
      <c r="I27" s="101"/>
    </row>
    <row r="28">
      <c r="A28" s="74" t="s">
        <v>131</v>
      </c>
      <c r="B28" s="75">
        <f t="shared" ref="B28:G28" si="6">SUM($B$13:$B$17)*B34</f>
        <v>0.08816626875</v>
      </c>
      <c r="C28" s="75">
        <f t="shared" si="6"/>
        <v>0.08816626875</v>
      </c>
      <c r="D28" s="75">
        <f t="shared" si="6"/>
        <v>0.08816626875</v>
      </c>
      <c r="E28" s="75">
        <f t="shared" si="6"/>
        <v>0.08816626875</v>
      </c>
      <c r="F28" s="75">
        <f t="shared" si="6"/>
        <v>0.08816626875</v>
      </c>
      <c r="G28" s="75">
        <f t="shared" si="6"/>
        <v>0.08816626875</v>
      </c>
    </row>
    <row r="29">
      <c r="A29" s="74" t="s">
        <v>133</v>
      </c>
      <c r="B29" s="75">
        <f t="shared" ref="B29:G29" si="7">SUM($B$13:$B$17)*B35</f>
        <v>0.244326364</v>
      </c>
      <c r="C29" s="75">
        <f t="shared" si="7"/>
        <v>0.244326364</v>
      </c>
      <c r="D29" s="75">
        <f t="shared" si="7"/>
        <v>0.244326364</v>
      </c>
      <c r="E29" s="75">
        <f t="shared" si="7"/>
        <v>0.244326364</v>
      </c>
      <c r="F29" s="75">
        <f t="shared" si="7"/>
        <v>0.244326364</v>
      </c>
      <c r="G29" s="75">
        <f t="shared" si="7"/>
        <v>0.244326364</v>
      </c>
    </row>
    <row r="30">
      <c r="A30" s="89" t="s">
        <v>171</v>
      </c>
      <c r="B30" s="90">
        <f t="shared" ref="B30:G30" si="8">SUM(B26:B29)</f>
        <v>5.622468758</v>
      </c>
      <c r="C30" s="90">
        <f t="shared" si="8"/>
        <v>6.338306258</v>
      </c>
      <c r="D30" s="90">
        <f t="shared" si="8"/>
        <v>3.077460133</v>
      </c>
      <c r="E30" s="90">
        <f t="shared" si="8"/>
        <v>0.8695356327</v>
      </c>
      <c r="F30" s="90">
        <f t="shared" si="8"/>
        <v>0.4486866327</v>
      </c>
      <c r="G30" s="90">
        <f t="shared" si="8"/>
        <v>0.9950534927</v>
      </c>
    </row>
    <row r="31">
      <c r="B31" s="10"/>
      <c r="C31" s="10"/>
      <c r="D31" s="10"/>
      <c r="E31" s="10"/>
      <c r="F31" s="10"/>
      <c r="G31" s="10"/>
    </row>
    <row r="32">
      <c r="A32" s="102" t="s">
        <v>172</v>
      </c>
      <c r="B32" s="95">
        <v>0.0</v>
      </c>
      <c r="C32" s="95">
        <v>0.0</v>
      </c>
      <c r="D32" s="95">
        <v>0.025</v>
      </c>
      <c r="E32" s="95">
        <v>0.034</v>
      </c>
      <c r="F32" s="95">
        <v>0.034</v>
      </c>
      <c r="G32" s="95">
        <v>0.034</v>
      </c>
    </row>
    <row r="33">
      <c r="A33" s="102" t="s">
        <v>173</v>
      </c>
      <c r="B33" s="95">
        <v>0.075</v>
      </c>
      <c r="C33" s="95">
        <v>0.075</v>
      </c>
      <c r="D33" s="95">
        <v>0.25</v>
      </c>
      <c r="E33" s="95">
        <v>0.075</v>
      </c>
      <c r="F33" s="95">
        <v>0.075</v>
      </c>
      <c r="G33" s="95">
        <v>0.075</v>
      </c>
    </row>
    <row r="34">
      <c r="A34" s="2" t="s">
        <v>174</v>
      </c>
      <c r="B34" s="103">
        <v>0.00125</v>
      </c>
      <c r="C34" s="103">
        <v>0.00125</v>
      </c>
      <c r="D34" s="103">
        <v>0.00125</v>
      </c>
      <c r="E34" s="103">
        <v>0.00125</v>
      </c>
      <c r="F34" s="103">
        <v>0.00125</v>
      </c>
      <c r="G34" s="103">
        <v>0.00125</v>
      </c>
    </row>
    <row r="35">
      <c r="A35" s="2" t="s">
        <v>175</v>
      </c>
      <c r="B35" s="104">
        <v>0.003464</v>
      </c>
      <c r="C35" s="104">
        <v>0.003464</v>
      </c>
      <c r="D35" s="104">
        <v>0.003464</v>
      </c>
      <c r="E35" s="104">
        <v>0.003464</v>
      </c>
      <c r="F35" s="104">
        <v>0.003464</v>
      </c>
      <c r="G35" s="104">
        <v>0.003464</v>
      </c>
    </row>
    <row r="36">
      <c r="B36" s="10"/>
      <c r="C36" s="10"/>
      <c r="D36" s="10"/>
      <c r="E36" s="10"/>
      <c r="F36" s="10"/>
      <c r="G36" s="10"/>
    </row>
    <row r="37">
      <c r="A37" s="105" t="s">
        <v>177</v>
      </c>
      <c r="B37" s="106">
        <f t="shared" ref="B37:G37" si="9">B18+B20+B21+B30</f>
        <v>88.03548376</v>
      </c>
      <c r="C37" s="106">
        <f t="shared" si="9"/>
        <v>98.29582126</v>
      </c>
      <c r="D37" s="106">
        <f t="shared" si="9"/>
        <v>13.05916013</v>
      </c>
      <c r="E37" s="106">
        <f t="shared" si="9"/>
        <v>5.796535633</v>
      </c>
      <c r="F37" s="106">
        <f t="shared" si="9"/>
        <v>1.514686633</v>
      </c>
      <c r="G37" s="106">
        <f t="shared" si="9"/>
        <v>7.073593493</v>
      </c>
    </row>
    <row r="40">
      <c r="C40" s="31"/>
      <c r="F40" s="42"/>
    </row>
    <row r="41">
      <c r="A41" s="64" t="s">
        <v>99</v>
      </c>
    </row>
    <row r="42">
      <c r="A42" s="65" t="s">
        <v>9</v>
      </c>
    </row>
    <row r="43">
      <c r="A43" s="67" t="s">
        <v>147</v>
      </c>
      <c r="B43" s="10" t="s">
        <v>179</v>
      </c>
      <c r="C43" s="10" t="s">
        <v>179</v>
      </c>
      <c r="D43" s="10" t="s">
        <v>179</v>
      </c>
      <c r="E43" s="10" t="s">
        <v>179</v>
      </c>
      <c r="F43" s="10" t="s">
        <v>179</v>
      </c>
      <c r="G43" s="10" t="s">
        <v>179</v>
      </c>
    </row>
    <row r="44">
      <c r="A44" s="67" t="s">
        <v>149</v>
      </c>
      <c r="B44" s="10" t="s">
        <v>150</v>
      </c>
      <c r="C44" s="10" t="s">
        <v>150</v>
      </c>
      <c r="D44" s="10" t="s">
        <v>150</v>
      </c>
      <c r="E44" s="10" t="s">
        <v>150</v>
      </c>
      <c r="F44" s="10" t="s">
        <v>150</v>
      </c>
      <c r="G44" s="10" t="s">
        <v>150</v>
      </c>
    </row>
    <row r="45">
      <c r="A45" s="67" t="s">
        <v>152</v>
      </c>
      <c r="B45" s="10" t="s">
        <v>153</v>
      </c>
      <c r="C45" s="10" t="s">
        <v>153</v>
      </c>
      <c r="D45" s="10" t="s">
        <v>153</v>
      </c>
      <c r="E45" s="10" t="s">
        <v>153</v>
      </c>
      <c r="F45" s="10" t="s">
        <v>153</v>
      </c>
      <c r="G45" s="10" t="s">
        <v>153</v>
      </c>
    </row>
    <row r="46">
      <c r="A46" s="67" t="s">
        <v>154</v>
      </c>
      <c r="B46" s="72"/>
      <c r="C46" s="72"/>
      <c r="D46" s="72"/>
      <c r="E46" s="72"/>
      <c r="F46" s="72"/>
      <c r="G46" s="72"/>
    </row>
    <row r="47">
      <c r="A47" s="67" t="s">
        <v>155</v>
      </c>
      <c r="B47" s="72"/>
      <c r="C47" s="72"/>
      <c r="D47" s="72"/>
      <c r="E47" s="72"/>
      <c r="F47" s="72"/>
      <c r="G47" s="72"/>
    </row>
    <row r="49">
      <c r="A49" s="74" t="s">
        <v>180</v>
      </c>
      <c r="B49" s="107">
        <v>22.88</v>
      </c>
      <c r="C49" s="107">
        <v>22.88</v>
      </c>
      <c r="D49" s="107">
        <v>3.06</v>
      </c>
      <c r="E49" s="107">
        <v>4.88</v>
      </c>
      <c r="F49" s="107">
        <v>0.75</v>
      </c>
      <c r="G49" s="107">
        <v>2.55</v>
      </c>
    </row>
    <row r="50">
      <c r="A50" s="74" t="s">
        <v>181</v>
      </c>
      <c r="B50" s="107">
        <v>10.56</v>
      </c>
      <c r="C50" s="107">
        <v>10.56</v>
      </c>
      <c r="D50" s="107">
        <v>1.31</v>
      </c>
      <c r="E50" s="108">
        <v>2.09</v>
      </c>
      <c r="F50" s="108">
        <v>0.32</v>
      </c>
      <c r="G50" s="108">
        <v>0.97</v>
      </c>
    </row>
    <row r="51">
      <c r="A51" s="74" t="s">
        <v>182</v>
      </c>
      <c r="B51" s="107">
        <v>2.65</v>
      </c>
      <c r="C51" s="107">
        <v>2.65</v>
      </c>
      <c r="D51" s="107">
        <v>0.39</v>
      </c>
      <c r="E51" s="107">
        <v>0.58</v>
      </c>
      <c r="F51" s="107">
        <v>0.1</v>
      </c>
      <c r="G51" s="107">
        <v>0.35</v>
      </c>
    </row>
    <row r="52">
      <c r="A52" s="89" t="s">
        <v>183</v>
      </c>
      <c r="B52" s="90">
        <f t="shared" ref="B52:G52" si="10">(B49*B54)+(B50*B55)+(B56*B51)</f>
        <v>11.442</v>
      </c>
      <c r="C52" s="90">
        <f t="shared" si="10"/>
        <v>11.442</v>
      </c>
      <c r="D52" s="90">
        <f t="shared" si="10"/>
        <v>1.476</v>
      </c>
      <c r="E52" s="90">
        <f t="shared" si="10"/>
        <v>2.346</v>
      </c>
      <c r="F52" s="90">
        <f t="shared" si="10"/>
        <v>0.362</v>
      </c>
      <c r="G52" s="90">
        <f t="shared" si="10"/>
        <v>1.162</v>
      </c>
    </row>
    <row r="53">
      <c r="A53" s="12"/>
      <c r="B53" s="10"/>
      <c r="C53" s="10"/>
      <c r="D53" s="10"/>
      <c r="E53" s="10"/>
      <c r="F53" s="10"/>
      <c r="G53" s="10"/>
    </row>
    <row r="54">
      <c r="A54" s="10" t="s">
        <v>185</v>
      </c>
      <c r="B54" s="96">
        <v>0.2</v>
      </c>
      <c r="C54" s="96">
        <v>0.2</v>
      </c>
      <c r="D54" s="96">
        <v>0.2</v>
      </c>
      <c r="E54" s="96">
        <v>0.2</v>
      </c>
      <c r="F54" s="96">
        <v>0.2</v>
      </c>
      <c r="G54" s="96">
        <v>0.2</v>
      </c>
    </row>
    <row r="55">
      <c r="A55" s="2" t="s">
        <v>186</v>
      </c>
      <c r="B55" s="96">
        <v>0.6</v>
      </c>
      <c r="C55" s="96">
        <v>0.6</v>
      </c>
      <c r="D55" s="96">
        <v>0.6</v>
      </c>
      <c r="E55" s="96">
        <v>0.6</v>
      </c>
      <c r="F55" s="96">
        <v>0.6</v>
      </c>
      <c r="G55" s="96">
        <v>0.6</v>
      </c>
    </row>
    <row r="56">
      <c r="A56" s="38" t="s">
        <v>187</v>
      </c>
      <c r="B56" s="109">
        <v>0.2</v>
      </c>
      <c r="C56" s="109">
        <v>0.2</v>
      </c>
      <c r="D56" s="109">
        <v>0.2</v>
      </c>
      <c r="E56" s="109">
        <v>0.2</v>
      </c>
      <c r="F56" s="109">
        <v>0.2</v>
      </c>
      <c r="G56" s="109">
        <v>0.2</v>
      </c>
    </row>
    <row r="57">
      <c r="B57" s="35">
        <f t="shared" ref="B57:G57" si="11">SUM(B54:B56)</f>
        <v>1</v>
      </c>
      <c r="C57" s="35">
        <f t="shared" si="11"/>
        <v>1</v>
      </c>
      <c r="D57" s="35">
        <f t="shared" si="11"/>
        <v>1</v>
      </c>
      <c r="E57" s="35">
        <f t="shared" si="11"/>
        <v>1</v>
      </c>
      <c r="F57" s="35">
        <f t="shared" si="11"/>
        <v>1</v>
      </c>
      <c r="G57" s="35">
        <f t="shared" si="11"/>
        <v>1</v>
      </c>
    </row>
    <row r="59">
      <c r="A59" s="105" t="s">
        <v>177</v>
      </c>
      <c r="B59" s="106">
        <f t="shared" ref="B59:G59" si="12">B37+B52</f>
        <v>99.47748376</v>
      </c>
      <c r="C59" s="106">
        <f t="shared" si="12"/>
        <v>109.7378213</v>
      </c>
      <c r="D59" s="106">
        <f t="shared" si="12"/>
        <v>14.53516013</v>
      </c>
      <c r="E59" s="106">
        <f t="shared" si="12"/>
        <v>8.142535633</v>
      </c>
      <c r="F59" s="106">
        <f t="shared" si="12"/>
        <v>1.876686633</v>
      </c>
      <c r="G59" s="106">
        <f t="shared" si="12"/>
        <v>8.235593493</v>
      </c>
    </row>
    <row r="63">
      <c r="A63" s="64" t="s">
        <v>102</v>
      </c>
    </row>
    <row r="64">
      <c r="A64" s="65" t="s">
        <v>9</v>
      </c>
    </row>
    <row r="65">
      <c r="A65" s="67" t="s">
        <v>147</v>
      </c>
      <c r="B65" s="10" t="s">
        <v>188</v>
      </c>
      <c r="C65" s="10" t="s">
        <v>188</v>
      </c>
      <c r="D65" s="10" t="s">
        <v>188</v>
      </c>
      <c r="E65" s="10" t="s">
        <v>188</v>
      </c>
      <c r="F65" s="10" t="s">
        <v>188</v>
      </c>
      <c r="G65" s="10" t="s">
        <v>188</v>
      </c>
    </row>
    <row r="66">
      <c r="A66" s="67" t="s">
        <v>149</v>
      </c>
      <c r="B66" s="10" t="s">
        <v>150</v>
      </c>
      <c r="C66" s="10" t="s">
        <v>150</v>
      </c>
      <c r="D66" s="10" t="s">
        <v>150</v>
      </c>
      <c r="E66" s="10" t="s">
        <v>150</v>
      </c>
      <c r="F66" s="10" t="s">
        <v>150</v>
      </c>
      <c r="G66" s="10" t="s">
        <v>150</v>
      </c>
    </row>
    <row r="67">
      <c r="A67" s="67" t="s">
        <v>152</v>
      </c>
      <c r="B67" s="10" t="s">
        <v>153</v>
      </c>
      <c r="C67" s="10" t="s">
        <v>153</v>
      </c>
      <c r="D67" s="10" t="s">
        <v>153</v>
      </c>
      <c r="E67" s="10" t="s">
        <v>153</v>
      </c>
      <c r="F67" s="10" t="s">
        <v>153</v>
      </c>
      <c r="G67" s="10" t="s">
        <v>153</v>
      </c>
    </row>
    <row r="68">
      <c r="A68" s="67" t="s">
        <v>154</v>
      </c>
      <c r="B68" s="72"/>
      <c r="C68" s="72"/>
      <c r="D68" s="72"/>
      <c r="E68" s="72"/>
      <c r="F68" s="72"/>
      <c r="G68" s="72"/>
    </row>
    <row r="69">
      <c r="A69" s="67" t="s">
        <v>155</v>
      </c>
      <c r="B69" s="72"/>
      <c r="C69" s="72"/>
      <c r="D69" s="72"/>
      <c r="E69" s="72"/>
      <c r="F69" s="72"/>
      <c r="G69" s="72"/>
    </row>
    <row r="71">
      <c r="A71" s="74" t="s">
        <v>102</v>
      </c>
      <c r="B71" s="75">
        <v>11.94</v>
      </c>
      <c r="C71" s="75">
        <v>11.94</v>
      </c>
      <c r="D71" s="75">
        <v>6.28</v>
      </c>
      <c r="E71" s="75">
        <v>6.28</v>
      </c>
      <c r="F71" s="75">
        <v>5.78</v>
      </c>
      <c r="G71" s="75">
        <v>6.28</v>
      </c>
    </row>
    <row r="72">
      <c r="A72" s="74" t="s">
        <v>189</v>
      </c>
      <c r="B72" s="74"/>
      <c r="C72" s="74"/>
      <c r="D72" s="74"/>
      <c r="E72" s="74"/>
      <c r="F72" s="74"/>
      <c r="G72" s="74"/>
    </row>
    <row r="73">
      <c r="A73" s="74" t="s">
        <v>190</v>
      </c>
      <c r="B73" s="76">
        <v>1.01</v>
      </c>
      <c r="C73" s="76">
        <v>1.01</v>
      </c>
      <c r="D73" s="76">
        <v>0.6</v>
      </c>
      <c r="E73" s="76">
        <v>0.6</v>
      </c>
      <c r="F73" s="76">
        <v>0.6</v>
      </c>
      <c r="G73" s="76">
        <v>0.6</v>
      </c>
    </row>
    <row r="74">
      <c r="A74" s="74" t="s">
        <v>191</v>
      </c>
      <c r="B74" s="76">
        <v>0.3</v>
      </c>
      <c r="C74" s="76">
        <v>0.3</v>
      </c>
      <c r="D74" s="76">
        <v>0.3</v>
      </c>
      <c r="E74" s="76">
        <v>0.3</v>
      </c>
      <c r="F74" s="76">
        <v>0.3</v>
      </c>
      <c r="G74" s="76">
        <v>0.3</v>
      </c>
    </row>
    <row r="75">
      <c r="A75" s="74" t="s">
        <v>192</v>
      </c>
      <c r="B75" s="74"/>
      <c r="C75" s="74"/>
      <c r="D75" s="74"/>
      <c r="E75" s="74"/>
      <c r="F75" s="74"/>
      <c r="G75" s="74"/>
      <c r="H75" s="111"/>
      <c r="I75" s="111"/>
      <c r="J75" s="111"/>
      <c r="K75" s="111"/>
      <c r="L75" s="111"/>
      <c r="M75" s="111"/>
      <c r="N75" s="111"/>
      <c r="O75" s="111"/>
      <c r="P75" s="111"/>
      <c r="Q75" s="111"/>
      <c r="R75" s="111"/>
      <c r="S75" s="111"/>
      <c r="T75" s="111"/>
      <c r="U75" s="111"/>
    </row>
    <row r="76">
      <c r="A76" s="74" t="s">
        <v>193</v>
      </c>
      <c r="B76" s="112">
        <v>0.0</v>
      </c>
      <c r="C76" s="112">
        <v>0.0</v>
      </c>
      <c r="D76" s="112">
        <v>1.1</v>
      </c>
      <c r="E76" s="112">
        <v>1.1</v>
      </c>
      <c r="F76" s="112">
        <v>1.1</v>
      </c>
      <c r="G76" s="112">
        <v>1.1</v>
      </c>
    </row>
    <row r="77">
      <c r="A77" s="74" t="s">
        <v>194</v>
      </c>
      <c r="B77" s="112">
        <v>1.2</v>
      </c>
      <c r="C77" s="112">
        <v>1.2</v>
      </c>
      <c r="D77" s="112">
        <v>0.0</v>
      </c>
      <c r="E77" s="112">
        <v>0.0</v>
      </c>
      <c r="F77" s="112">
        <v>0.0</v>
      </c>
      <c r="G77" s="112">
        <v>0.0</v>
      </c>
    </row>
    <row r="78">
      <c r="A78" s="74" t="s">
        <v>195</v>
      </c>
      <c r="B78" s="74"/>
      <c r="C78" s="74"/>
      <c r="D78" s="74"/>
      <c r="E78" s="74"/>
      <c r="F78" s="74"/>
      <c r="G78" s="74"/>
    </row>
    <row r="79">
      <c r="A79" s="74" t="s">
        <v>46</v>
      </c>
      <c r="B79" s="76">
        <v>0.3</v>
      </c>
      <c r="C79" s="76">
        <v>0.3</v>
      </c>
      <c r="D79" s="112">
        <v>0.0</v>
      </c>
      <c r="E79" s="112">
        <v>0.0</v>
      </c>
      <c r="F79" s="112">
        <v>0.0</v>
      </c>
      <c r="G79" s="112">
        <v>0.0</v>
      </c>
    </row>
    <row r="80">
      <c r="A80" s="74" t="s">
        <v>196</v>
      </c>
      <c r="B80" s="11">
        <v>0.31</v>
      </c>
      <c r="C80" s="11">
        <v>0.31</v>
      </c>
      <c r="D80" s="11">
        <v>0.31</v>
      </c>
      <c r="E80" s="11">
        <v>0.31</v>
      </c>
      <c r="F80" s="11">
        <v>0.31</v>
      </c>
      <c r="G80" s="11">
        <v>0.31</v>
      </c>
    </row>
    <row r="81">
      <c r="A81" s="89" t="s">
        <v>197</v>
      </c>
      <c r="B81" s="90">
        <f t="shared" ref="B81:G81" si="13">SUM(B71:B80)</f>
        <v>15.06</v>
      </c>
      <c r="C81" s="90">
        <f t="shared" si="13"/>
        <v>15.06</v>
      </c>
      <c r="D81" s="90">
        <f t="shared" si="13"/>
        <v>8.59</v>
      </c>
      <c r="E81" s="90">
        <f t="shared" si="13"/>
        <v>8.59</v>
      </c>
      <c r="F81" s="90">
        <f t="shared" si="13"/>
        <v>8.09</v>
      </c>
      <c r="G81" s="90">
        <f t="shared" si="13"/>
        <v>8.59</v>
      </c>
    </row>
    <row r="83">
      <c r="A83" s="105" t="s">
        <v>177</v>
      </c>
      <c r="B83" s="106">
        <f t="shared" ref="B83:G83" si="14">B59+B81</f>
        <v>114.5374838</v>
      </c>
      <c r="C83" s="106">
        <f t="shared" si="14"/>
        <v>124.7978213</v>
      </c>
      <c r="D83" s="106">
        <f t="shared" si="14"/>
        <v>23.12516013</v>
      </c>
      <c r="E83" s="106">
        <f t="shared" si="14"/>
        <v>16.73253563</v>
      </c>
      <c r="F83" s="106">
        <f t="shared" si="14"/>
        <v>9.966686633</v>
      </c>
      <c r="G83" s="106">
        <f t="shared" si="14"/>
        <v>16.82559349</v>
      </c>
    </row>
    <row r="87">
      <c r="A87" s="12"/>
      <c r="B87" s="10"/>
      <c r="C87" s="10"/>
      <c r="D87" s="10"/>
      <c r="E87" s="10"/>
      <c r="F87" s="10"/>
      <c r="G87" s="10"/>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38"/>
    <col customWidth="1" min="2" max="9" width="23.13"/>
  </cols>
  <sheetData>
    <row r="1">
      <c r="A1" s="61" t="s">
        <v>98</v>
      </c>
    </row>
    <row r="2">
      <c r="A2" s="62" t="s">
        <v>140</v>
      </c>
      <c r="B2" s="62" t="s">
        <v>33</v>
      </c>
      <c r="C2" s="62" t="s">
        <v>43</v>
      </c>
      <c r="D2" s="62" t="s">
        <v>111</v>
      </c>
      <c r="E2" s="62" t="s">
        <v>53</v>
      </c>
      <c r="F2" s="62" t="s">
        <v>72</v>
      </c>
      <c r="G2" s="62" t="s">
        <v>76</v>
      </c>
      <c r="H2" s="2" t="s">
        <v>141</v>
      </c>
      <c r="I2" s="2" t="s">
        <v>142</v>
      </c>
      <c r="J2" s="2" t="s">
        <v>143</v>
      </c>
    </row>
    <row r="3">
      <c r="A3" s="63" t="s">
        <v>144</v>
      </c>
      <c r="B3" s="63" t="s">
        <v>145</v>
      </c>
      <c r="C3" s="63" t="s">
        <v>145</v>
      </c>
      <c r="D3" s="63" t="s">
        <v>146</v>
      </c>
      <c r="E3" s="63" t="s">
        <v>146</v>
      </c>
      <c r="F3" s="63" t="s">
        <v>146</v>
      </c>
      <c r="G3" s="63" t="s">
        <v>146</v>
      </c>
    </row>
    <row r="5">
      <c r="A5" s="64" t="s">
        <v>4</v>
      </c>
    </row>
    <row r="6">
      <c r="A6" s="65" t="s">
        <v>9</v>
      </c>
    </row>
    <row r="7">
      <c r="A7" s="67" t="s">
        <v>147</v>
      </c>
      <c r="B7" s="10" t="s">
        <v>148</v>
      </c>
      <c r="C7" s="10" t="s">
        <v>148</v>
      </c>
      <c r="D7" s="10" t="s">
        <v>148</v>
      </c>
      <c r="E7" s="10" t="s">
        <v>148</v>
      </c>
      <c r="F7" s="10" t="s">
        <v>148</v>
      </c>
      <c r="G7" s="10" t="s">
        <v>148</v>
      </c>
    </row>
    <row r="8">
      <c r="A8" s="67" t="s">
        <v>149</v>
      </c>
      <c r="B8" s="10" t="s">
        <v>150</v>
      </c>
      <c r="C8" s="10" t="s">
        <v>150</v>
      </c>
      <c r="D8" s="10" t="s">
        <v>150</v>
      </c>
      <c r="E8" s="10" t="s">
        <v>150</v>
      </c>
      <c r="F8" s="10" t="s">
        <v>150</v>
      </c>
      <c r="G8" s="10" t="s">
        <v>150</v>
      </c>
    </row>
    <row r="9">
      <c r="A9" s="67" t="s">
        <v>152</v>
      </c>
      <c r="B9" s="10" t="s">
        <v>153</v>
      </c>
      <c r="C9" s="10" t="s">
        <v>153</v>
      </c>
      <c r="D9" s="10" t="s">
        <v>153</v>
      </c>
      <c r="E9" s="10" t="s">
        <v>153</v>
      </c>
      <c r="F9" s="10" t="s">
        <v>153</v>
      </c>
      <c r="G9" s="10" t="s">
        <v>153</v>
      </c>
    </row>
    <row r="10">
      <c r="A10" s="67" t="s">
        <v>154</v>
      </c>
      <c r="B10" s="71">
        <v>150000.0</v>
      </c>
      <c r="C10" s="71">
        <v>150000.0</v>
      </c>
      <c r="D10" s="72"/>
      <c r="E10" s="72"/>
      <c r="F10" s="72"/>
      <c r="G10" s="72"/>
    </row>
    <row r="11">
      <c r="A11" s="67" t="s">
        <v>155</v>
      </c>
      <c r="B11" s="10" t="s">
        <v>156</v>
      </c>
      <c r="C11" s="10" t="s">
        <v>156</v>
      </c>
      <c r="D11" s="72"/>
      <c r="E11" s="72"/>
      <c r="F11" s="72"/>
      <c r="G11" s="72"/>
    </row>
    <row r="12">
      <c r="B12" s="10"/>
      <c r="C12" s="10"/>
      <c r="D12" s="10"/>
      <c r="E12" s="10"/>
      <c r="F12" s="10"/>
      <c r="G12" s="10"/>
    </row>
    <row r="13">
      <c r="A13" s="74" t="s">
        <v>157</v>
      </c>
      <c r="B13" s="75">
        <v>6.1433</v>
      </c>
      <c r="C13" s="75">
        <v>6.1433</v>
      </c>
      <c r="D13" s="76">
        <v>0.0</v>
      </c>
      <c r="E13" s="76">
        <v>0.0</v>
      </c>
      <c r="F13" s="76">
        <v>0.0</v>
      </c>
      <c r="G13" s="76">
        <v>0.0</v>
      </c>
      <c r="H13" s="77"/>
      <c r="I13" s="79"/>
    </row>
    <row r="14">
      <c r="A14" s="74" t="s">
        <v>158</v>
      </c>
      <c r="B14" s="75">
        <v>38.23</v>
      </c>
      <c r="C14" s="75">
        <v>45.3</v>
      </c>
      <c r="D14" s="81">
        <v>6.87</v>
      </c>
      <c r="E14" s="81">
        <v>3.79</v>
      </c>
      <c r="F14" s="81">
        <v>0.82</v>
      </c>
      <c r="G14" s="82">
        <v>4.91</v>
      </c>
      <c r="H14" s="77"/>
      <c r="I14" s="79"/>
    </row>
    <row r="15">
      <c r="A15" s="74" t="s">
        <v>159</v>
      </c>
      <c r="B15" s="75">
        <f t="shared" ref="B15:G15" si="1">(B13+B14)*B23</f>
        <v>15.530655</v>
      </c>
      <c r="C15" s="75">
        <f t="shared" si="1"/>
        <v>18.005155</v>
      </c>
      <c r="D15" s="75">
        <f t="shared" si="1"/>
        <v>2.4045</v>
      </c>
      <c r="E15" s="75">
        <f t="shared" si="1"/>
        <v>1.137</v>
      </c>
      <c r="F15" s="75">
        <f t="shared" si="1"/>
        <v>0.246</v>
      </c>
      <c r="G15" s="75">
        <f t="shared" si="1"/>
        <v>1.473</v>
      </c>
      <c r="H15" s="77"/>
      <c r="I15" s="79"/>
    </row>
    <row r="16">
      <c r="A16" s="74" t="s">
        <v>160</v>
      </c>
      <c r="B16" s="75">
        <v>8.1762</v>
      </c>
      <c r="C16" s="75">
        <v>8.1762</v>
      </c>
      <c r="D16" s="83">
        <v>0.544</v>
      </c>
      <c r="E16" s="84">
        <v>0.0</v>
      </c>
      <c r="F16" s="84">
        <v>0.0</v>
      </c>
      <c r="G16" s="84">
        <v>0.78</v>
      </c>
      <c r="H16" s="77"/>
      <c r="I16" s="85"/>
    </row>
    <row r="17">
      <c r="A17" s="74" t="s">
        <v>161</v>
      </c>
      <c r="B17" s="75">
        <f t="shared" ref="B17:G17" si="2">B16*B24</f>
        <v>2.45286</v>
      </c>
      <c r="C17" s="75">
        <f t="shared" si="2"/>
        <v>2.45286</v>
      </c>
      <c r="D17" s="75">
        <f t="shared" si="2"/>
        <v>0.1632</v>
      </c>
      <c r="E17" s="75">
        <f t="shared" si="2"/>
        <v>0</v>
      </c>
      <c r="F17" s="75">
        <f t="shared" si="2"/>
        <v>0</v>
      </c>
      <c r="G17" s="75">
        <f t="shared" si="2"/>
        <v>0.234</v>
      </c>
      <c r="H17" s="77"/>
      <c r="I17" s="79"/>
    </row>
    <row r="18">
      <c r="A18" s="89" t="s">
        <v>162</v>
      </c>
      <c r="B18" s="90">
        <f t="shared" ref="B18:G18" si="3">SUM(B13:B17)</f>
        <v>70.533015</v>
      </c>
      <c r="C18" s="90">
        <f t="shared" si="3"/>
        <v>80.077515</v>
      </c>
      <c r="D18" s="90">
        <f t="shared" si="3"/>
        <v>9.9817</v>
      </c>
      <c r="E18" s="90">
        <f t="shared" si="3"/>
        <v>4.927</v>
      </c>
      <c r="F18" s="90">
        <f t="shared" si="3"/>
        <v>1.066</v>
      </c>
      <c r="G18" s="90">
        <f t="shared" si="3"/>
        <v>7.397</v>
      </c>
      <c r="H18" s="94"/>
      <c r="I18" s="93"/>
    </row>
    <row r="19">
      <c r="A19" s="12"/>
      <c r="B19" s="10"/>
      <c r="C19" s="10"/>
      <c r="D19" s="10"/>
      <c r="E19" s="10"/>
      <c r="F19" s="10"/>
      <c r="G19" s="10"/>
      <c r="H19" s="77"/>
      <c r="I19" s="79"/>
    </row>
    <row r="20">
      <c r="A20" s="10" t="s">
        <v>163</v>
      </c>
      <c r="B20" s="75">
        <v>10.0</v>
      </c>
      <c r="C20" s="75">
        <v>10.0</v>
      </c>
      <c r="D20" s="75">
        <v>0.0</v>
      </c>
      <c r="E20" s="75">
        <v>0.0</v>
      </c>
      <c r="F20" s="75">
        <v>0.0</v>
      </c>
      <c r="G20" s="75">
        <v>0.0</v>
      </c>
      <c r="H20" s="77"/>
      <c r="I20" s="79"/>
    </row>
    <row r="21">
      <c r="A21" s="10" t="s">
        <v>164</v>
      </c>
      <c r="B21" s="75">
        <v>1.88</v>
      </c>
      <c r="C21" s="75">
        <v>1.88</v>
      </c>
      <c r="D21" s="75">
        <v>0.0</v>
      </c>
      <c r="E21" s="75">
        <v>0.0</v>
      </c>
      <c r="F21" s="75">
        <v>0.0</v>
      </c>
      <c r="G21" s="75">
        <v>0.0</v>
      </c>
      <c r="H21" s="77"/>
      <c r="I21" s="79"/>
    </row>
    <row r="22">
      <c r="A22" s="12"/>
      <c r="B22" s="10"/>
      <c r="C22" s="10"/>
      <c r="D22" s="10"/>
      <c r="E22" s="10"/>
      <c r="F22" s="10"/>
      <c r="G22" s="10"/>
      <c r="H22" s="77"/>
      <c r="I22" s="79"/>
    </row>
    <row r="23">
      <c r="A23" s="10" t="s">
        <v>165</v>
      </c>
      <c r="B23" s="95">
        <v>0.35</v>
      </c>
      <c r="C23" s="95">
        <v>0.35</v>
      </c>
      <c r="D23" s="95">
        <v>0.35</v>
      </c>
      <c r="E23" s="95">
        <v>0.3</v>
      </c>
      <c r="F23" s="95">
        <v>0.3</v>
      </c>
      <c r="G23" s="96">
        <v>0.3</v>
      </c>
      <c r="H23" s="77"/>
      <c r="I23" s="85"/>
    </row>
    <row r="24">
      <c r="A24" s="2" t="s">
        <v>166</v>
      </c>
      <c r="B24" s="95">
        <v>0.3</v>
      </c>
      <c r="C24" s="95">
        <v>0.3</v>
      </c>
      <c r="D24" s="95">
        <v>0.3</v>
      </c>
      <c r="E24" s="96">
        <v>0.3</v>
      </c>
      <c r="F24" s="96">
        <v>0.3</v>
      </c>
      <c r="G24" s="96">
        <v>0.3</v>
      </c>
      <c r="H24" s="77"/>
      <c r="I24" s="79"/>
    </row>
    <row r="25">
      <c r="B25" s="10"/>
      <c r="C25" s="10"/>
      <c r="D25" s="10"/>
      <c r="E25" s="10"/>
      <c r="F25" s="10"/>
      <c r="G25" s="10"/>
      <c r="H25" s="77"/>
      <c r="I25" s="79"/>
    </row>
    <row r="26">
      <c r="A26" s="74" t="s">
        <v>167</v>
      </c>
      <c r="B26" s="75">
        <f t="shared" ref="B26:G26" si="4">sum(B13:B17)*B32</f>
        <v>0</v>
      </c>
      <c r="C26" s="75">
        <f t="shared" si="4"/>
        <v>0</v>
      </c>
      <c r="D26" s="75">
        <f t="shared" si="4"/>
        <v>0.2495425</v>
      </c>
      <c r="E26" s="75">
        <f t="shared" si="4"/>
        <v>0.167518</v>
      </c>
      <c r="F26" s="75">
        <f t="shared" si="4"/>
        <v>0.036244</v>
      </c>
      <c r="G26" s="75">
        <f t="shared" si="4"/>
        <v>0.251498</v>
      </c>
      <c r="H26" s="94"/>
      <c r="I26" s="93"/>
    </row>
    <row r="27">
      <c r="A27" s="74" t="s">
        <v>169</v>
      </c>
      <c r="B27" s="75">
        <f t="shared" ref="B27:G27" si="5">sum(B13:B17)*B33</f>
        <v>5.289976125</v>
      </c>
      <c r="C27" s="75">
        <f t="shared" si="5"/>
        <v>6.005813625</v>
      </c>
      <c r="D27" s="75">
        <f t="shared" si="5"/>
        <v>2.495425</v>
      </c>
      <c r="E27" s="75">
        <f t="shared" si="5"/>
        <v>0.369525</v>
      </c>
      <c r="F27" s="75">
        <f t="shared" si="5"/>
        <v>0.07995</v>
      </c>
      <c r="G27" s="75">
        <f t="shared" si="5"/>
        <v>0.554775</v>
      </c>
      <c r="H27" s="77"/>
      <c r="I27" s="101"/>
    </row>
    <row r="28">
      <c r="A28" s="74" t="s">
        <v>131</v>
      </c>
      <c r="B28" s="75">
        <f t="shared" ref="B28:G28" si="6">SUM($B$13:$B$17)*B34</f>
        <v>0.08816626875</v>
      </c>
      <c r="C28" s="75">
        <f t="shared" si="6"/>
        <v>0.08816626875</v>
      </c>
      <c r="D28" s="75">
        <f t="shared" si="6"/>
        <v>0.08816626875</v>
      </c>
      <c r="E28" s="75">
        <f t="shared" si="6"/>
        <v>0.08816626875</v>
      </c>
      <c r="F28" s="75">
        <f t="shared" si="6"/>
        <v>0.08816626875</v>
      </c>
      <c r="G28" s="75">
        <f t="shared" si="6"/>
        <v>0.08816626875</v>
      </c>
    </row>
    <row r="29">
      <c r="A29" s="74" t="s">
        <v>133</v>
      </c>
      <c r="B29" s="75">
        <f t="shared" ref="B29:G29" si="7">SUM($B$13:$B$17)*B35</f>
        <v>0.244326364</v>
      </c>
      <c r="C29" s="75">
        <f t="shared" si="7"/>
        <v>0.244326364</v>
      </c>
      <c r="D29" s="75">
        <f t="shared" si="7"/>
        <v>0.244326364</v>
      </c>
      <c r="E29" s="75">
        <f t="shared" si="7"/>
        <v>0.244326364</v>
      </c>
      <c r="F29" s="75">
        <f t="shared" si="7"/>
        <v>0.244326364</v>
      </c>
      <c r="G29" s="75">
        <f t="shared" si="7"/>
        <v>0.244326364</v>
      </c>
    </row>
    <row r="30">
      <c r="A30" s="89" t="s">
        <v>171</v>
      </c>
      <c r="B30" s="90">
        <f t="shared" ref="B30:G30" si="8">SUM(B26:B29)</f>
        <v>5.622468758</v>
      </c>
      <c r="C30" s="90">
        <f t="shared" si="8"/>
        <v>6.338306258</v>
      </c>
      <c r="D30" s="90">
        <f t="shared" si="8"/>
        <v>3.077460133</v>
      </c>
      <c r="E30" s="90">
        <f t="shared" si="8"/>
        <v>0.8695356327</v>
      </c>
      <c r="F30" s="90">
        <f t="shared" si="8"/>
        <v>0.4486866327</v>
      </c>
      <c r="G30" s="90">
        <f t="shared" si="8"/>
        <v>1.138765633</v>
      </c>
    </row>
    <row r="31">
      <c r="B31" s="10"/>
      <c r="C31" s="10"/>
      <c r="D31" s="10"/>
      <c r="E31" s="10"/>
      <c r="F31" s="10"/>
      <c r="G31" s="10"/>
    </row>
    <row r="32">
      <c r="A32" s="102" t="s">
        <v>172</v>
      </c>
      <c r="B32" s="95">
        <v>0.0</v>
      </c>
      <c r="C32" s="95">
        <v>0.0</v>
      </c>
      <c r="D32" s="95">
        <v>0.025</v>
      </c>
      <c r="E32" s="95">
        <v>0.034</v>
      </c>
      <c r="F32" s="95">
        <v>0.034</v>
      </c>
      <c r="G32" s="95">
        <v>0.034</v>
      </c>
    </row>
    <row r="33">
      <c r="A33" s="102" t="s">
        <v>173</v>
      </c>
      <c r="B33" s="95">
        <v>0.075</v>
      </c>
      <c r="C33" s="95">
        <v>0.075</v>
      </c>
      <c r="D33" s="95">
        <v>0.25</v>
      </c>
      <c r="E33" s="95">
        <v>0.075</v>
      </c>
      <c r="F33" s="95">
        <v>0.075</v>
      </c>
      <c r="G33" s="95">
        <v>0.075</v>
      </c>
    </row>
    <row r="34">
      <c r="A34" s="2" t="s">
        <v>174</v>
      </c>
      <c r="B34" s="103">
        <v>0.00125</v>
      </c>
      <c r="C34" s="103">
        <v>0.00125</v>
      </c>
      <c r="D34" s="103">
        <v>0.00125</v>
      </c>
      <c r="E34" s="103">
        <v>0.00125</v>
      </c>
      <c r="F34" s="103">
        <v>0.00125</v>
      </c>
      <c r="G34" s="103">
        <v>0.00125</v>
      </c>
    </row>
    <row r="35">
      <c r="A35" s="2" t="s">
        <v>175</v>
      </c>
      <c r="B35" s="104">
        <v>0.003464</v>
      </c>
      <c r="C35" s="104">
        <v>0.003464</v>
      </c>
      <c r="D35" s="104">
        <v>0.003464</v>
      </c>
      <c r="E35" s="104">
        <v>0.003464</v>
      </c>
      <c r="F35" s="104">
        <v>0.003464</v>
      </c>
      <c r="G35" s="104">
        <v>0.003464</v>
      </c>
    </row>
    <row r="36">
      <c r="B36" s="10"/>
      <c r="C36" s="10"/>
      <c r="D36" s="10"/>
      <c r="E36" s="10"/>
      <c r="F36" s="10"/>
      <c r="G36" s="10"/>
    </row>
    <row r="37">
      <c r="A37" s="105" t="s">
        <v>177</v>
      </c>
      <c r="B37" s="106">
        <f t="shared" ref="B37:G37" si="9">B18+B20+B21+B30</f>
        <v>88.03548376</v>
      </c>
      <c r="C37" s="106">
        <f t="shared" si="9"/>
        <v>98.29582126</v>
      </c>
      <c r="D37" s="106">
        <f t="shared" si="9"/>
        <v>13.05916013</v>
      </c>
      <c r="E37" s="106">
        <f t="shared" si="9"/>
        <v>5.796535633</v>
      </c>
      <c r="F37" s="106">
        <f t="shared" si="9"/>
        <v>1.514686633</v>
      </c>
      <c r="G37" s="106">
        <f t="shared" si="9"/>
        <v>8.535765633</v>
      </c>
    </row>
    <row r="40">
      <c r="C40" s="31"/>
      <c r="F40" s="42"/>
    </row>
    <row r="41">
      <c r="A41" s="64" t="s">
        <v>99</v>
      </c>
    </row>
    <row r="42">
      <c r="A42" s="65" t="s">
        <v>9</v>
      </c>
    </row>
    <row r="43">
      <c r="A43" s="67" t="s">
        <v>147</v>
      </c>
      <c r="B43" s="10" t="s">
        <v>179</v>
      </c>
      <c r="C43" s="10" t="s">
        <v>179</v>
      </c>
      <c r="D43" s="10" t="s">
        <v>179</v>
      </c>
      <c r="E43" s="10" t="s">
        <v>179</v>
      </c>
      <c r="F43" s="10" t="s">
        <v>179</v>
      </c>
      <c r="G43" s="10" t="s">
        <v>179</v>
      </c>
    </row>
    <row r="44">
      <c r="A44" s="67" t="s">
        <v>149</v>
      </c>
      <c r="B44" s="10" t="s">
        <v>150</v>
      </c>
      <c r="C44" s="10" t="s">
        <v>150</v>
      </c>
      <c r="D44" s="10" t="s">
        <v>150</v>
      </c>
      <c r="E44" s="10" t="s">
        <v>150</v>
      </c>
      <c r="F44" s="10" t="s">
        <v>150</v>
      </c>
      <c r="G44" s="10" t="s">
        <v>150</v>
      </c>
    </row>
    <row r="45">
      <c r="A45" s="67" t="s">
        <v>152</v>
      </c>
      <c r="B45" s="10" t="s">
        <v>153</v>
      </c>
      <c r="C45" s="10" t="s">
        <v>153</v>
      </c>
      <c r="D45" s="10" t="s">
        <v>153</v>
      </c>
      <c r="E45" s="10" t="s">
        <v>153</v>
      </c>
      <c r="F45" s="10" t="s">
        <v>153</v>
      </c>
      <c r="G45" s="10" t="s">
        <v>153</v>
      </c>
    </row>
    <row r="46">
      <c r="A46" s="67" t="s">
        <v>154</v>
      </c>
      <c r="B46" s="72"/>
      <c r="C46" s="72"/>
      <c r="D46" s="72"/>
      <c r="E46" s="72"/>
      <c r="F46" s="72"/>
      <c r="G46" s="72"/>
    </row>
    <row r="47">
      <c r="A47" s="67" t="s">
        <v>155</v>
      </c>
      <c r="B47" s="72"/>
      <c r="C47" s="72"/>
      <c r="D47" s="72"/>
      <c r="E47" s="72"/>
      <c r="F47" s="72"/>
      <c r="G47" s="72"/>
    </row>
    <row r="49">
      <c r="A49" s="74" t="s">
        <v>180</v>
      </c>
      <c r="B49" s="107">
        <v>22.88</v>
      </c>
      <c r="C49" s="107">
        <v>22.88</v>
      </c>
      <c r="D49" s="107">
        <v>3.06</v>
      </c>
      <c r="E49" s="107">
        <v>4.88</v>
      </c>
      <c r="F49" s="107">
        <v>0.75</v>
      </c>
      <c r="G49" s="107">
        <v>2.55</v>
      </c>
    </row>
    <row r="50">
      <c r="A50" s="74" t="s">
        <v>181</v>
      </c>
      <c r="B50" s="107">
        <v>10.56</v>
      </c>
      <c r="C50" s="107">
        <v>10.56</v>
      </c>
      <c r="D50" s="107">
        <v>1.31</v>
      </c>
      <c r="E50" s="108">
        <v>2.09</v>
      </c>
      <c r="F50" s="108">
        <v>0.32</v>
      </c>
      <c r="G50" s="108">
        <v>0.97</v>
      </c>
    </row>
    <row r="51">
      <c r="A51" s="74" t="s">
        <v>182</v>
      </c>
      <c r="B51" s="107">
        <v>2.65</v>
      </c>
      <c r="C51" s="107">
        <v>2.65</v>
      </c>
      <c r="D51" s="107">
        <v>0.39</v>
      </c>
      <c r="E51" s="107">
        <v>0.58</v>
      </c>
      <c r="F51" s="107">
        <v>0.1</v>
      </c>
      <c r="G51" s="107">
        <v>0.35</v>
      </c>
    </row>
    <row r="52">
      <c r="A52" s="89" t="s">
        <v>183</v>
      </c>
      <c r="B52" s="90">
        <f t="shared" ref="B52:G52" si="10">(B49*B54)+(B50*B55)+(B56*B51)</f>
        <v>11.442</v>
      </c>
      <c r="C52" s="90">
        <f t="shared" si="10"/>
        <v>11.442</v>
      </c>
      <c r="D52" s="90">
        <f t="shared" si="10"/>
        <v>1.476</v>
      </c>
      <c r="E52" s="90">
        <f t="shared" si="10"/>
        <v>2.346</v>
      </c>
      <c r="F52" s="90">
        <f t="shared" si="10"/>
        <v>0.362</v>
      </c>
      <c r="G52" s="90">
        <f t="shared" si="10"/>
        <v>1.162</v>
      </c>
    </row>
    <row r="53">
      <c r="A53" s="12"/>
      <c r="B53" s="10"/>
      <c r="C53" s="10"/>
      <c r="D53" s="10"/>
      <c r="E53" s="10"/>
      <c r="F53" s="10"/>
      <c r="G53" s="10"/>
    </row>
    <row r="54">
      <c r="A54" s="10" t="s">
        <v>185</v>
      </c>
      <c r="B54" s="96">
        <v>0.2</v>
      </c>
      <c r="C54" s="96">
        <v>0.2</v>
      </c>
      <c r="D54" s="96">
        <v>0.2</v>
      </c>
      <c r="E54" s="96">
        <v>0.2</v>
      </c>
      <c r="F54" s="96">
        <v>0.2</v>
      </c>
      <c r="G54" s="96">
        <v>0.2</v>
      </c>
    </row>
    <row r="55">
      <c r="A55" s="2" t="s">
        <v>186</v>
      </c>
      <c r="B55" s="96">
        <v>0.6</v>
      </c>
      <c r="C55" s="96">
        <v>0.6</v>
      </c>
      <c r="D55" s="96">
        <v>0.6</v>
      </c>
      <c r="E55" s="96">
        <v>0.6</v>
      </c>
      <c r="F55" s="96">
        <v>0.6</v>
      </c>
      <c r="G55" s="96">
        <v>0.6</v>
      </c>
    </row>
    <row r="56">
      <c r="A56" s="38" t="s">
        <v>187</v>
      </c>
      <c r="B56" s="109">
        <v>0.2</v>
      </c>
      <c r="C56" s="109">
        <v>0.2</v>
      </c>
      <c r="D56" s="109">
        <v>0.2</v>
      </c>
      <c r="E56" s="109">
        <v>0.2</v>
      </c>
      <c r="F56" s="109">
        <v>0.2</v>
      </c>
      <c r="G56" s="109">
        <v>0.2</v>
      </c>
    </row>
    <row r="57">
      <c r="B57" s="35">
        <f t="shared" ref="B57:G57" si="11">SUM(B54:B56)</f>
        <v>1</v>
      </c>
      <c r="C57" s="35">
        <f t="shared" si="11"/>
        <v>1</v>
      </c>
      <c r="D57" s="35">
        <f t="shared" si="11"/>
        <v>1</v>
      </c>
      <c r="E57" s="35">
        <f t="shared" si="11"/>
        <v>1</v>
      </c>
      <c r="F57" s="35">
        <f t="shared" si="11"/>
        <v>1</v>
      </c>
      <c r="G57" s="35">
        <f t="shared" si="11"/>
        <v>1</v>
      </c>
    </row>
    <row r="59">
      <c r="A59" s="105" t="s">
        <v>177</v>
      </c>
      <c r="B59" s="106">
        <f t="shared" ref="B59:G59" si="12">B37+B52</f>
        <v>99.47748376</v>
      </c>
      <c r="C59" s="106">
        <f t="shared" si="12"/>
        <v>109.7378213</v>
      </c>
      <c r="D59" s="106">
        <f t="shared" si="12"/>
        <v>14.53516013</v>
      </c>
      <c r="E59" s="106">
        <f t="shared" si="12"/>
        <v>8.142535633</v>
      </c>
      <c r="F59" s="106">
        <f t="shared" si="12"/>
        <v>1.876686633</v>
      </c>
      <c r="G59" s="106">
        <f t="shared" si="12"/>
        <v>9.697765633</v>
      </c>
    </row>
    <row r="63">
      <c r="A63" s="64" t="s">
        <v>102</v>
      </c>
    </row>
    <row r="64">
      <c r="A64" s="65" t="s">
        <v>9</v>
      </c>
    </row>
    <row r="65">
      <c r="A65" s="67" t="s">
        <v>147</v>
      </c>
      <c r="B65" s="10" t="s">
        <v>188</v>
      </c>
      <c r="C65" s="10" t="s">
        <v>188</v>
      </c>
      <c r="D65" s="10" t="s">
        <v>188</v>
      </c>
      <c r="E65" s="10" t="s">
        <v>188</v>
      </c>
      <c r="F65" s="10" t="s">
        <v>188</v>
      </c>
      <c r="G65" s="10" t="s">
        <v>188</v>
      </c>
    </row>
    <row r="66">
      <c r="A66" s="67" t="s">
        <v>149</v>
      </c>
      <c r="B66" s="10" t="s">
        <v>150</v>
      </c>
      <c r="C66" s="10" t="s">
        <v>150</v>
      </c>
      <c r="D66" s="10" t="s">
        <v>150</v>
      </c>
      <c r="E66" s="10" t="s">
        <v>150</v>
      </c>
      <c r="F66" s="10" t="s">
        <v>150</v>
      </c>
      <c r="G66" s="10" t="s">
        <v>150</v>
      </c>
    </row>
    <row r="67">
      <c r="A67" s="67" t="s">
        <v>152</v>
      </c>
      <c r="B67" s="10" t="s">
        <v>153</v>
      </c>
      <c r="C67" s="10" t="s">
        <v>153</v>
      </c>
      <c r="D67" s="10" t="s">
        <v>153</v>
      </c>
      <c r="E67" s="10" t="s">
        <v>153</v>
      </c>
      <c r="F67" s="10" t="s">
        <v>153</v>
      </c>
      <c r="G67" s="10" t="s">
        <v>153</v>
      </c>
    </row>
    <row r="68">
      <c r="A68" s="67" t="s">
        <v>154</v>
      </c>
      <c r="B68" s="72"/>
      <c r="C68" s="72"/>
      <c r="D68" s="72"/>
      <c r="E68" s="72"/>
      <c r="F68" s="72"/>
      <c r="G68" s="72"/>
    </row>
    <row r="69">
      <c r="A69" s="67" t="s">
        <v>155</v>
      </c>
      <c r="B69" s="72"/>
      <c r="C69" s="72"/>
      <c r="D69" s="72"/>
      <c r="E69" s="72"/>
      <c r="F69" s="72"/>
      <c r="G69" s="72"/>
    </row>
    <row r="71">
      <c r="A71" s="74" t="s">
        <v>102</v>
      </c>
      <c r="B71" s="75">
        <v>11.94</v>
      </c>
      <c r="C71" s="75">
        <v>11.94</v>
      </c>
      <c r="D71" s="75">
        <v>6.28</v>
      </c>
      <c r="E71" s="75">
        <v>6.28</v>
      </c>
      <c r="F71" s="75">
        <v>5.78</v>
      </c>
      <c r="G71" s="75">
        <v>6.28</v>
      </c>
    </row>
    <row r="72">
      <c r="A72" s="74" t="s">
        <v>189</v>
      </c>
      <c r="B72" s="74"/>
      <c r="C72" s="74"/>
      <c r="D72" s="74"/>
      <c r="E72" s="74"/>
      <c r="F72" s="74"/>
      <c r="G72" s="74"/>
    </row>
    <row r="73">
      <c r="A73" s="74" t="s">
        <v>190</v>
      </c>
      <c r="B73" s="76">
        <v>1.01</v>
      </c>
      <c r="C73" s="76">
        <v>1.01</v>
      </c>
      <c r="D73" s="76">
        <v>0.6</v>
      </c>
      <c r="E73" s="76">
        <v>0.6</v>
      </c>
      <c r="F73" s="76">
        <v>0.6</v>
      </c>
      <c r="G73" s="76">
        <v>0.6</v>
      </c>
    </row>
    <row r="74">
      <c r="A74" s="74" t="s">
        <v>191</v>
      </c>
      <c r="B74" s="76">
        <v>0.3</v>
      </c>
      <c r="C74" s="76">
        <v>0.3</v>
      </c>
      <c r="D74" s="76">
        <v>0.3</v>
      </c>
      <c r="E74" s="76">
        <v>0.3</v>
      </c>
      <c r="F74" s="76">
        <v>0.3</v>
      </c>
      <c r="G74" s="76">
        <v>0.3</v>
      </c>
    </row>
    <row r="75">
      <c r="A75" s="74" t="s">
        <v>192</v>
      </c>
      <c r="B75" s="74"/>
      <c r="C75" s="74"/>
      <c r="D75" s="74"/>
      <c r="E75" s="74"/>
      <c r="F75" s="74"/>
      <c r="G75" s="74"/>
      <c r="H75" s="111"/>
      <c r="I75" s="111"/>
      <c r="J75" s="111"/>
      <c r="K75" s="111"/>
      <c r="L75" s="111"/>
      <c r="M75" s="111"/>
      <c r="N75" s="111"/>
      <c r="O75" s="111"/>
      <c r="P75" s="111"/>
      <c r="Q75" s="111"/>
      <c r="R75" s="111"/>
      <c r="S75" s="111"/>
      <c r="T75" s="111"/>
      <c r="U75" s="111"/>
    </row>
    <row r="76">
      <c r="A76" s="74" t="s">
        <v>193</v>
      </c>
      <c r="B76" s="112">
        <v>0.0</v>
      </c>
      <c r="C76" s="112">
        <v>0.0</v>
      </c>
      <c r="D76" s="112">
        <v>1.1</v>
      </c>
      <c r="E76" s="112">
        <v>1.1</v>
      </c>
      <c r="F76" s="112">
        <v>1.1</v>
      </c>
      <c r="G76" s="112">
        <v>1.1</v>
      </c>
    </row>
    <row r="77">
      <c r="A77" s="74" t="s">
        <v>194</v>
      </c>
      <c r="B77" s="112">
        <v>1.2</v>
      </c>
      <c r="C77" s="112">
        <v>1.2</v>
      </c>
      <c r="D77" s="112">
        <v>0.0</v>
      </c>
      <c r="E77" s="112">
        <v>0.0</v>
      </c>
      <c r="F77" s="112">
        <v>0.0</v>
      </c>
      <c r="G77" s="112">
        <v>0.0</v>
      </c>
    </row>
    <row r="78">
      <c r="A78" s="74" t="s">
        <v>195</v>
      </c>
      <c r="B78" s="74"/>
      <c r="C78" s="74"/>
      <c r="D78" s="74"/>
      <c r="E78" s="74"/>
      <c r="F78" s="74"/>
      <c r="G78" s="74"/>
    </row>
    <row r="79">
      <c r="A79" s="74" t="s">
        <v>46</v>
      </c>
      <c r="B79" s="76">
        <v>0.3</v>
      </c>
      <c r="C79" s="76">
        <v>0.3</v>
      </c>
      <c r="D79" s="112">
        <v>0.0</v>
      </c>
      <c r="E79" s="112">
        <v>0.0</v>
      </c>
      <c r="F79" s="112">
        <v>0.0</v>
      </c>
      <c r="G79" s="112">
        <v>0.0</v>
      </c>
    </row>
    <row r="80">
      <c r="A80" s="74" t="s">
        <v>196</v>
      </c>
      <c r="B80" s="11">
        <v>0.31</v>
      </c>
      <c r="C80" s="11">
        <v>0.31</v>
      </c>
      <c r="D80" s="11">
        <v>0.31</v>
      </c>
      <c r="E80" s="11">
        <v>0.31</v>
      </c>
      <c r="F80" s="11">
        <v>0.31</v>
      </c>
      <c r="G80" s="11">
        <v>0.31</v>
      </c>
    </row>
    <row r="81">
      <c r="A81" s="89" t="s">
        <v>197</v>
      </c>
      <c r="B81" s="90">
        <f t="shared" ref="B81:G81" si="13">SUM(B71:B80)</f>
        <v>15.06</v>
      </c>
      <c r="C81" s="90">
        <f t="shared" si="13"/>
        <v>15.06</v>
      </c>
      <c r="D81" s="90">
        <f t="shared" si="13"/>
        <v>8.59</v>
      </c>
      <c r="E81" s="90">
        <f t="shared" si="13"/>
        <v>8.59</v>
      </c>
      <c r="F81" s="90">
        <f t="shared" si="13"/>
        <v>8.09</v>
      </c>
      <c r="G81" s="90">
        <f t="shared" si="13"/>
        <v>8.59</v>
      </c>
    </row>
    <row r="83">
      <c r="A83" s="105" t="s">
        <v>177</v>
      </c>
      <c r="B83" s="106">
        <f t="shared" ref="B83:G83" si="14">B59+B81</f>
        <v>114.5374838</v>
      </c>
      <c r="C83" s="106">
        <f t="shared" si="14"/>
        <v>124.7978213</v>
      </c>
      <c r="D83" s="106">
        <f t="shared" si="14"/>
        <v>23.12516013</v>
      </c>
      <c r="E83" s="106">
        <f t="shared" si="14"/>
        <v>16.73253563</v>
      </c>
      <c r="F83" s="106">
        <f t="shared" si="14"/>
        <v>9.966686633</v>
      </c>
      <c r="G83" s="106">
        <f t="shared" si="14"/>
        <v>18.28776563</v>
      </c>
    </row>
    <row r="87">
      <c r="A87" s="12"/>
      <c r="B87" s="10"/>
      <c r="C87" s="10"/>
      <c r="D87" s="10"/>
      <c r="E87" s="10"/>
      <c r="F87" s="10"/>
      <c r="G87" s="10"/>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3" t="s">
        <v>211</v>
      </c>
    </row>
    <row r="3">
      <c r="A3" s="124" t="s">
        <v>212</v>
      </c>
    </row>
    <row r="4">
      <c r="H4" s="125">
        <v>1.6406162E7</v>
      </c>
    </row>
    <row r="5">
      <c r="A5" s="2" t="s">
        <v>213</v>
      </c>
      <c r="H5" s="126"/>
    </row>
    <row r="6">
      <c r="A6" s="127" t="s">
        <v>214</v>
      </c>
      <c r="H6" s="126"/>
    </row>
    <row r="8">
      <c r="A8" s="127" t="s">
        <v>215</v>
      </c>
      <c r="H8" s="128" t="s">
        <v>216</v>
      </c>
    </row>
    <row r="10">
      <c r="A10" s="127" t="s">
        <v>217</v>
      </c>
    </row>
    <row r="13">
      <c r="A13" s="127" t="s">
        <v>218</v>
      </c>
    </row>
    <row r="16">
      <c r="A16" s="127" t="s">
        <v>219</v>
      </c>
    </row>
    <row r="19">
      <c r="A19" s="129" t="s">
        <v>220</v>
      </c>
      <c r="B19" s="130"/>
      <c r="C19" s="130"/>
      <c r="D19" s="129" t="s">
        <v>3</v>
      </c>
      <c r="E19" s="129" t="s">
        <v>5</v>
      </c>
      <c r="F19" s="130"/>
      <c r="G19" s="129" t="s">
        <v>6</v>
      </c>
      <c r="H19" s="129" t="s">
        <v>7</v>
      </c>
      <c r="I19" s="129" t="s">
        <v>8</v>
      </c>
      <c r="J19" s="129" t="s">
        <v>10</v>
      </c>
      <c r="K19" s="129" t="s">
        <v>11</v>
      </c>
      <c r="L19" s="129" t="s">
        <v>12</v>
      </c>
      <c r="M19" s="129" t="s">
        <v>13</v>
      </c>
      <c r="N19" s="129" t="s">
        <v>14</v>
      </c>
      <c r="O19" s="129" t="s">
        <v>15</v>
      </c>
      <c r="P19" s="130"/>
      <c r="Q19" s="129" t="s">
        <v>16</v>
      </c>
      <c r="R19" s="129" t="s">
        <v>17</v>
      </c>
      <c r="S19" s="129" t="s">
        <v>18</v>
      </c>
      <c r="T19" s="129" t="s">
        <v>19</v>
      </c>
      <c r="U19" s="129" t="s">
        <v>20</v>
      </c>
      <c r="V19" s="130"/>
      <c r="W19" s="129" t="s">
        <v>21</v>
      </c>
      <c r="X19" s="129" t="s">
        <v>22</v>
      </c>
      <c r="Y19" s="129" t="s">
        <v>23</v>
      </c>
      <c r="Z19" s="129" t="s">
        <v>24</v>
      </c>
      <c r="AA19" s="129" t="s">
        <v>25</v>
      </c>
      <c r="AB19" s="129" t="s">
        <v>26</v>
      </c>
      <c r="AC19" s="129" t="s">
        <v>29</v>
      </c>
      <c r="AD19" s="129" t="s">
        <v>30</v>
      </c>
      <c r="AE19" s="129" t="s">
        <v>31</v>
      </c>
      <c r="AF19" s="129" t="s">
        <v>32</v>
      </c>
      <c r="AG19" s="129" t="s">
        <v>34</v>
      </c>
      <c r="AH19" s="130"/>
      <c r="AI19" s="130"/>
      <c r="AJ19" s="129" t="s">
        <v>35</v>
      </c>
      <c r="AK19" s="129" t="s">
        <v>36</v>
      </c>
      <c r="AL19" s="129" t="s">
        <v>37</v>
      </c>
      <c r="AM19" s="130"/>
      <c r="AN19" s="129" t="s">
        <v>39</v>
      </c>
      <c r="AO19" s="129" t="s">
        <v>40</v>
      </c>
      <c r="AP19" s="129" t="s">
        <v>41</v>
      </c>
      <c r="AQ19" s="129" t="s">
        <v>42</v>
      </c>
      <c r="AR19" s="130"/>
      <c r="AS19" s="130"/>
      <c r="AT19" s="129" t="s">
        <v>44</v>
      </c>
      <c r="AU19" s="129" t="s">
        <v>45</v>
      </c>
      <c r="AV19" s="129" t="s">
        <v>47</v>
      </c>
      <c r="AW19" s="130"/>
      <c r="AX19" s="130"/>
      <c r="AY19" s="130"/>
      <c r="AZ19" s="130"/>
      <c r="BA19" s="130"/>
      <c r="BB19" s="130"/>
      <c r="BC19" s="130"/>
      <c r="BD19" s="130"/>
      <c r="BE19" s="130"/>
      <c r="BF19" s="130"/>
      <c r="BG19" s="130"/>
      <c r="BH19" s="130"/>
      <c r="BI19" s="130"/>
      <c r="BJ19" s="130"/>
      <c r="BK19" s="130"/>
      <c r="BL19" s="130"/>
      <c r="BM19" s="130"/>
    </row>
    <row r="20" hidden="1">
      <c r="A20" s="2" t="s">
        <v>222</v>
      </c>
      <c r="C20" s="2" t="s">
        <v>223</v>
      </c>
      <c r="D20" s="2" t="s">
        <v>224</v>
      </c>
      <c r="E20" s="2" t="s">
        <v>225</v>
      </c>
      <c r="G20" s="2" t="s">
        <v>226</v>
      </c>
      <c r="H20" s="2" t="s">
        <v>227</v>
      </c>
      <c r="I20" s="2" t="s">
        <v>228</v>
      </c>
      <c r="J20" s="2" t="s">
        <v>229</v>
      </c>
      <c r="K20" s="2" t="s">
        <v>230</v>
      </c>
      <c r="L20" s="2" t="s">
        <v>231</v>
      </c>
      <c r="M20" s="2" t="s">
        <v>232</v>
      </c>
      <c r="N20" s="2" t="s">
        <v>233</v>
      </c>
      <c r="O20" s="2" t="s">
        <v>234</v>
      </c>
      <c r="Q20" s="2" t="s">
        <v>235</v>
      </c>
      <c r="R20" s="2" t="s">
        <v>236</v>
      </c>
      <c r="S20" s="2" t="s">
        <v>237</v>
      </c>
      <c r="T20" s="2" t="s">
        <v>238</v>
      </c>
      <c r="U20" s="2" t="s">
        <v>239</v>
      </c>
      <c r="W20" s="2" t="s">
        <v>240</v>
      </c>
      <c r="X20" s="2" t="s">
        <v>241</v>
      </c>
      <c r="Y20" s="2" t="s">
        <v>242</v>
      </c>
      <c r="Z20" s="2" t="s">
        <v>243</v>
      </c>
      <c r="AA20" s="2" t="s">
        <v>244</v>
      </c>
      <c r="AB20" s="2" t="s">
        <v>245</v>
      </c>
      <c r="AC20" s="2" t="s">
        <v>246</v>
      </c>
      <c r="AD20" s="2" t="s">
        <v>247</v>
      </c>
      <c r="AE20" s="2" t="s">
        <v>248</v>
      </c>
      <c r="AF20" s="2" t="s">
        <v>249</v>
      </c>
      <c r="AG20" s="2" t="s">
        <v>250</v>
      </c>
      <c r="AJ20" s="2" t="s">
        <v>251</v>
      </c>
      <c r="AK20" s="2" t="s">
        <v>252</v>
      </c>
      <c r="AL20" s="2" t="s">
        <v>253</v>
      </c>
      <c r="AN20" s="2" t="s">
        <v>254</v>
      </c>
      <c r="AO20" s="2" t="s">
        <v>255</v>
      </c>
      <c r="AP20" s="2" t="s">
        <v>256</v>
      </c>
      <c r="AQ20" s="2" t="s">
        <v>257</v>
      </c>
      <c r="AR20" s="2" t="s">
        <v>258</v>
      </c>
      <c r="AS20" s="2" t="s">
        <v>259</v>
      </c>
      <c r="AT20" s="2" t="s">
        <v>260</v>
      </c>
      <c r="AU20" s="2" t="s">
        <v>261</v>
      </c>
      <c r="AV20" s="2" t="s">
        <v>262</v>
      </c>
    </row>
    <row r="21">
      <c r="A21" s="102" t="s">
        <v>263</v>
      </c>
      <c r="B21" s="131"/>
      <c r="C21" s="131"/>
      <c r="D21" s="102" t="str">
        <f>IFERROR(__xludf.DUMMYFUNCTION("ARRAY_CONSTRAIN(split(CELL(""ADDRESS"",zsupermetrics_pxuhRTEmIU93xSgKclyxajD0fCZ6rF),""!""),1,1)"),"#REF!")</f>
        <v>#REF!</v>
      </c>
      <c r="E21" s="102"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131"/>
      <c r="G21" s="132">
        <v>44557.69715277778</v>
      </c>
      <c r="H21" s="132">
        <v>44557.839155092595</v>
      </c>
      <c r="I21" s="102" t="s">
        <v>265</v>
      </c>
      <c r="J21" s="133"/>
      <c r="K21" s="102" t="b">
        <v>0</v>
      </c>
      <c r="L21" s="133">
        <v>4.0</v>
      </c>
      <c r="M21" s="102" t="s">
        <v>65</v>
      </c>
      <c r="N21" s="131"/>
      <c r="O21" s="102" t="s">
        <v>266</v>
      </c>
      <c r="P21" s="131"/>
      <c r="Q21" s="102" t="s">
        <v>267</v>
      </c>
      <c r="R21" s="131"/>
      <c r="S21" s="131"/>
      <c r="T21" s="131"/>
      <c r="U21" s="131"/>
      <c r="V21" s="131"/>
      <c r="W21" s="102" t="s">
        <v>268</v>
      </c>
      <c r="X21" s="102" t="s">
        <v>269</v>
      </c>
      <c r="Y21" s="102" t="s">
        <v>71</v>
      </c>
      <c r="Z21" s="102" t="s">
        <v>270</v>
      </c>
      <c r="AA21" s="102" t="s">
        <v>71</v>
      </c>
      <c r="AB21" s="102" t="s">
        <v>71</v>
      </c>
      <c r="AC21" s="131"/>
      <c r="AD21" s="102">
        <v>10000.0</v>
      </c>
      <c r="AE21" s="102">
        <v>50.0</v>
      </c>
      <c r="AF21" s="102" t="s">
        <v>271</v>
      </c>
      <c r="AG21" s="102" t="s">
        <v>73</v>
      </c>
      <c r="AH21" s="131"/>
      <c r="AI21" s="131"/>
      <c r="AJ21" s="131"/>
      <c r="AK21" s="131"/>
      <c r="AL21" s="131"/>
      <c r="AM21" s="131"/>
      <c r="AN21" s="131"/>
      <c r="AO21" s="131"/>
      <c r="AP21" s="134" t="s">
        <v>272</v>
      </c>
      <c r="AQ21" s="131"/>
      <c r="AR21" s="131"/>
      <c r="AS21" s="131"/>
      <c r="AT21" s="131"/>
      <c r="AU21" s="102" t="s">
        <v>273</v>
      </c>
      <c r="AV21" s="131"/>
      <c r="AW21" s="131"/>
      <c r="AX21" s="131"/>
    </row>
  </sheetData>
  <mergeCells count="5">
    <mergeCell ref="A6:G7"/>
    <mergeCell ref="A8:G9"/>
    <mergeCell ref="A10:G11"/>
    <mergeCell ref="A13:H15"/>
    <mergeCell ref="A16:H17"/>
  </mergeCells>
  <drawing r:id="rId2"/>
  <legacyDrawing r:id="rId3"/>
</worksheet>
</file>