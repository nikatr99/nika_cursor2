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Detailed Report" sheetId="3" r:id="rId7"/>
    <sheet state="visible" name="Formulas" sheetId="4" r:id="rId8"/>
    <sheet state="hidden" name="SupermetricsQueries" sheetId="5" r:id="rId9"/>
    <sheet state="visible" name="Business Metrics US" sheetId="6" r:id="rId10"/>
    <sheet state="visible" name="Business Metrics Canada" sheetId="7" r:id="rId11"/>
  </sheets>
  <definedNames>
    <definedName localSheetId="6" name="rdataslayer_d70e473bcafe40a3aa834ce157fb2ba3">'Business Metrics Canada'!$C$16:$D$17</definedName>
    <definedName localSheetId="5" name="zsupermetrics_xwoIpANxRm908eDp5oKTwQpEI8gvD4">'Business Metrics US'!$A$5</definedName>
    <definedName name="zsupermetrics_ru0GDtbZzDLHQOQtJJ6K08MvUDyyp7">Formulas!$B$5:$B$6</definedName>
    <definedName localSheetId="5" name="zsupermetrics_iNpyVy90bWCI0yUaFQpxOtzWMa6sW4">'Business Metrics US'!$A$5:$A$12</definedName>
    <definedName localSheetId="6" name="zsupermetrics_NugLlrQxlKiqhxQae8EFpITBm1pLCj">'Business Metrics Canada'!$B$15:$C$23</definedName>
    <definedName localSheetId="6" name="rdataslayer_4a0f150f4f2f4e4f85c890c75b7a1fa4">'Business Metrics Canada'!$D$5:$E$12</definedName>
    <definedName name="zsupermetrics_refreshAll">SupermetricsQueries!$H$5</definedName>
    <definedName localSheetId="6" name="zsupermetrics_DQl8lUbpTRu3fayaJJi7lVfOGKjNU4">'Business Metrics Canada'!$A$2:$A$13</definedName>
    <definedName name="zsupermetrics_n3GtLgiKpTmd2pYmQNMuq6TPD0qE0b">Formulas!$B$5:$B$6</definedName>
    <definedName localSheetId="5" name="zsupermetrics_9i4W4hgd80uRpQLMeX0eRnESN8gjyv">'Business Metrics US'!$C$23</definedName>
    <definedName localSheetId="6" name="zsupermetrics_qWp7V908pNEYMtfv8QZvSTeDnBAHOU">'Business Metrics Canada'!$B$14:$C$23</definedName>
    <definedName name="zsupermetrics_refreshAllSilent">SupermetricsQueries!$H$6</definedName>
    <definedName name="zsupermetrics_Mgms9p0QzysYvrIhnsKACeVBVxfIEO">Formulas!$A$3:$A$4</definedName>
    <definedName localSheetId="5" name="rdataslayer_4a0f150f4f2f4e4f85c890c75b7a1fa4">'Business Metrics US'!$D$5:$E$12</definedName>
    <definedName localSheetId="6" name="zsupermetrics_lx4cNai7gT6tH4j08ZRkI21Qlpjioi">'Business Metrics Canada'!$B$13:$C$23</definedName>
    <definedName name="zsupermetrics_forceRefresh">SupermetricsQueries!$H$4</definedName>
    <definedName name="zsupermetrics_wbYMmT0YL9bAN0yhimW0ziPFnia9Dx">Formulas!$A$3:$A$4</definedName>
    <definedName name="zsupermetrics_iNpyVy90bWCI0yUaFQpxOtzWMa6sW4">Formulas!$A$3:$A$4</definedName>
    <definedName localSheetId="6" name="zsupermetrics_xwoIpANxRm908eDp5oKTwQpEI8gvD4">'Business Metrics Canada'!$A$5</definedName>
    <definedName localSheetId="5" name="rdataslayer_3753ddf3234e496aa261974a0222e193">'Business Metrics US'!$H$5:$I$5</definedName>
    <definedName localSheetId="6" name="zsupermetrics_4VkB7ij7WO0JjKBEgvjB2GHjSy2Egm">'Business Metrics Canada'!$B$13:$C$17</definedName>
    <definedName localSheetId="6" name="zsupermetrics_wbYMmT0YL9bAN0yhimW0ziPFnia9Dx">'Business Metrics Canada'!$A$5:$A$12</definedName>
    <definedName name="zsupermetrics_9i4W4hgd80uRpQLMeX0eRnESN8gjyv">Formulas!$C$14</definedName>
    <definedName localSheetId="5" name="zsupermetrics_YsFuuYtr8vOdNXCCPiFJIO38NP4b2T">'Business Metrics US'!$B$13:$C$23</definedName>
    <definedName localSheetId="6" name="rdataslayer_adf57e64065742daa5b4161161b1c3ca">'Business Metrics Canada'!$B$13:$D$14</definedName>
    <definedName localSheetId="6" name="zsupermetrics_9i4W4hgd80uRpQLMeX0eRnESN8gjyv">'Business Metrics Canada'!$C$23</definedName>
    <definedName localSheetId="5" name="zsupermetrics_4VkB7ij7WO0JjKBEgvjB2GHjSy2Egm">'Business Metrics US'!$B$13:$C$17</definedName>
    <definedName name="zsupermetrics_pxuhRTEmIU93xSgKclyxajD0fCZ6rF">#REF!</definedName>
    <definedName localSheetId="5" name="zsupermetrics_wbYMmT0YL9bAN0yhimW0ziPFnia9Dx">'Business Metrics US'!$A$5:$A$12</definedName>
    <definedName name="rdataslayer_4a0f150f4f2f4e4f85c890c75b7a1fa4">Formulas!$D$3:$E$4</definedName>
    <definedName localSheetId="6" name="zsupermetrics_iNpyVy90bWCI0yUaFQpxOtzWMa6sW4">'Business Metrics Canada'!$A$5:$A$12</definedName>
    <definedName name="zsupermetrics_HgZqhorObHOtZHuyJjpmyYaEPoYntx">Formulas!$B$5:$B$6</definedName>
    <definedName name="zsupermetrics_YsFuuYtr8vOdNXCCPiFJIO38NP4b2T">Formulas!$B$5:$C$14</definedName>
    <definedName name="zsupermetrics_DQl8lUbpTRu3fayaJJi7lVfOGKjNU4">Formulas!$A$4:$A$5</definedName>
    <definedName name="zsupermetrics_4VkB7ij7WO0JjKBEgvjB2GHjSy2Egm">Formulas!$B$5:$C$11</definedName>
    <definedName localSheetId="5" name="zsupermetrics_Mgms9p0QzysYvrIhnsKACeVBVxfIEO">'Business Metrics US'!$A$5:$A$12</definedName>
    <definedName name="zsupermetrics_lx4cNai7gT6tH4j08ZRkI21Qlpjioi">Formulas!$B$5:$C$14</definedName>
    <definedName localSheetId="5" name="zsupermetrics_BioPyGBzcBsy60UCQmPcTuFReEmghI">'Business Metrics US'!$B$5:$B$12</definedName>
    <definedName localSheetId="5" name="zsupermetrics_qWp7V908pNEYMtfv8QZvSTeDnBAHOU">'Business Metrics US'!$B$14:$C$23</definedName>
    <definedName localSheetId="5" name="rdataslayer_adf57e64065742daa5b4161161b1c3ca">'Business Metrics US'!$B$13:$D$14</definedName>
    <definedName name="rdataslayer_d70e473bcafe40a3aa834ce157fb2ba3">Formulas!$C$9:$D$10</definedName>
    <definedName name="zsupermetrics_8xojRjNDjo2jWHGDWjFEhflhyIq3Hq">Sales!$K$8:$K$9</definedName>
    <definedName localSheetId="6" name="rdataslayer_42b112e4e4be4305bb4c1be75e2dd549">'Business Metrics Canada'!$B$5:$C$12</definedName>
    <definedName localSheetId="5" name="rdataslayer_d70e473bcafe40a3aa834ce157fb2ba3">'Business Metrics US'!$C$16:$D$17</definedName>
    <definedName name="rdataslayer_3753ddf3234e496aa261974a0222e193">Formulas!$H$3:$I$3</definedName>
    <definedName localSheetId="6" name="zsupermetrics_BioPyGBzcBsy60UCQmPcTuFReEmghI">'Business Metrics Canada'!$B$5:$B$12</definedName>
    <definedName localSheetId="5" name="zsupermetrics_DQl8lUbpTRu3fayaJJi7lVfOGKjNU4">'Business Metrics US'!$A$2:$A$13</definedName>
    <definedName localSheetId="5" name="zsupermetrics_HgZqhorObHOtZHuyJjpmyYaEPoYntx">'Business Metrics US'!$B$13:$B$14</definedName>
    <definedName name="zsupermetrics_BioPyGBzcBsy60UCQmPcTuFReEmghI">Formulas!$B$3:$B$4</definedName>
    <definedName name="zsupermetrics_qWp7V908pNEYMtfv8QZvSTeDnBAHOU">Formulas!$B$6:$C$14</definedName>
    <definedName localSheetId="5" name="zsupermetrics_NugLlrQxlKiqhxQae8EFpITBm1pLCj">'Business Metrics US'!$B$15:$C$23</definedName>
    <definedName localSheetId="6" name="rdataslayer_3753ddf3234e496aa261974a0222e193">'Business Metrics Canada'!$H$5:$I$5</definedName>
    <definedName localSheetId="5" name="zsupermetrics_n3GtLgiKpTmd2pYmQNMuq6TPD0qE0b">'Business Metrics US'!$B$13:$B$14</definedName>
    <definedName localSheetId="5" name="rdataslayer_42b112e4e4be4305bb4c1be75e2dd549">'Business Metrics US'!$B$5:$C$12</definedName>
    <definedName localSheetId="5" name="zsupermetrics_lx4cNai7gT6tH4j08ZRkI21Qlpjioi">'Business Metrics US'!$B$13:$C$23</definedName>
    <definedName name="rdataslayer_42b112e4e4be4305bb4c1be75e2dd549">Formulas!$B$3:$C$4</definedName>
    <definedName localSheetId="6" name="zsupermetrics_n3GtLgiKpTmd2pYmQNMuq6TPD0qE0b">'Business Metrics Canada'!$B$13:$B$14</definedName>
    <definedName name="rdataslayer_adf57e64065742daa5b4161161b1c3ca">Formulas!$B$5:$D$6</definedName>
    <definedName localSheetId="6" name="zsupermetrics_ru0GDtbZzDLHQOQtJJ6K08MvUDyyp7">'Business Metrics Canada'!$B$13:$B$14</definedName>
    <definedName localSheetId="6" name="zsupermetrics_HgZqhorObHOtZHuyJjpmyYaEPoYntx">'Business Metrics Canada'!$B$13:$B$14</definedName>
    <definedName localSheetId="6" name="zsupermetrics_Mgms9p0QzysYvrIhnsKACeVBVxfIEO">'Business Metrics Canada'!$A$5:$A$12</definedName>
    <definedName name="zsupermetrics_NugLlrQxlKiqhxQae8EFpITBm1pLCj">Formulas!$B$7:$C$14</definedName>
    <definedName name="zsupermetrics_xwoIpANxRm908eDp5oKTwQpEI8gvD4">Formulas!$A$3</definedName>
    <definedName localSheetId="5" name="zsupermetrics_ru0GDtbZzDLHQOQtJJ6K08MvUDyyp7">'Business Metrics US'!$B$13:$B$14</definedName>
    <definedName localSheetId="6" name="zsupermetrics_YsFuuYtr8vOdNXCCPiFJIO38NP4b2T">'Business Metrics Canada'!$B$13:$C$23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tc={39919dc6-76db-48fd-9477-12ce60e9a06c}</author>
  </authors>
  <commentList>
    <comment authorId="0" xr:uid="{39919dc6-76db-48fd-9477-12ce60e9a06c}" ref="AB8">
      <text>
        <t xml:space="preserve">[Threaded comment]
 Your version of Excel allows you to read this threaded comment; however, any edits to it will get removed if the file is opened in a newer version of Excel. Learn more: https://go.microsoft.com/fwlink/?linkid=870924
Comment:
	Shopify + WooCommerce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<sst xmlns="http://schemas.openxmlformats.org/spreadsheetml/2006/main" count="1171" uniqueCount="458">
  <si>
    <t>Query UUID</t>
  </si>
  <si>
    <t>JUNE</t>
  </si>
  <si>
    <t>Sheet name</t>
  </si>
  <si>
    <t>Range address</t>
  </si>
  <si>
    <t>Created</t>
  </si>
  <si>
    <t>Updated</t>
  </si>
  <si>
    <t>Last status</t>
  </si>
  <si>
    <t>Last refresh ID</t>
  </si>
  <si>
    <t>Results contain sampled data</t>
  </si>
  <si>
    <t>Execution time (sec)</t>
  </si>
  <si>
    <t>Object type</t>
  </si>
  <si>
    <t>Linked chart ID</t>
  </si>
  <si>
    <t>Data source</t>
  </si>
  <si>
    <t>Date range type</t>
  </si>
  <si>
    <t>Business Metrics</t>
  </si>
  <si>
    <t>Start date</t>
  </si>
  <si>
    <t>End date</t>
  </si>
  <si>
    <t>Compare to</t>
  </si>
  <si>
    <t>Comparison value type</t>
  </si>
  <si>
    <t>Accounts/views</t>
  </si>
  <si>
    <t>Metrics</t>
  </si>
  <si>
    <t>Dimensions</t>
  </si>
  <si>
    <t>Pivot dimensions</t>
  </si>
  <si>
    <t>Filters</t>
  </si>
  <si>
    <t>Segment ID</t>
  </si>
  <si>
    <t>Segment dim</t>
  </si>
  <si>
    <t>Sort</t>
  </si>
  <si>
    <t>COGS</t>
  </si>
  <si>
    <t>Max rows</t>
  </si>
  <si>
    <t>Max pivot categories</t>
  </si>
  <si>
    <t>Special settings</t>
  </si>
  <si>
    <t>Source</t>
  </si>
  <si>
    <t>Other parameters</t>
  </si>
  <si>
    <t>Result type</t>
  </si>
  <si>
    <t>Language/country</t>
  </si>
  <si>
    <t>Translate to</t>
  </si>
  <si>
    <t>SQL</t>
  </si>
  <si>
    <t>Database name</t>
  </si>
  <si>
    <t>Range address (static)</t>
  </si>
  <si>
    <t>DAY</t>
  </si>
  <si>
    <t>Report type</t>
  </si>
  <si>
    <t>Highlight with colour</t>
  </si>
  <si>
    <t>THU</t>
  </si>
  <si>
    <t>Refresh with user account</t>
  </si>
  <si>
    <t>FRI</t>
  </si>
  <si>
    <t>Returned data</t>
  </si>
  <si>
    <t>SAT</t>
  </si>
  <si>
    <t>SUN</t>
  </si>
  <si>
    <t>Sort dimensions</t>
  </si>
  <si>
    <t>MON</t>
  </si>
  <si>
    <t>TUE</t>
  </si>
  <si>
    <t>Created by user account</t>
  </si>
  <si>
    <t>WED</t>
  </si>
  <si>
    <t>42b112e4e4be4305bb4c1be75e2dd549</t>
  </si>
  <si>
    <t>3PL Costs</t>
  </si>
  <si>
    <t>Bird Buddy</t>
  </si>
  <si>
    <t>Handling Fee</t>
  </si>
  <si>
    <t>Bird Buddy with Solar Roof</t>
  </si>
  <si>
    <t>COMMENT</t>
  </si>
  <si>
    <t>Serial Capture</t>
  </si>
  <si>
    <t>Solar Roof Single</t>
  </si>
  <si>
    <t>Storage</t>
  </si>
  <si>
    <t>Wall Mount</t>
  </si>
  <si>
    <t>There is no data for the specified input</t>
  </si>
  <si>
    <t>Other</t>
  </si>
  <si>
    <t>TABLE</t>
  </si>
  <si>
    <t>facebook</t>
  </si>
  <si>
    <t>yesterday</t>
  </si>
  <si>
    <t>[{"profile_id":"","name":"si_Bird buddy Inc_US &amp;amp; CA_BirdBuddy","id":"act_273249767551281","account_name":"","advertiser_id":""}]</t>
  </si>
  <si>
    <t>[{"id":"spend","name":"Total Cost"}]</t>
  </si>
  <si>
    <t>Fence Mount</t>
  </si>
  <si>
    <t>[{"id":"date","name":"Date"}]</t>
  </si>
  <si>
    <t>[]</t>
  </si>
  <si>
    <t>Transactions</t>
  </si>
  <si>
    <t>{}</t>
  </si>
  <si>
    <t>User_Kumalic_Benjamin</t>
  </si>
  <si>
    <t>benjamin@mybirdbuddy.com</t>
  </si>
  <si>
    <t>4a0f150f4f2f4e4f85c890c75b7a1fa4</t>
  </si>
  <si>
    <t>Suet Ball Holder</t>
  </si>
  <si>
    <t>3-in-1 Nutrition Set</t>
  </si>
  <si>
    <t>FB (US &amp; CA)</t>
  </si>
  <si>
    <t>[{"account_name":"","advertiser_id":"","id":"act_273249767551281","profile_id":"","name":"si_Bird buddy Inc_US &amp;amp; CA_BirdBuddy"}]</t>
  </si>
  <si>
    <t>Bird Buddy Shipping</t>
  </si>
  <si>
    <t>adf57e64065742daa5b4161161b1c3ca</t>
  </si>
  <si>
    <t>Add-ons Shipping</t>
  </si>
  <si>
    <t>Inbound (NA)</t>
  </si>
  <si>
    <t>[{"name":"si_Bird buddy Inc_US &amp;amp; CA_BirdBuddy","id":"act_273249767551281","profile_id":"","account_name":"","advertiser_id":""}]</t>
  </si>
  <si>
    <t>[{"id":"spend","name":"Total Cost"},{"id":"cpm","name":"CPM"}]</t>
  </si>
  <si>
    <t>Inbound (Europe)</t>
  </si>
  <si>
    <t>Inbound (ROW)</t>
  </si>
  <si>
    <t>Outbound (NA)</t>
  </si>
  <si>
    <t>d70e473bcafe40a3aa834ce157fb2ba3</t>
  </si>
  <si>
    <t>Outbound (Europe)</t>
  </si>
  <si>
    <t>Outbound (ROW)</t>
  </si>
  <si>
    <t>Marketing Averages (per unit)</t>
  </si>
  <si>
    <t>Google</t>
  </si>
  <si>
    <t>VAT Averages</t>
  </si>
  <si>
    <t>[{"advertiser_id":"","name":"si_Bird buddy Inc_US &amp;amp; CA_BirdBuddy","id":"act_273249767551281","account_name":"","profile_id":""}]</t>
  </si>
  <si>
    <t>3753ddf3234e496aa261974a0222e193</t>
  </si>
  <si>
    <t>TikTok</t>
  </si>
  <si>
    <t>[{"profile_id":"","account_name":"","advertiser_id":"","name":"si_Bird buddy Inc_US &amp;amp; CA_BirdBuddy","id":"act_273249767551281"}]</t>
  </si>
  <si>
    <t>Europe</t>
  </si>
  <si>
    <t>{"exclude_header_row":true}</t>
  </si>
  <si>
    <t>Inbound Shipping</t>
  </si>
  <si>
    <t>ROW</t>
  </si>
  <si>
    <t>Outbound Shipping</t>
  </si>
  <si>
    <t>Bing</t>
  </si>
  <si>
    <t>NA</t>
  </si>
  <si>
    <t>Taxes and VAT</t>
  </si>
  <si>
    <t>China Tax (7.5%)</t>
  </si>
  <si>
    <t>Attachment Rates</t>
  </si>
  <si>
    <t>Duty (3.4%)</t>
  </si>
  <si>
    <t>MNTN TV</t>
  </si>
  <si>
    <t>Solar Roof</t>
  </si>
  <si>
    <t>Processing Fee (2,97%)</t>
  </si>
  <si>
    <t>Affiliates (Refersion)</t>
  </si>
  <si>
    <t>Transaction Fee ($0.36)</t>
  </si>
  <si>
    <t>FB (Internal Paid)</t>
  </si>
  <si>
    <t>3PL - Handling Fee</t>
  </si>
  <si>
    <t>3PL - Serial Capture</t>
  </si>
  <si>
    <t>3-in-1</t>
  </si>
  <si>
    <t>FB (EU &amp; UK)</t>
  </si>
  <si>
    <t>3PL - Storage Cost</t>
  </si>
  <si>
    <t>All</t>
  </si>
  <si>
    <t>Fees</t>
  </si>
  <si>
    <t>30 Day Returns</t>
  </si>
  <si>
    <t>Processing Fee</t>
  </si>
  <si>
    <t>Email</t>
  </si>
  <si>
    <t>US Shipping</t>
  </si>
  <si>
    <t>Duty</t>
  </si>
  <si>
    <t>EU Shipping</t>
  </si>
  <si>
    <t>China Tax</t>
  </si>
  <si>
    <t>ROW Shipping</t>
  </si>
  <si>
    <t>HMF</t>
  </si>
  <si>
    <t>Money Return</t>
  </si>
  <si>
    <t>MPF</t>
  </si>
  <si>
    <t>Solar Roof China Tax</t>
  </si>
  <si>
    <t>Solar Roof Duty</t>
  </si>
  <si>
    <t>Revenue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</si>
  <si>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</si>
  <si>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</si>
  <si>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</si>
  <si>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</si>
  <si>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</si>
  <si>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</si>
  <si>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</si>
  <si>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</si>
  <si>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</si>
  <si>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</si>
  <si>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Media Cost</t>
  </si>
  <si>
    <t>FB Spend (US &amp; CA)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</si>
  <si>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</si>
  <si>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</si>
  <si>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</si>
  <si>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</si>
  <si>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</si>
  <si>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</si>
  <si>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</si>
  <si>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</si>
  <si>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</si>
  <si>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</si>
  <si>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</si>
  <si>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</si>
  <si>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</si>
  <si>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</si>
  <si>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</si>
  <si>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Google Spend</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</si>
  <si>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</si>
  <si>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</si>
  <si>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</si>
  <si>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</si>
  <si>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</si>
  <si>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</si>
  <si>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</si>
  <si>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</si>
  <si>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</si>
  <si>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</si>
  <si>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</si>
  <si>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</si>
  <si>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</si>
  <si>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</si>
  <si>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</si>
  <si>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</si>
  <si>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</si>
  <si>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</si>
  <si>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</si>
  <si>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</si>
  <si>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</si>
  <si>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</si>
  <si>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</si>
  <si>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</si>
  <si>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</si>
  <si>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</si>
  <si>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</si>
  <si>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United States</t>
  </si>
  <si>
    <t>Product</t>
  </si>
  <si>
    <t>Hummingbird Feeder</t>
  </si>
  <si>
    <t>Perch Extender</t>
  </si>
  <si>
    <t>Pole System</t>
  </si>
  <si>
    <t>Category</t>
  </si>
  <si>
    <t>Bird Feeder</t>
  </si>
  <si>
    <t>TikTok Spend</t>
  </si>
  <si>
    <t>Add-on</t>
  </si>
  <si>
    <t>Created successfully</t>
  </si>
  <si>
    <t>SHP</t>
  </si>
  <si>
    <t>thismonth</t>
  </si>
  <si>
    <t>["gid://shopify/Shop/55807180983`Bird Buddy"]</t>
  </si>
  <si>
    <t>["gross_sales","returns","shipping","tax","total_sales","sm_order_count"]</t>
  </si>
  <si>
    <t>["date"]</t>
  </si>
  <si>
    <t>Owner</t>
  </si>
  <si>
    <t>["METRICS_IN_ROWS","MULTILEVEL_COL_HEADERS"]</t>
  </si>
  <si>
    <t>Nick Koukourakis</t>
  </si>
  <si>
    <t>Controller #1</t>
  </si>
  <si>
    <t>Diana Spiewak</t>
  </si>
  <si>
    <t>Shopify 1'!A1:AB7</t>
  </si>
  <si>
    <t>gid://shopify/Shop/55807180983</t>
  </si>
  <si>
    <t>Controller #2</t>
  </si>
  <si>
    <t>Eric Malkowski</t>
  </si>
  <si>
    <t>Batch</t>
  </si>
  <si>
    <t>Batch Timeline</t>
  </si>
  <si>
    <t>April - November</t>
  </si>
  <si>
    <t>Bing Spend</t>
  </si>
  <si>
    <t>Chip</t>
  </si>
  <si>
    <t>Other Component</t>
  </si>
  <si>
    <t>BOM Margin</t>
  </si>
  <si>
    <t>Packaging and Accessories</t>
  </si>
  <si>
    <t>Package Margin</t>
  </si>
  <si>
    <t>Total Product Cost</t>
  </si>
  <si>
    <t>Fee 15% Purchase (Backerkit)</t>
  </si>
  <si>
    <t>Finance fee</t>
  </si>
  <si>
    <t>PPV cost component</t>
  </si>
  <si>
    <t>BOM Margin (%)</t>
  </si>
  <si>
    <t>Google Management Fee</t>
  </si>
  <si>
    <t>Package Margin (%)</t>
  </si>
  <si>
    <t>Affiliates Agency Payment (Grovia)</t>
  </si>
  <si>
    <t>Duty Rate</t>
  </si>
  <si>
    <t>Affiliate Fee 20% (Grovia)</t>
  </si>
  <si>
    <t>Tarrif Rate</t>
  </si>
  <si>
    <t>FB Spend (Internal Paid)</t>
  </si>
  <si>
    <t>Total Port Cost</t>
  </si>
  <si>
    <t>FB Spend (EU &amp; UK)</t>
  </si>
  <si>
    <t>Duty Rate (%)</t>
  </si>
  <si>
    <t>Pinterest Spend</t>
  </si>
  <si>
    <t>Tarrif Rate (%)</t>
  </si>
  <si>
    <t>HMF (%)</t>
  </si>
  <si>
    <t>Platform Fee (6,90%)</t>
  </si>
  <si>
    <t>MPF (%)</t>
  </si>
  <si>
    <t>Total Cost</t>
  </si>
  <si>
    <t>Judy Stanis</t>
  </si>
  <si>
    <t>Cost</t>
  </si>
  <si>
    <t>Average COGS ($88.77)</t>
  </si>
  <si>
    <t>Air Freight</t>
  </si>
  <si>
    <t>Fast Ocean</t>
  </si>
  <si>
    <t>Ocean</t>
  </si>
  <si>
    <t>Total Inbound Cost</t>
  </si>
  <si>
    <t>Air Freight (%)</t>
  </si>
  <si>
    <t>Fast Ocean (%)</t>
  </si>
  <si>
    <t>Ocean (%)</t>
  </si>
  <si>
    <t>Average Inbound Shipping ($8.63)</t>
  </si>
  <si>
    <t>Remzo Hotić</t>
  </si>
  <si>
    <t>Customs and Duty</t>
  </si>
  <si>
    <t>Supplies Cost</t>
  </si>
  <si>
    <t>Pick Charge</t>
  </si>
  <si>
    <t>Pallet Cost</t>
  </si>
  <si>
    <t>Average Outbound Shipping ($11.59)</t>
  </si>
  <si>
    <t>PollyBag Cost</t>
  </si>
  <si>
    <t>Carton Cost</t>
  </si>
  <si>
    <t>VAS</t>
  </si>
  <si>
    <t>Storage Cost</t>
  </si>
  <si>
    <t>Total Outbound Cost</t>
  </si>
  <si>
    <t>80 units per pallet</t>
  </si>
  <si>
    <t>720 per pallet</t>
  </si>
  <si>
    <t>450 per pallet</t>
  </si>
  <si>
    <t>2940 per pallet</t>
  </si>
  <si>
    <t>640 per pallet</t>
  </si>
  <si>
    <t>Average Taxes ($10.89)</t>
  </si>
  <si>
    <t>Handling Fee ($1.50)</t>
  </si>
  <si>
    <t>Canada</t>
  </si>
  <si>
    <t>Serial Capture ($0.30)</t>
  </si>
  <si>
    <t>Partial Profit</t>
  </si>
  <si>
    <t>Performance Facebook US &amp; CA</t>
  </si>
  <si>
    <t>PROFIT</t>
  </si>
  <si>
    <t>Price</t>
  </si>
  <si>
    <t>Shipping</t>
  </si>
  <si>
    <t>Tax</t>
  </si>
  <si>
    <t>Total</t>
  </si>
  <si>
    <t>ROAS</t>
  </si>
  <si>
    <t>CPO</t>
  </si>
  <si>
    <t>MER</t>
  </si>
  <si>
    <t>Performance Google</t>
  </si>
  <si>
    <t>Performance TikTok</t>
  </si>
  <si>
    <t>Performance Bing</t>
  </si>
  <si>
    <t>Affiliates (Grovia)</t>
  </si>
  <si>
    <t>Performance Internal Paid</t>
  </si>
  <si>
    <t>Performance EU &amp; UK</t>
  </si>
  <si>
    <t>Performance Email</t>
  </si>
  <si>
    <t>Revenue Shopify (Platform)</t>
  </si>
  <si>
    <t>Revenue - All</t>
  </si>
  <si>
    <t>Transactions Shopify (Platform)</t>
  </si>
  <si>
    <t>Transactions - All</t>
  </si>
  <si>
    <t>Shopify Platform</t>
  </si>
  <si>
    <t>Revenue Shopify (gross)</t>
  </si>
  <si>
    <t>Discounts</t>
  </si>
  <si>
    <t>Shipping Shopify</t>
  </si>
  <si>
    <t>Tax Shopify</t>
  </si>
  <si>
    <t>All Shopify</t>
  </si>
  <si>
    <t>Revenue &amp; Transactions (Platform) - ALL</t>
  </si>
  <si>
    <t>Units Sold (Gross)</t>
  </si>
  <si>
    <t>All Bird Buddy</t>
  </si>
  <si>
    <t>Premium Subscription</t>
  </si>
  <si>
    <t>Seeds Subscription</t>
  </si>
  <si>
    <t>12-month Extended Warranty</t>
  </si>
  <si>
    <t>24-month No Questions Asked Warranty</t>
  </si>
  <si>
    <t>Gift Cards</t>
  </si>
  <si>
    <t>First-time Customers</t>
  </si>
  <si>
    <t>Returning Customers</t>
  </si>
  <si>
    <t>Units Sold (Net)</t>
  </si>
  <si>
    <t>Units Sold by country (Gross)</t>
  </si>
  <si>
    <t>Bird Buddy - NA (United States + Canada)</t>
  </si>
  <si>
    <t>Bird Buddy with Solar Roof- NA (United States + Canada)</t>
  </si>
  <si>
    <t>Bird Buddy - Europe (EU, UK, NOR, SWI)</t>
  </si>
  <si>
    <t>Bird Buddy with Solar Roof - Europe (EU, UK, NOR, SWI)</t>
  </si>
  <si>
    <t>Bird Buddy - ROW</t>
  </si>
  <si>
    <t>Bird Buddy with Solar Roof - ROW</t>
  </si>
  <si>
    <t>All Bird Buddy with Solar Roof</t>
  </si>
  <si>
    <t>Wall Mount - NA</t>
  </si>
  <si>
    <t>Fence Mount - NA</t>
  </si>
  <si>
    <t>Suet Ball Holder - NA</t>
  </si>
  <si>
    <t>3-in-1 Nutrition Set - NA</t>
  </si>
  <si>
    <t>Solar Roof Single - NA</t>
  </si>
  <si>
    <t>All NA</t>
  </si>
  <si>
    <t>Wall Mount - Europe</t>
  </si>
  <si>
    <t>Fence Mount - Europe</t>
  </si>
  <si>
    <t>Suet Ball Holder - Europe</t>
  </si>
  <si>
    <t>3-in-1 Nutrition Set - Europe</t>
  </si>
  <si>
    <t>Solar Roof Single - Europe</t>
  </si>
  <si>
    <t>All Europe</t>
  </si>
  <si>
    <t>Wall Mount - ROW</t>
  </si>
  <si>
    <t>Fence Mount - ROW</t>
  </si>
  <si>
    <t>Suet Ball Holder - ROW</t>
  </si>
  <si>
    <t>3-in-1 Nutrition Set - ROW</t>
  </si>
  <si>
    <t>Solar Roof Single - ROW</t>
  </si>
  <si>
    <t>All ROW</t>
  </si>
  <si>
    <t>Revenue by country (Gross)</t>
  </si>
  <si>
    <t>All Solar Roof</t>
  </si>
  <si>
    <t>Premium Subscription - WW</t>
  </si>
  <si>
    <t>Seeds Subscription - WW</t>
  </si>
  <si>
    <t>Gift Card</t>
  </si>
  <si>
    <t>ALL</t>
  </si>
  <si>
    <t xml:space="preserve"> </t>
  </si>
  <si>
    <t>Units Refunded by country (Gross)</t>
  </si>
  <si>
    <t>Units Returned by country (Gross)</t>
  </si>
  <si>
    <t>Orders Returned NA</t>
  </si>
  <si>
    <t>Orders Returned EU</t>
  </si>
  <si>
    <t>Orders Returned ROW</t>
  </si>
  <si>
    <t>Money Refunded by country (Gross)</t>
  </si>
  <si>
    <t>Hardware - NA</t>
  </si>
  <si>
    <t>Shipping - NA</t>
  </si>
  <si>
    <t>Taxes - NA</t>
  </si>
  <si>
    <t>Hardware - Europe</t>
  </si>
  <si>
    <t>Shipping - Europe</t>
  </si>
  <si>
    <t xml:space="preserve">VAT - Europe </t>
  </si>
  <si>
    <t>Hardware - ROW</t>
  </si>
  <si>
    <t>Shipping - ROW</t>
  </si>
  <si>
    <t>Taxes - ROW</t>
  </si>
  <si>
    <t>Money Returned by country (Gross)</t>
  </si>
  <si>
    <t>Replacement Units &amp; Claims by country</t>
  </si>
  <si>
    <t>Returns</t>
  </si>
  <si>
    <t>Refunds</t>
  </si>
  <si>
    <t>Sales Margin %</t>
  </si>
  <si>
    <t>Units Sold by country (Net)</t>
  </si>
  <si>
    <t>Media Spend</t>
  </si>
  <si>
    <t>Media Fees</t>
  </si>
  <si>
    <t>COGS Bird Buddy ($70.53)</t>
  </si>
  <si>
    <t>Bird Buddy China Tax (7.5%)</t>
  </si>
  <si>
    <t>COGS Bird Buddy with Solar Roof ($80.08)</t>
  </si>
  <si>
    <t>Bird Buddy with Solar Roof China Tax (7.5%)</t>
  </si>
  <si>
    <t>COGS Fence Mount ($6.37)</t>
  </si>
  <si>
    <t>Fence Mount China Tax (7.5%)</t>
  </si>
  <si>
    <t>Fence Mount Duty (3.4%)</t>
  </si>
  <si>
    <t>COGS Wall Mount ($4.93)</t>
  </si>
  <si>
    <t>Wall Mount China Tax (7.5%)</t>
  </si>
  <si>
    <t>Wall Mount Duty (3.4%)</t>
  </si>
  <si>
    <t>COGS Suet Ball ($1.07)</t>
  </si>
  <si>
    <t>Suet Ball China Tax (7.5%)</t>
  </si>
  <si>
    <t>Suet Ball Duty (3.4%)</t>
  </si>
  <si>
    <t>COGS 3-in-1 Nutrition Set ($6.08)</t>
  </si>
  <si>
    <t>Water Fountain China Tax (7.5%)</t>
  </si>
  <si>
    <t>Water Fountain Duty (3.4%)</t>
  </si>
  <si>
    <t>COGS Solar Roof Single ($9.98)</t>
  </si>
  <si>
    <t>Solar Roof Single China Tax (25%)</t>
  </si>
  <si>
    <t>Solar Roof Single Duty (2.5%)</t>
  </si>
  <si>
    <t>Harbor Maintenance Fees (0.125%)</t>
  </si>
  <si>
    <t>Merchandise Processing Fees (0.3464%)*</t>
  </si>
  <si>
    <t>Inbound Shipping BB units</t>
  </si>
  <si>
    <t>Outbound Shipping BB units</t>
  </si>
  <si>
    <t>Inbound Shipping Add-ons</t>
  </si>
  <si>
    <t>Outbound Shipping Add-ons</t>
  </si>
  <si>
    <t>(All sales) US VAT (Shopify)</t>
  </si>
  <si>
    <t>(All sales) Europe VAT (EU, UK, NOR, SWI) - 22%</t>
  </si>
  <si>
    <t>(All sales) Rest of World VAT - 13%</t>
  </si>
  <si>
    <t xml:space="preserve">Returns </t>
  </si>
  <si>
    <t>Returns Shipping ($10)</t>
  </si>
  <si>
    <t>Chargebacks</t>
  </si>
  <si>
    <t>3PL Handling Fee ($1.5)</t>
  </si>
  <si>
    <t>3PL Serial Capture ($0.3)</t>
  </si>
  <si>
    <t>3PL Storage Cost ($0.31 per unit)</t>
  </si>
  <si>
    <t>Replacements and Claims separate costs</t>
  </si>
  <si>
    <t>COGS Bird Buddy ($82.52)</t>
  </si>
  <si>
    <t>COGS Bird Buddy with Solar Roof ($88.59)</t>
  </si>
  <si>
    <t>COGS Wall Mount ($4.73)</t>
  </si>
  <si>
    <t>COGS Suet Ball ($0.88)</t>
  </si>
  <si>
    <t>COGS Water Fountain ($5.00)</t>
  </si>
  <si>
    <t>Weekend Work</t>
  </si>
  <si>
    <t>Peco</t>
  </si>
  <si>
    <t>Gaja</t>
  </si>
  <si>
    <t>COGS Solar Roof Single ($11.01)</t>
  </si>
  <si>
    <t>Fathers Day</t>
  </si>
  <si>
    <t>Summer Sales</t>
  </si>
  <si>
    <t>Shipping Now Test</t>
  </si>
  <si>
    <t>Payment providers stop working</t>
  </si>
  <si>
    <t>WooCommerce switch at 18:24, last Shopify order #183523</t>
  </si>
  <si>
    <t>Shopify</t>
  </si>
  <si>
    <t>Total Revenue</t>
  </si>
  <si>
    <t>Orders</t>
  </si>
  <si>
    <t>FB - US &amp; CA</t>
  </si>
  <si>
    <t>Google - WW</t>
  </si>
  <si>
    <t>Bing - WW</t>
  </si>
  <si>
    <t>TikTok - US &amp; CA</t>
  </si>
  <si>
    <t>Affiliate Fees - US</t>
  </si>
  <si>
    <t>Total Spend</t>
  </si>
  <si>
    <t>Spend per Unit</t>
  </si>
  <si>
    <t>CR</t>
  </si>
  <si>
    <t>AOV</t>
  </si>
  <si>
    <t>fAOV</t>
  </si>
  <si>
    <t>rAOV</t>
  </si>
  <si>
    <t>Customers</t>
  </si>
  <si>
    <t>Returning</t>
  </si>
  <si>
    <t>First-time</t>
  </si>
  <si>
    <t>Post-purchase Survey</t>
  </si>
  <si>
    <t>Facebook / Instagram</t>
  </si>
  <si>
    <t>Friends / Family</t>
  </si>
  <si>
    <t>Google, Youtube</t>
  </si>
  <si>
    <t>Yahoo, Bing</t>
  </si>
  <si>
    <t>TV / Radio</t>
  </si>
  <si>
    <t>Blog / Article</t>
  </si>
  <si>
    <t>Reddit</t>
  </si>
  <si>
    <t>Goal</t>
  </si>
  <si>
    <t>% of Goal</t>
  </si>
  <si>
    <t>Spend</t>
  </si>
  <si>
    <t>Units Sold</t>
  </si>
  <si>
    <t>CAC per Unit</t>
  </si>
  <si>
    <t>First-time customers</t>
  </si>
  <si>
    <t>Returning customers</t>
  </si>
  <si>
    <t>Sales Margin</t>
  </si>
  <si>
    <t>Daily Sales Margin %</t>
  </si>
  <si>
    <t>Daily NET ROAS</t>
  </si>
  <si>
    <t>Daily ROAS</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</si>
</sst>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d/yyyy"/>
    <numFmt numFmtId="165" formatCode="_(&quot;$&quot;* #,##0.00_);_(&quot;$&quot;* \(#,##0.00\);_(&quot;$&quot;* &quot;-&quot;??_);_(@_)"/>
    <numFmt numFmtId="166" formatCode="&quot;$&quot;#,##0.00"/>
    <numFmt numFmtId="167" formatCode="yyyy-mm-dd"/>
    <numFmt numFmtId="168" formatCode="yyyy-mm-dd h:mm:ss"/>
    <numFmt numFmtId="169" formatCode="&quot;$&quot;#,##0"/>
    <numFmt numFmtId="170" formatCode="0.000%"/>
    <numFmt numFmtId="171" formatCode="0.0000%"/>
    <numFmt numFmtId="172" formatCode="_-[$$-409]* #,##0.00_ ;_-[$$-409]* \-#,##0.00\ ;_-[$$-409]* &quot;-&quot;??_ ;_-@_ "/>
    <numFmt numFmtId="173" formatCode="_-&quot;€&quot;* #,##0.00_-;\-&quot;€&quot;* #,##0.00_-;_-&quot;€&quot;* &quot;-&quot;??_-;_-@"/>
    <numFmt numFmtId="174" formatCode="_-[$€-2]\ * #,##0.00_-;\-[$€-2]\ * #,##0.00_-;_-[$€-2]\ * &quot;-&quot;??_-;_-@"/>
    <numFmt numFmtId="175" formatCode="&quot;$&quot;#,##0.000"/>
    <numFmt numFmtId="176" formatCode="mmmm yyyy"/>
    <numFmt numFmtId="177" formatCode="mmm yyyy"/>
    <numFmt numFmtId="178" formatCode="_([$€-2]\ * #,##0.00_);_([$€-2]\ * \(#,##0.00\);_([$€-2]\ * &quot;-&quot;??_);_(@_)"/>
  </numFmts>
  <fonts count="42">
    <font>
      <sz val="10.0"/>
      <color rgb="FF000000"/>
      <name val="Arial"/>
      <scheme val="minor"/>
    </font>
    <font>
      <color theme="1"/>
      <name val="Arial"/>
      <scheme val="minor"/>
    </font>
    <font>
      <sz val="12.0"/>
      <color rgb="FFFFFFFF"/>
      <name val="Arial"/>
    </font>
    <font>
      <color rgb="FF000000"/>
      <name val="Arial"/>
      <scheme val="minor"/>
    </font>
    <font>
      <color theme="0"/>
      <name val="Arial"/>
      <scheme val="minor"/>
    </font>
    <font>
      <sz val="12.0"/>
      <color theme="1"/>
      <name val="Arial"/>
    </font>
    <font>
      <u/>
      <color rgb="FF0000FF"/>
    </font>
    <font>
      <color rgb="FFFFFFFF"/>
      <name val="Arial"/>
      <scheme val="minor"/>
    </font>
    <font>
      <u/>
      <color rgb="FF0000FF"/>
    </font>
    <font>
      <b/>
      <i/>
      <sz val="12.0"/>
      <color theme="1"/>
      <name val="Arial"/>
    </font>
    <font>
      <i/>
      <sz val="12.0"/>
      <color theme="1"/>
      <name val="Arial"/>
    </font>
    <font>
      <b/>
      <sz val="12.0"/>
      <color theme="1"/>
      <name val="Arial"/>
    </font>
    <font>
      <b/>
      <sz val="20.0"/>
      <color theme="1"/>
      <name val="Arial"/>
      <scheme val="minor"/>
    </font>
    <font>
      <color rgb="FFEEEEEE"/>
      <name val="Arial"/>
      <scheme val="minor"/>
    </font>
    <font>
      <b/>
      <color theme="1"/>
      <name val="Arial"/>
      <scheme val="minor"/>
    </font>
    <font>
      <u/>
      <color rgb="FF0000FF"/>
    </font>
    <font>
      <sz val="12.0"/>
      <color theme="1"/>
      <name val="Calibri"/>
    </font>
    <font>
      <color theme="1"/>
      <name val="Arial"/>
    </font>
    <font>
      <sz val="12.0"/>
      <color rgb="FFA5A5A5"/>
      <name val="Arial"/>
    </font>
    <font>
      <sz val="12.0"/>
      <color rgb="FF000000"/>
      <name val="Arial"/>
    </font>
    <font>
      <sz val="12.0"/>
      <color rgb="FF999999"/>
      <name val="Arial"/>
    </font>
    <font>
      <i/>
      <color theme="1"/>
      <name val="Arial"/>
    </font>
    <font>
      <sz val="11.0"/>
      <color rgb="FF1F2124"/>
      <name val="-apple-system"/>
    </font>
    <font>
      <sz val="12.0"/>
      <color rgb="FF202223"/>
      <name val="Arial"/>
    </font>
    <font>
      <b/>
      <i/>
      <sz val="12.0"/>
      <color rgb="FF000000"/>
      <name val="Arial"/>
    </font>
    <font>
      <sz val="12.0"/>
      <color theme="1"/>
      <name val="Arial"/>
      <scheme val="minor"/>
    </font>
    <font>
      <sz val="11.0"/>
      <color rgb="FF202223"/>
      <name val="Arial"/>
    </font>
    <font>
      <sz val="12.0"/>
      <color rgb="FF202223"/>
      <name val="Arial"/>
      <scheme val="minor"/>
    </font>
    <font>
      <sz val="11.0"/>
      <color rgb="FF202223"/>
      <name val="-apple-system"/>
    </font>
    <font>
      <sz val="13.0"/>
      <color theme="1"/>
      <name val="Arial"/>
    </font>
    <font>
      <sz val="12.0"/>
      <color rgb="FF000000"/>
      <name val="Inherit"/>
    </font>
    <font>
      <sz val="13.0"/>
      <color theme="1"/>
      <name val="Arial"/>
      <scheme val="minor"/>
    </font>
    <font>
      <sz val="12.0"/>
      <color rgb="FFFFFF00"/>
      <name val="Arial"/>
    </font>
    <font>
      <sz val="10.0"/>
      <color rgb="FF202223"/>
      <name val="Arial"/>
      <scheme val="minor"/>
    </font>
    <font>
      <color theme="1"/>
      <name val="Google Sans"/>
    </font>
    <font>
      <sz val="10.0"/>
      <color theme="1"/>
      <name val="Arial"/>
      <scheme val="minor"/>
    </font>
    <font>
      <sz val="10.0"/>
      <color rgb="FF3B3B3B"/>
      <name val="Arial"/>
    </font>
    <font>
      <sz val="10.0"/>
      <color rgb="FF212B36"/>
      <name val="-apple-system"/>
    </font>
    <font>
      <color rgb="FFD9D9D9"/>
      <name val="Arial"/>
      <scheme val="minor"/>
    </font>
    <font>
      <sz val="8.0"/>
      <color rgb="FF333333"/>
      <name val="Latoregular"/>
    </font>
    <font>
      <sz val="12.0"/>
      <color rgb="FFAEABAB"/>
      <name val="Arial"/>
    </font>
    <font>
      <sz val="12.0"/>
      <color rgb="FF006100"/>
      <name val="Arial"/>
    </font>
  </fonts>
  <fills count="71">
    <fill>
      <patternFill patternType="none"/>
    </fill>
    <fill>
      <patternFill patternType="lightGray"/>
    </fill>
    <fill>
      <patternFill patternType="solid">
        <fgColor rgb="FF1F3864"/>
        <bgColor rgb="FF1F3864"/>
      </patternFill>
    </fill>
    <fill>
      <patternFill patternType="solid">
        <fgColor rgb="FF9CC2E5"/>
        <bgColor rgb="FF9CC2E5"/>
      </patternFill>
    </fill>
    <fill>
      <patternFill patternType="solid">
        <fgColor rgb="FFFFFFFF"/>
        <bgColor rgb="FFFFFFFF"/>
      </patternFill>
    </fill>
    <fill>
      <patternFill patternType="solid">
        <fgColor rgb="FF4A86E8"/>
        <bgColor rgb="FF4A86E8"/>
      </patternFill>
    </fill>
    <fill>
      <patternFill patternType="solid">
        <fgColor rgb="FF2F5496"/>
        <bgColor rgb="FF2F5496"/>
      </patternFill>
    </fill>
    <fill>
      <patternFill patternType="solid">
        <fgColor rgb="FF8EAADB"/>
        <bgColor rgb="FF8EAADB"/>
      </patternFill>
    </fill>
    <fill>
      <patternFill patternType="solid">
        <fgColor rgb="FFFFFF00"/>
        <bgColor rgb="FFFFFF00"/>
      </patternFill>
    </fill>
    <fill>
      <patternFill patternType="solid">
        <fgColor rgb="FFEFEFEF"/>
        <bgColor rgb="FFEFEFEF"/>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D9D9D9"/>
        <bgColor rgb="FFD9D9D9"/>
      </patternFill>
    </fill>
    <fill>
      <patternFill patternType="solid">
        <fgColor rgb="FFA8D08D"/>
        <bgColor rgb="FFA8D08D"/>
      </patternFill>
    </fill>
    <fill>
      <patternFill patternType="solid">
        <fgColor rgb="FFCCCCCC"/>
        <bgColor rgb="FFCCCCCC"/>
      </patternFill>
    </fill>
    <fill>
      <patternFill patternType="solid">
        <fgColor rgb="FFC9DAF8"/>
        <bgColor rgb="FFC9DAF8"/>
      </patternFill>
    </fill>
    <fill>
      <patternFill patternType="solid">
        <fgColor rgb="FFFF7E79"/>
        <bgColor rgb="FFFF7E79"/>
      </patternFill>
    </fill>
    <fill>
      <patternFill patternType="solid">
        <fgColor rgb="FFB45F06"/>
        <bgColor rgb="FFB45F06"/>
      </patternFill>
    </fill>
    <fill>
      <patternFill patternType="solid">
        <fgColor rgb="FFA4C2F4"/>
        <bgColor rgb="FFA4C2F4"/>
      </patternFill>
    </fill>
    <fill>
      <patternFill patternType="solid">
        <fgColor rgb="FFF3F3F3"/>
        <bgColor rgb="FFF3F3F3"/>
      </patternFill>
    </fill>
    <fill>
      <patternFill patternType="solid">
        <fgColor rgb="FF999999"/>
        <bgColor rgb="FF999999"/>
      </patternFill>
    </fill>
    <fill>
      <patternFill patternType="solid">
        <fgColor theme="0"/>
        <bgColor theme="0"/>
      </patternFill>
    </fill>
    <fill>
      <patternFill patternType="solid">
        <fgColor rgb="FFBFBFBF"/>
        <bgColor rgb="FFBFBFBF"/>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3F3F3F"/>
        <bgColor rgb="FF3F3F3F"/>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FEF2CB"/>
        <bgColor rgb="FFFEF2CB"/>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000000"/>
        <bgColor rgb="FF000000"/>
      </patternFill>
    </fill>
    <fill>
      <patternFill patternType="solid">
        <fgColor rgb="FFB6D7A8"/>
        <bgColor rgb="FFB6D7A8"/>
      </patternFill>
    </fill>
    <fill>
      <patternFill patternType="solid">
        <fgColor rgb="FFC6EFCE"/>
        <bgColor rgb="FFC6EFCE"/>
      </patternFill>
    </fill>
    <fill>
      <patternFill patternType="solid">
        <fgColor rgb="FFDADADA"/>
        <bgColor rgb="FFDADADA"/>
      </patternFill>
    </fill>
  </fills>
  <borders count="7">
    <border/>
    <border>
      <right style="thin">
        <color rgb="FF000000"/>
      </right>
    </border>
    <border>
      <left style="thin">
        <color rgb="FF000000"/>
      </left>
    </border>
    <border>
      <bottom style="thin">
        <color rgb="FF000000"/>
      </bottom>
    </border>
    <border>
      <right style="thin">
        <color rgb="FF000000"/>
      </right>
      <bottom style="thin">
        <color rgb="FF000000"/>
      </bottom>
    </border>
    <border>
      <top style="thin">
        <color rgb="FF000000"/>
      </top>
    </border>
    <border>
      <top style="thin">
        <color rgb="FFDCDBDC"/>
      </top>
      <bottom style="thin">
        <color rgb="FFDCDBDC"/>
      </bottom>
    </border>
  </borders>
  <cellStyleXfs count="1">
    <xf borderId="0" fillId="0" fontId="0" numFmtId="0" applyAlignment="1" applyFont="1"/>
  </cellStyleXfs>
  <cellXfs count="38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2" fontId="2" numFmtId="164" xfId="0" applyAlignment="1" applyFont="1" applyNumberFormat="1">
      <alignment horizontal="center" readingOrder="0" vertical="bottom"/>
    </xf>
    <xf borderId="0" fillId="3" fontId="1" numFmtId="0" xfId="0" applyAlignment="1" applyFill="1" applyFont="1">
      <alignment horizontal="center" readingOrder="0"/>
    </xf>
    <xf borderId="0" fillId="4" fontId="3" numFmtId="0" xfId="0" applyFill="1" applyFont="1"/>
    <xf borderId="0" fillId="5" fontId="4" numFmtId="0" xfId="0" applyAlignment="1" applyFill="1" applyFont="1">
      <alignment readingOrder="0"/>
    </xf>
    <xf borderId="2" fillId="0" fontId="5" numFmtId="0" xfId="0" applyAlignment="1" applyBorder="1" applyFont="1">
      <alignment vertical="bottom"/>
    </xf>
    <xf borderId="1" fillId="6" fontId="2" numFmtId="0" xfId="0" applyAlignment="1" applyBorder="1" applyFill="1" applyFont="1">
      <alignment readingOrder="0" vertical="bottom"/>
    </xf>
    <xf borderId="0" fillId="6" fontId="2" numFmtId="0" xfId="0" applyAlignment="1" applyFont="1">
      <alignment horizontal="center" readingOrder="0" vertical="bottom"/>
    </xf>
    <xf borderId="0" fillId="4" fontId="6" numFmtId="0" xfId="0" applyAlignment="1" applyFont="1">
      <alignment horizontal="left" readingOrder="0"/>
    </xf>
    <xf borderId="0" fillId="5" fontId="7" numFmtId="0" xfId="0" applyAlignment="1" applyFont="1">
      <alignment readingOrder="0"/>
    </xf>
    <xf borderId="0" fillId="4" fontId="3" numFmtId="165" xfId="0" applyAlignment="1" applyFont="1" applyNumberFormat="1">
      <alignment readingOrder="0"/>
    </xf>
    <xf borderId="0" fillId="4" fontId="3" numFmtId="0" xfId="0" applyAlignment="1" applyFont="1">
      <alignment readingOrder="0"/>
    </xf>
    <xf borderId="0" fillId="0" fontId="1" numFmtId="166" xfId="0" applyAlignment="1" applyFont="1" applyNumberFormat="1">
      <alignment readingOrder="0"/>
    </xf>
    <xf borderId="1" fillId="7" fontId="2" numFmtId="0" xfId="0" applyAlignment="1" applyBorder="1" applyFill="1" applyFont="1">
      <alignment readingOrder="0" vertical="bottom"/>
    </xf>
    <xf borderId="0" fillId="0" fontId="5" numFmtId="0" xfId="0" applyAlignment="1" applyFont="1">
      <alignment vertical="bottom"/>
    </xf>
    <xf borderId="0" fillId="4" fontId="3" numFmtId="167" xfId="0" applyAlignment="1" applyFont="1" applyNumberFormat="1">
      <alignment readingOrder="0"/>
    </xf>
    <xf borderId="0" fillId="8" fontId="1" numFmtId="166" xfId="0" applyAlignment="1" applyFill="1" applyFont="1" applyNumberFormat="1">
      <alignment readingOrder="0"/>
    </xf>
    <xf borderId="0" fillId="0" fontId="1" numFmtId="168" xfId="0" applyAlignment="1" applyFont="1" applyNumberFormat="1">
      <alignment readingOrder="0"/>
    </xf>
    <xf borderId="0" fillId="0" fontId="1" numFmtId="0" xfId="0" applyAlignment="1" applyFont="1">
      <alignment readingOrder="0"/>
    </xf>
    <xf borderId="0" fillId="9" fontId="1" numFmtId="166" xfId="0" applyAlignment="1" applyFill="1" applyFont="1" applyNumberFormat="1">
      <alignment readingOrder="0"/>
    </xf>
    <xf borderId="0" fillId="0" fontId="5" numFmtId="0" xfId="0" applyAlignment="1" applyFont="1">
      <alignment readingOrder="0" vertical="bottom"/>
    </xf>
    <xf borderId="1" fillId="10" fontId="5" numFmtId="0" xfId="0" applyAlignment="1" applyBorder="1" applyFill="1" applyFont="1">
      <alignment readingOrder="0" vertical="bottom"/>
    </xf>
    <xf borderId="0" fillId="4" fontId="1" numFmtId="0" xfId="0" applyAlignment="1" applyFont="1">
      <alignment horizontal="left" readingOrder="0"/>
    </xf>
    <xf borderId="0" fillId="0" fontId="1" numFmtId="167" xfId="0" applyAlignment="1" applyFont="1" applyNumberFormat="1">
      <alignment readingOrder="0"/>
    </xf>
    <xf borderId="1" fillId="0" fontId="5" numFmtId="0" xfId="0" applyAlignment="1" applyBorder="1" applyFont="1">
      <alignment vertical="bottom"/>
    </xf>
    <xf borderId="2" fillId="11" fontId="5" numFmtId="0" xfId="0" applyAlignment="1" applyBorder="1" applyFill="1" applyFont="1">
      <alignment horizontal="right" readingOrder="0" vertical="bottom"/>
    </xf>
    <xf borderId="0" fillId="11" fontId="5" numFmtId="0" xfId="0" applyAlignment="1" applyFont="1">
      <alignment horizontal="right" readingOrder="0" vertical="bottom"/>
    </xf>
    <xf borderId="0" fillId="0" fontId="8" numFmtId="0" xfId="0" applyAlignment="1" applyFont="1">
      <alignment readingOrder="0"/>
    </xf>
    <xf borderId="0" fillId="11" fontId="5" numFmtId="0" xfId="0" applyAlignment="1" applyFont="1">
      <alignment readingOrder="0" vertical="bottom"/>
    </xf>
    <xf borderId="0" fillId="8" fontId="5" numFmtId="0" xfId="0" applyAlignment="1" applyFont="1">
      <alignment readingOrder="0" vertical="bottom"/>
    </xf>
    <xf borderId="2" fillId="0" fontId="9" numFmtId="0" xfId="0" applyAlignment="1" applyBorder="1" applyFont="1">
      <alignment horizontal="right" vertical="bottom"/>
    </xf>
    <xf borderId="1" fillId="0" fontId="5" numFmtId="0" xfId="0" applyAlignment="1" applyBorder="1" applyFont="1">
      <alignment readingOrder="0" vertical="bottom"/>
    </xf>
    <xf borderId="0" fillId="0" fontId="1" numFmtId="10" xfId="0" applyAlignment="1" applyFont="1" applyNumberFormat="1">
      <alignment readingOrder="0"/>
    </xf>
    <xf borderId="0" fillId="8" fontId="5" numFmtId="0" xfId="0" applyAlignment="1" applyFont="1">
      <alignment horizontal="right" readingOrder="0" vertical="bottom"/>
    </xf>
    <xf borderId="0" fillId="0" fontId="1" numFmtId="166" xfId="0" applyFont="1" applyNumberFormat="1"/>
    <xf borderId="0" fillId="12" fontId="5" numFmtId="0" xfId="0" applyAlignment="1" applyFill="1" applyFont="1">
      <alignment horizontal="right" readingOrder="0" vertical="bottom"/>
    </xf>
    <xf borderId="0" fillId="0" fontId="1" numFmtId="10" xfId="0" applyFont="1" applyNumberFormat="1"/>
    <xf borderId="2" fillId="0" fontId="10" numFmtId="0" xfId="0" applyAlignment="1" applyBorder="1" applyFont="1">
      <alignment horizontal="right" vertical="bottom"/>
    </xf>
    <xf borderId="0" fillId="13" fontId="5" numFmtId="0" xfId="0" applyAlignment="1" applyFill="1" applyFont="1">
      <alignment horizontal="right" readingOrder="0" vertical="bottom"/>
    </xf>
    <xf borderId="0" fillId="12" fontId="5" numFmtId="1" xfId="0" applyAlignment="1" applyFont="1" applyNumberFormat="1">
      <alignment readingOrder="0" vertical="bottom"/>
    </xf>
    <xf borderId="0" fillId="12" fontId="5" numFmtId="1" xfId="0" applyAlignment="1" applyFont="1" applyNumberFormat="1">
      <alignment vertical="bottom"/>
    </xf>
    <xf borderId="2" fillId="0" fontId="9" numFmtId="1" xfId="0" applyAlignment="1" applyBorder="1" applyFont="1" applyNumberFormat="1">
      <alignment horizontal="right" vertical="bottom"/>
    </xf>
    <xf borderId="3" fillId="0" fontId="1" numFmtId="0" xfId="0" applyAlignment="1" applyBorder="1" applyFont="1">
      <alignment readingOrder="0"/>
    </xf>
    <xf borderId="3" fillId="0" fontId="1" numFmtId="166" xfId="0" applyBorder="1" applyFont="1" applyNumberFormat="1"/>
    <xf borderId="4" fillId="0" fontId="5" numFmtId="0" xfId="0" applyAlignment="1" applyBorder="1" applyFont="1">
      <alignment readingOrder="0" vertical="bottom"/>
    </xf>
    <xf borderId="0" fillId="0" fontId="1" numFmtId="169" xfId="0" applyAlignment="1" applyFont="1" applyNumberFormat="1">
      <alignment readingOrder="0"/>
    </xf>
    <xf borderId="3" fillId="11" fontId="5" numFmtId="0" xfId="0" applyAlignment="1" applyBorder="1" applyFont="1">
      <alignment horizontal="right" readingOrder="0" vertical="bottom"/>
    </xf>
    <xf borderId="0" fillId="0" fontId="1" numFmtId="170" xfId="0" applyAlignment="1" applyFont="1" applyNumberFormat="1">
      <alignment readingOrder="0"/>
    </xf>
    <xf borderId="0" fillId="0" fontId="1" numFmtId="9" xfId="0" applyAlignment="1" applyFont="1" applyNumberFormat="1">
      <alignment readingOrder="0"/>
    </xf>
    <xf borderId="0" fillId="0" fontId="1" numFmtId="171" xfId="0" applyAlignment="1" applyFont="1" applyNumberFormat="1">
      <alignment readingOrder="0"/>
    </xf>
    <xf borderId="3" fillId="11" fontId="5" numFmtId="3" xfId="0" applyAlignment="1" applyBorder="1" applyFont="1" applyNumberFormat="1">
      <alignment horizontal="right" readingOrder="0" vertical="bottom"/>
    </xf>
    <xf borderId="3" fillId="8" fontId="5" numFmtId="0" xfId="0" applyAlignment="1" applyBorder="1" applyFont="1">
      <alignment horizontal="right" readingOrder="0" vertical="bottom"/>
    </xf>
    <xf borderId="1" fillId="0" fontId="11" numFmtId="0" xfId="0" applyAlignment="1" applyBorder="1" applyFont="1">
      <alignment readingOrder="0" vertical="bottom"/>
    </xf>
    <xf borderId="0" fillId="0" fontId="11" numFmtId="1" xfId="0" applyAlignment="1" applyFont="1" applyNumberFormat="1">
      <alignment horizontal="right" vertical="bottom"/>
    </xf>
    <xf borderId="1" fillId="14" fontId="5" numFmtId="0" xfId="0" applyAlignment="1" applyBorder="1" applyFill="1" applyFont="1">
      <alignment readingOrder="0" vertical="bottom"/>
    </xf>
    <xf borderId="2" fillId="11" fontId="5" numFmtId="166" xfId="0" applyAlignment="1" applyBorder="1" applyFont="1" applyNumberFormat="1">
      <alignment horizontal="right" readingOrder="0" vertical="bottom"/>
    </xf>
    <xf borderId="0" fillId="11" fontId="5" numFmtId="166" xfId="0" applyAlignment="1" applyFont="1" applyNumberFormat="1">
      <alignment horizontal="right" readingOrder="0" vertical="bottom"/>
    </xf>
    <xf borderId="0" fillId="11" fontId="5" numFmtId="166" xfId="0" applyAlignment="1" applyFont="1" applyNumberFormat="1">
      <alignment readingOrder="0" vertical="bottom"/>
    </xf>
    <xf borderId="0" fillId="8" fontId="5" numFmtId="166" xfId="0" applyAlignment="1" applyFont="1" applyNumberFormat="1">
      <alignment horizontal="right" readingOrder="0" vertical="bottom"/>
    </xf>
    <xf borderId="2" fillId="0" fontId="9" numFmtId="172" xfId="0" applyAlignment="1" applyBorder="1" applyFont="1" applyNumberFormat="1">
      <alignment horizontal="right" vertical="bottom"/>
    </xf>
    <xf borderId="0" fillId="8" fontId="5" numFmtId="166" xfId="0" applyAlignment="1" applyFont="1" applyNumberFormat="1">
      <alignment readingOrder="0" vertical="bottom"/>
    </xf>
    <xf borderId="0" fillId="15" fontId="5" numFmtId="166" xfId="0" applyAlignment="1" applyFill="1" applyFont="1" applyNumberFormat="1">
      <alignment readingOrder="0" vertical="bottom"/>
    </xf>
    <xf borderId="2" fillId="12" fontId="5" numFmtId="166" xfId="0" applyAlignment="1" applyBorder="1" applyFont="1" applyNumberFormat="1">
      <alignment readingOrder="0" vertical="bottom"/>
    </xf>
    <xf borderId="0" fillId="12" fontId="5" numFmtId="166" xfId="0" applyAlignment="1" applyFont="1" applyNumberFormat="1">
      <alignment readingOrder="0" vertical="bottom"/>
    </xf>
    <xf borderId="0" fillId="12" fontId="5" numFmtId="166" xfId="0" applyAlignment="1" applyFont="1" applyNumberFormat="1">
      <alignment horizontal="right" readingOrder="0" vertical="bottom"/>
    </xf>
    <xf borderId="2" fillId="0" fontId="10" numFmtId="172" xfId="0" applyAlignment="1" applyBorder="1" applyFont="1" applyNumberFormat="1">
      <alignment horizontal="right" vertical="bottom"/>
    </xf>
    <xf borderId="0" fillId="13" fontId="5" numFmtId="166" xfId="0" applyAlignment="1" applyFont="1" applyNumberFormat="1">
      <alignment readingOrder="0" vertical="bottom"/>
    </xf>
    <xf borderId="0" fillId="12" fontId="5" numFmtId="166" xfId="0" applyAlignment="1" applyFont="1" applyNumberFormat="1">
      <alignment vertical="bottom"/>
    </xf>
    <xf borderId="0" fillId="0" fontId="12" numFmtId="0" xfId="0" applyAlignment="1" applyFont="1">
      <alignment readingOrder="0"/>
    </xf>
    <xf borderId="3" fillId="11" fontId="5" numFmtId="166" xfId="0" applyAlignment="1" applyBorder="1" applyFont="1" applyNumberFormat="1">
      <alignment horizontal="right" readingOrder="0" vertical="bottom"/>
    </xf>
    <xf borderId="0" fillId="0" fontId="1" numFmtId="0" xfId="0" applyAlignment="1" applyFont="1">
      <alignment readingOrder="0" vertical="top"/>
    </xf>
    <xf borderId="0" fillId="0" fontId="13" numFmtId="0" xfId="0" applyAlignment="1" applyFont="1">
      <alignment readingOrder="0"/>
    </xf>
    <xf borderId="3" fillId="13" fontId="5" numFmtId="166" xfId="0" applyAlignment="1" applyBorder="1" applyFont="1" applyNumberFormat="1">
      <alignment readingOrder="0" vertical="bottom"/>
    </xf>
    <xf borderId="3" fillId="11" fontId="5" numFmtId="166" xfId="0" applyAlignment="1" applyBorder="1" applyFont="1" applyNumberFormat="1">
      <alignment horizontal="right" readingOrder="0" vertical="bottom"/>
    </xf>
    <xf borderId="0" fillId="0" fontId="13" numFmtId="0" xfId="0" applyFont="1"/>
    <xf borderId="3" fillId="11" fontId="5" numFmtId="4" xfId="0" applyAlignment="1" applyBorder="1" applyFont="1" applyNumberFormat="1">
      <alignment horizontal="right" readingOrder="0" vertical="bottom"/>
    </xf>
    <xf borderId="0" fillId="0" fontId="1" numFmtId="0" xfId="0" applyAlignment="1" applyFont="1">
      <alignment readingOrder="0" shrinkToFit="0" vertical="top" wrapText="1"/>
    </xf>
    <xf borderId="3" fillId="8" fontId="5" numFmtId="166" xfId="0" applyAlignment="1" applyBorder="1" applyFont="1" applyNumberFormat="1">
      <alignment horizontal="right" readingOrder="0" vertical="bottom"/>
    </xf>
    <xf borderId="0" fillId="8" fontId="5" numFmtId="166" xfId="0" applyAlignment="1" applyFont="1" applyNumberFormat="1">
      <alignment horizontal="right" readingOrder="0" vertical="bottom"/>
    </xf>
    <xf borderId="0" fillId="0" fontId="13" numFmtId="0" xfId="0" applyAlignment="1" applyFont="1">
      <alignment readingOrder="0"/>
    </xf>
    <xf borderId="0" fillId="0" fontId="11" numFmtId="172" xfId="0" applyAlignment="1" applyFont="1" applyNumberFormat="1">
      <alignment horizontal="right" vertical="bottom"/>
    </xf>
    <xf borderId="5" fillId="0" fontId="11" numFmtId="172" xfId="0" applyAlignment="1" applyBorder="1" applyFont="1" applyNumberFormat="1">
      <alignment horizontal="right" vertical="bottom"/>
    </xf>
    <xf borderId="0" fillId="16" fontId="14" numFmtId="0" xfId="0" applyAlignment="1" applyFill="1" applyFont="1">
      <alignment readingOrder="0"/>
    </xf>
    <xf borderId="0" fillId="16" fontId="14" numFmtId="0" xfId="0" applyFont="1"/>
    <xf borderId="2" fillId="0" fontId="5" numFmtId="173" xfId="0" applyAlignment="1" applyBorder="1" applyFont="1" applyNumberFormat="1">
      <alignment vertical="bottom"/>
    </xf>
    <xf borderId="1" fillId="17" fontId="5" numFmtId="0" xfId="0" applyAlignment="1" applyBorder="1" applyFill="1" applyFont="1">
      <alignment readingOrder="0" vertical="bottom"/>
    </xf>
    <xf borderId="0" fillId="11" fontId="5" numFmtId="172" xfId="0" applyAlignment="1" applyFont="1" applyNumberFormat="1">
      <alignment horizontal="right" readingOrder="0" vertical="bottom"/>
    </xf>
    <xf borderId="0" fillId="0" fontId="3" numFmtId="0" xfId="0" applyAlignment="1" applyFont="1">
      <alignment readingOrder="0"/>
    </xf>
    <xf borderId="0" fillId="0" fontId="3" numFmtId="0" xfId="0" applyFont="1"/>
    <xf borderId="0" fillId="18" fontId="7" numFmtId="0" xfId="0" applyAlignment="1" applyFill="1" applyFont="1">
      <alignment horizontal="center" readingOrder="0"/>
    </xf>
    <xf borderId="0" fillId="19" fontId="3" numFmtId="0" xfId="0" applyAlignment="1" applyFill="1" applyFont="1">
      <alignment readingOrder="0"/>
    </xf>
    <xf borderId="0" fillId="16" fontId="3" numFmtId="0" xfId="0" applyAlignment="1" applyFont="1">
      <alignment readingOrder="0"/>
    </xf>
    <xf borderId="0" fillId="0" fontId="3" numFmtId="168" xfId="0" applyAlignment="1" applyFont="1" applyNumberFormat="1">
      <alignment readingOrder="0"/>
    </xf>
    <xf borderId="0" fillId="5" fontId="7" numFmtId="0" xfId="0" applyAlignment="1" applyFont="1">
      <alignment horizontal="center" readingOrder="0"/>
    </xf>
    <xf borderId="0" fillId="0" fontId="3" numFmtId="0" xfId="0" applyAlignment="1" applyFont="1">
      <alignment readingOrder="0"/>
    </xf>
    <xf borderId="0" fillId="4" fontId="15" numFmtId="0" xfId="0" applyAlignment="1" applyFont="1">
      <alignment horizontal="center" readingOrder="0"/>
    </xf>
    <xf borderId="0" fillId="20" fontId="1" numFmtId="0" xfId="0" applyAlignment="1" applyFill="1" applyFont="1">
      <alignment readingOrder="0"/>
    </xf>
    <xf quotePrefix="1" borderId="0" fillId="0" fontId="3" numFmtId="0" xfId="0" applyAlignment="1" applyFont="1">
      <alignment readingOrder="0"/>
    </xf>
    <xf borderId="0" fillId="4" fontId="3" numFmtId="3" xfId="0" applyAlignment="1" applyFont="1" applyNumberFormat="1">
      <alignment horizontal="left" readingOrder="0"/>
    </xf>
    <xf borderId="0" fillId="8" fontId="3" numFmtId="3" xfId="0" applyAlignment="1" applyFont="1" applyNumberFormat="1">
      <alignment horizontal="left" readingOrder="0"/>
    </xf>
    <xf borderId="0" fillId="20" fontId="3" numFmtId="0" xfId="0" applyAlignment="1" applyFont="1">
      <alignment readingOrder="0"/>
    </xf>
    <xf borderId="0" fillId="4" fontId="3" numFmtId="166" xfId="0" applyAlignment="1" applyFont="1" applyNumberFormat="1">
      <alignment readingOrder="0"/>
    </xf>
    <xf borderId="0" fillId="0" fontId="3" numFmtId="166" xfId="0" applyAlignment="1" applyFont="1" applyNumberFormat="1">
      <alignment readingOrder="0"/>
    </xf>
    <xf borderId="0" fillId="0" fontId="16" numFmtId="0" xfId="0" applyAlignment="1" applyFont="1">
      <alignment vertical="bottom"/>
    </xf>
    <xf borderId="0" fillId="0" fontId="16" numFmtId="166" xfId="0" applyAlignment="1" applyFont="1" applyNumberFormat="1">
      <alignment horizontal="right" vertical="bottom"/>
    </xf>
    <xf borderId="0" fillId="4" fontId="3" numFmtId="166" xfId="0" applyAlignment="1" applyFont="1" applyNumberFormat="1">
      <alignment horizontal="right" readingOrder="0"/>
    </xf>
    <xf borderId="0" fillId="0" fontId="3" numFmtId="166" xfId="0" applyAlignment="1" applyFont="1" applyNumberFormat="1">
      <alignment horizontal="right" readingOrder="0"/>
    </xf>
    <xf borderId="0" fillId="4" fontId="3" numFmtId="166" xfId="0" applyAlignment="1" applyFont="1" applyNumberFormat="1">
      <alignment readingOrder="0"/>
    </xf>
    <xf borderId="0" fillId="0" fontId="3" numFmtId="166" xfId="0" applyAlignment="1" applyFont="1" applyNumberFormat="1">
      <alignment readingOrder="0"/>
    </xf>
    <xf borderId="0" fillId="11" fontId="5" numFmtId="172" xfId="0" applyAlignment="1" applyFont="1" applyNumberFormat="1">
      <alignment vertical="bottom"/>
    </xf>
    <xf borderId="0" fillId="0" fontId="16" numFmtId="9" xfId="0" applyAlignment="1" applyFont="1" applyNumberFormat="1">
      <alignment horizontal="right" vertical="bottom"/>
    </xf>
    <xf borderId="0" fillId="13" fontId="3" numFmtId="0" xfId="0" applyAlignment="1" applyFont="1">
      <alignment readingOrder="0"/>
    </xf>
    <xf borderId="0" fillId="13" fontId="3" numFmtId="166" xfId="0" applyAlignment="1" applyFont="1" applyNumberFormat="1">
      <alignment readingOrder="0"/>
    </xf>
    <xf borderId="0" fillId="0" fontId="17" numFmtId="0" xfId="0" applyAlignment="1" applyFont="1">
      <alignment readingOrder="0" vertical="bottom"/>
    </xf>
    <xf borderId="0" fillId="0" fontId="17" numFmtId="166" xfId="0" applyAlignment="1" applyFont="1" applyNumberFormat="1">
      <alignment vertical="bottom"/>
    </xf>
    <xf borderId="0" fillId="12" fontId="18" numFmtId="172" xfId="0" applyAlignment="1" applyFont="1" applyNumberFormat="1">
      <alignment vertical="bottom"/>
    </xf>
    <xf borderId="0" fillId="4" fontId="3" numFmtId="10" xfId="0" applyAlignment="1" applyFont="1" applyNumberFormat="1">
      <alignment readingOrder="0"/>
    </xf>
    <xf borderId="0" fillId="0" fontId="3" numFmtId="10" xfId="0" applyAlignment="1" applyFont="1" applyNumberFormat="1">
      <alignment readingOrder="0"/>
    </xf>
    <xf borderId="0" fillId="12" fontId="5" numFmtId="172" xfId="0" applyAlignment="1" applyFont="1" applyNumberFormat="1">
      <alignment vertical="bottom"/>
    </xf>
    <xf borderId="0" fillId="4" fontId="19" numFmtId="0" xfId="0" applyAlignment="1" applyFont="1">
      <alignment horizontal="left" readingOrder="0"/>
    </xf>
    <xf borderId="2" fillId="12" fontId="5" numFmtId="172" xfId="0" applyAlignment="1" applyBorder="1" applyFont="1" applyNumberFormat="1">
      <alignment vertical="bottom"/>
    </xf>
    <xf borderId="2" fillId="13" fontId="5" numFmtId="172" xfId="0" applyAlignment="1" applyBorder="1" applyFont="1" applyNumberFormat="1">
      <alignment vertical="bottom"/>
    </xf>
    <xf borderId="0" fillId="0" fontId="17" numFmtId="0" xfId="0" applyAlignment="1" applyFont="1">
      <alignment vertical="bottom"/>
    </xf>
    <xf borderId="0" fillId="13" fontId="5" numFmtId="172" xfId="0" applyAlignment="1" applyFont="1" applyNumberFormat="1">
      <alignment vertical="bottom"/>
    </xf>
    <xf borderId="0" fillId="13" fontId="5" numFmtId="172" xfId="0" applyAlignment="1" applyFont="1" applyNumberFormat="1">
      <alignment readingOrder="0" vertical="bottom"/>
    </xf>
    <xf borderId="0" fillId="0" fontId="16" numFmtId="0" xfId="0" applyAlignment="1" applyFont="1">
      <alignment horizontal="right" vertical="bottom"/>
    </xf>
    <xf borderId="0" fillId="4" fontId="3" numFmtId="170" xfId="0" applyAlignment="1" applyFont="1" applyNumberFormat="1">
      <alignment readingOrder="0"/>
    </xf>
    <xf borderId="4" fillId="0" fontId="5" numFmtId="0" xfId="0" applyAlignment="1" applyBorder="1" applyFont="1">
      <alignment vertical="bottom"/>
    </xf>
    <xf borderId="3" fillId="12" fontId="5" numFmtId="172" xfId="0" applyAlignment="1" applyBorder="1" applyFont="1" applyNumberFormat="1">
      <alignment vertical="bottom"/>
    </xf>
    <xf borderId="0" fillId="4" fontId="3" numFmtId="171" xfId="0" applyAlignment="1" applyFont="1" applyNumberFormat="1">
      <alignment readingOrder="0"/>
    </xf>
    <xf borderId="0" fillId="21" fontId="7" numFmtId="0" xfId="0" applyAlignment="1" applyFill="1" applyFont="1">
      <alignment readingOrder="0"/>
    </xf>
    <xf borderId="0" fillId="21" fontId="7" numFmtId="166" xfId="0" applyAlignment="1" applyFont="1" applyNumberFormat="1">
      <alignment readingOrder="0"/>
    </xf>
    <xf borderId="0" fillId="22" fontId="3" numFmtId="166" xfId="0" applyAlignment="1" applyFill="1" applyFont="1" applyNumberFormat="1">
      <alignment readingOrder="0"/>
    </xf>
    <xf borderId="0" fillId="0" fontId="5" numFmtId="172" xfId="0" applyAlignment="1" applyFont="1" applyNumberFormat="1">
      <alignment horizontal="right" vertical="bottom"/>
    </xf>
    <xf borderId="0" fillId="22" fontId="3" numFmtId="166" xfId="0" applyAlignment="1" applyFont="1" applyNumberFormat="1">
      <alignment horizontal="right" readingOrder="0"/>
    </xf>
    <xf borderId="3" fillId="0" fontId="3" numFmtId="10" xfId="0" applyAlignment="1" applyBorder="1" applyFont="1" applyNumberFormat="1">
      <alignment readingOrder="0"/>
    </xf>
    <xf borderId="2" fillId="0" fontId="5" numFmtId="172" xfId="0" applyAlignment="1" applyBorder="1" applyFont="1" applyNumberFormat="1">
      <alignment horizontal="right" vertical="bottom"/>
    </xf>
    <xf borderId="0" fillId="4" fontId="1" numFmtId="0" xfId="0" applyFont="1"/>
    <xf borderId="0" fillId="4" fontId="1" numFmtId="166" xfId="0" applyAlignment="1" applyFont="1" applyNumberFormat="1">
      <alignment readingOrder="0"/>
    </xf>
    <xf borderId="3" fillId="0" fontId="5" numFmtId="172" xfId="0" applyAlignment="1" applyBorder="1" applyFont="1" applyNumberFormat="1">
      <alignment horizontal="right" vertical="bottom"/>
    </xf>
    <xf borderId="0" fillId="0" fontId="5" numFmtId="172" xfId="0" applyAlignment="1" applyFont="1" applyNumberFormat="1">
      <alignment vertical="bottom"/>
    </xf>
    <xf borderId="2" fillId="0" fontId="5" numFmtId="172" xfId="0" applyAlignment="1" applyBorder="1" applyFont="1" applyNumberFormat="1">
      <alignment vertical="bottom"/>
    </xf>
    <xf borderId="1" fillId="0" fontId="5" numFmtId="172" xfId="0" applyAlignment="1" applyBorder="1" applyFont="1" applyNumberFormat="1">
      <alignment horizontal="right" vertical="bottom"/>
    </xf>
    <xf borderId="0" fillId="0" fontId="17" numFmtId="0" xfId="0" applyFont="1"/>
    <xf borderId="1" fillId="23" fontId="5" numFmtId="0" xfId="0" applyAlignment="1" applyBorder="1" applyFill="1" applyFont="1">
      <alignment vertical="bottom"/>
    </xf>
    <xf borderId="0" fillId="23" fontId="5" numFmtId="0" xfId="0" applyAlignment="1" applyFont="1">
      <alignment vertical="bottom"/>
    </xf>
    <xf borderId="2" fillId="23" fontId="5"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2" fillId="0" fontId="10" numFmtId="172" xfId="0" applyAlignment="1" applyBorder="1" applyFont="1" applyNumberFormat="1">
      <alignment horizontal="center" vertical="bottom"/>
    </xf>
    <xf borderId="1" fillId="3" fontId="5" numFmtId="0" xfId="0" applyAlignment="1" applyBorder="1" applyFont="1">
      <alignment readingOrder="0" vertical="bottom"/>
    </xf>
    <xf borderId="0" fillId="0" fontId="1" numFmtId="0" xfId="0" applyFont="1"/>
    <xf borderId="0" fillId="0" fontId="14" numFmtId="0" xfId="0" applyAlignment="1" applyFont="1">
      <alignment readingOrder="0"/>
    </xf>
    <xf borderId="0" fillId="0" fontId="14" numFmtId="0" xfId="0" applyFont="1"/>
    <xf borderId="0" fillId="24" fontId="5" numFmtId="2" xfId="0" applyAlignment="1" applyFill="1" applyFont="1" applyNumberFormat="1">
      <alignment horizontal="right" vertical="bottom"/>
    </xf>
    <xf borderId="0" fillId="25" fontId="5" numFmtId="172" xfId="0" applyAlignment="1" applyFill="1" applyFont="1" applyNumberFormat="1">
      <alignment horizontal="right" vertical="bottom"/>
    </xf>
    <xf borderId="1" fillId="3" fontId="5" numFmtId="0" xfId="0" applyAlignment="1" applyBorder="1" applyFont="1">
      <alignment vertical="bottom"/>
    </xf>
    <xf borderId="0" fillId="26" fontId="2" numFmtId="2" xfId="0" applyAlignment="1" applyFill="1" applyFont="1" applyNumberFormat="1">
      <alignment horizontal="right" vertical="bottom"/>
    </xf>
    <xf borderId="1" fillId="27" fontId="5" numFmtId="0" xfId="0" applyAlignment="1" applyBorder="1" applyFill="1" applyFont="1">
      <alignment readingOrder="0" vertical="bottom"/>
    </xf>
    <xf borderId="1" fillId="28" fontId="5" numFmtId="0" xfId="0" applyAlignment="1" applyBorder="1" applyFill="1" applyFont="1">
      <alignment readingOrder="0" vertical="bottom"/>
    </xf>
    <xf borderId="1" fillId="28" fontId="5" numFmtId="0" xfId="0" applyAlignment="1" applyBorder="1" applyFont="1">
      <alignment vertical="bottom"/>
    </xf>
    <xf borderId="1" fillId="29" fontId="2" numFmtId="0" xfId="0" applyAlignment="1" applyBorder="1" applyFill="1" applyFont="1">
      <alignment vertical="bottom"/>
    </xf>
    <xf borderId="1" fillId="14" fontId="5" numFmtId="0" xfId="0" applyAlignment="1" applyBorder="1" applyFont="1">
      <alignment vertical="bottom"/>
    </xf>
    <xf borderId="1" fillId="30" fontId="2" numFmtId="0" xfId="0" applyAlignment="1" applyBorder="1" applyFill="1" applyFont="1">
      <alignment readingOrder="0" vertical="bottom"/>
    </xf>
    <xf borderId="0" fillId="0" fontId="5" numFmtId="2" xfId="0" applyAlignment="1" applyFont="1" applyNumberFormat="1">
      <alignment vertical="bottom"/>
    </xf>
    <xf borderId="1" fillId="31" fontId="5" numFmtId="0" xfId="0" applyAlignment="1" applyBorder="1" applyFill="1" applyFont="1">
      <alignment readingOrder="0" vertical="bottom"/>
    </xf>
    <xf borderId="1" fillId="31" fontId="5" numFmtId="0" xfId="0" applyAlignment="1" applyBorder="1" applyFont="1">
      <alignment vertical="bottom"/>
    </xf>
    <xf borderId="1" fillId="32" fontId="2" numFmtId="0" xfId="0" applyAlignment="1" applyBorder="1" applyFill="1" applyFont="1">
      <alignment readingOrder="0" vertical="bottom"/>
    </xf>
    <xf borderId="1" fillId="33" fontId="5" numFmtId="0" xfId="0" applyAlignment="1" applyBorder="1" applyFill="1" applyFont="1">
      <alignment readingOrder="0" vertical="bottom"/>
    </xf>
    <xf borderId="1" fillId="33" fontId="5" numFmtId="0" xfId="0" applyAlignment="1" applyBorder="1" applyFont="1">
      <alignment vertical="bottom"/>
    </xf>
    <xf borderId="1" fillId="34" fontId="2" numFmtId="0" xfId="0" applyAlignment="1" applyBorder="1" applyFill="1" applyFont="1">
      <alignment readingOrder="0" vertical="bottom"/>
    </xf>
    <xf borderId="1" fillId="35" fontId="5" numFmtId="0" xfId="0" applyAlignment="1" applyBorder="1" applyFill="1" applyFont="1">
      <alignment readingOrder="0" vertical="bottom"/>
    </xf>
    <xf borderId="0" fillId="21" fontId="20" numFmtId="172" xfId="0" applyAlignment="1" applyFont="1" applyNumberFormat="1">
      <alignment horizontal="right" vertical="bottom"/>
    </xf>
    <xf borderId="1" fillId="35" fontId="5" numFmtId="0" xfId="0" applyAlignment="1" applyBorder="1" applyFont="1">
      <alignment vertical="bottom"/>
    </xf>
    <xf borderId="1" fillId="36" fontId="5" numFmtId="0" xfId="0" applyAlignment="1" applyBorder="1" applyFill="1" applyFont="1">
      <alignment readingOrder="0" vertical="bottom"/>
    </xf>
    <xf borderId="0" fillId="21" fontId="20" numFmtId="2" xfId="0" applyAlignment="1" applyFont="1" applyNumberFormat="1">
      <alignment horizontal="center" vertical="bottom"/>
    </xf>
    <xf borderId="0" fillId="21" fontId="20" numFmtId="172" xfId="0" applyAlignment="1" applyFont="1" applyNumberFormat="1">
      <alignment horizontal="center" vertical="bottom"/>
    </xf>
    <xf borderId="1" fillId="36" fontId="5" numFmtId="0" xfId="0" applyAlignment="1" applyBorder="1" applyFont="1">
      <alignment vertical="bottom"/>
    </xf>
    <xf borderId="0" fillId="0" fontId="5" numFmtId="173" xfId="0" applyAlignment="1" applyFont="1" applyNumberFormat="1">
      <alignment vertical="bottom"/>
    </xf>
    <xf borderId="1" fillId="37" fontId="2" numFmtId="0" xfId="0" applyAlignment="1" applyBorder="1" applyFill="1" applyFont="1">
      <alignment vertical="bottom"/>
    </xf>
    <xf borderId="1" fillId="0" fontId="5" numFmtId="2" xfId="0" applyAlignment="1" applyBorder="1" applyFont="1" applyNumberFormat="1">
      <alignment vertical="bottom"/>
    </xf>
    <xf borderId="1" fillId="38" fontId="2" numFmtId="0" xfId="0" applyAlignment="1" applyBorder="1" applyFill="1" applyFont="1">
      <alignment readingOrder="0" vertical="bottom"/>
    </xf>
    <xf borderId="1" fillId="27" fontId="5" numFmtId="0" xfId="0" applyAlignment="1" applyBorder="1" applyFont="1">
      <alignment vertical="bottom"/>
    </xf>
    <xf borderId="1" fillId="23" fontId="5" numFmtId="0" xfId="0" applyAlignment="1" applyBorder="1" applyFont="1">
      <alignment readingOrder="0" vertical="bottom"/>
    </xf>
    <xf borderId="0" fillId="0" fontId="5" numFmtId="174" xfId="0" applyAlignment="1" applyFont="1" applyNumberFormat="1">
      <alignment vertical="bottom"/>
    </xf>
    <xf borderId="1" fillId="32" fontId="2" numFmtId="0" xfId="0" applyAlignment="1" applyBorder="1" applyFont="1">
      <alignment vertical="bottom"/>
    </xf>
    <xf borderId="1" fillId="11" fontId="5" numFmtId="0" xfId="0" applyAlignment="1" applyBorder="1" applyFont="1">
      <alignment vertical="bottom"/>
    </xf>
    <xf borderId="2" fillId="0" fontId="9" numFmtId="3" xfId="0" applyAlignment="1" applyBorder="1" applyFont="1" applyNumberFormat="1">
      <alignment horizontal="right" vertical="bottom"/>
    </xf>
    <xf borderId="0" fillId="39" fontId="5" numFmtId="172" xfId="0" applyAlignment="1" applyFill="1" applyFont="1" applyNumberFormat="1">
      <alignment horizontal="right" shrinkToFit="0" vertical="bottom" wrapText="1"/>
    </xf>
    <xf borderId="2" fillId="0" fontId="21" numFmtId="0" xfId="0" applyBorder="1" applyFont="1"/>
    <xf borderId="1" fillId="39" fontId="5" numFmtId="0" xfId="0" applyAlignment="1" applyBorder="1" applyFont="1">
      <alignment vertical="bottom"/>
    </xf>
    <xf borderId="0" fillId="0" fontId="5" numFmtId="3" xfId="0" applyAlignment="1" applyFont="1" applyNumberFormat="1">
      <alignment horizontal="right" readingOrder="0" vertical="bottom"/>
    </xf>
    <xf borderId="0" fillId="0" fontId="5" numFmtId="0" xfId="0" applyAlignment="1" applyFont="1">
      <alignment horizontal="right" vertical="bottom"/>
    </xf>
    <xf borderId="0" fillId="0" fontId="5" numFmtId="0" xfId="0" applyAlignment="1" applyFont="1">
      <alignment horizontal="right" readingOrder="0" vertical="bottom"/>
    </xf>
    <xf borderId="0" fillId="39" fontId="5" numFmtId="3" xfId="0" applyAlignment="1" applyFont="1" applyNumberFormat="1">
      <alignment horizontal="right" vertical="bottom"/>
    </xf>
    <xf borderId="0" fillId="39" fontId="5" numFmtId="0" xfId="0" applyAlignment="1" applyFont="1">
      <alignment horizontal="right" vertical="bottom"/>
    </xf>
    <xf borderId="1" fillId="40" fontId="5" numFmtId="0" xfId="0" applyAlignment="1" applyBorder="1" applyFill="1" applyFont="1">
      <alignment vertical="bottom"/>
    </xf>
    <xf borderId="0" fillId="0" fontId="5" numFmtId="166" xfId="0" applyAlignment="1" applyFont="1" applyNumberFormat="1">
      <alignment horizontal="right" readingOrder="0" vertical="bottom"/>
    </xf>
    <xf borderId="0" fillId="0" fontId="5" numFmtId="175" xfId="0" applyAlignment="1" applyFont="1" applyNumberFormat="1">
      <alignment horizontal="right" readingOrder="0" vertical="bottom"/>
    </xf>
    <xf borderId="0" fillId="4" fontId="22" numFmtId="166" xfId="0" applyAlignment="1" applyFont="1" applyNumberFormat="1">
      <alignment horizontal="right" readingOrder="0" shrinkToFit="0" wrapText="0"/>
    </xf>
    <xf borderId="0" fillId="0" fontId="5" numFmtId="166" xfId="0" applyAlignment="1" applyFont="1" applyNumberFormat="1">
      <alignment horizontal="right" readingOrder="0" vertical="bottom"/>
    </xf>
    <xf borderId="0" fillId="4" fontId="23" numFmtId="166" xfId="0" applyAlignment="1" applyFont="1" applyNumberFormat="1">
      <alignment horizontal="right" readingOrder="0" shrinkToFit="0" wrapText="0"/>
    </xf>
    <xf borderId="1" fillId="40" fontId="5" numFmtId="0" xfId="0" applyAlignment="1" applyBorder="1" applyFont="1">
      <alignment readingOrder="0" vertical="bottom"/>
    </xf>
    <xf borderId="0" fillId="0" fontId="5" numFmtId="166" xfId="0" applyAlignment="1" applyFont="1" applyNumberFormat="1">
      <alignment readingOrder="0"/>
    </xf>
    <xf borderId="0" fillId="4" fontId="24" numFmtId="172" xfId="0" applyFont="1" applyNumberFormat="1"/>
    <xf borderId="1" fillId="41" fontId="5" numFmtId="0" xfId="0" applyAlignment="1" applyBorder="1" applyFill="1" applyFont="1">
      <alignment readingOrder="0" vertical="bottom"/>
    </xf>
    <xf borderId="0" fillId="41" fontId="5" numFmtId="166" xfId="0" applyAlignment="1" applyFont="1" applyNumberFormat="1">
      <alignment horizontal="right" vertical="bottom"/>
    </xf>
    <xf borderId="0" fillId="41" fontId="5" numFmtId="172" xfId="0" applyAlignment="1" applyFont="1" applyNumberFormat="1">
      <alignment horizontal="right" readingOrder="0" vertical="bottom"/>
    </xf>
    <xf borderId="0" fillId="42" fontId="5" numFmtId="0" xfId="0" applyAlignment="1" applyFill="1" applyFont="1">
      <alignment horizontal="right" readingOrder="0" vertical="bottom"/>
    </xf>
    <xf borderId="0" fillId="42" fontId="5" numFmtId="3" xfId="0" applyAlignment="1" applyFont="1" applyNumberFormat="1">
      <alignment horizontal="right" readingOrder="0" vertical="bottom"/>
    </xf>
    <xf borderId="0" fillId="42" fontId="5" numFmtId="0" xfId="0" applyAlignment="1" applyFont="1">
      <alignment horizontal="right" vertical="bottom"/>
    </xf>
    <xf borderId="0" fillId="0" fontId="5" numFmtId="1" xfId="0" applyAlignment="1" applyFont="1" applyNumberFormat="1">
      <alignment horizontal="right" readingOrder="0" vertical="bottom"/>
    </xf>
    <xf borderId="0" fillId="0" fontId="25" numFmtId="0" xfId="0" applyAlignment="1" applyFont="1">
      <alignment readingOrder="0"/>
    </xf>
    <xf borderId="0" fillId="0" fontId="23" numFmtId="3" xfId="0" applyAlignment="1" applyFont="1" applyNumberFormat="1">
      <alignment horizontal="right" readingOrder="0" shrinkToFit="0" wrapText="0"/>
    </xf>
    <xf borderId="0" fillId="0" fontId="26" numFmtId="0" xfId="0" applyAlignment="1" applyFont="1">
      <alignment horizontal="right" readingOrder="0" shrinkToFit="0" wrapText="0"/>
    </xf>
    <xf borderId="1" fillId="42" fontId="5" numFmtId="0" xfId="0" applyAlignment="1" applyBorder="1" applyFont="1">
      <alignment readingOrder="0" vertical="bottom"/>
    </xf>
    <xf borderId="0" fillId="42" fontId="5" numFmtId="1" xfId="0" applyAlignment="1" applyFont="1" applyNumberFormat="1">
      <alignment horizontal="right" vertical="bottom"/>
    </xf>
    <xf borderId="0" fillId="0" fontId="5" numFmtId="1" xfId="0" applyAlignment="1" applyFont="1" applyNumberFormat="1">
      <alignment vertical="bottom"/>
    </xf>
    <xf borderId="2" fillId="0" fontId="5" numFmtId="0" xfId="0" applyAlignment="1" applyBorder="1" applyFont="1">
      <alignment readingOrder="0" vertical="bottom"/>
    </xf>
    <xf borderId="0" fillId="0" fontId="23" numFmtId="0" xfId="0" applyAlignment="1" applyFont="1">
      <alignment horizontal="right" readingOrder="0" shrinkToFit="0" wrapText="0"/>
    </xf>
    <xf borderId="0" fillId="0" fontId="5" numFmtId="3" xfId="0" applyAlignment="1" applyFont="1" applyNumberFormat="1">
      <alignment readingOrder="0" vertical="bottom"/>
    </xf>
    <xf borderId="0" fillId="0" fontId="23" numFmtId="1" xfId="0" applyAlignment="1" applyFont="1" applyNumberFormat="1">
      <alignment horizontal="right" readingOrder="0" shrinkToFit="0" wrapText="0"/>
    </xf>
    <xf borderId="1" fillId="0" fontId="1" numFmtId="0" xfId="0" applyBorder="1" applyFont="1"/>
    <xf borderId="0" fillId="11" fontId="5" numFmtId="2" xfId="0" applyAlignment="1" applyFont="1" applyNumberFormat="1">
      <alignment vertical="bottom"/>
    </xf>
    <xf borderId="0" fillId="11" fontId="5" numFmtId="1" xfId="0" applyAlignment="1" applyFont="1" applyNumberFormat="1">
      <alignment horizontal="right" readingOrder="0" vertical="bottom"/>
    </xf>
    <xf borderId="0" fillId="42" fontId="5" numFmtId="1" xfId="0" applyAlignment="1" applyFont="1" applyNumberFormat="1">
      <alignment readingOrder="0" vertical="bottom"/>
    </xf>
    <xf borderId="0" fillId="0" fontId="25" numFmtId="1" xfId="0" applyAlignment="1" applyFont="1" applyNumberFormat="1">
      <alignment readingOrder="0"/>
    </xf>
    <xf borderId="0" fillId="4" fontId="27" numFmtId="1" xfId="0" applyAlignment="1" applyFont="1" applyNumberFormat="1">
      <alignment horizontal="right" readingOrder="0" shrinkToFit="0" wrapText="0"/>
    </xf>
    <xf borderId="0" fillId="0" fontId="27" numFmtId="1" xfId="0" applyAlignment="1" applyFont="1" applyNumberFormat="1">
      <alignment horizontal="right" readingOrder="0" shrinkToFit="0" wrapText="0"/>
    </xf>
    <xf borderId="0" fillId="0" fontId="25" numFmtId="1" xfId="0" applyFont="1" applyNumberFormat="1"/>
    <xf borderId="0" fillId="0" fontId="25" numFmtId="3" xfId="0" applyFont="1" applyNumberFormat="1"/>
    <xf borderId="0" fillId="0" fontId="5" numFmtId="1" xfId="0" applyAlignment="1" applyFont="1" applyNumberFormat="1">
      <alignment horizontal="right" vertical="bottom"/>
    </xf>
    <xf borderId="2" fillId="0" fontId="17" numFmtId="0" xfId="0" applyAlignment="1" applyBorder="1" applyFont="1">
      <alignment vertical="bottom"/>
    </xf>
    <xf borderId="0" fillId="11" fontId="5" numFmtId="1" xfId="0" applyAlignment="1" applyFont="1" applyNumberFormat="1">
      <alignment horizontal="right" vertical="bottom"/>
    </xf>
    <xf borderId="0" fillId="4" fontId="28" numFmtId="0" xfId="0" applyAlignment="1" applyFont="1">
      <alignment horizontal="right" readingOrder="0" shrinkToFit="0" wrapText="0"/>
    </xf>
    <xf borderId="1" fillId="16" fontId="5" numFmtId="0" xfId="0" applyAlignment="1" applyBorder="1" applyFont="1">
      <alignment readingOrder="0" vertical="bottom"/>
    </xf>
    <xf borderId="0" fillId="0" fontId="29" numFmtId="1" xfId="0" applyAlignment="1" applyFont="1" applyNumberFormat="1">
      <alignment readingOrder="0" vertical="bottom"/>
    </xf>
    <xf borderId="0" fillId="0" fontId="5" numFmtId="1" xfId="0" applyAlignment="1" applyFont="1" applyNumberFormat="1">
      <alignment readingOrder="0" vertical="bottom"/>
    </xf>
    <xf borderId="0" fillId="8" fontId="29" numFmtId="1" xfId="0" applyAlignment="1" applyFont="1" applyNumberFormat="1">
      <alignment readingOrder="0" vertical="bottom"/>
    </xf>
    <xf borderId="0" fillId="11" fontId="29" numFmtId="1" xfId="0" applyAlignment="1" applyFont="1" applyNumberFormat="1">
      <alignment readingOrder="0" vertical="bottom"/>
    </xf>
    <xf borderId="0" fillId="13" fontId="5" numFmtId="2" xfId="0" applyAlignment="1" applyFont="1" applyNumberFormat="1">
      <alignment vertical="bottom"/>
    </xf>
    <xf borderId="1" fillId="43" fontId="5" numFmtId="0" xfId="0" applyAlignment="1" applyBorder="1" applyFill="1" applyFont="1">
      <alignment readingOrder="0" vertical="bottom"/>
    </xf>
    <xf borderId="0" fillId="43" fontId="5" numFmtId="1" xfId="0" applyAlignment="1" applyFont="1" applyNumberFormat="1">
      <alignment horizontal="right" vertical="bottom"/>
    </xf>
    <xf borderId="0" fillId="0" fontId="29" numFmtId="0" xfId="0" applyAlignment="1" applyFont="1">
      <alignment readingOrder="0" vertical="bottom"/>
    </xf>
    <xf borderId="0" fillId="8" fontId="5" numFmtId="1" xfId="0" applyAlignment="1" applyFont="1" applyNumberFormat="1">
      <alignment readingOrder="0" vertical="bottom"/>
    </xf>
    <xf borderId="0" fillId="0" fontId="29" numFmtId="1" xfId="0" applyAlignment="1" applyFont="1" applyNumberFormat="1">
      <alignment horizontal="right" readingOrder="0" vertical="bottom"/>
    </xf>
    <xf borderId="0" fillId="43" fontId="5" numFmtId="1" xfId="0" applyAlignment="1" applyFont="1" applyNumberFormat="1">
      <alignment horizontal="left" readingOrder="0" vertical="bottom"/>
    </xf>
    <xf borderId="0" fillId="11" fontId="5" numFmtId="1" xfId="0" applyAlignment="1" applyFont="1" applyNumberFormat="1">
      <alignment vertical="bottom"/>
    </xf>
    <xf borderId="0" fillId="11" fontId="5" numFmtId="1" xfId="0" applyAlignment="1" applyFont="1" applyNumberFormat="1">
      <alignment readingOrder="0" vertical="bottom"/>
    </xf>
    <xf borderId="0" fillId="0" fontId="5" numFmtId="166" xfId="0" applyAlignment="1" applyFont="1" applyNumberFormat="1">
      <alignment readingOrder="0" vertical="bottom"/>
    </xf>
    <xf borderId="0" fillId="8" fontId="29" numFmtId="166" xfId="0" applyAlignment="1" applyFont="1" applyNumberFormat="1">
      <alignment readingOrder="0" vertical="bottom"/>
    </xf>
    <xf borderId="2" fillId="0" fontId="9" numFmtId="166" xfId="0" applyAlignment="1" applyBorder="1" applyFont="1" applyNumberFormat="1">
      <alignment horizontal="right" vertical="bottom"/>
    </xf>
    <xf borderId="0" fillId="0" fontId="29" numFmtId="166" xfId="0" applyAlignment="1" applyFont="1" applyNumberFormat="1">
      <alignment readingOrder="0" vertical="bottom"/>
    </xf>
    <xf borderId="0" fillId="4" fontId="30" numFmtId="166" xfId="0" applyAlignment="1" applyFont="1" applyNumberFormat="1">
      <alignment horizontal="right" readingOrder="0"/>
    </xf>
    <xf borderId="0" fillId="11" fontId="5" numFmtId="166" xfId="0" applyAlignment="1" applyFont="1" applyNumberFormat="1">
      <alignment vertical="bottom"/>
    </xf>
    <xf borderId="0" fillId="43" fontId="5" numFmtId="166" xfId="0" applyAlignment="1" applyFont="1" applyNumberFormat="1">
      <alignment horizontal="right" vertical="bottom"/>
    </xf>
    <xf borderId="0" fillId="0" fontId="5" numFmtId="166" xfId="0" applyAlignment="1" applyFont="1" applyNumberFormat="1">
      <alignment vertical="bottom"/>
    </xf>
    <xf borderId="0" fillId="0" fontId="25" numFmtId="166" xfId="0" applyAlignment="1" applyFont="1" applyNumberFormat="1">
      <alignment readingOrder="0"/>
    </xf>
    <xf borderId="0" fillId="0" fontId="31" numFmtId="166" xfId="0" applyAlignment="1" applyFont="1" applyNumberFormat="1">
      <alignment readingOrder="0" vertical="bottom"/>
    </xf>
    <xf borderId="0" fillId="0" fontId="25" numFmtId="166" xfId="0" applyAlignment="1" applyFont="1" applyNumberFormat="1">
      <alignment readingOrder="0" vertical="bottom"/>
    </xf>
    <xf borderId="0" fillId="0" fontId="31" numFmtId="166" xfId="0" applyAlignment="1" applyFont="1" applyNumberFormat="1">
      <alignment readingOrder="0"/>
    </xf>
    <xf borderId="0" fillId="8" fontId="31" numFmtId="166" xfId="0" applyAlignment="1" applyFont="1" applyNumberFormat="1">
      <alignment readingOrder="0"/>
    </xf>
    <xf borderId="0" fillId="8" fontId="25" numFmtId="166" xfId="0" applyAlignment="1" applyFont="1" applyNumberFormat="1">
      <alignment readingOrder="0"/>
    </xf>
    <xf borderId="1" fillId="43" fontId="5" numFmtId="166" xfId="0" applyAlignment="1" applyBorder="1" applyFont="1" applyNumberFormat="1">
      <alignment horizontal="left" vertical="bottom"/>
    </xf>
    <xf borderId="0" fillId="0" fontId="1" numFmtId="0" xfId="0" applyAlignment="1" applyFont="1">
      <alignment horizontal="right"/>
    </xf>
    <xf borderId="0" fillId="0" fontId="29" numFmtId="166" xfId="0" applyAlignment="1" applyFont="1" applyNumberFormat="1">
      <alignment horizontal="right" readingOrder="0" vertical="bottom"/>
    </xf>
    <xf borderId="1" fillId="44" fontId="5" numFmtId="0" xfId="0" applyAlignment="1" applyBorder="1" applyFill="1" applyFont="1">
      <alignment readingOrder="0" vertical="bottom"/>
    </xf>
    <xf borderId="1" fillId="45" fontId="5" numFmtId="0" xfId="0" applyAlignment="1" applyBorder="1" applyFill="1" applyFont="1">
      <alignment readingOrder="0" vertical="bottom"/>
    </xf>
    <xf borderId="0" fillId="45" fontId="5" numFmtId="1" xfId="0" applyAlignment="1" applyFont="1" applyNumberFormat="1">
      <alignment horizontal="right" vertical="bottom"/>
    </xf>
    <xf borderId="1" fillId="45" fontId="5" numFmtId="1" xfId="0" applyAlignment="1" applyBorder="1" applyFont="1" applyNumberFormat="1">
      <alignment horizontal="left" vertical="bottom"/>
    </xf>
    <xf borderId="0" fillId="45" fontId="5" numFmtId="1" xfId="0" applyAlignment="1" applyFont="1" applyNumberFormat="1">
      <alignment horizontal="right" readingOrder="0" vertical="bottom"/>
    </xf>
    <xf borderId="0" fillId="13" fontId="5" numFmtId="1" xfId="0" applyAlignment="1" applyFont="1" applyNumberFormat="1">
      <alignment vertical="bottom"/>
    </xf>
    <xf borderId="0" fillId="13" fontId="5" numFmtId="1" xfId="0" applyAlignment="1" applyFont="1" applyNumberFormat="1">
      <alignment readingOrder="0" vertical="bottom"/>
    </xf>
    <xf borderId="2" fillId="0" fontId="1" numFmtId="0" xfId="0" applyBorder="1" applyFont="1"/>
    <xf borderId="2" fillId="45" fontId="5" numFmtId="1" xfId="0" applyAlignment="1" applyBorder="1" applyFont="1" applyNumberFormat="1">
      <alignment horizontal="right" vertical="bottom"/>
    </xf>
    <xf borderId="1" fillId="45" fontId="5" numFmtId="1" xfId="0" applyAlignment="1" applyBorder="1" applyFont="1" applyNumberFormat="1">
      <alignment horizontal="left" readingOrder="0" vertical="bottom"/>
    </xf>
    <xf borderId="0" fillId="45" fontId="5" numFmtId="166" xfId="0" applyAlignment="1" applyFont="1" applyNumberFormat="1">
      <alignment horizontal="right" vertical="bottom"/>
    </xf>
    <xf borderId="0" fillId="0" fontId="25" numFmtId="166" xfId="0" applyAlignment="1" applyFont="1" applyNumberFormat="1">
      <alignment horizontal="right" readingOrder="0"/>
    </xf>
    <xf borderId="0" fillId="0" fontId="31" numFmtId="166" xfId="0" applyAlignment="1" applyFont="1" applyNumberFormat="1">
      <alignment horizontal="right" readingOrder="0"/>
    </xf>
    <xf borderId="0" fillId="15" fontId="1" numFmtId="0" xfId="0" applyFont="1"/>
    <xf borderId="0" fillId="45" fontId="5" numFmtId="166" xfId="0" applyAlignment="1" applyFont="1" applyNumberFormat="1">
      <alignment horizontal="right" readingOrder="0" vertical="bottom"/>
    </xf>
    <xf borderId="0" fillId="15" fontId="1" numFmtId="0" xfId="0" applyAlignment="1" applyFont="1">
      <alignment horizontal="right"/>
    </xf>
    <xf borderId="0" fillId="45" fontId="5" numFmtId="0" xfId="0" applyAlignment="1" applyFont="1">
      <alignment readingOrder="0" vertical="bottom"/>
    </xf>
    <xf borderId="2" fillId="45" fontId="5" numFmtId="1" xfId="0" applyAlignment="1" applyBorder="1" applyFont="1" applyNumberFormat="1">
      <alignment readingOrder="0" vertical="bottom"/>
    </xf>
    <xf borderId="0" fillId="45" fontId="5" numFmtId="1" xfId="0" applyAlignment="1" applyFont="1" applyNumberFormat="1">
      <alignment readingOrder="0" vertical="bottom"/>
    </xf>
    <xf borderId="0" fillId="0" fontId="9" numFmtId="3" xfId="0" applyAlignment="1" applyFont="1" applyNumberFormat="1">
      <alignment horizontal="right" vertical="bottom"/>
    </xf>
    <xf borderId="0" fillId="0" fontId="25" numFmtId="0" xfId="0" applyFont="1"/>
    <xf borderId="0" fillId="45" fontId="25" numFmtId="0" xfId="0" applyFont="1"/>
    <xf borderId="1" fillId="0" fontId="1" numFmtId="0" xfId="0" applyAlignment="1" applyBorder="1" applyFont="1">
      <alignment readingOrder="0"/>
    </xf>
    <xf borderId="0" fillId="0" fontId="1" numFmtId="165" xfId="0" applyFont="1" applyNumberFormat="1"/>
    <xf borderId="0" fillId="0" fontId="1" numFmtId="172" xfId="0" applyFont="1" applyNumberFormat="1"/>
    <xf borderId="0" fillId="0" fontId="1" numFmtId="166" xfId="0" applyAlignment="1" applyFont="1" applyNumberFormat="1">
      <alignment readingOrder="0"/>
    </xf>
    <xf borderId="1" fillId="46" fontId="5" numFmtId="0" xfId="0" applyAlignment="1" applyBorder="1" applyFill="1" applyFont="1">
      <alignment readingOrder="0" vertical="bottom"/>
    </xf>
    <xf borderId="1" fillId="47" fontId="5" numFmtId="0" xfId="0" applyAlignment="1" applyBorder="1" applyFill="1" applyFont="1">
      <alignment readingOrder="0" vertical="bottom"/>
    </xf>
    <xf borderId="0" fillId="47" fontId="5" numFmtId="1" xfId="0" applyAlignment="1" applyFont="1" applyNumberFormat="1">
      <alignment horizontal="right" vertical="bottom"/>
    </xf>
    <xf borderId="1" fillId="47" fontId="5" numFmtId="1" xfId="0" applyAlignment="1" applyBorder="1" applyFont="1" applyNumberFormat="1">
      <alignment horizontal="left" vertical="bottom"/>
    </xf>
    <xf borderId="2" fillId="47" fontId="5" numFmtId="1" xfId="0" applyAlignment="1" applyBorder="1" applyFont="1" applyNumberFormat="1">
      <alignment horizontal="right" vertical="bottom"/>
    </xf>
    <xf borderId="0" fillId="48" fontId="5" numFmtId="172" xfId="0" applyAlignment="1" applyFill="1" applyFont="1" applyNumberFormat="1">
      <alignment horizontal="right" vertical="bottom"/>
    </xf>
    <xf borderId="0" fillId="49" fontId="5" numFmtId="172" xfId="0" applyAlignment="1" applyFill="1" applyFont="1" applyNumberFormat="1">
      <alignment horizontal="right" vertical="bottom"/>
    </xf>
    <xf borderId="0" fillId="50" fontId="5" numFmtId="172" xfId="0" applyAlignment="1" applyFill="1" applyFont="1" applyNumberFormat="1">
      <alignment horizontal="right" vertical="bottom"/>
    </xf>
    <xf borderId="0" fillId="51" fontId="5" numFmtId="172" xfId="0" applyAlignment="1" applyFill="1" applyFont="1" applyNumberFormat="1">
      <alignment horizontal="right" vertical="bottom"/>
    </xf>
    <xf borderId="0" fillId="52" fontId="5" numFmtId="172" xfId="0" applyAlignment="1" applyFill="1" applyFont="1" applyNumberFormat="1">
      <alignment horizontal="right" vertical="bottom"/>
    </xf>
    <xf borderId="0" fillId="53" fontId="5" numFmtId="172" xfId="0" applyAlignment="1" applyFill="1" applyFont="1" applyNumberFormat="1">
      <alignment horizontal="right" vertical="bottom"/>
    </xf>
    <xf borderId="0" fillId="54" fontId="5" numFmtId="172" xfId="0" applyAlignment="1" applyFill="1" applyFont="1" applyNumberFormat="1">
      <alignment horizontal="right" vertical="bottom"/>
    </xf>
    <xf borderId="0" fillId="55" fontId="5" numFmtId="172" xfId="0" applyAlignment="1" applyFill="1" applyFont="1" applyNumberFormat="1">
      <alignment horizontal="right" vertical="bottom"/>
    </xf>
    <xf borderId="0" fillId="56" fontId="5" numFmtId="172" xfId="0" applyAlignment="1" applyFill="1" applyFont="1" applyNumberFormat="1">
      <alignment horizontal="right" vertical="bottom"/>
    </xf>
    <xf borderId="0" fillId="57" fontId="5" numFmtId="172" xfId="0" applyAlignment="1" applyFill="1" applyFont="1" applyNumberFormat="1">
      <alignment horizontal="right" vertical="bottom"/>
    </xf>
    <xf borderId="0" fillId="58" fontId="5" numFmtId="172" xfId="0" applyAlignment="1" applyFill="1" applyFont="1" applyNumberFormat="1">
      <alignment horizontal="right" vertical="bottom"/>
    </xf>
    <xf borderId="0" fillId="59" fontId="5" numFmtId="172" xfId="0" applyAlignment="1" applyFill="1" applyFont="1" applyNumberFormat="1">
      <alignment horizontal="right" vertical="bottom"/>
    </xf>
    <xf borderId="0" fillId="60" fontId="5" numFmtId="172" xfId="0" applyAlignment="1" applyFill="1" applyFont="1" applyNumberFormat="1">
      <alignment horizontal="right" vertical="bottom"/>
    </xf>
    <xf borderId="0" fillId="61" fontId="5" numFmtId="172" xfId="0" applyAlignment="1" applyFill="1" applyFont="1" applyNumberFormat="1">
      <alignment horizontal="right" vertical="bottom"/>
    </xf>
    <xf borderId="0" fillId="62" fontId="5" numFmtId="172" xfId="0" applyAlignment="1" applyFill="1" applyFont="1" applyNumberFormat="1">
      <alignment horizontal="right" vertical="bottom"/>
    </xf>
    <xf borderId="0" fillId="63" fontId="5" numFmtId="172" xfId="0" applyAlignment="1" applyFill="1" applyFont="1" applyNumberFormat="1">
      <alignment horizontal="right" vertical="bottom"/>
    </xf>
    <xf borderId="0" fillId="64" fontId="5" numFmtId="172" xfId="0" applyAlignment="1" applyFill="1" applyFont="1" applyNumberFormat="1">
      <alignment horizontal="right" vertical="bottom"/>
    </xf>
    <xf borderId="0" fillId="65" fontId="5" numFmtId="172" xfId="0" applyAlignment="1" applyFill="1" applyFont="1" applyNumberFormat="1">
      <alignment horizontal="right" vertical="bottom"/>
    </xf>
    <xf borderId="0" fillId="0" fontId="5" numFmtId="165" xfId="0" applyAlignment="1" applyFont="1" applyNumberFormat="1">
      <alignment vertical="bottom"/>
    </xf>
    <xf borderId="0" fillId="0" fontId="5" numFmtId="172" xfId="0" applyAlignment="1" applyFont="1" applyNumberFormat="1">
      <alignment horizontal="right" readingOrder="0" vertical="bottom"/>
    </xf>
    <xf borderId="0" fillId="66" fontId="5" numFmtId="165" xfId="0" applyAlignment="1" applyFill="1" applyFont="1" applyNumberFormat="1">
      <alignment vertical="bottom"/>
    </xf>
    <xf borderId="0" fillId="0" fontId="29" numFmtId="172" xfId="0" applyAlignment="1" applyFont="1" applyNumberFormat="1">
      <alignment horizontal="right" readingOrder="0" vertical="bottom"/>
    </xf>
    <xf borderId="0" fillId="0" fontId="5" numFmtId="172" xfId="0" applyAlignment="1" applyFont="1" applyNumberFormat="1">
      <alignment readingOrder="0" vertical="bottom"/>
    </xf>
    <xf borderId="0" fillId="0" fontId="19" numFmtId="172" xfId="0" applyAlignment="1" applyFont="1" applyNumberFormat="1">
      <alignment readingOrder="0" vertical="bottom"/>
    </xf>
    <xf borderId="0" fillId="0" fontId="29" numFmtId="172" xfId="0" applyAlignment="1" applyFont="1" applyNumberFormat="1">
      <alignment readingOrder="0" vertical="bottom"/>
    </xf>
    <xf borderId="0" fillId="0" fontId="5" numFmtId="165" xfId="0" applyAlignment="1" applyFont="1" applyNumberFormat="1">
      <alignment readingOrder="0" vertical="bottom"/>
    </xf>
    <xf borderId="1" fillId="67" fontId="32" numFmtId="0" xfId="0" applyAlignment="1" applyBorder="1" applyFill="1" applyFont="1">
      <alignment readingOrder="0" vertical="bottom"/>
    </xf>
    <xf borderId="2" fillId="0" fontId="11" numFmtId="166" xfId="0" applyAlignment="1" applyBorder="1" applyFont="1" applyNumberFormat="1">
      <alignment horizontal="right" vertical="bottom"/>
    </xf>
    <xf borderId="0" fillId="13" fontId="17" numFmtId="176" xfId="0" applyAlignment="1" applyFont="1" applyNumberFormat="1">
      <alignment horizontal="left" readingOrder="0" vertical="bottom"/>
    </xf>
    <xf borderId="0" fillId="13" fontId="17" numFmtId="164" xfId="0" applyAlignment="1" applyFont="1" applyNumberFormat="1">
      <alignment horizontal="left" readingOrder="0" vertical="bottom"/>
    </xf>
    <xf borderId="0" fillId="9" fontId="17" numFmtId="0" xfId="0" applyAlignment="1" applyFont="1">
      <alignment readingOrder="0" vertical="bottom"/>
    </xf>
    <xf borderId="0" fillId="0" fontId="17" numFmtId="0" xfId="0" applyAlignment="1" applyFont="1">
      <alignment readingOrder="0" vertical="bottom"/>
    </xf>
    <xf borderId="0" fillId="0" fontId="1" numFmtId="0" xfId="0" applyAlignment="1" applyFont="1">
      <alignment readingOrder="0" shrinkToFit="0" wrapText="1"/>
    </xf>
    <xf borderId="0" fillId="13" fontId="1" numFmtId="0" xfId="0" applyAlignment="1" applyFont="1">
      <alignment readingOrder="0"/>
    </xf>
    <xf borderId="0" fillId="20" fontId="1" numFmtId="0" xfId="0" applyAlignment="1" applyFont="1">
      <alignment readingOrder="0" shrinkToFit="0"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13" fontId="1" numFmtId="0" xfId="0" applyAlignment="1" applyFont="1">
      <alignment horizontal="center" readingOrder="0"/>
    </xf>
    <xf borderId="0" fillId="13" fontId="1" numFmtId="0" xfId="0" applyAlignment="1" applyFont="1">
      <alignment readingOrder="0" shrinkToFit="0" wrapText="1"/>
    </xf>
    <xf borderId="0" fillId="0" fontId="1" numFmtId="0" xfId="0" applyAlignment="1" applyFont="1">
      <alignment horizontal="center" readingOrder="0" shrinkToFit="0" vertical="center" wrapText="1"/>
    </xf>
    <xf borderId="0" fillId="0" fontId="33" numFmtId="166" xfId="0" applyAlignment="1" applyFont="1" applyNumberFormat="1">
      <alignment horizontal="right" readingOrder="0"/>
    </xf>
    <xf borderId="0" fillId="0" fontId="0" numFmtId="166" xfId="0" applyAlignment="1" applyFont="1" applyNumberFormat="1">
      <alignment horizontal="right" readingOrder="0"/>
    </xf>
    <xf borderId="0" fillId="68" fontId="1" numFmtId="0" xfId="0" applyAlignment="1" applyFill="1" applyFont="1">
      <alignment readingOrder="0"/>
    </xf>
    <xf borderId="0" fillId="68" fontId="1" numFmtId="166" xfId="0" applyFont="1" applyNumberFormat="1"/>
    <xf borderId="0" fillId="0" fontId="1" numFmtId="3" xfId="0" applyAlignment="1" applyFont="1" applyNumberFormat="1">
      <alignment readingOrder="0"/>
    </xf>
    <xf borderId="0" fillId="44" fontId="1" numFmtId="0" xfId="0" applyAlignment="1" applyFont="1">
      <alignment readingOrder="0"/>
    </xf>
    <xf borderId="0" fillId="44" fontId="1" numFmtId="166" xfId="0" applyFont="1" applyNumberFormat="1"/>
    <xf borderId="0" fillId="0" fontId="1" numFmtId="2" xfId="0" applyFont="1" applyNumberFormat="1"/>
    <xf borderId="0" fillId="0" fontId="1" numFmtId="166" xfId="0" applyAlignment="1" applyFont="1" applyNumberFormat="1">
      <alignment horizontal="right" readingOrder="0"/>
    </xf>
    <xf borderId="0" fillId="0" fontId="34" numFmtId="166" xfId="0" applyAlignment="1" applyFont="1" applyNumberFormat="1">
      <alignment horizontal="right" readingOrder="0" vertical="bottom"/>
    </xf>
    <xf borderId="0" fillId="0" fontId="35" numFmtId="10" xfId="0" applyAlignment="1" applyFont="1" applyNumberFormat="1">
      <alignment readingOrder="0"/>
    </xf>
    <xf borderId="0" fillId="0" fontId="35" numFmtId="10" xfId="0" applyAlignment="1" applyFont="1" applyNumberFormat="1">
      <alignment horizontal="right" readingOrder="0"/>
    </xf>
    <xf borderId="0" fillId="21" fontId="1" numFmtId="10" xfId="0" applyAlignment="1" applyFont="1" applyNumberFormat="1">
      <alignment readingOrder="0"/>
    </xf>
    <xf borderId="6" fillId="0" fontId="36" numFmtId="10" xfId="0" applyAlignment="1" applyBorder="1" applyFont="1" applyNumberFormat="1">
      <alignment horizontal="right" readingOrder="0" vertical="top"/>
    </xf>
    <xf borderId="0" fillId="0" fontId="17" numFmtId="10" xfId="0" applyAlignment="1" applyFont="1" applyNumberFormat="1">
      <alignment horizontal="right" readingOrder="0" vertical="bottom"/>
    </xf>
    <xf borderId="0" fillId="21" fontId="17" numFmtId="10" xfId="0" applyAlignment="1" applyFont="1" applyNumberFormat="1">
      <alignment horizontal="right" readingOrder="0" vertical="bottom"/>
    </xf>
    <xf borderId="0" fillId="4" fontId="37" numFmtId="0" xfId="0" applyFont="1"/>
    <xf borderId="0" fillId="13" fontId="1" numFmtId="177" xfId="0" applyAlignment="1" applyFont="1" applyNumberFormat="1">
      <alignment readingOrder="0"/>
    </xf>
    <xf borderId="0" fillId="13" fontId="1" numFmtId="0" xfId="0" applyAlignment="1" applyFont="1">
      <alignment horizontal="right" readingOrder="0"/>
    </xf>
    <xf borderId="0" fillId="0" fontId="38" numFmtId="169" xfId="0" applyAlignment="1" applyFont="1" applyNumberFormat="1">
      <alignment readingOrder="0"/>
    </xf>
    <xf borderId="0" fillId="0" fontId="38" numFmtId="10" xfId="0" applyFont="1" applyNumberFormat="1"/>
    <xf borderId="0" fillId="0" fontId="38" numFmtId="2" xfId="0" applyAlignment="1" applyFont="1" applyNumberFormat="1">
      <alignment readingOrder="0"/>
    </xf>
    <xf borderId="0" fillId="0" fontId="38" numFmtId="166" xfId="0" applyAlignment="1" applyFont="1" applyNumberFormat="1">
      <alignment readingOrder="0"/>
    </xf>
    <xf borderId="0" fillId="0" fontId="38" numFmtId="10" xfId="0" applyAlignment="1" applyFont="1" applyNumberFormat="1">
      <alignment readingOrder="0"/>
    </xf>
    <xf borderId="0" fillId="0" fontId="1" numFmtId="3" xfId="0" applyFont="1" applyNumberFormat="1"/>
    <xf borderId="0" fillId="0" fontId="38" numFmtId="0" xfId="0" applyAlignment="1" applyFont="1">
      <alignment readingOrder="0"/>
    </xf>
    <xf borderId="0" fillId="0" fontId="39" numFmtId="166" xfId="0" applyAlignment="1" applyFont="1" applyNumberFormat="1">
      <alignment horizontal="left" readingOrder="0"/>
    </xf>
    <xf borderId="1" fillId="0" fontId="40" numFmtId="0" xfId="0" applyAlignment="1" applyBorder="1" applyFont="1">
      <alignment readingOrder="0" vertical="bottom"/>
    </xf>
    <xf borderId="0" fillId="0" fontId="40" numFmtId="172" xfId="0" applyAlignment="1" applyFont="1" applyNumberFormat="1">
      <alignment horizontal="right" vertical="bottom"/>
    </xf>
    <xf borderId="1" fillId="69" fontId="41" numFmtId="172" xfId="0" applyAlignment="1" applyBorder="1" applyFill="1" applyFont="1" applyNumberFormat="1">
      <alignment horizontal="right" vertical="bottom"/>
    </xf>
    <xf borderId="2" fillId="0" fontId="17" numFmtId="0" xfId="0" applyBorder="1" applyFont="1"/>
    <xf borderId="1" fillId="70" fontId="5" numFmtId="0" xfId="0" applyAlignment="1" applyBorder="1" applyFill="1" applyFont="1">
      <alignment readingOrder="0" vertical="bottom"/>
    </xf>
    <xf borderId="0" fillId="0" fontId="11" numFmtId="10" xfId="0" applyAlignment="1" applyFont="1" applyNumberFormat="1">
      <alignment horizontal="right" vertical="bottom"/>
    </xf>
    <xf borderId="1" fillId="0" fontId="5" numFmtId="172" xfId="0" applyAlignment="1" applyBorder="1" applyFont="1" applyNumberFormat="1">
      <alignment readingOrder="0" vertical="bottom"/>
    </xf>
    <xf borderId="0" fillId="0" fontId="5" numFmtId="2" xfId="0" applyAlignment="1" applyFont="1" applyNumberFormat="1">
      <alignment horizontal="right" vertical="bottom"/>
    </xf>
    <xf borderId="1" fillId="70" fontId="5" numFmtId="0" xfId="0" applyAlignment="1" applyBorder="1" applyFont="1">
      <alignment vertical="bottom"/>
    </xf>
    <xf borderId="2" fillId="0" fontId="17" numFmtId="172" xfId="0" applyAlignment="1" applyBorder="1" applyFont="1" applyNumberFormat="1">
      <alignment horizontal="right" vertical="bottom"/>
    </xf>
    <xf borderId="0" fillId="0" fontId="17" numFmtId="172" xfId="0" applyAlignment="1" applyFont="1" applyNumberFormat="1">
      <alignment horizontal="right" vertical="bottom"/>
    </xf>
    <xf borderId="0" fillId="0" fontId="5" numFmtId="178" xfId="0" applyAlignment="1" applyFont="1" applyNumberFormat="1">
      <alignment vertical="bottom"/>
    </xf>
    <xf borderId="2" fillId="0" fontId="5" numFmtId="178" xfId="0" applyAlignment="1" applyBorder="1" applyFont="1" applyNumberFormat="1">
      <alignment vertical="bottom"/>
    </xf>
    <xf borderId="1" fillId="0" fontId="5" numFmtId="10" xfId="0" applyAlignment="1" applyBorder="1" applyFont="1" applyNumberFormat="1">
      <alignment horizontal="right" vertical="bottom"/>
    </xf>
  </cellXfs>
  <cellStyles count="1">
    <cellStyle xfId="0" name="Normal" builtinId="0"/>
  </cellStyles>
  <dxfs count="5">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Sales!$B$1:$AC$1</c:f>
            </c:strRef>
          </c:cat>
          <c:val>
            <c:numRef>
              <c:f>Sales!$B$9:$AC$9</c:f>
              <c:numCache/>
            </c:numRef>
          </c:val>
        </c:ser>
        <c:ser>
          <c:idx val="1"/>
          <c:order val="1"/>
          <c:tx>
            <c:strRef>
              <c:f>Sales!$A$18</c:f>
            </c:strRef>
          </c:tx>
          <c:spPr>
            <a:solidFill>
              <a:srgbClr val="EA4335">
                <a:alpha val="30000"/>
              </a:srgbClr>
            </a:solidFill>
            <a:ln cmpd="sng">
              <a:solidFill>
                <a:srgbClr val="EA4335"/>
              </a:solidFill>
            </a:ln>
          </c:spPr>
          <c:cat>
            <c:strRef>
              <c:f>Sales!$B$1:$AC$1</c:f>
            </c:strRef>
          </c:cat>
          <c:val>
            <c:numRef>
              <c:f>Sales!$B$18:$AC$18</c:f>
              <c:numCache/>
            </c:numRef>
          </c:val>
        </c:ser>
        <c:axId val="60349204"/>
        <c:axId val="1493906906"/>
      </c:areaChart>
      <c:catAx>
        <c:axId val="603492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93906906"/>
      </c:catAx>
      <c:valAx>
        <c:axId val="14939069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34920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Sales!$A$28</c:f>
            </c:strRef>
          </c:tx>
          <c:spPr>
            <a:solidFill>
              <a:schemeClr val="accent1"/>
            </a:solidFill>
            <a:ln cmpd="sng">
              <a:noFill/>
            </a:ln>
          </c:spPr>
          <c:cat>
            <c:strRef>
              <c:f>Sales!$C$1:$AC$1</c:f>
            </c:strRef>
          </c:cat>
          <c:val>
            <c:numRef>
              <c:f>Sales!$B$28:$AC$28</c:f>
              <c:numCache/>
            </c:numRef>
          </c:val>
        </c:ser>
        <c:ser>
          <c:idx val="1"/>
          <c:order val="1"/>
          <c:tx>
            <c:strRef>
              <c:f>Sales!$A$29</c:f>
            </c:strRef>
          </c:tx>
          <c:spPr>
            <a:solidFill>
              <a:schemeClr val="accent2"/>
            </a:solidFill>
            <a:ln cmpd="sng">
              <a:noFill/>
            </a:ln>
          </c:spPr>
          <c:dPt>
            <c:idx val="3"/>
          </c:dPt>
          <c:cat>
            <c:strRef>
              <c:f>Sales!$C$1:$AC$1</c:f>
            </c:strRef>
          </c:cat>
          <c:val>
            <c:numRef>
              <c:f>Sales!$B$29:$AC$29</c:f>
              <c:numCache/>
            </c:numRef>
          </c:val>
        </c:ser>
        <c:overlap val="100"/>
        <c:axId val="1340075576"/>
        <c:axId val="1555640961"/>
      </c:barChart>
      <c:catAx>
        <c:axId val="1340075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5640961"/>
      </c:catAx>
      <c:valAx>
        <c:axId val="1555640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007557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75</xdr:row>
      <xdr:rowOff>152400</xdr:rowOff>
    </xdr:from>
    <xdr:ext cx="6991350"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57</xdr:row>
      <xdr:rowOff>152400</xdr:rowOff>
    </xdr:from>
    <xdr:ext cx="6991350"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57</xdr:row>
      <xdr:rowOff>152400</xdr:rowOff>
    </xdr:from>
    <xdr:ext cx="14335125" cy="780097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96</xdr:row>
      <xdr:rowOff>190500</xdr:rowOff>
    </xdr:from>
    <xdr:ext cx="6943725" cy="4248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d6c13a0c-1595-48cb-bdf6-bb0767074f3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8" dT="2023-06-28T11:56:40.00" personId="{d6c13a0c-1595-48cb-bdf6-bb0767074f3b}" id="{39919dc6-76db-48fd-9477-12ce60e9a06c}" done="0">
    <x18tc:text xml:space="preserve">Shopify + WooCommerce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idUECWQit7UswbbGO_Mwza2jbXN-FdVQfZHfyVTjgds/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dhD3sTz_Knf_w4H3JhgYXhxBusiSvSSuRyK3HNU1E0E/edit?usp=shari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12</v>
      </c>
      <c r="M1" s="1" t="s">
        <v>13</v>
      </c>
      <c r="N1" s="1" t="s">
        <v>15</v>
      </c>
      <c r="O1" s="1" t="s">
        <v>16</v>
      </c>
      <c r="P1" s="1" t="s">
        <v>17</v>
      </c>
      <c r="Q1" s="1" t="s">
        <v>18</v>
      </c>
      <c r="R1" s="1" t="s">
        <v>19</v>
      </c>
      <c r="S1" s="1" t="s">
        <v>20</v>
      </c>
      <c r="T1" s="1" t="s">
        <v>21</v>
      </c>
      <c r="U1" s="1" t="s">
        <v>22</v>
      </c>
      <c r="V1" s="1" t="s">
        <v>23</v>
      </c>
      <c r="W1" s="1" t="s">
        <v>24</v>
      </c>
      <c r="X1" s="1" t="s">
        <v>25</v>
      </c>
      <c r="Y1" s="1" t="s">
        <v>26</v>
      </c>
      <c r="Z1" s="1" t="s">
        <v>28</v>
      </c>
      <c r="AA1" s="1" t="s">
        <v>29</v>
      </c>
      <c r="AB1" s="1" t="s">
        <v>30</v>
      </c>
      <c r="AC1" s="1" t="s">
        <v>32</v>
      </c>
      <c r="AD1" s="1" t="s">
        <v>33</v>
      </c>
      <c r="AE1" s="1" t="s">
        <v>34</v>
      </c>
      <c r="AF1" s="1" t="s">
        <v>35</v>
      </c>
      <c r="AG1" s="1" t="s">
        <v>36</v>
      </c>
      <c r="AH1" s="1" t="s">
        <v>37</v>
      </c>
      <c r="AI1" s="1" t="s">
        <v>38</v>
      </c>
      <c r="AJ1" s="1" t="s">
        <v>40</v>
      </c>
      <c r="AK1" s="1" t="s">
        <v>41</v>
      </c>
      <c r="AL1" s="1" t="s">
        <v>43</v>
      </c>
      <c r="AM1" s="1" t="s">
        <v>45</v>
      </c>
      <c r="AN1" s="1" t="s">
        <v>48</v>
      </c>
      <c r="AO1" s="1" t="s">
        <v>51</v>
      </c>
    </row>
    <row r="2">
      <c r="A2" s="1" t="s">
        <v>53</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B$3:$C$4")</f>
        <v>$B$3:$C$4</v>
      </c>
      <c r="D2" s="19">
        <v>44518.61325231481</v>
      </c>
      <c r="E2" s="19">
        <v>44520.05126157407</v>
      </c>
      <c r="F2" s="1" t="s">
        <v>63</v>
      </c>
      <c r="I2" s="20">
        <v>7.0</v>
      </c>
      <c r="J2" s="1" t="s">
        <v>65</v>
      </c>
      <c r="L2" s="1" t="s">
        <v>66</v>
      </c>
      <c r="M2" s="1" t="s">
        <v>67</v>
      </c>
      <c r="R2" s="1" t="s">
        <v>68</v>
      </c>
      <c r="S2" s="1" t="s">
        <v>69</v>
      </c>
      <c r="T2" s="1" t="s">
        <v>71</v>
      </c>
      <c r="U2" s="1" t="s">
        <v>72</v>
      </c>
      <c r="V2" s="1" t="s">
        <v>72</v>
      </c>
      <c r="W2" s="1" t="s">
        <v>72</v>
      </c>
      <c r="Y2" s="1" t="s">
        <v>72</v>
      </c>
      <c r="Z2" s="20">
        <v>5.0</v>
      </c>
      <c r="AA2" s="20">
        <v>5.0</v>
      </c>
      <c r="AB2" s="1" t="s">
        <v>74</v>
      </c>
      <c r="AC2" s="1" t="s">
        <v>74</v>
      </c>
      <c r="AL2" s="1" t="s">
        <v>75</v>
      </c>
      <c r="AN2" s="1" t="s">
        <v>72</v>
      </c>
      <c r="AO2" s="1" t="s">
        <v>76</v>
      </c>
    </row>
    <row r="3">
      <c r="A3" s="1" t="s">
        <v>77</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D$3:$E$4")</f>
        <v>$D$3:$E$4</v>
      </c>
      <c r="D3" s="19">
        <v>44518.615324074075</v>
      </c>
      <c r="E3" s="19">
        <v>44520.0512962963</v>
      </c>
      <c r="F3" s="1" t="s">
        <v>63</v>
      </c>
      <c r="I3" s="20">
        <v>7.0</v>
      </c>
      <c r="J3" s="1" t="s">
        <v>65</v>
      </c>
      <c r="L3" s="1" t="s">
        <v>66</v>
      </c>
      <c r="M3" s="1" t="s">
        <v>67</v>
      </c>
      <c r="R3" s="1" t="s">
        <v>81</v>
      </c>
      <c r="S3" s="1" t="s">
        <v>69</v>
      </c>
      <c r="T3" s="1" t="s">
        <v>72</v>
      </c>
      <c r="U3" s="1" t="s">
        <v>71</v>
      </c>
      <c r="V3" s="1" t="s">
        <v>72</v>
      </c>
      <c r="W3" s="1" t="s">
        <v>72</v>
      </c>
      <c r="Y3" s="1" t="s">
        <v>72</v>
      </c>
      <c r="Z3" s="20">
        <v>5.0</v>
      </c>
      <c r="AA3" s="20">
        <v>5.0</v>
      </c>
      <c r="AB3" s="1" t="s">
        <v>74</v>
      </c>
      <c r="AC3" s="1" t="s">
        <v>74</v>
      </c>
      <c r="AL3" s="1" t="s">
        <v>75</v>
      </c>
      <c r="AN3" s="1" t="s">
        <v>72</v>
      </c>
      <c r="AO3" s="1" t="s">
        <v>76</v>
      </c>
    </row>
    <row r="4">
      <c r="A4" s="1" t="s">
        <v>83</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B$5:$D$6")</f>
        <v>$B$5:$D$6</v>
      </c>
      <c r="D4" s="19">
        <v>44518.61782407407</v>
      </c>
      <c r="E4" s="19">
        <v>44520.05138888889</v>
      </c>
      <c r="F4" s="1" t="s">
        <v>63</v>
      </c>
      <c r="I4" s="20">
        <v>18.0</v>
      </c>
      <c r="J4" s="1" t="s">
        <v>65</v>
      </c>
      <c r="L4" s="1" t="s">
        <v>66</v>
      </c>
      <c r="M4" s="1" t="s">
        <v>67</v>
      </c>
      <c r="R4" s="1" t="s">
        <v>86</v>
      </c>
      <c r="S4" s="1" t="s">
        <v>87</v>
      </c>
      <c r="T4" s="1" t="s">
        <v>71</v>
      </c>
      <c r="U4" s="1" t="s">
        <v>72</v>
      </c>
      <c r="V4" s="1" t="s">
        <v>72</v>
      </c>
      <c r="W4" s="1" t="s">
        <v>72</v>
      </c>
      <c r="Y4" s="1" t="s">
        <v>72</v>
      </c>
      <c r="Z4" s="20">
        <v>5.0</v>
      </c>
      <c r="AA4" s="20">
        <v>5.0</v>
      </c>
      <c r="AB4" s="1" t="s">
        <v>74</v>
      </c>
      <c r="AC4" s="1" t="s">
        <v>74</v>
      </c>
      <c r="AL4" s="1" t="s">
        <v>75</v>
      </c>
      <c r="AN4" s="1" t="s">
        <v>72</v>
      </c>
      <c r="AO4" s="1" t="s">
        <v>76</v>
      </c>
    </row>
    <row r="5">
      <c r="A5" s="1" t="s">
        <v>91</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C$9:$D$10")</f>
        <v>$C$9:$D$10</v>
      </c>
      <c r="D5" s="19">
        <v>44518.619479166664</v>
      </c>
      <c r="E5" s="19">
        <v>44520.05134259259</v>
      </c>
      <c r="F5" s="1" t="s">
        <v>63</v>
      </c>
      <c r="I5" s="20">
        <v>7.0</v>
      </c>
      <c r="J5" s="1" t="s">
        <v>65</v>
      </c>
      <c r="L5" s="1" t="s">
        <v>66</v>
      </c>
      <c r="M5" s="1" t="s">
        <v>67</v>
      </c>
      <c r="R5" s="1" t="s">
        <v>97</v>
      </c>
      <c r="S5" s="1" t="s">
        <v>69</v>
      </c>
      <c r="T5" s="1" t="s">
        <v>71</v>
      </c>
      <c r="U5" s="1" t="s">
        <v>72</v>
      </c>
      <c r="V5" s="1" t="s">
        <v>72</v>
      </c>
      <c r="W5" s="1" t="s">
        <v>72</v>
      </c>
      <c r="Y5" s="1" t="s">
        <v>72</v>
      </c>
      <c r="Z5" s="20">
        <v>100.0</v>
      </c>
      <c r="AA5" s="20">
        <v>100.0</v>
      </c>
      <c r="AB5" s="1" t="s">
        <v>74</v>
      </c>
      <c r="AC5" s="1" t="s">
        <v>74</v>
      </c>
      <c r="AL5" s="1" t="s">
        <v>75</v>
      </c>
      <c r="AN5" s="1" t="s">
        <v>72</v>
      </c>
      <c r="AO5" s="1" t="s">
        <v>76</v>
      </c>
    </row>
    <row r="6">
      <c r="A6" s="1" t="s">
        <v>98</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H$3:$I$3")</f>
        <v>$H$3:$I$3</v>
      </c>
      <c r="D6" s="19">
        <v>44518.620729166665</v>
      </c>
      <c r="E6" s="19">
        <v>44520.05142361111</v>
      </c>
      <c r="F6" s="1" t="s">
        <v>63</v>
      </c>
      <c r="I6" s="20">
        <v>18.0</v>
      </c>
      <c r="J6" s="1" t="s">
        <v>65</v>
      </c>
      <c r="L6" s="1" t="s">
        <v>66</v>
      </c>
      <c r="M6" s="1" t="s">
        <v>67</v>
      </c>
      <c r="R6" s="1" t="s">
        <v>100</v>
      </c>
      <c r="S6" s="1" t="s">
        <v>69</v>
      </c>
      <c r="T6" s="1" t="s">
        <v>72</v>
      </c>
      <c r="U6" s="1" t="s">
        <v>72</v>
      </c>
      <c r="V6" s="1" t="s">
        <v>72</v>
      </c>
      <c r="W6" s="1" t="s">
        <v>72</v>
      </c>
      <c r="Y6" s="1" t="s">
        <v>72</v>
      </c>
      <c r="Z6" s="20">
        <v>100.0</v>
      </c>
      <c r="AA6" s="20">
        <v>100.0</v>
      </c>
      <c r="AB6" s="1" t="s">
        <v>102</v>
      </c>
      <c r="AC6" s="1" t="s">
        <v>74</v>
      </c>
      <c r="AL6" s="1" t="s">
        <v>75</v>
      </c>
      <c r="AN6" s="1" t="s">
        <v>72</v>
      </c>
      <c r="AO6" s="1" t="s">
        <v>76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38"/>
    <col customWidth="1" min="2" max="2" width="11.75"/>
    <col customWidth="1" min="3" max="13" width="10.25"/>
    <col customWidth="1" min="14" max="14" width="11.25"/>
    <col customWidth="1" min="15" max="31" width="10.25"/>
  </cols>
  <sheetData>
    <row r="1">
      <c r="A1" s="327">
        <v>45078.0</v>
      </c>
      <c r="B1" s="328">
        <v>45078.0</v>
      </c>
      <c r="C1" s="328">
        <v>45079.0</v>
      </c>
      <c r="D1" s="328">
        <v>45080.0</v>
      </c>
      <c r="E1" s="328">
        <v>45081.0</v>
      </c>
      <c r="F1" s="328">
        <v>45082.0</v>
      </c>
      <c r="G1" s="328">
        <v>45083.0</v>
      </c>
      <c r="H1" s="328">
        <v>45084.0</v>
      </c>
      <c r="I1" s="328">
        <v>45085.0</v>
      </c>
      <c r="J1" s="328">
        <v>45086.0</v>
      </c>
      <c r="K1" s="328">
        <v>45087.0</v>
      </c>
      <c r="L1" s="328">
        <v>45088.0</v>
      </c>
      <c r="M1" s="328">
        <v>45089.0</v>
      </c>
      <c r="N1" s="328">
        <v>45090.0</v>
      </c>
      <c r="O1" s="328">
        <v>45091.0</v>
      </c>
      <c r="P1" s="328">
        <v>45092.0</v>
      </c>
      <c r="Q1" s="328">
        <v>45093.0</v>
      </c>
      <c r="R1" s="328">
        <v>45094.0</v>
      </c>
      <c r="S1" s="328">
        <v>45095.0</v>
      </c>
      <c r="T1" s="328">
        <v>45096.0</v>
      </c>
      <c r="U1" s="328">
        <v>45097.0</v>
      </c>
      <c r="V1" s="328">
        <v>45098.0</v>
      </c>
      <c r="W1" s="328">
        <v>45099.0</v>
      </c>
      <c r="X1" s="328">
        <v>45100.0</v>
      </c>
      <c r="Y1" s="328">
        <v>45101.0</v>
      </c>
      <c r="Z1" s="328">
        <v>45102.0</v>
      </c>
      <c r="AA1" s="328">
        <v>45103.0</v>
      </c>
      <c r="AB1" s="328">
        <v>45104.0</v>
      </c>
      <c r="AC1" s="328">
        <v>45105.0</v>
      </c>
      <c r="AD1" s="328">
        <v>45106.0</v>
      </c>
      <c r="AE1" s="328">
        <v>45107.0</v>
      </c>
    </row>
    <row r="2">
      <c r="B2" s="329" t="s">
        <v>42</v>
      </c>
      <c r="C2" s="329" t="s">
        <v>44</v>
      </c>
      <c r="D2" s="329" t="s">
        <v>46</v>
      </c>
      <c r="E2" s="329" t="s">
        <v>47</v>
      </c>
      <c r="F2" s="329" t="s">
        <v>49</v>
      </c>
      <c r="G2" s="329" t="s">
        <v>50</v>
      </c>
      <c r="H2" s="329" t="s">
        <v>52</v>
      </c>
      <c r="I2" s="329" t="s">
        <v>42</v>
      </c>
      <c r="J2" s="329" t="s">
        <v>44</v>
      </c>
      <c r="K2" s="329" t="s">
        <v>46</v>
      </c>
      <c r="L2" s="329" t="s">
        <v>47</v>
      </c>
      <c r="M2" s="329" t="s">
        <v>49</v>
      </c>
      <c r="N2" s="329" t="s">
        <v>50</v>
      </c>
      <c r="O2" s="329" t="s">
        <v>52</v>
      </c>
      <c r="P2" s="329" t="s">
        <v>42</v>
      </c>
      <c r="Q2" s="329" t="s">
        <v>44</v>
      </c>
      <c r="R2" s="329" t="s">
        <v>46</v>
      </c>
      <c r="S2" s="329" t="s">
        <v>47</v>
      </c>
      <c r="T2" s="329" t="s">
        <v>49</v>
      </c>
      <c r="U2" s="329" t="s">
        <v>50</v>
      </c>
      <c r="V2" s="329" t="s">
        <v>52</v>
      </c>
      <c r="W2" s="329" t="s">
        <v>42</v>
      </c>
      <c r="X2" s="329" t="s">
        <v>44</v>
      </c>
      <c r="Y2" s="329" t="s">
        <v>46</v>
      </c>
      <c r="Z2" s="329" t="s">
        <v>47</v>
      </c>
      <c r="AA2" s="329" t="s">
        <v>49</v>
      </c>
      <c r="AB2" s="329" t="s">
        <v>50</v>
      </c>
      <c r="AC2" s="329" t="s">
        <v>52</v>
      </c>
      <c r="AD2" s="329" t="s">
        <v>42</v>
      </c>
      <c r="AE2" s="329" t="s">
        <v>44</v>
      </c>
    </row>
    <row r="3">
      <c r="A3" s="1" t="s">
        <v>413</v>
      </c>
      <c r="B3" s="1"/>
      <c r="C3" s="1"/>
      <c r="D3" s="330" t="s">
        <v>414</v>
      </c>
      <c r="E3" s="330" t="s">
        <v>414</v>
      </c>
      <c r="F3" s="1"/>
      <c r="G3" s="1"/>
      <c r="H3" s="1"/>
      <c r="I3" s="1"/>
      <c r="J3" s="1"/>
      <c r="K3" s="330" t="s">
        <v>415</v>
      </c>
      <c r="L3" s="1" t="s">
        <v>415</v>
      </c>
      <c r="M3" s="1"/>
      <c r="N3" s="1"/>
      <c r="O3" s="1"/>
      <c r="P3" s="1"/>
      <c r="Q3" s="1"/>
      <c r="R3" s="1" t="s">
        <v>414</v>
      </c>
      <c r="S3" s="1" t="s">
        <v>414</v>
      </c>
      <c r="T3" s="1"/>
      <c r="U3" s="1"/>
      <c r="V3" s="1"/>
      <c r="W3" s="1"/>
      <c r="X3" s="1"/>
      <c r="Y3" s="1" t="s">
        <v>414</v>
      </c>
      <c r="Z3" s="330" t="s">
        <v>414</v>
      </c>
      <c r="AA3" s="1"/>
      <c r="AC3" s="1"/>
      <c r="AD3" s="1"/>
      <c r="AE3" s="1"/>
    </row>
    <row r="4">
      <c r="M4" s="331"/>
      <c r="O4" s="332" t="s">
        <v>417</v>
      </c>
      <c r="AE4" s="332" t="s">
        <v>418</v>
      </c>
    </row>
    <row r="5">
      <c r="A5" s="333"/>
      <c r="B5" s="334"/>
      <c r="C5" s="334"/>
      <c r="D5" s="335"/>
      <c r="E5" s="334"/>
      <c r="F5" s="334"/>
      <c r="G5" s="334"/>
      <c r="H5" s="334"/>
      <c r="I5" s="334"/>
      <c r="J5" s="334"/>
      <c r="K5" s="335"/>
      <c r="L5" s="334"/>
      <c r="M5" s="336" t="s">
        <v>419</v>
      </c>
      <c r="O5" s="331"/>
      <c r="P5" s="331"/>
      <c r="Q5" s="331"/>
      <c r="R5" s="331"/>
      <c r="S5" s="331"/>
      <c r="U5" s="337" t="s">
        <v>420</v>
      </c>
      <c r="AA5" s="331"/>
      <c r="AB5" s="337" t="s">
        <v>421</v>
      </c>
    </row>
    <row r="6">
      <c r="H6" s="334"/>
      <c r="K6" s="331"/>
      <c r="L6" s="145"/>
      <c r="Q6" s="338"/>
      <c r="R6" s="338"/>
      <c r="S6" s="338"/>
      <c r="T6" s="338"/>
      <c r="U6" s="338"/>
      <c r="V6" s="338"/>
      <c r="W6" s="338"/>
      <c r="X6" s="338"/>
      <c r="Y6" s="338"/>
      <c r="Z6" s="338"/>
    </row>
    <row r="8">
      <c r="A8" s="98" t="s">
        <v>422</v>
      </c>
      <c r="B8" s="339">
        <v>37285.47</v>
      </c>
      <c r="C8" s="14">
        <v>46599.75</v>
      </c>
      <c r="D8" s="14">
        <v>46367.55</v>
      </c>
      <c r="E8" s="14">
        <v>40297.62</v>
      </c>
      <c r="F8" s="14">
        <v>41509.4</v>
      </c>
      <c r="G8" s="14">
        <v>41342.95</v>
      </c>
      <c r="H8" s="14">
        <v>38115.1</v>
      </c>
      <c r="I8" s="14">
        <v>54242.89</v>
      </c>
      <c r="J8" s="14">
        <v>49227.15</v>
      </c>
      <c r="K8" s="14">
        <v>42538.3</v>
      </c>
      <c r="L8" s="14">
        <v>43625.02</v>
      </c>
      <c r="M8" s="14">
        <v>51022.38</v>
      </c>
      <c r="N8" s="14">
        <v>60134.96</v>
      </c>
      <c r="O8" s="14">
        <v>62926.35</v>
      </c>
      <c r="P8" s="14">
        <v>65481.78</v>
      </c>
      <c r="Q8" s="340">
        <v>57018.23</v>
      </c>
      <c r="R8" s="340">
        <v>69211.15</v>
      </c>
      <c r="S8" s="14">
        <v>94472.61</v>
      </c>
      <c r="T8" s="14">
        <v>63754.21</v>
      </c>
      <c r="U8" s="14">
        <v>27186.32</v>
      </c>
      <c r="V8" s="14">
        <v>14833.39</v>
      </c>
      <c r="W8" s="14">
        <v>15136.45</v>
      </c>
      <c r="X8" s="14">
        <v>18667.99</v>
      </c>
      <c r="Y8" s="14">
        <v>23460.16</v>
      </c>
      <c r="Z8" s="14">
        <v>44629.89</v>
      </c>
      <c r="AA8" s="14">
        <v>31036.14</v>
      </c>
      <c r="AB8" s="14">
        <v>28402.03</v>
      </c>
      <c r="AC8" s="14">
        <v>19037.19</v>
      </c>
      <c r="AD8" s="14">
        <v>21890.55</v>
      </c>
      <c r="AE8" s="14">
        <v>26087.44</v>
      </c>
    </row>
    <row r="9">
      <c r="A9" s="341" t="s">
        <v>423</v>
      </c>
      <c r="B9" s="342">
        <f t="shared" ref="B9:AE9" si="1">SUM(B8)</f>
        <v>37285.47</v>
      </c>
      <c r="C9" s="342">
        <f t="shared" si="1"/>
        <v>46599.75</v>
      </c>
      <c r="D9" s="342">
        <f t="shared" si="1"/>
        <v>46367.55</v>
      </c>
      <c r="E9" s="342">
        <f t="shared" si="1"/>
        <v>40297.62</v>
      </c>
      <c r="F9" s="342">
        <f t="shared" si="1"/>
        <v>41509.4</v>
      </c>
      <c r="G9" s="342">
        <f t="shared" si="1"/>
        <v>41342.95</v>
      </c>
      <c r="H9" s="342">
        <f t="shared" si="1"/>
        <v>38115.1</v>
      </c>
      <c r="I9" s="342">
        <f t="shared" si="1"/>
        <v>54242.89</v>
      </c>
      <c r="J9" s="342">
        <f t="shared" si="1"/>
        <v>49227.15</v>
      </c>
      <c r="K9" s="342">
        <f t="shared" si="1"/>
        <v>42538.3</v>
      </c>
      <c r="L9" s="342">
        <f t="shared" si="1"/>
        <v>43625.02</v>
      </c>
      <c r="M9" s="342">
        <f t="shared" si="1"/>
        <v>51022.38</v>
      </c>
      <c r="N9" s="342">
        <f t="shared" si="1"/>
        <v>60134.96</v>
      </c>
      <c r="O9" s="342">
        <f t="shared" si="1"/>
        <v>62926.35</v>
      </c>
      <c r="P9" s="342">
        <f t="shared" si="1"/>
        <v>65481.78</v>
      </c>
      <c r="Q9" s="342">
        <f t="shared" si="1"/>
        <v>57018.23</v>
      </c>
      <c r="R9" s="342">
        <f t="shared" si="1"/>
        <v>69211.15</v>
      </c>
      <c r="S9" s="342">
        <f t="shared" si="1"/>
        <v>94472.61</v>
      </c>
      <c r="T9" s="342">
        <f t="shared" si="1"/>
        <v>63754.21</v>
      </c>
      <c r="U9" s="342">
        <f t="shared" si="1"/>
        <v>27186.32</v>
      </c>
      <c r="V9" s="342">
        <f t="shared" si="1"/>
        <v>14833.39</v>
      </c>
      <c r="W9" s="342">
        <f t="shared" si="1"/>
        <v>15136.45</v>
      </c>
      <c r="X9" s="342">
        <f t="shared" si="1"/>
        <v>18667.99</v>
      </c>
      <c r="Y9" s="342">
        <f t="shared" si="1"/>
        <v>23460.16</v>
      </c>
      <c r="Z9" s="342">
        <f t="shared" si="1"/>
        <v>44629.89</v>
      </c>
      <c r="AA9" s="342">
        <f t="shared" si="1"/>
        <v>31036.14</v>
      </c>
      <c r="AB9" s="342">
        <f t="shared" si="1"/>
        <v>28402.03</v>
      </c>
      <c r="AC9" s="342">
        <f t="shared" si="1"/>
        <v>19037.19</v>
      </c>
      <c r="AD9" s="342">
        <f t="shared" si="1"/>
        <v>21890.55</v>
      </c>
      <c r="AE9" s="342">
        <f t="shared" si="1"/>
        <v>26087.44</v>
      </c>
    </row>
    <row r="10">
      <c r="A10" s="1" t="s">
        <v>424</v>
      </c>
      <c r="B10" s="343">
        <v>143.0</v>
      </c>
      <c r="C10" s="1">
        <v>152.0</v>
      </c>
      <c r="D10" s="1">
        <v>183.0</v>
      </c>
      <c r="E10" s="1">
        <v>156.0</v>
      </c>
      <c r="F10" s="1">
        <v>153.0</v>
      </c>
      <c r="G10" s="1">
        <v>165.0</v>
      </c>
      <c r="H10" s="1">
        <v>150.0</v>
      </c>
      <c r="I10" s="1">
        <v>205.0</v>
      </c>
      <c r="J10" s="1">
        <v>189.0</v>
      </c>
      <c r="K10" s="1">
        <v>166.0</v>
      </c>
      <c r="L10" s="1">
        <v>167.0</v>
      </c>
      <c r="M10" s="1">
        <v>227.0</v>
      </c>
      <c r="N10" s="1">
        <v>231.0</v>
      </c>
      <c r="O10" s="1">
        <v>238.0</v>
      </c>
      <c r="P10" s="1">
        <v>258.0</v>
      </c>
      <c r="Q10" s="1">
        <v>222.0</v>
      </c>
      <c r="R10" s="1">
        <v>263.0</v>
      </c>
      <c r="S10" s="1">
        <v>378.0</v>
      </c>
      <c r="T10" s="1">
        <v>245.0</v>
      </c>
      <c r="U10" s="1">
        <v>110.0</v>
      </c>
      <c r="V10" s="1">
        <v>66.0</v>
      </c>
      <c r="W10" s="1">
        <v>57.0</v>
      </c>
      <c r="X10" s="1">
        <v>89.0</v>
      </c>
      <c r="Y10" s="1">
        <v>90.0</v>
      </c>
      <c r="Z10" s="1">
        <v>175.0</v>
      </c>
      <c r="AA10" s="1">
        <v>110.0</v>
      </c>
      <c r="AB10" s="1">
        <f>69+42</f>
        <v>111</v>
      </c>
      <c r="AC10" s="1">
        <v>79.0</v>
      </c>
      <c r="AD10" s="1">
        <v>97.0</v>
      </c>
      <c r="AE10" s="1">
        <v>107.0</v>
      </c>
    </row>
    <row r="12">
      <c r="A12" s="98" t="s">
        <v>425</v>
      </c>
      <c r="B12" s="14">
        <v>5819.35</v>
      </c>
      <c r="C12" s="14">
        <v>6351.79</v>
      </c>
      <c r="D12" s="14">
        <v>6995.09</v>
      </c>
      <c r="E12" s="14">
        <v>6480.56</v>
      </c>
      <c r="F12" s="14">
        <v>5823.01</v>
      </c>
      <c r="G12" s="14">
        <v>5934.08</v>
      </c>
      <c r="H12" s="14">
        <v>5813.0</v>
      </c>
      <c r="I12" s="14">
        <v>5781.36</v>
      </c>
      <c r="J12" s="14">
        <v>5734.34</v>
      </c>
      <c r="K12" s="14">
        <v>5529.15</v>
      </c>
      <c r="L12" s="14">
        <v>6108.87</v>
      </c>
      <c r="M12" s="14">
        <v>6044.18</v>
      </c>
      <c r="N12" s="14">
        <v>5477.22</v>
      </c>
      <c r="O12" s="14">
        <v>5473.72</v>
      </c>
      <c r="P12" s="14">
        <v>7942.82</v>
      </c>
      <c r="Q12" s="339">
        <v>10262.5</v>
      </c>
      <c r="R12" s="14">
        <v>11301.08</v>
      </c>
      <c r="S12" s="14">
        <v>11986.12</v>
      </c>
      <c r="T12" s="14">
        <v>11892.42</v>
      </c>
      <c r="U12" s="14">
        <v>6768.77</v>
      </c>
      <c r="V12" s="14">
        <v>0.0</v>
      </c>
      <c r="W12" s="14">
        <v>0.0</v>
      </c>
      <c r="X12" s="14">
        <v>1604.81</v>
      </c>
      <c r="Y12" s="14">
        <v>1595.97</v>
      </c>
      <c r="Z12" s="14">
        <v>2982.76</v>
      </c>
      <c r="AA12" s="14">
        <v>4321.0</v>
      </c>
      <c r="AB12" s="14">
        <v>3388.35</v>
      </c>
      <c r="AC12" s="14">
        <v>2990.92</v>
      </c>
      <c r="AD12" s="14">
        <v>4398.82</v>
      </c>
      <c r="AE12" s="14">
        <v>5398.79</v>
      </c>
    </row>
    <row r="13">
      <c r="A13" s="98" t="s">
        <v>426</v>
      </c>
      <c r="B13" s="14">
        <v>6834.34</v>
      </c>
      <c r="C13" s="14">
        <v>10214.61</v>
      </c>
      <c r="D13" s="14">
        <v>9297.35</v>
      </c>
      <c r="E13" s="14">
        <v>7824.73</v>
      </c>
      <c r="F13" s="14">
        <v>7747.63</v>
      </c>
      <c r="G13" s="14">
        <v>7082.13</v>
      </c>
      <c r="H13" s="14">
        <v>8111.48</v>
      </c>
      <c r="I13" s="14">
        <v>7959.23</v>
      </c>
      <c r="J13" s="14">
        <v>8775.49</v>
      </c>
      <c r="K13" s="14">
        <v>12799.76</v>
      </c>
      <c r="L13" s="14">
        <v>14428.68</v>
      </c>
      <c r="M13" s="14">
        <v>14510.17</v>
      </c>
      <c r="N13" s="14">
        <v>13329.58</v>
      </c>
      <c r="O13" s="14">
        <v>11868.87</v>
      </c>
      <c r="P13" s="14">
        <v>8491.53</v>
      </c>
      <c r="Q13" s="14">
        <v>8350.94</v>
      </c>
      <c r="R13" s="14">
        <v>8945.22</v>
      </c>
      <c r="S13" s="14">
        <v>9485.66</v>
      </c>
      <c r="T13" s="14">
        <v>8248.1</v>
      </c>
      <c r="U13" s="14">
        <v>7251.03</v>
      </c>
      <c r="V13" s="14">
        <v>4471.26</v>
      </c>
      <c r="W13" s="14">
        <v>0.0</v>
      </c>
      <c r="X13" s="14">
        <v>340.43</v>
      </c>
      <c r="Y13" s="14">
        <v>2834.24</v>
      </c>
      <c r="Z13" s="14">
        <v>3962.71</v>
      </c>
      <c r="AA13" s="14">
        <v>3345.79</v>
      </c>
      <c r="AB13" s="14">
        <v>3573.3</v>
      </c>
      <c r="AC13" s="14">
        <v>3314.72</v>
      </c>
      <c r="AD13" s="14">
        <v>2934.13</v>
      </c>
      <c r="AE13" s="14">
        <v>2905.43</v>
      </c>
    </row>
    <row r="14">
      <c r="A14" s="98" t="s">
        <v>427</v>
      </c>
      <c r="B14" s="14">
        <v>259.98</v>
      </c>
      <c r="C14" s="14">
        <v>273.58</v>
      </c>
      <c r="D14" s="14">
        <v>257.11</v>
      </c>
      <c r="E14" s="14">
        <v>262.79</v>
      </c>
      <c r="F14" s="14">
        <v>187.4</v>
      </c>
      <c r="G14" s="14">
        <v>235.08</v>
      </c>
      <c r="H14" s="14">
        <v>262.2</v>
      </c>
      <c r="I14" s="14">
        <v>257.03</v>
      </c>
      <c r="J14" s="14">
        <v>0.0</v>
      </c>
      <c r="K14" s="14">
        <v>0.0</v>
      </c>
      <c r="L14" s="14">
        <v>219.13</v>
      </c>
      <c r="M14" s="14">
        <v>253.88</v>
      </c>
      <c r="N14" s="14">
        <v>259.97</v>
      </c>
      <c r="O14" s="14">
        <v>259.17</v>
      </c>
      <c r="P14" s="14">
        <v>266.81</v>
      </c>
      <c r="Q14" s="14">
        <v>259.99</v>
      </c>
      <c r="R14" s="14">
        <v>266.7</v>
      </c>
      <c r="S14" s="14">
        <v>261.75</v>
      </c>
      <c r="T14" s="14">
        <v>264.9</v>
      </c>
      <c r="U14" s="14">
        <v>221.94</v>
      </c>
      <c r="V14" s="14">
        <v>0.0</v>
      </c>
      <c r="W14" s="14">
        <v>0.0</v>
      </c>
      <c r="X14" s="14">
        <v>0.0</v>
      </c>
      <c r="Y14" s="14">
        <v>0.0</v>
      </c>
      <c r="Z14" s="14">
        <v>0.0</v>
      </c>
      <c r="AA14" s="14">
        <v>0.0</v>
      </c>
      <c r="AB14" s="14">
        <v>0.0</v>
      </c>
      <c r="AC14" s="14">
        <v>0.0</v>
      </c>
      <c r="AD14" s="14">
        <v>0.0</v>
      </c>
      <c r="AE14" s="14">
        <v>0.0</v>
      </c>
    </row>
    <row r="15">
      <c r="A15" s="98" t="s">
        <v>428</v>
      </c>
      <c r="B15" s="140">
        <v>319.5</v>
      </c>
      <c r="C15" s="140">
        <v>167.28</v>
      </c>
      <c r="D15" s="140">
        <v>165.57</v>
      </c>
      <c r="E15" s="14">
        <v>167.6</v>
      </c>
      <c r="F15" s="140">
        <v>78.15</v>
      </c>
      <c r="G15" s="140">
        <v>0.0</v>
      </c>
      <c r="H15" s="140">
        <v>0.0</v>
      </c>
      <c r="I15" s="140">
        <v>0.0</v>
      </c>
      <c r="J15" s="140">
        <v>0.0</v>
      </c>
      <c r="K15" s="140">
        <v>0.0</v>
      </c>
      <c r="L15" s="140">
        <v>0.0</v>
      </c>
      <c r="M15" s="140">
        <v>0.0</v>
      </c>
      <c r="N15" s="140">
        <v>0.0</v>
      </c>
      <c r="O15" s="140">
        <v>0.0</v>
      </c>
      <c r="P15" s="14">
        <v>0.0</v>
      </c>
      <c r="Q15" s="14">
        <v>206.92</v>
      </c>
      <c r="R15" s="14">
        <v>396.46</v>
      </c>
      <c r="S15" s="14">
        <v>396.41</v>
      </c>
      <c r="T15" s="14">
        <v>400.0</v>
      </c>
      <c r="U15" s="14">
        <v>239.31</v>
      </c>
      <c r="V15" s="14">
        <v>125.08</v>
      </c>
      <c r="W15" s="14">
        <v>0.0</v>
      </c>
      <c r="X15" s="14">
        <v>0.0</v>
      </c>
      <c r="Y15" s="14">
        <v>0.0</v>
      </c>
      <c r="Z15" s="14">
        <v>0.0</v>
      </c>
      <c r="AA15" s="14">
        <v>0.0</v>
      </c>
      <c r="AB15" s="14">
        <v>0.0</v>
      </c>
      <c r="AC15" s="14">
        <v>0.0</v>
      </c>
      <c r="AD15" s="14">
        <v>0.0</v>
      </c>
      <c r="AE15" s="14">
        <v>0.0</v>
      </c>
    </row>
    <row r="16">
      <c r="A16" s="98" t="s">
        <v>112</v>
      </c>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row>
    <row r="17">
      <c r="A17" s="98" t="s">
        <v>429</v>
      </c>
      <c r="B17" s="14">
        <v>0.0</v>
      </c>
      <c r="C17" s="14">
        <v>58.44</v>
      </c>
      <c r="D17" s="14">
        <v>212.47</v>
      </c>
      <c r="E17" s="14">
        <v>0.0</v>
      </c>
      <c r="F17" s="14">
        <v>205.69</v>
      </c>
      <c r="G17" s="140">
        <v>200.16</v>
      </c>
      <c r="H17" s="140">
        <v>16.88</v>
      </c>
      <c r="I17" s="140">
        <v>0.0</v>
      </c>
      <c r="J17" s="14">
        <v>137.31</v>
      </c>
      <c r="K17" s="140">
        <v>150.23</v>
      </c>
      <c r="L17" s="14">
        <v>267.68</v>
      </c>
      <c r="M17" s="14">
        <v>76.11</v>
      </c>
      <c r="N17" s="14">
        <v>305.87</v>
      </c>
      <c r="O17" s="14">
        <v>295.93</v>
      </c>
      <c r="P17" s="14">
        <v>290.62</v>
      </c>
      <c r="Q17" s="14">
        <v>0.0</v>
      </c>
      <c r="R17" s="14">
        <v>325.96</v>
      </c>
      <c r="S17" s="14">
        <v>376.14</v>
      </c>
      <c r="T17" s="14">
        <v>283.3</v>
      </c>
      <c r="U17" s="14">
        <f>68.32+39.97+64.84</f>
        <v>173.13</v>
      </c>
      <c r="V17" s="14">
        <v>0.0</v>
      </c>
      <c r="W17" s="14">
        <f>55.91+80.49+44.41+74.99</f>
        <v>255.8</v>
      </c>
      <c r="X17" s="14">
        <f>64.39+25.04</f>
        <v>89.43</v>
      </c>
      <c r="Y17" s="14">
        <f>65+59.22</f>
        <v>124.22</v>
      </c>
      <c r="Z17" s="14">
        <f>65.45+91.69+16.88+71.71</f>
        <v>245.73</v>
      </c>
      <c r="AA17" s="14">
        <v>62.62</v>
      </c>
      <c r="AB17" s="14">
        <v>56.04</v>
      </c>
      <c r="AC17" s="14">
        <v>0.0</v>
      </c>
      <c r="AD17" s="14">
        <v>0.0</v>
      </c>
      <c r="AE17" s="14">
        <v>0.0</v>
      </c>
    </row>
    <row r="18">
      <c r="A18" s="344" t="s">
        <v>430</v>
      </c>
      <c r="B18" s="345">
        <f t="shared" ref="B18:AE18" si="2">SUM(B12:B17)</f>
        <v>13233.17</v>
      </c>
      <c r="C18" s="345">
        <f t="shared" si="2"/>
        <v>17065.7</v>
      </c>
      <c r="D18" s="345">
        <f t="shared" si="2"/>
        <v>16927.59</v>
      </c>
      <c r="E18" s="345">
        <f t="shared" si="2"/>
        <v>14735.68</v>
      </c>
      <c r="F18" s="345">
        <f t="shared" si="2"/>
        <v>14041.88</v>
      </c>
      <c r="G18" s="345">
        <f t="shared" si="2"/>
        <v>13451.45</v>
      </c>
      <c r="H18" s="345">
        <f t="shared" si="2"/>
        <v>14203.56</v>
      </c>
      <c r="I18" s="345">
        <f t="shared" si="2"/>
        <v>13997.62</v>
      </c>
      <c r="J18" s="345">
        <f t="shared" si="2"/>
        <v>14647.14</v>
      </c>
      <c r="K18" s="345">
        <f t="shared" si="2"/>
        <v>18479.14</v>
      </c>
      <c r="L18" s="345">
        <f t="shared" si="2"/>
        <v>21024.36</v>
      </c>
      <c r="M18" s="345">
        <f t="shared" si="2"/>
        <v>20884.34</v>
      </c>
      <c r="N18" s="345">
        <f t="shared" si="2"/>
        <v>19372.64</v>
      </c>
      <c r="O18" s="345">
        <f t="shared" si="2"/>
        <v>17897.69</v>
      </c>
      <c r="P18" s="345">
        <f t="shared" si="2"/>
        <v>16991.78</v>
      </c>
      <c r="Q18" s="345">
        <f t="shared" si="2"/>
        <v>19080.35</v>
      </c>
      <c r="R18" s="345">
        <f t="shared" si="2"/>
        <v>21235.42</v>
      </c>
      <c r="S18" s="345">
        <f t="shared" si="2"/>
        <v>22506.08</v>
      </c>
      <c r="T18" s="345">
        <f t="shared" si="2"/>
        <v>21088.72</v>
      </c>
      <c r="U18" s="345">
        <f t="shared" si="2"/>
        <v>14654.18</v>
      </c>
      <c r="V18" s="345">
        <f t="shared" si="2"/>
        <v>4596.34</v>
      </c>
      <c r="W18" s="345">
        <f t="shared" si="2"/>
        <v>255.8</v>
      </c>
      <c r="X18" s="345">
        <f t="shared" si="2"/>
        <v>2034.67</v>
      </c>
      <c r="Y18" s="345">
        <f t="shared" si="2"/>
        <v>4554.43</v>
      </c>
      <c r="Z18" s="345">
        <f t="shared" si="2"/>
        <v>7191.2</v>
      </c>
      <c r="AA18" s="345">
        <f t="shared" si="2"/>
        <v>7729.41</v>
      </c>
      <c r="AB18" s="345">
        <f t="shared" si="2"/>
        <v>7017.69</v>
      </c>
      <c r="AC18" s="345">
        <f t="shared" si="2"/>
        <v>6305.64</v>
      </c>
      <c r="AD18" s="345">
        <f t="shared" si="2"/>
        <v>7332.95</v>
      </c>
      <c r="AE18" s="345">
        <f t="shared" si="2"/>
        <v>8304.22</v>
      </c>
    </row>
    <row r="20">
      <c r="A20" s="98" t="s">
        <v>286</v>
      </c>
      <c r="B20" s="346">
        <f t="shared" ref="B20:AE20" si="3">B9/B18</f>
        <v>2.81757659</v>
      </c>
      <c r="C20" s="346">
        <f t="shared" si="3"/>
        <v>2.730608765</v>
      </c>
      <c r="D20" s="346">
        <f t="shared" si="3"/>
        <v>2.739170195</v>
      </c>
      <c r="E20" s="346">
        <f t="shared" si="3"/>
        <v>2.734697008</v>
      </c>
      <c r="F20" s="346">
        <f t="shared" si="3"/>
        <v>2.956114139</v>
      </c>
      <c r="G20" s="346">
        <f t="shared" si="3"/>
        <v>3.073493936</v>
      </c>
      <c r="H20" s="346">
        <f t="shared" si="3"/>
        <v>2.68348921</v>
      </c>
      <c r="I20" s="346">
        <f t="shared" si="3"/>
        <v>3.875150919</v>
      </c>
      <c r="J20" s="346">
        <f t="shared" si="3"/>
        <v>3.360871133</v>
      </c>
      <c r="K20" s="346">
        <f t="shared" si="3"/>
        <v>2.301963187</v>
      </c>
      <c r="L20" s="346">
        <f t="shared" si="3"/>
        <v>2.074974934</v>
      </c>
      <c r="M20" s="346">
        <f t="shared" si="3"/>
        <v>2.443092767</v>
      </c>
      <c r="N20" s="346">
        <f t="shared" si="3"/>
        <v>3.104117973</v>
      </c>
      <c r="O20" s="346">
        <f t="shared" si="3"/>
        <v>3.515892274</v>
      </c>
      <c r="P20" s="346">
        <f t="shared" si="3"/>
        <v>3.853732805</v>
      </c>
      <c r="Q20" s="346">
        <f t="shared" si="3"/>
        <v>2.988322017</v>
      </c>
      <c r="R20" s="346">
        <f t="shared" si="3"/>
        <v>3.25923151</v>
      </c>
      <c r="S20" s="346">
        <f t="shared" si="3"/>
        <v>4.197648369</v>
      </c>
      <c r="T20" s="346">
        <f t="shared" si="3"/>
        <v>3.023142704</v>
      </c>
      <c r="U20" s="346">
        <f t="shared" si="3"/>
        <v>1.85519217</v>
      </c>
      <c r="V20" s="346">
        <f t="shared" si="3"/>
        <v>3.227217743</v>
      </c>
      <c r="W20" s="346">
        <f t="shared" si="3"/>
        <v>59.17298671</v>
      </c>
      <c r="X20" s="346">
        <f t="shared" si="3"/>
        <v>9.174947289</v>
      </c>
      <c r="Y20" s="346">
        <f t="shared" si="3"/>
        <v>5.151063909</v>
      </c>
      <c r="Z20" s="346">
        <f t="shared" si="3"/>
        <v>6.206181166</v>
      </c>
      <c r="AA20" s="346">
        <f t="shared" si="3"/>
        <v>4.015331054</v>
      </c>
      <c r="AB20" s="346">
        <f t="shared" si="3"/>
        <v>4.047204992</v>
      </c>
      <c r="AC20" s="346">
        <f t="shared" si="3"/>
        <v>3.019073401</v>
      </c>
      <c r="AD20" s="346">
        <f t="shared" si="3"/>
        <v>2.985231046</v>
      </c>
      <c r="AE20" s="346">
        <f t="shared" si="3"/>
        <v>3.141467832</v>
      </c>
    </row>
    <row r="21">
      <c r="A21" s="98" t="s">
        <v>431</v>
      </c>
      <c r="B21" s="36">
        <f>B18/'Detailed Report'!B141</f>
        <v>101.7936154</v>
      </c>
      <c r="C21" s="36">
        <f>C18/'Detailed Report'!C141</f>
        <v>130.2725191</v>
      </c>
      <c r="D21" s="36">
        <f>D18/'Detailed Report'!D141</f>
        <v>109.2102581</v>
      </c>
      <c r="E21" s="36">
        <f>E18/'Detailed Report'!E141</f>
        <v>109.9677612</v>
      </c>
      <c r="F21" s="36">
        <f>F18/'Detailed Report'!F141</f>
        <v>101.7527536</v>
      </c>
      <c r="G21" s="36">
        <f>G18/'Detailed Report'!G141</f>
        <v>92.76862069</v>
      </c>
      <c r="H21" s="36">
        <f>H18/'Detailed Report'!H141</f>
        <v>110.9653125</v>
      </c>
      <c r="I21" s="36">
        <f>I18/'Detailed Report'!I141</f>
        <v>76.48972678</v>
      </c>
      <c r="J21" s="36">
        <f>J18/'Detailed Report'!J141</f>
        <v>87.70742515</v>
      </c>
      <c r="K21" s="36">
        <f>K18/'Detailed Report'!K141</f>
        <v>131.0577305</v>
      </c>
      <c r="L21" s="36">
        <f>L18/'Detailed Report'!L141</f>
        <v>141.1030872</v>
      </c>
      <c r="M21" s="36">
        <f>M18/'Detailed Report'!M141</f>
        <v>121.4205814</v>
      </c>
      <c r="N21" s="36">
        <f>N18/'Detailed Report'!N141</f>
        <v>92.25066667</v>
      </c>
      <c r="O21" s="36">
        <f>O18/'Detailed Report'!O141</f>
        <v>81.35313636</v>
      </c>
      <c r="P21" s="36">
        <f>P18/'Detailed Report'!P141</f>
        <v>70.21396694</v>
      </c>
      <c r="Q21" s="36">
        <f>Q18/'Detailed Report'!Q141</f>
        <v>95.88115578</v>
      </c>
      <c r="R21" s="36">
        <f>R18/'Detailed Report'!R141</f>
        <v>84.60326693</v>
      </c>
      <c r="S21" s="36">
        <f>S18/'Detailed Report'!S141</f>
        <v>66.38961652</v>
      </c>
      <c r="T21" s="36">
        <f>T18/'Detailed Report'!T141</f>
        <v>94.99423423</v>
      </c>
      <c r="U21" s="36">
        <f>U18/'Detailed Report'!U141</f>
        <v>157.571828</v>
      </c>
      <c r="V21" s="36">
        <f>V18/'Detailed Report'!V141</f>
        <v>95.75708333</v>
      </c>
      <c r="W21" s="36">
        <f>W18/'Detailed Report'!W141</f>
        <v>5.560869565</v>
      </c>
      <c r="X21" s="36">
        <f>X18/'Detailed Report'!X141</f>
        <v>36.33339286</v>
      </c>
      <c r="Y21" s="36">
        <f>Y18/'Detailed Report'!Y141</f>
        <v>56.22753086</v>
      </c>
      <c r="Z21" s="36">
        <f>Z18/'Detailed Report'!Z141</f>
        <v>49.93888889</v>
      </c>
      <c r="AA21" s="36">
        <f>AA18/'Detailed Report'!AA141</f>
        <v>73.61342857</v>
      </c>
      <c r="AB21" s="36">
        <f>AB18/'Detailed Report'!AB141</f>
        <v>118.9438983</v>
      </c>
      <c r="AC21" s="36">
        <f>AC18/'Detailed Report'!AC141</f>
        <v>98.525625</v>
      </c>
      <c r="AD21" s="36">
        <f>AD18/'Detailed Report'!AD141</f>
        <v>104.7564286</v>
      </c>
      <c r="AE21" s="36">
        <f>AE18/'Detailed Report'!AE141</f>
        <v>96.56069767</v>
      </c>
    </row>
    <row r="22">
      <c r="A22" s="98" t="s">
        <v>432</v>
      </c>
      <c r="B22" s="34">
        <v>0.012</v>
      </c>
      <c r="C22" s="34">
        <v>0.0107</v>
      </c>
      <c r="D22" s="34">
        <v>0.0128</v>
      </c>
      <c r="E22" s="34">
        <v>0.0115</v>
      </c>
      <c r="F22" s="34">
        <v>0.0113</v>
      </c>
      <c r="G22" s="34">
        <v>0.0138</v>
      </c>
      <c r="H22" s="34">
        <v>0.0134</v>
      </c>
      <c r="I22" s="34">
        <v>0.0191</v>
      </c>
      <c r="J22" s="34">
        <v>0.0111</v>
      </c>
      <c r="K22" s="34">
        <v>0.0054</v>
      </c>
      <c r="L22" s="34">
        <v>0.0038</v>
      </c>
      <c r="M22" s="34">
        <v>0.0041</v>
      </c>
      <c r="N22" s="34">
        <v>0.0063</v>
      </c>
      <c r="O22" s="34">
        <v>0.0062</v>
      </c>
      <c r="P22" s="34">
        <v>0.01</v>
      </c>
      <c r="Q22" s="34">
        <v>0.0063</v>
      </c>
      <c r="R22" s="34">
        <v>0.0102</v>
      </c>
      <c r="S22" s="34">
        <v>0.0153</v>
      </c>
      <c r="T22" s="34">
        <v>0.0099</v>
      </c>
      <c r="U22" s="34">
        <v>0.0054</v>
      </c>
      <c r="V22" s="34">
        <v>0.0038</v>
      </c>
      <c r="W22" s="34">
        <v>0.0092</v>
      </c>
      <c r="X22" s="34">
        <v>0.0064</v>
      </c>
      <c r="Y22" s="34">
        <v>0.0076</v>
      </c>
      <c r="Z22" s="34">
        <v>0.0194</v>
      </c>
      <c r="AA22" s="34">
        <v>0.0119</v>
      </c>
      <c r="AB22" s="34">
        <v>0.0191</v>
      </c>
      <c r="AC22" s="34">
        <v>0.0126</v>
      </c>
      <c r="AD22" s="34">
        <v>0.013</v>
      </c>
      <c r="AE22" s="34">
        <v>0.0145</v>
      </c>
    </row>
    <row r="23">
      <c r="A23" s="98" t="s">
        <v>433</v>
      </c>
      <c r="B23" s="14">
        <f t="shared" ref="B23:AE23" si="4">B9/B10</f>
        <v>260.7375524</v>
      </c>
      <c r="C23" s="14">
        <f t="shared" si="4"/>
        <v>306.5773026</v>
      </c>
      <c r="D23" s="14">
        <f t="shared" si="4"/>
        <v>253.3745902</v>
      </c>
      <c r="E23" s="14">
        <f t="shared" si="4"/>
        <v>258.3180769</v>
      </c>
      <c r="F23" s="14">
        <f t="shared" si="4"/>
        <v>271.303268</v>
      </c>
      <c r="G23" s="14">
        <f t="shared" si="4"/>
        <v>250.5633333</v>
      </c>
      <c r="H23" s="14">
        <f t="shared" si="4"/>
        <v>254.1006667</v>
      </c>
      <c r="I23" s="14">
        <f t="shared" si="4"/>
        <v>264.5994634</v>
      </c>
      <c r="J23" s="14">
        <f t="shared" si="4"/>
        <v>260.4611111</v>
      </c>
      <c r="K23" s="14">
        <f t="shared" si="4"/>
        <v>256.2548193</v>
      </c>
      <c r="L23" s="14">
        <f t="shared" si="4"/>
        <v>261.2276647</v>
      </c>
      <c r="M23" s="14">
        <f t="shared" si="4"/>
        <v>224.7681938</v>
      </c>
      <c r="N23" s="14">
        <f t="shared" si="4"/>
        <v>260.3245022</v>
      </c>
      <c r="O23" s="14">
        <f t="shared" si="4"/>
        <v>264.3964286</v>
      </c>
      <c r="P23" s="14">
        <f t="shared" si="4"/>
        <v>253.8053488</v>
      </c>
      <c r="Q23" s="14">
        <f t="shared" si="4"/>
        <v>256.8388739</v>
      </c>
      <c r="R23" s="14">
        <f t="shared" si="4"/>
        <v>263.1602662</v>
      </c>
      <c r="S23" s="14">
        <f t="shared" si="4"/>
        <v>249.9275397</v>
      </c>
      <c r="T23" s="14">
        <f t="shared" si="4"/>
        <v>260.2212653</v>
      </c>
      <c r="U23" s="14">
        <f t="shared" si="4"/>
        <v>247.1483636</v>
      </c>
      <c r="V23" s="14">
        <f t="shared" si="4"/>
        <v>224.7483333</v>
      </c>
      <c r="W23" s="14">
        <f t="shared" si="4"/>
        <v>265.5517544</v>
      </c>
      <c r="X23" s="14">
        <f t="shared" si="4"/>
        <v>209.7526966</v>
      </c>
      <c r="Y23" s="14">
        <f t="shared" si="4"/>
        <v>260.6684444</v>
      </c>
      <c r="Z23" s="14">
        <f t="shared" si="4"/>
        <v>255.0279429</v>
      </c>
      <c r="AA23" s="14">
        <f t="shared" si="4"/>
        <v>282.1467273</v>
      </c>
      <c r="AB23" s="14">
        <f t="shared" si="4"/>
        <v>255.8741441</v>
      </c>
      <c r="AC23" s="14">
        <f t="shared" si="4"/>
        <v>240.9770886</v>
      </c>
      <c r="AD23" s="14">
        <f t="shared" si="4"/>
        <v>225.6757732</v>
      </c>
      <c r="AE23" s="14">
        <f t="shared" si="4"/>
        <v>243.8078505</v>
      </c>
    </row>
    <row r="24">
      <c r="A24" s="98" t="s">
        <v>434</v>
      </c>
      <c r="B24" s="347">
        <v>286.28</v>
      </c>
      <c r="C24" s="14">
        <v>273.55</v>
      </c>
      <c r="D24" s="140">
        <v>269.42</v>
      </c>
      <c r="E24" s="140">
        <v>267.89</v>
      </c>
      <c r="F24" s="14">
        <v>271.92</v>
      </c>
      <c r="G24" s="14">
        <v>267.31</v>
      </c>
      <c r="H24" s="14">
        <v>268.35</v>
      </c>
      <c r="I24" s="14">
        <v>274.9</v>
      </c>
      <c r="J24" s="14">
        <v>242.44</v>
      </c>
      <c r="K24" s="14">
        <v>243.98</v>
      </c>
      <c r="L24" s="14">
        <v>273.44</v>
      </c>
      <c r="M24" s="14">
        <v>255.8</v>
      </c>
      <c r="N24" s="14">
        <v>267.49</v>
      </c>
      <c r="O24" s="14">
        <v>269.69</v>
      </c>
      <c r="P24" s="14">
        <v>259.7</v>
      </c>
      <c r="Q24" s="14">
        <v>271.62</v>
      </c>
      <c r="R24" s="293">
        <v>269.63</v>
      </c>
      <c r="S24" s="14">
        <v>263.53</v>
      </c>
      <c r="T24" s="14">
        <v>264.16</v>
      </c>
      <c r="U24" s="14">
        <v>272.25</v>
      </c>
      <c r="V24" s="14">
        <v>232.74</v>
      </c>
      <c r="W24" s="14">
        <v>251.67</v>
      </c>
      <c r="X24" s="14">
        <v>256.27</v>
      </c>
      <c r="Y24" s="14">
        <v>285.45</v>
      </c>
      <c r="Z24" s="14">
        <v>276.36</v>
      </c>
      <c r="AA24" s="14">
        <v>291.36</v>
      </c>
      <c r="AB24" s="14">
        <v>256.11</v>
      </c>
      <c r="AC24" s="14">
        <v>240.17</v>
      </c>
      <c r="AD24" s="14">
        <v>228.03</v>
      </c>
      <c r="AE24" s="14">
        <v>244.17</v>
      </c>
    </row>
    <row r="25">
      <c r="A25" s="98" t="s">
        <v>435</v>
      </c>
      <c r="B25" s="14">
        <v>146.01</v>
      </c>
      <c r="C25" s="14">
        <v>173.06</v>
      </c>
      <c r="D25" s="140">
        <v>140.15</v>
      </c>
      <c r="E25" s="140">
        <v>165.78</v>
      </c>
      <c r="F25" s="14">
        <v>255.19</v>
      </c>
      <c r="G25" s="14">
        <v>148.41</v>
      </c>
      <c r="H25" s="14">
        <v>124.59</v>
      </c>
      <c r="I25" s="14">
        <v>196.7</v>
      </c>
      <c r="J25" s="14">
        <v>141.4</v>
      </c>
      <c r="K25" s="14">
        <v>120.7</v>
      </c>
      <c r="L25" s="14">
        <v>153.45</v>
      </c>
      <c r="M25" s="14">
        <v>112.46</v>
      </c>
      <c r="N25" s="14">
        <v>187.72</v>
      </c>
      <c r="O25" s="14">
        <v>227.9</v>
      </c>
      <c r="P25" s="14">
        <v>196.63</v>
      </c>
      <c r="Q25" s="348">
        <v>151.21</v>
      </c>
      <c r="R25" s="14">
        <v>188.59</v>
      </c>
      <c r="S25" s="14">
        <v>128.2</v>
      </c>
      <c r="T25" s="14">
        <v>238.21</v>
      </c>
      <c r="U25" s="14">
        <v>124.48</v>
      </c>
      <c r="V25" s="14">
        <v>188.8</v>
      </c>
      <c r="W25" s="14">
        <v>102.28</v>
      </c>
      <c r="X25" s="14">
        <v>79.73</v>
      </c>
      <c r="Y25" s="14">
        <v>157.82</v>
      </c>
      <c r="Z25" s="14">
        <v>154.06</v>
      </c>
      <c r="AA25" s="14">
        <v>220.38</v>
      </c>
      <c r="AB25" s="14">
        <v>194.52</v>
      </c>
      <c r="AC25" s="14">
        <v>24.0</v>
      </c>
      <c r="AD25" s="14">
        <v>0.0</v>
      </c>
      <c r="AE25" s="14">
        <v>0.0</v>
      </c>
    </row>
    <row r="27">
      <c r="A27" s="98" t="s">
        <v>436</v>
      </c>
    </row>
    <row r="28">
      <c r="A28" s="34" t="s">
        <v>437</v>
      </c>
      <c r="B28" s="34">
        <v>0.169</v>
      </c>
      <c r="C28" s="34">
        <v>0.1467</v>
      </c>
      <c r="D28" s="34">
        <v>0.1111</v>
      </c>
      <c r="E28" s="34">
        <v>0.0774</v>
      </c>
      <c r="F28" s="34">
        <v>0.1699</v>
      </c>
      <c r="G28" s="34">
        <v>0.1227</v>
      </c>
      <c r="H28" s="34">
        <v>0.0872</v>
      </c>
      <c r="I28" s="34">
        <v>0.1317</v>
      </c>
      <c r="J28" s="34">
        <v>0.0794</v>
      </c>
      <c r="K28" s="34">
        <v>0.1205</v>
      </c>
      <c r="L28" s="34">
        <v>0.1018</v>
      </c>
      <c r="M28" s="34">
        <v>0.1883</v>
      </c>
      <c r="N28" s="34">
        <v>0.0913</v>
      </c>
      <c r="O28" s="34">
        <v>0.1646</v>
      </c>
      <c r="P28" s="34">
        <v>0.0778</v>
      </c>
      <c r="Q28" s="34">
        <v>0.1131</v>
      </c>
      <c r="R28" s="34">
        <v>0.0798</v>
      </c>
      <c r="S28" s="34">
        <v>0.1005</v>
      </c>
      <c r="T28" s="34">
        <v>0.1107</v>
      </c>
      <c r="U28" s="34">
        <v>0.1389</v>
      </c>
      <c r="V28" s="34">
        <v>0.1818</v>
      </c>
      <c r="W28" s="34">
        <v>0.0877</v>
      </c>
      <c r="X28" s="50">
        <v>0.25</v>
      </c>
      <c r="Y28" s="34">
        <v>0.1477</v>
      </c>
      <c r="Z28" s="34">
        <v>0.1782</v>
      </c>
      <c r="AA28" s="34">
        <v>0.1009</v>
      </c>
      <c r="AB28" s="34">
        <v>0.1014</v>
      </c>
      <c r="AC28" s="34">
        <v>0.0127</v>
      </c>
      <c r="AD28" s="50">
        <v>0.0</v>
      </c>
      <c r="AE28" s="50">
        <v>0.0</v>
      </c>
    </row>
    <row r="29">
      <c r="A29" s="1" t="s">
        <v>438</v>
      </c>
      <c r="B29" s="34">
        <f t="shared" ref="B29:AE29" si="5">1-B28</f>
        <v>0.831</v>
      </c>
      <c r="C29" s="34">
        <f t="shared" si="5"/>
        <v>0.8533</v>
      </c>
      <c r="D29" s="34">
        <f t="shared" si="5"/>
        <v>0.8889</v>
      </c>
      <c r="E29" s="34">
        <f t="shared" si="5"/>
        <v>0.9226</v>
      </c>
      <c r="F29" s="34">
        <f t="shared" si="5"/>
        <v>0.8301</v>
      </c>
      <c r="G29" s="34">
        <f t="shared" si="5"/>
        <v>0.8773</v>
      </c>
      <c r="H29" s="34">
        <f t="shared" si="5"/>
        <v>0.9128</v>
      </c>
      <c r="I29" s="34">
        <f t="shared" si="5"/>
        <v>0.8683</v>
      </c>
      <c r="J29" s="34">
        <f t="shared" si="5"/>
        <v>0.9206</v>
      </c>
      <c r="K29" s="34">
        <f t="shared" si="5"/>
        <v>0.8795</v>
      </c>
      <c r="L29" s="34">
        <f t="shared" si="5"/>
        <v>0.8982</v>
      </c>
      <c r="M29" s="34">
        <f t="shared" si="5"/>
        <v>0.8117</v>
      </c>
      <c r="N29" s="34">
        <f t="shared" si="5"/>
        <v>0.9087</v>
      </c>
      <c r="O29" s="34">
        <f t="shared" si="5"/>
        <v>0.8354</v>
      </c>
      <c r="P29" s="34">
        <f t="shared" si="5"/>
        <v>0.9222</v>
      </c>
      <c r="Q29" s="34">
        <f t="shared" si="5"/>
        <v>0.8869</v>
      </c>
      <c r="R29" s="34">
        <f t="shared" si="5"/>
        <v>0.9202</v>
      </c>
      <c r="S29" s="34">
        <f t="shared" si="5"/>
        <v>0.8995</v>
      </c>
      <c r="T29" s="34">
        <f t="shared" si="5"/>
        <v>0.8893</v>
      </c>
      <c r="U29" s="34">
        <f t="shared" si="5"/>
        <v>0.8611</v>
      </c>
      <c r="V29" s="34">
        <f t="shared" si="5"/>
        <v>0.8182</v>
      </c>
      <c r="W29" s="34">
        <f t="shared" si="5"/>
        <v>0.9123</v>
      </c>
      <c r="X29" s="34">
        <f t="shared" si="5"/>
        <v>0.75</v>
      </c>
      <c r="Y29" s="34">
        <f t="shared" si="5"/>
        <v>0.8523</v>
      </c>
      <c r="Z29" s="34">
        <f t="shared" si="5"/>
        <v>0.8218</v>
      </c>
      <c r="AA29" s="34">
        <f t="shared" si="5"/>
        <v>0.8991</v>
      </c>
      <c r="AB29" s="34">
        <f t="shared" si="5"/>
        <v>0.8986</v>
      </c>
      <c r="AC29" s="34">
        <f t="shared" si="5"/>
        <v>0.9873</v>
      </c>
      <c r="AD29" s="34">
        <f t="shared" si="5"/>
        <v>1</v>
      </c>
      <c r="AE29" s="34">
        <f t="shared" si="5"/>
        <v>1</v>
      </c>
    </row>
    <row r="32">
      <c r="A32" s="98" t="s">
        <v>439</v>
      </c>
      <c r="Z32" s="34"/>
    </row>
    <row r="33">
      <c r="A33" s="1" t="s">
        <v>440</v>
      </c>
      <c r="B33" s="349">
        <v>0.3125</v>
      </c>
      <c r="C33" s="350">
        <v>0.4894</v>
      </c>
      <c r="D33" s="34">
        <v>0.4154</v>
      </c>
      <c r="E33" s="34">
        <v>0.3793</v>
      </c>
      <c r="F33" s="34">
        <v>0.463</v>
      </c>
      <c r="G33" s="34">
        <v>0.3684</v>
      </c>
      <c r="H33" s="34">
        <v>0.4043</v>
      </c>
      <c r="I33" s="34">
        <v>0.4407</v>
      </c>
      <c r="J33" s="34">
        <v>0.4308</v>
      </c>
      <c r="K33" s="34">
        <v>0.4348</v>
      </c>
      <c r="L33" s="34">
        <v>0.3958</v>
      </c>
      <c r="M33" s="34">
        <v>0.4512</v>
      </c>
      <c r="N33" s="34">
        <v>0.3571</v>
      </c>
      <c r="O33" s="34">
        <v>0.4625</v>
      </c>
      <c r="P33" s="34">
        <v>0.4521</v>
      </c>
      <c r="Q33" s="34">
        <v>0.3385</v>
      </c>
      <c r="R33" s="34">
        <v>0.4545</v>
      </c>
      <c r="S33" s="34">
        <v>0.405</v>
      </c>
      <c r="T33" s="34">
        <v>0.4304</v>
      </c>
      <c r="U33" s="34">
        <v>0.4324</v>
      </c>
      <c r="V33" s="34">
        <v>0.35</v>
      </c>
      <c r="W33" s="34">
        <v>0.16</v>
      </c>
      <c r="X33" s="34">
        <v>0.2973</v>
      </c>
      <c r="Y33" s="34">
        <v>0.2727</v>
      </c>
      <c r="Z33" s="34">
        <v>0.2118</v>
      </c>
      <c r="AA33" s="34">
        <v>0.2549</v>
      </c>
      <c r="AB33" s="34">
        <v>0.3793</v>
      </c>
      <c r="AC33" s="351">
        <v>0.0</v>
      </c>
      <c r="AD33" s="351">
        <v>0.0</v>
      </c>
      <c r="AE33" s="351">
        <v>0.0</v>
      </c>
    </row>
    <row r="34">
      <c r="A34" s="1" t="s">
        <v>441</v>
      </c>
      <c r="B34" s="349">
        <v>0.5208</v>
      </c>
      <c r="C34" s="349">
        <v>0.383</v>
      </c>
      <c r="D34" s="349">
        <v>0.3538</v>
      </c>
      <c r="E34" s="34">
        <v>0.4138</v>
      </c>
      <c r="F34" s="34">
        <v>0.3519</v>
      </c>
      <c r="G34" s="34">
        <v>0.4035</v>
      </c>
      <c r="H34" s="34">
        <v>0.4043</v>
      </c>
      <c r="I34" s="34">
        <v>0.4068</v>
      </c>
      <c r="J34" s="34">
        <v>0.4308</v>
      </c>
      <c r="K34" s="34">
        <v>0.4565</v>
      </c>
      <c r="L34" s="34">
        <v>0.4167</v>
      </c>
      <c r="M34" s="34">
        <v>0.4512</v>
      </c>
      <c r="N34" s="34">
        <v>0.5</v>
      </c>
      <c r="O34" s="34">
        <v>0.425</v>
      </c>
      <c r="P34" s="34">
        <v>0.411</v>
      </c>
      <c r="Q34" s="34">
        <v>0.5231</v>
      </c>
      <c r="R34" s="34">
        <v>0.3182</v>
      </c>
      <c r="S34" s="34">
        <v>0.3471</v>
      </c>
      <c r="T34" s="34">
        <v>0.3418</v>
      </c>
      <c r="U34" s="34">
        <v>0.4054</v>
      </c>
      <c r="V34" s="34">
        <v>0.45</v>
      </c>
      <c r="W34" s="34">
        <v>0.52</v>
      </c>
      <c r="X34" s="34">
        <v>0.5676</v>
      </c>
      <c r="Y34" s="34">
        <v>0.5152</v>
      </c>
      <c r="Z34" s="34">
        <v>0.4118</v>
      </c>
      <c r="AA34" s="34">
        <v>0.3333</v>
      </c>
      <c r="AB34" s="34">
        <v>0.3793</v>
      </c>
      <c r="AC34" s="351">
        <v>0.0</v>
      </c>
      <c r="AD34" s="351">
        <v>0.0</v>
      </c>
      <c r="AE34" s="351">
        <v>0.0</v>
      </c>
    </row>
    <row r="35">
      <c r="A35" s="1" t="s">
        <v>442</v>
      </c>
      <c r="B35" s="34">
        <v>0.0833</v>
      </c>
      <c r="C35" s="349">
        <v>0.0213</v>
      </c>
      <c r="D35" s="349">
        <v>0.0308</v>
      </c>
      <c r="E35" s="34">
        <v>0.0172</v>
      </c>
      <c r="F35" s="34">
        <v>0.0926</v>
      </c>
      <c r="G35" s="34">
        <v>0.1404</v>
      </c>
      <c r="H35" s="349">
        <v>0.0851</v>
      </c>
      <c r="I35" s="34">
        <v>0.0678</v>
      </c>
      <c r="J35" s="34">
        <v>0.0462</v>
      </c>
      <c r="K35" s="34">
        <v>0.0435</v>
      </c>
      <c r="L35" s="34">
        <v>0.0417</v>
      </c>
      <c r="M35" s="34">
        <v>0.061</v>
      </c>
      <c r="N35" s="349">
        <v>0.0893</v>
      </c>
      <c r="O35" s="34">
        <v>0.05</v>
      </c>
      <c r="P35" s="34">
        <v>0.0274</v>
      </c>
      <c r="Q35" s="34">
        <v>0.0</v>
      </c>
      <c r="R35" s="34">
        <v>0.0909</v>
      </c>
      <c r="S35" s="34">
        <v>0.0661</v>
      </c>
      <c r="T35" s="34">
        <v>0.038</v>
      </c>
      <c r="U35" s="34">
        <v>0.0811</v>
      </c>
      <c r="V35" s="34">
        <v>0.0</v>
      </c>
      <c r="W35" s="34">
        <v>0.12</v>
      </c>
      <c r="X35" s="34">
        <v>0.0541</v>
      </c>
      <c r="Y35" s="34">
        <v>0.0909</v>
      </c>
      <c r="Z35" s="34">
        <v>0.0824</v>
      </c>
      <c r="AA35" s="34">
        <v>0.0392</v>
      </c>
      <c r="AB35" s="34">
        <v>0.0345</v>
      </c>
      <c r="AC35" s="351">
        <v>0.0</v>
      </c>
      <c r="AD35" s="351">
        <v>0.0</v>
      </c>
      <c r="AE35" s="351">
        <v>0.0</v>
      </c>
    </row>
    <row r="36">
      <c r="A36" s="1" t="s">
        <v>443</v>
      </c>
      <c r="B36" s="349">
        <v>0.0208</v>
      </c>
      <c r="C36" s="349">
        <v>0.0</v>
      </c>
      <c r="D36" s="349">
        <v>0.0</v>
      </c>
      <c r="E36" s="34">
        <v>0.0172</v>
      </c>
      <c r="F36" s="34">
        <v>0.0</v>
      </c>
      <c r="G36" s="34">
        <v>0.0</v>
      </c>
      <c r="H36" s="34">
        <v>0.0213</v>
      </c>
      <c r="I36" s="34">
        <v>0.0</v>
      </c>
      <c r="J36" s="34">
        <v>0.0</v>
      </c>
      <c r="K36" s="349">
        <v>0.0</v>
      </c>
      <c r="L36" s="349">
        <v>0.0</v>
      </c>
      <c r="M36" s="349">
        <v>0.0</v>
      </c>
      <c r="N36" s="349">
        <v>0.0</v>
      </c>
      <c r="O36" s="349">
        <v>0.0</v>
      </c>
      <c r="P36" s="349">
        <v>0.0</v>
      </c>
      <c r="Q36" s="349">
        <v>0.0</v>
      </c>
      <c r="R36" s="34">
        <v>0.0</v>
      </c>
      <c r="S36" s="34">
        <v>0.0</v>
      </c>
      <c r="T36" s="34">
        <v>0.0</v>
      </c>
      <c r="U36" s="34">
        <v>0.0</v>
      </c>
      <c r="V36" s="34">
        <v>0.05</v>
      </c>
      <c r="W36" s="34">
        <v>0.0</v>
      </c>
      <c r="X36" s="34">
        <v>0.0</v>
      </c>
      <c r="Y36" s="34">
        <v>0.0</v>
      </c>
      <c r="Z36" s="34">
        <v>0.0</v>
      </c>
      <c r="AA36" s="34">
        <v>0.0</v>
      </c>
      <c r="AB36" s="34">
        <v>0.0</v>
      </c>
      <c r="AC36" s="351">
        <v>0.0</v>
      </c>
      <c r="AD36" s="351">
        <v>0.0</v>
      </c>
      <c r="AE36" s="351">
        <v>0.0</v>
      </c>
    </row>
    <row r="37">
      <c r="A37" s="1" t="s">
        <v>99</v>
      </c>
      <c r="B37" s="349">
        <v>0.0208</v>
      </c>
      <c r="C37" s="349">
        <v>0.0</v>
      </c>
      <c r="D37" s="34">
        <v>0.0</v>
      </c>
      <c r="E37" s="34">
        <v>0.0172</v>
      </c>
      <c r="F37" s="349">
        <v>0.0</v>
      </c>
      <c r="G37" s="352">
        <v>0.0351</v>
      </c>
      <c r="H37" s="34">
        <v>0.0426</v>
      </c>
      <c r="I37" s="34">
        <v>0.0169</v>
      </c>
      <c r="J37" s="349">
        <v>0.0308</v>
      </c>
      <c r="K37" s="349">
        <v>0.0217</v>
      </c>
      <c r="L37" s="34">
        <v>0.0625</v>
      </c>
      <c r="M37" s="34">
        <v>0.0122</v>
      </c>
      <c r="N37" s="349">
        <v>0.0</v>
      </c>
      <c r="O37" s="34">
        <v>0.025</v>
      </c>
      <c r="P37" s="349">
        <v>0.0137</v>
      </c>
      <c r="Q37" s="349">
        <v>0.0615</v>
      </c>
      <c r="R37" s="34">
        <v>0.0455</v>
      </c>
      <c r="S37" s="34">
        <v>0.0496</v>
      </c>
      <c r="T37" s="34">
        <v>0.0127</v>
      </c>
      <c r="U37" s="34">
        <v>0.0541</v>
      </c>
      <c r="V37" s="34">
        <v>0.05</v>
      </c>
      <c r="W37" s="34">
        <v>0.04</v>
      </c>
      <c r="X37" s="34">
        <v>0.0</v>
      </c>
      <c r="Y37" s="34">
        <v>0.0</v>
      </c>
      <c r="Z37" s="34">
        <v>0.0</v>
      </c>
      <c r="AA37" s="34">
        <v>0.0196</v>
      </c>
      <c r="AB37" s="34">
        <v>0.069</v>
      </c>
      <c r="AC37" s="351">
        <v>0.0</v>
      </c>
      <c r="AD37" s="351">
        <v>0.0</v>
      </c>
      <c r="AE37" s="351">
        <v>0.0</v>
      </c>
    </row>
    <row r="38">
      <c r="A38" s="1" t="s">
        <v>444</v>
      </c>
      <c r="B38" s="34">
        <v>0.0</v>
      </c>
      <c r="C38" s="34">
        <v>0.0</v>
      </c>
      <c r="D38" s="349">
        <v>0.1692</v>
      </c>
      <c r="E38" s="349">
        <v>0.1207</v>
      </c>
      <c r="F38" s="34">
        <v>0.037</v>
      </c>
      <c r="G38" s="349">
        <v>0.0351</v>
      </c>
      <c r="H38" s="353">
        <v>0.0</v>
      </c>
      <c r="I38" s="349">
        <v>0.0</v>
      </c>
      <c r="J38" s="349">
        <v>0.0154</v>
      </c>
      <c r="K38" s="34">
        <v>0.0</v>
      </c>
      <c r="L38" s="34">
        <v>0.0</v>
      </c>
      <c r="M38" s="349">
        <v>0.0122</v>
      </c>
      <c r="N38" s="34">
        <v>0.0536</v>
      </c>
      <c r="O38" s="34">
        <v>0.0125</v>
      </c>
      <c r="P38" s="349">
        <v>0.0137</v>
      </c>
      <c r="Q38" s="349">
        <v>0.0154</v>
      </c>
      <c r="R38" s="34">
        <v>0.0152</v>
      </c>
      <c r="S38" s="34">
        <v>0.0331</v>
      </c>
      <c r="T38" s="34">
        <v>0.0127</v>
      </c>
      <c r="U38" s="34">
        <v>0.0</v>
      </c>
      <c r="V38" s="34">
        <v>0.0</v>
      </c>
      <c r="W38" s="34">
        <v>0.0</v>
      </c>
      <c r="X38" s="34">
        <v>0.0</v>
      </c>
      <c r="Y38" s="34">
        <v>0.0303</v>
      </c>
      <c r="Z38" s="34">
        <v>0.0235</v>
      </c>
      <c r="AA38" s="34">
        <v>0.0392</v>
      </c>
      <c r="AB38" s="34">
        <v>0.0345</v>
      </c>
      <c r="AC38" s="351">
        <v>0.0</v>
      </c>
      <c r="AD38" s="351">
        <v>0.0</v>
      </c>
      <c r="AE38" s="351">
        <v>0.0</v>
      </c>
    </row>
    <row r="39">
      <c r="A39" s="1" t="s">
        <v>445</v>
      </c>
      <c r="B39" s="349">
        <v>0.0208</v>
      </c>
      <c r="C39" s="34">
        <v>0.0638</v>
      </c>
      <c r="D39" s="34">
        <v>0.0154</v>
      </c>
      <c r="E39" s="34">
        <v>0.0345</v>
      </c>
      <c r="F39" s="34">
        <v>0.0556</v>
      </c>
      <c r="G39" s="352">
        <v>0.0175</v>
      </c>
      <c r="H39" s="353">
        <v>0.0426</v>
      </c>
      <c r="I39" s="349">
        <v>0.0678</v>
      </c>
      <c r="J39" s="349">
        <v>0.0462</v>
      </c>
      <c r="K39" s="349">
        <v>0.0217</v>
      </c>
      <c r="L39" s="34">
        <v>0.0625</v>
      </c>
      <c r="M39" s="34">
        <v>0.0122</v>
      </c>
      <c r="N39" s="34">
        <v>0.0</v>
      </c>
      <c r="O39" s="34">
        <v>0.025</v>
      </c>
      <c r="P39" s="34">
        <v>0.0822</v>
      </c>
      <c r="Q39" s="34">
        <v>0.0462</v>
      </c>
      <c r="R39" s="34">
        <v>0.0606</v>
      </c>
      <c r="S39" s="34">
        <v>0.0992</v>
      </c>
      <c r="T39" s="34">
        <v>0.1519</v>
      </c>
      <c r="U39" s="34">
        <v>0.027</v>
      </c>
      <c r="V39" s="34">
        <v>0.1</v>
      </c>
      <c r="W39" s="34">
        <v>0.16</v>
      </c>
      <c r="X39" s="34">
        <v>0.0811</v>
      </c>
      <c r="Y39" s="34">
        <v>0.0909</v>
      </c>
      <c r="Z39" s="34">
        <v>0.2706</v>
      </c>
      <c r="AA39" s="34">
        <v>0.2745</v>
      </c>
      <c r="AB39" s="34">
        <v>0.069</v>
      </c>
      <c r="AC39" s="354">
        <v>0.0</v>
      </c>
      <c r="AD39" s="354">
        <v>0.0</v>
      </c>
      <c r="AE39" s="354">
        <v>0.0</v>
      </c>
    </row>
    <row r="40">
      <c r="A40" s="1" t="s">
        <v>446</v>
      </c>
      <c r="B40" s="349">
        <v>0.0208</v>
      </c>
      <c r="C40" s="349">
        <v>0.0426</v>
      </c>
      <c r="D40" s="349">
        <v>0.0154</v>
      </c>
      <c r="E40" s="349">
        <v>0.0</v>
      </c>
      <c r="F40" s="349">
        <v>0.0</v>
      </c>
      <c r="G40" s="349">
        <v>0.0</v>
      </c>
      <c r="H40" s="349">
        <v>0.0</v>
      </c>
      <c r="I40" s="34">
        <v>0.0</v>
      </c>
      <c r="J40" s="34">
        <v>0.0</v>
      </c>
      <c r="K40" s="34">
        <v>0.0217</v>
      </c>
      <c r="L40" s="34">
        <v>0.0208</v>
      </c>
      <c r="M40" s="34">
        <v>0.0</v>
      </c>
      <c r="N40" s="34">
        <v>0.0</v>
      </c>
      <c r="O40" s="34">
        <v>0.0</v>
      </c>
      <c r="P40" s="349">
        <v>0.0</v>
      </c>
      <c r="Q40" s="34">
        <v>0.0154</v>
      </c>
      <c r="R40" s="50">
        <v>0.0152</v>
      </c>
      <c r="S40" s="34">
        <v>0.0</v>
      </c>
      <c r="T40" s="34">
        <v>0.0127</v>
      </c>
      <c r="U40" s="34">
        <v>0.0</v>
      </c>
      <c r="V40" s="34">
        <v>0.0</v>
      </c>
      <c r="W40" s="34">
        <v>0.0</v>
      </c>
      <c r="X40" s="34">
        <v>0.0</v>
      </c>
      <c r="Y40" s="34">
        <v>0.0</v>
      </c>
      <c r="Z40" s="34">
        <v>0.0</v>
      </c>
      <c r="AA40" s="34">
        <v>0.0392</v>
      </c>
      <c r="AB40" s="34">
        <v>0.0345</v>
      </c>
      <c r="AC40" s="354">
        <v>0.0</v>
      </c>
      <c r="AD40" s="354">
        <v>0.0</v>
      </c>
      <c r="AE40" s="354">
        <v>0.0</v>
      </c>
    </row>
    <row r="41">
      <c r="G41" s="355"/>
    </row>
    <row r="42">
      <c r="B42" s="356">
        <v>45078.0</v>
      </c>
      <c r="C42" s="357" t="s">
        <v>447</v>
      </c>
      <c r="D42" s="357" t="s">
        <v>448</v>
      </c>
    </row>
    <row r="43">
      <c r="A43" s="1" t="s">
        <v>138</v>
      </c>
      <c r="B43" s="36">
        <f>SUM(B9:AE9)</f>
        <v>1275540.42</v>
      </c>
      <c r="C43" s="358">
        <v>2000000.0</v>
      </c>
      <c r="D43" s="359">
        <f t="shared" ref="D43:D45" si="6">B43/C43</f>
        <v>0.63777021</v>
      </c>
    </row>
    <row r="44">
      <c r="A44" s="1" t="s">
        <v>449</v>
      </c>
      <c r="B44" s="36">
        <f>SUM(B18:AE18)</f>
        <v>400840.84</v>
      </c>
      <c r="C44" s="358">
        <v>666000.0</v>
      </c>
      <c r="D44" s="359">
        <f t="shared" si="6"/>
        <v>0.6018631231</v>
      </c>
    </row>
    <row r="45">
      <c r="A45" s="1" t="s">
        <v>286</v>
      </c>
      <c r="B45" s="346">
        <f>B43/B44</f>
        <v>3.182161828</v>
      </c>
      <c r="C45" s="360">
        <v>3.0</v>
      </c>
      <c r="D45" s="359">
        <f t="shared" si="6"/>
        <v>1.060720609</v>
      </c>
    </row>
    <row r="46">
      <c r="A46" s="1" t="s">
        <v>431</v>
      </c>
      <c r="B46" s="36">
        <f>SUM(B18:AE18)/SUM('Detailed Report'!B141:AE141)</f>
        <v>93.04569174</v>
      </c>
      <c r="C46" s="361"/>
      <c r="D46" s="359"/>
      <c r="W46" s="1" t="s">
        <v>349</v>
      </c>
    </row>
    <row r="47">
      <c r="A47" s="1" t="s">
        <v>432</v>
      </c>
      <c r="B47" s="38">
        <f>AVERAGE(B22:AE22)</f>
        <v>0.01053666667</v>
      </c>
      <c r="C47" s="362"/>
      <c r="D47" s="359"/>
    </row>
    <row r="48">
      <c r="A48" s="1" t="s">
        <v>433</v>
      </c>
      <c r="B48" s="36">
        <f>B43/B51</f>
        <v>256.0297912</v>
      </c>
      <c r="C48" s="361"/>
      <c r="D48" s="359"/>
    </row>
    <row r="49">
      <c r="A49" s="1" t="s">
        <v>434</v>
      </c>
      <c r="B49" s="347">
        <f t="shared" ref="B49:B50" si="7">AVERAGE(B24:AE24)</f>
        <v>263.1893333</v>
      </c>
    </row>
    <row r="50">
      <c r="A50" s="1" t="s">
        <v>435</v>
      </c>
      <c r="B50" s="14">
        <f t="shared" si="7"/>
        <v>148.081</v>
      </c>
    </row>
    <row r="51">
      <c r="A51" s="1" t="s">
        <v>424</v>
      </c>
      <c r="B51" s="363">
        <f>SUM(B10:AE10)</f>
        <v>4982</v>
      </c>
      <c r="C51" s="364"/>
      <c r="D51" s="359"/>
      <c r="L51" s="1" t="s">
        <v>349</v>
      </c>
    </row>
    <row r="52">
      <c r="A52" s="1" t="s">
        <v>450</v>
      </c>
      <c r="B52" s="363">
        <f>'Detailed Report'!AF141</f>
        <v>4308</v>
      </c>
      <c r="C52" s="364">
        <v>7500.0</v>
      </c>
      <c r="D52" s="359">
        <f>B52/C52</f>
        <v>0.5744</v>
      </c>
    </row>
    <row r="53">
      <c r="A53" s="1" t="s">
        <v>451</v>
      </c>
      <c r="B53" s="36">
        <f>B44/B52</f>
        <v>93.04569174</v>
      </c>
      <c r="C53" s="361"/>
      <c r="D53" s="359"/>
    </row>
    <row r="54">
      <c r="A54" s="1" t="s">
        <v>452</v>
      </c>
      <c r="B54" s="38">
        <f>AVERAGE(B29:AE29)</f>
        <v>0.88524</v>
      </c>
    </row>
    <row r="55">
      <c r="A55" s="1" t="s">
        <v>453</v>
      </c>
      <c r="B55" s="38">
        <f>AVERAGE(B28:AE28)</f>
        <v>0.11476</v>
      </c>
    </row>
    <row r="66">
      <c r="Y66" s="34"/>
      <c r="Z66" s="34"/>
      <c r="AA66" s="34"/>
      <c r="AB66" s="34"/>
      <c r="AC66" s="34"/>
      <c r="AD66" s="34"/>
      <c r="AE66" s="34"/>
    </row>
    <row r="67">
      <c r="Y67" s="34"/>
      <c r="Z67" s="34"/>
      <c r="AA67" s="34"/>
      <c r="AB67" s="34"/>
      <c r="AC67" s="34"/>
      <c r="AD67" s="34"/>
      <c r="AE67" s="34"/>
    </row>
    <row r="68">
      <c r="Y68" s="34"/>
      <c r="Z68" s="34"/>
      <c r="AA68" s="34"/>
      <c r="AB68" s="34"/>
      <c r="AC68" s="34"/>
      <c r="AD68" s="34"/>
      <c r="AE68" s="34"/>
    </row>
    <row r="69">
      <c r="Y69" s="365"/>
      <c r="AC69" s="34"/>
      <c r="AD69" s="34"/>
      <c r="AE69" s="34"/>
    </row>
    <row r="74">
      <c r="Y74" s="1" t="s">
        <v>349</v>
      </c>
    </row>
  </sheetData>
  <mergeCells count="3">
    <mergeCell ref="O4:U4"/>
    <mergeCell ref="A5:A6"/>
    <mergeCell ref="M5:N5"/>
  </mergeCells>
  <conditionalFormatting sqref="B20:AE20">
    <cfRule type="colorScale" priority="1">
      <colorScale>
        <cfvo type="min"/>
        <cfvo type="max"/>
        <color rgb="FFFFFFFF"/>
        <color rgb="FF57BB8A"/>
      </colorScale>
    </cfRule>
  </conditionalFormatting>
  <conditionalFormatting sqref="A21:AE21">
    <cfRule type="colorScale" priority="2">
      <colorScale>
        <cfvo type="min"/>
        <cfvo type="max"/>
        <color rgb="FF57BB8A"/>
        <color rgb="FFFFFFFF"/>
      </colorScale>
    </cfRule>
  </conditionalFormatting>
  <conditionalFormatting sqref="A22:AE22">
    <cfRule type="colorScale" priority="3">
      <colorScale>
        <cfvo type="min"/>
        <cfvo type="max"/>
        <color rgb="FFFFFFFF"/>
        <color rgb="FF57BB8A"/>
      </colorScale>
    </cfRule>
  </conditionalFormatting>
  <conditionalFormatting sqref="A23:A25 B23:AE23 A27">
    <cfRule type="colorScale" priority="4">
      <colorScale>
        <cfvo type="min"/>
        <cfvo type="max"/>
        <color rgb="FFFFFFFF"/>
        <color rgb="FF57BB8A"/>
      </colorScale>
    </cfRule>
  </conditionalFormatting>
  <conditionalFormatting sqref="A10:AE10">
    <cfRule type="colorScale" priority="5">
      <colorScale>
        <cfvo type="min"/>
        <cfvo type="max"/>
        <color rgb="FFFFFFFF"/>
        <color rgb="FF57BB8A"/>
      </colorScale>
    </cfRule>
  </conditionalFormatting>
  <conditionalFormatting sqref="Z32:Z40 B33:H40 I33:O39 P33:P40 Q33:W39 X33:X38 Y33:Y37 AA33:AB39 AC33:AE40 Y66:Y69 Z66:AB68 AC66:AE69">
    <cfRule type="colorScale" priority="6">
      <colorScale>
        <cfvo type="min"/>
        <cfvo type="max"/>
        <color rgb="FFFFFFFF"/>
        <color rgb="FF57BB8A"/>
      </colorScale>
    </cfRule>
  </conditionalFormatting>
  <conditionalFormatting sqref="B28:AE28">
    <cfRule type="colorScale" priority="7">
      <colorScale>
        <cfvo type="min"/>
        <cfvo type="max"/>
        <color rgb="FFFFFFFF"/>
        <color rgb="FF57BB8A"/>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20" width="16.63"/>
    <col customWidth="1" min="21" max="31" width="16.13"/>
    <col customWidth="1" min="32" max="32" width="16.25"/>
  </cols>
  <sheetData>
    <row r="1">
      <c r="A1" s="2" t="s">
        <v>1</v>
      </c>
      <c r="B1" s="3">
        <v>45078.0</v>
      </c>
      <c r="C1" s="3">
        <v>45079.0</v>
      </c>
      <c r="D1" s="3">
        <v>45080.0</v>
      </c>
      <c r="E1" s="3">
        <v>45081.0</v>
      </c>
      <c r="F1" s="3">
        <v>45082.0</v>
      </c>
      <c r="G1" s="3">
        <v>45083.0</v>
      </c>
      <c r="H1" s="3">
        <v>45084.0</v>
      </c>
      <c r="I1" s="3">
        <v>45085.0</v>
      </c>
      <c r="J1" s="3">
        <v>45086.0</v>
      </c>
      <c r="K1" s="3">
        <v>45087.0</v>
      </c>
      <c r="L1" s="3">
        <v>45088.0</v>
      </c>
      <c r="M1" s="3">
        <v>45089.0</v>
      </c>
      <c r="N1" s="3">
        <v>45090.0</v>
      </c>
      <c r="O1" s="3">
        <v>45091.0</v>
      </c>
      <c r="P1" s="3">
        <v>45092.0</v>
      </c>
      <c r="Q1" s="3">
        <v>45093.0</v>
      </c>
      <c r="R1" s="3">
        <v>45094.0</v>
      </c>
      <c r="S1" s="3">
        <v>45095.0</v>
      </c>
      <c r="T1" s="3">
        <v>45096.0</v>
      </c>
      <c r="U1" s="3">
        <v>45097.0</v>
      </c>
      <c r="V1" s="3">
        <v>45098.0</v>
      </c>
      <c r="W1" s="3">
        <v>45099.0</v>
      </c>
      <c r="X1" s="3">
        <v>45100.0</v>
      </c>
      <c r="Y1" s="3">
        <v>45101.0</v>
      </c>
      <c r="Z1" s="3">
        <v>45102.0</v>
      </c>
      <c r="AA1" s="3">
        <v>45103.0</v>
      </c>
      <c r="AB1" s="3">
        <v>45104.0</v>
      </c>
      <c r="AC1" s="3">
        <v>45105.0</v>
      </c>
      <c r="AD1" s="3">
        <v>45106.0</v>
      </c>
      <c r="AE1" s="3">
        <v>45107.0</v>
      </c>
      <c r="AF1" s="7"/>
    </row>
    <row r="2">
      <c r="A2" s="8" t="s">
        <v>39</v>
      </c>
      <c r="B2" s="9" t="s">
        <v>42</v>
      </c>
      <c r="C2" s="9" t="s">
        <v>44</v>
      </c>
      <c r="D2" s="9" t="s">
        <v>46</v>
      </c>
      <c r="E2" s="9" t="s">
        <v>47</v>
      </c>
      <c r="F2" s="9" t="s">
        <v>49</v>
      </c>
      <c r="G2" s="9" t="s">
        <v>50</v>
      </c>
      <c r="H2" s="9" t="s">
        <v>52</v>
      </c>
      <c r="I2" s="9" t="s">
        <v>42</v>
      </c>
      <c r="J2" s="9" t="s">
        <v>44</v>
      </c>
      <c r="K2" s="9" t="s">
        <v>46</v>
      </c>
      <c r="L2" s="9" t="s">
        <v>47</v>
      </c>
      <c r="M2" s="9" t="s">
        <v>49</v>
      </c>
      <c r="N2" s="9" t="s">
        <v>50</v>
      </c>
      <c r="O2" s="9" t="s">
        <v>52</v>
      </c>
      <c r="P2" s="9" t="s">
        <v>42</v>
      </c>
      <c r="Q2" s="9" t="s">
        <v>44</v>
      </c>
      <c r="R2" s="9" t="s">
        <v>46</v>
      </c>
      <c r="S2" s="9" t="s">
        <v>47</v>
      </c>
      <c r="T2" s="9" t="s">
        <v>49</v>
      </c>
      <c r="U2" s="9" t="s">
        <v>50</v>
      </c>
      <c r="V2" s="9" t="s">
        <v>52</v>
      </c>
      <c r="W2" s="9" t="s">
        <v>42</v>
      </c>
      <c r="X2" s="9" t="s">
        <v>44</v>
      </c>
      <c r="Y2" s="9" t="s">
        <v>46</v>
      </c>
      <c r="Z2" s="9" t="s">
        <v>47</v>
      </c>
      <c r="AA2" s="9" t="s">
        <v>49</v>
      </c>
      <c r="AB2" s="9" t="s">
        <v>50</v>
      </c>
      <c r="AC2" s="9" t="s">
        <v>52</v>
      </c>
      <c r="AD2" s="9" t="s">
        <v>42</v>
      </c>
      <c r="AE2" s="9" t="s">
        <v>44</v>
      </c>
      <c r="AF2" s="7"/>
    </row>
    <row r="3">
      <c r="A3" s="15" t="s">
        <v>58</v>
      </c>
      <c r="B3" s="16"/>
      <c r="C3" s="16"/>
      <c r="D3" s="16"/>
      <c r="E3" s="16"/>
      <c r="F3" s="16"/>
      <c r="G3" s="16"/>
      <c r="H3" s="16"/>
      <c r="I3" s="16"/>
      <c r="J3" s="16"/>
      <c r="K3" s="16"/>
      <c r="L3" s="16"/>
      <c r="M3" s="16"/>
      <c r="N3" s="16"/>
      <c r="O3" s="16"/>
      <c r="P3" s="16"/>
      <c r="Q3" s="16"/>
      <c r="R3" s="16"/>
      <c r="S3" s="16"/>
      <c r="T3" s="16"/>
      <c r="U3" s="16"/>
      <c r="V3" s="16"/>
      <c r="W3" s="16"/>
      <c r="X3" s="16"/>
      <c r="Y3" s="16"/>
      <c r="Z3" s="16"/>
      <c r="AA3" s="16"/>
      <c r="AB3" s="22"/>
      <c r="AC3" s="16"/>
      <c r="AD3" s="16"/>
      <c r="AE3" s="16"/>
      <c r="AF3" s="7"/>
    </row>
    <row r="4">
      <c r="A4" s="23" t="s">
        <v>73</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7"/>
    </row>
    <row r="5">
      <c r="A5" s="26" t="s">
        <v>80</v>
      </c>
      <c r="B5" s="27">
        <v>13.0</v>
      </c>
      <c r="C5" s="28">
        <v>14.0</v>
      </c>
      <c r="D5" s="28">
        <v>17.0</v>
      </c>
      <c r="E5" s="28">
        <v>14.0</v>
      </c>
      <c r="F5" s="28">
        <v>18.0</v>
      </c>
      <c r="G5" s="28">
        <v>15.0</v>
      </c>
      <c r="H5" s="28">
        <v>21.0</v>
      </c>
      <c r="I5" s="28">
        <v>32.0</v>
      </c>
      <c r="J5" s="28">
        <v>30.0</v>
      </c>
      <c r="K5" s="28">
        <v>23.0</v>
      </c>
      <c r="L5" s="28">
        <v>30.0</v>
      </c>
      <c r="M5" s="28">
        <v>36.0</v>
      </c>
      <c r="N5" s="28">
        <v>23.0</v>
      </c>
      <c r="O5" s="28">
        <v>26.0</v>
      </c>
      <c r="P5" s="28">
        <v>37.0</v>
      </c>
      <c r="Q5" s="28">
        <v>33.0</v>
      </c>
      <c r="R5" s="28">
        <v>51.0</v>
      </c>
      <c r="S5" s="30">
        <v>61.0</v>
      </c>
      <c r="T5" s="28">
        <v>50.0</v>
      </c>
      <c r="U5" s="30">
        <v>16.0</v>
      </c>
      <c r="V5" s="30">
        <v>0.0</v>
      </c>
      <c r="W5" s="30">
        <v>1.0</v>
      </c>
      <c r="X5" s="30">
        <v>5.0</v>
      </c>
      <c r="Y5" s="30">
        <v>2.0</v>
      </c>
      <c r="Z5" s="30">
        <v>12.0</v>
      </c>
      <c r="AA5" s="30">
        <v>13.0</v>
      </c>
      <c r="AB5" s="30">
        <v>14.0</v>
      </c>
      <c r="AC5" s="31"/>
      <c r="AD5" s="31"/>
      <c r="AE5" s="31"/>
      <c r="AF5" s="32">
        <f t="shared" ref="AF5:AF8" si="1">SUM(B5:AE5)</f>
        <v>607</v>
      </c>
    </row>
    <row r="6">
      <c r="A6" s="33" t="s">
        <v>95</v>
      </c>
      <c r="B6" s="27">
        <v>69.0</v>
      </c>
      <c r="C6" s="28">
        <v>74.0</v>
      </c>
      <c r="D6" s="28">
        <v>83.0</v>
      </c>
      <c r="E6" s="28">
        <v>88.0</v>
      </c>
      <c r="F6" s="28">
        <v>67.0</v>
      </c>
      <c r="G6" s="28">
        <v>70.0</v>
      </c>
      <c r="H6" s="28">
        <v>70.0</v>
      </c>
      <c r="I6" s="28">
        <v>94.0</v>
      </c>
      <c r="J6" s="28">
        <v>40.0</v>
      </c>
      <c r="K6" s="28">
        <v>43.0</v>
      </c>
      <c r="L6" s="28">
        <v>74.0</v>
      </c>
      <c r="M6" s="28">
        <v>110.0</v>
      </c>
      <c r="N6" s="28">
        <v>110.0</v>
      </c>
      <c r="O6" s="28">
        <v>132.0</v>
      </c>
      <c r="P6" s="28">
        <v>120.0</v>
      </c>
      <c r="Q6" s="28">
        <v>112.0</v>
      </c>
      <c r="R6" s="28">
        <v>127.0</v>
      </c>
      <c r="S6" s="30">
        <v>187.0</v>
      </c>
      <c r="T6" s="28">
        <v>96.0</v>
      </c>
      <c r="U6" s="30">
        <v>49.0</v>
      </c>
      <c r="V6" s="30">
        <v>26.0</v>
      </c>
      <c r="W6" s="30">
        <v>8.0</v>
      </c>
      <c r="X6" s="30">
        <v>20.0</v>
      </c>
      <c r="Y6" s="30">
        <v>33.0</v>
      </c>
      <c r="Z6" s="30">
        <v>60.0</v>
      </c>
      <c r="AA6" s="30">
        <v>52.0</v>
      </c>
      <c r="AB6" s="30">
        <v>26.0</v>
      </c>
      <c r="AC6" s="31"/>
      <c r="AD6" s="31"/>
      <c r="AE6" s="31"/>
      <c r="AF6" s="32">
        <f t="shared" si="1"/>
        <v>2040</v>
      </c>
    </row>
    <row r="7">
      <c r="A7" s="26" t="s">
        <v>99</v>
      </c>
      <c r="B7" s="28">
        <v>0.0</v>
      </c>
      <c r="C7" s="28">
        <v>0.0</v>
      </c>
      <c r="D7" s="28">
        <v>0.0</v>
      </c>
      <c r="E7" s="28">
        <v>0.0</v>
      </c>
      <c r="F7" s="28">
        <v>0.0</v>
      </c>
      <c r="G7" s="28">
        <v>0.0</v>
      </c>
      <c r="H7" s="28">
        <v>0.0</v>
      </c>
      <c r="I7" s="28">
        <v>0.0</v>
      </c>
      <c r="J7" s="28">
        <v>1.0</v>
      </c>
      <c r="K7" s="28">
        <v>0.0</v>
      </c>
      <c r="L7" s="28">
        <v>0.0</v>
      </c>
      <c r="M7" s="28">
        <v>0.0</v>
      </c>
      <c r="N7" s="28">
        <v>0.0</v>
      </c>
      <c r="O7" s="28">
        <v>0.0</v>
      </c>
      <c r="P7" s="28">
        <v>0.0</v>
      </c>
      <c r="Q7" s="28">
        <v>1.0</v>
      </c>
      <c r="R7" s="28">
        <v>2.0</v>
      </c>
      <c r="S7" s="28">
        <v>1.0</v>
      </c>
      <c r="T7" s="28">
        <v>0.0</v>
      </c>
      <c r="U7" s="28">
        <v>1.0</v>
      </c>
      <c r="V7" s="28">
        <v>0.0</v>
      </c>
      <c r="W7" s="28">
        <v>0.0</v>
      </c>
      <c r="X7" s="28">
        <v>0.0</v>
      </c>
      <c r="Y7" s="28">
        <v>0.0</v>
      </c>
      <c r="Z7" s="28">
        <v>0.0</v>
      </c>
      <c r="AA7" s="28">
        <v>0.0</v>
      </c>
      <c r="AB7" s="28">
        <v>0.0</v>
      </c>
      <c r="AC7" s="35"/>
      <c r="AD7" s="35"/>
      <c r="AE7" s="35"/>
      <c r="AF7" s="32">
        <f t="shared" si="1"/>
        <v>6</v>
      </c>
    </row>
    <row r="8">
      <c r="A8" s="33" t="s">
        <v>106</v>
      </c>
      <c r="B8" s="27">
        <v>8.0</v>
      </c>
      <c r="C8" s="28">
        <v>2.0</v>
      </c>
      <c r="D8" s="28">
        <v>5.0</v>
      </c>
      <c r="E8" s="28">
        <v>7.0</v>
      </c>
      <c r="F8" s="28">
        <v>3.0</v>
      </c>
      <c r="G8" s="28">
        <v>12.0</v>
      </c>
      <c r="H8" s="28">
        <v>3.0</v>
      </c>
      <c r="I8" s="28">
        <v>10.0</v>
      </c>
      <c r="J8" s="28">
        <v>8.0</v>
      </c>
      <c r="K8" s="28">
        <v>4.0</v>
      </c>
      <c r="L8" s="28">
        <v>8.0</v>
      </c>
      <c r="M8" s="28">
        <v>7.0</v>
      </c>
      <c r="N8" s="28">
        <v>7.0</v>
      </c>
      <c r="O8" s="28">
        <v>9.0</v>
      </c>
      <c r="P8" s="28">
        <v>7.0</v>
      </c>
      <c r="Q8" s="28">
        <v>7.0</v>
      </c>
      <c r="R8" s="28">
        <v>11.0</v>
      </c>
      <c r="S8" s="30">
        <v>7.0</v>
      </c>
      <c r="T8" s="28">
        <v>7.0</v>
      </c>
      <c r="U8" s="30">
        <v>4.0</v>
      </c>
      <c r="V8" s="30">
        <v>4.0</v>
      </c>
      <c r="W8" s="30">
        <v>1.0</v>
      </c>
      <c r="X8" s="30">
        <v>0.0</v>
      </c>
      <c r="Y8" s="30">
        <v>1.0</v>
      </c>
      <c r="Z8" s="30">
        <v>3.0</v>
      </c>
      <c r="AA8" s="30">
        <v>0.0</v>
      </c>
      <c r="AB8" s="30">
        <v>0.0</v>
      </c>
      <c r="AC8" s="31"/>
      <c r="AD8" s="31"/>
      <c r="AE8" s="31"/>
      <c r="AF8" s="32">
        <f t="shared" si="1"/>
        <v>145</v>
      </c>
    </row>
    <row r="9">
      <c r="A9" s="33" t="s">
        <v>112</v>
      </c>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9"/>
    </row>
    <row r="10">
      <c r="A10" s="33" t="s">
        <v>115</v>
      </c>
      <c r="B10" s="28">
        <v>0.0</v>
      </c>
      <c r="C10" s="28">
        <v>1.0</v>
      </c>
      <c r="D10" s="28">
        <v>3.0</v>
      </c>
      <c r="E10" s="28">
        <v>0.0</v>
      </c>
      <c r="F10" s="28">
        <v>3.0</v>
      </c>
      <c r="G10" s="40">
        <v>3.0</v>
      </c>
      <c r="H10" s="40">
        <v>1.0</v>
      </c>
      <c r="I10" s="40">
        <v>0.0</v>
      </c>
      <c r="J10" s="28">
        <v>2.0</v>
      </c>
      <c r="K10" s="28">
        <v>2.0</v>
      </c>
      <c r="L10" s="28">
        <v>4.0</v>
      </c>
      <c r="M10" s="28">
        <v>2.0</v>
      </c>
      <c r="N10" s="28">
        <v>4.0</v>
      </c>
      <c r="O10" s="28">
        <v>5.0</v>
      </c>
      <c r="P10" s="28">
        <v>5.0</v>
      </c>
      <c r="Q10" s="28">
        <v>0.0</v>
      </c>
      <c r="R10" s="40">
        <v>5.0</v>
      </c>
      <c r="S10" s="40">
        <v>6.0</v>
      </c>
      <c r="T10" s="40">
        <v>4.0</v>
      </c>
      <c r="U10" s="40">
        <v>3.0</v>
      </c>
      <c r="V10" s="40">
        <v>0.0</v>
      </c>
      <c r="W10" s="40">
        <v>4.0</v>
      </c>
      <c r="X10" s="40">
        <v>2.0</v>
      </c>
      <c r="Y10" s="40">
        <v>2.0</v>
      </c>
      <c r="Z10" s="40">
        <v>4.0</v>
      </c>
      <c r="AA10" s="40">
        <v>1.0</v>
      </c>
      <c r="AB10" s="40">
        <v>1.0</v>
      </c>
      <c r="AC10" s="35"/>
      <c r="AD10" s="35"/>
      <c r="AE10" s="35"/>
      <c r="AF10" s="39"/>
    </row>
    <row r="11">
      <c r="A11" s="26" t="s">
        <v>117</v>
      </c>
      <c r="B11" s="41"/>
      <c r="C11" s="41"/>
      <c r="D11" s="41"/>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3">
        <f t="shared" ref="AF11:AF14" si="2">SUM(B11:AE11)</f>
        <v>0</v>
      </c>
    </row>
    <row r="12">
      <c r="A12" s="26" t="s">
        <v>121</v>
      </c>
      <c r="B12" s="41"/>
      <c r="C12" s="41"/>
      <c r="D12" s="41"/>
      <c r="E12" s="42"/>
      <c r="F12" s="42"/>
      <c r="G12" s="42"/>
      <c r="H12" s="42"/>
      <c r="I12" s="42"/>
      <c r="J12" s="42"/>
      <c r="K12" s="42"/>
      <c r="L12" s="42"/>
      <c r="M12" s="42"/>
      <c r="N12" s="42"/>
      <c r="O12" s="42"/>
      <c r="P12" s="42"/>
      <c r="Q12" s="42"/>
      <c r="R12" s="42"/>
      <c r="S12" s="42"/>
      <c r="T12" s="42"/>
      <c r="U12" s="42"/>
      <c r="V12" s="42"/>
      <c r="W12" s="42"/>
      <c r="X12" s="42"/>
      <c r="Y12" s="42"/>
      <c r="Z12" s="42"/>
      <c r="AA12" s="41"/>
      <c r="AB12" s="42"/>
      <c r="AC12" s="42"/>
      <c r="AD12" s="42"/>
      <c r="AE12" s="42"/>
      <c r="AF12" s="43">
        <f t="shared" si="2"/>
        <v>0</v>
      </c>
    </row>
    <row r="13">
      <c r="A13" s="46" t="s">
        <v>127</v>
      </c>
      <c r="B13" s="48">
        <v>7.0</v>
      </c>
      <c r="C13" s="48">
        <v>12.0</v>
      </c>
      <c r="D13" s="48">
        <v>5.0</v>
      </c>
      <c r="E13" s="48">
        <v>7.0</v>
      </c>
      <c r="F13" s="48">
        <v>15.0</v>
      </c>
      <c r="G13" s="48">
        <v>8.0</v>
      </c>
      <c r="H13" s="48">
        <v>5.0</v>
      </c>
      <c r="I13" s="48">
        <v>9.0</v>
      </c>
      <c r="J13" s="48">
        <v>8.0</v>
      </c>
      <c r="K13" s="48">
        <v>8.0</v>
      </c>
      <c r="L13" s="48">
        <v>9.0</v>
      </c>
      <c r="M13" s="48">
        <v>25.0</v>
      </c>
      <c r="N13" s="48">
        <v>14.0</v>
      </c>
      <c r="O13" s="48">
        <v>24.0</v>
      </c>
      <c r="P13" s="48">
        <v>15.0</v>
      </c>
      <c r="Q13" s="48">
        <v>13.0</v>
      </c>
      <c r="R13" s="48">
        <v>12.0</v>
      </c>
      <c r="S13" s="48">
        <v>9.0</v>
      </c>
      <c r="T13" s="48">
        <v>11.0</v>
      </c>
      <c r="U13" s="48">
        <v>12.0</v>
      </c>
      <c r="V13" s="48">
        <v>9.0</v>
      </c>
      <c r="W13" s="52">
        <v>4.0</v>
      </c>
      <c r="X13" s="48">
        <v>12.0</v>
      </c>
      <c r="Y13" s="48">
        <v>6.0</v>
      </c>
      <c r="Z13" s="48">
        <v>17.0</v>
      </c>
      <c r="AA13" s="48">
        <v>11.0</v>
      </c>
      <c r="AB13" s="48">
        <v>5.0</v>
      </c>
      <c r="AC13" s="53">
        <v>0.0</v>
      </c>
      <c r="AD13" s="53"/>
      <c r="AE13" s="53"/>
      <c r="AF13" s="32">
        <f t="shared" si="2"/>
        <v>292</v>
      </c>
    </row>
    <row r="14">
      <c r="A14" s="54" t="s">
        <v>123</v>
      </c>
      <c r="B14" s="55">
        <f t="shared" ref="B14:AE14" si="3">SUM(B5:B13)</f>
        <v>97</v>
      </c>
      <c r="C14" s="55">
        <f t="shared" si="3"/>
        <v>103</v>
      </c>
      <c r="D14" s="55">
        <f t="shared" si="3"/>
        <v>113</v>
      </c>
      <c r="E14" s="55">
        <f t="shared" si="3"/>
        <v>116</v>
      </c>
      <c r="F14" s="55">
        <f t="shared" si="3"/>
        <v>106</v>
      </c>
      <c r="G14" s="55">
        <f t="shared" si="3"/>
        <v>108</v>
      </c>
      <c r="H14" s="55">
        <f t="shared" si="3"/>
        <v>100</v>
      </c>
      <c r="I14" s="55">
        <f t="shared" si="3"/>
        <v>145</v>
      </c>
      <c r="J14" s="55">
        <f t="shared" si="3"/>
        <v>89</v>
      </c>
      <c r="K14" s="55">
        <f t="shared" si="3"/>
        <v>80</v>
      </c>
      <c r="L14" s="55">
        <f t="shared" si="3"/>
        <v>125</v>
      </c>
      <c r="M14" s="55">
        <f t="shared" si="3"/>
        <v>180</v>
      </c>
      <c r="N14" s="55">
        <f t="shared" si="3"/>
        <v>158</v>
      </c>
      <c r="O14" s="55">
        <f t="shared" si="3"/>
        <v>196</v>
      </c>
      <c r="P14" s="55">
        <f t="shared" si="3"/>
        <v>184</v>
      </c>
      <c r="Q14" s="55">
        <f t="shared" si="3"/>
        <v>166</v>
      </c>
      <c r="R14" s="55">
        <f t="shared" si="3"/>
        <v>208</v>
      </c>
      <c r="S14" s="55">
        <f t="shared" si="3"/>
        <v>271</v>
      </c>
      <c r="T14" s="55">
        <f t="shared" si="3"/>
        <v>168</v>
      </c>
      <c r="U14" s="55">
        <f t="shared" si="3"/>
        <v>85</v>
      </c>
      <c r="V14" s="55">
        <f t="shared" si="3"/>
        <v>39</v>
      </c>
      <c r="W14" s="55">
        <f t="shared" si="3"/>
        <v>18</v>
      </c>
      <c r="X14" s="55">
        <f t="shared" si="3"/>
        <v>39</v>
      </c>
      <c r="Y14" s="55">
        <f t="shared" si="3"/>
        <v>44</v>
      </c>
      <c r="Z14" s="55">
        <f t="shared" si="3"/>
        <v>96</v>
      </c>
      <c r="AA14" s="55">
        <f t="shared" si="3"/>
        <v>77</v>
      </c>
      <c r="AB14" s="55">
        <f t="shared" si="3"/>
        <v>46</v>
      </c>
      <c r="AC14" s="55">
        <f t="shared" si="3"/>
        <v>0</v>
      </c>
      <c r="AD14" s="55">
        <f t="shared" si="3"/>
        <v>0</v>
      </c>
      <c r="AE14" s="55">
        <f t="shared" si="3"/>
        <v>0</v>
      </c>
      <c r="AF14" s="43">
        <f t="shared" si="2"/>
        <v>3157</v>
      </c>
    </row>
    <row r="15">
      <c r="A15" s="2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7"/>
    </row>
    <row r="16">
      <c r="A16" s="56" t="s">
        <v>138</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7"/>
    </row>
    <row r="17">
      <c r="A17" s="26" t="s">
        <v>80</v>
      </c>
      <c r="B17" s="57">
        <v>3294.85</v>
      </c>
      <c r="C17" s="58">
        <v>4118.4</v>
      </c>
      <c r="D17" s="58">
        <v>4524.34</v>
      </c>
      <c r="E17" s="58">
        <v>4243.17</v>
      </c>
      <c r="F17" s="58">
        <v>4803.88</v>
      </c>
      <c r="G17" s="58">
        <v>3933.64</v>
      </c>
      <c r="H17" s="58">
        <v>6685.47</v>
      </c>
      <c r="I17" s="58">
        <v>8736.05</v>
      </c>
      <c r="J17" s="58">
        <v>8807.3</v>
      </c>
      <c r="K17" s="58">
        <v>6640.61</v>
      </c>
      <c r="L17" s="58">
        <v>8227.08</v>
      </c>
      <c r="M17" s="58">
        <v>9676.52</v>
      </c>
      <c r="N17" s="58">
        <v>6002.61</v>
      </c>
      <c r="O17" s="58">
        <v>7076.8</v>
      </c>
      <c r="P17" s="58">
        <v>9216.81</v>
      </c>
      <c r="Q17" s="58">
        <v>9731.68</v>
      </c>
      <c r="R17" s="58">
        <v>13752.62</v>
      </c>
      <c r="S17" s="59">
        <v>16145.05</v>
      </c>
      <c r="T17" s="58">
        <v>13978.94</v>
      </c>
      <c r="U17" s="59">
        <v>4301.62</v>
      </c>
      <c r="V17" s="59">
        <v>0.0</v>
      </c>
      <c r="W17" s="59">
        <v>229.38</v>
      </c>
      <c r="X17" s="59">
        <v>1159.16</v>
      </c>
      <c r="Y17" s="59">
        <v>564.56</v>
      </c>
      <c r="Z17" s="59">
        <v>3563.53</v>
      </c>
      <c r="AA17" s="59">
        <v>3515.69</v>
      </c>
      <c r="AB17" s="58">
        <v>3910.35</v>
      </c>
      <c r="AC17" s="60">
        <v>0.0</v>
      </c>
      <c r="AD17" s="60"/>
      <c r="AE17" s="60"/>
      <c r="AF17" s="61">
        <f t="shared" ref="AF17:AF20" si="4">SUM(B17:AE17)</f>
        <v>166840.11</v>
      </c>
    </row>
    <row r="18">
      <c r="A18" s="33" t="s">
        <v>95</v>
      </c>
      <c r="B18" s="57">
        <v>18415.6</v>
      </c>
      <c r="C18" s="58">
        <v>20483.25</v>
      </c>
      <c r="D18" s="58">
        <v>21036.07</v>
      </c>
      <c r="E18" s="58">
        <v>22253.35</v>
      </c>
      <c r="F18" s="58">
        <v>15981.54</v>
      </c>
      <c r="G18" s="58">
        <v>17517.93</v>
      </c>
      <c r="H18" s="58">
        <v>16988.56</v>
      </c>
      <c r="I18" s="58">
        <v>24280.0</v>
      </c>
      <c r="J18" s="58">
        <v>9973.73</v>
      </c>
      <c r="K18" s="58">
        <v>10765.09</v>
      </c>
      <c r="L18" s="58">
        <v>18770.4</v>
      </c>
      <c r="M18" s="58">
        <v>25343.21</v>
      </c>
      <c r="N18" s="58">
        <v>28010.8</v>
      </c>
      <c r="O18" s="58">
        <v>34899.1</v>
      </c>
      <c r="P18" s="58">
        <v>31011.07</v>
      </c>
      <c r="Q18" s="58">
        <v>29470.1</v>
      </c>
      <c r="R18" s="58">
        <v>34610.55</v>
      </c>
      <c r="S18" s="59">
        <v>45898.07</v>
      </c>
      <c r="T18" s="58">
        <v>22540.7</v>
      </c>
      <c r="U18" s="59">
        <v>11885.77</v>
      </c>
      <c r="V18" s="59">
        <v>5551.29</v>
      </c>
      <c r="W18" s="59">
        <v>2080.54</v>
      </c>
      <c r="X18" s="59">
        <v>4147.16</v>
      </c>
      <c r="Y18" s="59">
        <v>9029.57</v>
      </c>
      <c r="Z18" s="59">
        <v>14360.95</v>
      </c>
      <c r="AA18" s="59">
        <v>13933.84</v>
      </c>
      <c r="AB18" s="59">
        <v>6205.0</v>
      </c>
      <c r="AC18" s="62">
        <v>0.0</v>
      </c>
      <c r="AD18" s="62"/>
      <c r="AE18" s="62"/>
      <c r="AF18" s="61">
        <f t="shared" si="4"/>
        <v>515443.24</v>
      </c>
    </row>
    <row r="19">
      <c r="A19" s="26" t="s">
        <v>99</v>
      </c>
      <c r="B19" s="58">
        <v>0.0</v>
      </c>
      <c r="C19" s="58">
        <v>0.0</v>
      </c>
      <c r="D19" s="58">
        <v>0.0</v>
      </c>
      <c r="E19" s="58">
        <v>0.0</v>
      </c>
      <c r="F19" s="58">
        <v>0.0</v>
      </c>
      <c r="G19" s="58">
        <v>0.0</v>
      </c>
      <c r="H19" s="58">
        <v>0.0</v>
      </c>
      <c r="I19" s="58">
        <v>0.0</v>
      </c>
      <c r="J19" s="58">
        <v>324.21</v>
      </c>
      <c r="K19" s="58">
        <v>0.0</v>
      </c>
      <c r="L19" s="58">
        <v>0.0</v>
      </c>
      <c r="M19" s="58">
        <v>0.0</v>
      </c>
      <c r="N19" s="58">
        <v>0.0</v>
      </c>
      <c r="O19" s="58">
        <v>0.0</v>
      </c>
      <c r="P19" s="58">
        <v>0.0</v>
      </c>
      <c r="Q19" s="58">
        <v>199.85</v>
      </c>
      <c r="R19" s="58">
        <v>557.82</v>
      </c>
      <c r="S19" s="58">
        <v>252.23</v>
      </c>
      <c r="T19" s="58">
        <v>0.0</v>
      </c>
      <c r="U19" s="58">
        <v>254.66</v>
      </c>
      <c r="V19" s="58">
        <v>0.0</v>
      </c>
      <c r="W19" s="58">
        <v>0.0</v>
      </c>
      <c r="X19" s="58">
        <v>0.0</v>
      </c>
      <c r="Y19" s="58">
        <v>0.0</v>
      </c>
      <c r="Z19" s="58">
        <v>0.0</v>
      </c>
      <c r="AA19" s="58">
        <v>0.0</v>
      </c>
      <c r="AB19" s="58">
        <v>0.0</v>
      </c>
      <c r="AC19" s="60">
        <v>0.0</v>
      </c>
      <c r="AD19" s="60"/>
      <c r="AE19" s="60"/>
      <c r="AF19" s="61">
        <f t="shared" si="4"/>
        <v>1588.77</v>
      </c>
    </row>
    <row r="20">
      <c r="A20" s="22" t="s">
        <v>106</v>
      </c>
      <c r="B20" s="57">
        <v>2058.32</v>
      </c>
      <c r="C20" s="58">
        <v>495.26</v>
      </c>
      <c r="D20" s="58">
        <v>1494.25</v>
      </c>
      <c r="E20" s="58">
        <v>1471.87</v>
      </c>
      <c r="F20" s="58">
        <v>834.81</v>
      </c>
      <c r="G20" s="58">
        <v>2850.58</v>
      </c>
      <c r="H20" s="58">
        <v>748.12</v>
      </c>
      <c r="I20" s="58">
        <v>2498.22</v>
      </c>
      <c r="J20" s="58">
        <v>2291.4</v>
      </c>
      <c r="K20" s="58">
        <v>1197.61</v>
      </c>
      <c r="L20" s="58">
        <v>2075.9</v>
      </c>
      <c r="M20" s="58">
        <v>1628.04</v>
      </c>
      <c r="N20" s="58">
        <v>1188.56</v>
      </c>
      <c r="O20" s="58">
        <v>2244.35</v>
      </c>
      <c r="P20" s="58">
        <v>1830.03</v>
      </c>
      <c r="Q20" s="58">
        <v>1376.61</v>
      </c>
      <c r="R20" s="58">
        <v>2901.37</v>
      </c>
      <c r="S20" s="63">
        <v>1354.88</v>
      </c>
      <c r="T20" s="58">
        <v>1581.82</v>
      </c>
      <c r="U20" s="58">
        <v>1044.93</v>
      </c>
      <c r="V20" s="59">
        <v>797.51</v>
      </c>
      <c r="W20" s="59">
        <v>39.0</v>
      </c>
      <c r="X20" s="59">
        <v>0.0</v>
      </c>
      <c r="Y20" s="59">
        <v>264.29</v>
      </c>
      <c r="Z20" s="59">
        <v>804.07</v>
      </c>
      <c r="AA20" s="58">
        <v>0.0</v>
      </c>
      <c r="AB20" s="59">
        <v>0.0</v>
      </c>
      <c r="AC20" s="62">
        <v>0.0</v>
      </c>
      <c r="AD20" s="62"/>
      <c r="AE20" s="62"/>
      <c r="AF20" s="61">
        <f t="shared" si="4"/>
        <v>35071.8</v>
      </c>
    </row>
    <row r="21" ht="17.25" customHeight="1">
      <c r="A21" s="22" t="s">
        <v>112</v>
      </c>
      <c r="B21" s="64"/>
      <c r="C21" s="65"/>
      <c r="D21" s="66"/>
      <c r="E21" s="65"/>
      <c r="F21" s="65"/>
      <c r="G21" s="66"/>
      <c r="H21" s="66"/>
      <c r="I21" s="66"/>
      <c r="J21" s="66"/>
      <c r="K21" s="66"/>
      <c r="L21" s="66"/>
      <c r="M21" s="65"/>
      <c r="N21" s="65"/>
      <c r="O21" s="65"/>
      <c r="P21" s="65"/>
      <c r="Q21" s="65"/>
      <c r="R21" s="65"/>
      <c r="S21" s="65"/>
      <c r="T21" s="65"/>
      <c r="U21" s="65"/>
      <c r="V21" s="65"/>
      <c r="W21" s="65"/>
      <c r="X21" s="65"/>
      <c r="Y21" s="65"/>
      <c r="Z21" s="65"/>
      <c r="AA21" s="65"/>
      <c r="AB21" s="65"/>
      <c r="AC21" s="65"/>
      <c r="AD21" s="65"/>
      <c r="AE21" s="65"/>
      <c r="AF21" s="67"/>
    </row>
    <row r="22">
      <c r="A22" s="33" t="s">
        <v>115</v>
      </c>
      <c r="B22" s="58">
        <v>0.0</v>
      </c>
      <c r="C22" s="58">
        <v>292.21</v>
      </c>
      <c r="D22" s="58">
        <v>0.0</v>
      </c>
      <c r="E22" s="58">
        <v>0.0</v>
      </c>
      <c r="F22" s="58">
        <v>1028.47</v>
      </c>
      <c r="G22" s="58">
        <v>861.02</v>
      </c>
      <c r="H22" s="58">
        <v>84.38</v>
      </c>
      <c r="I22" s="58">
        <v>0.0</v>
      </c>
      <c r="J22" s="58">
        <v>549.25</v>
      </c>
      <c r="K22" s="58">
        <v>656.17</v>
      </c>
      <c r="L22" s="68">
        <v>1191.62</v>
      </c>
      <c r="M22" s="58">
        <v>380.54</v>
      </c>
      <c r="N22" s="58">
        <v>1223.44</v>
      </c>
      <c r="O22" s="58">
        <v>1282.92</v>
      </c>
      <c r="P22" s="58">
        <v>1261.52</v>
      </c>
      <c r="Q22" s="58">
        <v>0.0</v>
      </c>
      <c r="R22" s="68">
        <v>1412.07</v>
      </c>
      <c r="S22" s="58">
        <v>1610.08</v>
      </c>
      <c r="T22" s="68">
        <v>1183.66</v>
      </c>
      <c r="U22" s="68">
        <f>273.29+199.85+324.21</f>
        <v>797.35</v>
      </c>
      <c r="V22" s="68">
        <v>0.0</v>
      </c>
      <c r="W22" s="68">
        <f>223.63+321.94+222.07+299.94</f>
        <v>1067.58</v>
      </c>
      <c r="X22" s="68">
        <f>321.94+125.19</f>
        <v>447.13</v>
      </c>
      <c r="Y22" s="68">
        <f>324.98+296.08</f>
        <v>621.06</v>
      </c>
      <c r="Z22" s="68">
        <f>327.25+366.76+84.38+286.82</f>
        <v>1065.21</v>
      </c>
      <c r="AA22" s="68">
        <v>250.49</v>
      </c>
      <c r="AB22" s="68">
        <v>224.16</v>
      </c>
      <c r="AC22" s="62">
        <v>0.0</v>
      </c>
      <c r="AD22" s="62"/>
      <c r="AE22" s="62"/>
      <c r="AF22" s="67"/>
    </row>
    <row r="23">
      <c r="A23" s="26" t="s">
        <v>117</v>
      </c>
      <c r="B23" s="65"/>
      <c r="C23" s="65"/>
      <c r="D23" s="65"/>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1">
        <f t="shared" ref="AF23:AF26" si="5">SUM(B23:AE23)</f>
        <v>0</v>
      </c>
    </row>
    <row r="24">
      <c r="A24" s="26" t="s">
        <v>121</v>
      </c>
      <c r="B24" s="65"/>
      <c r="C24" s="65"/>
      <c r="D24" s="65"/>
      <c r="E24" s="69"/>
      <c r="F24" s="69"/>
      <c r="G24" s="69"/>
      <c r="H24" s="69"/>
      <c r="I24" s="69"/>
      <c r="J24" s="65"/>
      <c r="K24" s="69"/>
      <c r="L24" s="69"/>
      <c r="M24" s="69"/>
      <c r="N24" s="69"/>
      <c r="O24" s="69"/>
      <c r="P24" s="69"/>
      <c r="Q24" s="69"/>
      <c r="R24" s="69"/>
      <c r="S24" s="69"/>
      <c r="T24" s="69"/>
      <c r="U24" s="69"/>
      <c r="V24" s="69"/>
      <c r="W24" s="69"/>
      <c r="X24" s="69"/>
      <c r="Y24" s="69"/>
      <c r="Z24" s="69"/>
      <c r="AA24" s="69"/>
      <c r="AB24" s="69"/>
      <c r="AC24" s="69"/>
      <c r="AD24" s="69"/>
      <c r="AE24" s="69"/>
      <c r="AF24" s="61">
        <f t="shared" si="5"/>
        <v>0</v>
      </c>
    </row>
    <row r="25">
      <c r="A25" s="46" t="s">
        <v>127</v>
      </c>
      <c r="B25" s="71">
        <v>614.21</v>
      </c>
      <c r="C25" s="71">
        <v>1866.32</v>
      </c>
      <c r="D25" s="71">
        <v>1061.11</v>
      </c>
      <c r="E25" s="71">
        <v>1626.6</v>
      </c>
      <c r="F25" s="71">
        <v>2162.44</v>
      </c>
      <c r="G25" s="71">
        <v>1269.3</v>
      </c>
      <c r="H25" s="71">
        <v>842.13</v>
      </c>
      <c r="I25" s="71">
        <v>1971.81</v>
      </c>
      <c r="J25" s="71">
        <v>1668.28</v>
      </c>
      <c r="K25" s="71">
        <v>1266.91</v>
      </c>
      <c r="L25" s="71">
        <v>2066.5</v>
      </c>
      <c r="M25" s="71">
        <v>4117.38</v>
      </c>
      <c r="N25" s="71">
        <v>3156.41</v>
      </c>
      <c r="O25" s="74">
        <v>4830.22</v>
      </c>
      <c r="P25" s="75">
        <v>3679.37</v>
      </c>
      <c r="Q25" s="75">
        <v>2566.29</v>
      </c>
      <c r="R25" s="71">
        <v>2915.62</v>
      </c>
      <c r="S25" s="75">
        <v>1746.61</v>
      </c>
      <c r="T25" s="75">
        <v>4013.65</v>
      </c>
      <c r="U25" s="75">
        <v>2259.81</v>
      </c>
      <c r="V25" s="75">
        <v>1433.41</v>
      </c>
      <c r="W25" s="77">
        <v>618.0</v>
      </c>
      <c r="X25" s="75">
        <v>1282.03</v>
      </c>
      <c r="Y25" s="75">
        <v>1154.01</v>
      </c>
      <c r="Z25" s="75">
        <v>4045.13</v>
      </c>
      <c r="AA25" s="75">
        <v>2949.81</v>
      </c>
      <c r="AB25" s="75">
        <v>1054.17</v>
      </c>
      <c r="AC25" s="79">
        <v>0.0</v>
      </c>
      <c r="AD25" s="80"/>
      <c r="AE25" s="80"/>
      <c r="AF25" s="61">
        <f t="shared" si="5"/>
        <v>58237.53</v>
      </c>
    </row>
    <row r="26">
      <c r="A26" s="54" t="s">
        <v>123</v>
      </c>
      <c r="B26" s="82">
        <f t="shared" ref="B26:AE26" si="6">SUM(B17:B25)</f>
        <v>24382.98</v>
      </c>
      <c r="C26" s="82">
        <f t="shared" si="6"/>
        <v>27255.44</v>
      </c>
      <c r="D26" s="82">
        <f t="shared" si="6"/>
        <v>28115.77</v>
      </c>
      <c r="E26" s="82">
        <f t="shared" si="6"/>
        <v>29594.99</v>
      </c>
      <c r="F26" s="82">
        <f t="shared" si="6"/>
        <v>24811.14</v>
      </c>
      <c r="G26" s="82">
        <f t="shared" si="6"/>
        <v>26432.47</v>
      </c>
      <c r="H26" s="82">
        <f t="shared" si="6"/>
        <v>25348.66</v>
      </c>
      <c r="I26" s="82">
        <f t="shared" si="6"/>
        <v>37486.08</v>
      </c>
      <c r="J26" s="82">
        <f t="shared" si="6"/>
        <v>23614.17</v>
      </c>
      <c r="K26" s="82">
        <f t="shared" si="6"/>
        <v>20526.39</v>
      </c>
      <c r="L26" s="82">
        <f t="shared" si="6"/>
        <v>32331.5</v>
      </c>
      <c r="M26" s="82">
        <f t="shared" si="6"/>
        <v>41145.69</v>
      </c>
      <c r="N26" s="82">
        <f t="shared" si="6"/>
        <v>39581.82</v>
      </c>
      <c r="O26" s="82">
        <f t="shared" si="6"/>
        <v>50333.39</v>
      </c>
      <c r="P26" s="82">
        <f t="shared" si="6"/>
        <v>46998.8</v>
      </c>
      <c r="Q26" s="82">
        <f t="shared" si="6"/>
        <v>43344.53</v>
      </c>
      <c r="R26" s="82">
        <f t="shared" si="6"/>
        <v>56150.05</v>
      </c>
      <c r="S26" s="82">
        <f t="shared" si="6"/>
        <v>67006.92</v>
      </c>
      <c r="T26" s="82">
        <f t="shared" si="6"/>
        <v>43298.77</v>
      </c>
      <c r="U26" s="82">
        <f t="shared" si="6"/>
        <v>20544.14</v>
      </c>
      <c r="V26" s="82">
        <f t="shared" si="6"/>
        <v>7782.21</v>
      </c>
      <c r="W26" s="82">
        <f t="shared" si="6"/>
        <v>4034.5</v>
      </c>
      <c r="X26" s="82">
        <f t="shared" si="6"/>
        <v>7035.48</v>
      </c>
      <c r="Y26" s="82">
        <f t="shared" si="6"/>
        <v>11633.49</v>
      </c>
      <c r="Z26" s="82">
        <f t="shared" si="6"/>
        <v>23838.89</v>
      </c>
      <c r="AA26" s="82">
        <f t="shared" si="6"/>
        <v>20649.83</v>
      </c>
      <c r="AB26" s="82">
        <f t="shared" si="6"/>
        <v>11393.68</v>
      </c>
      <c r="AC26" s="82">
        <f t="shared" si="6"/>
        <v>0</v>
      </c>
      <c r="AD26" s="83">
        <f t="shared" si="6"/>
        <v>0</v>
      </c>
      <c r="AE26" s="83">
        <f t="shared" si="6"/>
        <v>0</v>
      </c>
      <c r="AF26" s="61">
        <f t="shared" si="5"/>
        <v>794671.78</v>
      </c>
    </row>
    <row r="27">
      <c r="A27" s="2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86"/>
    </row>
    <row r="28">
      <c r="A28" s="87" t="s">
        <v>149</v>
      </c>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86"/>
    </row>
    <row r="29">
      <c r="A29" s="26" t="s">
        <v>150</v>
      </c>
      <c r="B29" s="88">
        <f>Sales!B12</f>
        <v>5819.35</v>
      </c>
      <c r="C29" s="88">
        <f>Sales!C12</f>
        <v>6351.79</v>
      </c>
      <c r="D29" s="88">
        <f>Sales!D12</f>
        <v>6995.09</v>
      </c>
      <c r="E29" s="88">
        <f>Sales!E12</f>
        <v>6480.56</v>
      </c>
      <c r="F29" s="88">
        <f>Sales!F12</f>
        <v>5823.01</v>
      </c>
      <c r="G29" s="88">
        <f>Sales!G12</f>
        <v>5934.08</v>
      </c>
      <c r="H29" s="88">
        <f>Sales!H12</f>
        <v>5813</v>
      </c>
      <c r="I29" s="88">
        <f>Sales!I12</f>
        <v>5781.36</v>
      </c>
      <c r="J29" s="88">
        <f>Sales!J12</f>
        <v>5734.34</v>
      </c>
      <c r="K29" s="88">
        <f>Sales!K12</f>
        <v>5529.15</v>
      </c>
      <c r="L29" s="88">
        <f>Sales!L12</f>
        <v>6108.87</v>
      </c>
      <c r="M29" s="88">
        <f>Sales!M12</f>
        <v>6044.18</v>
      </c>
      <c r="N29" s="88">
        <f>Sales!N12</f>
        <v>5477.22</v>
      </c>
      <c r="O29" s="88">
        <f>Sales!O12</f>
        <v>5473.72</v>
      </c>
      <c r="P29" s="88">
        <f>Sales!P12</f>
        <v>7942.82</v>
      </c>
      <c r="Q29" s="88">
        <f>Sales!Q12</f>
        <v>10262.5</v>
      </c>
      <c r="R29" s="88">
        <f>Sales!R12</f>
        <v>11301.08</v>
      </c>
      <c r="S29" s="88">
        <f>Sales!S12</f>
        <v>11986.12</v>
      </c>
      <c r="T29" s="88">
        <f>Sales!T12</f>
        <v>11892.42</v>
      </c>
      <c r="U29" s="88">
        <f>Sales!U12</f>
        <v>6768.77</v>
      </c>
      <c r="V29" s="88">
        <f>Sales!V12</f>
        <v>0</v>
      </c>
      <c r="W29" s="88">
        <f>Sales!W12</f>
        <v>0</v>
      </c>
      <c r="X29" s="88">
        <f>Sales!X12</f>
        <v>1604.81</v>
      </c>
      <c r="Y29" s="88">
        <f>Sales!Y12</f>
        <v>1595.97</v>
      </c>
      <c r="Z29" s="88">
        <f>Sales!Z12</f>
        <v>2982.76</v>
      </c>
      <c r="AA29" s="88">
        <f>Sales!AA12</f>
        <v>4321</v>
      </c>
      <c r="AB29" s="88">
        <f>Sales!AB12</f>
        <v>3388.35</v>
      </c>
      <c r="AC29" s="88">
        <f>Sales!AC12</f>
        <v>2990.92</v>
      </c>
      <c r="AD29" s="88">
        <f>Sales!AD12</f>
        <v>4398.82</v>
      </c>
      <c r="AE29" s="88">
        <f>Sales!AE12</f>
        <v>5398.79</v>
      </c>
      <c r="AF29" s="67">
        <f t="shared" ref="AF29:AF42" si="7">SUM(B29:AE29)</f>
        <v>170200.85</v>
      </c>
    </row>
    <row r="30">
      <c r="A30" s="33" t="s">
        <v>166</v>
      </c>
      <c r="B30" s="88">
        <f>Sales!B13</f>
        <v>6834.34</v>
      </c>
      <c r="C30" s="88">
        <f>Sales!C13</f>
        <v>10214.61</v>
      </c>
      <c r="D30" s="88">
        <f>Sales!D13</f>
        <v>9297.35</v>
      </c>
      <c r="E30" s="88">
        <f>Sales!E13</f>
        <v>7824.73</v>
      </c>
      <c r="F30" s="88">
        <f>Sales!F13</f>
        <v>7747.63</v>
      </c>
      <c r="G30" s="88">
        <f>Sales!G13</f>
        <v>7082.13</v>
      </c>
      <c r="H30" s="88">
        <f>Sales!H13</f>
        <v>8111.48</v>
      </c>
      <c r="I30" s="88">
        <f>Sales!I13</f>
        <v>7959.23</v>
      </c>
      <c r="J30" s="88">
        <f>Sales!J13</f>
        <v>8775.49</v>
      </c>
      <c r="K30" s="88">
        <f>Sales!K13</f>
        <v>12799.76</v>
      </c>
      <c r="L30" s="88">
        <f>Sales!L13</f>
        <v>14428.68</v>
      </c>
      <c r="M30" s="88">
        <f>Sales!M13</f>
        <v>14510.17</v>
      </c>
      <c r="N30" s="88">
        <f>Sales!N13</f>
        <v>13329.58</v>
      </c>
      <c r="O30" s="88">
        <f>Sales!O13</f>
        <v>11868.87</v>
      </c>
      <c r="P30" s="88">
        <f>Sales!P13</f>
        <v>8491.53</v>
      </c>
      <c r="Q30" s="88">
        <f>Sales!Q13</f>
        <v>8350.94</v>
      </c>
      <c r="R30" s="88">
        <f>Sales!R13</f>
        <v>8945.22</v>
      </c>
      <c r="S30" s="88">
        <f>Sales!S13</f>
        <v>9485.66</v>
      </c>
      <c r="T30" s="88">
        <f>Sales!T13</f>
        <v>8248.1</v>
      </c>
      <c r="U30" s="88">
        <f>Sales!U13</f>
        <v>7251.03</v>
      </c>
      <c r="V30" s="88">
        <f>Sales!V13</f>
        <v>4471.26</v>
      </c>
      <c r="W30" s="88">
        <f>Sales!W13</f>
        <v>0</v>
      </c>
      <c r="X30" s="88">
        <f>Sales!X13</f>
        <v>340.43</v>
      </c>
      <c r="Y30" s="88">
        <f>Sales!Y13</f>
        <v>2834.24</v>
      </c>
      <c r="Z30" s="88">
        <f>Sales!Z13</f>
        <v>3962.71</v>
      </c>
      <c r="AA30" s="88">
        <f>Sales!AA13</f>
        <v>3345.79</v>
      </c>
      <c r="AB30" s="88">
        <f>Sales!AB13</f>
        <v>3573.3</v>
      </c>
      <c r="AC30" s="88">
        <f>Sales!AC13</f>
        <v>3314.72</v>
      </c>
      <c r="AD30" s="88">
        <f>Sales!AD13</f>
        <v>2934.13</v>
      </c>
      <c r="AE30" s="88">
        <f>Sales!AE13</f>
        <v>2905.43</v>
      </c>
      <c r="AF30" s="67">
        <f t="shared" si="7"/>
        <v>219238.54</v>
      </c>
    </row>
    <row r="31">
      <c r="A31" s="26" t="s">
        <v>201</v>
      </c>
      <c r="B31" s="88">
        <f>Sales!B15</f>
        <v>319.5</v>
      </c>
      <c r="C31" s="88">
        <f>Sales!C15</f>
        <v>167.28</v>
      </c>
      <c r="D31" s="88">
        <f>Sales!D15</f>
        <v>165.57</v>
      </c>
      <c r="E31" s="88">
        <f>Sales!E15</f>
        <v>167.6</v>
      </c>
      <c r="F31" s="88">
        <f>Sales!F15</f>
        <v>78.15</v>
      </c>
      <c r="G31" s="88">
        <f>Sales!G15</f>
        <v>0</v>
      </c>
      <c r="H31" s="88">
        <f>Sales!H15</f>
        <v>0</v>
      </c>
      <c r="I31" s="88">
        <f>Sales!I15</f>
        <v>0</v>
      </c>
      <c r="J31" s="88">
        <f>Sales!J15</f>
        <v>0</v>
      </c>
      <c r="K31" s="88">
        <f>Sales!K15</f>
        <v>0</v>
      </c>
      <c r="L31" s="88">
        <f>Sales!L15</f>
        <v>0</v>
      </c>
      <c r="M31" s="88">
        <f>Sales!M15</f>
        <v>0</v>
      </c>
      <c r="N31" s="88">
        <f>Sales!N15</f>
        <v>0</v>
      </c>
      <c r="O31" s="88">
        <f>Sales!O15</f>
        <v>0</v>
      </c>
      <c r="P31" s="88">
        <f>Sales!P15</f>
        <v>0</v>
      </c>
      <c r="Q31" s="88">
        <f>Sales!Q15</f>
        <v>206.92</v>
      </c>
      <c r="R31" s="88">
        <f>Sales!R15</f>
        <v>396.46</v>
      </c>
      <c r="S31" s="88">
        <f>Sales!S15</f>
        <v>396.41</v>
      </c>
      <c r="T31" s="88">
        <f>Sales!T15</f>
        <v>400</v>
      </c>
      <c r="U31" s="88">
        <f>Sales!U15</f>
        <v>239.31</v>
      </c>
      <c r="V31" s="88">
        <f>Sales!V15</f>
        <v>125.08</v>
      </c>
      <c r="W31" s="88">
        <f>Sales!W15</f>
        <v>0</v>
      </c>
      <c r="X31" s="88">
        <f>Sales!X15</f>
        <v>0</v>
      </c>
      <c r="Y31" s="88">
        <f>Sales!Y15</f>
        <v>0</v>
      </c>
      <c r="Z31" s="88">
        <f>Sales!Z15</f>
        <v>0</v>
      </c>
      <c r="AA31" s="88">
        <f>Sales!AA15</f>
        <v>0</v>
      </c>
      <c r="AB31" s="88">
        <f>Sales!AB15</f>
        <v>0</v>
      </c>
      <c r="AC31" s="88">
        <f>Sales!AC15</f>
        <v>0</v>
      </c>
      <c r="AD31" s="88">
        <f>Sales!AD15</f>
        <v>0</v>
      </c>
      <c r="AE31" s="88">
        <f>Sales!AE15</f>
        <v>0</v>
      </c>
      <c r="AF31" s="67">
        <f t="shared" si="7"/>
        <v>2662.28</v>
      </c>
    </row>
    <row r="32">
      <c r="A32" s="33" t="s">
        <v>221</v>
      </c>
      <c r="B32" s="88">
        <f>Sales!B14</f>
        <v>259.98</v>
      </c>
      <c r="C32" s="88">
        <f>Sales!C14</f>
        <v>273.58</v>
      </c>
      <c r="D32" s="88">
        <f>Sales!D14</f>
        <v>257.11</v>
      </c>
      <c r="E32" s="88">
        <f>Sales!E14</f>
        <v>262.79</v>
      </c>
      <c r="F32" s="88">
        <f>Sales!F14</f>
        <v>187.4</v>
      </c>
      <c r="G32" s="88">
        <f>Sales!G14</f>
        <v>235.08</v>
      </c>
      <c r="H32" s="88">
        <f>Sales!H14</f>
        <v>262.2</v>
      </c>
      <c r="I32" s="88">
        <f>Sales!I14</f>
        <v>257.03</v>
      </c>
      <c r="J32" s="88">
        <f>Sales!J14</f>
        <v>0</v>
      </c>
      <c r="K32" s="88">
        <f>Sales!K14</f>
        <v>0</v>
      </c>
      <c r="L32" s="88">
        <f>Sales!L14</f>
        <v>219.13</v>
      </c>
      <c r="M32" s="88">
        <f>Sales!M14</f>
        <v>253.88</v>
      </c>
      <c r="N32" s="88">
        <f>Sales!N14</f>
        <v>259.97</v>
      </c>
      <c r="O32" s="88">
        <f>Sales!O14</f>
        <v>259.17</v>
      </c>
      <c r="P32" s="88">
        <f>Sales!P14</f>
        <v>266.81</v>
      </c>
      <c r="Q32" s="88">
        <f>Sales!Q14</f>
        <v>259.99</v>
      </c>
      <c r="R32" s="88">
        <f>Sales!R14</f>
        <v>266.7</v>
      </c>
      <c r="S32" s="88">
        <f>Sales!S14</f>
        <v>261.75</v>
      </c>
      <c r="T32" s="88">
        <f>Sales!T14</f>
        <v>264.9</v>
      </c>
      <c r="U32" s="88">
        <f>Sales!U14</f>
        <v>221.94</v>
      </c>
      <c r="V32" s="88">
        <f>Sales!V14</f>
        <v>0</v>
      </c>
      <c r="W32" s="88">
        <f>Sales!W14</f>
        <v>0</v>
      </c>
      <c r="X32" s="88">
        <f>Sales!X14</f>
        <v>0</v>
      </c>
      <c r="Y32" s="88">
        <f>Sales!Y14</f>
        <v>0</v>
      </c>
      <c r="Z32" s="88">
        <f>Sales!Z14</f>
        <v>0</v>
      </c>
      <c r="AA32" s="88">
        <f>Sales!AA14</f>
        <v>0</v>
      </c>
      <c r="AB32" s="88">
        <f>Sales!AB14</f>
        <v>0</v>
      </c>
      <c r="AC32" s="88">
        <f>Sales!AC14</f>
        <v>0</v>
      </c>
      <c r="AD32" s="88">
        <f>Sales!AD14</f>
        <v>0</v>
      </c>
      <c r="AE32" s="88">
        <f>Sales!AE14</f>
        <v>0</v>
      </c>
      <c r="AF32" s="67">
        <f t="shared" si="7"/>
        <v>4529.41</v>
      </c>
    </row>
    <row r="33">
      <c r="A33" s="33" t="s">
        <v>112</v>
      </c>
      <c r="B33" s="111" t="str">
        <f>Sales!B16</f>
        <v/>
      </c>
      <c r="C33" s="111" t="str">
        <f>Sales!C16</f>
        <v/>
      </c>
      <c r="D33" s="111" t="str">
        <f>Sales!D16</f>
        <v/>
      </c>
      <c r="E33" s="111" t="str">
        <f>Sales!E16</f>
        <v/>
      </c>
      <c r="F33" s="111" t="str">
        <f>Sales!F16</f>
        <v/>
      </c>
      <c r="G33" s="111" t="str">
        <f>Sales!G16</f>
        <v/>
      </c>
      <c r="H33" s="111" t="str">
        <f>Sales!H16</f>
        <v/>
      </c>
      <c r="I33" s="111" t="str">
        <f>Sales!I16</f>
        <v/>
      </c>
      <c r="J33" s="111" t="str">
        <f>Sales!J16</f>
        <v/>
      </c>
      <c r="K33" s="111" t="str">
        <f>Sales!K16</f>
        <v/>
      </c>
      <c r="L33" s="111" t="str">
        <f>Sales!L16</f>
        <v/>
      </c>
      <c r="M33" s="111" t="str">
        <f>Sales!M16</f>
        <v/>
      </c>
      <c r="N33" s="111" t="str">
        <f>Sales!N16</f>
        <v/>
      </c>
      <c r="O33" s="111" t="str">
        <f>Sales!O16</f>
        <v/>
      </c>
      <c r="P33" s="111" t="str">
        <f>Sales!P16</f>
        <v/>
      </c>
      <c r="Q33" s="111" t="str">
        <f>Sales!Q16</f>
        <v/>
      </c>
      <c r="R33" s="111" t="str">
        <f>Sales!R16</f>
        <v/>
      </c>
      <c r="S33" s="111" t="str">
        <f>Sales!S16</f>
        <v/>
      </c>
      <c r="T33" s="111" t="str">
        <f>Sales!T16</f>
        <v/>
      </c>
      <c r="U33" s="111" t="str">
        <f>Sales!U16</f>
        <v/>
      </c>
      <c r="V33" s="111" t="str">
        <f>Sales!V16</f>
        <v/>
      </c>
      <c r="W33" s="111" t="str">
        <f>Sales!W16</f>
        <v/>
      </c>
      <c r="X33" s="111" t="str">
        <f>Sales!X16</f>
        <v/>
      </c>
      <c r="Y33" s="111" t="str">
        <f>Sales!Y16</f>
        <v/>
      </c>
      <c r="Z33" s="111" t="str">
        <f>Sales!Z16</f>
        <v/>
      </c>
      <c r="AA33" s="111" t="str">
        <f>Sales!AA16</f>
        <v/>
      </c>
      <c r="AB33" s="111" t="str">
        <f>Sales!AB16</f>
        <v/>
      </c>
      <c r="AC33" s="111" t="str">
        <f>Sales!AC16</f>
        <v/>
      </c>
      <c r="AD33" s="111" t="str">
        <f>Sales!AD16</f>
        <v/>
      </c>
      <c r="AE33" s="111" t="str">
        <f>Sales!AE16</f>
        <v/>
      </c>
      <c r="AF33" s="67">
        <f t="shared" si="7"/>
        <v>0</v>
      </c>
    </row>
    <row r="34">
      <c r="A34" s="33" t="s">
        <v>228</v>
      </c>
      <c r="B34" s="117">
        <f t="shared" ref="B34:S34" si="8">B21*0.15</f>
        <v>0</v>
      </c>
      <c r="C34" s="117">
        <f t="shared" si="8"/>
        <v>0</v>
      </c>
      <c r="D34" s="117">
        <f t="shared" si="8"/>
        <v>0</v>
      </c>
      <c r="E34" s="117">
        <f t="shared" si="8"/>
        <v>0</v>
      </c>
      <c r="F34" s="117">
        <f t="shared" si="8"/>
        <v>0</v>
      </c>
      <c r="G34" s="117">
        <f t="shared" si="8"/>
        <v>0</v>
      </c>
      <c r="H34" s="117">
        <f t="shared" si="8"/>
        <v>0</v>
      </c>
      <c r="I34" s="117">
        <f t="shared" si="8"/>
        <v>0</v>
      </c>
      <c r="J34" s="117">
        <f t="shared" si="8"/>
        <v>0</v>
      </c>
      <c r="K34" s="117">
        <f t="shared" si="8"/>
        <v>0</v>
      </c>
      <c r="L34" s="117">
        <f t="shared" si="8"/>
        <v>0</v>
      </c>
      <c r="M34" s="117">
        <f t="shared" si="8"/>
        <v>0</v>
      </c>
      <c r="N34" s="117">
        <f t="shared" si="8"/>
        <v>0</v>
      </c>
      <c r="O34" s="117">
        <f t="shared" si="8"/>
        <v>0</v>
      </c>
      <c r="P34" s="117">
        <f t="shared" si="8"/>
        <v>0</v>
      </c>
      <c r="Q34" s="117">
        <f t="shared" si="8"/>
        <v>0</v>
      </c>
      <c r="R34" s="117">
        <f t="shared" si="8"/>
        <v>0</v>
      </c>
      <c r="S34" s="117">
        <f t="shared" si="8"/>
        <v>0</v>
      </c>
      <c r="T34" s="117"/>
      <c r="U34" s="117">
        <f t="shared" ref="U34:AC34" si="9">U21*0.15</f>
        <v>0</v>
      </c>
      <c r="V34" s="117">
        <f t="shared" si="9"/>
        <v>0</v>
      </c>
      <c r="W34" s="117">
        <f t="shared" si="9"/>
        <v>0</v>
      </c>
      <c r="X34" s="117">
        <f t="shared" si="9"/>
        <v>0</v>
      </c>
      <c r="Y34" s="117">
        <f t="shared" si="9"/>
        <v>0</v>
      </c>
      <c r="Z34" s="117">
        <f t="shared" si="9"/>
        <v>0</v>
      </c>
      <c r="AA34" s="117">
        <f t="shared" si="9"/>
        <v>0</v>
      </c>
      <c r="AB34" s="117">
        <f t="shared" si="9"/>
        <v>0</v>
      </c>
      <c r="AC34" s="117">
        <f t="shared" si="9"/>
        <v>0</v>
      </c>
      <c r="AD34" s="117"/>
      <c r="AE34" s="117"/>
      <c r="AF34" s="67">
        <f t="shared" si="7"/>
        <v>0</v>
      </c>
    </row>
    <row r="35">
      <c r="A35" s="33" t="s">
        <v>232</v>
      </c>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67">
        <f t="shared" si="7"/>
        <v>0</v>
      </c>
    </row>
    <row r="36">
      <c r="A36" s="121" t="s">
        <v>234</v>
      </c>
      <c r="B36" s="122"/>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67">
        <f t="shared" si="7"/>
        <v>0</v>
      </c>
    </row>
    <row r="37">
      <c r="A37" s="121" t="s">
        <v>236</v>
      </c>
      <c r="B37" s="123">
        <f>Sales!B17</f>
        <v>0</v>
      </c>
      <c r="C37" s="125">
        <f>Sales!C17</f>
        <v>58.44</v>
      </c>
      <c r="D37" s="125">
        <f>Sales!D17</f>
        <v>212.47</v>
      </c>
      <c r="E37" s="125">
        <f>Sales!E17</f>
        <v>0</v>
      </c>
      <c r="F37" s="125">
        <f>Sales!F17</f>
        <v>205.69</v>
      </c>
      <c r="G37" s="125">
        <f>Sales!G17</f>
        <v>200.16</v>
      </c>
      <c r="H37" s="125">
        <f>Sales!H17</f>
        <v>16.88</v>
      </c>
      <c r="I37" s="125">
        <f>Sales!I17</f>
        <v>0</v>
      </c>
      <c r="J37" s="126"/>
      <c r="K37" s="125">
        <f>Sales!K17</f>
        <v>150.23</v>
      </c>
      <c r="L37" s="125">
        <f>Sales!L17</f>
        <v>267.68</v>
      </c>
      <c r="M37" s="125">
        <f>Sales!M17</f>
        <v>76.11</v>
      </c>
      <c r="N37" s="125">
        <f>Sales!N17</f>
        <v>305.87</v>
      </c>
      <c r="O37" s="125">
        <f>Sales!O17</f>
        <v>295.93</v>
      </c>
      <c r="P37" s="125">
        <f>Sales!P17</f>
        <v>290.62</v>
      </c>
      <c r="Q37" s="125">
        <f>Sales!Q17</f>
        <v>0</v>
      </c>
      <c r="R37" s="125">
        <f>Sales!R17</f>
        <v>325.96</v>
      </c>
      <c r="S37" s="125">
        <f>Sales!S17</f>
        <v>376.14</v>
      </c>
      <c r="T37" s="125">
        <f>Sales!T17</f>
        <v>283.3</v>
      </c>
      <c r="U37" s="125">
        <f>Sales!U17</f>
        <v>173.13</v>
      </c>
      <c r="V37" s="125">
        <f>Sales!V17</f>
        <v>0</v>
      </c>
      <c r="W37" s="125">
        <f>Sales!W17</f>
        <v>255.8</v>
      </c>
      <c r="X37" s="125">
        <f>Sales!X17</f>
        <v>89.43</v>
      </c>
      <c r="Y37" s="125">
        <f>Sales!Y17</f>
        <v>124.22</v>
      </c>
      <c r="Z37" s="125">
        <f>Sales!Z17</f>
        <v>245.73</v>
      </c>
      <c r="AA37" s="125">
        <f>Sales!AA17</f>
        <v>62.62</v>
      </c>
      <c r="AB37" s="125">
        <f>Sales!AB17</f>
        <v>56.04</v>
      </c>
      <c r="AC37" s="125">
        <f>Sales!AC17</f>
        <v>0</v>
      </c>
      <c r="AD37" s="125">
        <f>Sales!AD17</f>
        <v>0</v>
      </c>
      <c r="AE37" s="125">
        <f>Sales!AE17</f>
        <v>0</v>
      </c>
      <c r="AF37" s="67">
        <f t="shared" si="7"/>
        <v>4072.45</v>
      </c>
    </row>
    <row r="38">
      <c r="A38" s="26" t="s">
        <v>238</v>
      </c>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67">
        <f t="shared" si="7"/>
        <v>0</v>
      </c>
    </row>
    <row r="39">
      <c r="A39" s="26" t="s">
        <v>240</v>
      </c>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67">
        <f t="shared" si="7"/>
        <v>0</v>
      </c>
    </row>
    <row r="40">
      <c r="A40" s="26" t="s">
        <v>242</v>
      </c>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67">
        <f t="shared" si="7"/>
        <v>0</v>
      </c>
    </row>
    <row r="41">
      <c r="A41" s="129" t="s">
        <v>245</v>
      </c>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20"/>
      <c r="AE41" s="120"/>
      <c r="AF41" s="67">
        <f t="shared" si="7"/>
        <v>0</v>
      </c>
    </row>
    <row r="42">
      <c r="A42" s="54" t="s">
        <v>123</v>
      </c>
      <c r="B42" s="82">
        <f t="shared" ref="B42:AE42" si="10">SUM(B29:B41)</f>
        <v>13233.17</v>
      </c>
      <c r="C42" s="82">
        <f t="shared" si="10"/>
        <v>17065.7</v>
      </c>
      <c r="D42" s="82">
        <f t="shared" si="10"/>
        <v>16927.59</v>
      </c>
      <c r="E42" s="82">
        <f t="shared" si="10"/>
        <v>14735.68</v>
      </c>
      <c r="F42" s="82">
        <f t="shared" si="10"/>
        <v>14041.88</v>
      </c>
      <c r="G42" s="82">
        <f t="shared" si="10"/>
        <v>13451.45</v>
      </c>
      <c r="H42" s="82">
        <f t="shared" si="10"/>
        <v>14203.56</v>
      </c>
      <c r="I42" s="82">
        <f t="shared" si="10"/>
        <v>13997.62</v>
      </c>
      <c r="J42" s="82">
        <f t="shared" si="10"/>
        <v>14509.83</v>
      </c>
      <c r="K42" s="82">
        <f t="shared" si="10"/>
        <v>18479.14</v>
      </c>
      <c r="L42" s="82">
        <f t="shared" si="10"/>
        <v>21024.36</v>
      </c>
      <c r="M42" s="82">
        <f t="shared" si="10"/>
        <v>20884.34</v>
      </c>
      <c r="N42" s="82">
        <f t="shared" si="10"/>
        <v>19372.64</v>
      </c>
      <c r="O42" s="82">
        <f t="shared" si="10"/>
        <v>17897.69</v>
      </c>
      <c r="P42" s="82">
        <f t="shared" si="10"/>
        <v>16991.78</v>
      </c>
      <c r="Q42" s="82">
        <f t="shared" si="10"/>
        <v>19080.35</v>
      </c>
      <c r="R42" s="82">
        <f t="shared" si="10"/>
        <v>21235.42</v>
      </c>
      <c r="S42" s="82">
        <f t="shared" si="10"/>
        <v>22506.08</v>
      </c>
      <c r="T42" s="82">
        <f t="shared" si="10"/>
        <v>21088.72</v>
      </c>
      <c r="U42" s="82">
        <f t="shared" si="10"/>
        <v>14654.18</v>
      </c>
      <c r="V42" s="82">
        <f t="shared" si="10"/>
        <v>4596.34</v>
      </c>
      <c r="W42" s="82">
        <f t="shared" si="10"/>
        <v>255.8</v>
      </c>
      <c r="X42" s="82">
        <f t="shared" si="10"/>
        <v>2034.67</v>
      </c>
      <c r="Y42" s="82">
        <f t="shared" si="10"/>
        <v>4554.43</v>
      </c>
      <c r="Z42" s="82">
        <f t="shared" si="10"/>
        <v>7191.2</v>
      </c>
      <c r="AA42" s="82">
        <f t="shared" si="10"/>
        <v>7729.41</v>
      </c>
      <c r="AB42" s="82">
        <f t="shared" si="10"/>
        <v>7017.69</v>
      </c>
      <c r="AC42" s="82">
        <f t="shared" si="10"/>
        <v>6305.64</v>
      </c>
      <c r="AD42" s="83">
        <f t="shared" si="10"/>
        <v>7332.95</v>
      </c>
      <c r="AE42" s="83">
        <f t="shared" si="10"/>
        <v>8304.22</v>
      </c>
      <c r="AF42" s="61">
        <f t="shared" si="7"/>
        <v>400703.53</v>
      </c>
    </row>
    <row r="43">
      <c r="A43" s="2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86"/>
    </row>
    <row r="44">
      <c r="A44" s="87" t="s">
        <v>249</v>
      </c>
      <c r="B44" s="22"/>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86"/>
    </row>
    <row r="45">
      <c r="A45" s="33" t="s">
        <v>250</v>
      </c>
      <c r="B45" s="135">
        <f>B14*Formulas!$C21</f>
        <v>7186.304968</v>
      </c>
      <c r="C45" s="135">
        <f>C14*Formulas!$C21</f>
        <v>7630.818677</v>
      </c>
      <c r="D45" s="135">
        <f>D14*Formulas!$C21</f>
        <v>8371.67486</v>
      </c>
      <c r="E45" s="135">
        <f>E14*Formulas!$C21</f>
        <v>8593.931714</v>
      </c>
      <c r="F45" s="135">
        <f>F14*Formulas!$C21</f>
        <v>7853.075532</v>
      </c>
      <c r="G45" s="135">
        <f>G14*Formulas!$C21</f>
        <v>8001.246768</v>
      </c>
      <c r="H45" s="135">
        <f>H14*Formulas!$C21</f>
        <v>7408.561823</v>
      </c>
      <c r="I45" s="135">
        <f>I14*Formulas!$C21</f>
        <v>10742.41464</v>
      </c>
      <c r="J45" s="135">
        <f>J14*Formulas!$C21</f>
        <v>6593.620022</v>
      </c>
      <c r="K45" s="135">
        <f>K14*Formulas!$C21</f>
        <v>5926.849458</v>
      </c>
      <c r="L45" s="135">
        <f>L14*Formulas!$C21</f>
        <v>9260.702278</v>
      </c>
      <c r="M45" s="135">
        <f>M14*Formulas!$C21</f>
        <v>13335.41128</v>
      </c>
      <c r="N45" s="135">
        <f>N14*Formulas!$C21</f>
        <v>11705.52768</v>
      </c>
      <c r="O45" s="135">
        <f>O14*Formulas!$C21</f>
        <v>14520.78117</v>
      </c>
      <c r="P45" s="135">
        <f>P14*Formulas!$C21</f>
        <v>13631.75375</v>
      </c>
      <c r="Q45" s="135">
        <f>Q14*Formulas!$C21</f>
        <v>12298.21263</v>
      </c>
      <c r="R45" s="135">
        <f>R14*Formulas!$C21</f>
        <v>15409.80859</v>
      </c>
      <c r="S45" s="135">
        <f>S14*Formulas!$C21</f>
        <v>20077.20254</v>
      </c>
      <c r="T45" s="135">
        <f>T14*Formulas!$C21</f>
        <v>12446.38386</v>
      </c>
      <c r="U45" s="135">
        <f>U14*Formulas!$C21</f>
        <v>6297.277549</v>
      </c>
      <c r="V45" s="135">
        <f>V14*Formulas!$C21</f>
        <v>2889.339111</v>
      </c>
      <c r="W45" s="135">
        <f>W14*Formulas!$C21</f>
        <v>1333.541128</v>
      </c>
      <c r="X45" s="135">
        <f>X14*Formulas!$C21</f>
        <v>2889.339111</v>
      </c>
      <c r="Y45" s="135">
        <f>Y14*Formulas!$C21</f>
        <v>3259.767202</v>
      </c>
      <c r="Z45" s="135">
        <f>Z14*Formulas!$C21</f>
        <v>7112.21935</v>
      </c>
      <c r="AA45" s="135">
        <f>AA14*Formulas!$C21</f>
        <v>5704.592603</v>
      </c>
      <c r="AB45" s="135">
        <f>AB14*Formulas!$C21</f>
        <v>3407.938438</v>
      </c>
      <c r="AC45" s="135">
        <f>AC14*Formulas!$C21</f>
        <v>0</v>
      </c>
      <c r="AD45" s="135">
        <f>AD14*Formulas!$C21</f>
        <v>0</v>
      </c>
      <c r="AE45" s="135">
        <f>AE14*Formulas!$C21</f>
        <v>0</v>
      </c>
      <c r="AF45" s="67">
        <f t="shared" ref="AF45:AF55" si="11">SUM(B45:AE45)</f>
        <v>233888.2967</v>
      </c>
    </row>
    <row r="46">
      <c r="A46" s="22" t="s">
        <v>258</v>
      </c>
      <c r="B46" s="138">
        <f>B14*Formulas!$C22</f>
        <v>1787.71</v>
      </c>
      <c r="C46" s="135">
        <f>C14*Formulas!$C22</f>
        <v>1898.29</v>
      </c>
      <c r="D46" s="135">
        <f>D14*Formulas!$C22</f>
        <v>2082.59</v>
      </c>
      <c r="E46" s="135">
        <f>E14*Formulas!$C22</f>
        <v>2137.88</v>
      </c>
      <c r="F46" s="135">
        <f>F14*Formulas!$C22</f>
        <v>1953.58</v>
      </c>
      <c r="G46" s="135">
        <f>G14*Formulas!$C22</f>
        <v>1990.44</v>
      </c>
      <c r="H46" s="135">
        <f>H14*Formulas!$C22</f>
        <v>1843</v>
      </c>
      <c r="I46" s="135">
        <f>I14*Formulas!$C22</f>
        <v>2672.35</v>
      </c>
      <c r="J46" s="135">
        <f>J14*Formulas!$C22</f>
        <v>1640.27</v>
      </c>
      <c r="K46" s="135">
        <f>K14*Formulas!$C22</f>
        <v>1474.4</v>
      </c>
      <c r="L46" s="135">
        <f>L14*Formulas!$C22</f>
        <v>2303.75</v>
      </c>
      <c r="M46" s="135">
        <f>M14*Formulas!$C22</f>
        <v>3317.4</v>
      </c>
      <c r="N46" s="135">
        <f>N14*Formulas!$C22</f>
        <v>2911.94</v>
      </c>
      <c r="O46" s="135">
        <f>O14*Formulas!$C22</f>
        <v>3612.28</v>
      </c>
      <c r="P46" s="135">
        <f>P14*Formulas!$C22</f>
        <v>3391.12</v>
      </c>
      <c r="Q46" s="135">
        <f>Q14*Formulas!$C22</f>
        <v>3059.38</v>
      </c>
      <c r="R46" s="135">
        <f>R14*Formulas!$C22</f>
        <v>3833.44</v>
      </c>
      <c r="S46" s="135">
        <f>S14*Formulas!$C22</f>
        <v>4994.53</v>
      </c>
      <c r="T46" s="135">
        <f>T14*Formulas!$C22</f>
        <v>3096.24</v>
      </c>
      <c r="U46" s="135">
        <f>U14*Formulas!$C22</f>
        <v>1566.55</v>
      </c>
      <c r="V46" s="135">
        <f>V14*Formulas!$C22</f>
        <v>718.77</v>
      </c>
      <c r="W46" s="135">
        <f>W14*Formulas!$C22</f>
        <v>331.74</v>
      </c>
      <c r="X46" s="135">
        <f>X14*Formulas!$C22</f>
        <v>718.77</v>
      </c>
      <c r="Y46" s="135">
        <f>Y14*Formulas!$C22</f>
        <v>810.92</v>
      </c>
      <c r="Z46" s="135">
        <f>Z14*Formulas!$C22</f>
        <v>1769.28</v>
      </c>
      <c r="AA46" s="135">
        <f>AA14*Formulas!$C22</f>
        <v>1419.11</v>
      </c>
      <c r="AB46" s="135">
        <f>AB14*Formulas!$C22</f>
        <v>847.78</v>
      </c>
      <c r="AC46" s="135">
        <f>AC14*Formulas!$C22</f>
        <v>0</v>
      </c>
      <c r="AD46" s="135">
        <f>AD14*Formulas!$C22</f>
        <v>0</v>
      </c>
      <c r="AE46" s="135">
        <f>AE14*Formulas!$C22</f>
        <v>0</v>
      </c>
      <c r="AF46" s="67">
        <f t="shared" si="11"/>
        <v>58183.51</v>
      </c>
    </row>
    <row r="47">
      <c r="A47" s="22" t="s">
        <v>264</v>
      </c>
      <c r="B47" s="138">
        <f>B14*Formulas!$C23</f>
        <v>1124.23</v>
      </c>
      <c r="C47" s="135">
        <f>C14*Formulas!$C23</f>
        <v>1193.77</v>
      </c>
      <c r="D47" s="135">
        <f>D14*Formulas!$C23</f>
        <v>1309.67</v>
      </c>
      <c r="E47" s="135">
        <f>E14*Formulas!$C23</f>
        <v>1344.44</v>
      </c>
      <c r="F47" s="135">
        <f>F14*Formulas!$C23</f>
        <v>1228.54</v>
      </c>
      <c r="G47" s="135">
        <f>G14*Formulas!$C23</f>
        <v>1251.72</v>
      </c>
      <c r="H47" s="135">
        <f>H14*Formulas!$C23</f>
        <v>1159</v>
      </c>
      <c r="I47" s="135">
        <f>I14*Formulas!$C23</f>
        <v>1680.55</v>
      </c>
      <c r="J47" s="135">
        <f>J14*Formulas!$C23</f>
        <v>1031.51</v>
      </c>
      <c r="K47" s="135">
        <f>K14*Formulas!$C23</f>
        <v>927.2</v>
      </c>
      <c r="L47" s="135">
        <f>L14*Formulas!$C23</f>
        <v>1448.75</v>
      </c>
      <c r="M47" s="135">
        <f>M14*Formulas!$C23</f>
        <v>2086.2</v>
      </c>
      <c r="N47" s="135">
        <f>N14*Formulas!$C23</f>
        <v>1831.22</v>
      </c>
      <c r="O47" s="135">
        <f>O14*Formulas!$C23</f>
        <v>2271.64</v>
      </c>
      <c r="P47" s="135">
        <f>P14*Formulas!$C23</f>
        <v>2132.56</v>
      </c>
      <c r="Q47" s="135">
        <f>Q14*Formulas!$C23</f>
        <v>1923.94</v>
      </c>
      <c r="R47" s="135">
        <f>R14*Formulas!$C23</f>
        <v>2410.72</v>
      </c>
      <c r="S47" s="135">
        <f>S14*Formulas!$C23</f>
        <v>3140.89</v>
      </c>
      <c r="T47" s="135">
        <f>T14*Formulas!$C23</f>
        <v>1947.12</v>
      </c>
      <c r="U47" s="135">
        <f>U14*Formulas!$C23</f>
        <v>985.15</v>
      </c>
      <c r="V47" s="135">
        <f>V14*Formulas!$C23</f>
        <v>452.01</v>
      </c>
      <c r="W47" s="135">
        <f>W14*Formulas!$C23</f>
        <v>208.62</v>
      </c>
      <c r="X47" s="135">
        <f>X14*Formulas!$C23</f>
        <v>452.01</v>
      </c>
      <c r="Y47" s="135">
        <f>Y14*Formulas!$C23</f>
        <v>509.96</v>
      </c>
      <c r="Z47" s="135">
        <f>Z14*Formulas!$C23</f>
        <v>1112.64</v>
      </c>
      <c r="AA47" s="135">
        <f>AA14*Formulas!$C23</f>
        <v>892.43</v>
      </c>
      <c r="AB47" s="135">
        <f>AB14*Formulas!$C23</f>
        <v>533.14</v>
      </c>
      <c r="AC47" s="135">
        <f>AC14*Formulas!$C23</f>
        <v>0</v>
      </c>
      <c r="AD47" s="135">
        <f>AD14*Formulas!$C23</f>
        <v>0</v>
      </c>
      <c r="AE47" s="135">
        <f>AE14*Formulas!$C23</f>
        <v>0</v>
      </c>
      <c r="AF47" s="67">
        <f t="shared" si="11"/>
        <v>36589.63</v>
      </c>
    </row>
    <row r="48">
      <c r="A48" s="22" t="s">
        <v>275</v>
      </c>
      <c r="B48" s="138">
        <f>B14*Formulas!$C24</f>
        <v>1056.33</v>
      </c>
      <c r="C48" s="135">
        <f>C14*Formulas!$C24</f>
        <v>1121.67</v>
      </c>
      <c r="D48" s="135">
        <f>D14*Formulas!$C24</f>
        <v>1230.57</v>
      </c>
      <c r="E48" s="135">
        <f>E14*Formulas!$C24</f>
        <v>1263.24</v>
      </c>
      <c r="F48" s="135">
        <f>F14*Formulas!$C24</f>
        <v>1154.34</v>
      </c>
      <c r="G48" s="135">
        <f>G14*Formulas!$C24</f>
        <v>1176.12</v>
      </c>
      <c r="H48" s="135">
        <f>H14*Formulas!$C24</f>
        <v>1089</v>
      </c>
      <c r="I48" s="135">
        <f>I14*Formulas!$C24</f>
        <v>1579.05</v>
      </c>
      <c r="J48" s="135">
        <f>J14*Formulas!$C24</f>
        <v>969.21</v>
      </c>
      <c r="K48" s="135">
        <f>K14*Formulas!$C24</f>
        <v>871.2</v>
      </c>
      <c r="L48" s="135">
        <f>L14*Formulas!$C24</f>
        <v>1361.25</v>
      </c>
      <c r="M48" s="135">
        <f>M14*Formulas!$C24</f>
        <v>1960.2</v>
      </c>
      <c r="N48" s="135">
        <f>N14*Formulas!$C24</f>
        <v>1720.62</v>
      </c>
      <c r="O48" s="135">
        <f>O14*Formulas!$C24</f>
        <v>2134.44</v>
      </c>
      <c r="P48" s="135">
        <f>P14*Formulas!$C24</f>
        <v>2003.76</v>
      </c>
      <c r="Q48" s="135">
        <f>Q14*Formulas!$C24</f>
        <v>1807.74</v>
      </c>
      <c r="R48" s="135">
        <f>R14*Formulas!$C24</f>
        <v>2265.12</v>
      </c>
      <c r="S48" s="135">
        <f>S14*Formulas!$C24</f>
        <v>2951.19</v>
      </c>
      <c r="T48" s="135">
        <f>T14*Formulas!$C24</f>
        <v>1829.52</v>
      </c>
      <c r="U48" s="135">
        <f>U14*Formulas!$C24</f>
        <v>925.65</v>
      </c>
      <c r="V48" s="135">
        <f>V14*Formulas!$C24</f>
        <v>424.71</v>
      </c>
      <c r="W48" s="135">
        <f>W14*Formulas!$C24</f>
        <v>196.02</v>
      </c>
      <c r="X48" s="135">
        <f>X14*Formulas!$C24</f>
        <v>424.71</v>
      </c>
      <c r="Y48" s="135">
        <f>Y14*Formulas!$C24</f>
        <v>479.16</v>
      </c>
      <c r="Z48" s="135">
        <f>Z14*Formulas!$C24</f>
        <v>1045.44</v>
      </c>
      <c r="AA48" s="135">
        <f>AA14*Formulas!$C24</f>
        <v>838.53</v>
      </c>
      <c r="AB48" s="135">
        <f>AB14*Formulas!$C24</f>
        <v>500.94</v>
      </c>
      <c r="AC48" s="135">
        <f>AC14*Formulas!$C24</f>
        <v>0</v>
      </c>
      <c r="AD48" s="135">
        <f>AD14*Formulas!$C24</f>
        <v>0</v>
      </c>
      <c r="AE48" s="135">
        <f>AE14*Formulas!$C24</f>
        <v>0</v>
      </c>
      <c r="AF48" s="67">
        <f t="shared" si="11"/>
        <v>34379.73</v>
      </c>
    </row>
    <row r="49">
      <c r="A49" s="22" t="s">
        <v>109</v>
      </c>
      <c r="B49" s="138">
        <f>B14*Formulas!$C25</f>
        <v>538.9728726</v>
      </c>
      <c r="C49" s="135">
        <f>C14*Formulas!$C25</f>
        <v>572.3114008</v>
      </c>
      <c r="D49" s="135">
        <f>D14*Formulas!$C25</f>
        <v>627.8756145</v>
      </c>
      <c r="E49" s="135">
        <f>E14*Formulas!$C25</f>
        <v>644.5448786</v>
      </c>
      <c r="F49" s="135">
        <f>F14*Formulas!$C25</f>
        <v>588.9806649</v>
      </c>
      <c r="G49" s="135">
        <f>G14*Formulas!$C25</f>
        <v>600.0935076</v>
      </c>
      <c r="H49" s="135">
        <f>H14*Formulas!$C25</f>
        <v>555.6421367</v>
      </c>
      <c r="I49" s="135">
        <f>I14*Formulas!$C25</f>
        <v>805.6810982</v>
      </c>
      <c r="J49" s="135">
        <f>J14*Formulas!$C25</f>
        <v>494.5215017</v>
      </c>
      <c r="K49" s="135">
        <f>K14*Formulas!$C25</f>
        <v>444.5137094</v>
      </c>
      <c r="L49" s="135">
        <f>L14*Formulas!$C25</f>
        <v>694.5526709</v>
      </c>
      <c r="M49" s="135">
        <f>M14*Formulas!$C25</f>
        <v>1000.155846</v>
      </c>
      <c r="N49" s="135">
        <f>N14*Formulas!$C25</f>
        <v>877.914576</v>
      </c>
      <c r="O49" s="135">
        <f>O14*Formulas!$C25</f>
        <v>1089.058588</v>
      </c>
      <c r="P49" s="135">
        <f>P14*Formulas!$C25</f>
        <v>1022.381532</v>
      </c>
      <c r="Q49" s="135">
        <f>Q14*Formulas!$C25</f>
        <v>922.3659469</v>
      </c>
      <c r="R49" s="135">
        <f>R14*Formulas!$C25</f>
        <v>1155.735644</v>
      </c>
      <c r="S49" s="135">
        <f>S14*Formulas!$C25</f>
        <v>1505.79019</v>
      </c>
      <c r="T49" s="135">
        <f>T14*Formulas!$C25</f>
        <v>933.4787897</v>
      </c>
      <c r="U49" s="135">
        <f>U14*Formulas!$C25</f>
        <v>472.2958162</v>
      </c>
      <c r="V49" s="135">
        <f>V14*Formulas!$C25</f>
        <v>216.7004333</v>
      </c>
      <c r="W49" s="135">
        <f>W14*Formulas!$C25</f>
        <v>100.0155846</v>
      </c>
      <c r="X49" s="135">
        <f>X14*Formulas!$C25</f>
        <v>216.7004333</v>
      </c>
      <c r="Y49" s="135">
        <f>Y14*Formulas!$C25</f>
        <v>244.4825401</v>
      </c>
      <c r="Z49" s="135">
        <f>Z14*Formulas!$C25</f>
        <v>533.4164512</v>
      </c>
      <c r="AA49" s="135">
        <f>AA14*Formulas!$C25</f>
        <v>427.8444453</v>
      </c>
      <c r="AB49" s="135">
        <f>AB14*Formulas!$C25</f>
        <v>255.5953829</v>
      </c>
      <c r="AC49" s="135">
        <f>AC14*Formulas!$C25</f>
        <v>0</v>
      </c>
      <c r="AD49" s="135">
        <f>AD14*Formulas!$C25</f>
        <v>0</v>
      </c>
      <c r="AE49" s="135">
        <f>AE14*Formulas!$C25</f>
        <v>0</v>
      </c>
      <c r="AF49" s="67">
        <f t="shared" si="11"/>
        <v>17541.62226</v>
      </c>
    </row>
    <row r="50">
      <c r="A50" s="22" t="s">
        <v>111</v>
      </c>
      <c r="B50" s="138">
        <f>B14*Formulas!$C26</f>
        <v>244.3343689</v>
      </c>
      <c r="C50" s="135">
        <f>C14*Formulas!$C26</f>
        <v>259.447835</v>
      </c>
      <c r="D50" s="135">
        <f>D14*Formulas!$C26</f>
        <v>284.6369452</v>
      </c>
      <c r="E50" s="135">
        <f>E14*Formulas!$C26</f>
        <v>292.1936783</v>
      </c>
      <c r="F50" s="135">
        <f>F14*Formulas!$C26</f>
        <v>267.0045681</v>
      </c>
      <c r="G50" s="135">
        <f>G14*Formulas!$C26</f>
        <v>272.0423901</v>
      </c>
      <c r="H50" s="135">
        <f>H14*Formulas!$C26</f>
        <v>251.891102</v>
      </c>
      <c r="I50" s="135">
        <f>I14*Formulas!$C26</f>
        <v>365.2420979</v>
      </c>
      <c r="J50" s="135">
        <f>J14*Formulas!$C26</f>
        <v>224.1830808</v>
      </c>
      <c r="K50" s="135">
        <f>K14*Formulas!$C26</f>
        <v>201.5128816</v>
      </c>
      <c r="L50" s="135">
        <f>L14*Formulas!$C26</f>
        <v>314.8638775</v>
      </c>
      <c r="M50" s="135">
        <f>M14*Formulas!$C26</f>
        <v>453.4039835</v>
      </c>
      <c r="N50" s="135">
        <f>N14*Formulas!$C26</f>
        <v>397.9879411</v>
      </c>
      <c r="O50" s="135">
        <f>O14*Formulas!$C26</f>
        <v>493.7065599</v>
      </c>
      <c r="P50" s="135">
        <f>P14*Formulas!$C26</f>
        <v>463.4796276</v>
      </c>
      <c r="Q50" s="135">
        <f>Q14*Formulas!$C26</f>
        <v>418.1392293</v>
      </c>
      <c r="R50" s="135">
        <f>R14*Formulas!$C26</f>
        <v>523.9334921</v>
      </c>
      <c r="S50" s="135">
        <f>S14*Formulas!$C26</f>
        <v>682.6248863</v>
      </c>
      <c r="T50" s="135">
        <f>T14*Formulas!$C26</f>
        <v>423.1770513</v>
      </c>
      <c r="U50" s="135">
        <f>U14*Formulas!$C26</f>
        <v>214.1074367</v>
      </c>
      <c r="V50" s="135">
        <f>V14*Formulas!$C26</f>
        <v>98.23752977</v>
      </c>
      <c r="W50" s="135">
        <f>W14*Formulas!$C26</f>
        <v>45.34039835</v>
      </c>
      <c r="X50" s="135">
        <f>X14*Formulas!$C26</f>
        <v>98.23752977</v>
      </c>
      <c r="Y50" s="135">
        <f>Y14*Formulas!$C26</f>
        <v>110.8320849</v>
      </c>
      <c r="Z50" s="135">
        <f>Z14*Formulas!$C26</f>
        <v>241.8154579</v>
      </c>
      <c r="AA50" s="135">
        <f>AA14*Formulas!$C26</f>
        <v>193.9561485</v>
      </c>
      <c r="AB50" s="135">
        <f>AB14*Formulas!$C26</f>
        <v>115.8699069</v>
      </c>
      <c r="AC50" s="135">
        <f>AC14*Formulas!$C26</f>
        <v>0</v>
      </c>
      <c r="AD50" s="135">
        <f>AD14*Formulas!$C26</f>
        <v>0</v>
      </c>
      <c r="AE50" s="135">
        <f>AE14*Formulas!$C26</f>
        <v>0</v>
      </c>
      <c r="AF50" s="67">
        <f t="shared" si="11"/>
        <v>7952.202089</v>
      </c>
    </row>
    <row r="51">
      <c r="A51" s="22" t="s">
        <v>276</v>
      </c>
      <c r="B51" s="138">
        <f>B14*Formulas!$C29</f>
        <v>145.5</v>
      </c>
      <c r="C51" s="135">
        <f>C14*Formulas!$C29</f>
        <v>154.5</v>
      </c>
      <c r="D51" s="135">
        <f>D14*Formulas!$C29</f>
        <v>169.5</v>
      </c>
      <c r="E51" s="135">
        <f>E14*Formulas!$C29</f>
        <v>174</v>
      </c>
      <c r="F51" s="135">
        <f>F14*Formulas!$C29</f>
        <v>159</v>
      </c>
      <c r="G51" s="135">
        <f>G14*Formulas!$C29</f>
        <v>162</v>
      </c>
      <c r="H51" s="135">
        <f>H14*Formulas!$C29</f>
        <v>150</v>
      </c>
      <c r="I51" s="135">
        <f>I14*Formulas!$C29</f>
        <v>217.5</v>
      </c>
      <c r="J51" s="135">
        <f>J14*Formulas!$C29</f>
        <v>133.5</v>
      </c>
      <c r="K51" s="135">
        <f>K14*Formulas!$C29</f>
        <v>120</v>
      </c>
      <c r="L51" s="135">
        <f>L14*Formulas!$C29</f>
        <v>187.5</v>
      </c>
      <c r="M51" s="135">
        <f>M14*Formulas!$C29</f>
        <v>270</v>
      </c>
      <c r="N51" s="135">
        <f>N14*Formulas!$C29</f>
        <v>237</v>
      </c>
      <c r="O51" s="135">
        <f>O14*Formulas!$C29</f>
        <v>294</v>
      </c>
      <c r="P51" s="135">
        <f>P14*Formulas!$C29</f>
        <v>276</v>
      </c>
      <c r="Q51" s="135">
        <f>Q14*Formulas!$C29</f>
        <v>249</v>
      </c>
      <c r="R51" s="135">
        <f>R14*Formulas!$C29</f>
        <v>312</v>
      </c>
      <c r="S51" s="135">
        <f>S14*Formulas!$C29</f>
        <v>406.5</v>
      </c>
      <c r="T51" s="135">
        <f>T14*Formulas!$C29</f>
        <v>252</v>
      </c>
      <c r="U51" s="135">
        <f>U14*Formulas!$C29</f>
        <v>127.5</v>
      </c>
      <c r="V51" s="135">
        <f>V14*Formulas!$C29</f>
        <v>58.5</v>
      </c>
      <c r="W51" s="135">
        <f>W14*Formulas!$C29</f>
        <v>27</v>
      </c>
      <c r="X51" s="135">
        <f>X14*Formulas!$C29</f>
        <v>58.5</v>
      </c>
      <c r="Y51" s="135">
        <f>Y14*Formulas!$C29</f>
        <v>66</v>
      </c>
      <c r="Z51" s="135">
        <f>Z14*Formulas!$C29</f>
        <v>144</v>
      </c>
      <c r="AA51" s="135">
        <f>AA14*Formulas!$C29</f>
        <v>115.5</v>
      </c>
      <c r="AB51" s="135">
        <f>AB14*Formulas!$C29</f>
        <v>69</v>
      </c>
      <c r="AC51" s="135">
        <f>AC14*Formulas!$C29</f>
        <v>0</v>
      </c>
      <c r="AD51" s="135">
        <f>AD14*Formulas!$C29</f>
        <v>0</v>
      </c>
      <c r="AE51" s="135">
        <f>AE14*Formulas!$C29</f>
        <v>0</v>
      </c>
      <c r="AF51" s="67">
        <f t="shared" si="11"/>
        <v>4735.5</v>
      </c>
    </row>
    <row r="52">
      <c r="A52" s="22" t="s">
        <v>278</v>
      </c>
      <c r="B52" s="138">
        <f>B14*Formulas!$C30</f>
        <v>29.1</v>
      </c>
      <c r="C52" s="135">
        <f>C14*Formulas!$C30</f>
        <v>30.9</v>
      </c>
      <c r="D52" s="135">
        <f>D14*Formulas!$C30</f>
        <v>33.9</v>
      </c>
      <c r="E52" s="135">
        <f>E14*Formulas!$C30</f>
        <v>34.8</v>
      </c>
      <c r="F52" s="135">
        <f>F14*Formulas!$C30</f>
        <v>31.8</v>
      </c>
      <c r="G52" s="135">
        <f>G14*Formulas!$C30</f>
        <v>32.4</v>
      </c>
      <c r="H52" s="135">
        <f>H14*Formulas!$C30</f>
        <v>30</v>
      </c>
      <c r="I52" s="135">
        <f>I14*Formulas!$C30</f>
        <v>43.5</v>
      </c>
      <c r="J52" s="135">
        <f>J14*Formulas!$C30</f>
        <v>26.7</v>
      </c>
      <c r="K52" s="135">
        <f>K14*Formulas!$C30</f>
        <v>24</v>
      </c>
      <c r="L52" s="135">
        <f>L14*Formulas!$C30</f>
        <v>37.5</v>
      </c>
      <c r="M52" s="135">
        <f>M14*Formulas!$C30</f>
        <v>54</v>
      </c>
      <c r="N52" s="135">
        <f>N14*Formulas!$C30</f>
        <v>47.4</v>
      </c>
      <c r="O52" s="135">
        <f>O14*Formulas!$C30</f>
        <v>58.8</v>
      </c>
      <c r="P52" s="135">
        <f>P14*Formulas!$C30</f>
        <v>55.2</v>
      </c>
      <c r="Q52" s="135">
        <f>Q14*Formulas!$C30</f>
        <v>49.8</v>
      </c>
      <c r="R52" s="135">
        <f>R14*Formulas!$C30</f>
        <v>62.4</v>
      </c>
      <c r="S52" s="135">
        <f>S14*Formulas!$C30</f>
        <v>81.3</v>
      </c>
      <c r="T52" s="135">
        <f>T14*Formulas!$C30</f>
        <v>50.4</v>
      </c>
      <c r="U52" s="135">
        <f>U14*Formulas!$C30</f>
        <v>25.5</v>
      </c>
      <c r="V52" s="135">
        <f>V14*Formulas!$C30</f>
        <v>11.7</v>
      </c>
      <c r="W52" s="135">
        <f>W14*Formulas!$C30</f>
        <v>5.4</v>
      </c>
      <c r="X52" s="135">
        <f>X14*Formulas!$C30</f>
        <v>11.7</v>
      </c>
      <c r="Y52" s="135">
        <f>Y14*Formulas!$C30</f>
        <v>13.2</v>
      </c>
      <c r="Z52" s="135">
        <f>Z14*Formulas!$C30</f>
        <v>28.8</v>
      </c>
      <c r="AA52" s="135">
        <f>AA14*Formulas!$C30</f>
        <v>23.1</v>
      </c>
      <c r="AB52" s="135">
        <f>AB14*Formulas!$C30</f>
        <v>13.8</v>
      </c>
      <c r="AC52" s="135">
        <f>AC14*Formulas!$C30</f>
        <v>0</v>
      </c>
      <c r="AD52" s="135">
        <f>AD14*Formulas!$C30</f>
        <v>0</v>
      </c>
      <c r="AE52" s="135">
        <f>AE14*Formulas!$C30</f>
        <v>0</v>
      </c>
      <c r="AF52" s="67">
        <f t="shared" si="11"/>
        <v>947.1</v>
      </c>
    </row>
    <row r="53">
      <c r="A53" s="33" t="s">
        <v>114</v>
      </c>
      <c r="B53" s="135">
        <f>B26*Formulas!$C35</f>
        <v>724.174506</v>
      </c>
      <c r="C53" s="135">
        <f>C26*Formulas!$C35</f>
        <v>809.486568</v>
      </c>
      <c r="D53" s="135">
        <f>D26*Formulas!$C35</f>
        <v>835.038369</v>
      </c>
      <c r="E53" s="135">
        <f>E26*Formulas!$C35</f>
        <v>878.971203</v>
      </c>
      <c r="F53" s="135">
        <f>F26*Formulas!$C35</f>
        <v>736.890858</v>
      </c>
      <c r="G53" s="135">
        <f>G26*Formulas!$C35</f>
        <v>785.044359</v>
      </c>
      <c r="H53" s="135">
        <f>H26*Formulas!$C35</f>
        <v>752.855202</v>
      </c>
      <c r="I53" s="135">
        <f>I26*Formulas!$C35</f>
        <v>1113.336576</v>
      </c>
      <c r="J53" s="135">
        <f>J26*Formulas!$C35</f>
        <v>701.340849</v>
      </c>
      <c r="K53" s="135">
        <f>K26*Formulas!$C35</f>
        <v>609.633783</v>
      </c>
      <c r="L53" s="135">
        <f>L26*Formulas!$C35</f>
        <v>960.24555</v>
      </c>
      <c r="M53" s="135">
        <f>M26*Formulas!$C35</f>
        <v>1222.026993</v>
      </c>
      <c r="N53" s="135">
        <f>N26*Formulas!$C35</f>
        <v>1175.580054</v>
      </c>
      <c r="O53" s="135">
        <f>O26*Formulas!$C35</f>
        <v>1494.901683</v>
      </c>
      <c r="P53" s="135">
        <f>P26*Formulas!$C35</f>
        <v>1395.86436</v>
      </c>
      <c r="Q53" s="135">
        <f>Q26*Formulas!$C35</f>
        <v>1287.332541</v>
      </c>
      <c r="R53" s="135">
        <f>R26*Formulas!$C35</f>
        <v>1667.656485</v>
      </c>
      <c r="S53" s="135">
        <f>S26*Formulas!$C35</f>
        <v>1990.105524</v>
      </c>
      <c r="T53" s="135">
        <f>T26*Formulas!$C35</f>
        <v>1285.973469</v>
      </c>
      <c r="U53" s="135">
        <f>U26*Formulas!$C35</f>
        <v>610.160958</v>
      </c>
      <c r="V53" s="135">
        <f>V26*Formulas!$C35</f>
        <v>231.131637</v>
      </c>
      <c r="W53" s="135">
        <f>W26*Formulas!$C35</f>
        <v>119.82465</v>
      </c>
      <c r="X53" s="135">
        <f>X26*Formulas!$C35</f>
        <v>208.953756</v>
      </c>
      <c r="Y53" s="135">
        <f>Y26*Formulas!$C35</f>
        <v>345.514653</v>
      </c>
      <c r="Z53" s="135">
        <f>Z26*Formulas!$C35</f>
        <v>708.015033</v>
      </c>
      <c r="AA53" s="135">
        <f>AA26*Formulas!$C35</f>
        <v>613.299951</v>
      </c>
      <c r="AB53" s="135">
        <f>AB26*Formulas!$C35</f>
        <v>338.392296</v>
      </c>
      <c r="AC53" s="135">
        <f>AC26*Formulas!$C35</f>
        <v>0</v>
      </c>
      <c r="AD53" s="135">
        <f>AD26*Formulas!$C35</f>
        <v>0</v>
      </c>
      <c r="AE53" s="135">
        <f>AE26*Formulas!$C35</f>
        <v>0</v>
      </c>
      <c r="AF53" s="67">
        <f t="shared" si="11"/>
        <v>23601.75187</v>
      </c>
    </row>
    <row r="54">
      <c r="A54" s="46" t="s">
        <v>116</v>
      </c>
      <c r="B54" s="141">
        <f>B14*Formulas!$C28</f>
        <v>34.92</v>
      </c>
      <c r="C54" s="141">
        <f>C14*Formulas!$C28</f>
        <v>37.08</v>
      </c>
      <c r="D54" s="141">
        <f>D14*Formulas!$C28</f>
        <v>40.68</v>
      </c>
      <c r="E54" s="141">
        <f>E14*Formulas!$C28</f>
        <v>41.76</v>
      </c>
      <c r="F54" s="141">
        <f>F14*Formulas!$C28</f>
        <v>38.16</v>
      </c>
      <c r="G54" s="141">
        <f>G14*Formulas!$C28</f>
        <v>38.88</v>
      </c>
      <c r="H54" s="141">
        <f>H14*Formulas!$C28</f>
        <v>36</v>
      </c>
      <c r="I54" s="141">
        <f>I14*Formulas!$C28</f>
        <v>52.2</v>
      </c>
      <c r="J54" s="141">
        <f>J14*Formulas!$C28</f>
        <v>32.04</v>
      </c>
      <c r="K54" s="141">
        <f>K14*Formulas!$C28</f>
        <v>28.8</v>
      </c>
      <c r="L54" s="141">
        <f>L14*Formulas!$C28</f>
        <v>45</v>
      </c>
      <c r="M54" s="141">
        <f>M14*Formulas!$C28</f>
        <v>64.8</v>
      </c>
      <c r="N54" s="141">
        <f>N14*Formulas!$C28</f>
        <v>56.88</v>
      </c>
      <c r="O54" s="141">
        <f>O14*Formulas!$C28</f>
        <v>70.56</v>
      </c>
      <c r="P54" s="141">
        <f>P14*Formulas!$C28</f>
        <v>66.24</v>
      </c>
      <c r="Q54" s="141">
        <f>Q14*Formulas!$C28</f>
        <v>59.76</v>
      </c>
      <c r="R54" s="141">
        <f>R14*Formulas!$C28</f>
        <v>74.88</v>
      </c>
      <c r="S54" s="141">
        <f>S14*Formulas!$C28</f>
        <v>97.56</v>
      </c>
      <c r="T54" s="141">
        <f>T14*Formulas!$C28</f>
        <v>60.48</v>
      </c>
      <c r="U54" s="141">
        <f>U14*Formulas!$C28</f>
        <v>30.6</v>
      </c>
      <c r="V54" s="141">
        <f>V14*Formulas!$C28</f>
        <v>14.04</v>
      </c>
      <c r="W54" s="141">
        <f>W14*Formulas!$C28</f>
        <v>6.48</v>
      </c>
      <c r="X54" s="141">
        <f>X14*Formulas!$C28</f>
        <v>14.04</v>
      </c>
      <c r="Y54" s="141">
        <f>Y14*Formulas!$C28</f>
        <v>15.84</v>
      </c>
      <c r="Z54" s="141">
        <f>Z14*Formulas!$C28</f>
        <v>34.56</v>
      </c>
      <c r="AA54" s="141">
        <f>AA14*Formulas!$C28</f>
        <v>27.72</v>
      </c>
      <c r="AB54" s="141">
        <f>AB14*Formulas!$C28</f>
        <v>16.56</v>
      </c>
      <c r="AC54" s="141">
        <f>AC14*Formulas!$C28</f>
        <v>0</v>
      </c>
      <c r="AD54" s="141">
        <f>AD14*Formulas!$C28</f>
        <v>0</v>
      </c>
      <c r="AE54" s="141">
        <f>AE14*Formulas!$C28</f>
        <v>0</v>
      </c>
      <c r="AF54" s="67">
        <f t="shared" si="11"/>
        <v>1136.52</v>
      </c>
    </row>
    <row r="55">
      <c r="A55" s="54" t="s">
        <v>123</v>
      </c>
      <c r="B55" s="82">
        <f t="shared" ref="B55:AE55" si="12">SUM(B45:B54)</f>
        <v>12871.57672</v>
      </c>
      <c r="C55" s="82">
        <f t="shared" si="12"/>
        <v>13708.27448</v>
      </c>
      <c r="D55" s="82">
        <f t="shared" si="12"/>
        <v>14986.13579</v>
      </c>
      <c r="E55" s="82">
        <f t="shared" si="12"/>
        <v>15405.76147</v>
      </c>
      <c r="F55" s="82">
        <f t="shared" si="12"/>
        <v>14011.37162</v>
      </c>
      <c r="G55" s="82">
        <f t="shared" si="12"/>
        <v>14309.98703</v>
      </c>
      <c r="H55" s="82">
        <f t="shared" si="12"/>
        <v>13275.95026</v>
      </c>
      <c r="I55" s="82">
        <f t="shared" si="12"/>
        <v>19271.82441</v>
      </c>
      <c r="J55" s="82">
        <f t="shared" si="12"/>
        <v>11846.89545</v>
      </c>
      <c r="K55" s="82">
        <f t="shared" si="12"/>
        <v>10628.10983</v>
      </c>
      <c r="L55" s="82">
        <f t="shared" si="12"/>
        <v>16614.11438</v>
      </c>
      <c r="M55" s="82">
        <f t="shared" si="12"/>
        <v>23763.5981</v>
      </c>
      <c r="N55" s="82">
        <f t="shared" si="12"/>
        <v>20962.07025</v>
      </c>
      <c r="O55" s="82">
        <f t="shared" si="12"/>
        <v>26040.168</v>
      </c>
      <c r="P55" s="82">
        <f t="shared" si="12"/>
        <v>24438.35927</v>
      </c>
      <c r="Q55" s="82">
        <f t="shared" si="12"/>
        <v>22075.67034</v>
      </c>
      <c r="R55" s="82">
        <f t="shared" si="12"/>
        <v>27715.69421</v>
      </c>
      <c r="S55" s="82">
        <f t="shared" si="12"/>
        <v>35927.69314</v>
      </c>
      <c r="T55" s="82">
        <f t="shared" si="12"/>
        <v>22324.77317</v>
      </c>
      <c r="U55" s="82">
        <f t="shared" si="12"/>
        <v>11254.79176</v>
      </c>
      <c r="V55" s="82">
        <f t="shared" si="12"/>
        <v>5115.138711</v>
      </c>
      <c r="W55" s="82">
        <f t="shared" si="12"/>
        <v>2373.981761</v>
      </c>
      <c r="X55" s="82">
        <f t="shared" si="12"/>
        <v>5092.96083</v>
      </c>
      <c r="Y55" s="82">
        <f t="shared" si="12"/>
        <v>5855.67648</v>
      </c>
      <c r="Z55" s="82">
        <f t="shared" si="12"/>
        <v>12730.18629</v>
      </c>
      <c r="AA55" s="82">
        <f t="shared" si="12"/>
        <v>10256.08315</v>
      </c>
      <c r="AB55" s="82">
        <f t="shared" si="12"/>
        <v>6099.016024</v>
      </c>
      <c r="AC55" s="82">
        <f t="shared" si="12"/>
        <v>0</v>
      </c>
      <c r="AD55" s="82">
        <f t="shared" si="12"/>
        <v>0</v>
      </c>
      <c r="AE55" s="82">
        <f t="shared" si="12"/>
        <v>0</v>
      </c>
      <c r="AF55" s="61">
        <f t="shared" si="11"/>
        <v>418955.863</v>
      </c>
    </row>
    <row r="56">
      <c r="A56" s="26"/>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3"/>
    </row>
    <row r="57">
      <c r="A57" s="56" t="s">
        <v>279</v>
      </c>
      <c r="B57" s="135">
        <f t="shared" ref="B57:AE57" si="13">B26-B42-B55</f>
        <v>-1721.766715</v>
      </c>
      <c r="C57" s="135">
        <f t="shared" si="13"/>
        <v>-3518.534481</v>
      </c>
      <c r="D57" s="135">
        <f t="shared" si="13"/>
        <v>-3797.955788</v>
      </c>
      <c r="E57" s="135">
        <f t="shared" si="13"/>
        <v>-546.4514741</v>
      </c>
      <c r="F57" s="135">
        <f t="shared" si="13"/>
        <v>-3242.111623</v>
      </c>
      <c r="G57" s="135">
        <f t="shared" si="13"/>
        <v>-1328.967025</v>
      </c>
      <c r="H57" s="135">
        <f t="shared" si="13"/>
        <v>-2130.850263</v>
      </c>
      <c r="I57" s="135">
        <f t="shared" si="13"/>
        <v>4216.635585</v>
      </c>
      <c r="J57" s="135">
        <f t="shared" si="13"/>
        <v>-2742.555454</v>
      </c>
      <c r="K57" s="135">
        <f t="shared" si="13"/>
        <v>-8580.859832</v>
      </c>
      <c r="L57" s="135">
        <f t="shared" si="13"/>
        <v>-5306.974377</v>
      </c>
      <c r="M57" s="135">
        <f t="shared" si="13"/>
        <v>-3502.248103</v>
      </c>
      <c r="N57" s="135">
        <f t="shared" si="13"/>
        <v>-752.8902509</v>
      </c>
      <c r="O57" s="135">
        <f t="shared" si="13"/>
        <v>6395.531997</v>
      </c>
      <c r="P57" s="135">
        <f t="shared" si="13"/>
        <v>5568.660727</v>
      </c>
      <c r="Q57" s="135">
        <f t="shared" si="13"/>
        <v>2188.509657</v>
      </c>
      <c r="R57" s="135">
        <f t="shared" si="13"/>
        <v>7198.935787</v>
      </c>
      <c r="S57" s="135">
        <f t="shared" si="13"/>
        <v>8573.14686</v>
      </c>
      <c r="T57" s="135">
        <f t="shared" si="13"/>
        <v>-114.723172</v>
      </c>
      <c r="U57" s="135">
        <f t="shared" si="13"/>
        <v>-5364.83176</v>
      </c>
      <c r="V57" s="135">
        <f t="shared" si="13"/>
        <v>-1929.268711</v>
      </c>
      <c r="W57" s="135">
        <f t="shared" si="13"/>
        <v>1404.718239</v>
      </c>
      <c r="X57" s="135">
        <f t="shared" si="13"/>
        <v>-92.15082992</v>
      </c>
      <c r="Y57" s="135">
        <f t="shared" si="13"/>
        <v>1223.38352</v>
      </c>
      <c r="Z57" s="135">
        <f t="shared" si="13"/>
        <v>3917.503708</v>
      </c>
      <c r="AA57" s="135">
        <f t="shared" si="13"/>
        <v>2664.336852</v>
      </c>
      <c r="AB57" s="135">
        <f t="shared" si="13"/>
        <v>-1723.026024</v>
      </c>
      <c r="AC57" s="135">
        <f t="shared" si="13"/>
        <v>-6305.64</v>
      </c>
      <c r="AD57" s="135">
        <f t="shared" si="13"/>
        <v>-7332.95</v>
      </c>
      <c r="AE57" s="135">
        <f t="shared" si="13"/>
        <v>-8304.22</v>
      </c>
      <c r="AF57" s="61">
        <f>SUM(B57:AE57)</f>
        <v>-24987.61295</v>
      </c>
    </row>
    <row r="58">
      <c r="A58" s="144">
        <f>SUM(B57:AC57)</f>
        <v>-9350.442952</v>
      </c>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7"/>
    </row>
    <row r="59">
      <c r="A59" s="26"/>
      <c r="B59" s="16"/>
      <c r="C59" s="16"/>
      <c r="D59" s="22"/>
      <c r="E59" s="16"/>
      <c r="F59" s="16"/>
      <c r="G59" s="16"/>
      <c r="H59" s="145"/>
      <c r="I59" s="16"/>
      <c r="J59" s="16"/>
      <c r="K59" s="16"/>
      <c r="L59" s="16"/>
      <c r="M59" s="16"/>
      <c r="N59" s="16"/>
      <c r="O59" s="16"/>
      <c r="P59" s="16"/>
      <c r="Q59" s="16"/>
      <c r="R59" s="16"/>
      <c r="S59" s="16"/>
      <c r="T59" s="16"/>
      <c r="U59" s="16"/>
      <c r="V59" s="16"/>
      <c r="W59" s="16"/>
      <c r="X59" s="16"/>
      <c r="Y59" s="16"/>
      <c r="Z59" s="16"/>
      <c r="AA59" s="16"/>
      <c r="AB59" s="16"/>
      <c r="AC59" s="16"/>
      <c r="AD59" s="16"/>
      <c r="AE59" s="16"/>
      <c r="AF59" s="7"/>
    </row>
    <row r="60">
      <c r="A60" s="146"/>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8"/>
    </row>
    <row r="61">
      <c r="A61" s="2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7"/>
    </row>
    <row r="62">
      <c r="A62" s="8" t="s">
        <v>280</v>
      </c>
      <c r="B62" s="16"/>
      <c r="C62" s="16"/>
      <c r="D62" s="16"/>
      <c r="E62" s="16"/>
      <c r="F62" s="16"/>
      <c r="G62" s="16"/>
      <c r="H62" s="16"/>
      <c r="I62" s="16"/>
      <c r="J62" s="16"/>
      <c r="K62" s="16"/>
      <c r="L62" s="16"/>
      <c r="M62" s="16"/>
      <c r="N62" s="16"/>
      <c r="O62" s="16"/>
      <c r="P62" s="16"/>
      <c r="Q62" s="16"/>
      <c r="R62" s="16"/>
      <c r="S62" s="16"/>
      <c r="T62" s="16"/>
      <c r="U62" s="16"/>
      <c r="V62" s="16"/>
      <c r="W62" s="16"/>
      <c r="X62" s="16"/>
      <c r="Y62" s="16"/>
      <c r="Z62" s="149">
        <v>3.11</v>
      </c>
      <c r="AA62" s="150">
        <v>1.8</v>
      </c>
      <c r="AB62" s="16"/>
      <c r="AC62" s="16"/>
      <c r="AD62" s="16"/>
      <c r="AE62" s="16"/>
      <c r="AF62" s="151"/>
    </row>
    <row r="63">
      <c r="A63" s="152" t="s">
        <v>281</v>
      </c>
      <c r="B63" s="135">
        <f>B17-(B5*Formulas!$C32)-B29</f>
        <v>-4251.35546</v>
      </c>
      <c r="C63" s="135">
        <f>C17-(C5*Formulas!$C32)-C29</f>
        <v>-4093.080496</v>
      </c>
      <c r="D63" s="135">
        <f>D17-(D5*Formulas!$C32)-D29</f>
        <v>-4728.945602</v>
      </c>
      <c r="E63" s="135">
        <f>E17-(E5*Formulas!$C32)-E29</f>
        <v>-4097.080496</v>
      </c>
      <c r="F63" s="135">
        <f>F17-(F5*Formulas!$C32)-F29</f>
        <v>-3410.160637</v>
      </c>
      <c r="G63" s="135">
        <f>G17-(G5*Formulas!$C32)-G29</f>
        <v>-3992.965531</v>
      </c>
      <c r="H63" s="135">
        <f>H17-(H5*Formulas!$C32)-H29</f>
        <v>-1917.065744</v>
      </c>
      <c r="I63" s="135">
        <f>I17-(I5*Formulas!$C32)-I29</f>
        <v>-1296.031133</v>
      </c>
      <c r="J63" s="135">
        <f>J17-(J5*Formulas!$C32)-J29</f>
        <v>-912.0910624</v>
      </c>
      <c r="K63" s="135">
        <f>K17-(K5*Formulas!$C32)-K29</f>
        <v>-1943.745815</v>
      </c>
      <c r="L63" s="135">
        <f>L17-(L5*Formulas!$C32)-L29</f>
        <v>-1866.841062</v>
      </c>
      <c r="M63" s="135">
        <f>M17-(M5*Formulas!$C32)-M29</f>
        <v>-1149.721275</v>
      </c>
      <c r="N63" s="135">
        <f>N17-(N5*Formulas!$C32)-N29</f>
        <v>-2529.815815</v>
      </c>
      <c r="O63" s="135">
        <f>O17-(O5*Formulas!$C32)-O29</f>
        <v>-1850.630921</v>
      </c>
      <c r="P63" s="135">
        <f>P17-(P5*Formulas!$C32)-P29</f>
        <v>-3640.90631</v>
      </c>
      <c r="Q63" s="135">
        <f>Q17-(Q5*Formulas!$C32)-Q29</f>
        <v>-4914.376169</v>
      </c>
      <c r="R63" s="135">
        <f>R17-(R5*Formulas!$C32)-R29</f>
        <v>-4323.046806</v>
      </c>
      <c r="S63" s="135">
        <f>S17-(S5*Formulas!$C32)-S29</f>
        <v>-3944.00716</v>
      </c>
      <c r="T63" s="135">
        <f>T17-(T5*Formulas!$C32)-T29</f>
        <v>-4555.231771</v>
      </c>
      <c r="U63" s="135">
        <f>U17-(U5*Formulas!$C32)-U29</f>
        <v>-4592.510567</v>
      </c>
      <c r="V63" s="135">
        <f>V17-(V5*Formulas!$C32)-V29</f>
        <v>0</v>
      </c>
      <c r="W63" s="135">
        <f>W17-(W5*Formulas!$C32)-W29</f>
        <v>96.54496459</v>
      </c>
      <c r="X63" s="135">
        <f>X17-(X5*Formulas!$C32)-X29</f>
        <v>-1109.825177</v>
      </c>
      <c r="Y63" s="135">
        <f>Y17-(Y5*Formulas!$C32)-Y29</f>
        <v>-1297.080071</v>
      </c>
      <c r="Z63" s="135">
        <f>Z17-(Z5*Formulas!$C32)-Z29</f>
        <v>-1013.250425</v>
      </c>
      <c r="AA63" s="135">
        <f>AA17-(AA5*Formulas!$C32)-AA29</f>
        <v>-2532.16546</v>
      </c>
      <c r="AB63" s="135">
        <f>AB17-(AB5*Formulas!$C32)-AB29</f>
        <v>-1337.690496</v>
      </c>
      <c r="AC63" s="135">
        <f>AC17-(AC5*Formulas!$C32)-AC29</f>
        <v>-2990.92</v>
      </c>
      <c r="AD63" s="135">
        <f>AD17-(AD5*Formulas!$C32)-AD29</f>
        <v>-4398.82</v>
      </c>
      <c r="AE63" s="135">
        <f>AE17-(AE5*Formulas!$C32)-AE29</f>
        <v>-5398.79</v>
      </c>
      <c r="AF63" s="151">
        <f>SUM(B63:AE63)</f>
        <v>-83991.6065</v>
      </c>
    </row>
    <row r="64">
      <c r="A64" s="152" t="s">
        <v>286</v>
      </c>
      <c r="B64" s="156">
        <f t="shared" ref="B64:AE64" si="14">B17/B29</f>
        <v>0.5661886637</v>
      </c>
      <c r="C64" s="156">
        <f t="shared" si="14"/>
        <v>0.6483841563</v>
      </c>
      <c r="D64" s="156">
        <f t="shared" si="14"/>
        <v>0.6467879613</v>
      </c>
      <c r="E64" s="156">
        <f t="shared" si="14"/>
        <v>0.6547536015</v>
      </c>
      <c r="F64" s="156">
        <f t="shared" si="14"/>
        <v>0.8249822686</v>
      </c>
      <c r="G64" s="156">
        <f t="shared" si="14"/>
        <v>0.6628896139</v>
      </c>
      <c r="H64" s="156">
        <f t="shared" si="14"/>
        <v>1.150089455</v>
      </c>
      <c r="I64" s="156">
        <f t="shared" si="14"/>
        <v>1.511071789</v>
      </c>
      <c r="J64" s="156">
        <f t="shared" si="14"/>
        <v>1.535887304</v>
      </c>
      <c r="K64" s="156">
        <f t="shared" si="14"/>
        <v>1.20101824</v>
      </c>
      <c r="L64" s="156">
        <f t="shared" si="14"/>
        <v>1.346743342</v>
      </c>
      <c r="M64" s="156">
        <f t="shared" si="14"/>
        <v>1.600964895</v>
      </c>
      <c r="N64" s="156">
        <f t="shared" si="14"/>
        <v>1.095922749</v>
      </c>
      <c r="O64" s="156">
        <f t="shared" si="14"/>
        <v>1.29286847</v>
      </c>
      <c r="P64" s="156">
        <f t="shared" si="14"/>
        <v>1.160395175</v>
      </c>
      <c r="Q64" s="156">
        <f t="shared" si="14"/>
        <v>0.9482757613</v>
      </c>
      <c r="R64" s="156">
        <f t="shared" si="14"/>
        <v>1.216929709</v>
      </c>
      <c r="S64" s="156">
        <f t="shared" si="14"/>
        <v>1.346978839</v>
      </c>
      <c r="T64" s="156">
        <f t="shared" si="14"/>
        <v>1.175449572</v>
      </c>
      <c r="U64" s="156">
        <f t="shared" si="14"/>
        <v>0.6355098489</v>
      </c>
      <c r="V64" s="156" t="str">
        <f t="shared" si="14"/>
        <v>#DIV/0!</v>
      </c>
      <c r="W64" s="156" t="str">
        <f t="shared" si="14"/>
        <v>#DIV/0!</v>
      </c>
      <c r="X64" s="156">
        <f t="shared" si="14"/>
        <v>0.7223035749</v>
      </c>
      <c r="Y64" s="156">
        <f t="shared" si="14"/>
        <v>0.3537409851</v>
      </c>
      <c r="Z64" s="156">
        <f t="shared" si="14"/>
        <v>1.194708927</v>
      </c>
      <c r="AA64" s="156">
        <f t="shared" si="14"/>
        <v>0.8136287896</v>
      </c>
      <c r="AB64" s="156">
        <f t="shared" si="14"/>
        <v>1.154057285</v>
      </c>
      <c r="AC64" s="156">
        <f t="shared" si="14"/>
        <v>0</v>
      </c>
      <c r="AD64" s="156">
        <f t="shared" si="14"/>
        <v>0</v>
      </c>
      <c r="AE64" s="156">
        <f t="shared" si="14"/>
        <v>0</v>
      </c>
      <c r="AF64" s="151"/>
    </row>
    <row r="65">
      <c r="A65" s="152" t="s">
        <v>287</v>
      </c>
      <c r="B65" s="157">
        <f t="shared" ref="B65:AE65" si="15">B29/B5</f>
        <v>447.6423077</v>
      </c>
      <c r="C65" s="157">
        <f t="shared" si="15"/>
        <v>453.6992857</v>
      </c>
      <c r="D65" s="157">
        <f t="shared" si="15"/>
        <v>411.4758824</v>
      </c>
      <c r="E65" s="157">
        <f t="shared" si="15"/>
        <v>462.8971429</v>
      </c>
      <c r="F65" s="157">
        <f t="shared" si="15"/>
        <v>323.5005556</v>
      </c>
      <c r="G65" s="157">
        <f t="shared" si="15"/>
        <v>395.6053333</v>
      </c>
      <c r="H65" s="157">
        <f t="shared" si="15"/>
        <v>276.8095238</v>
      </c>
      <c r="I65" s="157">
        <f t="shared" si="15"/>
        <v>180.6675</v>
      </c>
      <c r="J65" s="157">
        <f t="shared" si="15"/>
        <v>191.1446667</v>
      </c>
      <c r="K65" s="157">
        <f t="shared" si="15"/>
        <v>240.3978261</v>
      </c>
      <c r="L65" s="157">
        <f t="shared" si="15"/>
        <v>203.629</v>
      </c>
      <c r="M65" s="157">
        <f t="shared" si="15"/>
        <v>167.8938889</v>
      </c>
      <c r="N65" s="157">
        <f t="shared" si="15"/>
        <v>238.14</v>
      </c>
      <c r="O65" s="157">
        <f t="shared" si="15"/>
        <v>210.5276923</v>
      </c>
      <c r="P65" s="157">
        <f t="shared" si="15"/>
        <v>214.6708108</v>
      </c>
      <c r="Q65" s="157">
        <f t="shared" si="15"/>
        <v>310.9848485</v>
      </c>
      <c r="R65" s="157">
        <f t="shared" si="15"/>
        <v>221.5898039</v>
      </c>
      <c r="S65" s="157">
        <f t="shared" si="15"/>
        <v>196.4937705</v>
      </c>
      <c r="T65" s="157">
        <f t="shared" si="15"/>
        <v>237.8484</v>
      </c>
      <c r="U65" s="157">
        <f t="shared" si="15"/>
        <v>423.048125</v>
      </c>
      <c r="V65" s="157" t="str">
        <f t="shared" si="15"/>
        <v>#DIV/0!</v>
      </c>
      <c r="W65" s="157">
        <f t="shared" si="15"/>
        <v>0</v>
      </c>
      <c r="X65" s="157">
        <f t="shared" si="15"/>
        <v>320.962</v>
      </c>
      <c r="Y65" s="157">
        <f t="shared" si="15"/>
        <v>797.985</v>
      </c>
      <c r="Z65" s="157">
        <f t="shared" si="15"/>
        <v>248.5633333</v>
      </c>
      <c r="AA65" s="157">
        <f t="shared" si="15"/>
        <v>332.3846154</v>
      </c>
      <c r="AB65" s="157">
        <f t="shared" si="15"/>
        <v>242.025</v>
      </c>
      <c r="AC65" s="157" t="str">
        <f t="shared" si="15"/>
        <v>#DIV/0!</v>
      </c>
      <c r="AD65" s="157" t="str">
        <f t="shared" si="15"/>
        <v>#DIV/0!</v>
      </c>
      <c r="AE65" s="157" t="str">
        <f t="shared" si="15"/>
        <v>#DIV/0!</v>
      </c>
      <c r="AF65" s="151"/>
    </row>
    <row r="66">
      <c r="A66" s="158" t="s">
        <v>288</v>
      </c>
      <c r="B66" s="159">
        <f>B17/(Formulas!$C32*B5+B29)</f>
        <v>0.4366234152</v>
      </c>
      <c r="C66" s="159">
        <f>C17/(Formulas!$C32*C5+C29)</f>
        <v>0.5015417137</v>
      </c>
      <c r="D66" s="159">
        <f>D17/(Formulas!$C32*D5+D29)</f>
        <v>0.4889441648</v>
      </c>
      <c r="E66" s="159">
        <f>E17/(Formulas!$C32*E5+E29)</f>
        <v>0.5087581005</v>
      </c>
      <c r="F66" s="159">
        <f>F17/(Formulas!$C32*F5+F29)</f>
        <v>0.5848376228</v>
      </c>
      <c r="G66" s="159">
        <f>G17/(Formulas!$C32*G5+G29)</f>
        <v>0.4962578224</v>
      </c>
      <c r="H66" s="159">
        <f>H17/(Formulas!$C32*H5+H29)</f>
        <v>0.7771510865</v>
      </c>
      <c r="I66" s="159">
        <f>I17/(Formulas!$C32*I5+I29)</f>
        <v>0.8708113385</v>
      </c>
      <c r="J66" s="159">
        <f>J17/(Formulas!$C32*J5+J29)</f>
        <v>0.9061575919</v>
      </c>
      <c r="K66" s="159">
        <f>K17/(Formulas!$C32*K5+K29)</f>
        <v>0.7735711501</v>
      </c>
      <c r="L66" s="159">
        <f>L17/(Formulas!$C32*L5+L29)</f>
        <v>0.8150529362</v>
      </c>
      <c r="M66" s="159">
        <f>M17/(Formulas!$C32*M5+M29)</f>
        <v>0.8938023599</v>
      </c>
      <c r="N66" s="159">
        <f>N17/(Formulas!$C32*N5+N29)</f>
        <v>0.7035056771</v>
      </c>
      <c r="O66" s="159">
        <f>O17/(Formulas!$C32*O5+O29)</f>
        <v>0.7927028574</v>
      </c>
      <c r="P66" s="159">
        <f>P17/(Formulas!$C32*P5+P29)</f>
        <v>0.716831028</v>
      </c>
      <c r="Q66" s="159">
        <f>Q17/(Formulas!$C32*Q5+Q29)</f>
        <v>0.6644573725</v>
      </c>
      <c r="R66" s="159">
        <f>R17/(Formulas!$C32*R5+R29)</f>
        <v>0.760836109</v>
      </c>
      <c r="S66" s="159">
        <f>S17/(Formulas!$C32*S5+S29)</f>
        <v>0.8036738544</v>
      </c>
      <c r="T66" s="159">
        <f>T17/(Formulas!$C32*T5+T29)</f>
        <v>0.7542252318</v>
      </c>
      <c r="U66" s="159">
        <f>U17/(Formulas!$C32*U5+U29)</f>
        <v>0.4836470488</v>
      </c>
      <c r="V66" s="159" t="str">
        <f>V17/(Formulas!$C32*V5+V29)</f>
        <v>#DIV/0!</v>
      </c>
      <c r="W66" s="159">
        <f>W17/(Formulas!$C32*W5+W29)</f>
        <v>1.726803469</v>
      </c>
      <c r="X66" s="159">
        <f>X17/(Formulas!$C32*X5+X29)</f>
        <v>0.5108715613</v>
      </c>
      <c r="Y66" s="159">
        <f>Y17/(Formulas!$C32*Y5+Y29)</f>
        <v>0.3032594801</v>
      </c>
      <c r="Z66" s="159">
        <f>Z17/(Formulas!$C32*Z5+Z29)</f>
        <v>0.778610654</v>
      </c>
      <c r="AA66" s="159">
        <f>AA17/(Formulas!$C32*AA5+AA29)</f>
        <v>0.5813118424</v>
      </c>
      <c r="AB66" s="159">
        <f>AB17/(Formulas!$C32*AB5+AB29)</f>
        <v>0.7451066742</v>
      </c>
      <c r="AC66" s="159">
        <f>AC17/(Formulas!$C32*AC5+AC29)</f>
        <v>0</v>
      </c>
      <c r="AD66" s="159">
        <f>AD17/(Formulas!$C32*AD5+AD29)</f>
        <v>0</v>
      </c>
      <c r="AE66" s="159">
        <f>AE17/(Formulas!$C32*AE5+AE29)</f>
        <v>0</v>
      </c>
      <c r="AF66" s="151"/>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51"/>
    </row>
    <row r="68">
      <c r="A68" s="160" t="s">
        <v>289</v>
      </c>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22"/>
      <c r="AB68" s="16"/>
      <c r="AC68" s="16"/>
      <c r="AD68" s="16"/>
      <c r="AE68" s="16"/>
      <c r="AF68" s="7"/>
    </row>
    <row r="69">
      <c r="A69" s="161" t="s">
        <v>281</v>
      </c>
      <c r="B69" s="135">
        <f>B18-(B6*Formulas!$C32)-B30</f>
        <v>2415.642556</v>
      </c>
      <c r="C69" s="135">
        <f>C18-(C6*Formulas!$C32)-C30</f>
        <v>438.8473794</v>
      </c>
      <c r="D69" s="135">
        <f>D18-(D6*Formulas!$C32)-D30</f>
        <v>713.4120607</v>
      </c>
      <c r="E69" s="135">
        <f>E18-(E6*Formulas!$C32)-E30</f>
        <v>2739.136884</v>
      </c>
      <c r="F69" s="135">
        <f>F18-(F6*Formulas!$C32)-F30</f>
        <v>-666.0373727</v>
      </c>
      <c r="G69" s="135">
        <f>G18-(G6*Formulas!$C32)-G30</f>
        <v>1137.347521</v>
      </c>
      <c r="H69" s="135">
        <f>H18-(H6*Formulas!$C32)-H30</f>
        <v>-421.3724789</v>
      </c>
      <c r="I69" s="135">
        <f>I18-(I6*Formulas!$C32)-I30</f>
        <v>3834.276671</v>
      </c>
      <c r="J69" s="135">
        <f>J18-(J6*Formulas!$C32)-J30</f>
        <v>-4115.161417</v>
      </c>
      <c r="K69" s="135">
        <f>K18-(K6*Formulas!$C32)-K30</f>
        <v>-7746.576523</v>
      </c>
      <c r="L69" s="135">
        <f>L18-(L6*Formulas!$C32)-L30</f>
        <v>-5488.072621</v>
      </c>
      <c r="M69" s="135">
        <f>M18-(M6*Formulas!$C32)-M30</f>
        <v>-3778.813895</v>
      </c>
      <c r="N69" s="135">
        <f>N18-(N6*Formulas!$C32)-N30</f>
        <v>69.36610453</v>
      </c>
      <c r="O69" s="135">
        <f>O18-(O6*Formulas!$C32)-O30</f>
        <v>5496.005325</v>
      </c>
      <c r="P69" s="135">
        <f>P18-(P6*Formulas!$C32)-P30</f>
        <v>6579.33575</v>
      </c>
      <c r="Q69" s="135">
        <f>Q18-(Q6*Formulas!$C32)-Q30</f>
        <v>6241.636034</v>
      </c>
      <c r="R69" s="135">
        <f>R18-(R6*Formulas!$C32)-R30</f>
        <v>8795.280503</v>
      </c>
      <c r="S69" s="135">
        <f>S18-(S6*Formulas!$C32)-S30</f>
        <v>11572.25838</v>
      </c>
      <c r="T69" s="135">
        <f>T18-(T6*Formulas!$C32)-T30</f>
        <v>1540.4366</v>
      </c>
      <c r="U69" s="135">
        <f>U18-(U6*Formulas!$C32)-U30</f>
        <v>-1874.176735</v>
      </c>
      <c r="V69" s="135">
        <f>V18-(V6*Formulas!$C32)-V30</f>
        <v>-2373.680921</v>
      </c>
      <c r="W69" s="135">
        <f>W18-(W6*Formulas!$C32)-W30</f>
        <v>1017.859717</v>
      </c>
      <c r="X69" s="135">
        <f>X18-(X6*Formulas!$C32)-X30</f>
        <v>1150.029292</v>
      </c>
      <c r="Y69" s="135">
        <f>Y18-(Y6*Formulas!$C32)-Y30</f>
        <v>1811.773831</v>
      </c>
      <c r="Z69" s="135">
        <f>Z18-(Z6*Formulas!$C32)-Z30</f>
        <v>2428.137875</v>
      </c>
      <c r="AA69" s="135">
        <f>AA18-(AA6*Formulas!$C32)-AA30</f>
        <v>3680.628159</v>
      </c>
      <c r="AB69" s="135">
        <f>AB18-(AB6*Formulas!$C32)-AB30</f>
        <v>-822.0109207</v>
      </c>
      <c r="AC69" s="135">
        <f>AC18-(AC6*Formulas!$C32)-AC30</f>
        <v>-3314.72</v>
      </c>
      <c r="AD69" s="135">
        <f>AD18-(AD6*Formulas!$C32)-AD30</f>
        <v>-2934.13</v>
      </c>
      <c r="AE69" s="135">
        <f>AE18-(AE6*Formulas!$C32)-AE30</f>
        <v>-2905.43</v>
      </c>
      <c r="AF69" s="151">
        <f>SUM(B69:AE69)</f>
        <v>25221.22776</v>
      </c>
    </row>
    <row r="70">
      <c r="A70" s="161" t="s">
        <v>286</v>
      </c>
      <c r="B70" s="156">
        <f t="shared" ref="B70:AE70" si="16">B18/B30</f>
        <v>2.694568898</v>
      </c>
      <c r="C70" s="156">
        <f t="shared" si="16"/>
        <v>2.005289482</v>
      </c>
      <c r="D70" s="156">
        <f t="shared" si="16"/>
        <v>2.262587727</v>
      </c>
      <c r="E70" s="156">
        <f t="shared" si="16"/>
        <v>2.843976725</v>
      </c>
      <c r="F70" s="156">
        <f t="shared" si="16"/>
        <v>2.062765</v>
      </c>
      <c r="G70" s="156">
        <f t="shared" si="16"/>
        <v>2.47353974</v>
      </c>
      <c r="H70" s="156">
        <f t="shared" si="16"/>
        <v>2.094384749</v>
      </c>
      <c r="I70" s="156">
        <f t="shared" si="16"/>
        <v>3.050546347</v>
      </c>
      <c r="J70" s="156">
        <f t="shared" si="16"/>
        <v>1.136543942</v>
      </c>
      <c r="K70" s="156">
        <f t="shared" si="16"/>
        <v>0.8410384257</v>
      </c>
      <c r="L70" s="156">
        <f t="shared" si="16"/>
        <v>1.300909023</v>
      </c>
      <c r="M70" s="156">
        <f t="shared" si="16"/>
        <v>1.746582569</v>
      </c>
      <c r="N70" s="156">
        <f t="shared" si="16"/>
        <v>2.101401545</v>
      </c>
      <c r="O70" s="156">
        <f t="shared" si="16"/>
        <v>2.940389439</v>
      </c>
      <c r="P70" s="156">
        <f t="shared" si="16"/>
        <v>3.652000287</v>
      </c>
      <c r="Q70" s="156">
        <f t="shared" si="16"/>
        <v>3.528956022</v>
      </c>
      <c r="R70" s="156">
        <f t="shared" si="16"/>
        <v>3.869166996</v>
      </c>
      <c r="S70" s="156">
        <f t="shared" si="16"/>
        <v>4.838679649</v>
      </c>
      <c r="T70" s="156">
        <f t="shared" si="16"/>
        <v>2.732835441</v>
      </c>
      <c r="U70" s="156">
        <f t="shared" si="16"/>
        <v>1.639183675</v>
      </c>
      <c r="V70" s="156">
        <f t="shared" si="16"/>
        <v>1.241549362</v>
      </c>
      <c r="W70" s="156" t="str">
        <f t="shared" si="16"/>
        <v>#DIV/0!</v>
      </c>
      <c r="X70" s="156">
        <f t="shared" si="16"/>
        <v>12.18212261</v>
      </c>
      <c r="Y70" s="156">
        <f t="shared" si="16"/>
        <v>3.185887575</v>
      </c>
      <c r="Z70" s="156">
        <f t="shared" si="16"/>
        <v>3.624022449</v>
      </c>
      <c r="AA70" s="156">
        <f t="shared" si="16"/>
        <v>4.164588931</v>
      </c>
      <c r="AB70" s="156">
        <f t="shared" si="16"/>
        <v>1.736490079</v>
      </c>
      <c r="AC70" s="156">
        <f t="shared" si="16"/>
        <v>0</v>
      </c>
      <c r="AD70" s="156">
        <f t="shared" si="16"/>
        <v>0</v>
      </c>
      <c r="AE70" s="156">
        <f t="shared" si="16"/>
        <v>0</v>
      </c>
      <c r="AF70" s="151"/>
    </row>
    <row r="71">
      <c r="A71" s="161" t="s">
        <v>287</v>
      </c>
      <c r="B71" s="157">
        <f t="shared" ref="B71:AE71" si="17">B30/B6</f>
        <v>99.0484058</v>
      </c>
      <c r="C71" s="157">
        <f t="shared" si="17"/>
        <v>138.0352703</v>
      </c>
      <c r="D71" s="157">
        <f t="shared" si="17"/>
        <v>112.0162651</v>
      </c>
      <c r="E71" s="157">
        <f t="shared" si="17"/>
        <v>88.91738636</v>
      </c>
      <c r="F71" s="157">
        <f t="shared" si="17"/>
        <v>115.6362687</v>
      </c>
      <c r="G71" s="157">
        <f t="shared" si="17"/>
        <v>101.1732857</v>
      </c>
      <c r="H71" s="157">
        <f t="shared" si="17"/>
        <v>115.8782857</v>
      </c>
      <c r="I71" s="157">
        <f t="shared" si="17"/>
        <v>84.67265957</v>
      </c>
      <c r="J71" s="157">
        <f t="shared" si="17"/>
        <v>219.38725</v>
      </c>
      <c r="K71" s="157">
        <f t="shared" si="17"/>
        <v>297.6688372</v>
      </c>
      <c r="L71" s="157">
        <f t="shared" si="17"/>
        <v>194.9821622</v>
      </c>
      <c r="M71" s="157">
        <f t="shared" si="17"/>
        <v>131.9106364</v>
      </c>
      <c r="N71" s="157">
        <f t="shared" si="17"/>
        <v>121.178</v>
      </c>
      <c r="O71" s="157">
        <f t="shared" si="17"/>
        <v>89.91568182</v>
      </c>
      <c r="P71" s="157">
        <f t="shared" si="17"/>
        <v>70.76275</v>
      </c>
      <c r="Q71" s="157">
        <f t="shared" si="17"/>
        <v>74.56196429</v>
      </c>
      <c r="R71" s="157">
        <f t="shared" si="17"/>
        <v>70.43480315</v>
      </c>
      <c r="S71" s="157">
        <f t="shared" si="17"/>
        <v>50.72545455</v>
      </c>
      <c r="T71" s="157">
        <f t="shared" si="17"/>
        <v>85.91770833</v>
      </c>
      <c r="U71" s="157">
        <f t="shared" si="17"/>
        <v>147.9802041</v>
      </c>
      <c r="V71" s="157">
        <f t="shared" si="17"/>
        <v>171.9715385</v>
      </c>
      <c r="W71" s="157">
        <f t="shared" si="17"/>
        <v>0</v>
      </c>
      <c r="X71" s="157">
        <f t="shared" si="17"/>
        <v>17.0215</v>
      </c>
      <c r="Y71" s="157">
        <f t="shared" si="17"/>
        <v>85.88606061</v>
      </c>
      <c r="Z71" s="157">
        <f t="shared" si="17"/>
        <v>66.04516667</v>
      </c>
      <c r="AA71" s="157">
        <f t="shared" si="17"/>
        <v>64.34211538</v>
      </c>
      <c r="AB71" s="157">
        <f t="shared" si="17"/>
        <v>137.4346154</v>
      </c>
      <c r="AC71" s="157" t="str">
        <f t="shared" si="17"/>
        <v>#DIV/0!</v>
      </c>
      <c r="AD71" s="157" t="str">
        <f t="shared" si="17"/>
        <v>#DIV/0!</v>
      </c>
      <c r="AE71" s="157" t="str">
        <f t="shared" si="17"/>
        <v>#DIV/0!</v>
      </c>
      <c r="AF71" s="151"/>
    </row>
    <row r="72">
      <c r="A72" s="162" t="s">
        <v>288</v>
      </c>
      <c r="B72" s="159">
        <f>B18/(Formulas!$C32*B6+B30)</f>
        <v>1.150978061</v>
      </c>
      <c r="C72" s="159">
        <f>C18/(Formulas!$C32*C6+C30)</f>
        <v>1.021893762</v>
      </c>
      <c r="D72" s="159">
        <f>D18/(Formulas!$C32*D6+D30)</f>
        <v>1.035104269</v>
      </c>
      <c r="E72" s="159">
        <f>E18/(Formulas!$C32*E6+E30)</f>
        <v>1.140366248</v>
      </c>
      <c r="F72" s="159">
        <f>F18/(Formulas!$C32*F6+F30)</f>
        <v>0.9599919341</v>
      </c>
      <c r="G72" s="159">
        <f>G18/(Formulas!$C32*G6+G30)</f>
        <v>1.069432667</v>
      </c>
      <c r="H72" s="159">
        <f>H18/(Formulas!$C32*H6+H30)</f>
        <v>0.9757970067</v>
      </c>
      <c r="I72" s="159">
        <f>I18/(Formulas!$C32*I6+I30)</f>
        <v>1.18753441</v>
      </c>
      <c r="J72" s="159">
        <f>J18/(Formulas!$C32*J6+J30)</f>
        <v>0.7079144629</v>
      </c>
      <c r="K72" s="159">
        <f>K18/(Formulas!$C32*K6+K30)</f>
        <v>0.5815300306</v>
      </c>
      <c r="L72" s="159">
        <f>L18/(Formulas!$C32*L6+L30)</f>
        <v>0.7737667698</v>
      </c>
      <c r="M72" s="159">
        <f>M18/(Formulas!$C32*M6+M30)</f>
        <v>0.8702420577</v>
      </c>
      <c r="N72" s="159">
        <f>N18/(Formulas!$C32*N6+N30)</f>
        <v>1.002482554</v>
      </c>
      <c r="O72" s="159">
        <f>O18/(Formulas!$C32*O6+O30)</f>
        <v>1.186919281</v>
      </c>
      <c r="P72" s="159">
        <f>P18/(Formulas!$C32*P6+P30)</f>
        <v>1.269294667</v>
      </c>
      <c r="Q72" s="159">
        <f>Q18/(Formulas!$C32*Q6+Q30)</f>
        <v>1.268706361</v>
      </c>
      <c r="R72" s="159">
        <f>R18/(Formulas!$C32*R6+R30)</f>
        <v>1.340700704</v>
      </c>
      <c r="S72" s="159">
        <f>S18/(Formulas!$C32*S6+S30)</f>
        <v>1.337129927</v>
      </c>
      <c r="T72" s="159">
        <f>T18/(Formulas!$C32*T6+T30)</f>
        <v>1.073353204</v>
      </c>
      <c r="U72" s="159">
        <f>U18/(Formulas!$C32*U6+U30)</f>
        <v>0.8637947682</v>
      </c>
      <c r="V72" s="159">
        <f>V18/(Formulas!$C32*V6+V30)</f>
        <v>0.7004808037</v>
      </c>
      <c r="W72" s="159">
        <f>W18/(Formulas!$C32*W6+W30)</f>
        <v>1.957823094</v>
      </c>
      <c r="X72" s="159">
        <f>X18/(Formulas!$C32*X6+X30)</f>
        <v>1.383710089</v>
      </c>
      <c r="Y72" s="159">
        <f>Y18/(Formulas!$C32*Y6+Y30)</f>
        <v>1.251014824</v>
      </c>
      <c r="Z72" s="159">
        <f>Z18/(Formulas!$C32*Z6+Z30)</f>
        <v>1.203484128</v>
      </c>
      <c r="AA72" s="159">
        <f>AA18/(Formulas!$C32*AA6+AA30)</f>
        <v>1.35897319</v>
      </c>
      <c r="AB72" s="159">
        <f>AB18/(Formulas!$C32*AB6+AB30)</f>
        <v>0.8830212547</v>
      </c>
      <c r="AC72" s="159">
        <f>AC18/(Formulas!$C32*AC6+AC30)</f>
        <v>0</v>
      </c>
      <c r="AD72" s="159">
        <f>AD18/(Formulas!$C32*AD6+AD30)</f>
        <v>0</v>
      </c>
      <c r="AE72" s="159">
        <f>AE18/(Formulas!$C32*AE6+AE30)</f>
        <v>0</v>
      </c>
      <c r="AF72" s="151"/>
    </row>
    <row r="73">
      <c r="A73" s="2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51"/>
    </row>
    <row r="74">
      <c r="A74" s="163" t="s">
        <v>290</v>
      </c>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51"/>
    </row>
    <row r="75">
      <c r="A75" s="56" t="s">
        <v>281</v>
      </c>
      <c r="B75" s="135">
        <f>B19-(B7*Formulas!$C32)-B31</f>
        <v>-319.5</v>
      </c>
      <c r="C75" s="135">
        <f>C19-(C7*Formulas!$C32)-C31</f>
        <v>-167.28</v>
      </c>
      <c r="D75" s="135">
        <f>D19-(D7*Formulas!$C32)-D31</f>
        <v>-165.57</v>
      </c>
      <c r="E75" s="135">
        <f>E19-(E7*Formulas!$C32)-E31</f>
        <v>-167.6</v>
      </c>
      <c r="F75" s="135">
        <f>F19-(F7*Formulas!$C32)-F31</f>
        <v>-78.15</v>
      </c>
      <c r="G75" s="135">
        <f>G19-(G7*Formulas!$C32)-G31</f>
        <v>0</v>
      </c>
      <c r="H75" s="135">
        <f>H19-(H7*Formulas!$C32)-H31</f>
        <v>0</v>
      </c>
      <c r="I75" s="135">
        <f>I19-(I7*Formulas!$C32)-I31</f>
        <v>0</v>
      </c>
      <c r="J75" s="135">
        <f>J19-(J7*Formulas!$C32)-J31</f>
        <v>191.3749646</v>
      </c>
      <c r="K75" s="135">
        <f>K19-(K7*Formulas!$C32)-K31</f>
        <v>0</v>
      </c>
      <c r="L75" s="135">
        <f>L19-(L7*Formulas!$C32)-L31</f>
        <v>0</v>
      </c>
      <c r="M75" s="135">
        <f>M19-(M7*Formulas!$C32)-M31</f>
        <v>0</v>
      </c>
      <c r="N75" s="135">
        <f>N19-(N7*Formulas!$C32)-N31</f>
        <v>0</v>
      </c>
      <c r="O75" s="135">
        <f>O19-(O7*Formulas!$C32)-O31</f>
        <v>0</v>
      </c>
      <c r="P75" s="135">
        <f>P19-(P7*Formulas!$C32)-P31</f>
        <v>0</v>
      </c>
      <c r="Q75" s="135">
        <f>Q19-(Q7*Formulas!$C32)-Q31</f>
        <v>-139.9050354</v>
      </c>
      <c r="R75" s="135">
        <f>R19-(R7*Formulas!$C32)-R31</f>
        <v>-104.3100708</v>
      </c>
      <c r="S75" s="135">
        <f>S19-(S7*Formulas!$C32)-S31</f>
        <v>-277.0150354</v>
      </c>
      <c r="T75" s="135">
        <f>T19-(T7*Formulas!$C32)-T31</f>
        <v>-400</v>
      </c>
      <c r="U75" s="135">
        <f>U19-(U7*Formulas!$C32)-U31</f>
        <v>-117.4850354</v>
      </c>
      <c r="V75" s="135">
        <f>V19-(V7*Formulas!$C32)-V31</f>
        <v>-125.08</v>
      </c>
      <c r="W75" s="135">
        <f>W19-(W7*Formulas!$C32)-W31</f>
        <v>0</v>
      </c>
      <c r="X75" s="135">
        <f>X19-(X7*Formulas!$C32)-X31</f>
        <v>0</v>
      </c>
      <c r="Y75" s="135">
        <f>Y19-(Y7*Formulas!$C32)-Y31</f>
        <v>0</v>
      </c>
      <c r="Z75" s="135">
        <f>Z19-(Z7*Formulas!$C32)-Z31</f>
        <v>0</v>
      </c>
      <c r="AA75" s="135">
        <f>AA19-(AA7*Formulas!$C32)-AA31</f>
        <v>0</v>
      </c>
      <c r="AB75" s="135">
        <f>AB19-(AB7*Formulas!$C32)-AB31</f>
        <v>0</v>
      </c>
      <c r="AC75" s="135">
        <f>AC19-(AC7*Formulas!$C32)-AC31</f>
        <v>0</v>
      </c>
      <c r="AD75" s="135">
        <f>AD19-(AD7*Formulas!$C32)-AD31</f>
        <v>0</v>
      </c>
      <c r="AE75" s="135">
        <f>AE19-(AE7*Formulas!$C32)-AE31</f>
        <v>0</v>
      </c>
      <c r="AF75" s="151">
        <f>SUM(B75:AE75)</f>
        <v>-1870.520212</v>
      </c>
    </row>
    <row r="76">
      <c r="A76" s="56" t="s">
        <v>286</v>
      </c>
      <c r="B76" s="156">
        <f t="shared" ref="B76:AE76" si="18">B19/B31</f>
        <v>0</v>
      </c>
      <c r="C76" s="156">
        <f t="shared" si="18"/>
        <v>0</v>
      </c>
      <c r="D76" s="156">
        <f t="shared" si="18"/>
        <v>0</v>
      </c>
      <c r="E76" s="156">
        <f t="shared" si="18"/>
        <v>0</v>
      </c>
      <c r="F76" s="156">
        <f t="shared" si="18"/>
        <v>0</v>
      </c>
      <c r="G76" s="156" t="str">
        <f t="shared" si="18"/>
        <v>#DIV/0!</v>
      </c>
      <c r="H76" s="156" t="str">
        <f t="shared" si="18"/>
        <v>#DIV/0!</v>
      </c>
      <c r="I76" s="156" t="str">
        <f t="shared" si="18"/>
        <v>#DIV/0!</v>
      </c>
      <c r="J76" s="156" t="str">
        <f t="shared" si="18"/>
        <v>#DIV/0!</v>
      </c>
      <c r="K76" s="156" t="str">
        <f t="shared" si="18"/>
        <v>#DIV/0!</v>
      </c>
      <c r="L76" s="156" t="str">
        <f t="shared" si="18"/>
        <v>#DIV/0!</v>
      </c>
      <c r="M76" s="156" t="str">
        <f t="shared" si="18"/>
        <v>#DIV/0!</v>
      </c>
      <c r="N76" s="156" t="str">
        <f t="shared" si="18"/>
        <v>#DIV/0!</v>
      </c>
      <c r="O76" s="156" t="str">
        <f t="shared" si="18"/>
        <v>#DIV/0!</v>
      </c>
      <c r="P76" s="156" t="str">
        <f t="shared" si="18"/>
        <v>#DIV/0!</v>
      </c>
      <c r="Q76" s="156">
        <f t="shared" si="18"/>
        <v>0.9658322057</v>
      </c>
      <c r="R76" s="156">
        <f t="shared" si="18"/>
        <v>1.407001967</v>
      </c>
      <c r="S76" s="156">
        <f t="shared" si="18"/>
        <v>0.6362856638</v>
      </c>
      <c r="T76" s="156">
        <f t="shared" si="18"/>
        <v>0</v>
      </c>
      <c r="U76" s="156">
        <f t="shared" si="18"/>
        <v>1.064142744</v>
      </c>
      <c r="V76" s="156">
        <f t="shared" si="18"/>
        <v>0</v>
      </c>
      <c r="W76" s="156" t="str">
        <f t="shared" si="18"/>
        <v>#DIV/0!</v>
      </c>
      <c r="X76" s="156" t="str">
        <f t="shared" si="18"/>
        <v>#DIV/0!</v>
      </c>
      <c r="Y76" s="156" t="str">
        <f t="shared" si="18"/>
        <v>#DIV/0!</v>
      </c>
      <c r="Z76" s="156" t="str">
        <f t="shared" si="18"/>
        <v>#DIV/0!</v>
      </c>
      <c r="AA76" s="156" t="str">
        <f t="shared" si="18"/>
        <v>#DIV/0!</v>
      </c>
      <c r="AB76" s="156" t="str">
        <f t="shared" si="18"/>
        <v>#DIV/0!</v>
      </c>
      <c r="AC76" s="156" t="str">
        <f t="shared" si="18"/>
        <v>#DIV/0!</v>
      </c>
      <c r="AD76" s="156" t="str">
        <f t="shared" si="18"/>
        <v>#DIV/0!</v>
      </c>
      <c r="AE76" s="156" t="str">
        <f t="shared" si="18"/>
        <v>#DIV/0!</v>
      </c>
      <c r="AF76" s="151"/>
    </row>
    <row r="77">
      <c r="A77" s="56" t="s">
        <v>287</v>
      </c>
      <c r="B77" s="157" t="str">
        <f t="shared" ref="B77:AE77" si="19">B31/B7</f>
        <v>#DIV/0!</v>
      </c>
      <c r="C77" s="157" t="str">
        <f t="shared" si="19"/>
        <v>#DIV/0!</v>
      </c>
      <c r="D77" s="157" t="str">
        <f t="shared" si="19"/>
        <v>#DIV/0!</v>
      </c>
      <c r="E77" s="157" t="str">
        <f t="shared" si="19"/>
        <v>#DIV/0!</v>
      </c>
      <c r="F77" s="157" t="str">
        <f t="shared" si="19"/>
        <v>#DIV/0!</v>
      </c>
      <c r="G77" s="157" t="str">
        <f t="shared" si="19"/>
        <v>#DIV/0!</v>
      </c>
      <c r="H77" s="157" t="str">
        <f t="shared" si="19"/>
        <v>#DIV/0!</v>
      </c>
      <c r="I77" s="157" t="str">
        <f t="shared" si="19"/>
        <v>#DIV/0!</v>
      </c>
      <c r="J77" s="157">
        <f t="shared" si="19"/>
        <v>0</v>
      </c>
      <c r="K77" s="157" t="str">
        <f t="shared" si="19"/>
        <v>#DIV/0!</v>
      </c>
      <c r="L77" s="157" t="str">
        <f t="shared" si="19"/>
        <v>#DIV/0!</v>
      </c>
      <c r="M77" s="157" t="str">
        <f t="shared" si="19"/>
        <v>#DIV/0!</v>
      </c>
      <c r="N77" s="157" t="str">
        <f t="shared" si="19"/>
        <v>#DIV/0!</v>
      </c>
      <c r="O77" s="157" t="str">
        <f t="shared" si="19"/>
        <v>#DIV/0!</v>
      </c>
      <c r="P77" s="157" t="str">
        <f t="shared" si="19"/>
        <v>#DIV/0!</v>
      </c>
      <c r="Q77" s="157">
        <f t="shared" si="19"/>
        <v>206.92</v>
      </c>
      <c r="R77" s="157">
        <f t="shared" si="19"/>
        <v>198.23</v>
      </c>
      <c r="S77" s="157">
        <f t="shared" si="19"/>
        <v>396.41</v>
      </c>
      <c r="T77" s="157" t="str">
        <f t="shared" si="19"/>
        <v>#DIV/0!</v>
      </c>
      <c r="U77" s="157">
        <f t="shared" si="19"/>
        <v>239.31</v>
      </c>
      <c r="V77" s="157" t="str">
        <f t="shared" si="19"/>
        <v>#DIV/0!</v>
      </c>
      <c r="W77" s="157" t="str">
        <f t="shared" si="19"/>
        <v>#DIV/0!</v>
      </c>
      <c r="X77" s="157" t="str">
        <f t="shared" si="19"/>
        <v>#DIV/0!</v>
      </c>
      <c r="Y77" s="157" t="str">
        <f t="shared" si="19"/>
        <v>#DIV/0!</v>
      </c>
      <c r="Z77" s="157" t="str">
        <f t="shared" si="19"/>
        <v>#DIV/0!</v>
      </c>
      <c r="AA77" s="157" t="str">
        <f t="shared" si="19"/>
        <v>#DIV/0!</v>
      </c>
      <c r="AB77" s="157" t="str">
        <f t="shared" si="19"/>
        <v>#DIV/0!</v>
      </c>
      <c r="AC77" s="157" t="str">
        <f t="shared" si="19"/>
        <v>#DIV/0!</v>
      </c>
      <c r="AD77" s="157" t="str">
        <f t="shared" si="19"/>
        <v>#DIV/0!</v>
      </c>
      <c r="AE77" s="157" t="str">
        <f t="shared" si="19"/>
        <v>#DIV/0!</v>
      </c>
      <c r="AF77" s="151"/>
    </row>
    <row r="78">
      <c r="A78" s="164" t="s">
        <v>288</v>
      </c>
      <c r="B78" s="159">
        <f>B19/(Formulas!$C32*B7+B31)</f>
        <v>0</v>
      </c>
      <c r="C78" s="159">
        <f>C19/(Formulas!$C32*C7+C31)</f>
        <v>0</v>
      </c>
      <c r="D78" s="159">
        <f>D19/(Formulas!$C32*D7+D31)</f>
        <v>0</v>
      </c>
      <c r="E78" s="159">
        <f>E19/(Formulas!$C32*E7+E31)</f>
        <v>0</v>
      </c>
      <c r="F78" s="159">
        <f>F19/(Formulas!$C32*F7+F31)</f>
        <v>0</v>
      </c>
      <c r="G78" s="159" t="str">
        <f>G19/(Formulas!$C32*G7+G31)</f>
        <v>#DIV/0!</v>
      </c>
      <c r="H78" s="159" t="str">
        <f>H19/(Formulas!$C32*H7+H31)</f>
        <v>#DIV/0!</v>
      </c>
      <c r="I78" s="159" t="str">
        <f>I19/(Formulas!$C32*I7+I31)</f>
        <v>#DIV/0!</v>
      </c>
      <c r="J78" s="159">
        <f>J19/(Formulas!$C32*J7+J31)</f>
        <v>2.440696455</v>
      </c>
      <c r="K78" s="159" t="str">
        <f>K19/(Formulas!$C32*K7+K31)</f>
        <v>#DIV/0!</v>
      </c>
      <c r="L78" s="159" t="str">
        <f>L19/(Formulas!$C32*L7+L31)</f>
        <v>#DIV/0!</v>
      </c>
      <c r="M78" s="159" t="str">
        <f>M19/(Formulas!$C32*M7+M31)</f>
        <v>#DIV/0!</v>
      </c>
      <c r="N78" s="159" t="str">
        <f>N19/(Formulas!$C32*N7+N31)</f>
        <v>#DIV/0!</v>
      </c>
      <c r="O78" s="159" t="str">
        <f>O19/(Formulas!$C32*O7+O31)</f>
        <v>#DIV/0!</v>
      </c>
      <c r="P78" s="159" t="str">
        <f>P19/(Formulas!$C32*P7+P31)</f>
        <v>#DIV/0!</v>
      </c>
      <c r="Q78" s="159">
        <f>Q19/(Formulas!$C32*Q7+Q31)</f>
        <v>0.5882179193</v>
      </c>
      <c r="R78" s="159">
        <f>R19/(Formulas!$C32*R7+R31)</f>
        <v>0.8424628703</v>
      </c>
      <c r="S78" s="159">
        <f>S19/(Formulas!$C32*S7+S31)</f>
        <v>0.4765845367</v>
      </c>
      <c r="T78" s="159">
        <f>T19/(Formulas!$C32*T7+T31)</f>
        <v>0</v>
      </c>
      <c r="U78" s="159">
        <f>U19/(Formulas!$C32*U7+U31)</f>
        <v>0.6843030963</v>
      </c>
      <c r="V78" s="159">
        <f>V19/(Formulas!$C32*V7+V31)</f>
        <v>0</v>
      </c>
      <c r="W78" s="159" t="str">
        <f>W19/(Formulas!$C32*W7+W31)</f>
        <v>#DIV/0!</v>
      </c>
      <c r="X78" s="159" t="str">
        <f>X19/(Formulas!$C32*X7+X31)</f>
        <v>#DIV/0!</v>
      </c>
      <c r="Y78" s="159" t="str">
        <f>Y19/(Formulas!$C32*Y7+Y31)</f>
        <v>#DIV/0!</v>
      </c>
      <c r="Z78" s="159" t="str">
        <f>Z19/(Formulas!$C32*Z7+Z31)</f>
        <v>#DIV/0!</v>
      </c>
      <c r="AA78" s="159" t="str">
        <f>AA19/(Formulas!$C32*AA7+AA31)</f>
        <v>#DIV/0!</v>
      </c>
      <c r="AB78" s="159" t="str">
        <f>AB19/(Formulas!$C32*AB7+AB31)</f>
        <v>#DIV/0!</v>
      </c>
      <c r="AC78" s="159" t="str">
        <f>AC19/(Formulas!$C32*AC7+AC31)</f>
        <v>#DIV/0!</v>
      </c>
      <c r="AD78" s="159" t="str">
        <f>AD19/(Formulas!$C32*AD7+AD31)</f>
        <v>#DIV/0!</v>
      </c>
      <c r="AE78" s="159" t="str">
        <f>AE19/(Formulas!$C32*AE7+AE31)</f>
        <v>#DIV/0!</v>
      </c>
      <c r="AF78" s="151"/>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51"/>
    </row>
    <row r="80">
      <c r="A80" s="165" t="s">
        <v>291</v>
      </c>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c r="AB80" s="166"/>
      <c r="AC80" s="166"/>
      <c r="AD80" s="166"/>
      <c r="AE80" s="166"/>
      <c r="AF80" s="151"/>
    </row>
    <row r="81">
      <c r="A81" s="167" t="s">
        <v>281</v>
      </c>
      <c r="B81" s="135">
        <f>B20-(B8*Formulas!$C32)-B32</f>
        <v>735.6597167</v>
      </c>
      <c r="C81" s="135">
        <f>C20-(C8*Formulas!$C32)-C32</f>
        <v>-43.99007083</v>
      </c>
      <c r="D81" s="135">
        <f>D20-(D8*Formulas!$C32)-D32</f>
        <v>572.9648229</v>
      </c>
      <c r="E81" s="135">
        <f>E20-(E8*Formulas!$C32)-E32</f>
        <v>279.2347521</v>
      </c>
      <c r="F81" s="135">
        <f>F20-(F8*Formulas!$C32)-F32</f>
        <v>248.9048938</v>
      </c>
      <c r="G81" s="135">
        <f>G20-(G8*Formulas!$C32)-G32</f>
        <v>1021.479575</v>
      </c>
      <c r="H81" s="135">
        <f>H20-(H8*Formulas!$C32)-H32</f>
        <v>87.41489376</v>
      </c>
      <c r="I81" s="135">
        <f>I20-(I8*Formulas!$C32)-I32</f>
        <v>912.8396459</v>
      </c>
      <c r="J81" s="135">
        <f>J20-(J8*Formulas!$C32)-J32</f>
        <v>1228.719717</v>
      </c>
      <c r="K81" s="135">
        <f>K20-(K8*Formulas!$C32)-K32</f>
        <v>666.2698583</v>
      </c>
      <c r="L81" s="135">
        <f>L20-(L8*Formulas!$C32)-L32</f>
        <v>794.0897167</v>
      </c>
      <c r="M81" s="135">
        <f>M20-(M8*Formulas!$C32)-M32</f>
        <v>444.3147521</v>
      </c>
      <c r="N81" s="135">
        <f>N20-(N8*Formulas!$C32)-N32</f>
        <v>-1.255247894</v>
      </c>
      <c r="O81" s="135">
        <f>O20-(O8*Formulas!$C32)-O32</f>
        <v>789.6646813</v>
      </c>
      <c r="P81" s="135">
        <f>P20-(P8*Formulas!$C32)-P32</f>
        <v>633.3747521</v>
      </c>
      <c r="Q81" s="135">
        <f>Q20-(Q8*Formulas!$C32)-Q32</f>
        <v>186.7747521</v>
      </c>
      <c r="R81" s="135">
        <f>R20-(R8*Formulas!$C32)-R32</f>
        <v>1173.48461</v>
      </c>
      <c r="S81" s="135">
        <f>S20-(S8*Formulas!$C32)-S32</f>
        <v>163.2847521</v>
      </c>
      <c r="T81" s="135">
        <f>T20-(T8*Formulas!$C32)-T32</f>
        <v>387.0747521</v>
      </c>
      <c r="U81" s="135">
        <f>U20-(U8*Formulas!$C32)-U32</f>
        <v>291.6498583</v>
      </c>
      <c r="V81" s="135">
        <f>V20-(V8*Formulas!$C32)-V32</f>
        <v>266.1698583</v>
      </c>
      <c r="W81" s="135">
        <f>W20-(W8*Formulas!$C32)-W32</f>
        <v>-93.83503541</v>
      </c>
      <c r="X81" s="135">
        <f>X20-(X8*Formulas!$C32)-X32</f>
        <v>0</v>
      </c>
      <c r="Y81" s="135">
        <f>Y20-(Y8*Formulas!$C32)-Y32</f>
        <v>131.4549646</v>
      </c>
      <c r="Z81" s="135">
        <f>Z20-(Z8*Formulas!$C32)-Z32</f>
        <v>405.5648938</v>
      </c>
      <c r="AA81" s="135">
        <f>AA20-(AA8*Formulas!$C32)-AA32</f>
        <v>0</v>
      </c>
      <c r="AB81" s="135">
        <f>AB20-(AB8*Formulas!$C32)-AB32</f>
        <v>0</v>
      </c>
      <c r="AC81" s="135">
        <f>AC20-(AC8*Formulas!$C32)-AC32</f>
        <v>0</v>
      </c>
      <c r="AD81" s="135">
        <f>AD20-(AD8*Formulas!$C32)-AD32</f>
        <v>0</v>
      </c>
      <c r="AE81" s="135">
        <f>AE20-(AE8*Formulas!$C32)-AE32</f>
        <v>0</v>
      </c>
      <c r="AF81" s="151">
        <f>SUM(B81:AE81)</f>
        <v>11281.30987</v>
      </c>
    </row>
    <row r="82">
      <c r="A82" s="167" t="s">
        <v>286</v>
      </c>
      <c r="B82" s="156">
        <f t="shared" ref="B82:AE82" si="20">B20/B32</f>
        <v>7.917224402</v>
      </c>
      <c r="C82" s="156">
        <f t="shared" si="20"/>
        <v>1.81029315</v>
      </c>
      <c r="D82" s="156">
        <f t="shared" si="20"/>
        <v>5.81171483</v>
      </c>
      <c r="E82" s="156">
        <f t="shared" si="20"/>
        <v>5.600936109</v>
      </c>
      <c r="F82" s="156">
        <f t="shared" si="20"/>
        <v>4.454695838</v>
      </c>
      <c r="G82" s="156">
        <f t="shared" si="20"/>
        <v>12.12599966</v>
      </c>
      <c r="H82" s="156">
        <f t="shared" si="20"/>
        <v>2.8532418</v>
      </c>
      <c r="I82" s="156">
        <f t="shared" si="20"/>
        <v>9.719565809</v>
      </c>
      <c r="J82" s="156" t="str">
        <f t="shared" si="20"/>
        <v>#DIV/0!</v>
      </c>
      <c r="K82" s="156" t="str">
        <f t="shared" si="20"/>
        <v>#DIV/0!</v>
      </c>
      <c r="L82" s="156">
        <f t="shared" si="20"/>
        <v>9.473371971</v>
      </c>
      <c r="M82" s="156">
        <f t="shared" si="20"/>
        <v>6.412635891</v>
      </c>
      <c r="N82" s="156">
        <f t="shared" si="20"/>
        <v>4.571912144</v>
      </c>
      <c r="O82" s="156">
        <f t="shared" si="20"/>
        <v>8.659760003</v>
      </c>
      <c r="P82" s="156">
        <f t="shared" si="20"/>
        <v>6.858925827</v>
      </c>
      <c r="Q82" s="156">
        <f t="shared" si="20"/>
        <v>5.294857495</v>
      </c>
      <c r="R82" s="156">
        <f t="shared" si="20"/>
        <v>10.87877765</v>
      </c>
      <c r="S82" s="156">
        <f t="shared" si="20"/>
        <v>5.176236867</v>
      </c>
      <c r="T82" s="156">
        <f t="shared" si="20"/>
        <v>5.971385428</v>
      </c>
      <c r="U82" s="156">
        <f t="shared" si="20"/>
        <v>4.708164369</v>
      </c>
      <c r="V82" s="156" t="str">
        <f t="shared" si="20"/>
        <v>#DIV/0!</v>
      </c>
      <c r="W82" s="156" t="str">
        <f t="shared" si="20"/>
        <v>#DIV/0!</v>
      </c>
      <c r="X82" s="156" t="str">
        <f t="shared" si="20"/>
        <v>#DIV/0!</v>
      </c>
      <c r="Y82" s="156" t="str">
        <f t="shared" si="20"/>
        <v>#DIV/0!</v>
      </c>
      <c r="Z82" s="156" t="str">
        <f t="shared" si="20"/>
        <v>#DIV/0!</v>
      </c>
      <c r="AA82" s="156" t="str">
        <f t="shared" si="20"/>
        <v>#DIV/0!</v>
      </c>
      <c r="AB82" s="156" t="str">
        <f t="shared" si="20"/>
        <v>#DIV/0!</v>
      </c>
      <c r="AC82" s="156" t="str">
        <f t="shared" si="20"/>
        <v>#DIV/0!</v>
      </c>
      <c r="AD82" s="156" t="str">
        <f t="shared" si="20"/>
        <v>#DIV/0!</v>
      </c>
      <c r="AE82" s="156" t="str">
        <f t="shared" si="20"/>
        <v>#DIV/0!</v>
      </c>
      <c r="AF82" s="151"/>
    </row>
    <row r="83">
      <c r="A83" s="167" t="s">
        <v>287</v>
      </c>
      <c r="B83" s="157">
        <f t="shared" ref="B83:AE83" si="21">B32/B8</f>
        <v>32.4975</v>
      </c>
      <c r="C83" s="157">
        <f t="shared" si="21"/>
        <v>136.79</v>
      </c>
      <c r="D83" s="157">
        <f t="shared" si="21"/>
        <v>51.422</v>
      </c>
      <c r="E83" s="157">
        <f t="shared" si="21"/>
        <v>37.54142857</v>
      </c>
      <c r="F83" s="157">
        <f t="shared" si="21"/>
        <v>62.46666667</v>
      </c>
      <c r="G83" s="157">
        <f t="shared" si="21"/>
        <v>19.59</v>
      </c>
      <c r="H83" s="157">
        <f t="shared" si="21"/>
        <v>87.4</v>
      </c>
      <c r="I83" s="157">
        <f t="shared" si="21"/>
        <v>25.703</v>
      </c>
      <c r="J83" s="157">
        <f t="shared" si="21"/>
        <v>0</v>
      </c>
      <c r="K83" s="157">
        <f t="shared" si="21"/>
        <v>0</v>
      </c>
      <c r="L83" s="157">
        <f t="shared" si="21"/>
        <v>27.39125</v>
      </c>
      <c r="M83" s="157">
        <f t="shared" si="21"/>
        <v>36.26857143</v>
      </c>
      <c r="N83" s="157">
        <f t="shared" si="21"/>
        <v>37.13857143</v>
      </c>
      <c r="O83" s="157">
        <f t="shared" si="21"/>
        <v>28.79666667</v>
      </c>
      <c r="P83" s="157">
        <f t="shared" si="21"/>
        <v>38.11571429</v>
      </c>
      <c r="Q83" s="157">
        <f t="shared" si="21"/>
        <v>37.14142857</v>
      </c>
      <c r="R83" s="157">
        <f t="shared" si="21"/>
        <v>24.24545455</v>
      </c>
      <c r="S83" s="157">
        <f t="shared" si="21"/>
        <v>37.39285714</v>
      </c>
      <c r="T83" s="157">
        <f t="shared" si="21"/>
        <v>37.84285714</v>
      </c>
      <c r="U83" s="157">
        <f t="shared" si="21"/>
        <v>55.485</v>
      </c>
      <c r="V83" s="157">
        <f t="shared" si="21"/>
        <v>0</v>
      </c>
      <c r="W83" s="157">
        <f t="shared" si="21"/>
        <v>0</v>
      </c>
      <c r="X83" s="157" t="str">
        <f t="shared" si="21"/>
        <v>#DIV/0!</v>
      </c>
      <c r="Y83" s="157">
        <f t="shared" si="21"/>
        <v>0</v>
      </c>
      <c r="Z83" s="157">
        <f t="shared" si="21"/>
        <v>0</v>
      </c>
      <c r="AA83" s="157" t="str">
        <f t="shared" si="21"/>
        <v>#DIV/0!</v>
      </c>
      <c r="AB83" s="157" t="str">
        <f t="shared" si="21"/>
        <v>#DIV/0!</v>
      </c>
      <c r="AC83" s="157" t="str">
        <f t="shared" si="21"/>
        <v>#DIV/0!</v>
      </c>
      <c r="AD83" s="157" t="str">
        <f t="shared" si="21"/>
        <v>#DIV/0!</v>
      </c>
      <c r="AE83" s="157" t="str">
        <f t="shared" si="21"/>
        <v>#DIV/0!</v>
      </c>
      <c r="AF83" s="151"/>
    </row>
    <row r="84">
      <c r="A84" s="168" t="s">
        <v>288</v>
      </c>
      <c r="B84" s="159">
        <f>B20/(Formulas!$C32*B8+B32)</f>
        <v>1.556197027</v>
      </c>
      <c r="C84" s="159">
        <f>C20/(Formulas!$C32*C8+C32)</f>
        <v>0.918423616</v>
      </c>
      <c r="D84" s="159">
        <f>D20/(Formulas!$C32*D8+D32)</f>
        <v>1.621919073</v>
      </c>
      <c r="E84" s="159">
        <f>E20/(Formulas!$C32*E8+E32)</f>
        <v>1.234132567</v>
      </c>
      <c r="F84" s="159">
        <f>F20/(Formulas!$C32*F8+F32)</f>
        <v>1.424821172</v>
      </c>
      <c r="G84" s="159">
        <f>G20/(Formulas!$C32*G8+G32)</f>
        <v>1.558460083</v>
      </c>
      <c r="H84" s="159">
        <f>H20/(Formulas!$C32*H8+H32)</f>
        <v>1.132305461</v>
      </c>
      <c r="I84" s="159">
        <f>I20/(Formulas!$C32*I8+I32)</f>
        <v>1.575785895</v>
      </c>
      <c r="J84" s="159">
        <f>J20/(Formulas!$C32*J8+J32)</f>
        <v>2.156245896</v>
      </c>
      <c r="K84" s="159">
        <f>K20/(Formulas!$C32*K8+K32)</f>
        <v>2.253942261</v>
      </c>
      <c r="L84" s="159">
        <f>L20/(Formulas!$C32*L8+L32)</f>
        <v>1.619506433</v>
      </c>
      <c r="M84" s="159">
        <f>M20/(Formulas!$C32*M8+M32)</f>
        <v>1.37535294</v>
      </c>
      <c r="N84" s="159">
        <f>N20/(Formulas!$C32*N8+N32)</f>
        <v>0.998945006</v>
      </c>
      <c r="O84" s="159">
        <f>O20/(Formulas!$C32*O8+O32)</f>
        <v>1.542842271</v>
      </c>
      <c r="P84" s="159">
        <f>P20/(Formulas!$C32*P8+P32)</f>
        <v>1.529287573</v>
      </c>
      <c r="Q84" s="159">
        <f>Q20/(Formulas!$C32*Q8+Q32)</f>
        <v>1.156975306</v>
      </c>
      <c r="R84" s="159">
        <f>R20/(Formulas!$C32*R8+R32)</f>
        <v>1.679144935</v>
      </c>
      <c r="S84" s="159">
        <f>S20/(Formulas!$C32*S8+S32)</f>
        <v>1.137030382</v>
      </c>
      <c r="T84" s="159">
        <f>T20/(Formulas!$C32*T8+T32)</f>
        <v>1.323980993</v>
      </c>
      <c r="U84" s="159">
        <f>U20/(Formulas!$C32*U8+U32)</f>
        <v>1.387173167</v>
      </c>
      <c r="V84" s="159">
        <f>V20/(Formulas!$C32*V8+V32)</f>
        <v>1.500940617</v>
      </c>
      <c r="W84" s="159">
        <f>W20/(Formulas!$C32*W8+W32)</f>
        <v>0.2935972417</v>
      </c>
      <c r="X84" s="159" t="str">
        <f>X20/(Formulas!$C32*X8+X32)</f>
        <v>#DIV/0!</v>
      </c>
      <c r="Y84" s="159">
        <f>Y20/(Formulas!$C32*Y8+Y32)</f>
        <v>1.989610641</v>
      </c>
      <c r="Z84" s="159">
        <f>Z20/(Formulas!$C32*Z8+Z32)</f>
        <v>2.017715676</v>
      </c>
      <c r="AA84" s="159" t="str">
        <f>AA20/(Formulas!$C32*AA8+AA32)</f>
        <v>#DIV/0!</v>
      </c>
      <c r="AB84" s="159" t="str">
        <f>AB20/(Formulas!$C32*AB8+AB32)</f>
        <v>#DIV/0!</v>
      </c>
      <c r="AC84" s="159" t="str">
        <f>AC20/(Formulas!$C32*AC8+AC32)</f>
        <v>#DIV/0!</v>
      </c>
      <c r="AD84" s="159" t="str">
        <f>AD20/(Formulas!$C32*AD8+AD32)</f>
        <v>#DIV/0!</v>
      </c>
      <c r="AE84" s="159" t="str">
        <f>AE20/(Formulas!$C32*AE8+AE32)</f>
        <v>#DIV/0!</v>
      </c>
      <c r="AF84" s="151"/>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51"/>
    </row>
    <row r="86">
      <c r="A86" s="169" t="s">
        <v>112</v>
      </c>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51"/>
    </row>
    <row r="87">
      <c r="A87" s="170" t="s">
        <v>281</v>
      </c>
      <c r="B87" s="135">
        <f>B21-(B9*Formulas!$C32)-B33</f>
        <v>0</v>
      </c>
      <c r="C87" s="135">
        <f>C21-(C9*Formulas!$C32)-C33</f>
        <v>0</v>
      </c>
      <c r="D87" s="135">
        <f>D21-(D9*Formulas!$C32)-D33</f>
        <v>0</v>
      </c>
      <c r="E87" s="135">
        <f>E21-(E9*Formulas!$C32)-E33</f>
        <v>0</v>
      </c>
      <c r="F87" s="135">
        <f>F21-(F9*Formulas!$C32)-F33</f>
        <v>0</v>
      </c>
      <c r="G87" s="135">
        <f>G21-(G9*Formulas!$C32)-G33</f>
        <v>0</v>
      </c>
      <c r="H87" s="135">
        <f>H21-(H9*Formulas!$C32)-H33</f>
        <v>0</v>
      </c>
      <c r="I87" s="135">
        <f>I21-(I9*Formulas!$C32)-I33</f>
        <v>0</v>
      </c>
      <c r="J87" s="135">
        <f>J21-(J9*Formulas!$C32)-J33</f>
        <v>0</v>
      </c>
      <c r="K87" s="135">
        <f>K21-(K9*Formulas!$C32)-K33</f>
        <v>0</v>
      </c>
      <c r="L87" s="135">
        <f>L21-(L9*Formulas!$C32)-L33</f>
        <v>0</v>
      </c>
      <c r="M87" s="135">
        <f>M21-(M9*Formulas!$C32)-M33</f>
        <v>0</v>
      </c>
      <c r="N87" s="135">
        <f>N21-(N9*Formulas!$C32)-N33</f>
        <v>0</v>
      </c>
      <c r="O87" s="135">
        <f>O21-(O9*Formulas!$C32)-O33</f>
        <v>0</v>
      </c>
      <c r="P87" s="135">
        <f>P21-(P9*Formulas!$C32)-P33</f>
        <v>0</v>
      </c>
      <c r="Q87" s="135">
        <f>Q21-(Q9*Formulas!$C32)-Q33</f>
        <v>0</v>
      </c>
      <c r="R87" s="135">
        <f>R21-(R9*Formulas!$C32)-R33</f>
        <v>0</v>
      </c>
      <c r="S87" s="135">
        <f>S21-(S9*Formulas!$C32)-S33</f>
        <v>0</v>
      </c>
      <c r="T87" s="135">
        <f>T21-(T9*Formulas!$C32)-T33</f>
        <v>0</v>
      </c>
      <c r="U87" s="135">
        <f>U21-(U9*Formulas!$C32)-U33</f>
        <v>0</v>
      </c>
      <c r="V87" s="135">
        <f>V21-(V9*Formulas!$C32)-V33</f>
        <v>0</v>
      </c>
      <c r="W87" s="135">
        <f>W21-(W9*Formulas!$C32)-W33</f>
        <v>0</v>
      </c>
      <c r="X87" s="135">
        <f>X21-(X9*Formulas!$C32)-X33</f>
        <v>0</v>
      </c>
      <c r="Y87" s="135">
        <f>Y21-(Y9*Formulas!$C32)-Y33</f>
        <v>0</v>
      </c>
      <c r="Z87" s="135">
        <f>Z21-(Z9*Formulas!$C32)-Z33</f>
        <v>0</v>
      </c>
      <c r="AA87" s="135">
        <f>AA21-(AA9*Formulas!$C32)-AA33</f>
        <v>0</v>
      </c>
      <c r="AB87" s="135">
        <f>AB21-(AB9*Formulas!$C32)-AB33</f>
        <v>0</v>
      </c>
      <c r="AC87" s="135">
        <f>AC21-(AC9*Formulas!$C32)-AC33</f>
        <v>0</v>
      </c>
      <c r="AD87" s="135">
        <f>AD21-(AD9*Formulas!$C32)-AD33</f>
        <v>0</v>
      </c>
      <c r="AE87" s="135">
        <f>AE21-(AE9*Formulas!$C32)-AE33</f>
        <v>0</v>
      </c>
      <c r="AF87" s="151">
        <f>SUM(B87:AE87)</f>
        <v>0</v>
      </c>
    </row>
    <row r="88">
      <c r="A88" s="170" t="s">
        <v>286</v>
      </c>
      <c r="B88" s="156" t="str">
        <f t="shared" ref="B88:AE88" si="22">B21/B33</f>
        <v>#DIV/0!</v>
      </c>
      <c r="C88" s="156" t="str">
        <f t="shared" si="22"/>
        <v>#DIV/0!</v>
      </c>
      <c r="D88" s="156" t="str">
        <f t="shared" si="22"/>
        <v>#DIV/0!</v>
      </c>
      <c r="E88" s="156" t="str">
        <f t="shared" si="22"/>
        <v>#DIV/0!</v>
      </c>
      <c r="F88" s="156" t="str">
        <f t="shared" si="22"/>
        <v>#DIV/0!</v>
      </c>
      <c r="G88" s="156" t="str">
        <f t="shared" si="22"/>
        <v>#DIV/0!</v>
      </c>
      <c r="H88" s="156" t="str">
        <f t="shared" si="22"/>
        <v>#DIV/0!</v>
      </c>
      <c r="I88" s="156" t="str">
        <f t="shared" si="22"/>
        <v>#DIV/0!</v>
      </c>
      <c r="J88" s="156" t="str">
        <f t="shared" si="22"/>
        <v>#DIV/0!</v>
      </c>
      <c r="K88" s="156" t="str">
        <f t="shared" si="22"/>
        <v>#DIV/0!</v>
      </c>
      <c r="L88" s="156" t="str">
        <f t="shared" si="22"/>
        <v>#DIV/0!</v>
      </c>
      <c r="M88" s="156" t="str">
        <f t="shared" si="22"/>
        <v>#DIV/0!</v>
      </c>
      <c r="N88" s="156" t="str">
        <f t="shared" si="22"/>
        <v>#DIV/0!</v>
      </c>
      <c r="O88" s="156" t="str">
        <f t="shared" si="22"/>
        <v>#DIV/0!</v>
      </c>
      <c r="P88" s="156" t="str">
        <f t="shared" si="22"/>
        <v>#DIV/0!</v>
      </c>
      <c r="Q88" s="156" t="str">
        <f t="shared" si="22"/>
        <v>#DIV/0!</v>
      </c>
      <c r="R88" s="156" t="str">
        <f t="shared" si="22"/>
        <v>#DIV/0!</v>
      </c>
      <c r="S88" s="156" t="str">
        <f t="shared" si="22"/>
        <v>#DIV/0!</v>
      </c>
      <c r="T88" s="156" t="str">
        <f t="shared" si="22"/>
        <v>#DIV/0!</v>
      </c>
      <c r="U88" s="156" t="str">
        <f t="shared" si="22"/>
        <v>#DIV/0!</v>
      </c>
      <c r="V88" s="156" t="str">
        <f t="shared" si="22"/>
        <v>#DIV/0!</v>
      </c>
      <c r="W88" s="156" t="str">
        <f t="shared" si="22"/>
        <v>#DIV/0!</v>
      </c>
      <c r="X88" s="156" t="str">
        <f t="shared" si="22"/>
        <v>#DIV/0!</v>
      </c>
      <c r="Y88" s="156" t="str">
        <f t="shared" si="22"/>
        <v>#DIV/0!</v>
      </c>
      <c r="Z88" s="156" t="str">
        <f t="shared" si="22"/>
        <v>#DIV/0!</v>
      </c>
      <c r="AA88" s="156" t="str">
        <f t="shared" si="22"/>
        <v>#DIV/0!</v>
      </c>
      <c r="AB88" s="156" t="str">
        <f t="shared" si="22"/>
        <v>#DIV/0!</v>
      </c>
      <c r="AC88" s="156" t="str">
        <f t="shared" si="22"/>
        <v>#DIV/0!</v>
      </c>
      <c r="AD88" s="156" t="str">
        <f t="shared" si="22"/>
        <v>#DIV/0!</v>
      </c>
      <c r="AE88" s="156" t="str">
        <f t="shared" si="22"/>
        <v>#DIV/0!</v>
      </c>
      <c r="AF88" s="151"/>
    </row>
    <row r="89">
      <c r="A89" s="170" t="s">
        <v>287</v>
      </c>
      <c r="B89" s="157" t="str">
        <f t="shared" ref="B89:AE89" si="23">B33/B9</f>
        <v>#DIV/0!</v>
      </c>
      <c r="C89" s="157" t="str">
        <f t="shared" si="23"/>
        <v>#DIV/0!</v>
      </c>
      <c r="D89" s="157" t="str">
        <f t="shared" si="23"/>
        <v>#DIV/0!</v>
      </c>
      <c r="E89" s="157" t="str">
        <f t="shared" si="23"/>
        <v>#DIV/0!</v>
      </c>
      <c r="F89" s="157" t="str">
        <f t="shared" si="23"/>
        <v>#DIV/0!</v>
      </c>
      <c r="G89" s="157" t="str">
        <f t="shared" si="23"/>
        <v>#DIV/0!</v>
      </c>
      <c r="H89" s="157" t="str">
        <f t="shared" si="23"/>
        <v>#DIV/0!</v>
      </c>
      <c r="I89" s="157" t="str">
        <f t="shared" si="23"/>
        <v>#DIV/0!</v>
      </c>
      <c r="J89" s="157" t="str">
        <f t="shared" si="23"/>
        <v>#DIV/0!</v>
      </c>
      <c r="K89" s="157" t="str">
        <f t="shared" si="23"/>
        <v>#DIV/0!</v>
      </c>
      <c r="L89" s="157" t="str">
        <f t="shared" si="23"/>
        <v>#DIV/0!</v>
      </c>
      <c r="M89" s="157" t="str">
        <f t="shared" si="23"/>
        <v>#DIV/0!</v>
      </c>
      <c r="N89" s="157" t="str">
        <f t="shared" si="23"/>
        <v>#DIV/0!</v>
      </c>
      <c r="O89" s="157" t="str">
        <f t="shared" si="23"/>
        <v>#DIV/0!</v>
      </c>
      <c r="P89" s="157" t="str">
        <f t="shared" si="23"/>
        <v>#DIV/0!</v>
      </c>
      <c r="Q89" s="157" t="str">
        <f t="shared" si="23"/>
        <v>#DIV/0!</v>
      </c>
      <c r="R89" s="157" t="str">
        <f t="shared" si="23"/>
        <v>#DIV/0!</v>
      </c>
      <c r="S89" s="157" t="str">
        <f t="shared" si="23"/>
        <v>#DIV/0!</v>
      </c>
      <c r="T89" s="157" t="str">
        <f t="shared" si="23"/>
        <v>#DIV/0!</v>
      </c>
      <c r="U89" s="157" t="str">
        <f t="shared" si="23"/>
        <v>#DIV/0!</v>
      </c>
      <c r="V89" s="157" t="str">
        <f t="shared" si="23"/>
        <v>#DIV/0!</v>
      </c>
      <c r="W89" s="157" t="str">
        <f t="shared" si="23"/>
        <v>#DIV/0!</v>
      </c>
      <c r="X89" s="157" t="str">
        <f t="shared" si="23"/>
        <v>#DIV/0!</v>
      </c>
      <c r="Y89" s="157" t="str">
        <f t="shared" si="23"/>
        <v>#DIV/0!</v>
      </c>
      <c r="Z89" s="157" t="str">
        <f t="shared" si="23"/>
        <v>#DIV/0!</v>
      </c>
      <c r="AA89" s="157" t="str">
        <f t="shared" si="23"/>
        <v>#DIV/0!</v>
      </c>
      <c r="AB89" s="157" t="str">
        <f t="shared" si="23"/>
        <v>#DIV/0!</v>
      </c>
      <c r="AC89" s="157" t="str">
        <f t="shared" si="23"/>
        <v>#DIV/0!</v>
      </c>
      <c r="AD89" s="157" t="str">
        <f t="shared" si="23"/>
        <v>#DIV/0!</v>
      </c>
      <c r="AE89" s="157" t="str">
        <f t="shared" si="23"/>
        <v>#DIV/0!</v>
      </c>
      <c r="AF89" s="151"/>
    </row>
    <row r="90">
      <c r="A90" s="171" t="s">
        <v>288</v>
      </c>
      <c r="B90" s="159" t="str">
        <f>B21/(Formulas!$C32*B9+B33)</f>
        <v>#DIV/0!</v>
      </c>
      <c r="C90" s="159" t="str">
        <f>C21/(Formulas!$C32*C9+C33)</f>
        <v>#DIV/0!</v>
      </c>
      <c r="D90" s="159" t="str">
        <f>D21/(Formulas!$C32*D9+D33)</f>
        <v>#DIV/0!</v>
      </c>
      <c r="E90" s="159" t="str">
        <f>E21/(Formulas!$C32*E9+E33)</f>
        <v>#DIV/0!</v>
      </c>
      <c r="F90" s="159" t="str">
        <f>F21/(Formulas!$C32*F9+F33)</f>
        <v>#DIV/0!</v>
      </c>
      <c r="G90" s="159" t="str">
        <f>G21/(Formulas!$C32*G9+G33)</f>
        <v>#DIV/0!</v>
      </c>
      <c r="H90" s="159" t="str">
        <f>H21/(Formulas!$C32*H9+H33)</f>
        <v>#DIV/0!</v>
      </c>
      <c r="I90" s="159" t="str">
        <f>I21/(Formulas!$C32*I9+I33)</f>
        <v>#DIV/0!</v>
      </c>
      <c r="J90" s="159" t="str">
        <f>J21/(Formulas!$C32*J9+J33)</f>
        <v>#DIV/0!</v>
      </c>
      <c r="K90" s="159" t="str">
        <f>K21/(Formulas!$C32*K9+K33)</f>
        <v>#DIV/0!</v>
      </c>
      <c r="L90" s="159" t="str">
        <f>L21/(Formulas!$C32*L9+L33)</f>
        <v>#DIV/0!</v>
      </c>
      <c r="M90" s="159" t="str">
        <f>M21/(Formulas!$C32*M9+M33)</f>
        <v>#DIV/0!</v>
      </c>
      <c r="N90" s="159" t="str">
        <f>N21/(Formulas!$C32*N9+N33)</f>
        <v>#DIV/0!</v>
      </c>
      <c r="O90" s="159" t="str">
        <f>O21/(Formulas!$C32*O9+O33)</f>
        <v>#DIV/0!</v>
      </c>
      <c r="P90" s="159" t="str">
        <f>P21/(Formulas!$C32*P9+P33)</f>
        <v>#DIV/0!</v>
      </c>
      <c r="Q90" s="159" t="str">
        <f>Q21/(Formulas!$C32*Q9+Q33)</f>
        <v>#DIV/0!</v>
      </c>
      <c r="R90" s="159" t="str">
        <f>R21/(Formulas!$C32*R9+R33)</f>
        <v>#DIV/0!</v>
      </c>
      <c r="S90" s="159" t="str">
        <f>S21/(Formulas!$C32*S9+S33)</f>
        <v>#DIV/0!</v>
      </c>
      <c r="T90" s="159" t="str">
        <f>T21/(Formulas!$C32*T9+T33)</f>
        <v>#DIV/0!</v>
      </c>
      <c r="U90" s="159" t="str">
        <f>U21/(Formulas!$C32*U9+U33)</f>
        <v>#DIV/0!</v>
      </c>
      <c r="V90" s="159" t="str">
        <f>V21/(Formulas!$C32*V9+V33)</f>
        <v>#DIV/0!</v>
      </c>
      <c r="W90" s="159" t="str">
        <f>W21/(Formulas!$C32*W9+W33)</f>
        <v>#DIV/0!</v>
      </c>
      <c r="X90" s="159" t="str">
        <f>X21/(Formulas!$C32*X9+X33)</f>
        <v>#DIV/0!</v>
      </c>
      <c r="Y90" s="159" t="str">
        <f>Y21/(Formulas!$C32*Y9+Y33)</f>
        <v>#DIV/0!</v>
      </c>
      <c r="Z90" s="159" t="str">
        <f>Z21/(Formulas!$C32*Z9+Z33)</f>
        <v>#DIV/0!</v>
      </c>
      <c r="AA90" s="159" t="str">
        <f>AA21/(Formulas!$C32*AA9+AA33)</f>
        <v>#DIV/0!</v>
      </c>
      <c r="AB90" s="159" t="str">
        <f>AB21/(Formulas!$C32*AB9+AB33)</f>
        <v>#DIV/0!</v>
      </c>
      <c r="AC90" s="159" t="str">
        <f>AC21/(Formulas!$C32*AC9+AC33)</f>
        <v>#DIV/0!</v>
      </c>
      <c r="AD90" s="159" t="str">
        <f>AD21/(Formulas!$C32*AD9+AD33)</f>
        <v>#DIV/0!</v>
      </c>
      <c r="AE90" s="159" t="str">
        <f>AE21/(Formulas!$C32*AE9+AE33)</f>
        <v>#DIV/0!</v>
      </c>
      <c r="AF90" s="151"/>
    </row>
    <row r="91">
      <c r="A91" s="26"/>
      <c r="B91" s="16"/>
      <c r="C91" s="16"/>
      <c r="D91" s="16"/>
      <c r="E91" s="16"/>
      <c r="F91" s="16"/>
      <c r="G91" s="16"/>
      <c r="H91" s="16"/>
      <c r="I91" s="16"/>
      <c r="J91" s="16"/>
      <c r="K91" s="16"/>
      <c r="L91" s="16"/>
      <c r="M91" s="16"/>
      <c r="N91" s="16"/>
      <c r="O91" s="16"/>
      <c r="P91" s="16"/>
      <c r="Q91" s="16"/>
      <c r="R91" s="135"/>
      <c r="S91" s="16"/>
      <c r="T91" s="16"/>
      <c r="U91" s="16"/>
      <c r="V91" s="16"/>
      <c r="W91" s="16"/>
      <c r="X91" s="16"/>
      <c r="Y91" s="16"/>
      <c r="Z91" s="16"/>
      <c r="AA91" s="16"/>
      <c r="AB91" s="16"/>
      <c r="AC91" s="16"/>
      <c r="AD91" s="16"/>
      <c r="AE91" s="16"/>
      <c r="AF91" s="151"/>
    </row>
    <row r="92">
      <c r="A92" s="172" t="s">
        <v>292</v>
      </c>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51"/>
    </row>
    <row r="93">
      <c r="A93" s="173" t="s">
        <v>281</v>
      </c>
      <c r="B93" s="174"/>
      <c r="C93" s="174"/>
      <c r="D93" s="174"/>
      <c r="E93" s="174"/>
      <c r="F93" s="174"/>
      <c r="G93" s="174"/>
      <c r="H93" s="174"/>
      <c r="I93" s="174"/>
      <c r="J93" s="174"/>
      <c r="K93" s="174"/>
      <c r="L93" s="174"/>
      <c r="M93" s="174"/>
      <c r="N93" s="174"/>
      <c r="O93" s="174"/>
      <c r="P93" s="174"/>
      <c r="Q93" s="174"/>
      <c r="R93" s="174"/>
      <c r="S93" s="174"/>
      <c r="T93" s="174"/>
      <c r="U93" s="174"/>
      <c r="V93" s="174"/>
      <c r="W93" s="174"/>
      <c r="X93" s="174"/>
      <c r="Y93" s="174"/>
      <c r="Z93" s="174"/>
      <c r="AA93" s="174"/>
      <c r="AB93" s="174"/>
      <c r="AC93" s="174"/>
      <c r="AD93" s="174"/>
      <c r="AE93" s="174"/>
      <c r="AF93" s="151">
        <f>SUM(B93:AE93)</f>
        <v>0</v>
      </c>
    </row>
    <row r="94">
      <c r="A94" s="173" t="s">
        <v>286</v>
      </c>
      <c r="B94" s="174"/>
      <c r="C94" s="174"/>
      <c r="D94" s="174"/>
      <c r="E94" s="174"/>
      <c r="F94" s="174"/>
      <c r="G94" s="174"/>
      <c r="H94" s="174"/>
      <c r="I94" s="174"/>
      <c r="J94" s="174"/>
      <c r="K94" s="174"/>
      <c r="L94" s="174"/>
      <c r="M94" s="174"/>
      <c r="N94" s="174"/>
      <c r="O94" s="174"/>
      <c r="P94" s="174"/>
      <c r="Q94" s="174"/>
      <c r="R94" s="174"/>
      <c r="S94" s="174"/>
      <c r="T94" s="174"/>
      <c r="U94" s="174"/>
      <c r="V94" s="174"/>
      <c r="W94" s="174"/>
      <c r="X94" s="174"/>
      <c r="Y94" s="174"/>
      <c r="Z94" s="174"/>
      <c r="AA94" s="174"/>
      <c r="AB94" s="174"/>
      <c r="AC94" s="174"/>
      <c r="AD94" s="174"/>
      <c r="AE94" s="174"/>
      <c r="AF94" s="151"/>
    </row>
    <row r="95">
      <c r="A95" s="173" t="s">
        <v>287</v>
      </c>
      <c r="B95" s="174"/>
      <c r="C95" s="174"/>
      <c r="D95" s="174"/>
      <c r="E95" s="174"/>
      <c r="F95" s="174"/>
      <c r="G95" s="174"/>
      <c r="H95" s="174"/>
      <c r="I95" s="174"/>
      <c r="J95" s="174"/>
      <c r="K95" s="174"/>
      <c r="L95" s="174"/>
      <c r="M95" s="174"/>
      <c r="N95" s="174"/>
      <c r="O95" s="174"/>
      <c r="P95" s="174"/>
      <c r="Q95" s="174"/>
      <c r="R95" s="174"/>
      <c r="S95" s="174"/>
      <c r="T95" s="174"/>
      <c r="U95" s="174"/>
      <c r="V95" s="174"/>
      <c r="W95" s="174"/>
      <c r="X95" s="174"/>
      <c r="Y95" s="174"/>
      <c r="Z95" s="174"/>
      <c r="AA95" s="174"/>
      <c r="AB95" s="174"/>
      <c r="AC95" s="174"/>
      <c r="AD95" s="174"/>
      <c r="AE95" s="174"/>
      <c r="AF95" s="151"/>
    </row>
    <row r="96">
      <c r="A96" s="175" t="s">
        <v>288</v>
      </c>
      <c r="B96" s="174"/>
      <c r="C96" s="174"/>
      <c r="D96" s="174"/>
      <c r="E96" s="174"/>
      <c r="F96" s="174"/>
      <c r="G96" s="174"/>
      <c r="H96" s="174"/>
      <c r="I96" s="174"/>
      <c r="J96" s="174"/>
      <c r="K96" s="174"/>
      <c r="L96" s="174"/>
      <c r="M96" s="174"/>
      <c r="N96" s="174"/>
      <c r="O96" s="174"/>
      <c r="P96" s="174"/>
      <c r="Q96" s="174"/>
      <c r="R96" s="174"/>
      <c r="S96" s="174"/>
      <c r="T96" s="174"/>
      <c r="U96" s="174"/>
      <c r="V96" s="174"/>
      <c r="W96" s="174"/>
      <c r="X96" s="174"/>
      <c r="Y96" s="174"/>
      <c r="Z96" s="174"/>
      <c r="AA96" s="174"/>
      <c r="AB96" s="174"/>
      <c r="AC96" s="174"/>
      <c r="AD96" s="174"/>
      <c r="AE96" s="174"/>
      <c r="AF96" s="151"/>
    </row>
    <row r="97">
      <c r="A97" s="2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c r="AB97" s="166"/>
      <c r="AC97" s="166"/>
      <c r="AD97" s="166"/>
      <c r="AE97" s="166"/>
      <c r="AF97" s="151"/>
    </row>
    <row r="98">
      <c r="A98" s="168" t="s">
        <v>293</v>
      </c>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51"/>
    </row>
    <row r="99">
      <c r="A99" s="176" t="s">
        <v>281</v>
      </c>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c r="AA99" s="174"/>
      <c r="AB99" s="174"/>
      <c r="AC99" s="174"/>
      <c r="AD99" s="174"/>
      <c r="AE99" s="174"/>
      <c r="AF99" s="151">
        <f>SUM(B99:AE99)</f>
        <v>0</v>
      </c>
    </row>
    <row r="100">
      <c r="A100" s="176" t="s">
        <v>286</v>
      </c>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c r="AF100" s="151"/>
    </row>
    <row r="101">
      <c r="A101" s="176" t="s">
        <v>287</v>
      </c>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51"/>
    </row>
    <row r="102">
      <c r="A102" s="179" t="s">
        <v>288</v>
      </c>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51"/>
    </row>
    <row r="103">
      <c r="A103" s="26"/>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51"/>
    </row>
    <row r="104">
      <c r="A104" s="181" t="s">
        <v>294</v>
      </c>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c r="AA104" s="166"/>
      <c r="AB104" s="166"/>
      <c r="AC104" s="166"/>
      <c r="AD104" s="166"/>
      <c r="AE104" s="166"/>
      <c r="AF104" s="151"/>
    </row>
    <row r="105">
      <c r="A105" s="161" t="s">
        <v>281</v>
      </c>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51">
        <f>SUM(B105:AE105)</f>
        <v>0</v>
      </c>
    </row>
    <row r="106">
      <c r="A106" s="161" t="s">
        <v>286</v>
      </c>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51"/>
    </row>
    <row r="107">
      <c r="A107" s="161" t="s">
        <v>287</v>
      </c>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c r="AB107" s="178"/>
      <c r="AC107" s="178"/>
      <c r="AD107" s="178"/>
      <c r="AE107" s="178"/>
      <c r="AF107" s="151"/>
    </row>
    <row r="108">
      <c r="A108" s="162" t="s">
        <v>288</v>
      </c>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c r="AF108" s="151"/>
    </row>
    <row r="109">
      <c r="A109" s="182"/>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c r="AA109" s="166"/>
      <c r="AB109" s="166"/>
      <c r="AC109" s="166"/>
      <c r="AD109" s="166"/>
      <c r="AE109" s="166"/>
      <c r="AF109" s="151"/>
    </row>
    <row r="110">
      <c r="A110" s="182"/>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51"/>
    </row>
    <row r="111">
      <c r="A111" s="183" t="s">
        <v>295</v>
      </c>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c r="AA111" s="166"/>
      <c r="AB111" s="166"/>
      <c r="AC111" s="166"/>
      <c r="AD111" s="166"/>
      <c r="AE111" s="166"/>
      <c r="AF111" s="151"/>
    </row>
    <row r="112">
      <c r="A112" s="160" t="s">
        <v>281</v>
      </c>
      <c r="B112" s="135">
        <f>B25-(B13*Formulas!$C32)</f>
        <v>-315.6352479</v>
      </c>
      <c r="C112" s="135">
        <f>C25-(C13*Formulas!$C32)</f>
        <v>272.299575</v>
      </c>
      <c r="D112" s="135">
        <f>D25-(D13*Formulas!$C32)</f>
        <v>396.9348229</v>
      </c>
      <c r="E112" s="135">
        <f>E25-(E13*Formulas!$C32)</f>
        <v>696.7547521</v>
      </c>
      <c r="F112" s="135">
        <f>F25-(F13*Formulas!$C32)</f>
        <v>169.9144688</v>
      </c>
      <c r="G112" s="135">
        <f>G25-(G13*Formulas!$C32)</f>
        <v>206.6197167</v>
      </c>
      <c r="H112" s="135">
        <f>H25-(H13*Formulas!$C32)</f>
        <v>177.9548229</v>
      </c>
      <c r="I112" s="135">
        <f>I25-(I13*Formulas!$C32)</f>
        <v>776.2946813</v>
      </c>
      <c r="J112" s="135">
        <f>J25-(J13*Formulas!$C32)</f>
        <v>605.5997167</v>
      </c>
      <c r="K112" s="135">
        <f>K25-(K13*Formulas!$C32)</f>
        <v>204.2297167</v>
      </c>
      <c r="L112" s="135">
        <f>L25-(L13*Formulas!$C32)</f>
        <v>870.9846813</v>
      </c>
      <c r="M112" s="135">
        <f>M25-(M13*Formulas!$C32)</f>
        <v>796.5041147</v>
      </c>
      <c r="N112" s="135">
        <f>N25-(N13*Formulas!$C32)</f>
        <v>1296.719504</v>
      </c>
      <c r="O112" s="135">
        <f>O25-(O13*Formulas!$C32)</f>
        <v>1642.17915</v>
      </c>
      <c r="P112" s="135">
        <f>P25-(P13*Formulas!$C32)</f>
        <v>1686.844469</v>
      </c>
      <c r="Q112" s="135">
        <f>Q25-(Q13*Formulas!$C32)</f>
        <v>839.4345396</v>
      </c>
      <c r="R112" s="135">
        <f>R25-(R13*Formulas!$C32)</f>
        <v>1321.599575</v>
      </c>
      <c r="S112" s="135">
        <f>S25-(S13*Formulas!$C32)</f>
        <v>551.0946813</v>
      </c>
      <c r="T112" s="135">
        <f>T25-(T13*Formulas!$C32)</f>
        <v>2552.46461</v>
      </c>
      <c r="U112" s="135">
        <f>U25-(U13*Formulas!$C32)</f>
        <v>665.789575</v>
      </c>
      <c r="V112" s="135">
        <f>V25-(V13*Formulas!$C32)</f>
        <v>237.8946813</v>
      </c>
      <c r="W112" s="135">
        <f>W25-(W13*Formulas!$C32)</f>
        <v>86.65985835</v>
      </c>
      <c r="X112" s="135">
        <f>X25-(X13*Formulas!$C32)</f>
        <v>-311.990425</v>
      </c>
      <c r="Y112" s="135">
        <f>Y25-(Y13*Formulas!$C32)</f>
        <v>356.9997875</v>
      </c>
      <c r="Z112" s="135">
        <f>Z25-(Z13*Formulas!$C32)</f>
        <v>1786.934398</v>
      </c>
      <c r="AA112" s="135">
        <f>AA25-(AA13*Formulas!$C32)</f>
        <v>1488.62461</v>
      </c>
      <c r="AB112" s="135">
        <f>AB25-(AB13*Formulas!$C32)</f>
        <v>389.9948229</v>
      </c>
      <c r="AC112" s="135">
        <f>AC25-(AC13*Formulas!$C32)</f>
        <v>0</v>
      </c>
      <c r="AD112" s="135">
        <f>AD25-(AD13*Formulas!$C32)</f>
        <v>0</v>
      </c>
      <c r="AE112" s="135">
        <f>AE25-(AE13*Formulas!$C32)</f>
        <v>0</v>
      </c>
      <c r="AF112" s="151">
        <f>SUM(B112:AE112)</f>
        <v>19449.69966</v>
      </c>
    </row>
    <row r="113">
      <c r="A113" s="160" t="s">
        <v>286</v>
      </c>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c r="AC113" s="177"/>
      <c r="AD113" s="177"/>
      <c r="AE113" s="177"/>
      <c r="AF113" s="151"/>
    </row>
    <row r="114">
      <c r="A114" s="160" t="s">
        <v>287</v>
      </c>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c r="AB114" s="178"/>
      <c r="AC114" s="178"/>
      <c r="AD114" s="178"/>
      <c r="AE114" s="178"/>
      <c r="AF114" s="151"/>
    </row>
    <row r="115">
      <c r="A115" s="184" t="s">
        <v>288</v>
      </c>
      <c r="B115" s="135">
        <f>B25/(Formulas!$C32*B13)</f>
        <v>0.6605507759</v>
      </c>
      <c r="C115" s="135">
        <f>C25/(Formulas!$C32*C13)</f>
        <v>1.17082565</v>
      </c>
      <c r="D115" s="135">
        <f>D25/(Formulas!$C32*D13)</f>
        <v>1.597635739</v>
      </c>
      <c r="E115" s="135">
        <f>E25/(Formulas!$C32*E13)</f>
        <v>1.749323346</v>
      </c>
      <c r="F115" s="135">
        <f>F25/(Formulas!$C32*F13)</f>
        <v>1.085275931</v>
      </c>
      <c r="G115" s="135">
        <f>G25/(Formulas!$C32*G13)</f>
        <v>1.194432625</v>
      </c>
      <c r="H115" s="135">
        <f>H25/(Formulas!$C32*H13)</f>
        <v>1.267933565</v>
      </c>
      <c r="I115" s="135">
        <f>I25/(Formulas!$C32*I13)</f>
        <v>1.649338966</v>
      </c>
      <c r="J115" s="135">
        <f>J25/(Formulas!$C32*J13)</f>
        <v>1.569879508</v>
      </c>
      <c r="K115" s="135">
        <f>K25/(Formulas!$C32*K13)</f>
        <v>1.192183595</v>
      </c>
      <c r="L115" s="135">
        <f>L25/(Formulas!$C32*L13)</f>
        <v>1.728543305</v>
      </c>
      <c r="M115" s="135">
        <f>M25/(Formulas!$C32*M13)</f>
        <v>1.239847601</v>
      </c>
      <c r="N115" s="135">
        <f>N25/(Formulas!$C32*N13)</f>
        <v>1.697277051</v>
      </c>
      <c r="O115" s="135">
        <f>O25/(Formulas!$C32*O13)</f>
        <v>1.515106056</v>
      </c>
      <c r="P115" s="135">
        <f>P25/(Formulas!$C32*P13)</f>
        <v>1.846586125</v>
      </c>
      <c r="Q115" s="135">
        <f>Q25/(Formulas!$C32*Q13)</f>
        <v>1.486105849</v>
      </c>
      <c r="R115" s="135">
        <f>R25/(Formulas!$C32*R13)</f>
        <v>1.829098269</v>
      </c>
      <c r="S115" s="135">
        <f>S25/(Formulas!$C32*S13)</f>
        <v>1.460968314</v>
      </c>
      <c r="T115" s="135">
        <f>T25/(Formulas!$C32*T13)</f>
        <v>2.74684515</v>
      </c>
      <c r="U115" s="135">
        <f>U25/(Formulas!$C32*U13)</f>
        <v>1.41767945</v>
      </c>
      <c r="V115" s="135">
        <f>V25/(Formulas!$C32*V13)</f>
        <v>1.198989237</v>
      </c>
      <c r="W115" s="135">
        <f>W25/(Formulas!$C32*W13)</f>
        <v>1.163096765</v>
      </c>
      <c r="X115" s="135">
        <f>X25/(Formulas!$C32*X13)</f>
        <v>0.8042745124</v>
      </c>
      <c r="Y115" s="135">
        <f>Y25/(Formulas!$C32*Y13)</f>
        <v>1.44792373</v>
      </c>
      <c r="Z115" s="135">
        <f>Z25/(Formulas!$C32*Z13)</f>
        <v>1.791310725</v>
      </c>
      <c r="AA115" s="135">
        <f>AA25/(Formulas!$C32*AA13)</f>
        <v>2.01877874</v>
      </c>
      <c r="AB115" s="135">
        <f>AB25/(Formulas!$C32*AB13)</f>
        <v>1.587186689</v>
      </c>
      <c r="AC115" s="135" t="str">
        <f>AC25/(Formulas!$C32*AC13)</f>
        <v>#DIV/0!</v>
      </c>
      <c r="AD115" s="135" t="str">
        <f>AD25/(Formulas!$C32*AD13)</f>
        <v>#DIV/0!</v>
      </c>
      <c r="AE115" s="135" t="str">
        <f>AE25/(Formulas!$C32*AE13)</f>
        <v>#DIV/0!</v>
      </c>
      <c r="AF115" s="151"/>
    </row>
    <row r="116">
      <c r="A116" s="182"/>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c r="AA116" s="166"/>
      <c r="AB116" s="166"/>
      <c r="AC116" s="166"/>
      <c r="AD116" s="166"/>
      <c r="AE116" s="166"/>
      <c r="AF116" s="143"/>
    </row>
    <row r="117">
      <c r="A117" s="185"/>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8"/>
    </row>
    <row r="118">
      <c r="A118" s="2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186"/>
      <c r="AB118" s="186"/>
      <c r="AC118" s="186"/>
      <c r="AD118" s="186"/>
      <c r="AE118" s="186"/>
      <c r="AF118" s="7"/>
    </row>
    <row r="119">
      <c r="A119" s="187" t="s">
        <v>138</v>
      </c>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7"/>
    </row>
    <row r="120">
      <c r="A120" s="188" t="s">
        <v>296</v>
      </c>
      <c r="B120" s="135">
        <f>Sales!B8</f>
        <v>37285.47</v>
      </c>
      <c r="C120" s="135">
        <f>Sales!C8</f>
        <v>46599.75</v>
      </c>
      <c r="D120" s="135">
        <f>Sales!D8</f>
        <v>46367.55</v>
      </c>
      <c r="E120" s="135">
        <f>Sales!E8</f>
        <v>40297.62</v>
      </c>
      <c r="F120" s="135">
        <f>Sales!F8</f>
        <v>41509.4</v>
      </c>
      <c r="G120" s="135">
        <f>Sales!G8</f>
        <v>41342.95</v>
      </c>
      <c r="H120" s="135">
        <f>Sales!H8</f>
        <v>38115.1</v>
      </c>
      <c r="I120" s="135">
        <f>Sales!I8</f>
        <v>54242.89</v>
      </c>
      <c r="J120" s="135">
        <f>Sales!J8</f>
        <v>49227.15</v>
      </c>
      <c r="K120" s="135">
        <f>Sales!K8</f>
        <v>42538.3</v>
      </c>
      <c r="L120" s="135">
        <f>Sales!L8</f>
        <v>43625.02</v>
      </c>
      <c r="M120" s="135">
        <f>Sales!M8</f>
        <v>51022.38</v>
      </c>
      <c r="N120" s="135">
        <f>Sales!N8</f>
        <v>60134.96</v>
      </c>
      <c r="O120" s="135">
        <f>Sales!O8</f>
        <v>62926.35</v>
      </c>
      <c r="P120" s="135">
        <f>Sales!P8</f>
        <v>65481.78</v>
      </c>
      <c r="Q120" s="135">
        <f>Sales!Q8</f>
        <v>57018.23</v>
      </c>
      <c r="R120" s="135">
        <f>Sales!R8</f>
        <v>69211.15</v>
      </c>
      <c r="S120" s="135">
        <f>Sales!S8</f>
        <v>94472.61</v>
      </c>
      <c r="T120" s="135">
        <f>Sales!T8</f>
        <v>63754.21</v>
      </c>
      <c r="U120" s="135">
        <f>Sales!U8</f>
        <v>27186.32</v>
      </c>
      <c r="V120" s="135">
        <f>Sales!V8</f>
        <v>14833.39</v>
      </c>
      <c r="W120" s="135">
        <f>Sales!W8</f>
        <v>15136.45</v>
      </c>
      <c r="X120" s="135">
        <f>Sales!X8</f>
        <v>18667.99</v>
      </c>
      <c r="Y120" s="135">
        <f>Sales!Y8</f>
        <v>23460.16</v>
      </c>
      <c r="Z120" s="135">
        <f>Sales!Z8</f>
        <v>44629.89</v>
      </c>
      <c r="AA120" s="135">
        <f>Sales!AA8</f>
        <v>31036.14</v>
      </c>
      <c r="AB120" s="135">
        <f>Sales!AB8</f>
        <v>28402.03</v>
      </c>
      <c r="AC120" s="135">
        <f>Sales!AC8</f>
        <v>19037.19</v>
      </c>
      <c r="AD120" s="135">
        <f>Sales!AD8</f>
        <v>21890.55</v>
      </c>
      <c r="AE120" s="135">
        <f>Sales!AE8</f>
        <v>26087.44</v>
      </c>
      <c r="AF120" s="189">
        <f>sum(B120:AE120)</f>
        <v>1275540.42</v>
      </c>
    </row>
    <row r="121">
      <c r="A121" s="188" t="s">
        <v>297</v>
      </c>
      <c r="B121" s="190">
        <f t="shared" ref="B121:AE121" si="24">SUM(B120)</f>
        <v>37285.47</v>
      </c>
      <c r="C121" s="190">
        <f t="shared" si="24"/>
        <v>46599.75</v>
      </c>
      <c r="D121" s="190">
        <f t="shared" si="24"/>
        <v>46367.55</v>
      </c>
      <c r="E121" s="190">
        <f t="shared" si="24"/>
        <v>40297.62</v>
      </c>
      <c r="F121" s="190">
        <f t="shared" si="24"/>
        <v>41509.4</v>
      </c>
      <c r="G121" s="190">
        <f t="shared" si="24"/>
        <v>41342.95</v>
      </c>
      <c r="H121" s="190">
        <f t="shared" si="24"/>
        <v>38115.1</v>
      </c>
      <c r="I121" s="190">
        <f t="shared" si="24"/>
        <v>54242.89</v>
      </c>
      <c r="J121" s="190">
        <f t="shared" si="24"/>
        <v>49227.15</v>
      </c>
      <c r="K121" s="190">
        <f t="shared" si="24"/>
        <v>42538.3</v>
      </c>
      <c r="L121" s="190">
        <f t="shared" si="24"/>
        <v>43625.02</v>
      </c>
      <c r="M121" s="190">
        <f t="shared" si="24"/>
        <v>51022.38</v>
      </c>
      <c r="N121" s="190">
        <f t="shared" si="24"/>
        <v>60134.96</v>
      </c>
      <c r="O121" s="190">
        <f t="shared" si="24"/>
        <v>62926.35</v>
      </c>
      <c r="P121" s="190">
        <f t="shared" si="24"/>
        <v>65481.78</v>
      </c>
      <c r="Q121" s="190">
        <f t="shared" si="24"/>
        <v>57018.23</v>
      </c>
      <c r="R121" s="190">
        <f t="shared" si="24"/>
        <v>69211.15</v>
      </c>
      <c r="S121" s="190">
        <f t="shared" si="24"/>
        <v>94472.61</v>
      </c>
      <c r="T121" s="190">
        <f t="shared" si="24"/>
        <v>63754.21</v>
      </c>
      <c r="U121" s="190">
        <f t="shared" si="24"/>
        <v>27186.32</v>
      </c>
      <c r="V121" s="190">
        <f t="shared" si="24"/>
        <v>14833.39</v>
      </c>
      <c r="W121" s="190">
        <f t="shared" si="24"/>
        <v>15136.45</v>
      </c>
      <c r="X121" s="190">
        <f t="shared" si="24"/>
        <v>18667.99</v>
      </c>
      <c r="Y121" s="190">
        <f t="shared" si="24"/>
        <v>23460.16</v>
      </c>
      <c r="Z121" s="190">
        <f t="shared" si="24"/>
        <v>44629.89</v>
      </c>
      <c r="AA121" s="190">
        <f t="shared" si="24"/>
        <v>31036.14</v>
      </c>
      <c r="AB121" s="190">
        <f t="shared" si="24"/>
        <v>28402.03</v>
      </c>
      <c r="AC121" s="190">
        <f t="shared" si="24"/>
        <v>19037.19</v>
      </c>
      <c r="AD121" s="190">
        <f t="shared" si="24"/>
        <v>21890.55</v>
      </c>
      <c r="AE121" s="190">
        <f t="shared" si="24"/>
        <v>26087.44</v>
      </c>
      <c r="AF121" s="61">
        <f>SUM(B121:AE121)</f>
        <v>1275540.42</v>
      </c>
    </row>
    <row r="122">
      <c r="A122" s="2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91"/>
    </row>
    <row r="123">
      <c r="A123" s="187" t="s">
        <v>73</v>
      </c>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91"/>
    </row>
    <row r="124">
      <c r="A124" s="192" t="s">
        <v>298</v>
      </c>
      <c r="B124" s="193">
        <f>Sales!B10</f>
        <v>143</v>
      </c>
      <c r="C124" s="194">
        <f>Sales!C10</f>
        <v>152</v>
      </c>
      <c r="D124" s="194">
        <f>Sales!D10</f>
        <v>183</v>
      </c>
      <c r="E124" s="194">
        <f>Sales!E10</f>
        <v>156</v>
      </c>
      <c r="F124" s="194">
        <f>Sales!F10</f>
        <v>153</v>
      </c>
      <c r="G124" s="194">
        <f>Sales!G10</f>
        <v>165</v>
      </c>
      <c r="H124" s="194">
        <f>Sales!H10</f>
        <v>150</v>
      </c>
      <c r="I124" s="194">
        <f>Sales!I10</f>
        <v>205</v>
      </c>
      <c r="J124" s="194">
        <f>Sales!J10</f>
        <v>189</v>
      </c>
      <c r="K124" s="194">
        <f>Sales!K10</f>
        <v>166</v>
      </c>
      <c r="L124" s="194">
        <f>Sales!L10</f>
        <v>167</v>
      </c>
      <c r="M124" s="194">
        <f>Sales!M10</f>
        <v>227</v>
      </c>
      <c r="N124" s="194">
        <f>Sales!N10</f>
        <v>231</v>
      </c>
      <c r="O124" s="194">
        <f>Sales!O10</f>
        <v>238</v>
      </c>
      <c r="P124" s="194">
        <f>Sales!P10</f>
        <v>258</v>
      </c>
      <c r="Q124" s="194">
        <f>Sales!Q10</f>
        <v>222</v>
      </c>
      <c r="R124" s="194">
        <f>Sales!R10</f>
        <v>263</v>
      </c>
      <c r="S124" s="194">
        <f>Sales!S10</f>
        <v>378</v>
      </c>
      <c r="T124" s="194">
        <f>Sales!T10</f>
        <v>245</v>
      </c>
      <c r="U124" s="194">
        <f>Sales!U10</f>
        <v>110</v>
      </c>
      <c r="V124" s="194">
        <f>Sales!V10</f>
        <v>66</v>
      </c>
      <c r="W124" s="194">
        <f>Sales!W10</f>
        <v>57</v>
      </c>
      <c r="X124" s="194">
        <f>Sales!X10</f>
        <v>89</v>
      </c>
      <c r="Y124" s="194">
        <f>Sales!Y10</f>
        <v>90</v>
      </c>
      <c r="Z124" s="194">
        <f>Sales!Z10</f>
        <v>175</v>
      </c>
      <c r="AA124" s="195">
        <f>Sales!AA10</f>
        <v>110</v>
      </c>
      <c r="AB124" s="194">
        <f>Sales!AB10</f>
        <v>111</v>
      </c>
      <c r="AC124" s="194">
        <f>Sales!AC10</f>
        <v>79</v>
      </c>
      <c r="AD124" s="194">
        <f>Sales!AD10</f>
        <v>97</v>
      </c>
      <c r="AE124" s="194">
        <f>Sales!AE10</f>
        <v>107</v>
      </c>
      <c r="AF124" s="189">
        <f t="shared" ref="AF124:AF125" si="26">sum(B124:AE124)</f>
        <v>4982</v>
      </c>
    </row>
    <row r="125">
      <c r="A125" s="192" t="s">
        <v>299</v>
      </c>
      <c r="B125" s="196">
        <f t="shared" ref="B125:AE125" si="25">SUM(B124)</f>
        <v>143</v>
      </c>
      <c r="C125" s="197">
        <f t="shared" si="25"/>
        <v>152</v>
      </c>
      <c r="D125" s="197">
        <f t="shared" si="25"/>
        <v>183</v>
      </c>
      <c r="E125" s="197">
        <f t="shared" si="25"/>
        <v>156</v>
      </c>
      <c r="F125" s="197">
        <f t="shared" si="25"/>
        <v>153</v>
      </c>
      <c r="G125" s="197">
        <f t="shared" si="25"/>
        <v>165</v>
      </c>
      <c r="H125" s="197">
        <f t="shared" si="25"/>
        <v>150</v>
      </c>
      <c r="I125" s="197">
        <f t="shared" si="25"/>
        <v>205</v>
      </c>
      <c r="J125" s="197">
        <f t="shared" si="25"/>
        <v>189</v>
      </c>
      <c r="K125" s="197">
        <f t="shared" si="25"/>
        <v>166</v>
      </c>
      <c r="L125" s="197">
        <f t="shared" si="25"/>
        <v>167</v>
      </c>
      <c r="M125" s="197">
        <f t="shared" si="25"/>
        <v>227</v>
      </c>
      <c r="N125" s="197">
        <f t="shared" si="25"/>
        <v>231</v>
      </c>
      <c r="O125" s="197">
        <f t="shared" si="25"/>
        <v>238</v>
      </c>
      <c r="P125" s="197">
        <f t="shared" si="25"/>
        <v>258</v>
      </c>
      <c r="Q125" s="197">
        <f t="shared" si="25"/>
        <v>222</v>
      </c>
      <c r="R125" s="197">
        <f t="shared" si="25"/>
        <v>263</v>
      </c>
      <c r="S125" s="197">
        <f t="shared" si="25"/>
        <v>378</v>
      </c>
      <c r="T125" s="197">
        <f t="shared" si="25"/>
        <v>245</v>
      </c>
      <c r="U125" s="197">
        <f t="shared" si="25"/>
        <v>110</v>
      </c>
      <c r="V125" s="197">
        <f t="shared" si="25"/>
        <v>66</v>
      </c>
      <c r="W125" s="197">
        <f t="shared" si="25"/>
        <v>57</v>
      </c>
      <c r="X125" s="197">
        <f t="shared" si="25"/>
        <v>89</v>
      </c>
      <c r="Y125" s="197">
        <f t="shared" si="25"/>
        <v>90</v>
      </c>
      <c r="Z125" s="197">
        <f t="shared" si="25"/>
        <v>175</v>
      </c>
      <c r="AA125" s="197">
        <f t="shared" si="25"/>
        <v>110</v>
      </c>
      <c r="AB125" s="197">
        <f t="shared" si="25"/>
        <v>111</v>
      </c>
      <c r="AC125" s="197">
        <f t="shared" si="25"/>
        <v>79</v>
      </c>
      <c r="AD125" s="197">
        <f t="shared" si="25"/>
        <v>97</v>
      </c>
      <c r="AE125" s="197">
        <f t="shared" si="25"/>
        <v>107</v>
      </c>
      <c r="AF125" s="189">
        <f t="shared" si="26"/>
        <v>4982</v>
      </c>
    </row>
    <row r="126">
      <c r="A126" s="2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91"/>
    </row>
    <row r="127">
      <c r="A127" s="187" t="s">
        <v>300</v>
      </c>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91"/>
    </row>
    <row r="128">
      <c r="A128" s="198" t="s">
        <v>301</v>
      </c>
      <c r="B128" s="199">
        <v>34058.0</v>
      </c>
      <c r="C128" s="199">
        <v>43627.0</v>
      </c>
      <c r="D128" s="200">
        <v>42700.0</v>
      </c>
      <c r="E128" s="199">
        <v>36607.0</v>
      </c>
      <c r="F128" s="199">
        <v>37699.0</v>
      </c>
      <c r="G128" s="199">
        <v>38038.0</v>
      </c>
      <c r="H128" s="199">
        <v>34502.0</v>
      </c>
      <c r="I128" s="201">
        <v>49078.0</v>
      </c>
      <c r="J128" s="202">
        <v>45327.0</v>
      </c>
      <c r="K128" s="202">
        <v>39017.0</v>
      </c>
      <c r="L128" s="199">
        <v>39883.0</v>
      </c>
      <c r="M128" s="199">
        <v>46648.0</v>
      </c>
      <c r="N128" s="199">
        <v>54872.0</v>
      </c>
      <c r="O128" s="199">
        <v>58115.0</v>
      </c>
      <c r="P128" s="199">
        <v>62690.0</v>
      </c>
      <c r="Q128" s="199">
        <v>54179.0</v>
      </c>
      <c r="R128" s="199">
        <v>65552.0</v>
      </c>
      <c r="S128" s="199">
        <v>89212.0</v>
      </c>
      <c r="T128" s="199">
        <v>60977.0</v>
      </c>
      <c r="U128" s="203">
        <v>25854.0</v>
      </c>
      <c r="V128" s="199">
        <v>13704.0</v>
      </c>
      <c r="W128" s="199">
        <v>14152.0</v>
      </c>
      <c r="X128" s="199">
        <v>16625.0</v>
      </c>
      <c r="Y128" s="203">
        <v>21683.0</v>
      </c>
      <c r="Z128" s="199">
        <v>40630.0</v>
      </c>
      <c r="AA128" s="199">
        <v>28489.0</v>
      </c>
      <c r="AB128" s="199">
        <v>15777.0</v>
      </c>
      <c r="AC128" s="199">
        <v>17167.0</v>
      </c>
      <c r="AD128" s="199">
        <v>19523.0</v>
      </c>
      <c r="AE128" s="199">
        <v>26087.44</v>
      </c>
      <c r="AF128" s="61">
        <f>SUM(B128:AE128)</f>
        <v>1172472.44</v>
      </c>
    </row>
    <row r="129">
      <c r="A129" s="204" t="s">
        <v>302</v>
      </c>
      <c r="B129" s="199">
        <v>-577.7</v>
      </c>
      <c r="C129" s="199">
        <v>-1391.0</v>
      </c>
      <c r="D129" s="199">
        <v>-1233.7</v>
      </c>
      <c r="E129" s="199">
        <v>-502.6</v>
      </c>
      <c r="F129" s="199">
        <v>-250.7</v>
      </c>
      <c r="G129" s="199">
        <v>-973.9</v>
      </c>
      <c r="H129" s="199">
        <v>-296.4</v>
      </c>
      <c r="I129" s="199">
        <v>-289.8</v>
      </c>
      <c r="J129" s="199">
        <v>-963.0</v>
      </c>
      <c r="K129" s="199">
        <v>-883.0</v>
      </c>
      <c r="L129" s="199">
        <v>-551.9</v>
      </c>
      <c r="M129" s="199">
        <v>-1233.4</v>
      </c>
      <c r="N129" s="199">
        <v>-693.0</v>
      </c>
      <c r="O129" s="199">
        <v>-1669.1</v>
      </c>
      <c r="P129" s="199">
        <v>-4060.9</v>
      </c>
      <c r="Q129" s="203">
        <v>-3081.45</v>
      </c>
      <c r="R129" s="199">
        <v>-3557.7</v>
      </c>
      <c r="S129" s="199">
        <v>-4542.7</v>
      </c>
      <c r="T129" s="199">
        <v>-3590.4</v>
      </c>
      <c r="U129" s="203">
        <v>-1502.3</v>
      </c>
      <c r="V129" s="199">
        <v>-356.8</v>
      </c>
      <c r="W129" s="199">
        <v>-349.0</v>
      </c>
      <c r="X129" s="199">
        <v>-195.0</v>
      </c>
      <c r="Y129" s="199">
        <v>-698.0</v>
      </c>
      <c r="Z129" s="199">
        <v>-659.8</v>
      </c>
      <c r="AA129" s="199">
        <v>-523.0</v>
      </c>
      <c r="AB129" s="199">
        <v>-254.4</v>
      </c>
      <c r="AC129" s="199">
        <v>269.0</v>
      </c>
      <c r="AD129" s="199">
        <v>269.0</v>
      </c>
      <c r="AE129" s="199">
        <v>150.0</v>
      </c>
      <c r="AF129" s="61"/>
    </row>
    <row r="130">
      <c r="A130" s="198" t="s">
        <v>303</v>
      </c>
      <c r="B130" s="199">
        <v>1545.0</v>
      </c>
      <c r="C130" s="205">
        <v>1730.0</v>
      </c>
      <c r="D130" s="199">
        <v>2028.7</v>
      </c>
      <c r="E130" s="199">
        <v>1870.0</v>
      </c>
      <c r="F130" s="199">
        <v>1800.0</v>
      </c>
      <c r="G130" s="199">
        <v>1738.0</v>
      </c>
      <c r="H130" s="199">
        <v>1600.0</v>
      </c>
      <c r="I130" s="199">
        <v>2203.6</v>
      </c>
      <c r="J130" s="199">
        <v>1800.0</v>
      </c>
      <c r="K130" s="199">
        <v>2005.0</v>
      </c>
      <c r="L130" s="199">
        <v>1780.0</v>
      </c>
      <c r="M130" s="199">
        <v>2595.0</v>
      </c>
      <c r="N130" s="199">
        <v>1956.6</v>
      </c>
      <c r="O130" s="199">
        <v>2600.0</v>
      </c>
      <c r="P130" s="199">
        <v>2665.0</v>
      </c>
      <c r="Q130" s="203">
        <v>2435.0</v>
      </c>
      <c r="R130" s="199">
        <v>3080.0</v>
      </c>
      <c r="S130" s="199">
        <v>4500.0</v>
      </c>
      <c r="T130" s="199">
        <v>2580.0</v>
      </c>
      <c r="U130" s="203">
        <v>1215.0</v>
      </c>
      <c r="V130" s="199">
        <v>525.0</v>
      </c>
      <c r="W130" s="199">
        <v>463.0</v>
      </c>
      <c r="X130" s="199">
        <v>698.0</v>
      </c>
      <c r="Y130" s="199">
        <v>1195.0</v>
      </c>
      <c r="Z130" s="199">
        <v>1930.0</v>
      </c>
      <c r="AA130" s="199">
        <v>1050.0</v>
      </c>
      <c r="AB130" s="199">
        <v>650.0</v>
      </c>
      <c r="AC130" s="199">
        <v>1245.0</v>
      </c>
      <c r="AD130" s="199">
        <v>1430.0</v>
      </c>
      <c r="AE130" s="199">
        <v>1455.0</v>
      </c>
      <c r="AF130" s="61">
        <f t="shared" ref="AF130:AF132" si="27">SUM(B130:AE130)</f>
        <v>54367.9</v>
      </c>
    </row>
    <row r="131">
      <c r="A131" s="204" t="s">
        <v>304</v>
      </c>
      <c r="B131" s="199">
        <v>1978.48</v>
      </c>
      <c r="C131" s="199">
        <v>2096.61</v>
      </c>
      <c r="D131" s="199">
        <v>2536.93</v>
      </c>
      <c r="E131" s="199">
        <v>2142.27</v>
      </c>
      <c r="F131" s="199">
        <v>2027.63</v>
      </c>
      <c r="G131" s="199">
        <v>2148.36</v>
      </c>
      <c r="H131" s="199">
        <v>1297.33</v>
      </c>
      <c r="I131" s="199">
        <v>2536.02</v>
      </c>
      <c r="J131" s="199">
        <v>2652.28</v>
      </c>
      <c r="K131" s="199">
        <v>2123.57</v>
      </c>
      <c r="L131" s="199">
        <v>2451.99</v>
      </c>
      <c r="M131" s="199">
        <v>2835.13</v>
      </c>
      <c r="N131" s="199">
        <v>2814.03</v>
      </c>
      <c r="O131" s="199">
        <v>3289.18</v>
      </c>
      <c r="P131" s="199">
        <v>3782.31</v>
      </c>
      <c r="Q131" s="199">
        <v>3008.19</v>
      </c>
      <c r="R131" s="199">
        <v>4099.57</v>
      </c>
      <c r="S131" s="199">
        <v>5243.69</v>
      </c>
      <c r="T131" s="199">
        <v>3457.41</v>
      </c>
      <c r="U131" s="199">
        <v>1290.09</v>
      </c>
      <c r="V131" s="199">
        <v>434.94</v>
      </c>
      <c r="W131" s="199">
        <v>485.36</v>
      </c>
      <c r="X131" s="199">
        <v>637.54</v>
      </c>
      <c r="Y131" s="199">
        <v>1210.42</v>
      </c>
      <c r="Z131" s="199">
        <v>2305.25</v>
      </c>
      <c r="AA131" s="199">
        <v>1412.5</v>
      </c>
      <c r="AB131" s="199">
        <v>712.56</v>
      </c>
      <c r="AC131" s="199">
        <v>894.19</v>
      </c>
      <c r="AD131" s="199">
        <v>1206.55</v>
      </c>
      <c r="AE131" s="199">
        <v>1490.44</v>
      </c>
      <c r="AF131" s="206">
        <f t="shared" si="27"/>
        <v>64600.82</v>
      </c>
    </row>
    <row r="132">
      <c r="A132" s="207" t="s">
        <v>305</v>
      </c>
      <c r="B132" s="208">
        <f t="shared" ref="B132:AB132" si="28">SUM(B128:B131)</f>
        <v>37003.78</v>
      </c>
      <c r="C132" s="208">
        <f t="shared" si="28"/>
        <v>46062.61</v>
      </c>
      <c r="D132" s="208">
        <f t="shared" si="28"/>
        <v>46031.93</v>
      </c>
      <c r="E132" s="208">
        <f t="shared" si="28"/>
        <v>40116.67</v>
      </c>
      <c r="F132" s="208">
        <f t="shared" si="28"/>
        <v>41275.93</v>
      </c>
      <c r="G132" s="208">
        <f t="shared" si="28"/>
        <v>40950.46</v>
      </c>
      <c r="H132" s="208">
        <f t="shared" si="28"/>
        <v>37102.93</v>
      </c>
      <c r="I132" s="208">
        <f t="shared" si="28"/>
        <v>53527.82</v>
      </c>
      <c r="J132" s="208">
        <f t="shared" si="28"/>
        <v>48816.28</v>
      </c>
      <c r="K132" s="208">
        <f t="shared" si="28"/>
        <v>42262.57</v>
      </c>
      <c r="L132" s="208">
        <f t="shared" si="28"/>
        <v>43563.09</v>
      </c>
      <c r="M132" s="208">
        <f t="shared" si="28"/>
        <v>50844.73</v>
      </c>
      <c r="N132" s="208">
        <f t="shared" si="28"/>
        <v>58949.63</v>
      </c>
      <c r="O132" s="208">
        <f t="shared" si="28"/>
        <v>62335.08</v>
      </c>
      <c r="P132" s="208">
        <f t="shared" si="28"/>
        <v>65076.41</v>
      </c>
      <c r="Q132" s="208">
        <f t="shared" si="28"/>
        <v>56540.74</v>
      </c>
      <c r="R132" s="208">
        <f t="shared" si="28"/>
        <v>69173.87</v>
      </c>
      <c r="S132" s="208">
        <f t="shared" si="28"/>
        <v>94412.99</v>
      </c>
      <c r="T132" s="208">
        <f t="shared" si="28"/>
        <v>63424.01</v>
      </c>
      <c r="U132" s="208">
        <f t="shared" si="28"/>
        <v>26856.79</v>
      </c>
      <c r="V132" s="208">
        <f t="shared" si="28"/>
        <v>14307.14</v>
      </c>
      <c r="W132" s="208">
        <f t="shared" si="28"/>
        <v>14751.36</v>
      </c>
      <c r="X132" s="208">
        <f t="shared" si="28"/>
        <v>17765.54</v>
      </c>
      <c r="Y132" s="208">
        <f t="shared" si="28"/>
        <v>23390.42</v>
      </c>
      <c r="Z132" s="208">
        <f t="shared" si="28"/>
        <v>44205.45</v>
      </c>
      <c r="AA132" s="208">
        <f t="shared" si="28"/>
        <v>30428.5</v>
      </c>
      <c r="AB132" s="208">
        <f t="shared" si="28"/>
        <v>16885.16</v>
      </c>
      <c r="AC132" s="208">
        <f t="shared" ref="AC132:AE132" si="29">AC128-AC129-AC130-AC131</f>
        <v>14758.81</v>
      </c>
      <c r="AD132" s="208">
        <f t="shared" si="29"/>
        <v>16617.45</v>
      </c>
      <c r="AE132" s="208">
        <f t="shared" si="29"/>
        <v>22992</v>
      </c>
      <c r="AF132" s="61">
        <f t="shared" si="27"/>
        <v>1240430.15</v>
      </c>
    </row>
    <row r="133">
      <c r="A133" s="2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91"/>
    </row>
    <row r="134">
      <c r="A134" s="187" t="s">
        <v>306</v>
      </c>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91"/>
    </row>
    <row r="135">
      <c r="A135" s="207" t="s">
        <v>297</v>
      </c>
      <c r="B135" s="209">
        <v>37285.47</v>
      </c>
      <c r="C135" s="209">
        <v>38830.97</v>
      </c>
      <c r="D135" s="209">
        <v>45909.8</v>
      </c>
      <c r="E135" s="209">
        <v>40073.99</v>
      </c>
      <c r="F135" s="209">
        <v>41168.43</v>
      </c>
      <c r="G135" s="209">
        <v>41193.32</v>
      </c>
      <c r="H135" s="209">
        <v>38115.1</v>
      </c>
      <c r="I135" s="209">
        <v>53275.89</v>
      </c>
      <c r="J135" s="209">
        <v>49198.15</v>
      </c>
      <c r="K135" s="209">
        <v>42538.3</v>
      </c>
      <c r="L135" s="209">
        <v>43625.02</v>
      </c>
      <c r="M135" s="209">
        <v>51081.97</v>
      </c>
      <c r="N135" s="209">
        <v>59823.13</v>
      </c>
      <c r="O135" s="209">
        <v>62318.17</v>
      </c>
      <c r="P135" s="209">
        <v>65428.74</v>
      </c>
      <c r="Q135" s="209">
        <v>57018.23</v>
      </c>
      <c r="R135" s="209">
        <v>69211.15</v>
      </c>
      <c r="S135" s="209">
        <v>94472.61</v>
      </c>
      <c r="T135" s="209">
        <v>63754.21</v>
      </c>
      <c r="U135" s="209">
        <v>27186.32</v>
      </c>
      <c r="V135" s="209">
        <v>14833.39</v>
      </c>
      <c r="W135" s="209">
        <v>13618.27</v>
      </c>
      <c r="X135" s="209">
        <v>18667.99</v>
      </c>
      <c r="Y135" s="209">
        <v>23513.2</v>
      </c>
      <c r="Z135" s="209">
        <v>44295.99</v>
      </c>
      <c r="AA135" s="209">
        <v>30977.06</v>
      </c>
      <c r="AB135" s="209">
        <v>17315.26</v>
      </c>
      <c r="AC135" s="209">
        <v>17167.0</v>
      </c>
      <c r="AD135" s="209">
        <v>19523.0</v>
      </c>
      <c r="AE135" s="209">
        <v>26087.44</v>
      </c>
      <c r="AF135" s="61">
        <f>SUM(B135:AE135)</f>
        <v>1247507.57</v>
      </c>
    </row>
    <row r="136">
      <c r="A136" s="207" t="s">
        <v>299</v>
      </c>
      <c r="B136" s="210">
        <v>158.0</v>
      </c>
      <c r="C136" s="210">
        <v>166.0</v>
      </c>
      <c r="D136" s="210">
        <v>194.0</v>
      </c>
      <c r="E136" s="210">
        <v>163.0</v>
      </c>
      <c r="F136" s="210">
        <v>175.0</v>
      </c>
      <c r="G136" s="210">
        <v>195.0</v>
      </c>
      <c r="H136" s="210">
        <v>198.0</v>
      </c>
      <c r="I136" s="210">
        <v>233.0</v>
      </c>
      <c r="J136" s="210">
        <v>205.0</v>
      </c>
      <c r="K136" s="210">
        <v>187.0</v>
      </c>
      <c r="L136" s="210">
        <v>176.0</v>
      </c>
      <c r="M136" s="210">
        <v>245.0</v>
      </c>
      <c r="N136" s="210">
        <v>281.0</v>
      </c>
      <c r="O136" s="210">
        <v>266.0</v>
      </c>
      <c r="P136" s="210">
        <v>288.0</v>
      </c>
      <c r="Q136" s="210">
        <v>252.0</v>
      </c>
      <c r="R136" s="210">
        <v>269.0</v>
      </c>
      <c r="S136" s="210">
        <v>391.0</v>
      </c>
      <c r="T136" s="210">
        <v>266.0</v>
      </c>
      <c r="U136" s="210">
        <v>125.0</v>
      </c>
      <c r="V136" s="210">
        <v>90.0</v>
      </c>
      <c r="W136" s="210">
        <v>74.0</v>
      </c>
      <c r="X136" s="210">
        <v>124.0</v>
      </c>
      <c r="Y136" s="210">
        <v>101.0</v>
      </c>
      <c r="Z136" s="210">
        <v>215.0</v>
      </c>
      <c r="AA136" s="211">
        <v>143.0</v>
      </c>
      <c r="AB136" s="210">
        <v>91.0</v>
      </c>
      <c r="AC136" s="210">
        <v>79.0</v>
      </c>
      <c r="AD136" s="210">
        <v>97.0</v>
      </c>
      <c r="AE136" s="212">
        <v>107.0</v>
      </c>
      <c r="AF136" s="189">
        <f>sum(B136:AE136)</f>
        <v>5554</v>
      </c>
    </row>
    <row r="137">
      <c r="A137" s="2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91"/>
    </row>
    <row r="138">
      <c r="A138" s="169" t="s">
        <v>307</v>
      </c>
      <c r="B138" s="213"/>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91"/>
    </row>
    <row r="139">
      <c r="A139" s="176" t="s">
        <v>55</v>
      </c>
      <c r="B139" s="214">
        <v>52.0</v>
      </c>
      <c r="C139" s="213">
        <v>41.0</v>
      </c>
      <c r="D139" s="213">
        <v>50.0</v>
      </c>
      <c r="E139" s="213">
        <v>44.0</v>
      </c>
      <c r="F139" s="213">
        <v>50.0</v>
      </c>
      <c r="G139" s="213">
        <v>54.0</v>
      </c>
      <c r="H139" s="213">
        <v>49.0</v>
      </c>
      <c r="I139" s="195">
        <v>67.0</v>
      </c>
      <c r="J139" s="195">
        <v>62.0</v>
      </c>
      <c r="K139" s="195">
        <v>47.0</v>
      </c>
      <c r="L139" s="195">
        <v>57.0</v>
      </c>
      <c r="M139" s="195">
        <v>73.0</v>
      </c>
      <c r="N139" s="195">
        <v>83.0</v>
      </c>
      <c r="O139" s="193">
        <v>98.0</v>
      </c>
      <c r="P139" s="195">
        <v>101.0</v>
      </c>
      <c r="Q139" s="195">
        <v>82.0</v>
      </c>
      <c r="R139" s="195">
        <v>92.0</v>
      </c>
      <c r="S139" s="22">
        <v>137.0</v>
      </c>
      <c r="T139" s="22">
        <v>72.0</v>
      </c>
      <c r="U139" s="22">
        <v>30.0</v>
      </c>
      <c r="V139" s="22">
        <v>16.0</v>
      </c>
      <c r="W139" s="22">
        <v>14.0</v>
      </c>
      <c r="X139" s="22">
        <v>16.0</v>
      </c>
      <c r="Y139" s="22">
        <v>31.0</v>
      </c>
      <c r="Z139" s="215">
        <v>32.0</v>
      </c>
      <c r="AA139" s="22">
        <v>33.0</v>
      </c>
      <c r="AB139" s="22">
        <v>22.0</v>
      </c>
      <c r="AC139" s="215">
        <v>22.0</v>
      </c>
      <c r="AD139" s="215">
        <v>20.0</v>
      </c>
      <c r="AE139" s="215">
        <v>22.0</v>
      </c>
      <c r="AF139" s="189">
        <f t="shared" ref="AF139:AF141" si="30">sum(B139:AE139)</f>
        <v>1569</v>
      </c>
    </row>
    <row r="140">
      <c r="A140" s="176" t="s">
        <v>57</v>
      </c>
      <c r="B140" s="213">
        <v>78.0</v>
      </c>
      <c r="C140" s="213">
        <v>90.0</v>
      </c>
      <c r="D140" s="213">
        <v>105.0</v>
      </c>
      <c r="E140" s="213">
        <v>90.0</v>
      </c>
      <c r="F140" s="213">
        <v>88.0</v>
      </c>
      <c r="G140" s="213">
        <v>91.0</v>
      </c>
      <c r="H140" s="213">
        <v>79.0</v>
      </c>
      <c r="I140" s="195">
        <v>116.0</v>
      </c>
      <c r="J140" s="195">
        <v>105.0</v>
      </c>
      <c r="K140" s="195">
        <v>94.0</v>
      </c>
      <c r="L140" s="195">
        <v>92.0</v>
      </c>
      <c r="M140" s="195">
        <v>99.0</v>
      </c>
      <c r="N140" s="195">
        <v>127.0</v>
      </c>
      <c r="O140" s="193">
        <v>122.0</v>
      </c>
      <c r="P140" s="195">
        <v>141.0</v>
      </c>
      <c r="Q140" s="195">
        <v>117.0</v>
      </c>
      <c r="R140" s="195">
        <v>159.0</v>
      </c>
      <c r="S140" s="22">
        <v>202.0</v>
      </c>
      <c r="T140" s="22">
        <v>150.0</v>
      </c>
      <c r="U140" s="22">
        <v>63.0</v>
      </c>
      <c r="V140" s="22">
        <v>32.0</v>
      </c>
      <c r="W140" s="22">
        <v>32.0</v>
      </c>
      <c r="X140" s="22">
        <v>40.0</v>
      </c>
      <c r="Y140" s="22">
        <v>50.0</v>
      </c>
      <c r="Z140" s="216">
        <v>112.0</v>
      </c>
      <c r="AA140" s="22">
        <v>72.0</v>
      </c>
      <c r="AB140" s="22">
        <v>37.0</v>
      </c>
      <c r="AC140" s="22">
        <v>42.0</v>
      </c>
      <c r="AD140" s="22">
        <v>50.0</v>
      </c>
      <c r="AE140" s="22">
        <v>64.0</v>
      </c>
      <c r="AF140" s="189">
        <f t="shared" si="30"/>
        <v>2739</v>
      </c>
    </row>
    <row r="141">
      <c r="A141" s="217" t="s">
        <v>308</v>
      </c>
      <c r="B141" s="218">
        <f t="shared" ref="B141:AE141" si="31">SUM(B139:B140)</f>
        <v>130</v>
      </c>
      <c r="C141" s="218">
        <f t="shared" si="31"/>
        <v>131</v>
      </c>
      <c r="D141" s="218">
        <f t="shared" si="31"/>
        <v>155</v>
      </c>
      <c r="E141" s="218">
        <f t="shared" si="31"/>
        <v>134</v>
      </c>
      <c r="F141" s="218">
        <f t="shared" si="31"/>
        <v>138</v>
      </c>
      <c r="G141" s="218">
        <f t="shared" si="31"/>
        <v>145</v>
      </c>
      <c r="H141" s="218">
        <f t="shared" si="31"/>
        <v>128</v>
      </c>
      <c r="I141" s="218">
        <f t="shared" si="31"/>
        <v>183</v>
      </c>
      <c r="J141" s="218">
        <f t="shared" si="31"/>
        <v>167</v>
      </c>
      <c r="K141" s="218">
        <f t="shared" si="31"/>
        <v>141</v>
      </c>
      <c r="L141" s="218">
        <f t="shared" si="31"/>
        <v>149</v>
      </c>
      <c r="M141" s="218">
        <f t="shared" si="31"/>
        <v>172</v>
      </c>
      <c r="N141" s="218">
        <f t="shared" si="31"/>
        <v>210</v>
      </c>
      <c r="O141" s="218">
        <f t="shared" si="31"/>
        <v>220</v>
      </c>
      <c r="P141" s="218">
        <f t="shared" si="31"/>
        <v>242</v>
      </c>
      <c r="Q141" s="218">
        <f t="shared" si="31"/>
        <v>199</v>
      </c>
      <c r="R141" s="218">
        <f t="shared" si="31"/>
        <v>251</v>
      </c>
      <c r="S141" s="218">
        <f t="shared" si="31"/>
        <v>339</v>
      </c>
      <c r="T141" s="218">
        <f t="shared" si="31"/>
        <v>222</v>
      </c>
      <c r="U141" s="218">
        <f t="shared" si="31"/>
        <v>93</v>
      </c>
      <c r="V141" s="218">
        <f t="shared" si="31"/>
        <v>48</v>
      </c>
      <c r="W141" s="218">
        <f t="shared" si="31"/>
        <v>46</v>
      </c>
      <c r="X141" s="218">
        <f t="shared" si="31"/>
        <v>56</v>
      </c>
      <c r="Y141" s="218">
        <f t="shared" si="31"/>
        <v>81</v>
      </c>
      <c r="Z141" s="218">
        <f t="shared" si="31"/>
        <v>144</v>
      </c>
      <c r="AA141" s="218">
        <f t="shared" si="31"/>
        <v>105</v>
      </c>
      <c r="AB141" s="218">
        <f t="shared" si="31"/>
        <v>59</v>
      </c>
      <c r="AC141" s="218">
        <f t="shared" si="31"/>
        <v>64</v>
      </c>
      <c r="AD141" s="218">
        <f t="shared" si="31"/>
        <v>70</v>
      </c>
      <c r="AE141" s="218">
        <f t="shared" si="31"/>
        <v>86</v>
      </c>
      <c r="AF141" s="189">
        <f t="shared" si="30"/>
        <v>4308</v>
      </c>
    </row>
    <row r="142">
      <c r="A142" s="26"/>
      <c r="B142" s="219"/>
      <c r="C142" s="219"/>
      <c r="D142" s="219"/>
      <c r="E142" s="219"/>
      <c r="F142" s="219"/>
      <c r="G142" s="219"/>
      <c r="H142" s="219"/>
      <c r="I142" s="219"/>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220"/>
    </row>
    <row r="143">
      <c r="A143" s="176" t="s">
        <v>62</v>
      </c>
      <c r="B143" s="213">
        <v>31.0</v>
      </c>
      <c r="C143" s="213">
        <v>37.0</v>
      </c>
      <c r="D143" s="213">
        <v>48.0</v>
      </c>
      <c r="E143" s="213">
        <v>50.0</v>
      </c>
      <c r="F143" s="213">
        <v>21.0</v>
      </c>
      <c r="G143" s="213">
        <v>44.0</v>
      </c>
      <c r="H143" s="213">
        <v>45.0</v>
      </c>
      <c r="I143" s="195">
        <v>54.0</v>
      </c>
      <c r="J143" s="195">
        <v>64.0</v>
      </c>
      <c r="K143" s="195">
        <v>61.0</v>
      </c>
      <c r="L143" s="195">
        <v>51.0</v>
      </c>
      <c r="M143" s="195">
        <v>65.0</v>
      </c>
      <c r="N143" s="195">
        <v>59.0</v>
      </c>
      <c r="O143" s="195">
        <v>79.0</v>
      </c>
      <c r="P143" s="195">
        <v>86.0</v>
      </c>
      <c r="Q143" s="195">
        <v>79.0</v>
      </c>
      <c r="R143" s="195">
        <v>70.0</v>
      </c>
      <c r="S143" s="22">
        <v>102.0</v>
      </c>
      <c r="T143" s="22">
        <v>78.0</v>
      </c>
      <c r="U143" s="22">
        <v>39.0</v>
      </c>
      <c r="V143" s="22">
        <v>23.0</v>
      </c>
      <c r="W143" s="22">
        <v>14.0</v>
      </c>
      <c r="X143" s="22">
        <v>29.0</v>
      </c>
      <c r="Y143" s="22">
        <v>34.0</v>
      </c>
      <c r="Z143" s="221">
        <v>63.0</v>
      </c>
      <c r="AA143" s="22">
        <v>35.0</v>
      </c>
      <c r="AB143" s="22">
        <v>21.0</v>
      </c>
      <c r="AC143" s="221">
        <v>21.0</v>
      </c>
      <c r="AD143" s="221">
        <v>16.0</v>
      </c>
      <c r="AE143" s="221">
        <v>23.0</v>
      </c>
      <c r="AF143" s="189">
        <f t="shared" ref="AF143:AF148" si="32">sum(B143:AE143)</f>
        <v>1442</v>
      </c>
    </row>
    <row r="144">
      <c r="A144" s="176" t="s">
        <v>70</v>
      </c>
      <c r="B144" s="213">
        <v>0.0</v>
      </c>
      <c r="C144" s="213">
        <v>0.0</v>
      </c>
      <c r="D144" s="213">
        <v>0.0</v>
      </c>
      <c r="E144" s="213">
        <v>0.0</v>
      </c>
      <c r="F144" s="213">
        <v>1.0</v>
      </c>
      <c r="G144" s="213">
        <v>0.0</v>
      </c>
      <c r="H144" s="213">
        <v>0.0</v>
      </c>
      <c r="I144" s="213">
        <v>0.0</v>
      </c>
      <c r="J144" s="213">
        <v>0.0</v>
      </c>
      <c r="K144" s="213">
        <v>0.0</v>
      </c>
      <c r="L144" s="213">
        <v>0.0</v>
      </c>
      <c r="M144" s="213">
        <v>0.0</v>
      </c>
      <c r="N144" s="213">
        <v>0.0</v>
      </c>
      <c r="O144" s="213">
        <v>0.0</v>
      </c>
      <c r="P144" s="213">
        <v>0.0</v>
      </c>
      <c r="Q144" s="195">
        <v>0.0</v>
      </c>
      <c r="R144" s="195">
        <v>0.0</v>
      </c>
      <c r="S144" s="195">
        <v>0.0</v>
      </c>
      <c r="T144" s="195">
        <v>0.0</v>
      </c>
      <c r="U144" s="195">
        <v>0.0</v>
      </c>
      <c r="V144" s="22">
        <v>0.0</v>
      </c>
      <c r="W144" s="22">
        <v>0.0</v>
      </c>
      <c r="X144" s="22">
        <v>0.0</v>
      </c>
      <c r="Y144" s="22">
        <v>0.0</v>
      </c>
      <c r="Z144" s="22">
        <v>28.0</v>
      </c>
      <c r="AA144" s="22">
        <v>16.0</v>
      </c>
      <c r="AB144" s="22">
        <v>0.0</v>
      </c>
      <c r="AC144" s="22">
        <v>0.0</v>
      </c>
      <c r="AD144" s="22">
        <v>0.0</v>
      </c>
      <c r="AE144" s="22">
        <v>0.0</v>
      </c>
      <c r="AF144" s="189">
        <f t="shared" si="32"/>
        <v>45</v>
      </c>
    </row>
    <row r="145">
      <c r="A145" s="176" t="s">
        <v>78</v>
      </c>
      <c r="B145" s="213">
        <v>17.0</v>
      </c>
      <c r="C145" s="213">
        <v>22.0</v>
      </c>
      <c r="D145" s="213">
        <v>26.0</v>
      </c>
      <c r="E145" s="213">
        <v>31.0</v>
      </c>
      <c r="F145" s="213">
        <v>23.0</v>
      </c>
      <c r="G145" s="213">
        <v>17.0</v>
      </c>
      <c r="H145" s="213">
        <v>29.0</v>
      </c>
      <c r="I145" s="195">
        <v>41.0</v>
      </c>
      <c r="J145" s="195">
        <v>38.0</v>
      </c>
      <c r="K145" s="195">
        <v>31.0</v>
      </c>
      <c r="L145" s="195">
        <v>33.0</v>
      </c>
      <c r="M145" s="195">
        <v>32.0</v>
      </c>
      <c r="N145" s="213">
        <v>29.0</v>
      </c>
      <c r="O145" s="195">
        <v>29.0</v>
      </c>
      <c r="P145" s="195">
        <v>36.0</v>
      </c>
      <c r="Q145" s="195">
        <v>44.0</v>
      </c>
      <c r="R145" s="195">
        <v>37.0</v>
      </c>
      <c r="S145" s="22">
        <v>60.0</v>
      </c>
      <c r="T145" s="22">
        <v>54.0</v>
      </c>
      <c r="U145" s="22">
        <v>22.0</v>
      </c>
      <c r="V145" s="22">
        <v>19.0</v>
      </c>
      <c r="W145" s="22">
        <v>7.0</v>
      </c>
      <c r="X145" s="22">
        <v>15.0</v>
      </c>
      <c r="Y145" s="22">
        <v>21.0</v>
      </c>
      <c r="Z145" s="215">
        <v>0.0</v>
      </c>
      <c r="AA145" s="222">
        <v>0.0</v>
      </c>
      <c r="AB145" s="22">
        <v>9.0</v>
      </c>
      <c r="AC145" s="222">
        <v>6.0</v>
      </c>
      <c r="AD145" s="222">
        <v>16.0</v>
      </c>
      <c r="AE145" s="222">
        <v>13.0</v>
      </c>
      <c r="AF145" s="189">
        <f t="shared" si="32"/>
        <v>757</v>
      </c>
    </row>
    <row r="146">
      <c r="A146" s="176" t="s">
        <v>79</v>
      </c>
      <c r="B146" s="213">
        <v>24.0</v>
      </c>
      <c r="C146" s="213">
        <v>31.0</v>
      </c>
      <c r="D146" s="213">
        <v>29.0</v>
      </c>
      <c r="E146" s="213">
        <v>33.0</v>
      </c>
      <c r="F146" s="213">
        <v>25.0</v>
      </c>
      <c r="G146" s="213">
        <v>24.0</v>
      </c>
      <c r="H146" s="213">
        <v>25.0</v>
      </c>
      <c r="I146" s="213">
        <v>39.0</v>
      </c>
      <c r="J146" s="213">
        <v>42.0</v>
      </c>
      <c r="K146" s="213">
        <v>29.0</v>
      </c>
      <c r="L146" s="213">
        <v>34.0</v>
      </c>
      <c r="M146" s="213">
        <v>38.0</v>
      </c>
      <c r="N146" s="213">
        <v>29.0</v>
      </c>
      <c r="O146" s="213">
        <v>30.0</v>
      </c>
      <c r="P146" s="213">
        <v>36.0</v>
      </c>
      <c r="Q146" s="213">
        <v>53.0</v>
      </c>
      <c r="R146" s="213">
        <v>35.0</v>
      </c>
      <c r="S146" s="213">
        <v>67.0</v>
      </c>
      <c r="T146" s="213">
        <v>59.0</v>
      </c>
      <c r="U146" s="213">
        <v>27.0</v>
      </c>
      <c r="V146" s="213">
        <v>16.0</v>
      </c>
      <c r="W146" s="213">
        <v>10.0</v>
      </c>
      <c r="X146" s="213">
        <v>25.0</v>
      </c>
      <c r="Y146" s="213">
        <v>16.0</v>
      </c>
      <c r="Z146" s="223">
        <v>32.0</v>
      </c>
      <c r="AA146" s="213">
        <v>20.0</v>
      </c>
      <c r="AB146" s="213">
        <v>8.0</v>
      </c>
      <c r="AC146" s="223">
        <v>7.0</v>
      </c>
      <c r="AD146" s="223">
        <v>15.0</v>
      </c>
      <c r="AE146" s="223">
        <v>18.0</v>
      </c>
      <c r="AF146" s="189">
        <f t="shared" si="32"/>
        <v>876</v>
      </c>
    </row>
    <row r="147">
      <c r="A147" s="176" t="s">
        <v>60</v>
      </c>
      <c r="B147" s="213">
        <v>15.0</v>
      </c>
      <c r="C147" s="213">
        <v>19.0</v>
      </c>
      <c r="D147" s="213">
        <v>23.0</v>
      </c>
      <c r="E147" s="213">
        <v>15.0</v>
      </c>
      <c r="F147" s="213">
        <v>50.0</v>
      </c>
      <c r="G147" s="213">
        <v>8.0</v>
      </c>
      <c r="H147" s="213">
        <v>18.0</v>
      </c>
      <c r="I147" s="213">
        <v>22.0</v>
      </c>
      <c r="J147" s="213">
        <v>20.0</v>
      </c>
      <c r="K147" s="213">
        <v>22.0</v>
      </c>
      <c r="L147" s="213">
        <v>16.0</v>
      </c>
      <c r="M147" s="213">
        <v>33.0</v>
      </c>
      <c r="N147" s="213">
        <v>18.0</v>
      </c>
      <c r="O147" s="213">
        <v>28.0</v>
      </c>
      <c r="P147" s="213">
        <v>15.0</v>
      </c>
      <c r="Q147" s="213">
        <v>33.0</v>
      </c>
      <c r="R147" s="213">
        <v>18.0</v>
      </c>
      <c r="S147" s="213">
        <v>34.0</v>
      </c>
      <c r="T147" s="213">
        <v>28.0</v>
      </c>
      <c r="U147" s="213">
        <v>13.0</v>
      </c>
      <c r="V147" s="213">
        <v>9.0</v>
      </c>
      <c r="W147" s="213">
        <v>7.0</v>
      </c>
      <c r="X147" s="213">
        <v>15.0</v>
      </c>
      <c r="Y147" s="213">
        <v>7.0</v>
      </c>
      <c r="Z147" s="213">
        <v>14.0</v>
      </c>
      <c r="AA147" s="22">
        <v>12.0</v>
      </c>
      <c r="AB147" s="213">
        <v>7.0</v>
      </c>
      <c r="AC147" s="223">
        <v>10.0</v>
      </c>
      <c r="AD147" s="223">
        <v>15.0</v>
      </c>
      <c r="AE147" s="223">
        <v>13.0</v>
      </c>
      <c r="AF147" s="189">
        <f t="shared" si="32"/>
        <v>557</v>
      </c>
    </row>
    <row r="148">
      <c r="A148" s="217" t="s">
        <v>123</v>
      </c>
      <c r="B148" s="218">
        <f t="shared" ref="B148:AE148" si="33">SUM(B143:B147)</f>
        <v>87</v>
      </c>
      <c r="C148" s="218">
        <f t="shared" si="33"/>
        <v>109</v>
      </c>
      <c r="D148" s="218">
        <f t="shared" si="33"/>
        <v>126</v>
      </c>
      <c r="E148" s="218">
        <f t="shared" si="33"/>
        <v>129</v>
      </c>
      <c r="F148" s="218">
        <f t="shared" si="33"/>
        <v>120</v>
      </c>
      <c r="G148" s="218">
        <f t="shared" si="33"/>
        <v>93</v>
      </c>
      <c r="H148" s="218">
        <f t="shared" si="33"/>
        <v>117</v>
      </c>
      <c r="I148" s="218">
        <f t="shared" si="33"/>
        <v>156</v>
      </c>
      <c r="J148" s="218">
        <f t="shared" si="33"/>
        <v>164</v>
      </c>
      <c r="K148" s="218">
        <f t="shared" si="33"/>
        <v>143</v>
      </c>
      <c r="L148" s="218">
        <f t="shared" si="33"/>
        <v>134</v>
      </c>
      <c r="M148" s="218">
        <f t="shared" si="33"/>
        <v>168</v>
      </c>
      <c r="N148" s="218">
        <f t="shared" si="33"/>
        <v>135</v>
      </c>
      <c r="O148" s="218">
        <f t="shared" si="33"/>
        <v>166</v>
      </c>
      <c r="P148" s="218">
        <f t="shared" si="33"/>
        <v>173</v>
      </c>
      <c r="Q148" s="218">
        <f t="shared" si="33"/>
        <v>209</v>
      </c>
      <c r="R148" s="218">
        <f t="shared" si="33"/>
        <v>160</v>
      </c>
      <c r="S148" s="218">
        <f t="shared" si="33"/>
        <v>263</v>
      </c>
      <c r="T148" s="218">
        <f t="shared" si="33"/>
        <v>219</v>
      </c>
      <c r="U148" s="218">
        <f t="shared" si="33"/>
        <v>101</v>
      </c>
      <c r="V148" s="218">
        <f t="shared" si="33"/>
        <v>67</v>
      </c>
      <c r="W148" s="218">
        <f t="shared" si="33"/>
        <v>38</v>
      </c>
      <c r="X148" s="218">
        <f t="shared" si="33"/>
        <v>84</v>
      </c>
      <c r="Y148" s="218">
        <f t="shared" si="33"/>
        <v>78</v>
      </c>
      <c r="Z148" s="218">
        <f t="shared" si="33"/>
        <v>137</v>
      </c>
      <c r="AA148" s="218">
        <f t="shared" si="33"/>
        <v>83</v>
      </c>
      <c r="AB148" s="218">
        <f t="shared" si="33"/>
        <v>45</v>
      </c>
      <c r="AC148" s="218">
        <f t="shared" si="33"/>
        <v>44</v>
      </c>
      <c r="AD148" s="218">
        <f t="shared" si="33"/>
        <v>62</v>
      </c>
      <c r="AE148" s="218">
        <f t="shared" si="33"/>
        <v>67</v>
      </c>
      <c r="AF148" s="189">
        <f t="shared" si="32"/>
        <v>3677</v>
      </c>
    </row>
    <row r="149">
      <c r="A149" s="224"/>
      <c r="AF149" s="189"/>
    </row>
    <row r="150">
      <c r="A150" s="176" t="s">
        <v>309</v>
      </c>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c r="AE150" s="225"/>
      <c r="AF150" s="189">
        <f t="shared" ref="AF150:AF152" si="34">sum(B150:AE150)</f>
        <v>0</v>
      </c>
    </row>
    <row r="151">
      <c r="A151" s="176" t="s">
        <v>310</v>
      </c>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225"/>
      <c r="AD151" s="225"/>
      <c r="AE151" s="225"/>
      <c r="AF151" s="189">
        <f t="shared" si="34"/>
        <v>0</v>
      </c>
    </row>
    <row r="152">
      <c r="A152" s="217" t="s">
        <v>123</v>
      </c>
      <c r="B152" s="218">
        <f t="shared" ref="B152:AE152" si="35">SUM(B150:B151)</f>
        <v>0</v>
      </c>
      <c r="C152" s="218">
        <f t="shared" si="35"/>
        <v>0</v>
      </c>
      <c r="D152" s="218">
        <f t="shared" si="35"/>
        <v>0</v>
      </c>
      <c r="E152" s="218">
        <f t="shared" si="35"/>
        <v>0</v>
      </c>
      <c r="F152" s="218">
        <f t="shared" si="35"/>
        <v>0</v>
      </c>
      <c r="G152" s="218">
        <f t="shared" si="35"/>
        <v>0</v>
      </c>
      <c r="H152" s="218">
        <f t="shared" si="35"/>
        <v>0</v>
      </c>
      <c r="I152" s="218">
        <f t="shared" si="35"/>
        <v>0</v>
      </c>
      <c r="J152" s="218">
        <f t="shared" si="35"/>
        <v>0</v>
      </c>
      <c r="K152" s="218">
        <f t="shared" si="35"/>
        <v>0</v>
      </c>
      <c r="L152" s="218">
        <f t="shared" si="35"/>
        <v>0</v>
      </c>
      <c r="M152" s="218">
        <f t="shared" si="35"/>
        <v>0</v>
      </c>
      <c r="N152" s="218">
        <f t="shared" si="35"/>
        <v>0</v>
      </c>
      <c r="O152" s="218">
        <f t="shared" si="35"/>
        <v>0</v>
      </c>
      <c r="P152" s="218">
        <f t="shared" si="35"/>
        <v>0</v>
      </c>
      <c r="Q152" s="218">
        <f t="shared" si="35"/>
        <v>0</v>
      </c>
      <c r="R152" s="218">
        <f t="shared" si="35"/>
        <v>0</v>
      </c>
      <c r="S152" s="218">
        <f t="shared" si="35"/>
        <v>0</v>
      </c>
      <c r="T152" s="218">
        <f t="shared" si="35"/>
        <v>0</v>
      </c>
      <c r="U152" s="218">
        <f t="shared" si="35"/>
        <v>0</v>
      </c>
      <c r="V152" s="218">
        <f t="shared" si="35"/>
        <v>0</v>
      </c>
      <c r="W152" s="218">
        <f t="shared" si="35"/>
        <v>0</v>
      </c>
      <c r="X152" s="218">
        <f t="shared" si="35"/>
        <v>0</v>
      </c>
      <c r="Y152" s="218">
        <f t="shared" si="35"/>
        <v>0</v>
      </c>
      <c r="Z152" s="218">
        <f t="shared" si="35"/>
        <v>0</v>
      </c>
      <c r="AA152" s="218">
        <f t="shared" si="35"/>
        <v>0</v>
      </c>
      <c r="AB152" s="218">
        <f t="shared" si="35"/>
        <v>0</v>
      </c>
      <c r="AC152" s="218">
        <f t="shared" si="35"/>
        <v>0</v>
      </c>
      <c r="AD152" s="218">
        <f t="shared" si="35"/>
        <v>0</v>
      </c>
      <c r="AE152" s="218">
        <f t="shared" si="35"/>
        <v>0</v>
      </c>
      <c r="AF152" s="189">
        <f t="shared" si="34"/>
        <v>0</v>
      </c>
    </row>
    <row r="153">
      <c r="A153" s="224"/>
      <c r="AF153" s="189"/>
    </row>
    <row r="154">
      <c r="A154" s="176" t="s">
        <v>311</v>
      </c>
      <c r="B154" s="226"/>
      <c r="C154" s="226"/>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c r="AB154" s="226"/>
      <c r="AC154" s="226"/>
      <c r="AD154" s="226"/>
      <c r="AE154" s="226"/>
      <c r="AF154" s="189">
        <f t="shared" ref="AF154:AF156" si="36">sum(B154:AE154)</f>
        <v>0</v>
      </c>
    </row>
    <row r="155">
      <c r="A155" s="176" t="s">
        <v>312</v>
      </c>
      <c r="B155" s="226"/>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c r="AE155" s="226"/>
      <c r="AF155" s="189">
        <f t="shared" si="36"/>
        <v>0</v>
      </c>
    </row>
    <row r="156">
      <c r="A156" s="217" t="s">
        <v>123</v>
      </c>
      <c r="B156" s="227">
        <f t="shared" ref="B156:AE156" si="37">SUM(B154:B155)</f>
        <v>0</v>
      </c>
      <c r="C156" s="227">
        <f t="shared" si="37"/>
        <v>0</v>
      </c>
      <c r="D156" s="227">
        <f t="shared" si="37"/>
        <v>0</v>
      </c>
      <c r="E156" s="227">
        <f t="shared" si="37"/>
        <v>0</v>
      </c>
      <c r="F156" s="227">
        <f t="shared" si="37"/>
        <v>0</v>
      </c>
      <c r="G156" s="227">
        <f t="shared" si="37"/>
        <v>0</v>
      </c>
      <c r="H156" s="227">
        <f t="shared" si="37"/>
        <v>0</v>
      </c>
      <c r="I156" s="227">
        <f t="shared" si="37"/>
        <v>0</v>
      </c>
      <c r="J156" s="227">
        <f t="shared" si="37"/>
        <v>0</v>
      </c>
      <c r="K156" s="227">
        <f t="shared" si="37"/>
        <v>0</v>
      </c>
      <c r="L156" s="227">
        <f t="shared" si="37"/>
        <v>0</v>
      </c>
      <c r="M156" s="227">
        <f t="shared" si="37"/>
        <v>0</v>
      </c>
      <c r="N156" s="227">
        <f t="shared" si="37"/>
        <v>0</v>
      </c>
      <c r="O156" s="227">
        <f t="shared" si="37"/>
        <v>0</v>
      </c>
      <c r="P156" s="227">
        <f t="shared" si="37"/>
        <v>0</v>
      </c>
      <c r="Q156" s="227">
        <f t="shared" si="37"/>
        <v>0</v>
      </c>
      <c r="R156" s="227">
        <f t="shared" si="37"/>
        <v>0</v>
      </c>
      <c r="S156" s="227">
        <f t="shared" si="37"/>
        <v>0</v>
      </c>
      <c r="T156" s="227">
        <f t="shared" si="37"/>
        <v>0</v>
      </c>
      <c r="U156" s="227">
        <f t="shared" si="37"/>
        <v>0</v>
      </c>
      <c r="V156" s="227">
        <f t="shared" si="37"/>
        <v>0</v>
      </c>
      <c r="W156" s="227">
        <f t="shared" si="37"/>
        <v>0</v>
      </c>
      <c r="X156" s="227">
        <f t="shared" si="37"/>
        <v>0</v>
      </c>
      <c r="Y156" s="227">
        <f t="shared" si="37"/>
        <v>0</v>
      </c>
      <c r="Z156" s="227">
        <f t="shared" si="37"/>
        <v>0</v>
      </c>
      <c r="AA156" s="227">
        <f t="shared" si="37"/>
        <v>0</v>
      </c>
      <c r="AB156" s="227">
        <f t="shared" si="37"/>
        <v>0</v>
      </c>
      <c r="AC156" s="227">
        <f t="shared" si="37"/>
        <v>0</v>
      </c>
      <c r="AD156" s="227">
        <f t="shared" si="37"/>
        <v>0</v>
      </c>
      <c r="AE156" s="227">
        <f t="shared" si="37"/>
        <v>0</v>
      </c>
      <c r="AF156" s="189">
        <f t="shared" si="36"/>
        <v>0</v>
      </c>
    </row>
    <row r="157">
      <c r="A157" s="224"/>
      <c r="AF157" s="189"/>
    </row>
    <row r="158">
      <c r="A158" s="176" t="s">
        <v>313</v>
      </c>
      <c r="B158" s="213">
        <v>0.0</v>
      </c>
      <c r="C158" s="213">
        <v>0.0</v>
      </c>
      <c r="D158" s="213">
        <v>0.0</v>
      </c>
      <c r="E158" s="213">
        <v>0.0</v>
      </c>
      <c r="F158" s="213">
        <v>0.0</v>
      </c>
      <c r="G158" s="213">
        <v>0.0</v>
      </c>
      <c r="H158" s="213">
        <v>0.0</v>
      </c>
      <c r="I158" s="213">
        <v>0.0</v>
      </c>
      <c r="J158" s="213">
        <v>0.0</v>
      </c>
      <c r="K158" s="213">
        <v>0.0</v>
      </c>
      <c r="L158" s="213">
        <v>0.0</v>
      </c>
      <c r="M158" s="213">
        <v>0.0</v>
      </c>
      <c r="N158" s="213">
        <v>0.0</v>
      </c>
      <c r="O158" s="213">
        <v>0.0</v>
      </c>
      <c r="P158" s="213">
        <v>0.0</v>
      </c>
      <c r="Q158" s="213">
        <v>0.0</v>
      </c>
      <c r="R158" s="213">
        <v>0.0</v>
      </c>
      <c r="S158" s="213">
        <v>0.0</v>
      </c>
      <c r="T158" s="213">
        <v>0.0</v>
      </c>
      <c r="U158" s="213">
        <v>0.0</v>
      </c>
      <c r="V158" s="213">
        <v>0.0</v>
      </c>
      <c r="W158" s="213">
        <v>0.0</v>
      </c>
      <c r="X158" s="213">
        <v>0.0</v>
      </c>
      <c r="Y158" s="213">
        <v>0.0</v>
      </c>
      <c r="Z158" s="213">
        <v>0.0</v>
      </c>
      <c r="AA158" s="213">
        <v>0.0</v>
      </c>
      <c r="AB158" s="213">
        <v>0.0</v>
      </c>
      <c r="AC158" s="213">
        <v>0.0</v>
      </c>
      <c r="AD158" s="213">
        <v>0.0</v>
      </c>
      <c r="AE158" s="213">
        <v>0.0</v>
      </c>
      <c r="AF158" s="189"/>
    </row>
    <row r="159">
      <c r="A159" s="217" t="s">
        <v>123</v>
      </c>
      <c r="B159" s="227">
        <f t="shared" ref="B159:AE159" si="38">B158</f>
        <v>0</v>
      </c>
      <c r="C159" s="227">
        <f t="shared" si="38"/>
        <v>0</v>
      </c>
      <c r="D159" s="227">
        <f t="shared" si="38"/>
        <v>0</v>
      </c>
      <c r="E159" s="227">
        <f t="shared" si="38"/>
        <v>0</v>
      </c>
      <c r="F159" s="227">
        <f t="shared" si="38"/>
        <v>0</v>
      </c>
      <c r="G159" s="227">
        <f t="shared" si="38"/>
        <v>0</v>
      </c>
      <c r="H159" s="227">
        <f t="shared" si="38"/>
        <v>0</v>
      </c>
      <c r="I159" s="227">
        <f t="shared" si="38"/>
        <v>0</v>
      </c>
      <c r="J159" s="227">
        <f t="shared" si="38"/>
        <v>0</v>
      </c>
      <c r="K159" s="227">
        <f t="shared" si="38"/>
        <v>0</v>
      </c>
      <c r="L159" s="227">
        <f t="shared" si="38"/>
        <v>0</v>
      </c>
      <c r="M159" s="227">
        <f t="shared" si="38"/>
        <v>0</v>
      </c>
      <c r="N159" s="227">
        <f t="shared" si="38"/>
        <v>0</v>
      </c>
      <c r="O159" s="227">
        <f t="shared" si="38"/>
        <v>0</v>
      </c>
      <c r="P159" s="227">
        <f t="shared" si="38"/>
        <v>0</v>
      </c>
      <c r="Q159" s="227">
        <f t="shared" si="38"/>
        <v>0</v>
      </c>
      <c r="R159" s="227">
        <f t="shared" si="38"/>
        <v>0</v>
      </c>
      <c r="S159" s="227">
        <f t="shared" si="38"/>
        <v>0</v>
      </c>
      <c r="T159" s="227">
        <f t="shared" si="38"/>
        <v>0</v>
      </c>
      <c r="U159" s="227">
        <f t="shared" si="38"/>
        <v>0</v>
      </c>
      <c r="V159" s="227">
        <f t="shared" si="38"/>
        <v>0</v>
      </c>
      <c r="W159" s="227">
        <f t="shared" si="38"/>
        <v>0</v>
      </c>
      <c r="X159" s="227">
        <f t="shared" si="38"/>
        <v>0</v>
      </c>
      <c r="Y159" s="227">
        <f t="shared" si="38"/>
        <v>0</v>
      </c>
      <c r="Z159" s="227">
        <f t="shared" si="38"/>
        <v>0</v>
      </c>
      <c r="AA159" s="227">
        <f t="shared" si="38"/>
        <v>0</v>
      </c>
      <c r="AB159" s="227">
        <f t="shared" si="38"/>
        <v>0</v>
      </c>
      <c r="AC159" s="227">
        <f t="shared" si="38"/>
        <v>0</v>
      </c>
      <c r="AD159" s="227">
        <f t="shared" si="38"/>
        <v>0</v>
      </c>
      <c r="AE159" s="227">
        <f t="shared" si="38"/>
        <v>0</v>
      </c>
      <c r="AF159" s="189">
        <f>sum(B159:AE159)</f>
        <v>0</v>
      </c>
    </row>
    <row r="160">
      <c r="A160" s="224"/>
      <c r="AF160" s="189"/>
    </row>
    <row r="161">
      <c r="A161" s="169" t="s">
        <v>314</v>
      </c>
      <c r="AF161" s="189">
        <f t="shared" ref="AF161:AF164" si="39">sum(B161:AE161)</f>
        <v>0</v>
      </c>
    </row>
    <row r="162">
      <c r="A162" s="176" t="s">
        <v>55</v>
      </c>
      <c r="B162" s="228">
        <v>46.0</v>
      </c>
      <c r="C162" s="228">
        <v>40.0</v>
      </c>
      <c r="D162" s="228">
        <v>50.0</v>
      </c>
      <c r="E162" s="228">
        <v>40.0</v>
      </c>
      <c r="F162" s="228">
        <v>43.0</v>
      </c>
      <c r="G162" s="228">
        <v>52.0</v>
      </c>
      <c r="H162" s="228">
        <v>49.0</v>
      </c>
      <c r="I162" s="228">
        <v>66.0</v>
      </c>
      <c r="J162" s="195">
        <v>60.0</v>
      </c>
      <c r="K162" s="228">
        <v>45.0</v>
      </c>
      <c r="L162" s="228">
        <v>55.0</v>
      </c>
      <c r="M162" s="228">
        <v>70.0</v>
      </c>
      <c r="N162" s="228">
        <v>82.0</v>
      </c>
      <c r="O162" s="228">
        <v>80.0</v>
      </c>
      <c r="P162" s="228">
        <v>97.0</v>
      </c>
      <c r="Q162" s="228">
        <v>78.0</v>
      </c>
      <c r="R162" s="228">
        <v>89.0</v>
      </c>
      <c r="S162" s="228">
        <v>131.0</v>
      </c>
      <c r="T162" s="228">
        <v>69.0</v>
      </c>
      <c r="U162" s="228">
        <v>29.0</v>
      </c>
      <c r="V162" s="228">
        <v>14.0</v>
      </c>
      <c r="W162" s="228">
        <v>13.0</v>
      </c>
      <c r="X162" s="228">
        <v>15.0</v>
      </c>
      <c r="Y162" s="228">
        <v>28.0</v>
      </c>
      <c r="Z162" s="228">
        <v>26.0</v>
      </c>
      <c r="AA162" s="228">
        <v>31.0</v>
      </c>
      <c r="AB162" s="228">
        <v>20.0</v>
      </c>
      <c r="AC162" s="215">
        <v>22.0</v>
      </c>
      <c r="AD162" s="215">
        <v>20.0</v>
      </c>
      <c r="AE162" s="228">
        <v>22.0</v>
      </c>
      <c r="AF162" s="189">
        <f t="shared" si="39"/>
        <v>1482</v>
      </c>
    </row>
    <row r="163">
      <c r="A163" s="176" t="s">
        <v>57</v>
      </c>
      <c r="B163" s="228">
        <v>75.0</v>
      </c>
      <c r="C163" s="228">
        <v>81.0</v>
      </c>
      <c r="D163" s="228">
        <v>99.0</v>
      </c>
      <c r="E163" s="228">
        <v>88.0</v>
      </c>
      <c r="F163" s="228">
        <v>74.0</v>
      </c>
      <c r="G163" s="228">
        <v>85.0</v>
      </c>
      <c r="H163" s="228">
        <v>76.0</v>
      </c>
      <c r="I163" s="228">
        <v>105.0</v>
      </c>
      <c r="J163" s="195">
        <v>101.0</v>
      </c>
      <c r="K163" s="228">
        <v>89.0</v>
      </c>
      <c r="L163" s="228">
        <v>87.0</v>
      </c>
      <c r="M163" s="228">
        <v>93.0</v>
      </c>
      <c r="N163" s="228">
        <v>118.0</v>
      </c>
      <c r="O163" s="228">
        <v>112.0</v>
      </c>
      <c r="P163" s="228">
        <v>133.0</v>
      </c>
      <c r="Q163" s="228">
        <v>112.0</v>
      </c>
      <c r="R163" s="229">
        <v>151.0</v>
      </c>
      <c r="S163" s="228">
        <v>196.0</v>
      </c>
      <c r="T163" s="228">
        <v>133.0</v>
      </c>
      <c r="U163" s="228">
        <v>61.0</v>
      </c>
      <c r="V163" s="228">
        <v>28.0</v>
      </c>
      <c r="W163" s="228">
        <v>32.0</v>
      </c>
      <c r="X163" s="228">
        <v>40.0</v>
      </c>
      <c r="Y163" s="228">
        <v>47.0</v>
      </c>
      <c r="Z163" s="228">
        <v>104.0</v>
      </c>
      <c r="AA163" s="228">
        <v>67.0</v>
      </c>
      <c r="AB163" s="228">
        <v>35.0</v>
      </c>
      <c r="AC163" s="22">
        <v>42.0</v>
      </c>
      <c r="AD163" s="22">
        <v>50.0</v>
      </c>
      <c r="AE163" s="228">
        <v>64.0</v>
      </c>
      <c r="AF163" s="189">
        <f t="shared" si="39"/>
        <v>2578</v>
      </c>
    </row>
    <row r="164">
      <c r="A164" s="217" t="s">
        <v>308</v>
      </c>
      <c r="B164" s="227">
        <f t="shared" ref="B164:AE164" si="40">SUM(B162:B163)</f>
        <v>121</v>
      </c>
      <c r="C164" s="227">
        <f t="shared" si="40"/>
        <v>121</v>
      </c>
      <c r="D164" s="227">
        <f t="shared" si="40"/>
        <v>149</v>
      </c>
      <c r="E164" s="227">
        <f t="shared" si="40"/>
        <v>128</v>
      </c>
      <c r="F164" s="227">
        <f t="shared" si="40"/>
        <v>117</v>
      </c>
      <c r="G164" s="227">
        <f t="shared" si="40"/>
        <v>137</v>
      </c>
      <c r="H164" s="227">
        <f t="shared" si="40"/>
        <v>125</v>
      </c>
      <c r="I164" s="227">
        <f t="shared" si="40"/>
        <v>171</v>
      </c>
      <c r="J164" s="227">
        <f t="shared" si="40"/>
        <v>161</v>
      </c>
      <c r="K164" s="227">
        <f t="shared" si="40"/>
        <v>134</v>
      </c>
      <c r="L164" s="227">
        <f t="shared" si="40"/>
        <v>142</v>
      </c>
      <c r="M164" s="227">
        <f t="shared" si="40"/>
        <v>163</v>
      </c>
      <c r="N164" s="227">
        <f t="shared" si="40"/>
        <v>200</v>
      </c>
      <c r="O164" s="227">
        <f t="shared" si="40"/>
        <v>192</v>
      </c>
      <c r="P164" s="227">
        <f t="shared" si="40"/>
        <v>230</v>
      </c>
      <c r="Q164" s="227">
        <f t="shared" si="40"/>
        <v>190</v>
      </c>
      <c r="R164" s="227">
        <f t="shared" si="40"/>
        <v>240</v>
      </c>
      <c r="S164" s="227">
        <f t="shared" si="40"/>
        <v>327</v>
      </c>
      <c r="T164" s="227">
        <f t="shared" si="40"/>
        <v>202</v>
      </c>
      <c r="U164" s="227">
        <f t="shared" si="40"/>
        <v>90</v>
      </c>
      <c r="V164" s="227">
        <f t="shared" si="40"/>
        <v>42</v>
      </c>
      <c r="W164" s="227">
        <f t="shared" si="40"/>
        <v>45</v>
      </c>
      <c r="X164" s="227">
        <f t="shared" si="40"/>
        <v>55</v>
      </c>
      <c r="Y164" s="227">
        <f t="shared" si="40"/>
        <v>75</v>
      </c>
      <c r="Z164" s="227">
        <f t="shared" si="40"/>
        <v>130</v>
      </c>
      <c r="AA164" s="227">
        <f t="shared" si="40"/>
        <v>98</v>
      </c>
      <c r="AB164" s="227">
        <f t="shared" si="40"/>
        <v>55</v>
      </c>
      <c r="AC164" s="227">
        <f t="shared" si="40"/>
        <v>64</v>
      </c>
      <c r="AD164" s="227">
        <f t="shared" si="40"/>
        <v>70</v>
      </c>
      <c r="AE164" s="227">
        <f t="shared" si="40"/>
        <v>86</v>
      </c>
      <c r="AF164" s="189">
        <f t="shared" si="39"/>
        <v>4060</v>
      </c>
    </row>
    <row r="165">
      <c r="A165" s="26"/>
      <c r="AF165" s="189"/>
    </row>
    <row r="166">
      <c r="A166" s="176" t="s">
        <v>62</v>
      </c>
      <c r="B166" s="228">
        <v>27.0</v>
      </c>
      <c r="C166" s="228">
        <v>31.0</v>
      </c>
      <c r="D166" s="228">
        <v>41.0</v>
      </c>
      <c r="E166" s="228">
        <v>46.0</v>
      </c>
      <c r="F166" s="228">
        <v>40.0</v>
      </c>
      <c r="G166" s="228">
        <v>31.0</v>
      </c>
      <c r="H166" s="228">
        <v>43.0</v>
      </c>
      <c r="I166" s="228">
        <v>44.0</v>
      </c>
      <c r="J166" s="195">
        <v>58.0</v>
      </c>
      <c r="K166" s="228">
        <v>55.0</v>
      </c>
      <c r="L166" s="228">
        <v>48.0</v>
      </c>
      <c r="M166" s="228">
        <v>44.0</v>
      </c>
      <c r="N166" s="228">
        <v>51.0</v>
      </c>
      <c r="O166" s="228">
        <v>64.0</v>
      </c>
      <c r="P166" s="228">
        <v>79.0</v>
      </c>
      <c r="Q166" s="228">
        <v>73.0</v>
      </c>
      <c r="R166" s="228">
        <v>64.0</v>
      </c>
      <c r="S166" s="228">
        <v>92.0</v>
      </c>
      <c r="T166" s="228">
        <v>68.0</v>
      </c>
      <c r="U166" s="228">
        <v>35.0</v>
      </c>
      <c r="V166" s="228">
        <v>16.0</v>
      </c>
      <c r="W166" s="228">
        <v>13.0</v>
      </c>
      <c r="X166" s="228">
        <v>21.0</v>
      </c>
      <c r="Y166" s="228">
        <v>27.0</v>
      </c>
      <c r="Z166" s="228">
        <v>48.0</v>
      </c>
      <c r="AA166" s="228">
        <v>29.0</v>
      </c>
      <c r="AB166" s="228">
        <v>19.0</v>
      </c>
      <c r="AC166" s="228">
        <v>20.0</v>
      </c>
      <c r="AD166" s="221">
        <v>16.0</v>
      </c>
      <c r="AE166" s="228">
        <v>23.0</v>
      </c>
      <c r="AF166" s="189">
        <f t="shared" ref="AF166:AF171" si="41">sum(B166:AE166)</f>
        <v>1266</v>
      </c>
    </row>
    <row r="167">
      <c r="A167" s="176" t="s">
        <v>70</v>
      </c>
      <c r="B167" s="228">
        <v>0.0</v>
      </c>
      <c r="C167" s="228">
        <v>0.0</v>
      </c>
      <c r="D167" s="228">
        <v>0.0</v>
      </c>
      <c r="E167" s="228">
        <v>0.0</v>
      </c>
      <c r="F167" s="228">
        <v>0.0</v>
      </c>
      <c r="G167" s="228">
        <v>0.0</v>
      </c>
      <c r="H167" s="228">
        <v>0.0</v>
      </c>
      <c r="I167" s="228">
        <v>0.0</v>
      </c>
      <c r="J167" s="213">
        <v>0.0</v>
      </c>
      <c r="K167" s="228">
        <v>0.0</v>
      </c>
      <c r="L167" s="228">
        <v>0.0</v>
      </c>
      <c r="M167" s="228">
        <v>0.0</v>
      </c>
      <c r="N167" s="228">
        <v>0.0</v>
      </c>
      <c r="O167" s="228">
        <v>0.0</v>
      </c>
      <c r="P167" s="228">
        <v>0.0</v>
      </c>
      <c r="Q167" s="228">
        <v>0.0</v>
      </c>
      <c r="R167" s="228">
        <v>0.0</v>
      </c>
      <c r="S167" s="228">
        <v>0.0</v>
      </c>
      <c r="T167" s="228">
        <v>0.0</v>
      </c>
      <c r="U167" s="228">
        <v>0.0</v>
      </c>
      <c r="V167" s="228">
        <v>0.0</v>
      </c>
      <c r="W167" s="228">
        <v>0.0</v>
      </c>
      <c r="X167" s="228">
        <v>0.0</v>
      </c>
      <c r="Y167" s="228">
        <v>0.0</v>
      </c>
      <c r="Z167" s="228">
        <v>0.0</v>
      </c>
      <c r="AA167" s="228">
        <v>0.0</v>
      </c>
      <c r="AB167" s="228">
        <v>0.0</v>
      </c>
      <c r="AC167" s="228">
        <v>0.0</v>
      </c>
      <c r="AD167" s="22">
        <v>0.0</v>
      </c>
      <c r="AE167" s="228">
        <v>0.0</v>
      </c>
      <c r="AF167" s="189">
        <f t="shared" si="41"/>
        <v>0</v>
      </c>
    </row>
    <row r="168">
      <c r="A168" s="176" t="s">
        <v>78</v>
      </c>
      <c r="B168" s="228">
        <v>16.0</v>
      </c>
      <c r="C168" s="228">
        <v>17.0</v>
      </c>
      <c r="D168" s="228">
        <v>21.0</v>
      </c>
      <c r="E168" s="228">
        <v>28.0</v>
      </c>
      <c r="F168" s="228">
        <v>19.0</v>
      </c>
      <c r="G168" s="228">
        <v>16.0</v>
      </c>
      <c r="H168" s="228">
        <v>26.0</v>
      </c>
      <c r="I168" s="228">
        <v>35.0</v>
      </c>
      <c r="J168" s="195">
        <v>37.0</v>
      </c>
      <c r="K168" s="228">
        <v>27.0</v>
      </c>
      <c r="L168" s="228">
        <v>32.0</v>
      </c>
      <c r="M168" s="228">
        <v>28.0</v>
      </c>
      <c r="N168" s="228">
        <v>24.0</v>
      </c>
      <c r="O168" s="228">
        <v>24.0</v>
      </c>
      <c r="P168" s="228">
        <v>32.0</v>
      </c>
      <c r="Q168" s="228">
        <v>37.0</v>
      </c>
      <c r="R168" s="228">
        <v>35.0</v>
      </c>
      <c r="S168" s="228">
        <v>55.0</v>
      </c>
      <c r="T168" s="228">
        <v>47.0</v>
      </c>
      <c r="U168" s="228">
        <v>22.0</v>
      </c>
      <c r="V168" s="228">
        <v>16.0</v>
      </c>
      <c r="W168" s="228">
        <v>7.0</v>
      </c>
      <c r="X168" s="228">
        <v>10.0</v>
      </c>
      <c r="Y168" s="228">
        <v>16.0</v>
      </c>
      <c r="Z168" s="228">
        <v>21.0</v>
      </c>
      <c r="AA168" s="228">
        <v>14.0</v>
      </c>
      <c r="AB168" s="228">
        <v>8.0</v>
      </c>
      <c r="AC168" s="222">
        <v>6.0</v>
      </c>
      <c r="AD168" s="222">
        <v>16.0</v>
      </c>
      <c r="AE168" s="228">
        <v>13.0</v>
      </c>
      <c r="AF168" s="189">
        <f t="shared" si="41"/>
        <v>705</v>
      </c>
    </row>
    <row r="169">
      <c r="A169" s="176" t="s">
        <v>79</v>
      </c>
      <c r="B169" s="228">
        <v>16.0</v>
      </c>
      <c r="C169" s="228">
        <v>21.0</v>
      </c>
      <c r="D169" s="228">
        <v>20.0</v>
      </c>
      <c r="E169" s="228">
        <v>28.0</v>
      </c>
      <c r="F169" s="228">
        <v>19.0</v>
      </c>
      <c r="G169" s="228">
        <v>17.0</v>
      </c>
      <c r="H169" s="228">
        <v>21.0</v>
      </c>
      <c r="I169" s="228">
        <v>30.0</v>
      </c>
      <c r="J169" s="213">
        <v>36.0</v>
      </c>
      <c r="K169" s="228">
        <v>24.0</v>
      </c>
      <c r="L169" s="228">
        <v>32.0</v>
      </c>
      <c r="M169" s="228">
        <v>27.0</v>
      </c>
      <c r="N169" s="228">
        <v>21.0</v>
      </c>
      <c r="O169" s="228">
        <v>23.0</v>
      </c>
      <c r="P169" s="228">
        <v>33.0</v>
      </c>
      <c r="Q169" s="228">
        <v>48.0</v>
      </c>
      <c r="R169" s="228">
        <v>31.0</v>
      </c>
      <c r="S169" s="228">
        <v>55.0</v>
      </c>
      <c r="T169" s="228">
        <v>51.0</v>
      </c>
      <c r="U169" s="228">
        <v>20.0</v>
      </c>
      <c r="V169" s="228">
        <v>11.0</v>
      </c>
      <c r="W169" s="228">
        <v>8.0</v>
      </c>
      <c r="X169" s="228">
        <v>15.0</v>
      </c>
      <c r="Y169" s="228">
        <v>11.0</v>
      </c>
      <c r="Z169" s="228">
        <v>21.0</v>
      </c>
      <c r="AA169" s="228">
        <v>19.0</v>
      </c>
      <c r="AB169" s="228">
        <v>7.0</v>
      </c>
      <c r="AC169" s="223">
        <v>7.0</v>
      </c>
      <c r="AD169" s="223">
        <v>15.0</v>
      </c>
      <c r="AE169" s="228">
        <v>18.0</v>
      </c>
      <c r="AF169" s="189">
        <f t="shared" si="41"/>
        <v>705</v>
      </c>
    </row>
    <row r="170">
      <c r="A170" s="176" t="s">
        <v>60</v>
      </c>
      <c r="B170" s="228">
        <v>4.0</v>
      </c>
      <c r="C170" s="228">
        <v>8.0</v>
      </c>
      <c r="D170" s="228">
        <v>14.0</v>
      </c>
      <c r="E170" s="228">
        <v>11.0</v>
      </c>
      <c r="F170" s="228">
        <v>14.0</v>
      </c>
      <c r="G170" s="228">
        <v>4.0</v>
      </c>
      <c r="H170" s="228">
        <v>12.0</v>
      </c>
      <c r="I170" s="228">
        <v>9.0</v>
      </c>
      <c r="J170" s="213">
        <v>15.0</v>
      </c>
      <c r="K170" s="228">
        <v>13.0</v>
      </c>
      <c r="L170" s="228">
        <v>9.0</v>
      </c>
      <c r="M170" s="228">
        <v>15.0</v>
      </c>
      <c r="N170" s="228">
        <v>12.0</v>
      </c>
      <c r="O170" s="228">
        <v>13.0</v>
      </c>
      <c r="P170" s="228">
        <v>10.0</v>
      </c>
      <c r="Q170" s="228">
        <v>17.0</v>
      </c>
      <c r="R170" s="228">
        <v>9.0</v>
      </c>
      <c r="S170" s="228">
        <v>22.0</v>
      </c>
      <c r="T170" s="228">
        <v>19.0</v>
      </c>
      <c r="U170" s="228">
        <v>4.0</v>
      </c>
      <c r="V170" s="228">
        <v>6.0</v>
      </c>
      <c r="W170" s="228">
        <v>5.0</v>
      </c>
      <c r="X170" s="228">
        <v>6.0</v>
      </c>
      <c r="Y170" s="228">
        <v>4.0</v>
      </c>
      <c r="Z170" s="228">
        <v>10.0</v>
      </c>
      <c r="AA170" s="228">
        <v>9.0</v>
      </c>
      <c r="AB170" s="228">
        <v>4.0</v>
      </c>
      <c r="AC170" s="223">
        <v>10.0</v>
      </c>
      <c r="AD170" s="223">
        <v>15.0</v>
      </c>
      <c r="AE170" s="228">
        <v>13.0</v>
      </c>
      <c r="AF170" s="189">
        <f t="shared" si="41"/>
        <v>316</v>
      </c>
    </row>
    <row r="171">
      <c r="A171" s="217" t="s">
        <v>123</v>
      </c>
      <c r="B171" s="227">
        <f t="shared" ref="B171:AE171" si="42">SUM(B166:B170)</f>
        <v>63</v>
      </c>
      <c r="C171" s="227">
        <f t="shared" si="42"/>
        <v>77</v>
      </c>
      <c r="D171" s="227">
        <f t="shared" si="42"/>
        <v>96</v>
      </c>
      <c r="E171" s="227">
        <f t="shared" si="42"/>
        <v>113</v>
      </c>
      <c r="F171" s="227">
        <f t="shared" si="42"/>
        <v>92</v>
      </c>
      <c r="G171" s="227">
        <f t="shared" si="42"/>
        <v>68</v>
      </c>
      <c r="H171" s="227">
        <f t="shared" si="42"/>
        <v>102</v>
      </c>
      <c r="I171" s="227">
        <f t="shared" si="42"/>
        <v>118</v>
      </c>
      <c r="J171" s="227">
        <f t="shared" si="42"/>
        <v>146</v>
      </c>
      <c r="K171" s="227">
        <f t="shared" si="42"/>
        <v>119</v>
      </c>
      <c r="L171" s="227">
        <f t="shared" si="42"/>
        <v>121</v>
      </c>
      <c r="M171" s="227">
        <f t="shared" si="42"/>
        <v>114</v>
      </c>
      <c r="N171" s="227">
        <f t="shared" si="42"/>
        <v>108</v>
      </c>
      <c r="O171" s="227">
        <f t="shared" si="42"/>
        <v>124</v>
      </c>
      <c r="P171" s="227">
        <f t="shared" si="42"/>
        <v>154</v>
      </c>
      <c r="Q171" s="227">
        <f t="shared" si="42"/>
        <v>175</v>
      </c>
      <c r="R171" s="227">
        <f t="shared" si="42"/>
        <v>139</v>
      </c>
      <c r="S171" s="227">
        <f t="shared" si="42"/>
        <v>224</v>
      </c>
      <c r="T171" s="227">
        <f t="shared" si="42"/>
        <v>185</v>
      </c>
      <c r="U171" s="227">
        <f t="shared" si="42"/>
        <v>81</v>
      </c>
      <c r="V171" s="227">
        <f t="shared" si="42"/>
        <v>49</v>
      </c>
      <c r="W171" s="227">
        <f t="shared" si="42"/>
        <v>33</v>
      </c>
      <c r="X171" s="227">
        <f t="shared" si="42"/>
        <v>52</v>
      </c>
      <c r="Y171" s="227">
        <f t="shared" si="42"/>
        <v>58</v>
      </c>
      <c r="Z171" s="227">
        <f t="shared" si="42"/>
        <v>100</v>
      </c>
      <c r="AA171" s="227">
        <f t="shared" si="42"/>
        <v>71</v>
      </c>
      <c r="AB171" s="227">
        <f t="shared" si="42"/>
        <v>38</v>
      </c>
      <c r="AC171" s="227">
        <f t="shared" si="42"/>
        <v>43</v>
      </c>
      <c r="AD171" s="227">
        <f t="shared" si="42"/>
        <v>62</v>
      </c>
      <c r="AE171" s="227">
        <f t="shared" si="42"/>
        <v>67</v>
      </c>
      <c r="AF171" s="189">
        <f t="shared" si="41"/>
        <v>2992</v>
      </c>
    </row>
    <row r="172">
      <c r="A172" s="224"/>
      <c r="AF172" s="189"/>
    </row>
    <row r="173">
      <c r="A173" s="169" t="s">
        <v>315</v>
      </c>
      <c r="AF173" s="189">
        <f t="shared" ref="AF173:AF176" si="43">sum(B173:AE173)</f>
        <v>0</v>
      </c>
    </row>
    <row r="174">
      <c r="A174" s="176" t="s">
        <v>55</v>
      </c>
      <c r="B174" s="228">
        <v>6.0</v>
      </c>
      <c r="C174" s="228">
        <v>1.0</v>
      </c>
      <c r="D174" s="228">
        <v>0.0</v>
      </c>
      <c r="E174" s="228">
        <v>4.0</v>
      </c>
      <c r="F174" s="228">
        <v>7.0</v>
      </c>
      <c r="G174" s="228">
        <v>2.0</v>
      </c>
      <c r="H174" s="228">
        <v>0.0</v>
      </c>
      <c r="I174" s="228">
        <v>1.0</v>
      </c>
      <c r="J174" s="228">
        <v>2.0</v>
      </c>
      <c r="K174" s="228">
        <v>2.0</v>
      </c>
      <c r="L174" s="228">
        <v>2.0</v>
      </c>
      <c r="M174" s="228">
        <v>3.0</v>
      </c>
      <c r="N174" s="228">
        <v>1.0</v>
      </c>
      <c r="O174" s="228">
        <v>18.0</v>
      </c>
      <c r="P174" s="228">
        <v>4.0</v>
      </c>
      <c r="Q174" s="228">
        <v>4.0</v>
      </c>
      <c r="R174" s="228">
        <v>3.0</v>
      </c>
      <c r="S174" s="228">
        <v>6.0</v>
      </c>
      <c r="T174" s="228">
        <v>3.0</v>
      </c>
      <c r="U174" s="228">
        <v>1.0</v>
      </c>
      <c r="V174" s="228">
        <v>2.0</v>
      </c>
      <c r="W174" s="228">
        <v>1.0</v>
      </c>
      <c r="X174" s="228">
        <v>1.0</v>
      </c>
      <c r="Y174" s="228">
        <v>3.0</v>
      </c>
      <c r="Z174" s="228">
        <v>6.0</v>
      </c>
      <c r="AA174" s="230">
        <v>2.0</v>
      </c>
      <c r="AB174" s="228">
        <v>2.0</v>
      </c>
      <c r="AC174" s="228">
        <v>0.0</v>
      </c>
      <c r="AD174" s="228">
        <v>0.0</v>
      </c>
      <c r="AE174" s="228">
        <v>0.0</v>
      </c>
      <c r="AF174" s="189">
        <f t="shared" si="43"/>
        <v>87</v>
      </c>
    </row>
    <row r="175">
      <c r="A175" s="176" t="s">
        <v>57</v>
      </c>
      <c r="B175" s="228">
        <v>3.0</v>
      </c>
      <c r="C175" s="228">
        <v>81.0</v>
      </c>
      <c r="D175" s="228">
        <v>6.0</v>
      </c>
      <c r="E175" s="228">
        <v>2.0</v>
      </c>
      <c r="F175" s="228">
        <v>14.0</v>
      </c>
      <c r="G175" s="228">
        <v>6.0</v>
      </c>
      <c r="H175" s="228">
        <v>3.0</v>
      </c>
      <c r="I175" s="228">
        <v>11.0</v>
      </c>
      <c r="J175" s="228">
        <v>4.0</v>
      </c>
      <c r="K175" s="228">
        <v>5.0</v>
      </c>
      <c r="L175" s="228">
        <v>5.0</v>
      </c>
      <c r="M175" s="228">
        <v>6.0</v>
      </c>
      <c r="N175" s="228">
        <v>9.0</v>
      </c>
      <c r="O175" s="228">
        <v>10.0</v>
      </c>
      <c r="P175" s="228">
        <v>8.0</v>
      </c>
      <c r="Q175" s="228">
        <v>5.0</v>
      </c>
      <c r="R175" s="228">
        <v>8.0</v>
      </c>
      <c r="S175" s="228">
        <v>6.0</v>
      </c>
      <c r="T175" s="228">
        <v>17.0</v>
      </c>
      <c r="U175" s="228">
        <v>2.0</v>
      </c>
      <c r="V175" s="228">
        <v>4.0</v>
      </c>
      <c r="W175" s="228">
        <v>0.0</v>
      </c>
      <c r="X175" s="228">
        <v>0.0</v>
      </c>
      <c r="Y175" s="228">
        <v>3.0</v>
      </c>
      <c r="Z175" s="228">
        <v>8.0</v>
      </c>
      <c r="AA175" s="230">
        <v>5.0</v>
      </c>
      <c r="AB175" s="228">
        <v>2.0</v>
      </c>
      <c r="AC175" s="228">
        <v>0.0</v>
      </c>
      <c r="AD175" s="228">
        <v>0.0</v>
      </c>
      <c r="AE175" s="228">
        <v>0.0</v>
      </c>
      <c r="AF175" s="189">
        <f t="shared" si="43"/>
        <v>233</v>
      </c>
    </row>
    <row r="176">
      <c r="A176" s="217" t="s">
        <v>308</v>
      </c>
      <c r="B176" s="227">
        <f t="shared" ref="B176:AE176" si="44">SUM(B174:B175)</f>
        <v>9</v>
      </c>
      <c r="C176" s="227">
        <f t="shared" si="44"/>
        <v>82</v>
      </c>
      <c r="D176" s="227">
        <f t="shared" si="44"/>
        <v>6</v>
      </c>
      <c r="E176" s="227">
        <f t="shared" si="44"/>
        <v>6</v>
      </c>
      <c r="F176" s="227">
        <f t="shared" si="44"/>
        <v>21</v>
      </c>
      <c r="G176" s="227">
        <f t="shared" si="44"/>
        <v>8</v>
      </c>
      <c r="H176" s="227">
        <f t="shared" si="44"/>
        <v>3</v>
      </c>
      <c r="I176" s="227">
        <f t="shared" si="44"/>
        <v>12</v>
      </c>
      <c r="J176" s="227">
        <f t="shared" si="44"/>
        <v>6</v>
      </c>
      <c r="K176" s="227">
        <f t="shared" si="44"/>
        <v>7</v>
      </c>
      <c r="L176" s="227">
        <f t="shared" si="44"/>
        <v>7</v>
      </c>
      <c r="M176" s="227">
        <f t="shared" si="44"/>
        <v>9</v>
      </c>
      <c r="N176" s="227">
        <f t="shared" si="44"/>
        <v>10</v>
      </c>
      <c r="O176" s="227">
        <f t="shared" si="44"/>
        <v>28</v>
      </c>
      <c r="P176" s="227">
        <f t="shared" si="44"/>
        <v>12</v>
      </c>
      <c r="Q176" s="227">
        <f t="shared" si="44"/>
        <v>9</v>
      </c>
      <c r="R176" s="227">
        <f t="shared" si="44"/>
        <v>11</v>
      </c>
      <c r="S176" s="227">
        <f t="shared" si="44"/>
        <v>12</v>
      </c>
      <c r="T176" s="227">
        <f t="shared" si="44"/>
        <v>20</v>
      </c>
      <c r="U176" s="227">
        <f t="shared" si="44"/>
        <v>3</v>
      </c>
      <c r="V176" s="227">
        <f t="shared" si="44"/>
        <v>6</v>
      </c>
      <c r="W176" s="227">
        <f t="shared" si="44"/>
        <v>1</v>
      </c>
      <c r="X176" s="227">
        <f t="shared" si="44"/>
        <v>1</v>
      </c>
      <c r="Y176" s="227">
        <f t="shared" si="44"/>
        <v>6</v>
      </c>
      <c r="Z176" s="227">
        <f t="shared" si="44"/>
        <v>14</v>
      </c>
      <c r="AA176" s="227">
        <f t="shared" si="44"/>
        <v>7</v>
      </c>
      <c r="AB176" s="227">
        <f t="shared" si="44"/>
        <v>4</v>
      </c>
      <c r="AC176" s="227">
        <f t="shared" si="44"/>
        <v>0</v>
      </c>
      <c r="AD176" s="227">
        <f t="shared" si="44"/>
        <v>0</v>
      </c>
      <c r="AE176" s="227">
        <f t="shared" si="44"/>
        <v>0</v>
      </c>
      <c r="AF176" s="189">
        <f t="shared" si="43"/>
        <v>320</v>
      </c>
    </row>
    <row r="177">
      <c r="A177" s="26"/>
      <c r="AF177" s="189"/>
    </row>
    <row r="178">
      <c r="A178" s="176" t="s">
        <v>62</v>
      </c>
      <c r="B178" s="228">
        <v>4.0</v>
      </c>
      <c r="C178" s="228">
        <v>6.0</v>
      </c>
      <c r="D178" s="228">
        <v>7.0</v>
      </c>
      <c r="E178" s="228">
        <v>4.0</v>
      </c>
      <c r="F178" s="228">
        <v>10.0</v>
      </c>
      <c r="G178" s="228">
        <v>13.0</v>
      </c>
      <c r="H178" s="228">
        <v>2.0</v>
      </c>
      <c r="I178" s="228">
        <v>10.0</v>
      </c>
      <c r="J178" s="228">
        <v>6.0</v>
      </c>
      <c r="K178" s="228">
        <v>6.0</v>
      </c>
      <c r="L178" s="228">
        <v>3.0</v>
      </c>
      <c r="M178" s="228">
        <v>21.0</v>
      </c>
      <c r="N178" s="228">
        <v>8.0</v>
      </c>
      <c r="O178" s="228">
        <v>15.0</v>
      </c>
      <c r="P178" s="228">
        <v>7.0</v>
      </c>
      <c r="Q178" s="228">
        <v>6.0</v>
      </c>
      <c r="R178" s="228">
        <v>6.0</v>
      </c>
      <c r="S178" s="228">
        <v>10.0</v>
      </c>
      <c r="T178" s="228">
        <v>10.0</v>
      </c>
      <c r="U178" s="228">
        <v>4.0</v>
      </c>
      <c r="V178" s="228">
        <v>7.0</v>
      </c>
      <c r="W178" s="228">
        <v>1.0</v>
      </c>
      <c r="X178" s="228">
        <v>8.0</v>
      </c>
      <c r="Y178" s="228">
        <v>7.0</v>
      </c>
      <c r="Z178" s="228">
        <v>15.0</v>
      </c>
      <c r="AA178" s="228">
        <v>6.0</v>
      </c>
      <c r="AB178" s="228">
        <v>2.0</v>
      </c>
      <c r="AC178" s="228">
        <v>1.0</v>
      </c>
      <c r="AD178" s="228">
        <v>0.0</v>
      </c>
      <c r="AE178" s="228">
        <v>0.0</v>
      </c>
      <c r="AF178" s="189">
        <f t="shared" ref="AF178:AF183" si="45">sum(B178:AE178)</f>
        <v>205</v>
      </c>
    </row>
    <row r="179">
      <c r="A179" s="176" t="s">
        <v>70</v>
      </c>
      <c r="B179" s="228">
        <v>0.0</v>
      </c>
      <c r="C179" s="228">
        <v>0.0</v>
      </c>
      <c r="D179" s="228">
        <v>0.0</v>
      </c>
      <c r="E179" s="228">
        <v>0.0</v>
      </c>
      <c r="F179" s="228">
        <v>1.0</v>
      </c>
      <c r="G179" s="228">
        <v>0.0</v>
      </c>
      <c r="H179" s="228">
        <v>0.0</v>
      </c>
      <c r="I179" s="228">
        <v>0.0</v>
      </c>
      <c r="J179" s="228">
        <v>0.0</v>
      </c>
      <c r="K179" s="228">
        <v>0.0</v>
      </c>
      <c r="L179" s="228">
        <v>0.0</v>
      </c>
      <c r="M179" s="228">
        <v>0.0</v>
      </c>
      <c r="N179" s="228">
        <v>0.0</v>
      </c>
      <c r="O179" s="228">
        <v>0.0</v>
      </c>
      <c r="P179" s="228">
        <v>0.0</v>
      </c>
      <c r="Q179" s="228">
        <v>0.0</v>
      </c>
      <c r="R179" s="228">
        <v>0.0</v>
      </c>
      <c r="S179" s="228">
        <v>0.0</v>
      </c>
      <c r="T179" s="228">
        <v>0.0</v>
      </c>
      <c r="U179" s="228">
        <v>0.0</v>
      </c>
      <c r="V179" s="228">
        <v>0.0</v>
      </c>
      <c r="W179" s="228">
        <v>0.0</v>
      </c>
      <c r="X179" s="228">
        <v>0.0</v>
      </c>
      <c r="Y179" s="228">
        <v>0.0</v>
      </c>
      <c r="Z179" s="228">
        <v>0.0</v>
      </c>
      <c r="AA179" s="228">
        <v>0.0</v>
      </c>
      <c r="AB179" s="228">
        <v>0.0</v>
      </c>
      <c r="AC179" s="228">
        <v>0.0</v>
      </c>
      <c r="AD179" s="228">
        <v>0.0</v>
      </c>
      <c r="AE179" s="228">
        <v>0.0</v>
      </c>
      <c r="AF179" s="189">
        <f t="shared" si="45"/>
        <v>1</v>
      </c>
    </row>
    <row r="180">
      <c r="A180" s="176" t="s">
        <v>78</v>
      </c>
      <c r="B180" s="228">
        <v>1.0</v>
      </c>
      <c r="C180" s="228">
        <v>5.0</v>
      </c>
      <c r="D180" s="228">
        <v>5.0</v>
      </c>
      <c r="E180" s="228">
        <v>3.0</v>
      </c>
      <c r="F180" s="228">
        <v>4.0</v>
      </c>
      <c r="G180" s="228">
        <v>1.0</v>
      </c>
      <c r="H180" s="228">
        <v>3.0</v>
      </c>
      <c r="I180" s="228">
        <v>6.0</v>
      </c>
      <c r="J180" s="228">
        <v>1.0</v>
      </c>
      <c r="K180" s="228">
        <v>4.0</v>
      </c>
      <c r="L180" s="228">
        <v>1.0</v>
      </c>
      <c r="M180" s="228">
        <v>4.0</v>
      </c>
      <c r="N180" s="228">
        <v>5.0</v>
      </c>
      <c r="O180" s="228">
        <v>5.0</v>
      </c>
      <c r="P180" s="228">
        <v>4.0</v>
      </c>
      <c r="Q180" s="228">
        <v>7.0</v>
      </c>
      <c r="R180" s="228">
        <v>2.0</v>
      </c>
      <c r="S180" s="228">
        <v>5.0</v>
      </c>
      <c r="T180" s="228">
        <v>7.0</v>
      </c>
      <c r="U180" s="228">
        <v>0.0</v>
      </c>
      <c r="V180" s="228">
        <v>3.0</v>
      </c>
      <c r="W180" s="228">
        <v>0.0</v>
      </c>
      <c r="X180" s="228">
        <v>5.0</v>
      </c>
      <c r="Y180" s="228">
        <v>5.0</v>
      </c>
      <c r="Z180" s="228">
        <v>7.0</v>
      </c>
      <c r="AA180" s="228">
        <v>2.0</v>
      </c>
      <c r="AB180" s="228">
        <v>1.0</v>
      </c>
      <c r="AC180" s="228">
        <v>0.0</v>
      </c>
      <c r="AD180" s="228">
        <v>0.0</v>
      </c>
      <c r="AE180" s="228">
        <v>0.0</v>
      </c>
      <c r="AF180" s="189">
        <f t="shared" si="45"/>
        <v>96</v>
      </c>
    </row>
    <row r="181">
      <c r="A181" s="176" t="s">
        <v>79</v>
      </c>
      <c r="B181" s="228">
        <v>8.0</v>
      </c>
      <c r="C181" s="228">
        <v>10.0</v>
      </c>
      <c r="D181" s="228">
        <v>9.0</v>
      </c>
      <c r="E181" s="228">
        <v>5.0</v>
      </c>
      <c r="F181" s="228">
        <v>6.0</v>
      </c>
      <c r="G181" s="228">
        <v>7.0</v>
      </c>
      <c r="H181" s="228">
        <v>4.0</v>
      </c>
      <c r="I181" s="228">
        <v>9.0</v>
      </c>
      <c r="J181" s="228">
        <v>6.0</v>
      </c>
      <c r="K181" s="228">
        <v>5.0</v>
      </c>
      <c r="L181" s="228">
        <v>2.0</v>
      </c>
      <c r="M181" s="228">
        <v>11.0</v>
      </c>
      <c r="N181" s="228">
        <v>8.0</v>
      </c>
      <c r="O181" s="228">
        <v>7.0</v>
      </c>
      <c r="P181" s="228">
        <v>3.0</v>
      </c>
      <c r="Q181" s="228">
        <v>5.0</v>
      </c>
      <c r="R181" s="228">
        <v>4.0</v>
      </c>
      <c r="S181" s="228">
        <v>12.0</v>
      </c>
      <c r="T181" s="228">
        <v>8.0</v>
      </c>
      <c r="U181" s="228">
        <v>7.0</v>
      </c>
      <c r="V181" s="228">
        <v>5.0</v>
      </c>
      <c r="W181" s="228">
        <v>2.0</v>
      </c>
      <c r="X181" s="228">
        <v>10.0</v>
      </c>
      <c r="Y181" s="228">
        <v>5.0</v>
      </c>
      <c r="Z181" s="228">
        <v>11.0</v>
      </c>
      <c r="AA181" s="228">
        <v>1.0</v>
      </c>
      <c r="AB181" s="228">
        <v>1.0</v>
      </c>
      <c r="AC181" s="228">
        <v>0.0</v>
      </c>
      <c r="AD181" s="228">
        <v>0.0</v>
      </c>
      <c r="AE181" s="228">
        <v>0.0</v>
      </c>
      <c r="AF181" s="189">
        <f t="shared" si="45"/>
        <v>171</v>
      </c>
    </row>
    <row r="182">
      <c r="A182" s="176" t="s">
        <v>60</v>
      </c>
      <c r="B182" s="228">
        <v>11.0</v>
      </c>
      <c r="C182" s="228">
        <v>11.0</v>
      </c>
      <c r="D182" s="228">
        <v>9.0</v>
      </c>
      <c r="E182" s="228">
        <v>4.0</v>
      </c>
      <c r="F182" s="228">
        <v>7.0</v>
      </c>
      <c r="G182" s="228">
        <v>4.0</v>
      </c>
      <c r="H182" s="228">
        <v>6.0</v>
      </c>
      <c r="I182" s="228">
        <v>13.0</v>
      </c>
      <c r="J182" s="228">
        <v>5.0</v>
      </c>
      <c r="K182" s="228">
        <v>0.0</v>
      </c>
      <c r="L182" s="228">
        <v>7.0</v>
      </c>
      <c r="M182" s="228">
        <v>18.0</v>
      </c>
      <c r="N182" s="228">
        <v>6.0</v>
      </c>
      <c r="O182" s="228">
        <v>15.0</v>
      </c>
      <c r="P182" s="228">
        <v>5.0</v>
      </c>
      <c r="Q182" s="228">
        <v>16.0</v>
      </c>
      <c r="R182" s="228">
        <v>9.0</v>
      </c>
      <c r="S182" s="228">
        <v>12.0</v>
      </c>
      <c r="T182" s="228">
        <v>9.0</v>
      </c>
      <c r="U182" s="228">
        <v>9.0</v>
      </c>
      <c r="V182" s="228">
        <v>3.0</v>
      </c>
      <c r="W182" s="228">
        <v>2.0</v>
      </c>
      <c r="X182" s="228">
        <v>9.0</v>
      </c>
      <c r="Y182" s="228">
        <v>3.0</v>
      </c>
      <c r="Z182" s="228">
        <v>4.0</v>
      </c>
      <c r="AA182" s="228">
        <v>3.0</v>
      </c>
      <c r="AB182" s="228">
        <v>3.0</v>
      </c>
      <c r="AC182" s="228">
        <v>0.0</v>
      </c>
      <c r="AD182" s="228">
        <v>0.0</v>
      </c>
      <c r="AE182" s="228">
        <v>0.0</v>
      </c>
      <c r="AF182" s="189">
        <f t="shared" si="45"/>
        <v>203</v>
      </c>
    </row>
    <row r="183">
      <c r="A183" s="217" t="s">
        <v>123</v>
      </c>
      <c r="B183" s="227">
        <f t="shared" ref="B183:AE183" si="46">SUM(B178:B182)</f>
        <v>24</v>
      </c>
      <c r="C183" s="227">
        <f t="shared" si="46"/>
        <v>32</v>
      </c>
      <c r="D183" s="227">
        <f t="shared" si="46"/>
        <v>30</v>
      </c>
      <c r="E183" s="227">
        <f t="shared" si="46"/>
        <v>16</v>
      </c>
      <c r="F183" s="227">
        <f t="shared" si="46"/>
        <v>28</v>
      </c>
      <c r="G183" s="227">
        <f t="shared" si="46"/>
        <v>25</v>
      </c>
      <c r="H183" s="227">
        <f t="shared" si="46"/>
        <v>15</v>
      </c>
      <c r="I183" s="227">
        <f t="shared" si="46"/>
        <v>38</v>
      </c>
      <c r="J183" s="227">
        <f t="shared" si="46"/>
        <v>18</v>
      </c>
      <c r="K183" s="227">
        <f t="shared" si="46"/>
        <v>15</v>
      </c>
      <c r="L183" s="227">
        <f t="shared" si="46"/>
        <v>13</v>
      </c>
      <c r="M183" s="227">
        <f t="shared" si="46"/>
        <v>54</v>
      </c>
      <c r="N183" s="227">
        <f t="shared" si="46"/>
        <v>27</v>
      </c>
      <c r="O183" s="227">
        <f t="shared" si="46"/>
        <v>42</v>
      </c>
      <c r="P183" s="227">
        <f t="shared" si="46"/>
        <v>19</v>
      </c>
      <c r="Q183" s="227">
        <f t="shared" si="46"/>
        <v>34</v>
      </c>
      <c r="R183" s="227">
        <f t="shared" si="46"/>
        <v>21</v>
      </c>
      <c r="S183" s="227">
        <f t="shared" si="46"/>
        <v>39</v>
      </c>
      <c r="T183" s="227">
        <f t="shared" si="46"/>
        <v>34</v>
      </c>
      <c r="U183" s="227">
        <f t="shared" si="46"/>
        <v>20</v>
      </c>
      <c r="V183" s="227">
        <f t="shared" si="46"/>
        <v>18</v>
      </c>
      <c r="W183" s="227">
        <f t="shared" si="46"/>
        <v>5</v>
      </c>
      <c r="X183" s="227">
        <f t="shared" si="46"/>
        <v>32</v>
      </c>
      <c r="Y183" s="227">
        <f t="shared" si="46"/>
        <v>20</v>
      </c>
      <c r="Z183" s="227">
        <f t="shared" si="46"/>
        <v>37</v>
      </c>
      <c r="AA183" s="227">
        <f t="shared" si="46"/>
        <v>12</v>
      </c>
      <c r="AB183" s="227">
        <f t="shared" si="46"/>
        <v>7</v>
      </c>
      <c r="AC183" s="227">
        <f t="shared" si="46"/>
        <v>1</v>
      </c>
      <c r="AD183" s="227">
        <f t="shared" si="46"/>
        <v>0</v>
      </c>
      <c r="AE183" s="227">
        <f t="shared" si="46"/>
        <v>0</v>
      </c>
      <c r="AF183" s="189">
        <f t="shared" si="45"/>
        <v>676</v>
      </c>
    </row>
    <row r="184">
      <c r="A184" s="224"/>
      <c r="AF184" s="189"/>
    </row>
    <row r="185">
      <c r="A185" s="169" t="s">
        <v>316</v>
      </c>
      <c r="B185" s="213"/>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89"/>
    </row>
    <row r="186">
      <c r="A186" s="176" t="s">
        <v>55</v>
      </c>
      <c r="B186" s="231">
        <f t="shared" ref="B186:AE186" si="47">B139-B288</f>
        <v>43</v>
      </c>
      <c r="C186" s="231">
        <f t="shared" si="47"/>
        <v>40</v>
      </c>
      <c r="D186" s="231">
        <f t="shared" si="47"/>
        <v>43</v>
      </c>
      <c r="E186" s="231">
        <f t="shared" si="47"/>
        <v>42</v>
      </c>
      <c r="F186" s="231">
        <f t="shared" si="47"/>
        <v>42</v>
      </c>
      <c r="G186" s="231">
        <f t="shared" si="47"/>
        <v>43</v>
      </c>
      <c r="H186" s="231">
        <f t="shared" si="47"/>
        <v>13</v>
      </c>
      <c r="I186" s="231">
        <f t="shared" si="47"/>
        <v>45</v>
      </c>
      <c r="J186" s="231">
        <f t="shared" si="47"/>
        <v>51</v>
      </c>
      <c r="K186" s="231">
        <f t="shared" si="47"/>
        <v>43</v>
      </c>
      <c r="L186" s="231">
        <f t="shared" si="47"/>
        <v>52</v>
      </c>
      <c r="M186" s="231">
        <f t="shared" si="47"/>
        <v>71</v>
      </c>
      <c r="N186" s="231">
        <f t="shared" si="47"/>
        <v>42</v>
      </c>
      <c r="O186" s="232">
        <f t="shared" si="47"/>
        <v>84</v>
      </c>
      <c r="P186" s="231">
        <f t="shared" si="47"/>
        <v>91</v>
      </c>
      <c r="Q186" s="231">
        <f t="shared" si="47"/>
        <v>63</v>
      </c>
      <c r="R186" s="231">
        <f t="shared" si="47"/>
        <v>92</v>
      </c>
      <c r="S186" s="231">
        <f t="shared" si="47"/>
        <v>136</v>
      </c>
      <c r="T186" s="231">
        <f t="shared" si="47"/>
        <v>58</v>
      </c>
      <c r="U186" s="231">
        <f t="shared" si="47"/>
        <v>22</v>
      </c>
      <c r="V186" s="231">
        <f t="shared" si="47"/>
        <v>0</v>
      </c>
      <c r="W186" s="231">
        <f t="shared" si="47"/>
        <v>5</v>
      </c>
      <c r="X186" s="231">
        <f t="shared" si="47"/>
        <v>1</v>
      </c>
      <c r="Y186" s="231">
        <f t="shared" si="47"/>
        <v>29</v>
      </c>
      <c r="Z186" s="232">
        <f t="shared" si="47"/>
        <v>18</v>
      </c>
      <c r="AA186" s="231">
        <f t="shared" si="47"/>
        <v>10</v>
      </c>
      <c r="AB186" s="231">
        <f t="shared" si="47"/>
        <v>8</v>
      </c>
      <c r="AC186" s="232">
        <f t="shared" si="47"/>
        <v>22</v>
      </c>
      <c r="AD186" s="232">
        <f t="shared" si="47"/>
        <v>18</v>
      </c>
      <c r="AE186" s="232">
        <f t="shared" si="47"/>
        <v>22</v>
      </c>
      <c r="AF186" s="189">
        <f t="shared" ref="AF186:AF188" si="49">sum(B186:AE186)</f>
        <v>1249</v>
      </c>
    </row>
    <row r="187">
      <c r="A187" s="176" t="s">
        <v>57</v>
      </c>
      <c r="B187" s="231">
        <f t="shared" ref="B187:AE187" si="48">B140-B289</f>
        <v>75</v>
      </c>
      <c r="C187" s="231">
        <f t="shared" si="48"/>
        <v>89</v>
      </c>
      <c r="D187" s="231">
        <f t="shared" si="48"/>
        <v>100</v>
      </c>
      <c r="E187" s="231">
        <f t="shared" si="48"/>
        <v>89</v>
      </c>
      <c r="F187" s="231">
        <f t="shared" si="48"/>
        <v>84</v>
      </c>
      <c r="G187" s="231">
        <f t="shared" si="48"/>
        <v>85</v>
      </c>
      <c r="H187" s="231">
        <f t="shared" si="48"/>
        <v>54</v>
      </c>
      <c r="I187" s="231">
        <f t="shared" si="48"/>
        <v>103</v>
      </c>
      <c r="J187" s="231">
        <f t="shared" si="48"/>
        <v>96</v>
      </c>
      <c r="K187" s="231">
        <f t="shared" si="48"/>
        <v>92</v>
      </c>
      <c r="L187" s="231">
        <f t="shared" si="48"/>
        <v>90</v>
      </c>
      <c r="M187" s="231">
        <f t="shared" si="48"/>
        <v>97</v>
      </c>
      <c r="N187" s="231">
        <f t="shared" si="48"/>
        <v>98</v>
      </c>
      <c r="O187" s="232">
        <f t="shared" si="48"/>
        <v>116</v>
      </c>
      <c r="P187" s="231">
        <f t="shared" si="48"/>
        <v>136</v>
      </c>
      <c r="Q187" s="231">
        <f t="shared" si="48"/>
        <v>107</v>
      </c>
      <c r="R187" s="231">
        <f t="shared" si="48"/>
        <v>159</v>
      </c>
      <c r="S187" s="231">
        <f t="shared" si="48"/>
        <v>201</v>
      </c>
      <c r="T187" s="231">
        <f t="shared" si="48"/>
        <v>143</v>
      </c>
      <c r="U187" s="231">
        <f t="shared" si="48"/>
        <v>58</v>
      </c>
      <c r="V187" s="231">
        <f t="shared" si="48"/>
        <v>23</v>
      </c>
      <c r="W187" s="231">
        <f t="shared" si="48"/>
        <v>25</v>
      </c>
      <c r="X187" s="231">
        <f t="shared" si="48"/>
        <v>28</v>
      </c>
      <c r="Y187" s="231">
        <f t="shared" si="48"/>
        <v>49</v>
      </c>
      <c r="Z187" s="231">
        <f t="shared" si="48"/>
        <v>105</v>
      </c>
      <c r="AA187" s="231">
        <f t="shared" si="48"/>
        <v>55</v>
      </c>
      <c r="AB187" s="231">
        <f t="shared" si="48"/>
        <v>27</v>
      </c>
      <c r="AC187" s="231">
        <f t="shared" si="48"/>
        <v>42</v>
      </c>
      <c r="AD187" s="231">
        <f t="shared" si="48"/>
        <v>50</v>
      </c>
      <c r="AE187" s="231">
        <f t="shared" si="48"/>
        <v>64</v>
      </c>
      <c r="AF187" s="189">
        <f t="shared" si="49"/>
        <v>2540</v>
      </c>
    </row>
    <row r="188">
      <c r="A188" s="217" t="s">
        <v>308</v>
      </c>
      <c r="B188" s="218">
        <f t="shared" ref="B188:AE188" si="50">SUM(B186:B187)</f>
        <v>118</v>
      </c>
      <c r="C188" s="218">
        <f t="shared" si="50"/>
        <v>129</v>
      </c>
      <c r="D188" s="218">
        <f t="shared" si="50"/>
        <v>143</v>
      </c>
      <c r="E188" s="218">
        <f t="shared" si="50"/>
        <v>131</v>
      </c>
      <c r="F188" s="218">
        <f t="shared" si="50"/>
        <v>126</v>
      </c>
      <c r="G188" s="218">
        <f t="shared" si="50"/>
        <v>128</v>
      </c>
      <c r="H188" s="218">
        <f t="shared" si="50"/>
        <v>67</v>
      </c>
      <c r="I188" s="218">
        <f t="shared" si="50"/>
        <v>148</v>
      </c>
      <c r="J188" s="218">
        <f t="shared" si="50"/>
        <v>147</v>
      </c>
      <c r="K188" s="218">
        <f t="shared" si="50"/>
        <v>135</v>
      </c>
      <c r="L188" s="218">
        <f t="shared" si="50"/>
        <v>142</v>
      </c>
      <c r="M188" s="218">
        <f t="shared" si="50"/>
        <v>168</v>
      </c>
      <c r="N188" s="218">
        <f t="shared" si="50"/>
        <v>140</v>
      </c>
      <c r="O188" s="218">
        <f t="shared" si="50"/>
        <v>200</v>
      </c>
      <c r="P188" s="218">
        <f t="shared" si="50"/>
        <v>227</v>
      </c>
      <c r="Q188" s="218">
        <f t="shared" si="50"/>
        <v>170</v>
      </c>
      <c r="R188" s="218">
        <f t="shared" si="50"/>
        <v>251</v>
      </c>
      <c r="S188" s="218">
        <f t="shared" si="50"/>
        <v>337</v>
      </c>
      <c r="T188" s="218">
        <f t="shared" si="50"/>
        <v>201</v>
      </c>
      <c r="U188" s="218">
        <f t="shared" si="50"/>
        <v>80</v>
      </c>
      <c r="V188" s="218">
        <f t="shared" si="50"/>
        <v>23</v>
      </c>
      <c r="W188" s="218">
        <f t="shared" si="50"/>
        <v>30</v>
      </c>
      <c r="X188" s="218">
        <f t="shared" si="50"/>
        <v>29</v>
      </c>
      <c r="Y188" s="218">
        <f t="shared" si="50"/>
        <v>78</v>
      </c>
      <c r="Z188" s="218">
        <f t="shared" si="50"/>
        <v>123</v>
      </c>
      <c r="AA188" s="218">
        <f t="shared" si="50"/>
        <v>65</v>
      </c>
      <c r="AB188" s="218">
        <f t="shared" si="50"/>
        <v>35</v>
      </c>
      <c r="AC188" s="218">
        <f t="shared" si="50"/>
        <v>64</v>
      </c>
      <c r="AD188" s="218">
        <f t="shared" si="50"/>
        <v>68</v>
      </c>
      <c r="AE188" s="218">
        <f t="shared" si="50"/>
        <v>86</v>
      </c>
      <c r="AF188" s="189">
        <f t="shared" si="49"/>
        <v>3789</v>
      </c>
    </row>
    <row r="189">
      <c r="A189" s="26"/>
      <c r="B189" s="219"/>
      <c r="C189" s="219"/>
      <c r="D189" s="219"/>
      <c r="E189" s="219"/>
      <c r="F189" s="219"/>
      <c r="G189" s="219"/>
      <c r="H189" s="219"/>
      <c r="I189" s="219"/>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89"/>
    </row>
    <row r="190">
      <c r="A190" s="176" t="s">
        <v>62</v>
      </c>
      <c r="B190" s="233">
        <f t="shared" ref="B190:AE190" si="51">B143-B291-B298-B305</f>
        <v>23</v>
      </c>
      <c r="C190" s="233">
        <f t="shared" si="51"/>
        <v>36</v>
      </c>
      <c r="D190" s="233">
        <f t="shared" si="51"/>
        <v>45</v>
      </c>
      <c r="E190" s="233">
        <f t="shared" si="51"/>
        <v>48</v>
      </c>
      <c r="F190" s="233">
        <f t="shared" si="51"/>
        <v>16</v>
      </c>
      <c r="G190" s="233">
        <f t="shared" si="51"/>
        <v>40</v>
      </c>
      <c r="H190" s="233">
        <f t="shared" si="51"/>
        <v>30</v>
      </c>
      <c r="I190" s="233">
        <f t="shared" si="51"/>
        <v>41</v>
      </c>
      <c r="J190" s="233">
        <f t="shared" si="51"/>
        <v>59</v>
      </c>
      <c r="K190" s="233">
        <f t="shared" si="51"/>
        <v>59</v>
      </c>
      <c r="L190" s="233">
        <f t="shared" si="51"/>
        <v>50</v>
      </c>
      <c r="M190" s="233">
        <f t="shared" si="51"/>
        <v>63</v>
      </c>
      <c r="N190" s="233">
        <f t="shared" si="51"/>
        <v>44</v>
      </c>
      <c r="O190" s="233">
        <f t="shared" si="51"/>
        <v>75</v>
      </c>
      <c r="P190" s="233">
        <f t="shared" si="51"/>
        <v>79</v>
      </c>
      <c r="Q190" s="233">
        <f t="shared" si="51"/>
        <v>74</v>
      </c>
      <c r="R190" s="233">
        <f t="shared" si="51"/>
        <v>70</v>
      </c>
      <c r="S190" s="233">
        <f t="shared" si="51"/>
        <v>99</v>
      </c>
      <c r="T190" s="233">
        <f t="shared" si="51"/>
        <v>72</v>
      </c>
      <c r="U190" s="233">
        <f t="shared" si="51"/>
        <v>36</v>
      </c>
      <c r="V190" s="233">
        <f t="shared" si="51"/>
        <v>9</v>
      </c>
      <c r="W190" s="233">
        <f t="shared" si="51"/>
        <v>9</v>
      </c>
      <c r="X190" s="233">
        <f t="shared" si="51"/>
        <v>24</v>
      </c>
      <c r="Y190" s="233">
        <f t="shared" si="51"/>
        <v>33</v>
      </c>
      <c r="Z190" s="233">
        <f t="shared" si="51"/>
        <v>58</v>
      </c>
      <c r="AA190" s="233">
        <f t="shared" si="51"/>
        <v>24</v>
      </c>
      <c r="AB190" s="233">
        <f t="shared" si="51"/>
        <v>15</v>
      </c>
      <c r="AC190" s="233">
        <f t="shared" si="51"/>
        <v>21</v>
      </c>
      <c r="AD190" s="233">
        <f t="shared" si="51"/>
        <v>16</v>
      </c>
      <c r="AE190" s="233">
        <f t="shared" si="51"/>
        <v>23</v>
      </c>
      <c r="AF190" s="189">
        <f t="shared" ref="AF190:AF195" si="53">sum(B190:AE190)</f>
        <v>1291</v>
      </c>
    </row>
    <row r="191">
      <c r="A191" s="176" t="s">
        <v>70</v>
      </c>
      <c r="B191" s="233">
        <f t="shared" ref="B191:AE191" si="52">B144-B292-B299-B306</f>
        <v>0</v>
      </c>
      <c r="C191" s="233">
        <f t="shared" si="52"/>
        <v>0</v>
      </c>
      <c r="D191" s="233">
        <f t="shared" si="52"/>
        <v>-2</v>
      </c>
      <c r="E191" s="233">
        <f t="shared" si="52"/>
        <v>0</v>
      </c>
      <c r="F191" s="233">
        <f t="shared" si="52"/>
        <v>1</v>
      </c>
      <c r="G191" s="233">
        <f t="shared" si="52"/>
        <v>0</v>
      </c>
      <c r="H191" s="233">
        <f t="shared" si="52"/>
        <v>0</v>
      </c>
      <c r="I191" s="233">
        <f t="shared" si="52"/>
        <v>0</v>
      </c>
      <c r="J191" s="233">
        <f t="shared" si="52"/>
        <v>0</v>
      </c>
      <c r="K191" s="233">
        <f t="shared" si="52"/>
        <v>0</v>
      </c>
      <c r="L191" s="233">
        <f t="shared" si="52"/>
        <v>0</v>
      </c>
      <c r="M191" s="233">
        <f t="shared" si="52"/>
        <v>0</v>
      </c>
      <c r="N191" s="233">
        <f t="shared" si="52"/>
        <v>0</v>
      </c>
      <c r="O191" s="233">
        <f t="shared" si="52"/>
        <v>0</v>
      </c>
      <c r="P191" s="233">
        <f t="shared" si="52"/>
        <v>0</v>
      </c>
      <c r="Q191" s="233">
        <f t="shared" si="52"/>
        <v>0</v>
      </c>
      <c r="R191" s="233">
        <f t="shared" si="52"/>
        <v>0</v>
      </c>
      <c r="S191" s="233">
        <f t="shared" si="52"/>
        <v>0</v>
      </c>
      <c r="T191" s="233">
        <f t="shared" si="52"/>
        <v>0</v>
      </c>
      <c r="U191" s="233">
        <f t="shared" si="52"/>
        <v>0</v>
      </c>
      <c r="V191" s="233">
        <f t="shared" si="52"/>
        <v>-1</v>
      </c>
      <c r="W191" s="233">
        <f t="shared" si="52"/>
        <v>0</v>
      </c>
      <c r="X191" s="233">
        <f t="shared" si="52"/>
        <v>0</v>
      </c>
      <c r="Y191" s="233">
        <f t="shared" si="52"/>
        <v>0</v>
      </c>
      <c r="Z191" s="233">
        <f t="shared" si="52"/>
        <v>27</v>
      </c>
      <c r="AA191" s="233">
        <f t="shared" si="52"/>
        <v>16</v>
      </c>
      <c r="AB191" s="233">
        <f t="shared" si="52"/>
        <v>0</v>
      </c>
      <c r="AC191" s="233">
        <f t="shared" si="52"/>
        <v>0</v>
      </c>
      <c r="AD191" s="233">
        <f t="shared" si="52"/>
        <v>-2</v>
      </c>
      <c r="AE191" s="233">
        <f t="shared" si="52"/>
        <v>0</v>
      </c>
      <c r="AF191" s="189">
        <f t="shared" si="53"/>
        <v>39</v>
      </c>
    </row>
    <row r="192">
      <c r="A192" s="176" t="s">
        <v>78</v>
      </c>
      <c r="B192" s="233">
        <f t="shared" ref="B192:AE192" si="54">B145-B293-B300-B307</f>
        <v>15</v>
      </c>
      <c r="C192" s="233">
        <f t="shared" si="54"/>
        <v>22</v>
      </c>
      <c r="D192" s="233">
        <f t="shared" si="54"/>
        <v>24</v>
      </c>
      <c r="E192" s="233">
        <f t="shared" si="54"/>
        <v>29</v>
      </c>
      <c r="F192" s="233">
        <f t="shared" si="54"/>
        <v>22</v>
      </c>
      <c r="G192" s="233">
        <f t="shared" si="54"/>
        <v>13</v>
      </c>
      <c r="H192" s="233">
        <f t="shared" si="54"/>
        <v>23</v>
      </c>
      <c r="I192" s="233">
        <f t="shared" si="54"/>
        <v>38</v>
      </c>
      <c r="J192" s="233">
        <f t="shared" si="54"/>
        <v>35</v>
      </c>
      <c r="K192" s="233">
        <f t="shared" si="54"/>
        <v>30</v>
      </c>
      <c r="L192" s="233">
        <f t="shared" si="54"/>
        <v>33</v>
      </c>
      <c r="M192" s="233">
        <f t="shared" si="54"/>
        <v>32</v>
      </c>
      <c r="N192" s="233">
        <f t="shared" si="54"/>
        <v>16</v>
      </c>
      <c r="O192" s="233">
        <f t="shared" si="54"/>
        <v>25</v>
      </c>
      <c r="P192" s="233">
        <f t="shared" si="54"/>
        <v>35</v>
      </c>
      <c r="Q192" s="233">
        <f t="shared" si="54"/>
        <v>39</v>
      </c>
      <c r="R192" s="233">
        <f t="shared" si="54"/>
        <v>37</v>
      </c>
      <c r="S192" s="233">
        <f t="shared" si="54"/>
        <v>60</v>
      </c>
      <c r="T192" s="233">
        <f t="shared" si="54"/>
        <v>49</v>
      </c>
      <c r="U192" s="233">
        <f t="shared" si="54"/>
        <v>20</v>
      </c>
      <c r="V192" s="233">
        <f t="shared" si="54"/>
        <v>16</v>
      </c>
      <c r="W192" s="233">
        <f t="shared" si="54"/>
        <v>4</v>
      </c>
      <c r="X192" s="233">
        <f t="shared" si="54"/>
        <v>15</v>
      </c>
      <c r="Y192" s="233">
        <f t="shared" si="54"/>
        <v>21</v>
      </c>
      <c r="Z192" s="233">
        <f t="shared" si="54"/>
        <v>-2</v>
      </c>
      <c r="AA192" s="233">
        <f t="shared" si="54"/>
        <v>-4</v>
      </c>
      <c r="AB192" s="233">
        <f t="shared" si="54"/>
        <v>6</v>
      </c>
      <c r="AC192" s="233">
        <f t="shared" si="54"/>
        <v>6</v>
      </c>
      <c r="AD192" s="233">
        <f t="shared" si="54"/>
        <v>15</v>
      </c>
      <c r="AE192" s="233">
        <f t="shared" si="54"/>
        <v>13</v>
      </c>
      <c r="AF192" s="189">
        <f t="shared" si="53"/>
        <v>687</v>
      </c>
    </row>
    <row r="193">
      <c r="A193" s="176" t="s">
        <v>79</v>
      </c>
      <c r="B193" s="233">
        <f t="shared" ref="B193:AE193" si="55">B146-B294-B301-B308</f>
        <v>22</v>
      </c>
      <c r="C193" s="233">
        <f t="shared" si="55"/>
        <v>31</v>
      </c>
      <c r="D193" s="233">
        <f t="shared" si="55"/>
        <v>28</v>
      </c>
      <c r="E193" s="233">
        <f t="shared" si="55"/>
        <v>32</v>
      </c>
      <c r="F193" s="233">
        <f t="shared" si="55"/>
        <v>24</v>
      </c>
      <c r="G193" s="233">
        <f t="shared" si="55"/>
        <v>20</v>
      </c>
      <c r="H193" s="233">
        <f t="shared" si="55"/>
        <v>21</v>
      </c>
      <c r="I193" s="233">
        <f t="shared" si="55"/>
        <v>37</v>
      </c>
      <c r="J193" s="233">
        <f t="shared" si="55"/>
        <v>40</v>
      </c>
      <c r="K193" s="233">
        <f t="shared" si="55"/>
        <v>28</v>
      </c>
      <c r="L193" s="233">
        <f t="shared" si="55"/>
        <v>33</v>
      </c>
      <c r="M193" s="233">
        <f t="shared" si="55"/>
        <v>37</v>
      </c>
      <c r="N193" s="233">
        <f t="shared" si="55"/>
        <v>12</v>
      </c>
      <c r="O193" s="233">
        <f t="shared" si="55"/>
        <v>28</v>
      </c>
      <c r="P193" s="233">
        <f t="shared" si="55"/>
        <v>34</v>
      </c>
      <c r="Q193" s="233">
        <f t="shared" si="55"/>
        <v>47</v>
      </c>
      <c r="R193" s="233">
        <f t="shared" si="55"/>
        <v>35</v>
      </c>
      <c r="S193" s="233">
        <f t="shared" si="55"/>
        <v>66</v>
      </c>
      <c r="T193" s="233">
        <f t="shared" si="55"/>
        <v>56</v>
      </c>
      <c r="U193" s="233">
        <f t="shared" si="55"/>
        <v>24</v>
      </c>
      <c r="V193" s="233">
        <f t="shared" si="55"/>
        <v>12</v>
      </c>
      <c r="W193" s="233">
        <f t="shared" si="55"/>
        <v>6</v>
      </c>
      <c r="X193" s="233">
        <f t="shared" si="55"/>
        <v>21</v>
      </c>
      <c r="Y193" s="233">
        <f t="shared" si="55"/>
        <v>16</v>
      </c>
      <c r="Z193" s="233">
        <f t="shared" si="55"/>
        <v>28</v>
      </c>
      <c r="AA193" s="233">
        <f t="shared" si="55"/>
        <v>12</v>
      </c>
      <c r="AB193" s="233">
        <f t="shared" si="55"/>
        <v>5</v>
      </c>
      <c r="AC193" s="233">
        <f t="shared" si="55"/>
        <v>7</v>
      </c>
      <c r="AD193" s="233">
        <f t="shared" si="55"/>
        <v>15</v>
      </c>
      <c r="AE193" s="233">
        <f t="shared" si="55"/>
        <v>18</v>
      </c>
      <c r="AF193" s="189">
        <f t="shared" si="53"/>
        <v>795</v>
      </c>
    </row>
    <row r="194">
      <c r="A194" s="176" t="s">
        <v>60</v>
      </c>
      <c r="B194" s="233">
        <f t="shared" ref="B194:AE194" si="56">B147-B295-B302-B309</f>
        <v>15</v>
      </c>
      <c r="C194" s="233">
        <f t="shared" si="56"/>
        <v>18</v>
      </c>
      <c r="D194" s="233">
        <f t="shared" si="56"/>
        <v>23</v>
      </c>
      <c r="E194" s="233">
        <f t="shared" si="56"/>
        <v>15</v>
      </c>
      <c r="F194" s="233">
        <f t="shared" si="56"/>
        <v>49</v>
      </c>
      <c r="G194" s="233">
        <f t="shared" si="56"/>
        <v>5</v>
      </c>
      <c r="H194" s="233">
        <f t="shared" si="56"/>
        <v>17</v>
      </c>
      <c r="I194" s="233">
        <f t="shared" si="56"/>
        <v>21</v>
      </c>
      <c r="J194" s="233">
        <f t="shared" si="56"/>
        <v>17</v>
      </c>
      <c r="K194" s="233">
        <f t="shared" si="56"/>
        <v>22</v>
      </c>
      <c r="L194" s="233">
        <f t="shared" si="56"/>
        <v>15</v>
      </c>
      <c r="M194" s="233">
        <f t="shared" si="56"/>
        <v>33</v>
      </c>
      <c r="N194" s="233">
        <f t="shared" si="56"/>
        <v>18</v>
      </c>
      <c r="O194" s="233">
        <f t="shared" si="56"/>
        <v>25</v>
      </c>
      <c r="P194" s="233">
        <f t="shared" si="56"/>
        <v>12</v>
      </c>
      <c r="Q194" s="233">
        <f t="shared" si="56"/>
        <v>33</v>
      </c>
      <c r="R194" s="233">
        <f t="shared" si="56"/>
        <v>18</v>
      </c>
      <c r="S194" s="233">
        <f t="shared" si="56"/>
        <v>34</v>
      </c>
      <c r="T194" s="233">
        <f t="shared" si="56"/>
        <v>27</v>
      </c>
      <c r="U194" s="233">
        <f t="shared" si="56"/>
        <v>12</v>
      </c>
      <c r="V194" s="233">
        <f t="shared" si="56"/>
        <v>7</v>
      </c>
      <c r="W194" s="233">
        <f t="shared" si="56"/>
        <v>6</v>
      </c>
      <c r="X194" s="233">
        <f t="shared" si="56"/>
        <v>14</v>
      </c>
      <c r="Y194" s="233">
        <f t="shared" si="56"/>
        <v>7</v>
      </c>
      <c r="Z194" s="233">
        <f t="shared" si="56"/>
        <v>13</v>
      </c>
      <c r="AA194" s="233">
        <f t="shared" si="56"/>
        <v>10</v>
      </c>
      <c r="AB194" s="233">
        <f t="shared" si="56"/>
        <v>3</v>
      </c>
      <c r="AC194" s="233">
        <f t="shared" si="56"/>
        <v>10</v>
      </c>
      <c r="AD194" s="233">
        <f t="shared" si="56"/>
        <v>15</v>
      </c>
      <c r="AE194" s="233">
        <f t="shared" si="56"/>
        <v>13</v>
      </c>
      <c r="AF194" s="189">
        <f t="shared" si="53"/>
        <v>527</v>
      </c>
    </row>
    <row r="195">
      <c r="A195" s="217" t="s">
        <v>123</v>
      </c>
      <c r="B195" s="218">
        <f t="shared" ref="B195:AE195" si="57">SUM(B190:B194)</f>
        <v>75</v>
      </c>
      <c r="C195" s="218">
        <f t="shared" si="57"/>
        <v>107</v>
      </c>
      <c r="D195" s="218">
        <f t="shared" si="57"/>
        <v>118</v>
      </c>
      <c r="E195" s="218">
        <f t="shared" si="57"/>
        <v>124</v>
      </c>
      <c r="F195" s="218">
        <f t="shared" si="57"/>
        <v>112</v>
      </c>
      <c r="G195" s="218">
        <f t="shared" si="57"/>
        <v>78</v>
      </c>
      <c r="H195" s="218">
        <f t="shared" si="57"/>
        <v>91</v>
      </c>
      <c r="I195" s="218">
        <f t="shared" si="57"/>
        <v>137</v>
      </c>
      <c r="J195" s="218">
        <f t="shared" si="57"/>
        <v>151</v>
      </c>
      <c r="K195" s="218">
        <f t="shared" si="57"/>
        <v>139</v>
      </c>
      <c r="L195" s="218">
        <f t="shared" si="57"/>
        <v>131</v>
      </c>
      <c r="M195" s="218">
        <f t="shared" si="57"/>
        <v>165</v>
      </c>
      <c r="N195" s="218">
        <f t="shared" si="57"/>
        <v>90</v>
      </c>
      <c r="O195" s="218">
        <f t="shared" si="57"/>
        <v>153</v>
      </c>
      <c r="P195" s="218">
        <f t="shared" si="57"/>
        <v>160</v>
      </c>
      <c r="Q195" s="218">
        <f t="shared" si="57"/>
        <v>193</v>
      </c>
      <c r="R195" s="218">
        <f t="shared" si="57"/>
        <v>160</v>
      </c>
      <c r="S195" s="218">
        <f t="shared" si="57"/>
        <v>259</v>
      </c>
      <c r="T195" s="218">
        <f t="shared" si="57"/>
        <v>204</v>
      </c>
      <c r="U195" s="218">
        <f t="shared" si="57"/>
        <v>92</v>
      </c>
      <c r="V195" s="218">
        <f t="shared" si="57"/>
        <v>43</v>
      </c>
      <c r="W195" s="218">
        <f t="shared" si="57"/>
        <v>25</v>
      </c>
      <c r="X195" s="218">
        <f t="shared" si="57"/>
        <v>74</v>
      </c>
      <c r="Y195" s="218">
        <f t="shared" si="57"/>
        <v>77</v>
      </c>
      <c r="Z195" s="218">
        <f t="shared" si="57"/>
        <v>124</v>
      </c>
      <c r="AA195" s="218">
        <f t="shared" si="57"/>
        <v>58</v>
      </c>
      <c r="AB195" s="218">
        <f t="shared" si="57"/>
        <v>29</v>
      </c>
      <c r="AC195" s="218">
        <f t="shared" si="57"/>
        <v>44</v>
      </c>
      <c r="AD195" s="218">
        <f t="shared" si="57"/>
        <v>59</v>
      </c>
      <c r="AE195" s="218">
        <f t="shared" si="57"/>
        <v>67</v>
      </c>
      <c r="AF195" s="189">
        <f t="shared" si="53"/>
        <v>3339</v>
      </c>
    </row>
    <row r="196">
      <c r="A196" s="224"/>
      <c r="AF196" s="189"/>
    </row>
    <row r="197">
      <c r="A197" s="176" t="s">
        <v>309</v>
      </c>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c r="AC197" s="225"/>
      <c r="AD197" s="225"/>
      <c r="AE197" s="225"/>
      <c r="AF197" s="189">
        <f t="shared" ref="AF197:AF198" si="58">sum(B197:AE197)</f>
        <v>0</v>
      </c>
    </row>
    <row r="198">
      <c r="A198" s="176" t="s">
        <v>310</v>
      </c>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225"/>
      <c r="AD198" s="225"/>
      <c r="AE198" s="225"/>
      <c r="AF198" s="189">
        <f t="shared" si="58"/>
        <v>0</v>
      </c>
    </row>
    <row r="199">
      <c r="A199" s="217" t="s">
        <v>123</v>
      </c>
      <c r="B199" s="218">
        <f t="shared" ref="B199:AE199" si="59">SUM(B197:B198)</f>
        <v>0</v>
      </c>
      <c r="C199" s="218">
        <f t="shared" si="59"/>
        <v>0</v>
      </c>
      <c r="D199" s="218">
        <f t="shared" si="59"/>
        <v>0</v>
      </c>
      <c r="E199" s="218">
        <f t="shared" si="59"/>
        <v>0</v>
      </c>
      <c r="F199" s="218">
        <f t="shared" si="59"/>
        <v>0</v>
      </c>
      <c r="G199" s="218">
        <f t="shared" si="59"/>
        <v>0</v>
      </c>
      <c r="H199" s="218">
        <f t="shared" si="59"/>
        <v>0</v>
      </c>
      <c r="I199" s="218">
        <f t="shared" si="59"/>
        <v>0</v>
      </c>
      <c r="J199" s="218">
        <f t="shared" si="59"/>
        <v>0</v>
      </c>
      <c r="K199" s="218">
        <f t="shared" si="59"/>
        <v>0</v>
      </c>
      <c r="L199" s="218">
        <f t="shared" si="59"/>
        <v>0</v>
      </c>
      <c r="M199" s="218">
        <f t="shared" si="59"/>
        <v>0</v>
      </c>
      <c r="N199" s="218">
        <f t="shared" si="59"/>
        <v>0</v>
      </c>
      <c r="O199" s="218">
        <f t="shared" si="59"/>
        <v>0</v>
      </c>
      <c r="P199" s="218">
        <f t="shared" si="59"/>
        <v>0</v>
      </c>
      <c r="Q199" s="218">
        <f t="shared" si="59"/>
        <v>0</v>
      </c>
      <c r="R199" s="218">
        <f t="shared" si="59"/>
        <v>0</v>
      </c>
      <c r="S199" s="218">
        <f t="shared" si="59"/>
        <v>0</v>
      </c>
      <c r="T199" s="218">
        <f t="shared" si="59"/>
        <v>0</v>
      </c>
      <c r="U199" s="218">
        <f t="shared" si="59"/>
        <v>0</v>
      </c>
      <c r="V199" s="218">
        <f t="shared" si="59"/>
        <v>0</v>
      </c>
      <c r="W199" s="218">
        <f t="shared" si="59"/>
        <v>0</v>
      </c>
      <c r="X199" s="218">
        <f t="shared" si="59"/>
        <v>0</v>
      </c>
      <c r="Y199" s="218">
        <f t="shared" si="59"/>
        <v>0</v>
      </c>
      <c r="Z199" s="218">
        <f t="shared" si="59"/>
        <v>0</v>
      </c>
      <c r="AA199" s="218">
        <f t="shared" si="59"/>
        <v>0</v>
      </c>
      <c r="AB199" s="218">
        <f t="shared" si="59"/>
        <v>0</v>
      </c>
      <c r="AC199" s="218">
        <f t="shared" si="59"/>
        <v>0</v>
      </c>
      <c r="AD199" s="218">
        <f t="shared" si="59"/>
        <v>0</v>
      </c>
      <c r="AE199" s="218">
        <f t="shared" si="59"/>
        <v>0</v>
      </c>
      <c r="AF199" s="189">
        <f>sum(C199:AE199)</f>
        <v>0</v>
      </c>
    </row>
    <row r="200">
      <c r="A200" s="224"/>
      <c r="AF200" s="234"/>
    </row>
    <row r="201">
      <c r="A201" s="176" t="s">
        <v>311</v>
      </c>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c r="AA201" s="235"/>
      <c r="AB201" s="235"/>
      <c r="AC201" s="235"/>
      <c r="AD201" s="235"/>
      <c r="AE201" s="235"/>
      <c r="AF201" s="189">
        <f t="shared" ref="AF201:AF203" si="60">sum(B201:AE201)</f>
        <v>0</v>
      </c>
    </row>
    <row r="202">
      <c r="A202" s="176" t="s">
        <v>312</v>
      </c>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c r="AA202" s="235"/>
      <c r="AB202" s="235"/>
      <c r="AC202" s="235"/>
      <c r="AD202" s="235"/>
      <c r="AE202" s="235"/>
      <c r="AF202" s="189">
        <f t="shared" si="60"/>
        <v>0</v>
      </c>
    </row>
    <row r="203">
      <c r="A203" s="217" t="s">
        <v>123</v>
      </c>
      <c r="B203" s="227">
        <f t="shared" ref="B203:AE203" si="61">SUM(B201:B202)</f>
        <v>0</v>
      </c>
      <c r="C203" s="227">
        <f t="shared" si="61"/>
        <v>0</v>
      </c>
      <c r="D203" s="227">
        <f t="shared" si="61"/>
        <v>0</v>
      </c>
      <c r="E203" s="227">
        <f t="shared" si="61"/>
        <v>0</v>
      </c>
      <c r="F203" s="227">
        <f t="shared" si="61"/>
        <v>0</v>
      </c>
      <c r="G203" s="227">
        <f t="shared" si="61"/>
        <v>0</v>
      </c>
      <c r="H203" s="227">
        <f t="shared" si="61"/>
        <v>0</v>
      </c>
      <c r="I203" s="227">
        <f t="shared" si="61"/>
        <v>0</v>
      </c>
      <c r="J203" s="227">
        <f t="shared" si="61"/>
        <v>0</v>
      </c>
      <c r="K203" s="227">
        <f t="shared" si="61"/>
        <v>0</v>
      </c>
      <c r="L203" s="227">
        <f t="shared" si="61"/>
        <v>0</v>
      </c>
      <c r="M203" s="227">
        <f t="shared" si="61"/>
        <v>0</v>
      </c>
      <c r="N203" s="227">
        <f t="shared" si="61"/>
        <v>0</v>
      </c>
      <c r="O203" s="227">
        <f t="shared" si="61"/>
        <v>0</v>
      </c>
      <c r="P203" s="227">
        <f t="shared" si="61"/>
        <v>0</v>
      </c>
      <c r="Q203" s="227">
        <f t="shared" si="61"/>
        <v>0</v>
      </c>
      <c r="R203" s="227">
        <f t="shared" si="61"/>
        <v>0</v>
      </c>
      <c r="S203" s="227">
        <f t="shared" si="61"/>
        <v>0</v>
      </c>
      <c r="T203" s="227">
        <f t="shared" si="61"/>
        <v>0</v>
      </c>
      <c r="U203" s="227">
        <f t="shared" si="61"/>
        <v>0</v>
      </c>
      <c r="V203" s="227">
        <f t="shared" si="61"/>
        <v>0</v>
      </c>
      <c r="W203" s="227">
        <f t="shared" si="61"/>
        <v>0</v>
      </c>
      <c r="X203" s="227">
        <f t="shared" si="61"/>
        <v>0</v>
      </c>
      <c r="Y203" s="227">
        <f t="shared" si="61"/>
        <v>0</v>
      </c>
      <c r="Z203" s="227">
        <f t="shared" si="61"/>
        <v>0</v>
      </c>
      <c r="AA203" s="227">
        <f t="shared" si="61"/>
        <v>0</v>
      </c>
      <c r="AB203" s="227">
        <f t="shared" si="61"/>
        <v>0</v>
      </c>
      <c r="AC203" s="227">
        <f t="shared" si="61"/>
        <v>0</v>
      </c>
      <c r="AD203" s="227">
        <f t="shared" si="61"/>
        <v>0</v>
      </c>
      <c r="AE203" s="227">
        <f t="shared" si="61"/>
        <v>0</v>
      </c>
      <c r="AF203" s="189">
        <f t="shared" si="60"/>
        <v>0</v>
      </c>
    </row>
    <row r="204">
      <c r="A204" s="224"/>
      <c r="B204" s="236"/>
      <c r="AF204" s="234"/>
    </row>
    <row r="205">
      <c r="A205" s="176" t="s">
        <v>313</v>
      </c>
      <c r="B205" s="233">
        <f t="shared" ref="B205:D205" si="62">B158-B320</f>
        <v>0</v>
      </c>
      <c r="C205" s="233">
        <f t="shared" si="62"/>
        <v>0</v>
      </c>
      <c r="D205" s="233">
        <f t="shared" si="62"/>
        <v>0</v>
      </c>
      <c r="E205" s="213">
        <v>10.0</v>
      </c>
      <c r="F205" s="213">
        <v>6.0</v>
      </c>
      <c r="G205" s="233">
        <f t="shared" ref="G205:AE205" si="63">G158-G320</f>
        <v>-1</v>
      </c>
      <c r="H205" s="233">
        <f t="shared" si="63"/>
        <v>0</v>
      </c>
      <c r="I205" s="233">
        <f t="shared" si="63"/>
        <v>-1</v>
      </c>
      <c r="J205" s="233">
        <f t="shared" si="63"/>
        <v>0</v>
      </c>
      <c r="K205" s="233">
        <f t="shared" si="63"/>
        <v>0</v>
      </c>
      <c r="L205" s="233">
        <f t="shared" si="63"/>
        <v>0</v>
      </c>
      <c r="M205" s="233">
        <f t="shared" si="63"/>
        <v>0</v>
      </c>
      <c r="N205" s="233">
        <f t="shared" si="63"/>
        <v>0</v>
      </c>
      <c r="O205" s="233">
        <f t="shared" si="63"/>
        <v>0</v>
      </c>
      <c r="P205" s="233">
        <f t="shared" si="63"/>
        <v>0</v>
      </c>
      <c r="Q205" s="233">
        <f t="shared" si="63"/>
        <v>0</v>
      </c>
      <c r="R205" s="233">
        <f t="shared" si="63"/>
        <v>0</v>
      </c>
      <c r="S205" s="233">
        <f t="shared" si="63"/>
        <v>0</v>
      </c>
      <c r="T205" s="233">
        <f t="shared" si="63"/>
        <v>0</v>
      </c>
      <c r="U205" s="233">
        <f t="shared" si="63"/>
        <v>0</v>
      </c>
      <c r="V205" s="233">
        <f t="shared" si="63"/>
        <v>0</v>
      </c>
      <c r="W205" s="233">
        <f t="shared" si="63"/>
        <v>0</v>
      </c>
      <c r="X205" s="233">
        <f t="shared" si="63"/>
        <v>0</v>
      </c>
      <c r="Y205" s="233">
        <f t="shared" si="63"/>
        <v>0</v>
      </c>
      <c r="Z205" s="233">
        <f t="shared" si="63"/>
        <v>0</v>
      </c>
      <c r="AA205" s="233">
        <f t="shared" si="63"/>
        <v>0</v>
      </c>
      <c r="AB205" s="233">
        <f t="shared" si="63"/>
        <v>0</v>
      </c>
      <c r="AC205" s="233">
        <f t="shared" si="63"/>
        <v>0</v>
      </c>
      <c r="AD205" s="233">
        <f t="shared" si="63"/>
        <v>0</v>
      </c>
      <c r="AE205" s="233">
        <f t="shared" si="63"/>
        <v>0</v>
      </c>
      <c r="AF205" s="189">
        <f t="shared" ref="AF205:AF206" si="65">sum(B205:AE205)</f>
        <v>14</v>
      </c>
    </row>
    <row r="206">
      <c r="A206" s="217" t="s">
        <v>123</v>
      </c>
      <c r="B206" s="227">
        <f t="shared" ref="B206:AE206" si="64">B205</f>
        <v>0</v>
      </c>
      <c r="C206" s="227">
        <f t="shared" si="64"/>
        <v>0</v>
      </c>
      <c r="D206" s="227">
        <f t="shared" si="64"/>
        <v>0</v>
      </c>
      <c r="E206" s="227">
        <f t="shared" si="64"/>
        <v>10</v>
      </c>
      <c r="F206" s="227">
        <f t="shared" si="64"/>
        <v>6</v>
      </c>
      <c r="G206" s="227">
        <f t="shared" si="64"/>
        <v>-1</v>
      </c>
      <c r="H206" s="227">
        <f t="shared" si="64"/>
        <v>0</v>
      </c>
      <c r="I206" s="227">
        <f t="shared" si="64"/>
        <v>-1</v>
      </c>
      <c r="J206" s="227">
        <f t="shared" si="64"/>
        <v>0</v>
      </c>
      <c r="K206" s="227">
        <f t="shared" si="64"/>
        <v>0</v>
      </c>
      <c r="L206" s="227">
        <f t="shared" si="64"/>
        <v>0</v>
      </c>
      <c r="M206" s="227">
        <f t="shared" si="64"/>
        <v>0</v>
      </c>
      <c r="N206" s="227">
        <f t="shared" si="64"/>
        <v>0</v>
      </c>
      <c r="O206" s="227">
        <f t="shared" si="64"/>
        <v>0</v>
      </c>
      <c r="P206" s="227">
        <f t="shared" si="64"/>
        <v>0</v>
      </c>
      <c r="Q206" s="227">
        <f t="shared" si="64"/>
        <v>0</v>
      </c>
      <c r="R206" s="227">
        <f t="shared" si="64"/>
        <v>0</v>
      </c>
      <c r="S206" s="227">
        <f t="shared" si="64"/>
        <v>0</v>
      </c>
      <c r="T206" s="227">
        <f t="shared" si="64"/>
        <v>0</v>
      </c>
      <c r="U206" s="227">
        <f t="shared" si="64"/>
        <v>0</v>
      </c>
      <c r="V206" s="227">
        <f t="shared" si="64"/>
        <v>0</v>
      </c>
      <c r="W206" s="227">
        <f t="shared" si="64"/>
        <v>0</v>
      </c>
      <c r="X206" s="227">
        <f t="shared" si="64"/>
        <v>0</v>
      </c>
      <c r="Y206" s="227">
        <f t="shared" si="64"/>
        <v>0</v>
      </c>
      <c r="Z206" s="227">
        <f t="shared" si="64"/>
        <v>0</v>
      </c>
      <c r="AA206" s="227">
        <f t="shared" si="64"/>
        <v>0</v>
      </c>
      <c r="AB206" s="227">
        <f t="shared" si="64"/>
        <v>0</v>
      </c>
      <c r="AC206" s="227">
        <f t="shared" si="64"/>
        <v>0</v>
      </c>
      <c r="AD206" s="227">
        <f t="shared" si="64"/>
        <v>0</v>
      </c>
      <c r="AE206" s="227">
        <f t="shared" si="64"/>
        <v>0</v>
      </c>
      <c r="AF206" s="189">
        <f t="shared" si="65"/>
        <v>14</v>
      </c>
    </row>
    <row r="207">
      <c r="A207" s="224"/>
      <c r="AF207" s="234"/>
    </row>
    <row r="208">
      <c r="A208" s="169" t="s">
        <v>317</v>
      </c>
      <c r="B208" s="166"/>
      <c r="C208" s="166"/>
      <c r="D208" s="166"/>
      <c r="E208" s="166"/>
      <c r="F208" s="166"/>
      <c r="G208" s="166"/>
      <c r="H208" s="16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89"/>
    </row>
    <row r="209">
      <c r="A209" s="237" t="s">
        <v>318</v>
      </c>
      <c r="B209" s="238">
        <v>52.0</v>
      </c>
      <c r="C209" s="238">
        <v>41.0</v>
      </c>
      <c r="D209" s="238">
        <v>48.0</v>
      </c>
      <c r="E209" s="239">
        <v>42.0</v>
      </c>
      <c r="F209" s="239">
        <v>46.0</v>
      </c>
      <c r="G209" s="239">
        <v>52.0</v>
      </c>
      <c r="H209" s="239">
        <v>47.0</v>
      </c>
      <c r="I209" s="239">
        <v>66.0</v>
      </c>
      <c r="J209" s="239">
        <v>61.0</v>
      </c>
      <c r="K209" s="239">
        <v>44.0</v>
      </c>
      <c r="L209" s="238">
        <v>56.0</v>
      </c>
      <c r="M209" s="238">
        <v>66.0</v>
      </c>
      <c r="N209" s="238">
        <v>81.0</v>
      </c>
      <c r="O209" s="238">
        <v>94.0</v>
      </c>
      <c r="P209" s="238">
        <v>101.0</v>
      </c>
      <c r="Q209" s="238">
        <v>81.0</v>
      </c>
      <c r="R209" s="238">
        <v>90.0</v>
      </c>
      <c r="S209" s="238">
        <v>134.0</v>
      </c>
      <c r="T209" s="238">
        <v>71.0</v>
      </c>
      <c r="U209" s="238">
        <v>29.0</v>
      </c>
      <c r="V209" s="238">
        <v>14.0</v>
      </c>
      <c r="W209" s="238">
        <v>14.0</v>
      </c>
      <c r="X209" s="238">
        <v>14.0</v>
      </c>
      <c r="Y209" s="238">
        <v>28.0</v>
      </c>
      <c r="Z209" s="238">
        <v>28.0</v>
      </c>
      <c r="AA209" s="238">
        <v>30.0</v>
      </c>
      <c r="AB209" s="238">
        <v>20.0</v>
      </c>
      <c r="AC209" s="240">
        <v>19.0</v>
      </c>
      <c r="AD209" s="240">
        <v>17.0</v>
      </c>
      <c r="AE209" s="240">
        <v>19.0</v>
      </c>
      <c r="AF209" s="189">
        <f t="shared" ref="AF209:AF216" si="66">sum(B209:AE209)</f>
        <v>1505</v>
      </c>
    </row>
    <row r="210">
      <c r="A210" s="237" t="s">
        <v>319</v>
      </c>
      <c r="B210" s="238">
        <v>76.0</v>
      </c>
      <c r="C210" s="238">
        <v>86.0</v>
      </c>
      <c r="D210" s="238">
        <f>103+1</f>
        <v>104</v>
      </c>
      <c r="E210" s="239">
        <v>82.0</v>
      </c>
      <c r="F210" s="239">
        <v>83.0</v>
      </c>
      <c r="G210" s="239">
        <v>88.0</v>
      </c>
      <c r="H210" s="239">
        <v>70.0</v>
      </c>
      <c r="I210" s="239">
        <v>110.0</v>
      </c>
      <c r="J210" s="239">
        <v>101.0</v>
      </c>
      <c r="K210" s="239">
        <v>86.0</v>
      </c>
      <c r="L210" s="238">
        <v>88.0</v>
      </c>
      <c r="M210" s="238">
        <v>96.0</v>
      </c>
      <c r="N210" s="238">
        <v>126.0</v>
      </c>
      <c r="O210" s="238">
        <v>117.0</v>
      </c>
      <c r="P210" s="238">
        <v>136.0</v>
      </c>
      <c r="Q210" s="238">
        <v>117.0</v>
      </c>
      <c r="R210" s="238">
        <v>154.0</v>
      </c>
      <c r="S210" s="238">
        <v>194.0</v>
      </c>
      <c r="T210" s="238">
        <v>143.0</v>
      </c>
      <c r="U210" s="238">
        <v>59.0</v>
      </c>
      <c r="V210" s="238">
        <v>30.0</v>
      </c>
      <c r="W210" s="238">
        <v>30.0</v>
      </c>
      <c r="X210" s="238">
        <v>36.0</v>
      </c>
      <c r="Y210" s="238">
        <v>44.0</v>
      </c>
      <c r="Z210" s="238">
        <v>106.0</v>
      </c>
      <c r="AA210" s="238">
        <v>68.0</v>
      </c>
      <c r="AB210" s="238">
        <v>35.0</v>
      </c>
      <c r="AC210" s="240">
        <v>36.0</v>
      </c>
      <c r="AD210" s="240">
        <v>44.0</v>
      </c>
      <c r="AE210" s="240">
        <v>60.0</v>
      </c>
      <c r="AF210" s="189">
        <f t="shared" si="66"/>
        <v>2605</v>
      </c>
    </row>
    <row r="211">
      <c r="A211" s="237" t="s">
        <v>320</v>
      </c>
      <c r="B211" s="238">
        <v>0.0</v>
      </c>
      <c r="C211" s="238">
        <v>0.0</v>
      </c>
      <c r="D211" s="238">
        <v>3.0</v>
      </c>
      <c r="E211" s="239">
        <v>2.0</v>
      </c>
      <c r="F211" s="239">
        <v>4.0</v>
      </c>
      <c r="G211" s="239">
        <v>2.0</v>
      </c>
      <c r="H211" s="239">
        <v>2.0</v>
      </c>
      <c r="I211" s="239">
        <v>0.0</v>
      </c>
      <c r="J211" s="239">
        <v>1.0</v>
      </c>
      <c r="K211" s="239">
        <v>3.0</v>
      </c>
      <c r="L211" s="238">
        <v>1.0</v>
      </c>
      <c r="M211" s="238">
        <v>7.0</v>
      </c>
      <c r="N211" s="238">
        <v>2.0</v>
      </c>
      <c r="O211" s="238">
        <v>5.0</v>
      </c>
      <c r="P211" s="238">
        <v>0.0</v>
      </c>
      <c r="Q211" s="238">
        <v>1.0</v>
      </c>
      <c r="R211" s="238">
        <v>2.0</v>
      </c>
      <c r="S211" s="238">
        <v>3.0</v>
      </c>
      <c r="T211" s="238">
        <v>1.0</v>
      </c>
      <c r="U211" s="238">
        <v>1.0</v>
      </c>
      <c r="V211" s="238">
        <v>2.0</v>
      </c>
      <c r="W211" s="238">
        <v>2.0</v>
      </c>
      <c r="X211" s="238">
        <v>2.0</v>
      </c>
      <c r="Y211" s="238">
        <v>3.0</v>
      </c>
      <c r="Z211" s="238">
        <v>4.0</v>
      </c>
      <c r="AA211" s="238">
        <v>3.0</v>
      </c>
      <c r="AB211" s="238">
        <v>2.0</v>
      </c>
      <c r="AC211" s="240">
        <v>3.0</v>
      </c>
      <c r="AD211" s="240">
        <v>3.0</v>
      </c>
      <c r="AE211" s="240">
        <v>3.0</v>
      </c>
      <c r="AF211" s="189">
        <f t="shared" si="66"/>
        <v>67</v>
      </c>
    </row>
    <row r="212">
      <c r="A212" s="237" t="s">
        <v>321</v>
      </c>
      <c r="B212" s="238">
        <v>2.0</v>
      </c>
      <c r="C212" s="238">
        <v>5.0</v>
      </c>
      <c r="D212" s="238">
        <v>1.0</v>
      </c>
      <c r="E212" s="239">
        <v>8.0</v>
      </c>
      <c r="F212" s="239">
        <v>6.0</v>
      </c>
      <c r="G212" s="239">
        <v>3.0</v>
      </c>
      <c r="H212" s="239">
        <v>9.0</v>
      </c>
      <c r="I212" s="239">
        <v>6.0</v>
      </c>
      <c r="J212" s="239">
        <v>4.0</v>
      </c>
      <c r="K212" s="239">
        <v>8.0</v>
      </c>
      <c r="L212" s="238">
        <v>4.0</v>
      </c>
      <c r="M212" s="238">
        <v>3.0</v>
      </c>
      <c r="N212" s="238">
        <v>2.0</v>
      </c>
      <c r="O212" s="238">
        <v>6.0</v>
      </c>
      <c r="P212" s="238">
        <v>5.0</v>
      </c>
      <c r="Q212" s="238">
        <v>0.0</v>
      </c>
      <c r="R212" s="238">
        <v>5.0</v>
      </c>
      <c r="S212" s="238">
        <v>8.0</v>
      </c>
      <c r="T212" s="238">
        <v>7.0</v>
      </c>
      <c r="U212" s="238">
        <v>4.0</v>
      </c>
      <c r="V212" s="238">
        <v>2.0</v>
      </c>
      <c r="W212" s="238">
        <v>2.0</v>
      </c>
      <c r="X212" s="238">
        <v>4.0</v>
      </c>
      <c r="Y212" s="238">
        <v>6.0</v>
      </c>
      <c r="Z212" s="238">
        <v>7.0</v>
      </c>
      <c r="AA212" s="238">
        <v>4.0</v>
      </c>
      <c r="AB212" s="238">
        <v>2.0</v>
      </c>
      <c r="AC212" s="240">
        <v>3.0</v>
      </c>
      <c r="AD212" s="240">
        <v>4.0</v>
      </c>
      <c r="AE212" s="240">
        <v>4.0</v>
      </c>
      <c r="AF212" s="189">
        <f t="shared" si="66"/>
        <v>134</v>
      </c>
    </row>
    <row r="213">
      <c r="A213" s="237" t="s">
        <v>322</v>
      </c>
      <c r="B213" s="225"/>
      <c r="C213" s="225"/>
      <c r="D213" s="241">
        <v>1.0</v>
      </c>
      <c r="E213" s="241">
        <v>0.0</v>
      </c>
      <c r="F213" s="241">
        <v>0.0</v>
      </c>
      <c r="G213" s="241">
        <v>0.0</v>
      </c>
      <c r="H213" s="241">
        <v>0.0</v>
      </c>
      <c r="I213" s="241">
        <v>1.0</v>
      </c>
      <c r="J213" s="241"/>
      <c r="K213" s="241"/>
      <c r="L213" s="241"/>
      <c r="M213" s="241"/>
      <c r="N213" s="241"/>
      <c r="O213" s="241"/>
      <c r="P213" s="241"/>
      <c r="Q213" s="241"/>
      <c r="R213" s="241"/>
      <c r="S213" s="241"/>
      <c r="T213" s="241"/>
      <c r="U213" s="241"/>
      <c r="V213" s="241"/>
      <c r="W213" s="241">
        <v>4.0</v>
      </c>
      <c r="X213" s="241"/>
      <c r="Y213" s="241"/>
      <c r="Z213" s="241"/>
      <c r="AA213" s="241"/>
      <c r="AB213" s="241"/>
      <c r="AC213" s="241"/>
      <c r="AD213" s="241"/>
      <c r="AE213" s="241"/>
      <c r="AF213" s="189">
        <f t="shared" si="66"/>
        <v>6</v>
      </c>
    </row>
    <row r="214">
      <c r="A214" s="237" t="s">
        <v>323</v>
      </c>
      <c r="B214" s="242"/>
      <c r="C214" s="241">
        <v>23.0</v>
      </c>
      <c r="D214" s="225"/>
      <c r="E214" s="241">
        <v>0.0</v>
      </c>
      <c r="F214" s="241">
        <v>0.0</v>
      </c>
      <c r="G214" s="241">
        <v>0.0</v>
      </c>
      <c r="H214" s="241">
        <v>0.0</v>
      </c>
      <c r="I214" s="241">
        <v>0.0</v>
      </c>
      <c r="J214" s="241"/>
      <c r="K214" s="241"/>
      <c r="L214" s="241"/>
      <c r="M214" s="241"/>
      <c r="N214" s="241"/>
      <c r="O214" s="241"/>
      <c r="P214" s="241"/>
      <c r="Q214" s="241"/>
      <c r="R214" s="241"/>
      <c r="S214" s="241"/>
      <c r="T214" s="241"/>
      <c r="U214" s="241"/>
      <c r="V214" s="241"/>
      <c r="W214" s="241"/>
      <c r="X214" s="241"/>
      <c r="Y214" s="241"/>
      <c r="Z214" s="241"/>
      <c r="AA214" s="241"/>
      <c r="AB214" s="241"/>
      <c r="AC214" s="241">
        <v>2.0</v>
      </c>
      <c r="AD214" s="241">
        <v>1.0</v>
      </c>
      <c r="AE214" s="241"/>
      <c r="AF214" s="189">
        <f t="shared" si="66"/>
        <v>26</v>
      </c>
    </row>
    <row r="215">
      <c r="A215" s="243" t="s">
        <v>308</v>
      </c>
      <c r="B215" s="244">
        <f t="shared" ref="B215:B216" si="68">B209+B211+B213</f>
        <v>52</v>
      </c>
      <c r="C215" s="244">
        <f t="shared" ref="C215:AE215" si="67">SUM(C209:C214)</f>
        <v>155</v>
      </c>
      <c r="D215" s="244">
        <f t="shared" si="67"/>
        <v>157</v>
      </c>
      <c r="E215" s="244">
        <f t="shared" si="67"/>
        <v>134</v>
      </c>
      <c r="F215" s="244">
        <f t="shared" si="67"/>
        <v>139</v>
      </c>
      <c r="G215" s="244">
        <f t="shared" si="67"/>
        <v>145</v>
      </c>
      <c r="H215" s="244">
        <f t="shared" si="67"/>
        <v>128</v>
      </c>
      <c r="I215" s="244">
        <f t="shared" si="67"/>
        <v>183</v>
      </c>
      <c r="J215" s="244">
        <f t="shared" si="67"/>
        <v>167</v>
      </c>
      <c r="K215" s="244">
        <f t="shared" si="67"/>
        <v>141</v>
      </c>
      <c r="L215" s="244">
        <f t="shared" si="67"/>
        <v>149</v>
      </c>
      <c r="M215" s="244">
        <f t="shared" si="67"/>
        <v>172</v>
      </c>
      <c r="N215" s="244">
        <f t="shared" si="67"/>
        <v>211</v>
      </c>
      <c r="O215" s="244">
        <f t="shared" si="67"/>
        <v>222</v>
      </c>
      <c r="P215" s="244">
        <f t="shared" si="67"/>
        <v>242</v>
      </c>
      <c r="Q215" s="244">
        <f t="shared" si="67"/>
        <v>199</v>
      </c>
      <c r="R215" s="244">
        <f t="shared" si="67"/>
        <v>251</v>
      </c>
      <c r="S215" s="244">
        <f t="shared" si="67"/>
        <v>339</v>
      </c>
      <c r="T215" s="244">
        <f t="shared" si="67"/>
        <v>222</v>
      </c>
      <c r="U215" s="244">
        <f t="shared" si="67"/>
        <v>93</v>
      </c>
      <c r="V215" s="244">
        <f t="shared" si="67"/>
        <v>48</v>
      </c>
      <c r="W215" s="244">
        <f t="shared" si="67"/>
        <v>52</v>
      </c>
      <c r="X215" s="244">
        <f t="shared" si="67"/>
        <v>56</v>
      </c>
      <c r="Y215" s="244">
        <f t="shared" si="67"/>
        <v>81</v>
      </c>
      <c r="Z215" s="244">
        <f t="shared" si="67"/>
        <v>145</v>
      </c>
      <c r="AA215" s="244">
        <f t="shared" si="67"/>
        <v>105</v>
      </c>
      <c r="AB215" s="244">
        <f t="shared" si="67"/>
        <v>59</v>
      </c>
      <c r="AC215" s="244">
        <f t="shared" si="67"/>
        <v>63</v>
      </c>
      <c r="AD215" s="244">
        <f t="shared" si="67"/>
        <v>69</v>
      </c>
      <c r="AE215" s="244">
        <f t="shared" si="67"/>
        <v>86</v>
      </c>
      <c r="AF215" s="189">
        <f t="shared" si="66"/>
        <v>4265</v>
      </c>
    </row>
    <row r="216">
      <c r="A216" s="243" t="s">
        <v>324</v>
      </c>
      <c r="B216" s="244">
        <f t="shared" si="68"/>
        <v>78</v>
      </c>
      <c r="C216" s="244">
        <f t="shared" ref="C216:AE216" si="69">C210+C212+C214</f>
        <v>114</v>
      </c>
      <c r="D216" s="244">
        <f t="shared" si="69"/>
        <v>105</v>
      </c>
      <c r="E216" s="244">
        <f t="shared" si="69"/>
        <v>90</v>
      </c>
      <c r="F216" s="244">
        <f t="shared" si="69"/>
        <v>89</v>
      </c>
      <c r="G216" s="244">
        <f t="shared" si="69"/>
        <v>91</v>
      </c>
      <c r="H216" s="244">
        <f t="shared" si="69"/>
        <v>79</v>
      </c>
      <c r="I216" s="244">
        <f t="shared" si="69"/>
        <v>116</v>
      </c>
      <c r="J216" s="244">
        <f t="shared" si="69"/>
        <v>105</v>
      </c>
      <c r="K216" s="244">
        <f t="shared" si="69"/>
        <v>94</v>
      </c>
      <c r="L216" s="244">
        <f t="shared" si="69"/>
        <v>92</v>
      </c>
      <c r="M216" s="244">
        <f t="shared" si="69"/>
        <v>99</v>
      </c>
      <c r="N216" s="244">
        <f t="shared" si="69"/>
        <v>128</v>
      </c>
      <c r="O216" s="244">
        <f t="shared" si="69"/>
        <v>123</v>
      </c>
      <c r="P216" s="244">
        <f t="shared" si="69"/>
        <v>141</v>
      </c>
      <c r="Q216" s="244">
        <f t="shared" si="69"/>
        <v>117</v>
      </c>
      <c r="R216" s="244">
        <f t="shared" si="69"/>
        <v>159</v>
      </c>
      <c r="S216" s="244">
        <f t="shared" si="69"/>
        <v>202</v>
      </c>
      <c r="T216" s="244">
        <f t="shared" si="69"/>
        <v>150</v>
      </c>
      <c r="U216" s="244">
        <f t="shared" si="69"/>
        <v>63</v>
      </c>
      <c r="V216" s="244">
        <f t="shared" si="69"/>
        <v>32</v>
      </c>
      <c r="W216" s="244">
        <f t="shared" si="69"/>
        <v>32</v>
      </c>
      <c r="X216" s="244">
        <f t="shared" si="69"/>
        <v>40</v>
      </c>
      <c r="Y216" s="244">
        <f t="shared" si="69"/>
        <v>50</v>
      </c>
      <c r="Z216" s="244">
        <f t="shared" si="69"/>
        <v>113</v>
      </c>
      <c r="AA216" s="244">
        <f t="shared" si="69"/>
        <v>72</v>
      </c>
      <c r="AB216" s="244">
        <f t="shared" si="69"/>
        <v>37</v>
      </c>
      <c r="AC216" s="244">
        <f t="shared" si="69"/>
        <v>41</v>
      </c>
      <c r="AD216" s="244">
        <f t="shared" si="69"/>
        <v>49</v>
      </c>
      <c r="AE216" s="244">
        <f t="shared" si="69"/>
        <v>64</v>
      </c>
      <c r="AF216" s="189">
        <f t="shared" si="66"/>
        <v>2765</v>
      </c>
    </row>
    <row r="217" ht="21.0" customHeight="1">
      <c r="A217" s="26"/>
      <c r="B217" s="166"/>
      <c r="C217" s="166"/>
      <c r="D217" s="166"/>
      <c r="E217" s="166"/>
      <c r="F217" s="166"/>
      <c r="G217" s="166"/>
      <c r="H217" s="16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89"/>
    </row>
    <row r="218">
      <c r="A218" s="237" t="s">
        <v>325</v>
      </c>
      <c r="B218" s="238">
        <v>31.0</v>
      </c>
      <c r="C218" s="238">
        <v>34.0</v>
      </c>
      <c r="D218" s="238">
        <v>44.0</v>
      </c>
      <c r="E218" s="239">
        <v>47.0</v>
      </c>
      <c r="F218" s="239">
        <v>45.0</v>
      </c>
      <c r="G218" s="239">
        <v>37.0</v>
      </c>
      <c r="H218" s="239">
        <v>39.0</v>
      </c>
      <c r="I218" s="239">
        <v>49.0</v>
      </c>
      <c r="J218" s="239">
        <v>60.0</v>
      </c>
      <c r="K218" s="239">
        <v>52.0</v>
      </c>
      <c r="L218" s="238">
        <v>48.0</v>
      </c>
      <c r="M218" s="238">
        <v>64.0</v>
      </c>
      <c r="N218" s="238">
        <v>55.0</v>
      </c>
      <c r="O218" s="238">
        <v>72.0</v>
      </c>
      <c r="P218" s="238">
        <v>83.0</v>
      </c>
      <c r="Q218" s="238">
        <v>78.0</v>
      </c>
      <c r="R218" s="238">
        <v>68.0</v>
      </c>
      <c r="S218" s="238">
        <v>98.0</v>
      </c>
      <c r="T218" s="238">
        <v>73.0</v>
      </c>
      <c r="U218" s="245">
        <v>37.0</v>
      </c>
      <c r="V218" s="245">
        <v>22.0</v>
      </c>
      <c r="W218" s="238">
        <v>14.0</v>
      </c>
      <c r="X218" s="238">
        <v>25.0</v>
      </c>
      <c r="Y218" s="238">
        <v>31.0</v>
      </c>
      <c r="Z218" s="238">
        <v>56.0</v>
      </c>
      <c r="AA218" s="238">
        <v>33.0</v>
      </c>
      <c r="AB218" s="238">
        <v>20.0</v>
      </c>
      <c r="AC218" s="240">
        <v>20.0</v>
      </c>
      <c r="AD218" s="240">
        <v>15.0</v>
      </c>
      <c r="AE218" s="246">
        <v>19.0</v>
      </c>
      <c r="AF218" s="189">
        <f t="shared" ref="AF218:AF223" si="70">sum(B218:AE218)</f>
        <v>1369</v>
      </c>
    </row>
    <row r="219">
      <c r="A219" s="237" t="s">
        <v>326</v>
      </c>
      <c r="B219" s="238">
        <v>0.0</v>
      </c>
      <c r="C219" s="238">
        <v>0.0</v>
      </c>
      <c r="D219" s="238">
        <v>0.0</v>
      </c>
      <c r="E219" s="239">
        <v>0.0</v>
      </c>
      <c r="F219" s="239">
        <v>1.0</v>
      </c>
      <c r="G219" s="239">
        <v>0.0</v>
      </c>
      <c r="H219" s="239">
        <v>0.0</v>
      </c>
      <c r="I219" s="239">
        <v>0.0</v>
      </c>
      <c r="J219" s="239">
        <v>0.0</v>
      </c>
      <c r="K219" s="239">
        <v>0.0</v>
      </c>
      <c r="L219" s="238">
        <v>0.0</v>
      </c>
      <c r="M219" s="238">
        <v>0.0</v>
      </c>
      <c r="N219" s="238">
        <v>0.0</v>
      </c>
      <c r="O219" s="238">
        <v>0.0</v>
      </c>
      <c r="P219" s="238">
        <v>0.0</v>
      </c>
      <c r="Q219" s="238">
        <v>0.0</v>
      </c>
      <c r="R219" s="238">
        <v>0.0</v>
      </c>
      <c r="S219" s="238">
        <v>0.0</v>
      </c>
      <c r="T219" s="238">
        <v>0.0</v>
      </c>
      <c r="U219" s="238">
        <v>0.0</v>
      </c>
      <c r="V219" s="245">
        <v>0.0</v>
      </c>
      <c r="W219" s="245">
        <v>0.0</v>
      </c>
      <c r="X219" s="245">
        <v>0.0</v>
      </c>
      <c r="Y219" s="238">
        <v>0.0</v>
      </c>
      <c r="Z219" s="238">
        <v>0.0</v>
      </c>
      <c r="AA219" s="238">
        <v>0.0</v>
      </c>
      <c r="AB219" s="238">
        <v>0.0</v>
      </c>
      <c r="AC219" s="240">
        <v>0.0</v>
      </c>
      <c r="AD219" s="240">
        <v>0.0</v>
      </c>
      <c r="AE219" s="240">
        <v>0.0</v>
      </c>
      <c r="AF219" s="189">
        <f t="shared" si="70"/>
        <v>1</v>
      </c>
    </row>
    <row r="220">
      <c r="A220" s="237" t="s">
        <v>327</v>
      </c>
      <c r="B220" s="238">
        <v>17.0</v>
      </c>
      <c r="C220" s="238">
        <v>21.0</v>
      </c>
      <c r="D220" s="238">
        <v>22.0</v>
      </c>
      <c r="E220" s="239">
        <v>28.0</v>
      </c>
      <c r="F220" s="239">
        <v>20.0</v>
      </c>
      <c r="G220" s="239">
        <v>15.0</v>
      </c>
      <c r="H220" s="239">
        <v>25.0</v>
      </c>
      <c r="I220" s="239">
        <v>36.0</v>
      </c>
      <c r="J220" s="239">
        <v>36.0</v>
      </c>
      <c r="K220" s="239">
        <v>29.0</v>
      </c>
      <c r="L220" s="238">
        <v>31.0</v>
      </c>
      <c r="M220" s="238">
        <v>31.0</v>
      </c>
      <c r="N220" s="238">
        <v>27.0</v>
      </c>
      <c r="O220" s="238">
        <v>26.0</v>
      </c>
      <c r="P220" s="238">
        <v>33.0</v>
      </c>
      <c r="Q220" s="238">
        <v>43.0</v>
      </c>
      <c r="R220" s="238">
        <v>36.0</v>
      </c>
      <c r="S220" s="238">
        <v>53.0</v>
      </c>
      <c r="T220" s="238">
        <v>48.0</v>
      </c>
      <c r="U220" s="245">
        <v>20.0</v>
      </c>
      <c r="V220" s="245">
        <v>18.0</v>
      </c>
      <c r="W220" s="238">
        <v>7.0</v>
      </c>
      <c r="X220" s="238">
        <v>12.0</v>
      </c>
      <c r="Y220" s="238">
        <v>18.0</v>
      </c>
      <c r="Z220" s="238">
        <v>28.0</v>
      </c>
      <c r="AA220" s="238">
        <v>15.0</v>
      </c>
      <c r="AB220" s="238">
        <v>8.0</v>
      </c>
      <c r="AC220" s="240">
        <v>6.0</v>
      </c>
      <c r="AD220" s="240">
        <v>16.0</v>
      </c>
      <c r="AE220" s="240">
        <v>9.0</v>
      </c>
      <c r="AF220" s="189">
        <f t="shared" si="70"/>
        <v>734</v>
      </c>
    </row>
    <row r="221">
      <c r="A221" s="237" t="s">
        <v>328</v>
      </c>
      <c r="B221" s="238">
        <v>22.0</v>
      </c>
      <c r="C221" s="238">
        <v>28.0</v>
      </c>
      <c r="D221" s="238">
        <v>24.0</v>
      </c>
      <c r="E221" s="239">
        <v>31.0</v>
      </c>
      <c r="F221" s="239">
        <v>22.0</v>
      </c>
      <c r="G221" s="239">
        <v>21.0</v>
      </c>
      <c r="H221" s="239">
        <v>21.0</v>
      </c>
      <c r="I221" s="239">
        <v>35.0</v>
      </c>
      <c r="J221" s="239">
        <v>38.0</v>
      </c>
      <c r="K221" s="239">
        <v>22.0</v>
      </c>
      <c r="L221" s="238">
        <v>30.0</v>
      </c>
      <c r="M221" s="238">
        <v>33.0</v>
      </c>
      <c r="N221" s="238">
        <v>25.0</v>
      </c>
      <c r="O221" s="238">
        <v>29.0</v>
      </c>
      <c r="P221" s="238">
        <v>33.0</v>
      </c>
      <c r="Q221" s="238">
        <v>52.0</v>
      </c>
      <c r="R221" s="238">
        <v>35.0</v>
      </c>
      <c r="S221" s="238">
        <v>62.0</v>
      </c>
      <c r="T221" s="238">
        <v>52.0</v>
      </c>
      <c r="U221" s="247">
        <v>24.0</v>
      </c>
      <c r="V221" s="247">
        <v>14.0</v>
      </c>
      <c r="W221" s="238">
        <v>7.0</v>
      </c>
      <c r="X221" s="245">
        <v>20.0</v>
      </c>
      <c r="Y221" s="238">
        <v>14.0</v>
      </c>
      <c r="Z221" s="238">
        <v>30.0</v>
      </c>
      <c r="AA221" s="238">
        <v>17.0</v>
      </c>
      <c r="AB221" s="238">
        <v>8.0</v>
      </c>
      <c r="AC221" s="240">
        <v>6.0</v>
      </c>
      <c r="AD221" s="240">
        <v>13.0</v>
      </c>
      <c r="AE221" s="240">
        <v>13.0</v>
      </c>
      <c r="AF221" s="189">
        <f t="shared" si="70"/>
        <v>781</v>
      </c>
    </row>
    <row r="222">
      <c r="A222" s="237" t="s">
        <v>329</v>
      </c>
      <c r="B222" s="238">
        <v>13.0</v>
      </c>
      <c r="C222" s="238">
        <v>17.0</v>
      </c>
      <c r="D222" s="238">
        <v>20.0</v>
      </c>
      <c r="E222" s="239">
        <v>15.0</v>
      </c>
      <c r="F222" s="239">
        <v>20.0</v>
      </c>
      <c r="G222" s="239">
        <v>11.0</v>
      </c>
      <c r="H222" s="239">
        <v>16.0</v>
      </c>
      <c r="I222" s="239">
        <v>18.0</v>
      </c>
      <c r="J222" s="239">
        <v>19.0</v>
      </c>
      <c r="K222" s="239">
        <v>20.0</v>
      </c>
      <c r="L222" s="238">
        <v>14.0</v>
      </c>
      <c r="M222" s="238">
        <v>28.0</v>
      </c>
      <c r="N222" s="238">
        <v>17.0</v>
      </c>
      <c r="O222" s="238">
        <v>26.0</v>
      </c>
      <c r="P222" s="238">
        <v>14.0</v>
      </c>
      <c r="Q222" s="238">
        <v>31.0</v>
      </c>
      <c r="R222" s="238">
        <v>18.0</v>
      </c>
      <c r="S222" s="238">
        <v>28.0</v>
      </c>
      <c r="T222" s="238">
        <v>28.0</v>
      </c>
      <c r="U222" s="247">
        <v>13.0</v>
      </c>
      <c r="V222" s="247">
        <v>9.0</v>
      </c>
      <c r="W222" s="238">
        <v>5.0</v>
      </c>
      <c r="X222" s="238">
        <v>12.0</v>
      </c>
      <c r="Y222" s="238">
        <v>6.0</v>
      </c>
      <c r="Z222" s="238">
        <v>12.0</v>
      </c>
      <c r="AA222" s="238">
        <v>12.0</v>
      </c>
      <c r="AB222" s="238">
        <v>6.0</v>
      </c>
      <c r="AC222" s="240">
        <v>9.0</v>
      </c>
      <c r="AD222" s="240">
        <v>13.0</v>
      </c>
      <c r="AE222" s="240">
        <v>12.0</v>
      </c>
      <c r="AF222" s="189">
        <f t="shared" si="70"/>
        <v>482</v>
      </c>
    </row>
    <row r="223">
      <c r="A223" s="243" t="s">
        <v>330</v>
      </c>
      <c r="B223" s="244">
        <f t="shared" ref="B223:AE223" si="71">SUM(B218:B222)</f>
        <v>83</v>
      </c>
      <c r="C223" s="244">
        <f t="shared" si="71"/>
        <v>100</v>
      </c>
      <c r="D223" s="244">
        <f t="shared" si="71"/>
        <v>110</v>
      </c>
      <c r="E223" s="244">
        <f t="shared" si="71"/>
        <v>121</v>
      </c>
      <c r="F223" s="244">
        <f t="shared" si="71"/>
        <v>108</v>
      </c>
      <c r="G223" s="244">
        <f t="shared" si="71"/>
        <v>84</v>
      </c>
      <c r="H223" s="244">
        <f t="shared" si="71"/>
        <v>101</v>
      </c>
      <c r="I223" s="244">
        <f t="shared" si="71"/>
        <v>138</v>
      </c>
      <c r="J223" s="244">
        <f t="shared" si="71"/>
        <v>153</v>
      </c>
      <c r="K223" s="244">
        <f t="shared" si="71"/>
        <v>123</v>
      </c>
      <c r="L223" s="244">
        <f t="shared" si="71"/>
        <v>123</v>
      </c>
      <c r="M223" s="244">
        <f t="shared" si="71"/>
        <v>156</v>
      </c>
      <c r="N223" s="244">
        <f t="shared" si="71"/>
        <v>124</v>
      </c>
      <c r="O223" s="244">
        <f t="shared" si="71"/>
        <v>153</v>
      </c>
      <c r="P223" s="244">
        <f t="shared" si="71"/>
        <v>163</v>
      </c>
      <c r="Q223" s="244">
        <f t="shared" si="71"/>
        <v>204</v>
      </c>
      <c r="R223" s="244">
        <f t="shared" si="71"/>
        <v>157</v>
      </c>
      <c r="S223" s="244">
        <f t="shared" si="71"/>
        <v>241</v>
      </c>
      <c r="T223" s="244">
        <f t="shared" si="71"/>
        <v>201</v>
      </c>
      <c r="U223" s="244">
        <f t="shared" si="71"/>
        <v>94</v>
      </c>
      <c r="V223" s="244">
        <f t="shared" si="71"/>
        <v>63</v>
      </c>
      <c r="W223" s="244">
        <f t="shared" si="71"/>
        <v>33</v>
      </c>
      <c r="X223" s="244">
        <f t="shared" si="71"/>
        <v>69</v>
      </c>
      <c r="Y223" s="244">
        <f t="shared" si="71"/>
        <v>69</v>
      </c>
      <c r="Z223" s="244">
        <f t="shared" si="71"/>
        <v>126</v>
      </c>
      <c r="AA223" s="244">
        <f t="shared" si="71"/>
        <v>77</v>
      </c>
      <c r="AB223" s="244">
        <f t="shared" si="71"/>
        <v>42</v>
      </c>
      <c r="AC223" s="244">
        <f t="shared" si="71"/>
        <v>41</v>
      </c>
      <c r="AD223" s="244">
        <f t="shared" si="71"/>
        <v>57</v>
      </c>
      <c r="AE223" s="244">
        <f t="shared" si="71"/>
        <v>53</v>
      </c>
      <c r="AF223" s="189">
        <f t="shared" si="70"/>
        <v>3367</v>
      </c>
    </row>
    <row r="224">
      <c r="A224" s="26"/>
      <c r="B224" s="166"/>
      <c r="C224" s="166"/>
      <c r="D224" s="166"/>
      <c r="E224" s="166"/>
      <c r="F224" s="166"/>
      <c r="G224" s="166"/>
      <c r="H224" s="16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89"/>
    </row>
    <row r="225">
      <c r="A225" s="237" t="s">
        <v>331</v>
      </c>
      <c r="B225" s="238">
        <v>0.0</v>
      </c>
      <c r="C225" s="238">
        <v>4.0</v>
      </c>
      <c r="D225" s="238">
        <v>3.0</v>
      </c>
      <c r="E225" s="239">
        <v>3.0</v>
      </c>
      <c r="F225" s="239">
        <v>6.0</v>
      </c>
      <c r="G225" s="239">
        <v>8.0</v>
      </c>
      <c r="H225" s="239">
        <v>6.0</v>
      </c>
      <c r="I225" s="239">
        <v>4.0</v>
      </c>
      <c r="J225" s="239">
        <v>4.0</v>
      </c>
      <c r="K225" s="239">
        <v>9.0</v>
      </c>
      <c r="L225" s="238">
        <v>3.0</v>
      </c>
      <c r="M225" s="238">
        <v>1.0</v>
      </c>
      <c r="N225" s="238">
        <v>4.0</v>
      </c>
      <c r="O225" s="238">
        <v>8.0</v>
      </c>
      <c r="P225" s="238">
        <v>3.0</v>
      </c>
      <c r="Q225" s="238">
        <v>1.0</v>
      </c>
      <c r="R225" s="238">
        <v>2.0</v>
      </c>
      <c r="S225" s="238">
        <v>4.0</v>
      </c>
      <c r="T225" s="238">
        <v>5.0</v>
      </c>
      <c r="U225" s="238">
        <v>2.0</v>
      </c>
      <c r="V225" s="238">
        <v>1.0</v>
      </c>
      <c r="W225" s="238">
        <v>0.0</v>
      </c>
      <c r="X225" s="238">
        <v>4.0</v>
      </c>
      <c r="Y225" s="238">
        <v>3.0</v>
      </c>
      <c r="Z225" s="238">
        <v>8.0</v>
      </c>
      <c r="AA225" s="238">
        <v>2.0</v>
      </c>
      <c r="AB225" s="238">
        <v>2.0</v>
      </c>
      <c r="AC225" s="240">
        <v>1.0</v>
      </c>
      <c r="AD225" s="240">
        <v>0.0</v>
      </c>
      <c r="AE225" s="240">
        <v>4.0</v>
      </c>
      <c r="AF225" s="189">
        <f t="shared" ref="AF225:AF230" si="72">sum(B225:AE225)</f>
        <v>105</v>
      </c>
    </row>
    <row r="226">
      <c r="A226" s="237" t="s">
        <v>332</v>
      </c>
      <c r="B226" s="238">
        <v>0.0</v>
      </c>
      <c r="C226" s="238">
        <v>0.0</v>
      </c>
      <c r="D226" s="238">
        <v>0.0</v>
      </c>
      <c r="E226" s="239">
        <v>0.0</v>
      </c>
      <c r="F226" s="239">
        <v>0.0</v>
      </c>
      <c r="G226" s="239">
        <v>0.0</v>
      </c>
      <c r="H226" s="239">
        <v>0.0</v>
      </c>
      <c r="I226" s="239">
        <v>0.0</v>
      </c>
      <c r="J226" s="239">
        <v>0.0</v>
      </c>
      <c r="K226" s="239">
        <v>0.0</v>
      </c>
      <c r="L226" s="238">
        <v>0.0</v>
      </c>
      <c r="M226" s="238">
        <v>0.0</v>
      </c>
      <c r="N226" s="238">
        <v>0.0</v>
      </c>
      <c r="O226" s="238">
        <v>0.0</v>
      </c>
      <c r="P226" s="238">
        <v>0.0</v>
      </c>
      <c r="Q226" s="238">
        <v>0.0</v>
      </c>
      <c r="R226" s="238">
        <v>0.0</v>
      </c>
      <c r="S226" s="238">
        <v>0.0</v>
      </c>
      <c r="T226" s="238">
        <v>0.0</v>
      </c>
      <c r="U226" s="238">
        <v>0.0</v>
      </c>
      <c r="V226" s="238">
        <v>0.0</v>
      </c>
      <c r="W226" s="238">
        <v>0.0</v>
      </c>
      <c r="X226" s="238">
        <v>0.0</v>
      </c>
      <c r="Y226" s="238">
        <v>0.0</v>
      </c>
      <c r="Z226" s="238">
        <v>0.0</v>
      </c>
      <c r="AA226" s="238">
        <v>0.0</v>
      </c>
      <c r="AB226" s="238">
        <v>0.0</v>
      </c>
      <c r="AC226" s="240">
        <v>0.0</v>
      </c>
      <c r="AD226" s="240">
        <v>0.0</v>
      </c>
      <c r="AE226" s="240">
        <v>0.0</v>
      </c>
      <c r="AF226" s="189">
        <f t="shared" si="72"/>
        <v>0</v>
      </c>
    </row>
    <row r="227">
      <c r="A227" s="237" t="s">
        <v>333</v>
      </c>
      <c r="B227" s="238">
        <v>0.0</v>
      </c>
      <c r="C227" s="238">
        <v>1.0</v>
      </c>
      <c r="D227" s="238">
        <v>3.0</v>
      </c>
      <c r="E227" s="239">
        <v>3.0</v>
      </c>
      <c r="F227" s="239">
        <v>4.0</v>
      </c>
      <c r="G227" s="239">
        <v>2.0</v>
      </c>
      <c r="H227" s="239">
        <v>4.0</v>
      </c>
      <c r="I227" s="239">
        <v>4.0</v>
      </c>
      <c r="J227" s="239">
        <v>2.0</v>
      </c>
      <c r="K227" s="239">
        <v>2.0</v>
      </c>
      <c r="L227" s="238">
        <v>2.0</v>
      </c>
      <c r="M227" s="238">
        <v>1.0</v>
      </c>
      <c r="N227" s="238">
        <v>2.0</v>
      </c>
      <c r="O227" s="238">
        <v>4.0</v>
      </c>
      <c r="P227" s="238">
        <v>3.0</v>
      </c>
      <c r="Q227" s="238">
        <v>1.0</v>
      </c>
      <c r="R227" s="238">
        <v>1.0</v>
      </c>
      <c r="S227" s="238">
        <v>7.0</v>
      </c>
      <c r="T227" s="238">
        <v>6.0</v>
      </c>
      <c r="U227" s="238">
        <v>2.0</v>
      </c>
      <c r="V227" s="238">
        <v>1.0</v>
      </c>
      <c r="W227" s="238">
        <v>0.0</v>
      </c>
      <c r="X227" s="238">
        <v>3.0</v>
      </c>
      <c r="Y227" s="238">
        <v>3.0</v>
      </c>
      <c r="Z227" s="238">
        <v>0.0</v>
      </c>
      <c r="AA227" s="238">
        <v>1.0</v>
      </c>
      <c r="AB227" s="238">
        <v>1.0</v>
      </c>
      <c r="AC227" s="240">
        <v>0.0</v>
      </c>
      <c r="AD227" s="240">
        <v>0.0</v>
      </c>
      <c r="AE227" s="240">
        <v>4.0</v>
      </c>
      <c r="AF227" s="189">
        <f t="shared" si="72"/>
        <v>67</v>
      </c>
    </row>
    <row r="228">
      <c r="A228" s="237" t="s">
        <v>334</v>
      </c>
      <c r="B228" s="238">
        <v>2.0</v>
      </c>
      <c r="C228" s="238">
        <v>4.0</v>
      </c>
      <c r="D228" s="238">
        <v>4.0</v>
      </c>
      <c r="E228" s="239">
        <v>2.0</v>
      </c>
      <c r="F228" s="239">
        <v>4.0</v>
      </c>
      <c r="G228" s="239">
        <v>4.0</v>
      </c>
      <c r="H228" s="239">
        <v>5.0</v>
      </c>
      <c r="I228" s="239">
        <v>3.0</v>
      </c>
      <c r="J228" s="239">
        <v>6.0</v>
      </c>
      <c r="K228" s="239">
        <v>8.0</v>
      </c>
      <c r="L228" s="238">
        <v>4.0</v>
      </c>
      <c r="M228" s="238">
        <v>5.0</v>
      </c>
      <c r="N228" s="238">
        <v>4.0</v>
      </c>
      <c r="O228" s="238">
        <v>4.0</v>
      </c>
      <c r="P228" s="238">
        <v>3.0</v>
      </c>
      <c r="Q228" s="238">
        <v>2.0</v>
      </c>
      <c r="R228" s="238">
        <v>0.0</v>
      </c>
      <c r="S228" s="238">
        <v>5.0</v>
      </c>
      <c r="T228" s="238">
        <v>7.0</v>
      </c>
      <c r="U228" s="238">
        <v>3.0</v>
      </c>
      <c r="V228" s="238">
        <v>2.0</v>
      </c>
      <c r="W228" s="238">
        <v>3.0</v>
      </c>
      <c r="X228" s="238">
        <v>5.0</v>
      </c>
      <c r="Y228" s="238">
        <v>2.0</v>
      </c>
      <c r="Z228" s="238">
        <v>3.0</v>
      </c>
      <c r="AA228" s="238">
        <v>3.0</v>
      </c>
      <c r="AB228" s="238">
        <v>2.0</v>
      </c>
      <c r="AC228" s="240">
        <v>1.0</v>
      </c>
      <c r="AD228" s="240">
        <v>2.0</v>
      </c>
      <c r="AE228" s="240">
        <v>4.0</v>
      </c>
      <c r="AF228" s="189">
        <f t="shared" si="72"/>
        <v>106</v>
      </c>
    </row>
    <row r="229">
      <c r="A229" s="237" t="s">
        <v>335</v>
      </c>
      <c r="B229" s="238">
        <v>2.0</v>
      </c>
      <c r="C229" s="238">
        <v>2.0</v>
      </c>
      <c r="D229" s="238">
        <v>4.0</v>
      </c>
      <c r="E229" s="239">
        <v>0.0</v>
      </c>
      <c r="F229" s="239">
        <v>1.0</v>
      </c>
      <c r="G229" s="239">
        <v>0.0</v>
      </c>
      <c r="H229" s="239">
        <v>2.0</v>
      </c>
      <c r="I229" s="239">
        <v>3.0</v>
      </c>
      <c r="J229" s="239">
        <v>1.0</v>
      </c>
      <c r="K229" s="239">
        <v>3.0</v>
      </c>
      <c r="L229" s="238">
        <v>2.0</v>
      </c>
      <c r="M229" s="238">
        <v>6.0</v>
      </c>
      <c r="N229" s="238">
        <v>1.0</v>
      </c>
      <c r="O229" s="238">
        <v>3.0</v>
      </c>
      <c r="P229" s="238">
        <v>1.0</v>
      </c>
      <c r="Q229" s="238">
        <v>2.0</v>
      </c>
      <c r="R229" s="238">
        <v>0.0</v>
      </c>
      <c r="S229" s="238">
        <v>6.0</v>
      </c>
      <c r="T229" s="238">
        <v>0.0</v>
      </c>
      <c r="U229" s="238">
        <v>0.0</v>
      </c>
      <c r="V229" s="238">
        <v>0.0</v>
      </c>
      <c r="W229" s="238">
        <v>3.0</v>
      </c>
      <c r="X229" s="238">
        <v>3.0</v>
      </c>
      <c r="Y229" s="238">
        <v>1.0</v>
      </c>
      <c r="Z229" s="238">
        <v>2.0</v>
      </c>
      <c r="AA229" s="238">
        <v>1.0</v>
      </c>
      <c r="AB229" s="238">
        <v>2.0</v>
      </c>
      <c r="AC229" s="240">
        <v>1.0</v>
      </c>
      <c r="AD229" s="240">
        <v>1.0</v>
      </c>
      <c r="AE229" s="240">
        <v>1.0</v>
      </c>
      <c r="AF229" s="189">
        <f t="shared" si="72"/>
        <v>54</v>
      </c>
    </row>
    <row r="230">
      <c r="A230" s="248" t="s">
        <v>336</v>
      </c>
      <c r="B230" s="244">
        <f t="shared" ref="B230:AE230" si="73">SUM(B225:B229)</f>
        <v>4</v>
      </c>
      <c r="C230" s="244">
        <f t="shared" si="73"/>
        <v>11</v>
      </c>
      <c r="D230" s="244">
        <f t="shared" si="73"/>
        <v>14</v>
      </c>
      <c r="E230" s="244">
        <f t="shared" si="73"/>
        <v>8</v>
      </c>
      <c r="F230" s="244">
        <f t="shared" si="73"/>
        <v>15</v>
      </c>
      <c r="G230" s="244">
        <f t="shared" si="73"/>
        <v>14</v>
      </c>
      <c r="H230" s="244">
        <f t="shared" si="73"/>
        <v>17</v>
      </c>
      <c r="I230" s="244">
        <f t="shared" si="73"/>
        <v>14</v>
      </c>
      <c r="J230" s="244">
        <f t="shared" si="73"/>
        <v>13</v>
      </c>
      <c r="K230" s="244">
        <f t="shared" si="73"/>
        <v>22</v>
      </c>
      <c r="L230" s="244">
        <f t="shared" si="73"/>
        <v>11</v>
      </c>
      <c r="M230" s="244">
        <f t="shared" si="73"/>
        <v>13</v>
      </c>
      <c r="N230" s="244">
        <f t="shared" si="73"/>
        <v>11</v>
      </c>
      <c r="O230" s="244">
        <f t="shared" si="73"/>
        <v>19</v>
      </c>
      <c r="P230" s="244">
        <f t="shared" si="73"/>
        <v>10</v>
      </c>
      <c r="Q230" s="244">
        <f t="shared" si="73"/>
        <v>6</v>
      </c>
      <c r="R230" s="244">
        <f t="shared" si="73"/>
        <v>3</v>
      </c>
      <c r="S230" s="244">
        <f t="shared" si="73"/>
        <v>22</v>
      </c>
      <c r="T230" s="244">
        <f t="shared" si="73"/>
        <v>18</v>
      </c>
      <c r="U230" s="244">
        <f t="shared" si="73"/>
        <v>7</v>
      </c>
      <c r="V230" s="244">
        <f t="shared" si="73"/>
        <v>4</v>
      </c>
      <c r="W230" s="244">
        <f t="shared" si="73"/>
        <v>6</v>
      </c>
      <c r="X230" s="244">
        <f t="shared" si="73"/>
        <v>15</v>
      </c>
      <c r="Y230" s="244">
        <f t="shared" si="73"/>
        <v>9</v>
      </c>
      <c r="Z230" s="244">
        <f t="shared" si="73"/>
        <v>13</v>
      </c>
      <c r="AA230" s="244">
        <f t="shared" si="73"/>
        <v>7</v>
      </c>
      <c r="AB230" s="244">
        <f t="shared" si="73"/>
        <v>7</v>
      </c>
      <c r="AC230" s="244">
        <f t="shared" si="73"/>
        <v>3</v>
      </c>
      <c r="AD230" s="244">
        <f t="shared" si="73"/>
        <v>3</v>
      </c>
      <c r="AE230" s="244">
        <f t="shared" si="73"/>
        <v>13</v>
      </c>
      <c r="AF230" s="189">
        <f t="shared" si="72"/>
        <v>332</v>
      </c>
    </row>
    <row r="231">
      <c r="A231" s="26"/>
      <c r="B231" s="166"/>
      <c r="C231" s="166"/>
      <c r="D231" s="166"/>
      <c r="E231" s="166"/>
      <c r="F231" s="166"/>
      <c r="G231" s="166"/>
      <c r="H231" s="16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89"/>
    </row>
    <row r="232">
      <c r="A232" s="237" t="s">
        <v>337</v>
      </c>
      <c r="B232" s="225"/>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c r="AA232" s="241"/>
      <c r="AB232" s="241"/>
      <c r="AC232" s="241"/>
      <c r="AD232" s="241"/>
      <c r="AE232" s="241"/>
      <c r="AF232" s="189">
        <f t="shared" ref="AF232:AF237" si="74">sum(B232:AE232)</f>
        <v>0</v>
      </c>
    </row>
    <row r="233">
      <c r="A233" s="237" t="s">
        <v>338</v>
      </c>
      <c r="B233" s="225"/>
      <c r="C233" s="249"/>
      <c r="D233" s="250"/>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c r="AA233" s="241"/>
      <c r="AB233" s="241"/>
      <c r="AC233" s="241"/>
      <c r="AD233" s="241"/>
      <c r="AE233" s="241"/>
      <c r="AF233" s="189">
        <f t="shared" si="74"/>
        <v>0</v>
      </c>
    </row>
    <row r="234">
      <c r="A234" s="237" t="s">
        <v>339</v>
      </c>
      <c r="B234" s="225"/>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c r="AA234" s="241"/>
      <c r="AB234" s="241"/>
      <c r="AC234" s="241"/>
      <c r="AD234" s="241"/>
      <c r="AE234" s="241"/>
      <c r="AF234" s="189">
        <f t="shared" si="74"/>
        <v>0</v>
      </c>
    </row>
    <row r="235">
      <c r="A235" s="237" t="s">
        <v>340</v>
      </c>
      <c r="B235" s="225"/>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c r="AA235" s="241"/>
      <c r="AB235" s="241"/>
      <c r="AC235" s="241"/>
      <c r="AD235" s="241"/>
      <c r="AE235" s="241">
        <v>1.0</v>
      </c>
      <c r="AF235" s="189">
        <f t="shared" si="74"/>
        <v>1</v>
      </c>
    </row>
    <row r="236">
      <c r="A236" s="237" t="s">
        <v>341</v>
      </c>
      <c r="B236" s="225"/>
      <c r="C236" s="249"/>
      <c r="D236" s="241"/>
      <c r="E236" s="241"/>
      <c r="F236" s="241"/>
      <c r="G236" s="241"/>
      <c r="H236" s="241"/>
      <c r="I236" s="241"/>
      <c r="J236" s="241"/>
      <c r="K236" s="241"/>
      <c r="L236" s="241"/>
      <c r="M236" s="241"/>
      <c r="N236" s="241"/>
      <c r="O236" s="241"/>
      <c r="P236" s="241"/>
      <c r="Q236" s="241"/>
      <c r="R236" s="241"/>
      <c r="S236" s="241"/>
      <c r="T236" s="241"/>
      <c r="U236" s="241"/>
      <c r="V236" s="241"/>
      <c r="W236" s="241">
        <v>4.0</v>
      </c>
      <c r="X236" s="241"/>
      <c r="Y236" s="241"/>
      <c r="Z236" s="241"/>
      <c r="AA236" s="241"/>
      <c r="AB236" s="241"/>
      <c r="AC236" s="241"/>
      <c r="AD236" s="241"/>
      <c r="AE236" s="241"/>
      <c r="AF236" s="189">
        <f t="shared" si="74"/>
        <v>4</v>
      </c>
    </row>
    <row r="237">
      <c r="A237" s="248" t="s">
        <v>342</v>
      </c>
      <c r="B237" s="244">
        <f t="shared" ref="B237:C237" si="75">SUM(B232:B235)</f>
        <v>0</v>
      </c>
      <c r="C237" s="244">
        <f t="shared" si="75"/>
        <v>0</v>
      </c>
      <c r="D237" s="244">
        <f t="shared" ref="D237:F237" si="76">SUM(D232:D236)</f>
        <v>0</v>
      </c>
      <c r="E237" s="244">
        <f t="shared" si="76"/>
        <v>0</v>
      </c>
      <c r="F237" s="244">
        <f t="shared" si="76"/>
        <v>0</v>
      </c>
      <c r="G237" s="244">
        <f t="shared" ref="G237:V237" si="77">SUM(G232:G235)</f>
        <v>0</v>
      </c>
      <c r="H237" s="244">
        <f t="shared" si="77"/>
        <v>0</v>
      </c>
      <c r="I237" s="244">
        <f t="shared" si="77"/>
        <v>0</v>
      </c>
      <c r="J237" s="244">
        <f t="shared" si="77"/>
        <v>0</v>
      </c>
      <c r="K237" s="244">
        <f t="shared" si="77"/>
        <v>0</v>
      </c>
      <c r="L237" s="244">
        <f t="shared" si="77"/>
        <v>0</v>
      </c>
      <c r="M237" s="244">
        <f t="shared" si="77"/>
        <v>0</v>
      </c>
      <c r="N237" s="244">
        <f t="shared" si="77"/>
        <v>0</v>
      </c>
      <c r="O237" s="244">
        <f t="shared" si="77"/>
        <v>0</v>
      </c>
      <c r="P237" s="244">
        <f t="shared" si="77"/>
        <v>0</v>
      </c>
      <c r="Q237" s="244">
        <f t="shared" si="77"/>
        <v>0</v>
      </c>
      <c r="R237" s="244">
        <f t="shared" si="77"/>
        <v>0</v>
      </c>
      <c r="S237" s="244">
        <f t="shared" si="77"/>
        <v>0</v>
      </c>
      <c r="T237" s="244">
        <f t="shared" si="77"/>
        <v>0</v>
      </c>
      <c r="U237" s="244">
        <f t="shared" si="77"/>
        <v>0</v>
      </c>
      <c r="V237" s="244">
        <f t="shared" si="77"/>
        <v>0</v>
      </c>
      <c r="W237" s="244">
        <f>SUM(W232:W236)</f>
        <v>4</v>
      </c>
      <c r="X237" s="244">
        <f t="shared" ref="X237:AE237" si="78">SUM(X232:X235)</f>
        <v>0</v>
      </c>
      <c r="Y237" s="244">
        <f t="shared" si="78"/>
        <v>0</v>
      </c>
      <c r="Z237" s="244">
        <f t="shared" si="78"/>
        <v>0</v>
      </c>
      <c r="AA237" s="244">
        <f t="shared" si="78"/>
        <v>0</v>
      </c>
      <c r="AB237" s="244">
        <f t="shared" si="78"/>
        <v>0</v>
      </c>
      <c r="AC237" s="244">
        <f t="shared" si="78"/>
        <v>0</v>
      </c>
      <c r="AD237" s="244">
        <f t="shared" si="78"/>
        <v>0</v>
      </c>
      <c r="AE237" s="244">
        <f t="shared" si="78"/>
        <v>1</v>
      </c>
      <c r="AF237" s="189">
        <f t="shared" si="74"/>
        <v>5</v>
      </c>
    </row>
    <row r="238">
      <c r="A238" s="26"/>
      <c r="B238" s="166"/>
      <c r="C238" s="166"/>
      <c r="D238" s="166"/>
      <c r="E238" s="166"/>
      <c r="F238" s="166"/>
      <c r="G238" s="166"/>
      <c r="H238" s="16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89"/>
    </row>
    <row r="239">
      <c r="A239" s="169" t="s">
        <v>343</v>
      </c>
      <c r="B239" s="166"/>
      <c r="C239" s="166"/>
      <c r="D239" s="166"/>
      <c r="E239" s="166"/>
      <c r="F239" s="166"/>
      <c r="G239" s="166"/>
      <c r="H239" s="16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89"/>
    </row>
    <row r="240">
      <c r="A240" s="237" t="s">
        <v>318</v>
      </c>
      <c r="B240" s="251">
        <v>10282.08</v>
      </c>
      <c r="C240" s="251">
        <v>8056.6</v>
      </c>
      <c r="D240" s="251">
        <v>9427.3</v>
      </c>
      <c r="E240" s="251">
        <v>8158.6</v>
      </c>
      <c r="F240" s="251">
        <v>9027.82</v>
      </c>
      <c r="G240" s="251">
        <v>10278.0</v>
      </c>
      <c r="H240" s="251">
        <v>9243.66</v>
      </c>
      <c r="I240" s="251">
        <v>13006.35</v>
      </c>
      <c r="J240" s="251">
        <v>12024.13</v>
      </c>
      <c r="K240" s="251">
        <v>8696.0</v>
      </c>
      <c r="L240" s="251">
        <v>10777.17</v>
      </c>
      <c r="M240" s="251">
        <v>13054.0</v>
      </c>
      <c r="N240" s="251">
        <v>15941.15</v>
      </c>
      <c r="O240" s="251">
        <v>18238.15</v>
      </c>
      <c r="P240" s="251">
        <v>19014.3</v>
      </c>
      <c r="Q240" s="251">
        <v>15332.55</v>
      </c>
      <c r="R240" s="251">
        <v>16785.6</v>
      </c>
      <c r="S240" s="251">
        <v>25113.7</v>
      </c>
      <c r="T240" s="251">
        <v>13322.7</v>
      </c>
      <c r="U240" s="251">
        <v>5343.1</v>
      </c>
      <c r="V240" s="251">
        <v>2707.37</v>
      </c>
      <c r="W240" s="251">
        <v>2746.0</v>
      </c>
      <c r="X240" s="251">
        <v>2776.0</v>
      </c>
      <c r="Y240" s="251">
        <v>5502.0</v>
      </c>
      <c r="Z240" s="251">
        <v>5522.0</v>
      </c>
      <c r="AA240" s="251">
        <v>5915.58</v>
      </c>
      <c r="AB240" s="251">
        <v>3861.08</v>
      </c>
      <c r="AC240" s="252">
        <v>3781.0</v>
      </c>
      <c r="AD240" s="252">
        <v>3383.0</v>
      </c>
      <c r="AE240" s="62">
        <v>3751.0</v>
      </c>
      <c r="AF240" s="253">
        <f t="shared" ref="AF240:AF247" si="79">SUM(B240:AE240)</f>
        <v>291067.99</v>
      </c>
    </row>
    <row r="241">
      <c r="A241" s="237" t="s">
        <v>319</v>
      </c>
      <c r="B241" s="251">
        <v>19966.3</v>
      </c>
      <c r="C241" s="251">
        <v>22410.31</v>
      </c>
      <c r="D241" s="251">
        <f>26762.03+259</f>
        <v>27021.03</v>
      </c>
      <c r="E241" s="251">
        <v>21882.13</v>
      </c>
      <c r="F241" s="251">
        <v>22241.52</v>
      </c>
      <c r="G241" s="251">
        <v>22975.79</v>
      </c>
      <c r="H241" s="251">
        <v>18700.0</v>
      </c>
      <c r="I241" s="251">
        <v>29450.82</v>
      </c>
      <c r="J241" s="251">
        <v>26377.19</v>
      </c>
      <c r="K241" s="251">
        <v>22410.43</v>
      </c>
      <c r="L241" s="251">
        <v>23520.14</v>
      </c>
      <c r="M241" s="251">
        <v>24856.5</v>
      </c>
      <c r="N241" s="251">
        <v>33423.34</v>
      </c>
      <c r="O241" s="251">
        <v>30476.08</v>
      </c>
      <c r="P241" s="251">
        <v>33966.41</v>
      </c>
      <c r="Q241" s="251">
        <v>29471.47</v>
      </c>
      <c r="R241" s="251">
        <v>39268.21</v>
      </c>
      <c r="S241" s="251">
        <v>49664.87</v>
      </c>
      <c r="T241" s="251">
        <v>36263.77</v>
      </c>
      <c r="U241" s="251">
        <v>15097.8</v>
      </c>
      <c r="V241" s="251">
        <v>7860.6</v>
      </c>
      <c r="W241" s="254">
        <v>7805.03</v>
      </c>
      <c r="X241" s="251">
        <v>9567.27</v>
      </c>
      <c r="Y241" s="251">
        <v>11234.82</v>
      </c>
      <c r="Z241" s="251">
        <v>28040.14</v>
      </c>
      <c r="AA241" s="251">
        <v>17848.3</v>
      </c>
      <c r="AB241" s="251">
        <v>9345.0</v>
      </c>
      <c r="AC241" s="252">
        <v>9415.0</v>
      </c>
      <c r="AD241" s="252">
        <v>11836.0</v>
      </c>
      <c r="AE241" s="62">
        <v>16040.0</v>
      </c>
      <c r="AF241" s="253">
        <f t="shared" si="79"/>
        <v>678436.27</v>
      </c>
    </row>
    <row r="242">
      <c r="A242" s="237" t="s">
        <v>320</v>
      </c>
      <c r="B242" s="254">
        <v>0.0</v>
      </c>
      <c r="C242" s="254">
        <v>0.0</v>
      </c>
      <c r="D242" s="251">
        <v>577.0</v>
      </c>
      <c r="E242" s="251">
        <v>398.0</v>
      </c>
      <c r="F242" s="251">
        <v>787.6</v>
      </c>
      <c r="G242" s="251">
        <v>398.0</v>
      </c>
      <c r="H242" s="251">
        <v>389.6</v>
      </c>
      <c r="I242" s="251">
        <v>0.0</v>
      </c>
      <c r="J242" s="251">
        <v>199.0</v>
      </c>
      <c r="K242" s="251">
        <v>587.0</v>
      </c>
      <c r="L242" s="251">
        <v>199.0</v>
      </c>
      <c r="M242" s="251">
        <v>1393.0</v>
      </c>
      <c r="N242" s="255">
        <v>398.0</v>
      </c>
      <c r="O242" s="251">
        <v>985.0</v>
      </c>
      <c r="P242" s="254">
        <v>0.0</v>
      </c>
      <c r="Q242" s="251">
        <v>179.1</v>
      </c>
      <c r="R242" s="251">
        <v>378.1</v>
      </c>
      <c r="S242" s="251">
        <v>557.2</v>
      </c>
      <c r="T242" s="251">
        <v>179.1</v>
      </c>
      <c r="U242" s="251">
        <v>199.0</v>
      </c>
      <c r="V242" s="254">
        <v>388.0</v>
      </c>
      <c r="W242" s="251">
        <v>398.0</v>
      </c>
      <c r="X242" s="251">
        <v>9567.27</v>
      </c>
      <c r="Y242" s="251">
        <v>587.0</v>
      </c>
      <c r="Z242" s="251">
        <v>766.0</v>
      </c>
      <c r="AA242" s="251">
        <v>597.0</v>
      </c>
      <c r="AB242" s="251">
        <v>388.0</v>
      </c>
      <c r="AC242" s="252">
        <v>597.0</v>
      </c>
      <c r="AD242" s="252">
        <v>597.0</v>
      </c>
      <c r="AE242" s="252">
        <v>587.0</v>
      </c>
      <c r="AF242" s="253">
        <f t="shared" si="79"/>
        <v>22275.97</v>
      </c>
    </row>
    <row r="243">
      <c r="A243" s="237" t="s">
        <v>321</v>
      </c>
      <c r="B243" s="251">
        <v>538.0</v>
      </c>
      <c r="C243" s="251">
        <v>1335.0</v>
      </c>
      <c r="D243" s="251">
        <v>269.0</v>
      </c>
      <c r="E243" s="251">
        <v>2132.0</v>
      </c>
      <c r="F243" s="251">
        <v>1614.0</v>
      </c>
      <c r="G243" s="251">
        <v>726.3</v>
      </c>
      <c r="H243" s="251">
        <v>2421.0</v>
      </c>
      <c r="I243" s="251">
        <v>1594.0</v>
      </c>
      <c r="J243" s="251">
        <v>1076.0</v>
      </c>
      <c r="K243" s="251">
        <v>2115.62</v>
      </c>
      <c r="L243" s="251">
        <v>1076.0</v>
      </c>
      <c r="M243" s="251">
        <v>787.0</v>
      </c>
      <c r="N243" s="251">
        <v>538.0</v>
      </c>
      <c r="O243" s="251">
        <v>1531.85</v>
      </c>
      <c r="P243" s="251">
        <v>1237.4</v>
      </c>
      <c r="Q243" s="254">
        <v>0.0</v>
      </c>
      <c r="R243" s="251">
        <v>1281.2</v>
      </c>
      <c r="S243" s="255">
        <v>2088.2</v>
      </c>
      <c r="T243" s="251">
        <v>1694.7</v>
      </c>
      <c r="U243" s="251">
        <v>1022.2</v>
      </c>
      <c r="V243" s="251">
        <v>538.0</v>
      </c>
      <c r="W243" s="251">
        <v>538.0</v>
      </c>
      <c r="X243" s="251">
        <v>1068.0</v>
      </c>
      <c r="Y243" s="251">
        <v>1604.0</v>
      </c>
      <c r="Z243" s="251">
        <v>1819.2</v>
      </c>
      <c r="AA243" s="251">
        <v>1076.0</v>
      </c>
      <c r="AB243" s="251">
        <v>538.0</v>
      </c>
      <c r="AC243" s="252">
        <v>807.0</v>
      </c>
      <c r="AD243" s="252">
        <v>1076.0</v>
      </c>
      <c r="AE243" s="252">
        <v>1066.0</v>
      </c>
      <c r="AF243" s="253">
        <f t="shared" si="79"/>
        <v>35207.67</v>
      </c>
    </row>
    <row r="244" ht="20.25" customHeight="1">
      <c r="A244" s="237" t="s">
        <v>322</v>
      </c>
      <c r="B244" s="256"/>
      <c r="C244" s="59"/>
      <c r="D244" s="59">
        <v>336.0</v>
      </c>
      <c r="E244" s="59"/>
      <c r="F244" s="59"/>
      <c r="G244" s="59"/>
      <c r="H244" s="59"/>
      <c r="I244" s="59">
        <v>336.0</v>
      </c>
      <c r="J244" s="256"/>
      <c r="K244" s="256"/>
      <c r="L244" s="256"/>
      <c r="M244" s="256"/>
      <c r="N244" s="256"/>
      <c r="O244" s="256"/>
      <c r="P244" s="256"/>
      <c r="Q244" s="256"/>
      <c r="R244" s="256"/>
      <c r="S244" s="256"/>
      <c r="T244" s="256"/>
      <c r="U244" s="256"/>
      <c r="V244" s="256"/>
      <c r="W244" s="59">
        <v>796.0</v>
      </c>
      <c r="X244" s="256"/>
      <c r="Y244" s="256"/>
      <c r="Z244" s="256"/>
      <c r="AA244" s="256"/>
      <c r="AB244" s="256"/>
      <c r="AC244" s="256"/>
      <c r="AD244" s="256"/>
      <c r="AE244" s="256"/>
      <c r="AF244" s="253">
        <f t="shared" si="79"/>
        <v>1468</v>
      </c>
    </row>
    <row r="245">
      <c r="A245" s="237" t="s">
        <v>323</v>
      </c>
      <c r="B245" s="256"/>
      <c r="C245" s="59">
        <v>5835.0</v>
      </c>
      <c r="D245" s="256"/>
      <c r="E245" s="59"/>
      <c r="F245" s="59"/>
      <c r="G245" s="59"/>
      <c r="H245" s="59"/>
      <c r="I245" s="59"/>
      <c r="J245" s="256"/>
      <c r="K245" s="256"/>
      <c r="L245" s="256"/>
      <c r="M245" s="256"/>
      <c r="N245" s="256"/>
      <c r="O245" s="256"/>
      <c r="P245" s="256"/>
      <c r="Q245" s="256"/>
      <c r="R245" s="256"/>
      <c r="S245" s="256"/>
      <c r="T245" s="256"/>
      <c r="U245" s="256"/>
      <c r="V245" s="256"/>
      <c r="W245" s="256"/>
      <c r="X245" s="256"/>
      <c r="Y245" s="256"/>
      <c r="Z245" s="256"/>
      <c r="AA245" s="256"/>
      <c r="AB245" s="256"/>
      <c r="AC245" s="59">
        <f>269+269</f>
        <v>538</v>
      </c>
      <c r="AD245" s="59">
        <v>269.0</v>
      </c>
      <c r="AE245" s="256"/>
      <c r="AF245" s="253">
        <f t="shared" si="79"/>
        <v>6642</v>
      </c>
    </row>
    <row r="246">
      <c r="A246" s="243" t="s">
        <v>308</v>
      </c>
      <c r="B246" s="257">
        <f t="shared" ref="B246:AE246" si="80">B240+B242+B244</f>
        <v>10282.08</v>
      </c>
      <c r="C246" s="257">
        <f t="shared" si="80"/>
        <v>8056.6</v>
      </c>
      <c r="D246" s="257">
        <f t="shared" si="80"/>
        <v>10340.3</v>
      </c>
      <c r="E246" s="257">
        <f t="shared" si="80"/>
        <v>8556.6</v>
      </c>
      <c r="F246" s="257">
        <f t="shared" si="80"/>
        <v>9815.42</v>
      </c>
      <c r="G246" s="257">
        <f t="shared" si="80"/>
        <v>10676</v>
      </c>
      <c r="H246" s="257">
        <f t="shared" si="80"/>
        <v>9633.26</v>
      </c>
      <c r="I246" s="257">
        <f t="shared" si="80"/>
        <v>13342.35</v>
      </c>
      <c r="J246" s="257">
        <f t="shared" si="80"/>
        <v>12223.13</v>
      </c>
      <c r="K246" s="257">
        <f t="shared" si="80"/>
        <v>9283</v>
      </c>
      <c r="L246" s="257">
        <f t="shared" si="80"/>
        <v>10976.17</v>
      </c>
      <c r="M246" s="257">
        <f t="shared" si="80"/>
        <v>14447</v>
      </c>
      <c r="N246" s="257">
        <f t="shared" si="80"/>
        <v>16339.15</v>
      </c>
      <c r="O246" s="257">
        <f t="shared" si="80"/>
        <v>19223.15</v>
      </c>
      <c r="P246" s="257">
        <f t="shared" si="80"/>
        <v>19014.3</v>
      </c>
      <c r="Q246" s="257">
        <f t="shared" si="80"/>
        <v>15511.65</v>
      </c>
      <c r="R246" s="257">
        <f t="shared" si="80"/>
        <v>17163.7</v>
      </c>
      <c r="S246" s="257">
        <f t="shared" si="80"/>
        <v>25670.9</v>
      </c>
      <c r="T246" s="257">
        <f t="shared" si="80"/>
        <v>13501.8</v>
      </c>
      <c r="U246" s="257">
        <f t="shared" si="80"/>
        <v>5542.1</v>
      </c>
      <c r="V246" s="257">
        <f t="shared" si="80"/>
        <v>3095.37</v>
      </c>
      <c r="W246" s="257">
        <f t="shared" si="80"/>
        <v>3940</v>
      </c>
      <c r="X246" s="257">
        <f t="shared" si="80"/>
        <v>12343.27</v>
      </c>
      <c r="Y246" s="257">
        <f t="shared" si="80"/>
        <v>6089</v>
      </c>
      <c r="Z246" s="257">
        <f t="shared" si="80"/>
        <v>6288</v>
      </c>
      <c r="AA246" s="257">
        <f t="shared" si="80"/>
        <v>6512.58</v>
      </c>
      <c r="AB246" s="257">
        <f t="shared" si="80"/>
        <v>4249.08</v>
      </c>
      <c r="AC246" s="257">
        <f t="shared" si="80"/>
        <v>4378</v>
      </c>
      <c r="AD246" s="257">
        <f t="shared" si="80"/>
        <v>3980</v>
      </c>
      <c r="AE246" s="257">
        <f t="shared" si="80"/>
        <v>4338</v>
      </c>
      <c r="AF246" s="253">
        <f t="shared" si="79"/>
        <v>314811.96</v>
      </c>
    </row>
    <row r="247">
      <c r="A247" s="243" t="s">
        <v>344</v>
      </c>
      <c r="B247" s="257">
        <f t="shared" ref="B247:AE247" si="81">B241+B243+B245</f>
        <v>20504.3</v>
      </c>
      <c r="C247" s="257">
        <f t="shared" si="81"/>
        <v>29580.31</v>
      </c>
      <c r="D247" s="257">
        <f t="shared" si="81"/>
        <v>27290.03</v>
      </c>
      <c r="E247" s="257">
        <f t="shared" si="81"/>
        <v>24014.13</v>
      </c>
      <c r="F247" s="257">
        <f t="shared" si="81"/>
        <v>23855.52</v>
      </c>
      <c r="G247" s="257">
        <f t="shared" si="81"/>
        <v>23702.09</v>
      </c>
      <c r="H247" s="257">
        <f t="shared" si="81"/>
        <v>21121</v>
      </c>
      <c r="I247" s="257">
        <f t="shared" si="81"/>
        <v>31044.82</v>
      </c>
      <c r="J247" s="257">
        <f t="shared" si="81"/>
        <v>27453.19</v>
      </c>
      <c r="K247" s="257">
        <f t="shared" si="81"/>
        <v>24526.05</v>
      </c>
      <c r="L247" s="257">
        <f t="shared" si="81"/>
        <v>24596.14</v>
      </c>
      <c r="M247" s="257">
        <f t="shared" si="81"/>
        <v>25643.5</v>
      </c>
      <c r="N247" s="257">
        <f t="shared" si="81"/>
        <v>33961.34</v>
      </c>
      <c r="O247" s="257">
        <f t="shared" si="81"/>
        <v>32007.93</v>
      </c>
      <c r="P247" s="257">
        <f t="shared" si="81"/>
        <v>35203.81</v>
      </c>
      <c r="Q247" s="257">
        <f t="shared" si="81"/>
        <v>29471.47</v>
      </c>
      <c r="R247" s="257">
        <f t="shared" si="81"/>
        <v>40549.41</v>
      </c>
      <c r="S247" s="257">
        <f t="shared" si="81"/>
        <v>51753.07</v>
      </c>
      <c r="T247" s="257">
        <f t="shared" si="81"/>
        <v>37958.47</v>
      </c>
      <c r="U247" s="257">
        <f t="shared" si="81"/>
        <v>16120</v>
      </c>
      <c r="V247" s="257">
        <f t="shared" si="81"/>
        <v>8398.6</v>
      </c>
      <c r="W247" s="257">
        <f t="shared" si="81"/>
        <v>8343.03</v>
      </c>
      <c r="X247" s="257">
        <f t="shared" si="81"/>
        <v>10635.27</v>
      </c>
      <c r="Y247" s="257">
        <f t="shared" si="81"/>
        <v>12838.82</v>
      </c>
      <c r="Z247" s="257">
        <f t="shared" si="81"/>
        <v>29859.34</v>
      </c>
      <c r="AA247" s="257">
        <f t="shared" si="81"/>
        <v>18924.3</v>
      </c>
      <c r="AB247" s="257">
        <f t="shared" si="81"/>
        <v>9883</v>
      </c>
      <c r="AC247" s="257">
        <f t="shared" si="81"/>
        <v>10760</v>
      </c>
      <c r="AD247" s="257">
        <f t="shared" si="81"/>
        <v>13181</v>
      </c>
      <c r="AE247" s="257">
        <f t="shared" si="81"/>
        <v>17106</v>
      </c>
      <c r="AF247" s="253">
        <f t="shared" si="79"/>
        <v>720285.94</v>
      </c>
    </row>
    <row r="248" ht="16.5" customHeight="1">
      <c r="A248" s="26"/>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c r="AA248" s="258"/>
      <c r="AB248" s="258"/>
      <c r="AC248" s="258"/>
      <c r="AD248" s="258"/>
      <c r="AE248" s="258"/>
      <c r="AF248" s="253"/>
    </row>
    <row r="249">
      <c r="A249" s="237" t="s">
        <v>325</v>
      </c>
      <c r="B249" s="259">
        <v>742.58</v>
      </c>
      <c r="C249" s="260">
        <v>803.38</v>
      </c>
      <c r="D249" s="259">
        <v>1031.41</v>
      </c>
      <c r="E249" s="259">
        <v>1091.26</v>
      </c>
      <c r="F249" s="259">
        <v>1074.99</v>
      </c>
      <c r="G249" s="259">
        <v>863.18</v>
      </c>
      <c r="H249" s="259">
        <v>936.0</v>
      </c>
      <c r="I249" s="261">
        <v>1173.03</v>
      </c>
      <c r="J249" s="259">
        <v>1436.86</v>
      </c>
      <c r="K249" s="259">
        <v>1234.85</v>
      </c>
      <c r="L249" s="259">
        <v>1148.06</v>
      </c>
      <c r="M249" s="259">
        <v>1524.88</v>
      </c>
      <c r="N249" s="259">
        <v>1305.72</v>
      </c>
      <c r="O249" s="259">
        <v>1695.85</v>
      </c>
      <c r="P249" s="259">
        <v>1886.07</v>
      </c>
      <c r="Q249" s="259">
        <v>1782.52</v>
      </c>
      <c r="R249" s="259">
        <v>1560.88</v>
      </c>
      <c r="S249" s="259">
        <v>2237.31</v>
      </c>
      <c r="T249" s="259">
        <v>1662.82</v>
      </c>
      <c r="U249" s="262">
        <v>825.6</v>
      </c>
      <c r="V249" s="259">
        <v>499.02</v>
      </c>
      <c r="W249" s="259">
        <v>313.26</v>
      </c>
      <c r="X249" s="262">
        <v>587.64</v>
      </c>
      <c r="Y249" s="259">
        <v>741.05</v>
      </c>
      <c r="Z249" s="259">
        <v>1342.36</v>
      </c>
      <c r="AA249" s="259">
        <v>789.76</v>
      </c>
      <c r="AB249" s="259">
        <v>476.52</v>
      </c>
      <c r="AC249" s="263">
        <v>480.0</v>
      </c>
      <c r="AD249" s="263">
        <v>360.0</v>
      </c>
      <c r="AE249" s="264">
        <v>456.0</v>
      </c>
      <c r="AF249" s="253">
        <f t="shared" ref="AF249:AF254" si="82">SUM(B249:AE249)</f>
        <v>32062.86</v>
      </c>
    </row>
    <row r="250">
      <c r="A250" s="237" t="s">
        <v>326</v>
      </c>
      <c r="B250" s="260">
        <v>0.0</v>
      </c>
      <c r="C250" s="260">
        <v>0.0</v>
      </c>
      <c r="D250" s="260">
        <v>0.0</v>
      </c>
      <c r="E250" s="261">
        <v>0.0</v>
      </c>
      <c r="F250" s="261">
        <v>24.0</v>
      </c>
      <c r="G250" s="261">
        <v>0.0</v>
      </c>
      <c r="H250" s="261">
        <v>0.0</v>
      </c>
      <c r="I250" s="261">
        <v>0.0</v>
      </c>
      <c r="J250" s="261">
        <v>0.0</v>
      </c>
      <c r="K250" s="261">
        <v>0.0</v>
      </c>
      <c r="L250" s="260">
        <v>0.0</v>
      </c>
      <c r="M250" s="260">
        <v>0.0</v>
      </c>
      <c r="N250" s="260">
        <v>0.0</v>
      </c>
      <c r="O250" s="260">
        <v>0.0</v>
      </c>
      <c r="P250" s="260">
        <v>0.0</v>
      </c>
      <c r="Q250" s="262">
        <v>0.0</v>
      </c>
      <c r="R250" s="262">
        <v>0.0</v>
      </c>
      <c r="S250" s="262">
        <v>0.0</v>
      </c>
      <c r="T250" s="262">
        <v>0.0</v>
      </c>
      <c r="U250" s="262">
        <v>0.0</v>
      </c>
      <c r="V250" s="262">
        <v>0.0</v>
      </c>
      <c r="W250" s="262">
        <v>0.0</v>
      </c>
      <c r="X250" s="262">
        <v>0.0</v>
      </c>
      <c r="Y250" s="262">
        <v>0.0</v>
      </c>
      <c r="Z250" s="262">
        <v>0.0</v>
      </c>
      <c r="AA250" s="262">
        <v>0.0</v>
      </c>
      <c r="AB250" s="262">
        <v>0.0</v>
      </c>
      <c r="AC250" s="263">
        <v>0.0</v>
      </c>
      <c r="AD250" s="263">
        <v>0.0</v>
      </c>
      <c r="AE250" s="263">
        <v>0.0</v>
      </c>
      <c r="AF250" s="253">
        <f t="shared" si="82"/>
        <v>24</v>
      </c>
    </row>
    <row r="251">
      <c r="A251" s="237" t="s">
        <v>327</v>
      </c>
      <c r="B251" s="259">
        <v>237.16</v>
      </c>
      <c r="C251" s="259">
        <v>293.08</v>
      </c>
      <c r="D251" s="259">
        <v>308.0</v>
      </c>
      <c r="E251" s="259">
        <v>391.08</v>
      </c>
      <c r="F251" s="259">
        <v>279.13</v>
      </c>
      <c r="G251" s="259">
        <v>210.0</v>
      </c>
      <c r="H251" s="259">
        <v>326.94</v>
      </c>
      <c r="I251" s="259">
        <v>504.0</v>
      </c>
      <c r="J251" s="259">
        <v>502.18</v>
      </c>
      <c r="K251" s="259">
        <v>405.58</v>
      </c>
      <c r="L251" s="259">
        <v>432.25</v>
      </c>
      <c r="M251" s="259">
        <v>433.09</v>
      </c>
      <c r="N251" s="259">
        <v>376.29</v>
      </c>
      <c r="O251" s="259">
        <v>342.12</v>
      </c>
      <c r="P251" s="259">
        <v>440.09</v>
      </c>
      <c r="Q251" s="259">
        <v>576.38</v>
      </c>
      <c r="R251" s="259">
        <v>475.58</v>
      </c>
      <c r="S251" s="259">
        <v>701.69</v>
      </c>
      <c r="T251" s="259">
        <v>643.58</v>
      </c>
      <c r="U251" s="259">
        <v>256.2</v>
      </c>
      <c r="V251" s="259">
        <v>244.58</v>
      </c>
      <c r="W251" s="259">
        <v>97.58</v>
      </c>
      <c r="X251" s="259">
        <v>168.0</v>
      </c>
      <c r="Y251" s="259">
        <v>250.74</v>
      </c>
      <c r="Z251" s="259">
        <v>378.24</v>
      </c>
      <c r="AA251" s="259">
        <v>208.18</v>
      </c>
      <c r="AB251" s="259">
        <v>112.0</v>
      </c>
      <c r="AC251" s="263">
        <v>84.0</v>
      </c>
      <c r="AD251" s="263">
        <v>224.0</v>
      </c>
      <c r="AE251" s="263">
        <v>126.0</v>
      </c>
      <c r="AF251" s="253">
        <f t="shared" si="82"/>
        <v>10027.74</v>
      </c>
    </row>
    <row r="252">
      <c r="A252" s="237" t="s">
        <v>328</v>
      </c>
      <c r="B252" s="259">
        <v>636.27</v>
      </c>
      <c r="C252" s="259">
        <v>800.63</v>
      </c>
      <c r="D252" s="259">
        <v>696.0</v>
      </c>
      <c r="E252" s="259">
        <v>892.33</v>
      </c>
      <c r="F252" s="259">
        <v>627.13</v>
      </c>
      <c r="G252" s="259">
        <v>608.03</v>
      </c>
      <c r="H252" s="259">
        <v>606.07</v>
      </c>
      <c r="I252" s="259">
        <v>1015.0</v>
      </c>
      <c r="J252" s="259">
        <v>1098.25</v>
      </c>
      <c r="K252" s="259">
        <v>637.14</v>
      </c>
      <c r="L252" s="259">
        <v>866.48</v>
      </c>
      <c r="M252" s="259">
        <v>927.13</v>
      </c>
      <c r="N252" s="259">
        <v>720.5</v>
      </c>
      <c r="O252" s="259">
        <v>834.74</v>
      </c>
      <c r="P252" s="259">
        <v>912.63</v>
      </c>
      <c r="Q252" s="259">
        <v>1442.43</v>
      </c>
      <c r="R252" s="259">
        <v>967.73</v>
      </c>
      <c r="S252" s="259">
        <v>1712.23</v>
      </c>
      <c r="T252" s="259">
        <v>1437.53</v>
      </c>
      <c r="U252" s="259">
        <v>606.1</v>
      </c>
      <c r="V252" s="259">
        <v>390.63</v>
      </c>
      <c r="W252" s="259">
        <v>202.13</v>
      </c>
      <c r="X252" s="259">
        <v>569.09</v>
      </c>
      <c r="Y252" s="259">
        <v>403.39</v>
      </c>
      <c r="Z252" s="259">
        <v>843.26</v>
      </c>
      <c r="AA252" s="259">
        <v>491.27</v>
      </c>
      <c r="AB252" s="259">
        <v>232.0</v>
      </c>
      <c r="AC252" s="263">
        <v>174.0</v>
      </c>
      <c r="AD252" s="263">
        <v>377.0</v>
      </c>
      <c r="AE252" s="263">
        <v>377.0</v>
      </c>
      <c r="AF252" s="253">
        <f t="shared" si="82"/>
        <v>22104.12</v>
      </c>
    </row>
    <row r="253">
      <c r="A253" s="237" t="s">
        <v>329</v>
      </c>
      <c r="B253" s="259">
        <v>879.91</v>
      </c>
      <c r="C253" s="259">
        <v>1190.0</v>
      </c>
      <c r="D253" s="259">
        <v>1360.56</v>
      </c>
      <c r="E253" s="259">
        <v>1030.0</v>
      </c>
      <c r="F253" s="259">
        <v>1387.71</v>
      </c>
      <c r="G253" s="259">
        <v>686.0</v>
      </c>
      <c r="H253" s="259">
        <v>1098.93</v>
      </c>
      <c r="I253" s="259">
        <v>1260.0</v>
      </c>
      <c r="J253" s="259">
        <v>1317.39</v>
      </c>
      <c r="K253" s="259">
        <v>1390.0</v>
      </c>
      <c r="L253" s="259">
        <v>956.0</v>
      </c>
      <c r="M253" s="259">
        <v>1936.0</v>
      </c>
      <c r="N253" s="259">
        <v>1166.0</v>
      </c>
      <c r="O253" s="259">
        <v>1774.56</v>
      </c>
      <c r="P253" s="259">
        <v>917.0</v>
      </c>
      <c r="Q253" s="259">
        <v>2087.0</v>
      </c>
      <c r="R253" s="259">
        <v>1215.0</v>
      </c>
      <c r="S253" s="259">
        <v>1894.0</v>
      </c>
      <c r="T253" s="259">
        <v>1831.0</v>
      </c>
      <c r="U253" s="259">
        <v>868.0</v>
      </c>
      <c r="V253" s="259">
        <v>623.0</v>
      </c>
      <c r="W253" s="259">
        <v>350.0</v>
      </c>
      <c r="X253" s="259">
        <v>819.0</v>
      </c>
      <c r="Y253" s="259">
        <v>420.0</v>
      </c>
      <c r="Z253" s="259">
        <v>840.0</v>
      </c>
      <c r="AA253" s="259">
        <v>820.91</v>
      </c>
      <c r="AB253" s="259">
        <v>368.0</v>
      </c>
      <c r="AC253" s="263">
        <v>630.0</v>
      </c>
      <c r="AD253" s="263">
        <v>910.0</v>
      </c>
      <c r="AE253" s="263">
        <v>840.0</v>
      </c>
      <c r="AF253" s="253">
        <f t="shared" si="82"/>
        <v>32865.97</v>
      </c>
    </row>
    <row r="254">
      <c r="A254" s="265" t="s">
        <v>123</v>
      </c>
      <c r="B254" s="257">
        <f>SUM(B250:B253)</f>
        <v>1753.34</v>
      </c>
      <c r="C254" s="257">
        <f t="shared" ref="C254:AE254" si="83">SUM(C249:C253)</f>
        <v>3087.09</v>
      </c>
      <c r="D254" s="257">
        <f t="shared" si="83"/>
        <v>3395.97</v>
      </c>
      <c r="E254" s="257">
        <f t="shared" si="83"/>
        <v>3404.67</v>
      </c>
      <c r="F254" s="257">
        <f t="shared" si="83"/>
        <v>3392.96</v>
      </c>
      <c r="G254" s="257">
        <f t="shared" si="83"/>
        <v>2367.21</v>
      </c>
      <c r="H254" s="257">
        <f t="shared" si="83"/>
        <v>2967.94</v>
      </c>
      <c r="I254" s="257">
        <f t="shared" si="83"/>
        <v>3952.03</v>
      </c>
      <c r="J254" s="257">
        <f t="shared" si="83"/>
        <v>4354.68</v>
      </c>
      <c r="K254" s="257">
        <f t="shared" si="83"/>
        <v>3667.57</v>
      </c>
      <c r="L254" s="257">
        <f t="shared" si="83"/>
        <v>3402.79</v>
      </c>
      <c r="M254" s="257">
        <f t="shared" si="83"/>
        <v>4821.1</v>
      </c>
      <c r="N254" s="257">
        <f t="shared" si="83"/>
        <v>3568.51</v>
      </c>
      <c r="O254" s="257">
        <f t="shared" si="83"/>
        <v>4647.27</v>
      </c>
      <c r="P254" s="257">
        <f t="shared" si="83"/>
        <v>4155.79</v>
      </c>
      <c r="Q254" s="257">
        <f t="shared" si="83"/>
        <v>5888.33</v>
      </c>
      <c r="R254" s="257">
        <f t="shared" si="83"/>
        <v>4219.19</v>
      </c>
      <c r="S254" s="257">
        <f t="shared" si="83"/>
        <v>6545.23</v>
      </c>
      <c r="T254" s="257">
        <f t="shared" si="83"/>
        <v>5574.93</v>
      </c>
      <c r="U254" s="257">
        <f t="shared" si="83"/>
        <v>2555.9</v>
      </c>
      <c r="V254" s="257">
        <f t="shared" si="83"/>
        <v>1757.23</v>
      </c>
      <c r="W254" s="257">
        <f t="shared" si="83"/>
        <v>962.97</v>
      </c>
      <c r="X254" s="257">
        <f t="shared" si="83"/>
        <v>2143.73</v>
      </c>
      <c r="Y254" s="257">
        <f t="shared" si="83"/>
        <v>1815.18</v>
      </c>
      <c r="Z254" s="257">
        <f t="shared" si="83"/>
        <v>3403.86</v>
      </c>
      <c r="AA254" s="257">
        <f t="shared" si="83"/>
        <v>2310.12</v>
      </c>
      <c r="AB254" s="257">
        <f t="shared" si="83"/>
        <v>1188.52</v>
      </c>
      <c r="AC254" s="257">
        <f t="shared" si="83"/>
        <v>1368</v>
      </c>
      <c r="AD254" s="257">
        <f t="shared" si="83"/>
        <v>1871</v>
      </c>
      <c r="AE254" s="257">
        <f t="shared" si="83"/>
        <v>1799</v>
      </c>
      <c r="AF254" s="253">
        <f t="shared" si="82"/>
        <v>96342.11</v>
      </c>
    </row>
    <row r="255">
      <c r="A255" s="26"/>
      <c r="B255" s="25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c r="AA255" s="258"/>
      <c r="AB255" s="258"/>
      <c r="AC255" s="258"/>
      <c r="AD255" s="258"/>
      <c r="AE255" s="258"/>
      <c r="AF255" s="253"/>
    </row>
    <row r="256">
      <c r="A256" s="237" t="s">
        <v>331</v>
      </c>
      <c r="B256" s="254">
        <v>0.0</v>
      </c>
      <c r="C256" s="251">
        <v>72.0</v>
      </c>
      <c r="D256" s="251">
        <v>72.0</v>
      </c>
      <c r="E256" s="259">
        <v>72.0</v>
      </c>
      <c r="F256" s="251">
        <v>142.99</v>
      </c>
      <c r="G256" s="251">
        <v>174.8</v>
      </c>
      <c r="H256" s="251">
        <v>142.99</v>
      </c>
      <c r="I256" s="251">
        <v>96.0</v>
      </c>
      <c r="J256" s="251">
        <v>96.0</v>
      </c>
      <c r="K256" s="251">
        <v>213.67</v>
      </c>
      <c r="L256" s="251">
        <v>72.0</v>
      </c>
      <c r="M256" s="251">
        <v>24.0</v>
      </c>
      <c r="N256" s="251">
        <v>96.0</v>
      </c>
      <c r="O256" s="251">
        <v>186.46</v>
      </c>
      <c r="P256" s="251">
        <v>64.8</v>
      </c>
      <c r="Q256" s="251">
        <v>24.0</v>
      </c>
      <c r="R256" s="251">
        <v>48.0</v>
      </c>
      <c r="S256" s="251">
        <v>86.4</v>
      </c>
      <c r="T256" s="251">
        <v>108.0</v>
      </c>
      <c r="U256" s="254">
        <v>48.0</v>
      </c>
      <c r="V256" s="251">
        <v>24.0</v>
      </c>
      <c r="W256" s="254">
        <v>0.0</v>
      </c>
      <c r="X256" s="251">
        <v>95.29</v>
      </c>
      <c r="Y256" s="251">
        <v>72.0</v>
      </c>
      <c r="Z256" s="251">
        <v>192.0</v>
      </c>
      <c r="AA256" s="251">
        <v>48.0</v>
      </c>
      <c r="AB256" s="251">
        <v>48.0</v>
      </c>
      <c r="AC256" s="252">
        <v>24.0</v>
      </c>
      <c r="AD256" s="252">
        <v>0.0</v>
      </c>
      <c r="AE256" s="252">
        <v>96.0</v>
      </c>
      <c r="AF256" s="253">
        <f t="shared" ref="AF256:AF261" si="84">SUM(B256:AE256)</f>
        <v>2439.4</v>
      </c>
    </row>
    <row r="257">
      <c r="A257" s="237" t="s">
        <v>332</v>
      </c>
      <c r="B257" s="254">
        <v>0.0</v>
      </c>
      <c r="C257" s="254">
        <v>0.0</v>
      </c>
      <c r="D257" s="254">
        <v>0.0</v>
      </c>
      <c r="E257" s="261">
        <v>0.0</v>
      </c>
      <c r="F257" s="251">
        <v>0.0</v>
      </c>
      <c r="G257" s="251">
        <v>0.0</v>
      </c>
      <c r="H257" s="251">
        <v>0.0</v>
      </c>
      <c r="I257" s="251">
        <v>0.0</v>
      </c>
      <c r="J257" s="251">
        <v>0.0</v>
      </c>
      <c r="K257" s="251">
        <v>0.0</v>
      </c>
      <c r="L257" s="254">
        <v>0.0</v>
      </c>
      <c r="M257" s="254">
        <v>0.0</v>
      </c>
      <c r="N257" s="254">
        <v>0.0</v>
      </c>
      <c r="O257" s="254">
        <v>0.0</v>
      </c>
      <c r="P257" s="254">
        <v>0.0</v>
      </c>
      <c r="Q257" s="254">
        <v>0.0</v>
      </c>
      <c r="R257" s="254">
        <v>0.0</v>
      </c>
      <c r="S257" s="254">
        <v>0.0</v>
      </c>
      <c r="T257" s="254">
        <v>0.0</v>
      </c>
      <c r="U257" s="254">
        <v>0.0</v>
      </c>
      <c r="V257" s="254">
        <v>0.0</v>
      </c>
      <c r="W257" s="254">
        <v>0.0</v>
      </c>
      <c r="X257" s="254">
        <v>0.0</v>
      </c>
      <c r="Y257" s="254">
        <v>0.0</v>
      </c>
      <c r="Z257" s="254">
        <v>0.0</v>
      </c>
      <c r="AA257" s="254">
        <v>0.0</v>
      </c>
      <c r="AB257" s="254">
        <v>0.0</v>
      </c>
      <c r="AC257" s="252">
        <v>0.0</v>
      </c>
      <c r="AD257" s="252">
        <v>0.0</v>
      </c>
      <c r="AE257" s="252">
        <v>0.0</v>
      </c>
      <c r="AF257" s="253">
        <f t="shared" si="84"/>
        <v>0</v>
      </c>
    </row>
    <row r="258">
      <c r="A258" s="237" t="s">
        <v>333</v>
      </c>
      <c r="B258" s="254">
        <v>0.0</v>
      </c>
      <c r="C258" s="251">
        <v>14.0</v>
      </c>
      <c r="D258" s="251">
        <v>42.0</v>
      </c>
      <c r="E258" s="259">
        <v>28.0</v>
      </c>
      <c r="F258" s="251">
        <v>55.41</v>
      </c>
      <c r="G258" s="251">
        <v>28.0</v>
      </c>
      <c r="H258" s="251">
        <v>55.41</v>
      </c>
      <c r="I258" s="251">
        <v>56.0</v>
      </c>
      <c r="J258" s="251">
        <v>28.0</v>
      </c>
      <c r="K258" s="251">
        <v>27.58</v>
      </c>
      <c r="L258" s="251">
        <v>28.0</v>
      </c>
      <c r="M258" s="251">
        <v>14.0</v>
      </c>
      <c r="N258" s="251">
        <v>28.0</v>
      </c>
      <c r="O258" s="251">
        <v>56.0</v>
      </c>
      <c r="P258" s="251">
        <v>39.2</v>
      </c>
      <c r="Q258" s="251">
        <v>14.0</v>
      </c>
      <c r="R258" s="251">
        <v>14.0</v>
      </c>
      <c r="S258" s="251">
        <v>92.4</v>
      </c>
      <c r="T258" s="251">
        <v>77.0</v>
      </c>
      <c r="U258" s="251">
        <v>26.6</v>
      </c>
      <c r="V258" s="251">
        <v>14.0</v>
      </c>
      <c r="W258" s="262">
        <v>0.0</v>
      </c>
      <c r="X258" s="251">
        <v>27.58</v>
      </c>
      <c r="Y258" s="251">
        <v>42.0</v>
      </c>
      <c r="Z258" s="254">
        <v>0.0</v>
      </c>
      <c r="AA258" s="251">
        <v>14.0</v>
      </c>
      <c r="AB258" s="251">
        <v>14.0</v>
      </c>
      <c r="AC258" s="252">
        <v>0.0</v>
      </c>
      <c r="AD258" s="252">
        <v>0.0</v>
      </c>
      <c r="AE258" s="252">
        <v>56.0</v>
      </c>
      <c r="AF258" s="253">
        <f t="shared" si="84"/>
        <v>891.18</v>
      </c>
    </row>
    <row r="259">
      <c r="A259" s="237" t="s">
        <v>334</v>
      </c>
      <c r="B259" s="251">
        <v>58.0</v>
      </c>
      <c r="C259" s="251">
        <v>116.0</v>
      </c>
      <c r="D259" s="251">
        <v>116.0</v>
      </c>
      <c r="E259" s="259">
        <v>29.0</v>
      </c>
      <c r="F259" s="251">
        <v>116.0</v>
      </c>
      <c r="G259" s="251">
        <v>116.0</v>
      </c>
      <c r="H259" s="251">
        <v>145.0</v>
      </c>
      <c r="I259" s="251">
        <v>87.0</v>
      </c>
      <c r="J259" s="251">
        <v>139.0</v>
      </c>
      <c r="K259" s="251">
        <v>206.13</v>
      </c>
      <c r="L259" s="251">
        <v>116.0</v>
      </c>
      <c r="M259" s="254">
        <v>112.67</v>
      </c>
      <c r="N259" s="251">
        <v>116.0</v>
      </c>
      <c r="O259" s="251">
        <v>115.09</v>
      </c>
      <c r="P259" s="251">
        <v>81.2</v>
      </c>
      <c r="Q259" s="251">
        <v>55.1</v>
      </c>
      <c r="R259" s="254">
        <v>0.0</v>
      </c>
      <c r="S259" s="251">
        <v>136.3</v>
      </c>
      <c r="T259" s="251">
        <v>166.4</v>
      </c>
      <c r="U259" s="251">
        <v>59.1</v>
      </c>
      <c r="V259" s="251">
        <v>58.0</v>
      </c>
      <c r="W259" s="251">
        <v>87.0</v>
      </c>
      <c r="X259" s="251">
        <v>144.13</v>
      </c>
      <c r="Y259" s="251">
        <v>58.0</v>
      </c>
      <c r="Z259" s="251">
        <v>87.0</v>
      </c>
      <c r="AA259" s="251">
        <v>87.0</v>
      </c>
      <c r="AB259" s="251">
        <v>388.0</v>
      </c>
      <c r="AC259" s="252">
        <v>29.0</v>
      </c>
      <c r="AD259" s="252">
        <v>58.0</v>
      </c>
      <c r="AE259" s="252">
        <v>116.0</v>
      </c>
      <c r="AF259" s="253">
        <f t="shared" si="84"/>
        <v>3198.12</v>
      </c>
    </row>
    <row r="260">
      <c r="A260" s="237" t="s">
        <v>335</v>
      </c>
      <c r="B260" s="251">
        <v>140.0</v>
      </c>
      <c r="C260" s="251">
        <v>140.0</v>
      </c>
      <c r="D260" s="251">
        <v>210.0</v>
      </c>
      <c r="E260" s="259">
        <v>0.0</v>
      </c>
      <c r="F260" s="251">
        <v>70.0</v>
      </c>
      <c r="G260" s="251">
        <v>0.0</v>
      </c>
      <c r="H260" s="251">
        <v>140.0</v>
      </c>
      <c r="I260" s="251">
        <v>210.0</v>
      </c>
      <c r="J260" s="251">
        <v>70.0</v>
      </c>
      <c r="K260" s="251">
        <v>210.0</v>
      </c>
      <c r="L260" s="251">
        <v>140.0</v>
      </c>
      <c r="M260" s="251">
        <v>352.33</v>
      </c>
      <c r="N260" s="251">
        <v>70.0</v>
      </c>
      <c r="O260" s="254">
        <v>210.0</v>
      </c>
      <c r="P260" s="251">
        <v>70.0</v>
      </c>
      <c r="Q260" s="251">
        <v>133.0</v>
      </c>
      <c r="R260" s="254">
        <v>0.0</v>
      </c>
      <c r="S260" s="251">
        <v>385.0</v>
      </c>
      <c r="T260" s="254">
        <v>0.0</v>
      </c>
      <c r="U260" s="254">
        <v>0.0</v>
      </c>
      <c r="V260" s="254">
        <v>0.0</v>
      </c>
      <c r="W260" s="254">
        <v>200.0</v>
      </c>
      <c r="X260" s="251">
        <v>210.0</v>
      </c>
      <c r="Y260" s="251">
        <v>70.0</v>
      </c>
      <c r="Z260" s="251">
        <v>140.0</v>
      </c>
      <c r="AA260" s="251">
        <v>70.0</v>
      </c>
      <c r="AB260" s="251">
        <v>140.0</v>
      </c>
      <c r="AC260" s="252">
        <v>70.0</v>
      </c>
      <c r="AD260" s="252">
        <v>70.0</v>
      </c>
      <c r="AE260" s="252">
        <v>70.0</v>
      </c>
      <c r="AF260" s="253">
        <f t="shared" si="84"/>
        <v>3590.33</v>
      </c>
    </row>
    <row r="261">
      <c r="A261" s="265" t="s">
        <v>123</v>
      </c>
      <c r="B261" s="257">
        <f t="shared" ref="B261:AE261" si="85">SUM(B256:B260)</f>
        <v>198</v>
      </c>
      <c r="C261" s="257">
        <f t="shared" si="85"/>
        <v>342</v>
      </c>
      <c r="D261" s="257">
        <f t="shared" si="85"/>
        <v>440</v>
      </c>
      <c r="E261" s="257">
        <f t="shared" si="85"/>
        <v>129</v>
      </c>
      <c r="F261" s="257">
        <f t="shared" si="85"/>
        <v>384.4</v>
      </c>
      <c r="G261" s="257">
        <f t="shared" si="85"/>
        <v>318.8</v>
      </c>
      <c r="H261" s="257">
        <f t="shared" si="85"/>
        <v>483.4</v>
      </c>
      <c r="I261" s="257">
        <f t="shared" si="85"/>
        <v>449</v>
      </c>
      <c r="J261" s="257">
        <f t="shared" si="85"/>
        <v>333</v>
      </c>
      <c r="K261" s="257">
        <f t="shared" si="85"/>
        <v>657.38</v>
      </c>
      <c r="L261" s="257">
        <f t="shared" si="85"/>
        <v>356</v>
      </c>
      <c r="M261" s="257">
        <f t="shared" si="85"/>
        <v>503</v>
      </c>
      <c r="N261" s="257">
        <f t="shared" si="85"/>
        <v>310</v>
      </c>
      <c r="O261" s="257">
        <f t="shared" si="85"/>
        <v>567.55</v>
      </c>
      <c r="P261" s="257">
        <f t="shared" si="85"/>
        <v>255.2</v>
      </c>
      <c r="Q261" s="257">
        <f t="shared" si="85"/>
        <v>226.1</v>
      </c>
      <c r="R261" s="257">
        <f t="shared" si="85"/>
        <v>62</v>
      </c>
      <c r="S261" s="257">
        <f t="shared" si="85"/>
        <v>700.1</v>
      </c>
      <c r="T261" s="257">
        <f t="shared" si="85"/>
        <v>351.4</v>
      </c>
      <c r="U261" s="257">
        <f t="shared" si="85"/>
        <v>133.7</v>
      </c>
      <c r="V261" s="257">
        <f t="shared" si="85"/>
        <v>96</v>
      </c>
      <c r="W261" s="257">
        <f t="shared" si="85"/>
        <v>287</v>
      </c>
      <c r="X261" s="257">
        <f t="shared" si="85"/>
        <v>477</v>
      </c>
      <c r="Y261" s="257">
        <f t="shared" si="85"/>
        <v>242</v>
      </c>
      <c r="Z261" s="257">
        <f t="shared" si="85"/>
        <v>419</v>
      </c>
      <c r="AA261" s="257">
        <f t="shared" si="85"/>
        <v>219</v>
      </c>
      <c r="AB261" s="257">
        <f t="shared" si="85"/>
        <v>590</v>
      </c>
      <c r="AC261" s="257">
        <f t="shared" si="85"/>
        <v>123</v>
      </c>
      <c r="AD261" s="257">
        <f t="shared" si="85"/>
        <v>128</v>
      </c>
      <c r="AE261" s="257">
        <f t="shared" si="85"/>
        <v>338</v>
      </c>
      <c r="AF261" s="253">
        <f t="shared" si="84"/>
        <v>10119.03</v>
      </c>
    </row>
    <row r="262">
      <c r="A262" s="26"/>
      <c r="B262" s="25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c r="AA262" s="258"/>
      <c r="AB262" s="258"/>
      <c r="AC262" s="258"/>
      <c r="AD262" s="258"/>
      <c r="AE262" s="258"/>
      <c r="AF262" s="253"/>
    </row>
    <row r="263">
      <c r="A263" s="237" t="s">
        <v>337</v>
      </c>
      <c r="B263" s="256"/>
      <c r="C263" s="59">
        <v>495.0</v>
      </c>
      <c r="D263" s="256"/>
      <c r="E263" s="59"/>
      <c r="F263" s="59"/>
      <c r="G263" s="59"/>
      <c r="H263" s="59"/>
      <c r="I263" s="59"/>
      <c r="J263" s="256"/>
      <c r="K263" s="256"/>
      <c r="L263" s="256"/>
      <c r="M263" s="256"/>
      <c r="N263" s="256"/>
      <c r="O263" s="256"/>
      <c r="P263" s="256"/>
      <c r="Q263" s="256"/>
      <c r="R263" s="256"/>
      <c r="S263" s="256"/>
      <c r="T263" s="256"/>
      <c r="U263" s="256"/>
      <c r="V263" s="256"/>
      <c r="W263" s="256"/>
      <c r="X263" s="256"/>
      <c r="Y263" s="256"/>
      <c r="Z263" s="256"/>
      <c r="AA263" s="256"/>
      <c r="AB263" s="256"/>
      <c r="AC263" s="256"/>
      <c r="AD263" s="256"/>
      <c r="AE263" s="256"/>
      <c r="AF263" s="253">
        <f t="shared" ref="AF263:AF266" si="86">SUM(B263:AE263)</f>
        <v>495</v>
      </c>
    </row>
    <row r="264">
      <c r="A264" s="237" t="s">
        <v>338</v>
      </c>
      <c r="B264" s="256"/>
      <c r="C264" s="256"/>
      <c r="D264" s="59"/>
      <c r="E264" s="59"/>
      <c r="F264" s="59"/>
      <c r="G264" s="59"/>
      <c r="H264" s="59"/>
      <c r="I264" s="59"/>
      <c r="J264" s="256"/>
      <c r="K264" s="256"/>
      <c r="L264" s="256"/>
      <c r="M264" s="256"/>
      <c r="N264" s="256"/>
      <c r="O264" s="256"/>
      <c r="P264" s="256"/>
      <c r="Q264" s="256"/>
      <c r="R264" s="256"/>
      <c r="S264" s="256"/>
      <c r="T264" s="256"/>
      <c r="U264" s="256"/>
      <c r="V264" s="256"/>
      <c r="W264" s="256"/>
      <c r="X264" s="256"/>
      <c r="Y264" s="256"/>
      <c r="Z264" s="256"/>
      <c r="AA264" s="256"/>
      <c r="AB264" s="256"/>
      <c r="AC264" s="256"/>
      <c r="AD264" s="256"/>
      <c r="AE264" s="256"/>
      <c r="AF264" s="253">
        <f t="shared" si="86"/>
        <v>0</v>
      </c>
    </row>
    <row r="265">
      <c r="A265" s="237" t="s">
        <v>339</v>
      </c>
      <c r="B265" s="256"/>
      <c r="C265" s="59">
        <v>91.0</v>
      </c>
      <c r="D265" s="256"/>
      <c r="E265" s="59"/>
      <c r="F265" s="59"/>
      <c r="G265" s="59"/>
      <c r="H265" s="59"/>
      <c r="I265" s="59"/>
      <c r="J265" s="256"/>
      <c r="K265" s="256"/>
      <c r="L265" s="256"/>
      <c r="M265" s="256"/>
      <c r="N265" s="256"/>
      <c r="O265" s="256"/>
      <c r="P265" s="256"/>
      <c r="Q265" s="256"/>
      <c r="R265" s="256"/>
      <c r="S265" s="256"/>
      <c r="T265" s="256"/>
      <c r="U265" s="256"/>
      <c r="V265" s="256"/>
      <c r="W265" s="256"/>
      <c r="X265" s="256"/>
      <c r="Y265" s="256"/>
      <c r="Z265" s="256"/>
      <c r="AA265" s="256"/>
      <c r="AB265" s="256"/>
      <c r="AC265" s="256"/>
      <c r="AD265" s="256"/>
      <c r="AE265" s="256"/>
      <c r="AF265" s="253">
        <f t="shared" si="86"/>
        <v>91</v>
      </c>
    </row>
    <row r="266">
      <c r="A266" s="237" t="s">
        <v>340</v>
      </c>
      <c r="B266" s="256"/>
      <c r="C266" s="59">
        <v>584.0</v>
      </c>
      <c r="D266" s="256"/>
      <c r="E266" s="59"/>
      <c r="F266" s="59"/>
      <c r="G266" s="59"/>
      <c r="H266" s="59"/>
      <c r="I266" s="59"/>
      <c r="J266" s="256"/>
      <c r="K266" s="256"/>
      <c r="L266" s="256"/>
      <c r="M266" s="256"/>
      <c r="N266" s="256"/>
      <c r="O266" s="256"/>
      <c r="P266" s="256"/>
      <c r="Q266" s="256"/>
      <c r="R266" s="256"/>
      <c r="S266" s="256"/>
      <c r="T266" s="256"/>
      <c r="U266" s="256"/>
      <c r="V266" s="256"/>
      <c r="W266" s="256"/>
      <c r="X266" s="256"/>
      <c r="Y266" s="256"/>
      <c r="Z266" s="256"/>
      <c r="AA266" s="256"/>
      <c r="AB266" s="256"/>
      <c r="AC266" s="256"/>
      <c r="AD266" s="256"/>
      <c r="AE266" s="59">
        <v>29.0</v>
      </c>
      <c r="AF266" s="253">
        <f t="shared" si="86"/>
        <v>613</v>
      </c>
    </row>
    <row r="267">
      <c r="A267" s="237" t="s">
        <v>341</v>
      </c>
      <c r="B267" s="256"/>
      <c r="C267" s="256"/>
      <c r="D267" s="256"/>
      <c r="E267" s="59"/>
      <c r="F267" s="59"/>
      <c r="G267" s="59"/>
      <c r="H267" s="59"/>
      <c r="I267" s="59"/>
      <c r="J267" s="256"/>
      <c r="K267" s="256"/>
      <c r="L267" s="256"/>
      <c r="M267" s="256"/>
      <c r="N267" s="256"/>
      <c r="O267" s="256"/>
      <c r="P267" s="256"/>
      <c r="Q267" s="256"/>
      <c r="R267" s="256"/>
      <c r="S267" s="256"/>
      <c r="T267" s="256"/>
      <c r="U267" s="256"/>
      <c r="V267" s="256"/>
      <c r="W267" s="59">
        <v>270.0</v>
      </c>
      <c r="X267" s="256"/>
      <c r="Y267" s="256"/>
      <c r="Z267" s="256"/>
      <c r="AA267" s="256"/>
      <c r="AB267" s="256"/>
      <c r="AC267" s="256"/>
      <c r="AD267" s="256"/>
      <c r="AE267" s="256"/>
      <c r="AF267" s="253">
        <f>SUM(C267:AE267)</f>
        <v>270</v>
      </c>
    </row>
    <row r="268">
      <c r="A268" s="265" t="s">
        <v>123</v>
      </c>
      <c r="B268" s="257">
        <f t="shared" ref="B268:AE268" si="87">SUM(B263:B267)</f>
        <v>0</v>
      </c>
      <c r="C268" s="257">
        <f t="shared" si="87"/>
        <v>1170</v>
      </c>
      <c r="D268" s="257">
        <f t="shared" si="87"/>
        <v>0</v>
      </c>
      <c r="E268" s="257">
        <f t="shared" si="87"/>
        <v>0</v>
      </c>
      <c r="F268" s="257">
        <f t="shared" si="87"/>
        <v>0</v>
      </c>
      <c r="G268" s="257">
        <f t="shared" si="87"/>
        <v>0</v>
      </c>
      <c r="H268" s="257">
        <f t="shared" si="87"/>
        <v>0</v>
      </c>
      <c r="I268" s="257">
        <f t="shared" si="87"/>
        <v>0</v>
      </c>
      <c r="J268" s="257">
        <f t="shared" si="87"/>
        <v>0</v>
      </c>
      <c r="K268" s="257">
        <f t="shared" si="87"/>
        <v>0</v>
      </c>
      <c r="L268" s="257">
        <f t="shared" si="87"/>
        <v>0</v>
      </c>
      <c r="M268" s="257">
        <f t="shared" si="87"/>
        <v>0</v>
      </c>
      <c r="N268" s="257">
        <f t="shared" si="87"/>
        <v>0</v>
      </c>
      <c r="O268" s="257">
        <f t="shared" si="87"/>
        <v>0</v>
      </c>
      <c r="P268" s="257">
        <f t="shared" si="87"/>
        <v>0</v>
      </c>
      <c r="Q268" s="257">
        <f t="shared" si="87"/>
        <v>0</v>
      </c>
      <c r="R268" s="257">
        <f t="shared" si="87"/>
        <v>0</v>
      </c>
      <c r="S268" s="257">
        <f t="shared" si="87"/>
        <v>0</v>
      </c>
      <c r="T268" s="257">
        <f t="shared" si="87"/>
        <v>0</v>
      </c>
      <c r="U268" s="257">
        <f t="shared" si="87"/>
        <v>0</v>
      </c>
      <c r="V268" s="257">
        <f t="shared" si="87"/>
        <v>0</v>
      </c>
      <c r="W268" s="257">
        <f t="shared" si="87"/>
        <v>270</v>
      </c>
      <c r="X268" s="257">
        <f t="shared" si="87"/>
        <v>0</v>
      </c>
      <c r="Y268" s="257">
        <f t="shared" si="87"/>
        <v>0</v>
      </c>
      <c r="Z268" s="257">
        <f t="shared" si="87"/>
        <v>0</v>
      </c>
      <c r="AA268" s="257">
        <f t="shared" si="87"/>
        <v>0</v>
      </c>
      <c r="AB268" s="257">
        <f t="shared" si="87"/>
        <v>0</v>
      </c>
      <c r="AC268" s="257">
        <f t="shared" si="87"/>
        <v>0</v>
      </c>
      <c r="AD268" s="257">
        <f t="shared" si="87"/>
        <v>0</v>
      </c>
      <c r="AE268" s="257">
        <f t="shared" si="87"/>
        <v>29</v>
      </c>
      <c r="AF268" s="253">
        <f>SUM(B268:AE268)</f>
        <v>1469</v>
      </c>
    </row>
    <row r="269">
      <c r="A269" s="224"/>
      <c r="AF269" s="253"/>
    </row>
    <row r="270">
      <c r="A270" s="237" t="s">
        <v>345</v>
      </c>
      <c r="B270" s="256"/>
      <c r="C270" s="256"/>
      <c r="D270" s="256"/>
      <c r="E270" s="256"/>
      <c r="F270" s="256"/>
      <c r="G270" s="256"/>
      <c r="H270" s="256"/>
      <c r="I270" s="256"/>
      <c r="J270" s="256"/>
      <c r="K270" s="256"/>
      <c r="L270" s="256"/>
      <c r="M270" s="59"/>
      <c r="N270" s="59"/>
      <c r="O270" s="59"/>
      <c r="P270" s="59"/>
      <c r="Q270" s="59"/>
      <c r="R270" s="59"/>
      <c r="S270" s="68"/>
      <c r="T270" s="59"/>
      <c r="U270" s="68"/>
      <c r="V270" s="256"/>
      <c r="W270" s="256"/>
      <c r="X270" s="68"/>
      <c r="Y270" s="256"/>
      <c r="Z270" s="256"/>
      <c r="AA270" s="256"/>
      <c r="AB270" s="256"/>
      <c r="AC270" s="256"/>
      <c r="AD270" s="256"/>
      <c r="AE270" s="256"/>
      <c r="AF270" s="253">
        <f t="shared" ref="AF270:AF272" si="88">SUM(B270:AE270)</f>
        <v>0</v>
      </c>
    </row>
    <row r="271">
      <c r="A271" s="237" t="s">
        <v>346</v>
      </c>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56"/>
      <c r="AA271" s="256"/>
      <c r="AB271" s="256"/>
      <c r="AC271" s="256"/>
      <c r="AD271" s="256"/>
      <c r="AE271" s="256"/>
      <c r="AF271" s="253">
        <f t="shared" si="88"/>
        <v>0</v>
      </c>
    </row>
    <row r="272">
      <c r="A272" s="265" t="s">
        <v>123</v>
      </c>
      <c r="B272" s="257">
        <f t="shared" ref="B272:AE272" si="89">SUM(B270:B271)</f>
        <v>0</v>
      </c>
      <c r="C272" s="257">
        <f t="shared" si="89"/>
        <v>0</v>
      </c>
      <c r="D272" s="257">
        <f t="shared" si="89"/>
        <v>0</v>
      </c>
      <c r="E272" s="257">
        <f t="shared" si="89"/>
        <v>0</v>
      </c>
      <c r="F272" s="257">
        <f t="shared" si="89"/>
        <v>0</v>
      </c>
      <c r="G272" s="257">
        <f t="shared" si="89"/>
        <v>0</v>
      </c>
      <c r="H272" s="257">
        <f t="shared" si="89"/>
        <v>0</v>
      </c>
      <c r="I272" s="257">
        <f t="shared" si="89"/>
        <v>0</v>
      </c>
      <c r="J272" s="257">
        <f t="shared" si="89"/>
        <v>0</v>
      </c>
      <c r="K272" s="257">
        <f t="shared" si="89"/>
        <v>0</v>
      </c>
      <c r="L272" s="257">
        <f t="shared" si="89"/>
        <v>0</v>
      </c>
      <c r="M272" s="257">
        <f t="shared" si="89"/>
        <v>0</v>
      </c>
      <c r="N272" s="257">
        <f t="shared" si="89"/>
        <v>0</v>
      </c>
      <c r="O272" s="257">
        <f t="shared" si="89"/>
        <v>0</v>
      </c>
      <c r="P272" s="257">
        <f t="shared" si="89"/>
        <v>0</v>
      </c>
      <c r="Q272" s="257">
        <f t="shared" si="89"/>
        <v>0</v>
      </c>
      <c r="R272" s="257">
        <f t="shared" si="89"/>
        <v>0</v>
      </c>
      <c r="S272" s="257">
        <f t="shared" si="89"/>
        <v>0</v>
      </c>
      <c r="T272" s="257">
        <f t="shared" si="89"/>
        <v>0</v>
      </c>
      <c r="U272" s="257">
        <f t="shared" si="89"/>
        <v>0</v>
      </c>
      <c r="V272" s="257">
        <f t="shared" si="89"/>
        <v>0</v>
      </c>
      <c r="W272" s="257">
        <f t="shared" si="89"/>
        <v>0</v>
      </c>
      <c r="X272" s="257">
        <f t="shared" si="89"/>
        <v>0</v>
      </c>
      <c r="Y272" s="257">
        <f t="shared" si="89"/>
        <v>0</v>
      </c>
      <c r="Z272" s="257">
        <f t="shared" si="89"/>
        <v>0</v>
      </c>
      <c r="AA272" s="257">
        <f t="shared" si="89"/>
        <v>0</v>
      </c>
      <c r="AB272" s="257">
        <f t="shared" si="89"/>
        <v>0</v>
      </c>
      <c r="AC272" s="257">
        <f t="shared" si="89"/>
        <v>0</v>
      </c>
      <c r="AD272" s="257">
        <f t="shared" si="89"/>
        <v>0</v>
      </c>
      <c r="AE272" s="257">
        <f t="shared" si="89"/>
        <v>0</v>
      </c>
      <c r="AF272" s="253">
        <f t="shared" si="88"/>
        <v>0</v>
      </c>
    </row>
    <row r="273">
      <c r="A273" s="224"/>
      <c r="AF273" s="234"/>
    </row>
    <row r="274">
      <c r="A274" s="237" t="s">
        <v>311</v>
      </c>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253">
        <f t="shared" ref="AF274:AF276" si="90">SUM(B274:AE274)</f>
        <v>0</v>
      </c>
    </row>
    <row r="275">
      <c r="A275" s="237" t="s">
        <v>312</v>
      </c>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253">
        <f t="shared" si="90"/>
        <v>0</v>
      </c>
    </row>
    <row r="276">
      <c r="A276" s="265" t="s">
        <v>123</v>
      </c>
      <c r="B276" s="257">
        <f t="shared" ref="B276:AE276" si="91">sum(B274:B275)</f>
        <v>0</v>
      </c>
      <c r="C276" s="257">
        <f t="shared" si="91"/>
        <v>0</v>
      </c>
      <c r="D276" s="257">
        <f t="shared" si="91"/>
        <v>0</v>
      </c>
      <c r="E276" s="257">
        <f t="shared" si="91"/>
        <v>0</v>
      </c>
      <c r="F276" s="257">
        <f t="shared" si="91"/>
        <v>0</v>
      </c>
      <c r="G276" s="257">
        <f t="shared" si="91"/>
        <v>0</v>
      </c>
      <c r="H276" s="257">
        <f t="shared" si="91"/>
        <v>0</v>
      </c>
      <c r="I276" s="257">
        <f t="shared" si="91"/>
        <v>0</v>
      </c>
      <c r="J276" s="257">
        <f t="shared" si="91"/>
        <v>0</v>
      </c>
      <c r="K276" s="257">
        <f t="shared" si="91"/>
        <v>0</v>
      </c>
      <c r="L276" s="257">
        <f t="shared" si="91"/>
        <v>0</v>
      </c>
      <c r="M276" s="257">
        <f t="shared" si="91"/>
        <v>0</v>
      </c>
      <c r="N276" s="257">
        <f t="shared" si="91"/>
        <v>0</v>
      </c>
      <c r="O276" s="257">
        <f t="shared" si="91"/>
        <v>0</v>
      </c>
      <c r="P276" s="257">
        <f t="shared" si="91"/>
        <v>0</v>
      </c>
      <c r="Q276" s="257">
        <f t="shared" si="91"/>
        <v>0</v>
      </c>
      <c r="R276" s="257">
        <f t="shared" si="91"/>
        <v>0</v>
      </c>
      <c r="S276" s="257">
        <f t="shared" si="91"/>
        <v>0</v>
      </c>
      <c r="T276" s="257">
        <f t="shared" si="91"/>
        <v>0</v>
      </c>
      <c r="U276" s="257">
        <f t="shared" si="91"/>
        <v>0</v>
      </c>
      <c r="V276" s="257">
        <f t="shared" si="91"/>
        <v>0</v>
      </c>
      <c r="W276" s="257">
        <f t="shared" si="91"/>
        <v>0</v>
      </c>
      <c r="X276" s="257">
        <f t="shared" si="91"/>
        <v>0</v>
      </c>
      <c r="Y276" s="257">
        <f t="shared" si="91"/>
        <v>0</v>
      </c>
      <c r="Z276" s="257">
        <f t="shared" si="91"/>
        <v>0</v>
      </c>
      <c r="AA276" s="257">
        <f t="shared" si="91"/>
        <v>0</v>
      </c>
      <c r="AB276" s="257">
        <f t="shared" si="91"/>
        <v>0</v>
      </c>
      <c r="AC276" s="257">
        <f t="shared" si="91"/>
        <v>0</v>
      </c>
      <c r="AD276" s="257">
        <f t="shared" si="91"/>
        <v>0</v>
      </c>
      <c r="AE276" s="257">
        <f t="shared" si="91"/>
        <v>0</v>
      </c>
      <c r="AF276" s="253">
        <f t="shared" si="90"/>
        <v>0</v>
      </c>
    </row>
    <row r="277">
      <c r="A277" s="224"/>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34"/>
    </row>
    <row r="278">
      <c r="A278" s="237" t="s">
        <v>347</v>
      </c>
      <c r="B278" s="267">
        <v>0.0</v>
      </c>
      <c r="C278" s="254">
        <v>0.0</v>
      </c>
      <c r="D278" s="254">
        <v>0.0</v>
      </c>
      <c r="E278" s="202">
        <v>0.0</v>
      </c>
      <c r="F278" s="202">
        <v>0.0</v>
      </c>
      <c r="G278" s="202">
        <v>0.0</v>
      </c>
      <c r="H278" s="202">
        <v>0.0</v>
      </c>
      <c r="I278" s="202">
        <v>0.0</v>
      </c>
      <c r="J278" s="202">
        <v>0.0</v>
      </c>
      <c r="K278" s="202">
        <v>0.0</v>
      </c>
      <c r="L278" s="267">
        <v>0.0</v>
      </c>
      <c r="M278" s="202">
        <v>0.0</v>
      </c>
      <c r="N278" s="259">
        <v>0.0</v>
      </c>
      <c r="O278" s="202">
        <v>0.0</v>
      </c>
      <c r="P278" s="267">
        <v>0.0</v>
      </c>
      <c r="Q278" s="262">
        <v>0.0</v>
      </c>
      <c r="R278" s="202">
        <v>0.0</v>
      </c>
      <c r="S278" s="202">
        <v>0.0</v>
      </c>
      <c r="T278" s="267">
        <v>0.0</v>
      </c>
      <c r="U278" s="267">
        <v>0.0</v>
      </c>
      <c r="V278" s="267">
        <v>0.0</v>
      </c>
      <c r="W278" s="267">
        <v>0.0</v>
      </c>
      <c r="X278" s="267">
        <v>0.0</v>
      </c>
      <c r="Y278" s="267">
        <v>0.0</v>
      </c>
      <c r="Z278" s="267">
        <v>0.0</v>
      </c>
      <c r="AA278" s="267">
        <v>0.0</v>
      </c>
      <c r="AB278" s="267">
        <v>0.0</v>
      </c>
      <c r="AC278" s="267">
        <v>0.0</v>
      </c>
      <c r="AD278" s="202">
        <v>0.0</v>
      </c>
      <c r="AE278" s="202">
        <v>0.0</v>
      </c>
      <c r="AF278" s="253"/>
    </row>
    <row r="279">
      <c r="A279" s="265" t="s">
        <v>348</v>
      </c>
      <c r="B279" s="257">
        <f t="shared" ref="B279:AE279" si="92">B278</f>
        <v>0</v>
      </c>
      <c r="C279" s="257">
        <f t="shared" si="92"/>
        <v>0</v>
      </c>
      <c r="D279" s="257">
        <f t="shared" si="92"/>
        <v>0</v>
      </c>
      <c r="E279" s="257">
        <f t="shared" si="92"/>
        <v>0</v>
      </c>
      <c r="F279" s="257">
        <f t="shared" si="92"/>
        <v>0</v>
      </c>
      <c r="G279" s="257">
        <f t="shared" si="92"/>
        <v>0</v>
      </c>
      <c r="H279" s="257">
        <f t="shared" si="92"/>
        <v>0</v>
      </c>
      <c r="I279" s="257">
        <f t="shared" si="92"/>
        <v>0</v>
      </c>
      <c r="J279" s="257">
        <f t="shared" si="92"/>
        <v>0</v>
      </c>
      <c r="K279" s="257">
        <f t="shared" si="92"/>
        <v>0</v>
      </c>
      <c r="L279" s="257">
        <f t="shared" si="92"/>
        <v>0</v>
      </c>
      <c r="M279" s="257">
        <f t="shared" si="92"/>
        <v>0</v>
      </c>
      <c r="N279" s="257">
        <f t="shared" si="92"/>
        <v>0</v>
      </c>
      <c r="O279" s="257">
        <f t="shared" si="92"/>
        <v>0</v>
      </c>
      <c r="P279" s="257">
        <f t="shared" si="92"/>
        <v>0</v>
      </c>
      <c r="Q279" s="257">
        <f t="shared" si="92"/>
        <v>0</v>
      </c>
      <c r="R279" s="257">
        <f t="shared" si="92"/>
        <v>0</v>
      </c>
      <c r="S279" s="257">
        <f t="shared" si="92"/>
        <v>0</v>
      </c>
      <c r="T279" s="257">
        <f t="shared" si="92"/>
        <v>0</v>
      </c>
      <c r="U279" s="257">
        <f t="shared" si="92"/>
        <v>0</v>
      </c>
      <c r="V279" s="257">
        <f t="shared" si="92"/>
        <v>0</v>
      </c>
      <c r="W279" s="257">
        <f t="shared" si="92"/>
        <v>0</v>
      </c>
      <c r="X279" s="257">
        <f t="shared" si="92"/>
        <v>0</v>
      </c>
      <c r="Y279" s="257">
        <f t="shared" si="92"/>
        <v>0</v>
      </c>
      <c r="Z279" s="257">
        <f t="shared" si="92"/>
        <v>0</v>
      </c>
      <c r="AA279" s="257">
        <f t="shared" si="92"/>
        <v>0</v>
      </c>
      <c r="AB279" s="257">
        <f t="shared" si="92"/>
        <v>0</v>
      </c>
      <c r="AC279" s="257">
        <f t="shared" si="92"/>
        <v>0</v>
      </c>
      <c r="AD279" s="257">
        <f t="shared" si="92"/>
        <v>0</v>
      </c>
      <c r="AE279" s="257">
        <f t="shared" si="92"/>
        <v>0</v>
      </c>
      <c r="AF279" s="253">
        <f>sum(B279:AE279)</f>
        <v>0</v>
      </c>
    </row>
    <row r="280">
      <c r="A280" s="224"/>
      <c r="J280" s="1" t="s">
        <v>349</v>
      </c>
      <c r="AF280" s="234"/>
    </row>
    <row r="281">
      <c r="A281" s="169" t="s">
        <v>350</v>
      </c>
      <c r="B281" s="166"/>
      <c r="C281" s="166"/>
      <c r="D281" s="166"/>
      <c r="E281" s="166"/>
      <c r="F281" s="166"/>
      <c r="G281" s="166"/>
      <c r="H281" s="16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234"/>
    </row>
    <row r="282">
      <c r="A282" s="268" t="s">
        <v>318</v>
      </c>
      <c r="B282" s="239">
        <v>3.0</v>
      </c>
      <c r="C282" s="239">
        <v>0.0</v>
      </c>
      <c r="D282" s="238">
        <v>2.0</v>
      </c>
      <c r="E282" s="239">
        <v>0.0</v>
      </c>
      <c r="F282" s="239">
        <v>4.0</v>
      </c>
      <c r="G282" s="239">
        <v>5.0</v>
      </c>
      <c r="H282" s="239">
        <v>10.0</v>
      </c>
      <c r="I282" s="239">
        <v>9.0</v>
      </c>
      <c r="J282" s="239">
        <v>2.0</v>
      </c>
      <c r="K282" s="239">
        <v>2.0</v>
      </c>
      <c r="L282" s="239">
        <v>3.0</v>
      </c>
      <c r="M282" s="239">
        <v>0.0</v>
      </c>
      <c r="N282" s="239">
        <v>12.0</v>
      </c>
      <c r="O282" s="239">
        <v>7.0</v>
      </c>
      <c r="P282" s="239">
        <v>5.0</v>
      </c>
      <c r="Q282" s="239">
        <v>9.0</v>
      </c>
      <c r="R282" s="239">
        <v>0.0</v>
      </c>
      <c r="S282" s="239">
        <v>0.0</v>
      </c>
      <c r="T282" s="238">
        <v>7.0</v>
      </c>
      <c r="U282" s="239">
        <v>3.0</v>
      </c>
      <c r="V282" s="239">
        <v>7.0</v>
      </c>
      <c r="W282" s="238">
        <v>2.0</v>
      </c>
      <c r="X282" s="238">
        <v>3.0</v>
      </c>
      <c r="Y282" s="239">
        <v>1.0</v>
      </c>
      <c r="Z282" s="239">
        <v>7.0</v>
      </c>
      <c r="AA282" s="239">
        <v>6.0</v>
      </c>
      <c r="AB282" s="239">
        <v>4.0</v>
      </c>
      <c r="AC282" s="239">
        <v>0.0</v>
      </c>
      <c r="AD282" s="239">
        <v>0.0</v>
      </c>
      <c r="AE282" s="239">
        <v>0.0</v>
      </c>
      <c r="AF282" s="189">
        <f t="shared" ref="AF282:AF289" si="93">SUM(B282:AE282)</f>
        <v>113</v>
      </c>
    </row>
    <row r="283">
      <c r="A283" s="268" t="s">
        <v>319</v>
      </c>
      <c r="B283" s="214">
        <v>6.0</v>
      </c>
      <c r="C283" s="239">
        <v>1.0</v>
      </c>
      <c r="D283" s="238">
        <v>5.0</v>
      </c>
      <c r="E283" s="239">
        <v>1.0</v>
      </c>
      <c r="F283" s="239">
        <v>4.0</v>
      </c>
      <c r="G283" s="239">
        <v>5.0</v>
      </c>
      <c r="H283" s="239">
        <v>24.0</v>
      </c>
      <c r="I283" s="239">
        <v>13.0</v>
      </c>
      <c r="J283" s="239">
        <v>9.0</v>
      </c>
      <c r="K283" s="239">
        <v>2.0</v>
      </c>
      <c r="L283" s="239">
        <v>2.0</v>
      </c>
      <c r="M283" s="239">
        <v>1.0</v>
      </c>
      <c r="N283" s="239">
        <v>27.0</v>
      </c>
      <c r="O283" s="239">
        <v>6.0</v>
      </c>
      <c r="P283" s="239">
        <v>3.0</v>
      </c>
      <c r="Q283" s="239">
        <v>10.0</v>
      </c>
      <c r="R283" s="239">
        <v>0.0</v>
      </c>
      <c r="S283" s="239">
        <v>1.0</v>
      </c>
      <c r="T283" s="238">
        <v>7.0</v>
      </c>
      <c r="U283" s="239">
        <v>5.0</v>
      </c>
      <c r="V283" s="239">
        <v>9.0</v>
      </c>
      <c r="W283" s="238">
        <v>7.0</v>
      </c>
      <c r="X283" s="238">
        <v>12.0</v>
      </c>
      <c r="Y283" s="239">
        <v>1.0</v>
      </c>
      <c r="Z283" s="239">
        <v>5.0</v>
      </c>
      <c r="AA283" s="239">
        <v>17.0</v>
      </c>
      <c r="AB283" s="239">
        <v>10.0</v>
      </c>
      <c r="AC283" s="239">
        <v>0.0</v>
      </c>
      <c r="AD283" s="239">
        <v>0.0</v>
      </c>
      <c r="AE283" s="239">
        <v>0.0</v>
      </c>
      <c r="AF283" s="189">
        <f t="shared" si="93"/>
        <v>193</v>
      </c>
    </row>
    <row r="284">
      <c r="A284" s="268" t="s">
        <v>320</v>
      </c>
      <c r="B284" s="239">
        <v>0.0</v>
      </c>
      <c r="C284" s="239">
        <v>0.0</v>
      </c>
      <c r="D284" s="238">
        <v>0.0</v>
      </c>
      <c r="E284" s="239">
        <v>1.0</v>
      </c>
      <c r="F284" s="239">
        <v>0.0</v>
      </c>
      <c r="G284" s="239">
        <v>0.0</v>
      </c>
      <c r="H284" s="239">
        <v>1.0</v>
      </c>
      <c r="I284" s="239">
        <v>0.0</v>
      </c>
      <c r="J284" s="239">
        <v>0.0</v>
      </c>
      <c r="K284" s="239">
        <v>0.0</v>
      </c>
      <c r="L284" s="239">
        <v>0.0</v>
      </c>
      <c r="M284" s="239">
        <v>0.0</v>
      </c>
      <c r="N284" s="239">
        <v>0.0</v>
      </c>
      <c r="O284" s="239">
        <v>1.0</v>
      </c>
      <c r="P284" s="239">
        <v>0.0</v>
      </c>
      <c r="Q284" s="239">
        <v>0.0</v>
      </c>
      <c r="R284" s="239">
        <v>0.0</v>
      </c>
      <c r="S284" s="239">
        <v>0.0</v>
      </c>
      <c r="T284" s="238">
        <v>0.0</v>
      </c>
      <c r="U284" s="239">
        <v>0.0</v>
      </c>
      <c r="V284" s="239">
        <v>0.0</v>
      </c>
      <c r="W284" s="238">
        <v>0.0</v>
      </c>
      <c r="X284" s="238">
        <v>0.0</v>
      </c>
      <c r="Y284" s="239">
        <v>0.0</v>
      </c>
      <c r="Z284" s="239">
        <v>0.0</v>
      </c>
      <c r="AA284" s="239">
        <v>0.0</v>
      </c>
      <c r="AB284" s="239">
        <v>0.0</v>
      </c>
      <c r="AC284" s="239">
        <v>0.0</v>
      </c>
      <c r="AD284" s="239">
        <v>2.0</v>
      </c>
      <c r="AE284" s="239">
        <v>0.0</v>
      </c>
      <c r="AF284" s="189">
        <f t="shared" si="93"/>
        <v>5</v>
      </c>
    </row>
    <row r="285">
      <c r="A285" s="268" t="s">
        <v>321</v>
      </c>
      <c r="B285" s="239">
        <v>0.0</v>
      </c>
      <c r="C285" s="239">
        <v>0.0</v>
      </c>
      <c r="D285" s="238">
        <v>0.0</v>
      </c>
      <c r="E285" s="239">
        <v>0.0</v>
      </c>
      <c r="F285" s="239">
        <v>0.0</v>
      </c>
      <c r="G285" s="239">
        <v>1.0</v>
      </c>
      <c r="H285" s="239">
        <v>1.0</v>
      </c>
      <c r="I285" s="239">
        <v>0.0</v>
      </c>
      <c r="J285" s="239">
        <v>0.0</v>
      </c>
      <c r="K285" s="239">
        <v>0.0</v>
      </c>
      <c r="L285" s="239">
        <v>0.0</v>
      </c>
      <c r="M285" s="239">
        <v>1.0</v>
      </c>
      <c r="N285" s="239">
        <v>2.0</v>
      </c>
      <c r="O285" s="239">
        <v>0.0</v>
      </c>
      <c r="P285" s="239">
        <v>2.0</v>
      </c>
      <c r="Q285" s="239">
        <v>0.0</v>
      </c>
      <c r="R285" s="239">
        <v>0.0</v>
      </c>
      <c r="S285" s="239">
        <v>0.0</v>
      </c>
      <c r="T285" s="238">
        <v>0.0</v>
      </c>
      <c r="U285" s="239">
        <v>0.0</v>
      </c>
      <c r="V285" s="239">
        <v>0.0</v>
      </c>
      <c r="W285" s="238">
        <v>0.0</v>
      </c>
      <c r="X285" s="238">
        <v>0.0</v>
      </c>
      <c r="Y285" s="239">
        <v>0.0</v>
      </c>
      <c r="Z285" s="239">
        <v>2.0</v>
      </c>
      <c r="AA285" s="239">
        <v>0.0</v>
      </c>
      <c r="AB285" s="239">
        <v>0.0</v>
      </c>
      <c r="AC285" s="239">
        <v>0.0</v>
      </c>
      <c r="AD285" s="239">
        <v>0.0</v>
      </c>
      <c r="AE285" s="239">
        <v>0.0</v>
      </c>
      <c r="AF285" s="189">
        <f t="shared" si="93"/>
        <v>9</v>
      </c>
    </row>
    <row r="286">
      <c r="A286" s="268" t="s">
        <v>322</v>
      </c>
      <c r="B286" s="249"/>
      <c r="C286" s="249"/>
      <c r="D286" s="249"/>
      <c r="E286" s="249"/>
      <c r="F286" s="249"/>
      <c r="G286" s="249"/>
      <c r="H286" s="249"/>
      <c r="I286" s="249"/>
      <c r="J286" s="249"/>
      <c r="K286" s="250"/>
      <c r="L286" s="249"/>
      <c r="M286" s="249"/>
      <c r="N286" s="249"/>
      <c r="O286" s="249"/>
      <c r="P286" s="249"/>
      <c r="Q286" s="249"/>
      <c r="R286" s="249"/>
      <c r="S286" s="249"/>
      <c r="T286" s="249"/>
      <c r="U286" s="249"/>
      <c r="V286" s="249"/>
      <c r="W286" s="249"/>
      <c r="X286" s="249"/>
      <c r="Y286" s="249"/>
      <c r="Z286" s="249"/>
      <c r="AA286" s="249"/>
      <c r="AB286" s="249"/>
      <c r="AC286" s="249"/>
      <c r="AD286" s="249"/>
      <c r="AE286" s="249"/>
      <c r="AF286" s="189">
        <f t="shared" si="93"/>
        <v>0</v>
      </c>
    </row>
    <row r="287">
      <c r="A287" s="268" t="s">
        <v>323</v>
      </c>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c r="AB287" s="249"/>
      <c r="AC287" s="249"/>
      <c r="AD287" s="249"/>
      <c r="AE287" s="249"/>
      <c r="AF287" s="189">
        <f t="shared" si="93"/>
        <v>0</v>
      </c>
    </row>
    <row r="288">
      <c r="A288" s="269" t="s">
        <v>308</v>
      </c>
      <c r="B288" s="270">
        <f t="shared" ref="B288:AE288" si="94">SUM(B282:B287)</f>
        <v>9</v>
      </c>
      <c r="C288" s="270">
        <f t="shared" si="94"/>
        <v>1</v>
      </c>
      <c r="D288" s="270">
        <f t="shared" si="94"/>
        <v>7</v>
      </c>
      <c r="E288" s="270">
        <f t="shared" si="94"/>
        <v>2</v>
      </c>
      <c r="F288" s="270">
        <f t="shared" si="94"/>
        <v>8</v>
      </c>
      <c r="G288" s="270">
        <f t="shared" si="94"/>
        <v>11</v>
      </c>
      <c r="H288" s="270">
        <f t="shared" si="94"/>
        <v>36</v>
      </c>
      <c r="I288" s="270">
        <f t="shared" si="94"/>
        <v>22</v>
      </c>
      <c r="J288" s="270">
        <f t="shared" si="94"/>
        <v>11</v>
      </c>
      <c r="K288" s="270">
        <f t="shared" si="94"/>
        <v>4</v>
      </c>
      <c r="L288" s="270">
        <f t="shared" si="94"/>
        <v>5</v>
      </c>
      <c r="M288" s="270">
        <f t="shared" si="94"/>
        <v>2</v>
      </c>
      <c r="N288" s="270">
        <f t="shared" si="94"/>
        <v>41</v>
      </c>
      <c r="O288" s="270">
        <f t="shared" si="94"/>
        <v>14</v>
      </c>
      <c r="P288" s="270">
        <f t="shared" si="94"/>
        <v>10</v>
      </c>
      <c r="Q288" s="270">
        <f t="shared" si="94"/>
        <v>19</v>
      </c>
      <c r="R288" s="270">
        <f t="shared" si="94"/>
        <v>0</v>
      </c>
      <c r="S288" s="270">
        <f t="shared" si="94"/>
        <v>1</v>
      </c>
      <c r="T288" s="270">
        <f t="shared" si="94"/>
        <v>14</v>
      </c>
      <c r="U288" s="270">
        <f t="shared" si="94"/>
        <v>8</v>
      </c>
      <c r="V288" s="270">
        <f t="shared" si="94"/>
        <v>16</v>
      </c>
      <c r="W288" s="270">
        <f t="shared" si="94"/>
        <v>9</v>
      </c>
      <c r="X288" s="270">
        <f t="shared" si="94"/>
        <v>15</v>
      </c>
      <c r="Y288" s="270">
        <f t="shared" si="94"/>
        <v>2</v>
      </c>
      <c r="Z288" s="270">
        <f t="shared" si="94"/>
        <v>14</v>
      </c>
      <c r="AA288" s="270">
        <f t="shared" si="94"/>
        <v>23</v>
      </c>
      <c r="AB288" s="270">
        <f t="shared" si="94"/>
        <v>14</v>
      </c>
      <c r="AC288" s="270">
        <f t="shared" si="94"/>
        <v>0</v>
      </c>
      <c r="AD288" s="270">
        <f t="shared" si="94"/>
        <v>2</v>
      </c>
      <c r="AE288" s="270">
        <f t="shared" si="94"/>
        <v>0</v>
      </c>
      <c r="AF288" s="189">
        <f t="shared" si="93"/>
        <v>320</v>
      </c>
    </row>
    <row r="289">
      <c r="A289" s="269" t="s">
        <v>324</v>
      </c>
      <c r="B289" s="270">
        <f>B282+B285+B287</f>
        <v>3</v>
      </c>
      <c r="C289" s="270">
        <f t="shared" ref="C289:AE289" si="95">C283+C285+C287</f>
        <v>1</v>
      </c>
      <c r="D289" s="270">
        <f t="shared" si="95"/>
        <v>5</v>
      </c>
      <c r="E289" s="270">
        <f t="shared" si="95"/>
        <v>1</v>
      </c>
      <c r="F289" s="270">
        <f t="shared" si="95"/>
        <v>4</v>
      </c>
      <c r="G289" s="270">
        <f t="shared" si="95"/>
        <v>6</v>
      </c>
      <c r="H289" s="270">
        <f t="shared" si="95"/>
        <v>25</v>
      </c>
      <c r="I289" s="270">
        <f t="shared" si="95"/>
        <v>13</v>
      </c>
      <c r="J289" s="270">
        <f t="shared" si="95"/>
        <v>9</v>
      </c>
      <c r="K289" s="270">
        <f t="shared" si="95"/>
        <v>2</v>
      </c>
      <c r="L289" s="270">
        <f t="shared" si="95"/>
        <v>2</v>
      </c>
      <c r="M289" s="270">
        <f t="shared" si="95"/>
        <v>2</v>
      </c>
      <c r="N289" s="270">
        <f t="shared" si="95"/>
        <v>29</v>
      </c>
      <c r="O289" s="270">
        <f t="shared" si="95"/>
        <v>6</v>
      </c>
      <c r="P289" s="270">
        <f t="shared" si="95"/>
        <v>5</v>
      </c>
      <c r="Q289" s="270">
        <f t="shared" si="95"/>
        <v>10</v>
      </c>
      <c r="R289" s="270">
        <f t="shared" si="95"/>
        <v>0</v>
      </c>
      <c r="S289" s="270">
        <f t="shared" si="95"/>
        <v>1</v>
      </c>
      <c r="T289" s="270">
        <f t="shared" si="95"/>
        <v>7</v>
      </c>
      <c r="U289" s="270">
        <f t="shared" si="95"/>
        <v>5</v>
      </c>
      <c r="V289" s="270">
        <f t="shared" si="95"/>
        <v>9</v>
      </c>
      <c r="W289" s="270">
        <f t="shared" si="95"/>
        <v>7</v>
      </c>
      <c r="X289" s="270">
        <f t="shared" si="95"/>
        <v>12</v>
      </c>
      <c r="Y289" s="270">
        <f t="shared" si="95"/>
        <v>1</v>
      </c>
      <c r="Z289" s="270">
        <f t="shared" si="95"/>
        <v>7</v>
      </c>
      <c r="AA289" s="270">
        <f t="shared" si="95"/>
        <v>17</v>
      </c>
      <c r="AB289" s="270">
        <f t="shared" si="95"/>
        <v>10</v>
      </c>
      <c r="AC289" s="270">
        <f t="shared" si="95"/>
        <v>0</v>
      </c>
      <c r="AD289" s="270">
        <f t="shared" si="95"/>
        <v>0</v>
      </c>
      <c r="AE289" s="270">
        <f t="shared" si="95"/>
        <v>0</v>
      </c>
      <c r="AF289" s="189">
        <f t="shared" si="93"/>
        <v>199</v>
      </c>
    </row>
    <row r="290">
      <c r="A290" s="26"/>
      <c r="B290" s="166"/>
      <c r="C290" s="166"/>
      <c r="D290" s="166"/>
      <c r="E290" s="166"/>
      <c r="F290" s="166"/>
      <c r="G290" s="166"/>
      <c r="H290" s="16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89"/>
    </row>
    <row r="291">
      <c r="A291" s="268" t="s">
        <v>325</v>
      </c>
      <c r="B291" s="239">
        <v>7.0</v>
      </c>
      <c r="C291" s="239">
        <v>1.0</v>
      </c>
      <c r="D291" s="238">
        <v>3.0</v>
      </c>
      <c r="E291" s="239">
        <v>1.0</v>
      </c>
      <c r="F291" s="239">
        <v>5.0</v>
      </c>
      <c r="G291" s="239">
        <v>4.0</v>
      </c>
      <c r="H291" s="239">
        <v>14.0</v>
      </c>
      <c r="I291" s="239">
        <v>13.0</v>
      </c>
      <c r="J291" s="239">
        <v>5.0</v>
      </c>
      <c r="K291" s="239">
        <v>2.0</v>
      </c>
      <c r="L291" s="239">
        <v>0.0</v>
      </c>
      <c r="M291" s="239">
        <v>2.0</v>
      </c>
      <c r="N291" s="239">
        <v>14.0</v>
      </c>
      <c r="O291" s="239">
        <v>4.0</v>
      </c>
      <c r="P291" s="239">
        <v>7.0</v>
      </c>
      <c r="Q291" s="239">
        <v>5.0</v>
      </c>
      <c r="R291" s="239">
        <v>0.0</v>
      </c>
      <c r="S291" s="239">
        <v>3.0</v>
      </c>
      <c r="T291" s="238">
        <v>6.0</v>
      </c>
      <c r="U291" s="239">
        <v>3.0</v>
      </c>
      <c r="V291" s="239">
        <v>14.0</v>
      </c>
      <c r="W291" s="238">
        <v>5.0</v>
      </c>
      <c r="X291" s="238">
        <v>5.0</v>
      </c>
      <c r="Y291" s="239">
        <v>1.0</v>
      </c>
      <c r="Z291" s="239">
        <v>4.0</v>
      </c>
      <c r="AA291" s="239">
        <v>11.0</v>
      </c>
      <c r="AB291" s="239">
        <v>6.0</v>
      </c>
      <c r="AC291" s="239">
        <v>0.0</v>
      </c>
      <c r="AD291" s="239">
        <v>0.0</v>
      </c>
      <c r="AE291" s="239">
        <v>0.0</v>
      </c>
      <c r="AF291" s="189">
        <f t="shared" ref="AF291:AF296" si="96">SUM(B291:AE291)</f>
        <v>145</v>
      </c>
    </row>
    <row r="292">
      <c r="A292" s="268" t="s">
        <v>326</v>
      </c>
      <c r="B292" s="239">
        <v>0.0</v>
      </c>
      <c r="C292" s="239">
        <v>0.0</v>
      </c>
      <c r="D292" s="238">
        <v>0.0</v>
      </c>
      <c r="E292" s="239">
        <v>0.0</v>
      </c>
      <c r="F292" s="239">
        <v>0.0</v>
      </c>
      <c r="G292" s="239">
        <v>0.0</v>
      </c>
      <c r="H292" s="239">
        <v>0.0</v>
      </c>
      <c r="I292" s="239">
        <v>0.0</v>
      </c>
      <c r="J292" s="239">
        <v>0.0</v>
      </c>
      <c r="K292" s="239">
        <v>0.0</v>
      </c>
      <c r="L292" s="239">
        <v>0.0</v>
      </c>
      <c r="M292" s="239">
        <v>0.0</v>
      </c>
      <c r="N292" s="239">
        <v>0.0</v>
      </c>
      <c r="O292" s="239">
        <v>0.0</v>
      </c>
      <c r="P292" s="239">
        <v>0.0</v>
      </c>
      <c r="Q292" s="239">
        <v>0.0</v>
      </c>
      <c r="R292" s="239">
        <v>0.0</v>
      </c>
      <c r="S292" s="239">
        <v>0.0</v>
      </c>
      <c r="T292" s="238">
        <v>0.0</v>
      </c>
      <c r="U292" s="239">
        <v>0.0</v>
      </c>
      <c r="V292" s="239">
        <v>0.0</v>
      </c>
      <c r="W292" s="238">
        <v>0.0</v>
      </c>
      <c r="X292" s="238">
        <v>0.0</v>
      </c>
      <c r="Y292" s="239">
        <v>0.0</v>
      </c>
      <c r="Z292" s="239">
        <v>0.0</v>
      </c>
      <c r="AA292" s="239">
        <v>0.0</v>
      </c>
      <c r="AB292" s="239">
        <v>0.0</v>
      </c>
      <c r="AC292" s="239">
        <v>0.0</v>
      </c>
      <c r="AD292" s="239">
        <v>0.0</v>
      </c>
      <c r="AE292" s="239">
        <v>0.0</v>
      </c>
      <c r="AF292" s="189">
        <f t="shared" si="96"/>
        <v>0</v>
      </c>
    </row>
    <row r="293">
      <c r="A293" s="268" t="s">
        <v>327</v>
      </c>
      <c r="B293" s="239">
        <v>2.0</v>
      </c>
      <c r="C293" s="239">
        <v>0.0</v>
      </c>
      <c r="D293" s="238">
        <v>2.0</v>
      </c>
      <c r="E293" s="239">
        <v>1.0</v>
      </c>
      <c r="F293" s="239">
        <v>1.0</v>
      </c>
      <c r="G293" s="239">
        <v>4.0</v>
      </c>
      <c r="H293" s="239">
        <v>6.0</v>
      </c>
      <c r="I293" s="239">
        <v>3.0</v>
      </c>
      <c r="J293" s="239">
        <v>3.0</v>
      </c>
      <c r="K293" s="239">
        <v>1.0</v>
      </c>
      <c r="L293" s="239">
        <v>0.0</v>
      </c>
      <c r="M293" s="239">
        <v>0.0</v>
      </c>
      <c r="N293" s="239">
        <v>11.0</v>
      </c>
      <c r="O293" s="239">
        <v>3.0</v>
      </c>
      <c r="P293" s="239">
        <v>0.0</v>
      </c>
      <c r="Q293" s="239">
        <v>5.0</v>
      </c>
      <c r="R293" s="239">
        <v>0.0</v>
      </c>
      <c r="S293" s="239">
        <v>0.0</v>
      </c>
      <c r="T293" s="238">
        <v>5.0</v>
      </c>
      <c r="U293" s="239">
        <v>2.0</v>
      </c>
      <c r="V293" s="239">
        <v>3.0</v>
      </c>
      <c r="W293" s="238">
        <v>2.0</v>
      </c>
      <c r="X293" s="238">
        <v>0.0</v>
      </c>
      <c r="Y293" s="239">
        <v>0.0</v>
      </c>
      <c r="Z293" s="239">
        <v>1.0</v>
      </c>
      <c r="AA293" s="239">
        <v>4.0</v>
      </c>
      <c r="AB293" s="239">
        <v>3.0</v>
      </c>
      <c r="AC293" s="239">
        <v>0.0</v>
      </c>
      <c r="AD293" s="239">
        <v>0.0</v>
      </c>
      <c r="AE293" s="239">
        <v>0.0</v>
      </c>
      <c r="AF293" s="189">
        <f t="shared" si="96"/>
        <v>62</v>
      </c>
    </row>
    <row r="294">
      <c r="A294" s="268" t="s">
        <v>328</v>
      </c>
      <c r="B294" s="239">
        <v>2.0</v>
      </c>
      <c r="C294" s="239">
        <v>0.0</v>
      </c>
      <c r="D294" s="238">
        <v>1.0</v>
      </c>
      <c r="E294" s="239">
        <v>1.0</v>
      </c>
      <c r="F294" s="239">
        <v>1.0</v>
      </c>
      <c r="G294" s="239">
        <v>3.0</v>
      </c>
      <c r="H294" s="239">
        <v>4.0</v>
      </c>
      <c r="I294" s="239">
        <v>2.0</v>
      </c>
      <c r="J294" s="239">
        <v>2.0</v>
      </c>
      <c r="K294" s="239">
        <v>1.0</v>
      </c>
      <c r="L294" s="239">
        <v>0.0</v>
      </c>
      <c r="M294" s="239">
        <v>1.0</v>
      </c>
      <c r="N294" s="239">
        <v>16.0</v>
      </c>
      <c r="O294" s="239">
        <v>2.0</v>
      </c>
      <c r="P294" s="239">
        <v>2.0</v>
      </c>
      <c r="Q294" s="239">
        <v>6.0</v>
      </c>
      <c r="R294" s="239">
        <v>0.0</v>
      </c>
      <c r="S294" s="239">
        <v>1.0</v>
      </c>
      <c r="T294" s="238">
        <v>3.0</v>
      </c>
      <c r="U294" s="239">
        <v>3.0</v>
      </c>
      <c r="V294" s="239">
        <v>4.0</v>
      </c>
      <c r="W294" s="238">
        <v>4.0</v>
      </c>
      <c r="X294" s="238">
        <v>4.0</v>
      </c>
      <c r="Y294" s="239">
        <v>0.0</v>
      </c>
      <c r="Z294" s="239">
        <v>3.0</v>
      </c>
      <c r="AA294" s="239">
        <v>8.0</v>
      </c>
      <c r="AB294" s="239">
        <v>3.0</v>
      </c>
      <c r="AC294" s="239">
        <v>0.0</v>
      </c>
      <c r="AD294" s="239">
        <v>0.0</v>
      </c>
      <c r="AE294" s="239">
        <v>0.0</v>
      </c>
      <c r="AF294" s="189">
        <f t="shared" si="96"/>
        <v>77</v>
      </c>
    </row>
    <row r="295">
      <c r="A295" s="268" t="s">
        <v>329</v>
      </c>
      <c r="B295" s="239">
        <v>0.0</v>
      </c>
      <c r="C295" s="239">
        <v>1.0</v>
      </c>
      <c r="D295" s="238">
        <v>0.0</v>
      </c>
      <c r="E295" s="239">
        <v>0.0</v>
      </c>
      <c r="F295" s="239">
        <v>1.0</v>
      </c>
      <c r="G295" s="239">
        <v>3.0</v>
      </c>
      <c r="H295" s="239">
        <v>1.0</v>
      </c>
      <c r="I295" s="239">
        <v>1.0</v>
      </c>
      <c r="J295" s="239">
        <v>3.0</v>
      </c>
      <c r="K295" s="239">
        <v>0.0</v>
      </c>
      <c r="L295" s="239">
        <v>1.0</v>
      </c>
      <c r="M295" s="239">
        <v>0.0</v>
      </c>
      <c r="N295" s="239">
        <v>0.0</v>
      </c>
      <c r="O295" s="239">
        <v>3.0</v>
      </c>
      <c r="P295" s="239">
        <v>3.0</v>
      </c>
      <c r="Q295" s="239">
        <v>0.0</v>
      </c>
      <c r="R295" s="239">
        <v>0.0</v>
      </c>
      <c r="S295" s="239">
        <v>0.0</v>
      </c>
      <c r="T295" s="238">
        <v>1.0</v>
      </c>
      <c r="U295" s="239">
        <v>1.0</v>
      </c>
      <c r="V295" s="239">
        <v>2.0</v>
      </c>
      <c r="W295" s="238">
        <v>1.0</v>
      </c>
      <c r="X295" s="238">
        <v>0.0</v>
      </c>
      <c r="Y295" s="239">
        <v>0.0</v>
      </c>
      <c r="Z295" s="239">
        <v>1.0</v>
      </c>
      <c r="AA295" s="239">
        <v>2.0</v>
      </c>
      <c r="AB295" s="239">
        <v>4.0</v>
      </c>
      <c r="AC295" s="239">
        <v>0.0</v>
      </c>
      <c r="AD295" s="239">
        <v>0.0</v>
      </c>
      <c r="AE295" s="239">
        <v>0.0</v>
      </c>
      <c r="AF295" s="189">
        <f t="shared" si="96"/>
        <v>29</v>
      </c>
    </row>
    <row r="296">
      <c r="A296" s="271" t="s">
        <v>330</v>
      </c>
      <c r="B296" s="270">
        <f t="shared" ref="B296:M296" si="97">SUM(B291:B295)</f>
        <v>11</v>
      </c>
      <c r="C296" s="270">
        <f t="shared" si="97"/>
        <v>2</v>
      </c>
      <c r="D296" s="270">
        <f t="shared" si="97"/>
        <v>6</v>
      </c>
      <c r="E296" s="270">
        <f t="shared" si="97"/>
        <v>3</v>
      </c>
      <c r="F296" s="270">
        <f t="shared" si="97"/>
        <v>8</v>
      </c>
      <c r="G296" s="270">
        <f t="shared" si="97"/>
        <v>14</v>
      </c>
      <c r="H296" s="270">
        <f t="shared" si="97"/>
        <v>25</v>
      </c>
      <c r="I296" s="270">
        <f t="shared" si="97"/>
        <v>19</v>
      </c>
      <c r="J296" s="270">
        <f t="shared" si="97"/>
        <v>13</v>
      </c>
      <c r="K296" s="270">
        <f t="shared" si="97"/>
        <v>4</v>
      </c>
      <c r="L296" s="270">
        <f t="shared" si="97"/>
        <v>1</v>
      </c>
      <c r="M296" s="270">
        <f t="shared" si="97"/>
        <v>3</v>
      </c>
      <c r="N296" s="272">
        <v>0.0</v>
      </c>
      <c r="O296" s="270">
        <f t="shared" ref="O296:AE296" si="98">SUM(O291:O295)</f>
        <v>12</v>
      </c>
      <c r="P296" s="270">
        <f t="shared" si="98"/>
        <v>12</v>
      </c>
      <c r="Q296" s="270">
        <f t="shared" si="98"/>
        <v>16</v>
      </c>
      <c r="R296" s="270">
        <f t="shared" si="98"/>
        <v>0</v>
      </c>
      <c r="S296" s="270">
        <f t="shared" si="98"/>
        <v>4</v>
      </c>
      <c r="T296" s="270">
        <f t="shared" si="98"/>
        <v>15</v>
      </c>
      <c r="U296" s="270">
        <f t="shared" si="98"/>
        <v>9</v>
      </c>
      <c r="V296" s="270">
        <f t="shared" si="98"/>
        <v>23</v>
      </c>
      <c r="W296" s="270">
        <f t="shared" si="98"/>
        <v>12</v>
      </c>
      <c r="X296" s="270">
        <f t="shared" si="98"/>
        <v>9</v>
      </c>
      <c r="Y296" s="270">
        <f t="shared" si="98"/>
        <v>1</v>
      </c>
      <c r="Z296" s="270">
        <f t="shared" si="98"/>
        <v>9</v>
      </c>
      <c r="AA296" s="270">
        <f t="shared" si="98"/>
        <v>25</v>
      </c>
      <c r="AB296" s="270">
        <f t="shared" si="98"/>
        <v>16</v>
      </c>
      <c r="AC296" s="270">
        <f t="shared" si="98"/>
        <v>0</v>
      </c>
      <c r="AD296" s="270">
        <f t="shared" si="98"/>
        <v>0</v>
      </c>
      <c r="AE296" s="270">
        <f t="shared" si="98"/>
        <v>0</v>
      </c>
      <c r="AF296" s="189">
        <f t="shared" si="96"/>
        <v>272</v>
      </c>
    </row>
    <row r="297">
      <c r="A297" s="26"/>
      <c r="B297" s="166"/>
      <c r="C297" s="166"/>
      <c r="D297" s="166"/>
      <c r="E297" s="166"/>
      <c r="F297" s="166"/>
      <c r="G297" s="166"/>
      <c r="H297" s="16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89"/>
    </row>
    <row r="298">
      <c r="A298" s="268" t="s">
        <v>331</v>
      </c>
      <c r="B298" s="239">
        <v>1.0</v>
      </c>
      <c r="C298" s="239">
        <v>0.0</v>
      </c>
      <c r="D298" s="239">
        <v>0.0</v>
      </c>
      <c r="E298" s="239">
        <v>1.0</v>
      </c>
      <c r="F298" s="239">
        <v>0.0</v>
      </c>
      <c r="G298" s="239">
        <v>0.0</v>
      </c>
      <c r="H298" s="239">
        <v>1.0</v>
      </c>
      <c r="I298" s="239">
        <v>0.0</v>
      </c>
      <c r="J298" s="239">
        <v>0.0</v>
      </c>
      <c r="K298" s="239">
        <v>0.0</v>
      </c>
      <c r="L298" s="239">
        <v>1.0</v>
      </c>
      <c r="M298" s="239">
        <v>0.0</v>
      </c>
      <c r="N298" s="239">
        <v>1.0</v>
      </c>
      <c r="O298" s="239">
        <v>0.0</v>
      </c>
      <c r="P298" s="239">
        <v>0.0</v>
      </c>
      <c r="Q298" s="239">
        <v>0.0</v>
      </c>
      <c r="R298" s="239">
        <v>0.0</v>
      </c>
      <c r="S298" s="239">
        <v>0.0</v>
      </c>
      <c r="T298" s="239">
        <v>0.0</v>
      </c>
      <c r="U298" s="239">
        <v>0.0</v>
      </c>
      <c r="V298" s="239">
        <v>0.0</v>
      </c>
      <c r="W298" s="238">
        <v>0.0</v>
      </c>
      <c r="X298" s="238">
        <v>0.0</v>
      </c>
      <c r="Y298" s="239">
        <v>0.0</v>
      </c>
      <c r="Z298" s="239">
        <v>1.0</v>
      </c>
      <c r="AA298" s="239">
        <v>0.0</v>
      </c>
      <c r="AB298" s="239">
        <v>0.0</v>
      </c>
      <c r="AC298" s="239">
        <v>0.0</v>
      </c>
      <c r="AD298" s="239">
        <v>0.0</v>
      </c>
      <c r="AE298" s="239">
        <v>0.0</v>
      </c>
      <c r="AF298" s="189">
        <f t="shared" ref="AF298:AF303" si="99">SUM(B298:AE298)</f>
        <v>6</v>
      </c>
    </row>
    <row r="299">
      <c r="A299" s="268" t="s">
        <v>332</v>
      </c>
      <c r="B299" s="239">
        <v>0.0</v>
      </c>
      <c r="C299" s="239">
        <v>0.0</v>
      </c>
      <c r="D299" s="238">
        <v>2.0</v>
      </c>
      <c r="E299" s="239">
        <v>0.0</v>
      </c>
      <c r="F299" s="239">
        <v>0.0</v>
      </c>
      <c r="G299" s="239">
        <v>0.0</v>
      </c>
      <c r="H299" s="239">
        <v>0.0</v>
      </c>
      <c r="I299" s="239">
        <v>0.0</v>
      </c>
      <c r="J299" s="239">
        <v>0.0</v>
      </c>
      <c r="K299" s="239">
        <v>0.0</v>
      </c>
      <c r="L299" s="239">
        <v>0.0</v>
      </c>
      <c r="M299" s="239">
        <v>0.0</v>
      </c>
      <c r="N299" s="239">
        <v>0.0</v>
      </c>
      <c r="O299" s="239">
        <v>0.0</v>
      </c>
      <c r="P299" s="239">
        <v>0.0</v>
      </c>
      <c r="Q299" s="239">
        <v>0.0</v>
      </c>
      <c r="R299" s="239">
        <v>0.0</v>
      </c>
      <c r="S299" s="239">
        <v>0.0</v>
      </c>
      <c r="T299" s="239">
        <v>0.0</v>
      </c>
      <c r="U299" s="239">
        <v>0.0</v>
      </c>
      <c r="V299" s="239">
        <v>1.0</v>
      </c>
      <c r="W299" s="238">
        <v>0.0</v>
      </c>
      <c r="X299" s="238">
        <v>0.0</v>
      </c>
      <c r="Y299" s="239">
        <v>0.0</v>
      </c>
      <c r="Z299" s="239">
        <v>1.0</v>
      </c>
      <c r="AA299" s="239">
        <v>0.0</v>
      </c>
      <c r="AB299" s="239">
        <v>0.0</v>
      </c>
      <c r="AC299" s="239">
        <v>0.0</v>
      </c>
      <c r="AD299" s="239">
        <v>2.0</v>
      </c>
      <c r="AE299" s="239">
        <v>0.0</v>
      </c>
      <c r="AF299" s="189">
        <f t="shared" si="99"/>
        <v>6</v>
      </c>
    </row>
    <row r="300">
      <c r="A300" s="268" t="s">
        <v>333</v>
      </c>
      <c r="B300" s="239">
        <v>0.0</v>
      </c>
      <c r="C300" s="239">
        <v>0.0</v>
      </c>
      <c r="D300" s="239">
        <v>0.0</v>
      </c>
      <c r="E300" s="239">
        <v>1.0</v>
      </c>
      <c r="F300" s="239">
        <v>0.0</v>
      </c>
      <c r="G300" s="239">
        <v>0.0</v>
      </c>
      <c r="H300" s="239">
        <v>0.0</v>
      </c>
      <c r="I300" s="239">
        <v>0.0</v>
      </c>
      <c r="J300" s="239">
        <v>0.0</v>
      </c>
      <c r="K300" s="239">
        <v>0.0</v>
      </c>
      <c r="L300" s="239">
        <v>0.0</v>
      </c>
      <c r="M300" s="239">
        <v>0.0</v>
      </c>
      <c r="N300" s="239">
        <v>2.0</v>
      </c>
      <c r="O300" s="239">
        <v>1.0</v>
      </c>
      <c r="P300" s="239">
        <v>1.0</v>
      </c>
      <c r="Q300" s="239">
        <v>0.0</v>
      </c>
      <c r="R300" s="239">
        <v>0.0</v>
      </c>
      <c r="S300" s="239">
        <v>0.0</v>
      </c>
      <c r="T300" s="239">
        <v>0.0</v>
      </c>
      <c r="U300" s="239">
        <v>0.0</v>
      </c>
      <c r="V300" s="239">
        <v>0.0</v>
      </c>
      <c r="W300" s="238">
        <v>1.0</v>
      </c>
      <c r="X300" s="238">
        <v>0.0</v>
      </c>
      <c r="Y300" s="239">
        <v>0.0</v>
      </c>
      <c r="Z300" s="239">
        <v>1.0</v>
      </c>
      <c r="AA300" s="239">
        <v>0.0</v>
      </c>
      <c r="AB300" s="239">
        <v>0.0</v>
      </c>
      <c r="AC300" s="239">
        <v>0.0</v>
      </c>
      <c r="AD300" s="239">
        <v>1.0</v>
      </c>
      <c r="AE300" s="239">
        <v>0.0</v>
      </c>
      <c r="AF300" s="189">
        <f t="shared" si="99"/>
        <v>8</v>
      </c>
    </row>
    <row r="301">
      <c r="A301" s="268" t="s">
        <v>334</v>
      </c>
      <c r="B301" s="239">
        <v>0.0</v>
      </c>
      <c r="C301" s="239">
        <v>0.0</v>
      </c>
      <c r="D301" s="239">
        <v>0.0</v>
      </c>
      <c r="E301" s="239">
        <v>0.0</v>
      </c>
      <c r="F301" s="239">
        <v>0.0</v>
      </c>
      <c r="G301" s="239">
        <v>1.0</v>
      </c>
      <c r="H301" s="239">
        <v>0.0</v>
      </c>
      <c r="I301" s="239">
        <v>0.0</v>
      </c>
      <c r="J301" s="239">
        <v>0.0</v>
      </c>
      <c r="K301" s="239">
        <v>0.0</v>
      </c>
      <c r="L301" s="239">
        <v>1.0</v>
      </c>
      <c r="M301" s="239">
        <v>0.0</v>
      </c>
      <c r="N301" s="239">
        <v>1.0</v>
      </c>
      <c r="O301" s="239">
        <v>0.0</v>
      </c>
      <c r="P301" s="239">
        <v>0.0</v>
      </c>
      <c r="Q301" s="239">
        <v>0.0</v>
      </c>
      <c r="R301" s="239">
        <v>0.0</v>
      </c>
      <c r="S301" s="239">
        <v>0.0</v>
      </c>
      <c r="T301" s="239">
        <v>0.0</v>
      </c>
      <c r="U301" s="239">
        <v>0.0</v>
      </c>
      <c r="V301" s="239">
        <v>0.0</v>
      </c>
      <c r="W301" s="238">
        <v>0.0</v>
      </c>
      <c r="X301" s="238">
        <v>0.0</v>
      </c>
      <c r="Y301" s="239">
        <v>0.0</v>
      </c>
      <c r="Z301" s="239">
        <v>1.0</v>
      </c>
      <c r="AA301" s="239">
        <v>0.0</v>
      </c>
      <c r="AB301" s="239">
        <v>0.0</v>
      </c>
      <c r="AC301" s="239">
        <v>0.0</v>
      </c>
      <c r="AD301" s="239">
        <v>0.0</v>
      </c>
      <c r="AE301" s="239">
        <v>0.0</v>
      </c>
      <c r="AF301" s="189">
        <f t="shared" si="99"/>
        <v>4</v>
      </c>
    </row>
    <row r="302">
      <c r="A302" s="268" t="s">
        <v>335</v>
      </c>
      <c r="B302" s="239">
        <v>0.0</v>
      </c>
      <c r="C302" s="239">
        <v>0.0</v>
      </c>
      <c r="D302" s="239">
        <v>0.0</v>
      </c>
      <c r="E302" s="239">
        <v>0.0</v>
      </c>
      <c r="F302" s="239">
        <v>0.0</v>
      </c>
      <c r="G302" s="239">
        <v>0.0</v>
      </c>
      <c r="H302" s="239">
        <v>0.0</v>
      </c>
      <c r="I302" s="239">
        <v>0.0</v>
      </c>
      <c r="J302" s="239">
        <v>0.0</v>
      </c>
      <c r="K302" s="239">
        <v>0.0</v>
      </c>
      <c r="L302" s="239">
        <v>0.0</v>
      </c>
      <c r="M302" s="239">
        <v>0.0</v>
      </c>
      <c r="N302" s="239">
        <v>0.0</v>
      </c>
      <c r="O302" s="239">
        <v>0.0</v>
      </c>
      <c r="P302" s="239">
        <v>0.0</v>
      </c>
      <c r="Q302" s="239">
        <v>0.0</v>
      </c>
      <c r="R302" s="239">
        <v>0.0</v>
      </c>
      <c r="S302" s="239">
        <v>0.0</v>
      </c>
      <c r="T302" s="239">
        <v>0.0</v>
      </c>
      <c r="U302" s="239">
        <v>0.0</v>
      </c>
      <c r="V302" s="239">
        <v>0.0</v>
      </c>
      <c r="W302" s="238">
        <v>0.0</v>
      </c>
      <c r="X302" s="238">
        <v>1.0</v>
      </c>
      <c r="Y302" s="239">
        <v>0.0</v>
      </c>
      <c r="Z302" s="239">
        <v>0.0</v>
      </c>
      <c r="AA302" s="239">
        <v>0.0</v>
      </c>
      <c r="AB302" s="239">
        <v>0.0</v>
      </c>
      <c r="AC302" s="239">
        <v>0.0</v>
      </c>
      <c r="AD302" s="239">
        <v>0.0</v>
      </c>
      <c r="AE302" s="239">
        <v>0.0</v>
      </c>
      <c r="AF302" s="189">
        <f t="shared" si="99"/>
        <v>1</v>
      </c>
    </row>
    <row r="303">
      <c r="A303" s="271" t="s">
        <v>336</v>
      </c>
      <c r="B303" s="270">
        <f t="shared" ref="B303:AE303" si="100">SUM(B298:B302)</f>
        <v>1</v>
      </c>
      <c r="C303" s="270">
        <f t="shared" si="100"/>
        <v>0</v>
      </c>
      <c r="D303" s="270">
        <f t="shared" si="100"/>
        <v>2</v>
      </c>
      <c r="E303" s="270">
        <f t="shared" si="100"/>
        <v>2</v>
      </c>
      <c r="F303" s="270">
        <f t="shared" si="100"/>
        <v>0</v>
      </c>
      <c r="G303" s="270">
        <f t="shared" si="100"/>
        <v>1</v>
      </c>
      <c r="H303" s="270">
        <f t="shared" si="100"/>
        <v>1</v>
      </c>
      <c r="I303" s="270">
        <f t="shared" si="100"/>
        <v>0</v>
      </c>
      <c r="J303" s="270">
        <f t="shared" si="100"/>
        <v>0</v>
      </c>
      <c r="K303" s="270">
        <f t="shared" si="100"/>
        <v>0</v>
      </c>
      <c r="L303" s="270">
        <f t="shared" si="100"/>
        <v>2</v>
      </c>
      <c r="M303" s="270">
        <f t="shared" si="100"/>
        <v>0</v>
      </c>
      <c r="N303" s="270">
        <f t="shared" si="100"/>
        <v>4</v>
      </c>
      <c r="O303" s="270">
        <f t="shared" si="100"/>
        <v>1</v>
      </c>
      <c r="P303" s="270">
        <f t="shared" si="100"/>
        <v>1</v>
      </c>
      <c r="Q303" s="270">
        <f t="shared" si="100"/>
        <v>0</v>
      </c>
      <c r="R303" s="270">
        <f t="shared" si="100"/>
        <v>0</v>
      </c>
      <c r="S303" s="270">
        <f t="shared" si="100"/>
        <v>0</v>
      </c>
      <c r="T303" s="270">
        <f t="shared" si="100"/>
        <v>0</v>
      </c>
      <c r="U303" s="270">
        <f t="shared" si="100"/>
        <v>0</v>
      </c>
      <c r="V303" s="270">
        <f t="shared" si="100"/>
        <v>1</v>
      </c>
      <c r="W303" s="270">
        <f t="shared" si="100"/>
        <v>1</v>
      </c>
      <c r="X303" s="270">
        <f t="shared" si="100"/>
        <v>1</v>
      </c>
      <c r="Y303" s="270">
        <f t="shared" si="100"/>
        <v>0</v>
      </c>
      <c r="Z303" s="270">
        <f t="shared" si="100"/>
        <v>4</v>
      </c>
      <c r="AA303" s="270">
        <f t="shared" si="100"/>
        <v>0</v>
      </c>
      <c r="AB303" s="270">
        <f t="shared" si="100"/>
        <v>0</v>
      </c>
      <c r="AC303" s="270">
        <f t="shared" si="100"/>
        <v>0</v>
      </c>
      <c r="AD303" s="270">
        <f t="shared" si="100"/>
        <v>3</v>
      </c>
      <c r="AE303" s="270">
        <f t="shared" si="100"/>
        <v>0</v>
      </c>
      <c r="AF303" s="189">
        <f t="shared" si="99"/>
        <v>25</v>
      </c>
    </row>
    <row r="304">
      <c r="A304" s="26"/>
      <c r="B304" s="166"/>
      <c r="C304" s="166"/>
      <c r="D304" s="166"/>
      <c r="E304" s="166"/>
      <c r="F304" s="166"/>
      <c r="G304" s="166"/>
      <c r="H304" s="16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89"/>
    </row>
    <row r="305">
      <c r="A305" s="268" t="s">
        <v>337</v>
      </c>
      <c r="B305" s="249"/>
      <c r="C305" s="249"/>
      <c r="D305" s="250"/>
      <c r="E305" s="249"/>
      <c r="F305" s="249"/>
      <c r="G305" s="249"/>
      <c r="H305" s="249"/>
      <c r="I305" s="249"/>
      <c r="J305" s="249"/>
      <c r="K305" s="249"/>
      <c r="L305" s="249"/>
      <c r="M305" s="249"/>
      <c r="N305" s="249"/>
      <c r="O305" s="249"/>
      <c r="P305" s="250"/>
      <c r="Q305" s="249"/>
      <c r="R305" s="249"/>
      <c r="S305" s="249"/>
      <c r="T305" s="250"/>
      <c r="U305" s="249"/>
      <c r="V305" s="249"/>
      <c r="W305" s="249"/>
      <c r="X305" s="249"/>
      <c r="Y305" s="249"/>
      <c r="Z305" s="249"/>
      <c r="AA305" s="249"/>
      <c r="AB305" s="249"/>
      <c r="AC305" s="249"/>
      <c r="AD305" s="249"/>
      <c r="AE305" s="249"/>
      <c r="AF305" s="189">
        <f t="shared" ref="AF305:AF310" si="101">SUM(B305:AE305)</f>
        <v>0</v>
      </c>
    </row>
    <row r="306">
      <c r="A306" s="268" t="s">
        <v>338</v>
      </c>
      <c r="B306" s="250"/>
      <c r="C306" s="273"/>
      <c r="D306" s="250"/>
      <c r="E306" s="274"/>
      <c r="F306" s="250"/>
      <c r="G306" s="274"/>
      <c r="H306" s="250"/>
      <c r="I306" s="250"/>
      <c r="J306" s="274"/>
      <c r="K306" s="274"/>
      <c r="L306" s="273"/>
      <c r="M306" s="273"/>
      <c r="N306" s="273"/>
      <c r="O306" s="249"/>
      <c r="P306" s="250"/>
      <c r="Q306" s="249"/>
      <c r="R306" s="249"/>
      <c r="S306" s="250"/>
      <c r="T306" s="249"/>
      <c r="U306" s="249"/>
      <c r="V306" s="249"/>
      <c r="W306" s="249"/>
      <c r="X306" s="249"/>
      <c r="Y306" s="249"/>
      <c r="Z306" s="249"/>
      <c r="AA306" s="249"/>
      <c r="AB306" s="249"/>
      <c r="AC306" s="249"/>
      <c r="AD306" s="249"/>
      <c r="AE306" s="249"/>
      <c r="AF306" s="189">
        <f t="shared" si="101"/>
        <v>0</v>
      </c>
    </row>
    <row r="307">
      <c r="A307" s="268" t="s">
        <v>339</v>
      </c>
      <c r="B307" s="273"/>
      <c r="C307" s="273"/>
      <c r="D307" s="274"/>
      <c r="E307" s="274"/>
      <c r="F307" s="273"/>
      <c r="G307" s="273"/>
      <c r="H307" s="273"/>
      <c r="I307" s="273"/>
      <c r="J307" s="274"/>
      <c r="K307" s="273"/>
      <c r="L307" s="274"/>
      <c r="M307" s="274"/>
      <c r="N307" s="274"/>
      <c r="O307" s="249"/>
      <c r="P307" s="249"/>
      <c r="Q307" s="249"/>
      <c r="R307" s="249"/>
      <c r="S307" s="249"/>
      <c r="T307" s="249"/>
      <c r="U307" s="249"/>
      <c r="V307" s="249"/>
      <c r="W307" s="249"/>
      <c r="X307" s="249"/>
      <c r="Y307" s="249"/>
      <c r="Z307" s="249"/>
      <c r="AA307" s="249"/>
      <c r="AB307" s="249"/>
      <c r="AC307" s="249"/>
      <c r="AD307" s="249"/>
      <c r="AE307" s="249"/>
      <c r="AF307" s="189">
        <f t="shared" si="101"/>
        <v>0</v>
      </c>
    </row>
    <row r="308">
      <c r="A308" s="268" t="s">
        <v>340</v>
      </c>
      <c r="B308" s="273"/>
      <c r="C308" s="273"/>
      <c r="D308" s="273"/>
      <c r="E308" s="273"/>
      <c r="F308" s="273"/>
      <c r="G308" s="273"/>
      <c r="H308" s="273"/>
      <c r="I308" s="273"/>
      <c r="J308" s="273"/>
      <c r="K308" s="273"/>
      <c r="L308" s="273"/>
      <c r="M308" s="273"/>
      <c r="N308" s="273"/>
      <c r="O308" s="249"/>
      <c r="P308" s="249"/>
      <c r="Q308" s="249"/>
      <c r="R308" s="249"/>
      <c r="S308" s="249"/>
      <c r="T308" s="249"/>
      <c r="U308" s="249"/>
      <c r="V308" s="249"/>
      <c r="W308" s="249"/>
      <c r="X308" s="249"/>
      <c r="Y308" s="249"/>
      <c r="Z308" s="249"/>
      <c r="AA308" s="249"/>
      <c r="AB308" s="249"/>
      <c r="AC308" s="249"/>
      <c r="AD308" s="249"/>
      <c r="AE308" s="249"/>
      <c r="AF308" s="189">
        <f t="shared" si="101"/>
        <v>0</v>
      </c>
    </row>
    <row r="309">
      <c r="A309" s="268" t="s">
        <v>341</v>
      </c>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c r="AA309" s="249"/>
      <c r="AB309" s="249"/>
      <c r="AC309" s="249"/>
      <c r="AD309" s="249"/>
      <c r="AE309" s="249"/>
      <c r="AF309" s="189">
        <f t="shared" si="101"/>
        <v>0</v>
      </c>
    </row>
    <row r="310">
      <c r="A310" s="271" t="s">
        <v>342</v>
      </c>
      <c r="B310" s="270">
        <f t="shared" ref="B310:AE310" si="102">SUM(B305:B309)</f>
        <v>0</v>
      </c>
      <c r="C310" s="270">
        <f t="shared" si="102"/>
        <v>0</v>
      </c>
      <c r="D310" s="270">
        <f t="shared" si="102"/>
        <v>0</v>
      </c>
      <c r="E310" s="270">
        <f t="shared" si="102"/>
        <v>0</v>
      </c>
      <c r="F310" s="270">
        <f t="shared" si="102"/>
        <v>0</v>
      </c>
      <c r="G310" s="270">
        <f t="shared" si="102"/>
        <v>0</v>
      </c>
      <c r="H310" s="270">
        <f t="shared" si="102"/>
        <v>0</v>
      </c>
      <c r="I310" s="270">
        <f t="shared" si="102"/>
        <v>0</v>
      </c>
      <c r="J310" s="270">
        <f t="shared" si="102"/>
        <v>0</v>
      </c>
      <c r="K310" s="270">
        <f t="shared" si="102"/>
        <v>0</v>
      </c>
      <c r="L310" s="270">
        <f t="shared" si="102"/>
        <v>0</v>
      </c>
      <c r="M310" s="270">
        <f t="shared" si="102"/>
        <v>0</v>
      </c>
      <c r="N310" s="270">
        <f t="shared" si="102"/>
        <v>0</v>
      </c>
      <c r="O310" s="270">
        <f t="shared" si="102"/>
        <v>0</v>
      </c>
      <c r="P310" s="270">
        <f t="shared" si="102"/>
        <v>0</v>
      </c>
      <c r="Q310" s="270">
        <f t="shared" si="102"/>
        <v>0</v>
      </c>
      <c r="R310" s="270">
        <f t="shared" si="102"/>
        <v>0</v>
      </c>
      <c r="S310" s="270">
        <f t="shared" si="102"/>
        <v>0</v>
      </c>
      <c r="T310" s="270">
        <f t="shared" si="102"/>
        <v>0</v>
      </c>
      <c r="U310" s="270">
        <f t="shared" si="102"/>
        <v>0</v>
      </c>
      <c r="V310" s="270">
        <f t="shared" si="102"/>
        <v>0</v>
      </c>
      <c r="W310" s="270">
        <f t="shared" si="102"/>
        <v>0</v>
      </c>
      <c r="X310" s="270">
        <f t="shared" si="102"/>
        <v>0</v>
      </c>
      <c r="Y310" s="270">
        <f t="shared" si="102"/>
        <v>0</v>
      </c>
      <c r="Z310" s="270">
        <f t="shared" si="102"/>
        <v>0</v>
      </c>
      <c r="AA310" s="270">
        <f t="shared" si="102"/>
        <v>0</v>
      </c>
      <c r="AB310" s="270">
        <f t="shared" si="102"/>
        <v>0</v>
      </c>
      <c r="AC310" s="270">
        <f t="shared" si="102"/>
        <v>0</v>
      </c>
      <c r="AD310" s="270">
        <f t="shared" si="102"/>
        <v>0</v>
      </c>
      <c r="AE310" s="270">
        <f t="shared" si="102"/>
        <v>0</v>
      </c>
      <c r="AF310" s="189">
        <f t="shared" si="101"/>
        <v>0</v>
      </c>
    </row>
    <row r="311">
      <c r="A311" s="224"/>
      <c r="B311" s="275"/>
      <c r="AF311" s="189"/>
    </row>
    <row r="312">
      <c r="A312" s="268" t="s">
        <v>345</v>
      </c>
      <c r="B312" s="249"/>
      <c r="C312" s="249"/>
      <c r="D312" s="249"/>
      <c r="E312" s="249"/>
      <c r="F312" s="249"/>
      <c r="G312" s="274"/>
      <c r="H312" s="273"/>
      <c r="I312" s="274"/>
      <c r="J312" s="273"/>
      <c r="K312" s="273"/>
      <c r="L312" s="273"/>
      <c r="M312" s="273"/>
      <c r="N312" s="274"/>
      <c r="O312" s="249"/>
      <c r="P312" s="249"/>
      <c r="Q312" s="249"/>
      <c r="R312" s="249"/>
      <c r="S312" s="249"/>
      <c r="T312" s="249"/>
      <c r="U312" s="249"/>
      <c r="V312" s="249"/>
      <c r="W312" s="249"/>
      <c r="X312" s="249"/>
      <c r="Y312" s="249"/>
      <c r="Z312" s="249"/>
      <c r="AA312" s="249"/>
      <c r="AB312" s="249"/>
      <c r="AC312" s="249"/>
      <c r="AD312" s="249"/>
      <c r="AE312" s="249"/>
      <c r="AF312" s="189">
        <f t="shared" ref="AF312:AF314" si="103">SUM(B312:AE312)</f>
        <v>0</v>
      </c>
    </row>
    <row r="313">
      <c r="A313" s="268" t="s">
        <v>346</v>
      </c>
      <c r="B313" s="249"/>
      <c r="C313" s="249"/>
      <c r="D313" s="249"/>
      <c r="E313" s="249"/>
      <c r="F313" s="249"/>
      <c r="G313" s="273"/>
      <c r="H313" s="273"/>
      <c r="I313" s="273"/>
      <c r="J313" s="273"/>
      <c r="K313" s="273"/>
      <c r="L313" s="273"/>
      <c r="M313" s="273"/>
      <c r="N313" s="273"/>
      <c r="O313" s="249"/>
      <c r="P313" s="249"/>
      <c r="Q313" s="249"/>
      <c r="R313" s="249"/>
      <c r="S313" s="249"/>
      <c r="T313" s="249"/>
      <c r="U313" s="249"/>
      <c r="V313" s="249"/>
      <c r="W313" s="249"/>
      <c r="X313" s="249"/>
      <c r="Y313" s="249"/>
      <c r="Z313" s="249"/>
      <c r="AA313" s="249"/>
      <c r="AB313" s="249"/>
      <c r="AC313" s="249"/>
      <c r="AD313" s="249"/>
      <c r="AE313" s="249"/>
      <c r="AF313" s="189">
        <f t="shared" si="103"/>
        <v>0</v>
      </c>
    </row>
    <row r="314">
      <c r="A314" s="271" t="s">
        <v>123</v>
      </c>
      <c r="B314" s="276">
        <f t="shared" ref="B314:AE314" si="104">SUM(B312:B313)</f>
        <v>0</v>
      </c>
      <c r="C314" s="270">
        <f t="shared" si="104"/>
        <v>0</v>
      </c>
      <c r="D314" s="270">
        <f t="shared" si="104"/>
        <v>0</v>
      </c>
      <c r="E314" s="270">
        <f t="shared" si="104"/>
        <v>0</v>
      </c>
      <c r="F314" s="270">
        <f t="shared" si="104"/>
        <v>0</v>
      </c>
      <c r="G314" s="270">
        <f t="shared" si="104"/>
        <v>0</v>
      </c>
      <c r="H314" s="270">
        <f t="shared" si="104"/>
        <v>0</v>
      </c>
      <c r="I314" s="270">
        <f t="shared" si="104"/>
        <v>0</v>
      </c>
      <c r="J314" s="270">
        <f t="shared" si="104"/>
        <v>0</v>
      </c>
      <c r="K314" s="270">
        <f t="shared" si="104"/>
        <v>0</v>
      </c>
      <c r="L314" s="270">
        <f t="shared" si="104"/>
        <v>0</v>
      </c>
      <c r="M314" s="270">
        <f t="shared" si="104"/>
        <v>0</v>
      </c>
      <c r="N314" s="270">
        <f t="shared" si="104"/>
        <v>0</v>
      </c>
      <c r="O314" s="270">
        <f t="shared" si="104"/>
        <v>0</v>
      </c>
      <c r="P314" s="270">
        <f t="shared" si="104"/>
        <v>0</v>
      </c>
      <c r="Q314" s="270">
        <f t="shared" si="104"/>
        <v>0</v>
      </c>
      <c r="R314" s="270">
        <f t="shared" si="104"/>
        <v>0</v>
      </c>
      <c r="S314" s="270">
        <f t="shared" si="104"/>
        <v>0</v>
      </c>
      <c r="T314" s="270">
        <f t="shared" si="104"/>
        <v>0</v>
      </c>
      <c r="U314" s="270">
        <f t="shared" si="104"/>
        <v>0</v>
      </c>
      <c r="V314" s="270">
        <f t="shared" si="104"/>
        <v>0</v>
      </c>
      <c r="W314" s="270">
        <f t="shared" si="104"/>
        <v>0</v>
      </c>
      <c r="X314" s="270">
        <f t="shared" si="104"/>
        <v>0</v>
      </c>
      <c r="Y314" s="270">
        <f t="shared" si="104"/>
        <v>0</v>
      </c>
      <c r="Z314" s="270">
        <f t="shared" si="104"/>
        <v>0</v>
      </c>
      <c r="AA314" s="270">
        <f t="shared" si="104"/>
        <v>0</v>
      </c>
      <c r="AB314" s="270">
        <f t="shared" si="104"/>
        <v>0</v>
      </c>
      <c r="AC314" s="270">
        <f t="shared" si="104"/>
        <v>0</v>
      </c>
      <c r="AD314" s="270">
        <f t="shared" si="104"/>
        <v>0</v>
      </c>
      <c r="AE314" s="270">
        <f t="shared" si="104"/>
        <v>0</v>
      </c>
      <c r="AF314" s="189">
        <f t="shared" si="103"/>
        <v>0</v>
      </c>
    </row>
    <row r="315">
      <c r="A315" s="224"/>
      <c r="B315" s="275"/>
      <c r="AF315" s="234"/>
    </row>
    <row r="316">
      <c r="A316" s="268" t="s">
        <v>311</v>
      </c>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c r="AA316" s="250"/>
      <c r="AB316" s="250"/>
      <c r="AC316" s="250"/>
      <c r="AD316" s="250"/>
      <c r="AE316" s="250"/>
      <c r="AF316" s="189">
        <f t="shared" ref="AF316:AF318" si="105">SUM(B316:AE316)</f>
        <v>0</v>
      </c>
    </row>
    <row r="317">
      <c r="A317" s="268" t="s">
        <v>312</v>
      </c>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c r="AA317" s="250"/>
      <c r="AB317" s="250"/>
      <c r="AC317" s="250"/>
      <c r="AD317" s="250"/>
      <c r="AE317" s="250"/>
      <c r="AF317" s="189">
        <f t="shared" si="105"/>
        <v>0</v>
      </c>
    </row>
    <row r="318">
      <c r="A318" s="271" t="s">
        <v>123</v>
      </c>
      <c r="B318" s="270">
        <f t="shared" ref="B318:AE318" si="106">SUM(B316:B317)</f>
        <v>0</v>
      </c>
      <c r="C318" s="270">
        <f t="shared" si="106"/>
        <v>0</v>
      </c>
      <c r="D318" s="270">
        <f t="shared" si="106"/>
        <v>0</v>
      </c>
      <c r="E318" s="270">
        <f t="shared" si="106"/>
        <v>0</v>
      </c>
      <c r="F318" s="270">
        <f t="shared" si="106"/>
        <v>0</v>
      </c>
      <c r="G318" s="270">
        <f t="shared" si="106"/>
        <v>0</v>
      </c>
      <c r="H318" s="270">
        <f t="shared" si="106"/>
        <v>0</v>
      </c>
      <c r="I318" s="270">
        <f t="shared" si="106"/>
        <v>0</v>
      </c>
      <c r="J318" s="270">
        <f t="shared" si="106"/>
        <v>0</v>
      </c>
      <c r="K318" s="270">
        <f t="shared" si="106"/>
        <v>0</v>
      </c>
      <c r="L318" s="270">
        <f t="shared" si="106"/>
        <v>0</v>
      </c>
      <c r="M318" s="270">
        <f t="shared" si="106"/>
        <v>0</v>
      </c>
      <c r="N318" s="270">
        <f t="shared" si="106"/>
        <v>0</v>
      </c>
      <c r="O318" s="270">
        <f t="shared" si="106"/>
        <v>0</v>
      </c>
      <c r="P318" s="270">
        <f t="shared" si="106"/>
        <v>0</v>
      </c>
      <c r="Q318" s="270">
        <f t="shared" si="106"/>
        <v>0</v>
      </c>
      <c r="R318" s="270">
        <f t="shared" si="106"/>
        <v>0</v>
      </c>
      <c r="S318" s="270">
        <f t="shared" si="106"/>
        <v>0</v>
      </c>
      <c r="T318" s="270">
        <f t="shared" si="106"/>
        <v>0</v>
      </c>
      <c r="U318" s="270">
        <f t="shared" si="106"/>
        <v>0</v>
      </c>
      <c r="V318" s="270">
        <f t="shared" si="106"/>
        <v>0</v>
      </c>
      <c r="W318" s="270">
        <f t="shared" si="106"/>
        <v>0</v>
      </c>
      <c r="X318" s="270">
        <f t="shared" si="106"/>
        <v>0</v>
      </c>
      <c r="Y318" s="270">
        <f t="shared" si="106"/>
        <v>0</v>
      </c>
      <c r="Z318" s="270">
        <f t="shared" si="106"/>
        <v>0</v>
      </c>
      <c r="AA318" s="270">
        <f t="shared" si="106"/>
        <v>0</v>
      </c>
      <c r="AB318" s="270">
        <f t="shared" si="106"/>
        <v>0</v>
      </c>
      <c r="AC318" s="270">
        <f t="shared" si="106"/>
        <v>0</v>
      </c>
      <c r="AD318" s="270">
        <f t="shared" si="106"/>
        <v>0</v>
      </c>
      <c r="AE318" s="270">
        <f t="shared" si="106"/>
        <v>0</v>
      </c>
      <c r="AF318" s="189">
        <f t="shared" si="105"/>
        <v>0</v>
      </c>
    </row>
    <row r="319">
      <c r="A319" s="224"/>
      <c r="AF319" s="234"/>
    </row>
    <row r="320">
      <c r="A320" s="268" t="s">
        <v>347</v>
      </c>
      <c r="B320" s="239">
        <v>0.0</v>
      </c>
      <c r="C320" s="239">
        <v>0.0</v>
      </c>
      <c r="D320" s="238">
        <v>0.0</v>
      </c>
      <c r="E320" s="239">
        <v>0.0</v>
      </c>
      <c r="F320" s="239">
        <v>0.0</v>
      </c>
      <c r="G320" s="239">
        <v>1.0</v>
      </c>
      <c r="H320" s="239">
        <v>0.0</v>
      </c>
      <c r="I320" s="239">
        <v>1.0</v>
      </c>
      <c r="J320" s="239">
        <v>0.0</v>
      </c>
      <c r="K320" s="239">
        <v>0.0</v>
      </c>
      <c r="L320" s="239">
        <v>0.0</v>
      </c>
      <c r="M320" s="239">
        <v>0.0</v>
      </c>
      <c r="N320" s="239">
        <v>0.0</v>
      </c>
      <c r="O320" s="239">
        <v>0.0</v>
      </c>
      <c r="P320" s="239">
        <v>0.0</v>
      </c>
      <c r="Q320" s="239">
        <v>0.0</v>
      </c>
      <c r="R320" s="239">
        <v>0.0</v>
      </c>
      <c r="S320" s="239">
        <v>0.0</v>
      </c>
      <c r="T320" s="238">
        <v>0.0</v>
      </c>
      <c r="U320" s="238">
        <v>0.0</v>
      </c>
      <c r="V320" s="239">
        <v>0.0</v>
      </c>
      <c r="W320" s="238">
        <v>0.0</v>
      </c>
      <c r="X320" s="238">
        <v>0.0</v>
      </c>
      <c r="Y320" s="239">
        <v>0.0</v>
      </c>
      <c r="Z320" s="239">
        <v>0.0</v>
      </c>
      <c r="AA320" s="239">
        <v>0.0</v>
      </c>
      <c r="AB320" s="239">
        <v>0.0</v>
      </c>
      <c r="AC320" s="239">
        <v>0.0</v>
      </c>
      <c r="AD320" s="239">
        <v>0.0</v>
      </c>
      <c r="AE320" s="239">
        <v>0.0</v>
      </c>
      <c r="AF320" s="189"/>
    </row>
    <row r="321">
      <c r="A321" s="271" t="s">
        <v>348</v>
      </c>
      <c r="B321" s="270">
        <f t="shared" ref="B321:AE321" si="107">B320</f>
        <v>0</v>
      </c>
      <c r="C321" s="270">
        <f t="shared" si="107"/>
        <v>0</v>
      </c>
      <c r="D321" s="270">
        <f t="shared" si="107"/>
        <v>0</v>
      </c>
      <c r="E321" s="270">
        <f t="shared" si="107"/>
        <v>0</v>
      </c>
      <c r="F321" s="270">
        <f t="shared" si="107"/>
        <v>0</v>
      </c>
      <c r="G321" s="270">
        <f t="shared" si="107"/>
        <v>1</v>
      </c>
      <c r="H321" s="270">
        <f t="shared" si="107"/>
        <v>0</v>
      </c>
      <c r="I321" s="270">
        <f t="shared" si="107"/>
        <v>1</v>
      </c>
      <c r="J321" s="270">
        <f t="shared" si="107"/>
        <v>0</v>
      </c>
      <c r="K321" s="270">
        <f t="shared" si="107"/>
        <v>0</v>
      </c>
      <c r="L321" s="270">
        <f t="shared" si="107"/>
        <v>0</v>
      </c>
      <c r="M321" s="270">
        <f t="shared" si="107"/>
        <v>0</v>
      </c>
      <c r="N321" s="270">
        <f t="shared" si="107"/>
        <v>0</v>
      </c>
      <c r="O321" s="270">
        <f t="shared" si="107"/>
        <v>0</v>
      </c>
      <c r="P321" s="270">
        <f t="shared" si="107"/>
        <v>0</v>
      </c>
      <c r="Q321" s="270">
        <f t="shared" si="107"/>
        <v>0</v>
      </c>
      <c r="R321" s="270">
        <f t="shared" si="107"/>
        <v>0</v>
      </c>
      <c r="S321" s="270">
        <f t="shared" si="107"/>
        <v>0</v>
      </c>
      <c r="T321" s="270">
        <f t="shared" si="107"/>
        <v>0</v>
      </c>
      <c r="U321" s="270">
        <f t="shared" si="107"/>
        <v>0</v>
      </c>
      <c r="V321" s="270">
        <f t="shared" si="107"/>
        <v>0</v>
      </c>
      <c r="W321" s="270">
        <f t="shared" si="107"/>
        <v>0</v>
      </c>
      <c r="X321" s="270">
        <f t="shared" si="107"/>
        <v>0</v>
      </c>
      <c r="Y321" s="270">
        <f t="shared" si="107"/>
        <v>0</v>
      </c>
      <c r="Z321" s="270">
        <f t="shared" si="107"/>
        <v>0</v>
      </c>
      <c r="AA321" s="270">
        <f t="shared" si="107"/>
        <v>0</v>
      </c>
      <c r="AB321" s="270">
        <f t="shared" si="107"/>
        <v>0</v>
      </c>
      <c r="AC321" s="270">
        <f t="shared" si="107"/>
        <v>0</v>
      </c>
      <c r="AD321" s="270">
        <f t="shared" si="107"/>
        <v>0</v>
      </c>
      <c r="AE321" s="270">
        <f t="shared" si="107"/>
        <v>0</v>
      </c>
      <c r="AF321" s="189">
        <f>SUM(B321:AE321)</f>
        <v>2</v>
      </c>
    </row>
    <row r="322">
      <c r="A322" s="224"/>
      <c r="AF322" s="234"/>
    </row>
    <row r="323">
      <c r="A323" s="169" t="s">
        <v>351</v>
      </c>
      <c r="AF323" s="234"/>
    </row>
    <row r="324">
      <c r="A324" s="268" t="s">
        <v>318</v>
      </c>
      <c r="B324" s="239">
        <v>1.0</v>
      </c>
      <c r="C324" s="239">
        <v>1.0</v>
      </c>
      <c r="D324" s="238">
        <v>0.0</v>
      </c>
      <c r="E324" s="239">
        <v>3.0</v>
      </c>
      <c r="F324" s="239">
        <v>0.0</v>
      </c>
      <c r="G324" s="239">
        <v>0.0</v>
      </c>
      <c r="H324" s="239">
        <v>0.0</v>
      </c>
      <c r="I324" s="239">
        <v>0.0</v>
      </c>
      <c r="J324" s="239">
        <v>0.0</v>
      </c>
      <c r="K324" s="239">
        <v>1.0</v>
      </c>
      <c r="L324" s="239">
        <v>1.0</v>
      </c>
      <c r="M324" s="239">
        <v>0.0</v>
      </c>
      <c r="N324" s="239">
        <v>2.0</v>
      </c>
      <c r="O324" s="239">
        <v>2.0</v>
      </c>
      <c r="P324" s="239">
        <v>5.0</v>
      </c>
      <c r="Q324" s="239">
        <v>1.0</v>
      </c>
      <c r="R324" s="239">
        <v>0.0</v>
      </c>
      <c r="S324" s="239">
        <v>0.0</v>
      </c>
      <c r="T324" s="239">
        <v>0.0</v>
      </c>
      <c r="U324" s="239">
        <v>3.0</v>
      </c>
      <c r="V324" s="239">
        <v>0.0</v>
      </c>
      <c r="W324" s="238">
        <v>2.0</v>
      </c>
      <c r="X324" s="238">
        <v>5.0</v>
      </c>
      <c r="Y324" s="239">
        <v>6.0</v>
      </c>
      <c r="Z324" s="239">
        <v>19.0</v>
      </c>
      <c r="AA324" s="239">
        <v>0.0</v>
      </c>
      <c r="AB324" s="239">
        <v>0.0</v>
      </c>
      <c r="AC324" s="239">
        <v>0.0</v>
      </c>
      <c r="AD324" s="239">
        <v>0.0</v>
      </c>
      <c r="AE324" s="239">
        <v>0.0</v>
      </c>
      <c r="AF324" s="189">
        <f t="shared" ref="AF324:AF331" si="108">SUM(B324:AE324)</f>
        <v>52</v>
      </c>
    </row>
    <row r="325">
      <c r="A325" s="268" t="s">
        <v>319</v>
      </c>
      <c r="B325" s="239">
        <v>0.0</v>
      </c>
      <c r="C325" s="239">
        <v>0.0</v>
      </c>
      <c r="D325" s="238">
        <v>0.0</v>
      </c>
      <c r="E325" s="239">
        <v>0.0</v>
      </c>
      <c r="F325" s="239">
        <v>0.0</v>
      </c>
      <c r="G325" s="239">
        <v>0.0</v>
      </c>
      <c r="H325" s="239">
        <v>0.0</v>
      </c>
      <c r="I325" s="239">
        <v>1.0</v>
      </c>
      <c r="J325" s="239">
        <v>0.0</v>
      </c>
      <c r="K325" s="239">
        <v>0.0</v>
      </c>
      <c r="L325" s="239">
        <v>0.0</v>
      </c>
      <c r="M325" s="239">
        <v>0.0</v>
      </c>
      <c r="N325" s="239">
        <v>0.0</v>
      </c>
      <c r="O325" s="239">
        <v>1.0</v>
      </c>
      <c r="P325" s="239">
        <v>1.0</v>
      </c>
      <c r="Q325" s="239">
        <v>0.0</v>
      </c>
      <c r="R325" s="239">
        <v>0.0</v>
      </c>
      <c r="S325" s="239">
        <v>0.0</v>
      </c>
      <c r="T325" s="239">
        <v>0.0</v>
      </c>
      <c r="U325" s="239">
        <v>0.0</v>
      </c>
      <c r="V325" s="239">
        <v>0.0</v>
      </c>
      <c r="W325" s="239">
        <v>0.0</v>
      </c>
      <c r="X325" s="239">
        <v>0.0</v>
      </c>
      <c r="Y325" s="239">
        <v>0.0</v>
      </c>
      <c r="Z325" s="239">
        <v>1.0</v>
      </c>
      <c r="AA325" s="239">
        <v>0.0</v>
      </c>
      <c r="AB325" s="239">
        <v>0.0</v>
      </c>
      <c r="AC325" s="239">
        <v>0.0</v>
      </c>
      <c r="AD325" s="239">
        <v>1.0</v>
      </c>
      <c r="AE325" s="239">
        <v>0.0</v>
      </c>
      <c r="AF325" s="189">
        <f t="shared" si="108"/>
        <v>5</v>
      </c>
    </row>
    <row r="326">
      <c r="A326" s="268" t="s">
        <v>320</v>
      </c>
      <c r="B326" s="239">
        <v>0.0</v>
      </c>
      <c r="C326" s="239">
        <v>0.0</v>
      </c>
      <c r="D326" s="238">
        <v>0.0</v>
      </c>
      <c r="E326" s="239">
        <v>0.0</v>
      </c>
      <c r="F326" s="239">
        <v>0.0</v>
      </c>
      <c r="G326" s="239">
        <v>0.0</v>
      </c>
      <c r="H326" s="239">
        <v>0.0</v>
      </c>
      <c r="I326" s="239">
        <v>0.0</v>
      </c>
      <c r="J326" s="239">
        <v>0.0</v>
      </c>
      <c r="K326" s="239">
        <v>0.0</v>
      </c>
      <c r="L326" s="239">
        <v>0.0</v>
      </c>
      <c r="M326" s="239">
        <v>0.0</v>
      </c>
      <c r="N326" s="239">
        <v>0.0</v>
      </c>
      <c r="O326" s="239">
        <v>0.0</v>
      </c>
      <c r="P326" s="239">
        <v>0.0</v>
      </c>
      <c r="Q326" s="239">
        <v>0.0</v>
      </c>
      <c r="R326" s="239">
        <v>0.0</v>
      </c>
      <c r="S326" s="239">
        <v>0.0</v>
      </c>
      <c r="T326" s="239">
        <v>0.0</v>
      </c>
      <c r="U326" s="239">
        <v>0.0</v>
      </c>
      <c r="V326" s="239">
        <v>0.0</v>
      </c>
      <c r="W326" s="239">
        <v>0.0</v>
      </c>
      <c r="X326" s="239">
        <v>0.0</v>
      </c>
      <c r="Y326" s="239">
        <v>0.0</v>
      </c>
      <c r="Z326" s="239">
        <v>0.0</v>
      </c>
      <c r="AA326" s="239">
        <v>0.0</v>
      </c>
      <c r="AB326" s="239">
        <v>0.0</v>
      </c>
      <c r="AC326" s="239">
        <v>0.0</v>
      </c>
      <c r="AD326" s="239">
        <v>0.0</v>
      </c>
      <c r="AE326" s="239">
        <v>0.0</v>
      </c>
      <c r="AF326" s="189">
        <f t="shared" si="108"/>
        <v>0</v>
      </c>
    </row>
    <row r="327">
      <c r="A327" s="268" t="s">
        <v>321</v>
      </c>
      <c r="B327" s="239">
        <v>0.0</v>
      </c>
      <c r="C327" s="239">
        <v>0.0</v>
      </c>
      <c r="D327" s="238">
        <v>0.0</v>
      </c>
      <c r="E327" s="239">
        <v>0.0</v>
      </c>
      <c r="F327" s="239">
        <v>0.0</v>
      </c>
      <c r="G327" s="239">
        <v>0.0</v>
      </c>
      <c r="H327" s="239">
        <v>0.0</v>
      </c>
      <c r="I327" s="239">
        <v>0.0</v>
      </c>
      <c r="J327" s="239">
        <v>0.0</v>
      </c>
      <c r="K327" s="239">
        <v>0.0</v>
      </c>
      <c r="L327" s="239">
        <v>0.0</v>
      </c>
      <c r="M327" s="239">
        <v>0.0</v>
      </c>
      <c r="N327" s="239">
        <v>0.0</v>
      </c>
      <c r="O327" s="239">
        <v>0.0</v>
      </c>
      <c r="P327" s="239">
        <v>0.0</v>
      </c>
      <c r="Q327" s="239">
        <v>0.0</v>
      </c>
      <c r="R327" s="239">
        <v>0.0</v>
      </c>
      <c r="S327" s="239">
        <v>0.0</v>
      </c>
      <c r="T327" s="239">
        <v>0.0</v>
      </c>
      <c r="U327" s="239">
        <v>0.0</v>
      </c>
      <c r="V327" s="239">
        <v>0.0</v>
      </c>
      <c r="W327" s="239">
        <v>0.0</v>
      </c>
      <c r="X327" s="239">
        <v>0.0</v>
      </c>
      <c r="Y327" s="239">
        <v>0.0</v>
      </c>
      <c r="Z327" s="239">
        <v>0.0</v>
      </c>
      <c r="AA327" s="239">
        <v>0.0</v>
      </c>
      <c r="AB327" s="239">
        <v>0.0</v>
      </c>
      <c r="AC327" s="239">
        <v>0.0</v>
      </c>
      <c r="AD327" s="239">
        <v>0.0</v>
      </c>
      <c r="AE327" s="239">
        <v>0.0</v>
      </c>
      <c r="AF327" s="189">
        <f t="shared" si="108"/>
        <v>0</v>
      </c>
    </row>
    <row r="328">
      <c r="A328" s="268" t="s">
        <v>322</v>
      </c>
      <c r="B328" s="239">
        <v>0.0</v>
      </c>
      <c r="C328" s="239">
        <v>0.0</v>
      </c>
      <c r="D328" s="238">
        <v>0.0</v>
      </c>
      <c r="E328" s="239">
        <v>0.0</v>
      </c>
      <c r="F328" s="239">
        <v>0.0</v>
      </c>
      <c r="G328" s="239">
        <v>0.0</v>
      </c>
      <c r="H328" s="239">
        <v>0.0</v>
      </c>
      <c r="I328" s="239">
        <v>0.0</v>
      </c>
      <c r="J328" s="239">
        <v>0.0</v>
      </c>
      <c r="K328" s="239">
        <v>0.0</v>
      </c>
      <c r="L328" s="239">
        <v>0.0</v>
      </c>
      <c r="M328" s="239">
        <v>0.0</v>
      </c>
      <c r="N328" s="239">
        <v>0.0</v>
      </c>
      <c r="O328" s="239">
        <v>0.0</v>
      </c>
      <c r="P328" s="239">
        <v>0.0</v>
      </c>
      <c r="Q328" s="239">
        <v>0.0</v>
      </c>
      <c r="R328" s="239">
        <v>0.0</v>
      </c>
      <c r="S328" s="239">
        <v>0.0</v>
      </c>
      <c r="T328" s="239">
        <v>0.0</v>
      </c>
      <c r="U328" s="239">
        <v>0.0</v>
      </c>
      <c r="V328" s="239">
        <v>0.0</v>
      </c>
      <c r="W328" s="239">
        <v>0.0</v>
      </c>
      <c r="X328" s="239">
        <v>0.0</v>
      </c>
      <c r="Y328" s="239">
        <v>0.0</v>
      </c>
      <c r="Z328" s="239">
        <v>0.0</v>
      </c>
      <c r="AA328" s="239">
        <v>0.0</v>
      </c>
      <c r="AB328" s="239">
        <v>0.0</v>
      </c>
      <c r="AC328" s="239">
        <v>0.0</v>
      </c>
      <c r="AD328" s="239">
        <v>0.0</v>
      </c>
      <c r="AE328" s="239">
        <v>0.0</v>
      </c>
      <c r="AF328" s="189">
        <f t="shared" si="108"/>
        <v>0</v>
      </c>
    </row>
    <row r="329">
      <c r="A329" s="268" t="s">
        <v>323</v>
      </c>
      <c r="B329" s="239">
        <v>0.0</v>
      </c>
      <c r="C329" s="239">
        <v>0.0</v>
      </c>
      <c r="D329" s="238">
        <v>0.0</v>
      </c>
      <c r="E329" s="239">
        <v>0.0</v>
      </c>
      <c r="F329" s="239">
        <v>0.0</v>
      </c>
      <c r="G329" s="239">
        <v>0.0</v>
      </c>
      <c r="H329" s="239">
        <v>0.0</v>
      </c>
      <c r="I329" s="239">
        <v>0.0</v>
      </c>
      <c r="J329" s="239">
        <v>0.0</v>
      </c>
      <c r="K329" s="239">
        <v>0.0</v>
      </c>
      <c r="L329" s="239">
        <v>0.0</v>
      </c>
      <c r="M329" s="239">
        <v>0.0</v>
      </c>
      <c r="N329" s="239">
        <v>0.0</v>
      </c>
      <c r="O329" s="239">
        <v>0.0</v>
      </c>
      <c r="P329" s="239">
        <v>0.0</v>
      </c>
      <c r="Q329" s="239">
        <v>0.0</v>
      </c>
      <c r="R329" s="239">
        <v>0.0</v>
      </c>
      <c r="S329" s="239">
        <v>0.0</v>
      </c>
      <c r="T329" s="239">
        <v>0.0</v>
      </c>
      <c r="U329" s="239">
        <v>0.0</v>
      </c>
      <c r="V329" s="239">
        <v>0.0</v>
      </c>
      <c r="W329" s="239">
        <v>0.0</v>
      </c>
      <c r="X329" s="239">
        <v>0.0</v>
      </c>
      <c r="Y329" s="239">
        <v>0.0</v>
      </c>
      <c r="Z329" s="239">
        <v>0.0</v>
      </c>
      <c r="AA329" s="239">
        <v>0.0</v>
      </c>
      <c r="AB329" s="239">
        <v>0.0</v>
      </c>
      <c r="AC329" s="239">
        <v>0.0</v>
      </c>
      <c r="AD329" s="239">
        <v>0.0</v>
      </c>
      <c r="AE329" s="239">
        <v>0.0</v>
      </c>
      <c r="AF329" s="189">
        <f t="shared" si="108"/>
        <v>0</v>
      </c>
    </row>
    <row r="330">
      <c r="A330" s="269" t="s">
        <v>308</v>
      </c>
      <c r="B330" s="270">
        <f t="shared" ref="B330:V330" si="109">B324+B326+B328</f>
        <v>1</v>
      </c>
      <c r="C330" s="270">
        <f t="shared" si="109"/>
        <v>1</v>
      </c>
      <c r="D330" s="270">
        <f t="shared" si="109"/>
        <v>0</v>
      </c>
      <c r="E330" s="270">
        <f t="shared" si="109"/>
        <v>3</v>
      </c>
      <c r="F330" s="270">
        <f t="shared" si="109"/>
        <v>0</v>
      </c>
      <c r="G330" s="270">
        <f t="shared" si="109"/>
        <v>0</v>
      </c>
      <c r="H330" s="270">
        <f t="shared" si="109"/>
        <v>0</v>
      </c>
      <c r="I330" s="270">
        <f t="shared" si="109"/>
        <v>0</v>
      </c>
      <c r="J330" s="270">
        <f t="shared" si="109"/>
        <v>0</v>
      </c>
      <c r="K330" s="270">
        <f t="shared" si="109"/>
        <v>1</v>
      </c>
      <c r="L330" s="270">
        <f t="shared" si="109"/>
        <v>1</v>
      </c>
      <c r="M330" s="270">
        <f t="shared" si="109"/>
        <v>0</v>
      </c>
      <c r="N330" s="270">
        <f t="shared" si="109"/>
        <v>2</v>
      </c>
      <c r="O330" s="270">
        <f t="shared" si="109"/>
        <v>2</v>
      </c>
      <c r="P330" s="270">
        <f t="shared" si="109"/>
        <v>5</v>
      </c>
      <c r="Q330" s="270">
        <f t="shared" si="109"/>
        <v>1</v>
      </c>
      <c r="R330" s="270">
        <f t="shared" si="109"/>
        <v>0</v>
      </c>
      <c r="S330" s="270">
        <f t="shared" si="109"/>
        <v>0</v>
      </c>
      <c r="T330" s="270">
        <f t="shared" si="109"/>
        <v>0</v>
      </c>
      <c r="U330" s="270">
        <f t="shared" si="109"/>
        <v>3</v>
      </c>
      <c r="V330" s="270">
        <f t="shared" si="109"/>
        <v>0</v>
      </c>
      <c r="W330" s="270">
        <f>W324+W325+W328</f>
        <v>2</v>
      </c>
      <c r="X330" s="270">
        <f t="shared" ref="X330:AE330" si="110">X324+X326+X328</f>
        <v>5</v>
      </c>
      <c r="Y330" s="270">
        <f t="shared" si="110"/>
        <v>6</v>
      </c>
      <c r="Z330" s="270">
        <f t="shared" si="110"/>
        <v>19</v>
      </c>
      <c r="AA330" s="270">
        <f t="shared" si="110"/>
        <v>0</v>
      </c>
      <c r="AB330" s="270">
        <f t="shared" si="110"/>
        <v>0</v>
      </c>
      <c r="AC330" s="270">
        <f t="shared" si="110"/>
        <v>0</v>
      </c>
      <c r="AD330" s="270">
        <f t="shared" si="110"/>
        <v>0</v>
      </c>
      <c r="AE330" s="270">
        <f t="shared" si="110"/>
        <v>0</v>
      </c>
      <c r="AF330" s="189">
        <f t="shared" si="108"/>
        <v>52</v>
      </c>
    </row>
    <row r="331">
      <c r="A331" s="269" t="s">
        <v>324</v>
      </c>
      <c r="B331" s="270">
        <f t="shared" ref="B331:AE331" si="111">B325+B327+B329</f>
        <v>0</v>
      </c>
      <c r="C331" s="270">
        <f t="shared" si="111"/>
        <v>0</v>
      </c>
      <c r="D331" s="270">
        <f t="shared" si="111"/>
        <v>0</v>
      </c>
      <c r="E331" s="270">
        <f t="shared" si="111"/>
        <v>0</v>
      </c>
      <c r="F331" s="270">
        <f t="shared" si="111"/>
        <v>0</v>
      </c>
      <c r="G331" s="270">
        <f t="shared" si="111"/>
        <v>0</v>
      </c>
      <c r="H331" s="270">
        <f t="shared" si="111"/>
        <v>0</v>
      </c>
      <c r="I331" s="270">
        <f t="shared" si="111"/>
        <v>1</v>
      </c>
      <c r="J331" s="270">
        <f t="shared" si="111"/>
        <v>0</v>
      </c>
      <c r="K331" s="270">
        <f t="shared" si="111"/>
        <v>0</v>
      </c>
      <c r="L331" s="270">
        <f t="shared" si="111"/>
        <v>0</v>
      </c>
      <c r="M331" s="270">
        <f t="shared" si="111"/>
        <v>0</v>
      </c>
      <c r="N331" s="270">
        <f t="shared" si="111"/>
        <v>0</v>
      </c>
      <c r="O331" s="270">
        <f t="shared" si="111"/>
        <v>1</v>
      </c>
      <c r="P331" s="270">
        <f t="shared" si="111"/>
        <v>1</v>
      </c>
      <c r="Q331" s="270">
        <f t="shared" si="111"/>
        <v>0</v>
      </c>
      <c r="R331" s="270">
        <f t="shared" si="111"/>
        <v>0</v>
      </c>
      <c r="S331" s="270">
        <f t="shared" si="111"/>
        <v>0</v>
      </c>
      <c r="T331" s="270">
        <f t="shared" si="111"/>
        <v>0</v>
      </c>
      <c r="U331" s="270">
        <f t="shared" si="111"/>
        <v>0</v>
      </c>
      <c r="V331" s="270">
        <f t="shared" si="111"/>
        <v>0</v>
      </c>
      <c r="W331" s="270">
        <f t="shared" si="111"/>
        <v>0</v>
      </c>
      <c r="X331" s="270">
        <f t="shared" si="111"/>
        <v>0</v>
      </c>
      <c r="Y331" s="270">
        <f t="shared" si="111"/>
        <v>0</v>
      </c>
      <c r="Z331" s="270">
        <f t="shared" si="111"/>
        <v>1</v>
      </c>
      <c r="AA331" s="270">
        <f t="shared" si="111"/>
        <v>0</v>
      </c>
      <c r="AB331" s="270">
        <f t="shared" si="111"/>
        <v>0</v>
      </c>
      <c r="AC331" s="270">
        <f t="shared" si="111"/>
        <v>0</v>
      </c>
      <c r="AD331" s="270">
        <f t="shared" si="111"/>
        <v>1</v>
      </c>
      <c r="AE331" s="270">
        <f t="shared" si="111"/>
        <v>0</v>
      </c>
      <c r="AF331" s="189">
        <f t="shared" si="108"/>
        <v>5</v>
      </c>
    </row>
    <row r="332">
      <c r="A332" s="26"/>
      <c r="AF332" s="234"/>
    </row>
    <row r="333">
      <c r="A333" s="268" t="s">
        <v>325</v>
      </c>
      <c r="B333" s="239">
        <v>0.0</v>
      </c>
      <c r="C333" s="239">
        <v>1.0</v>
      </c>
      <c r="D333" s="239">
        <v>0.0</v>
      </c>
      <c r="E333" s="239">
        <v>1.0</v>
      </c>
      <c r="F333" s="239">
        <v>0.0</v>
      </c>
      <c r="G333" s="239">
        <v>0.0</v>
      </c>
      <c r="H333" s="239">
        <v>0.0</v>
      </c>
      <c r="I333" s="239">
        <v>0.0</v>
      </c>
      <c r="J333" s="239">
        <v>0.0</v>
      </c>
      <c r="K333" s="239">
        <v>1.0</v>
      </c>
      <c r="L333" s="239">
        <v>0.0</v>
      </c>
      <c r="M333" s="239">
        <v>0.0</v>
      </c>
      <c r="N333" s="239">
        <v>1.0</v>
      </c>
      <c r="O333" s="239">
        <v>1.0</v>
      </c>
      <c r="P333" s="239">
        <v>2.0</v>
      </c>
      <c r="Q333" s="239">
        <v>1.0</v>
      </c>
      <c r="R333" s="239">
        <v>0.0</v>
      </c>
      <c r="S333" s="239">
        <v>0.0</v>
      </c>
      <c r="T333" s="239">
        <v>0.0</v>
      </c>
      <c r="U333" s="239">
        <v>0.0</v>
      </c>
      <c r="V333" s="239">
        <v>0.0</v>
      </c>
      <c r="W333" s="239">
        <v>0.0</v>
      </c>
      <c r="X333" s="238">
        <v>3.0</v>
      </c>
      <c r="Y333" s="239">
        <v>0.0</v>
      </c>
      <c r="Z333" s="239">
        <v>8.0</v>
      </c>
      <c r="AA333" s="239">
        <v>0.0</v>
      </c>
      <c r="AB333" s="239">
        <v>0.0</v>
      </c>
      <c r="AC333" s="239">
        <v>0.0</v>
      </c>
      <c r="AD333" s="239">
        <v>0.0</v>
      </c>
      <c r="AE333" s="239">
        <v>0.0</v>
      </c>
      <c r="AF333" s="189">
        <f t="shared" ref="AF333:AF338" si="112">SUM(B333:AE333)</f>
        <v>19</v>
      </c>
    </row>
    <row r="334">
      <c r="A334" s="268" t="s">
        <v>326</v>
      </c>
      <c r="B334" s="239">
        <v>0.0</v>
      </c>
      <c r="C334" s="239">
        <v>0.0</v>
      </c>
      <c r="D334" s="239">
        <v>0.0</v>
      </c>
      <c r="E334" s="239">
        <v>0.0</v>
      </c>
      <c r="F334" s="239">
        <v>0.0</v>
      </c>
      <c r="G334" s="239">
        <v>0.0</v>
      </c>
      <c r="H334" s="239">
        <v>0.0</v>
      </c>
      <c r="I334" s="239">
        <v>0.0</v>
      </c>
      <c r="J334" s="239">
        <v>0.0</v>
      </c>
      <c r="K334" s="239">
        <v>0.0</v>
      </c>
      <c r="L334" s="239">
        <v>0.0</v>
      </c>
      <c r="M334" s="239">
        <v>0.0</v>
      </c>
      <c r="N334" s="239">
        <v>0.0</v>
      </c>
      <c r="O334" s="239">
        <v>0.0</v>
      </c>
      <c r="P334" s="239">
        <v>0.0</v>
      </c>
      <c r="Q334" s="239">
        <v>0.0</v>
      </c>
      <c r="R334" s="239">
        <v>0.0</v>
      </c>
      <c r="S334" s="239">
        <v>0.0</v>
      </c>
      <c r="T334" s="239">
        <v>0.0</v>
      </c>
      <c r="U334" s="239">
        <v>0.0</v>
      </c>
      <c r="V334" s="239">
        <v>0.0</v>
      </c>
      <c r="W334" s="239">
        <v>0.0</v>
      </c>
      <c r="X334" s="238">
        <v>0.0</v>
      </c>
      <c r="Y334" s="239">
        <v>0.0</v>
      </c>
      <c r="Z334" s="239">
        <v>2.0</v>
      </c>
      <c r="AA334" s="239">
        <v>0.0</v>
      </c>
      <c r="AB334" s="239">
        <v>0.0</v>
      </c>
      <c r="AC334" s="239">
        <v>0.0</v>
      </c>
      <c r="AD334" s="239">
        <v>0.0</v>
      </c>
      <c r="AE334" s="239">
        <v>0.0</v>
      </c>
      <c r="AF334" s="189">
        <f t="shared" si="112"/>
        <v>2</v>
      </c>
    </row>
    <row r="335">
      <c r="A335" s="268" t="s">
        <v>327</v>
      </c>
      <c r="B335" s="239">
        <v>1.0</v>
      </c>
      <c r="C335" s="239">
        <v>1.0</v>
      </c>
      <c r="D335" s="239">
        <v>0.0</v>
      </c>
      <c r="E335" s="239">
        <v>3.0</v>
      </c>
      <c r="F335" s="239">
        <v>0.0</v>
      </c>
      <c r="G335" s="239">
        <v>0.0</v>
      </c>
      <c r="H335" s="239">
        <v>0.0</v>
      </c>
      <c r="I335" s="239">
        <v>0.0</v>
      </c>
      <c r="J335" s="239">
        <v>0.0</v>
      </c>
      <c r="K335" s="239">
        <v>1.0</v>
      </c>
      <c r="L335" s="239">
        <v>1.0</v>
      </c>
      <c r="M335" s="239">
        <v>0.0</v>
      </c>
      <c r="N335" s="239">
        <v>2.0</v>
      </c>
      <c r="O335" s="239">
        <v>2.0</v>
      </c>
      <c r="P335" s="239">
        <v>5.0</v>
      </c>
      <c r="Q335" s="239">
        <v>1.0</v>
      </c>
      <c r="R335" s="239">
        <v>0.0</v>
      </c>
      <c r="S335" s="239">
        <v>0.0</v>
      </c>
      <c r="T335" s="239">
        <v>0.0</v>
      </c>
      <c r="U335" s="239">
        <v>1.0</v>
      </c>
      <c r="V335" s="239">
        <v>0.0</v>
      </c>
      <c r="W335" s="239">
        <v>1.0</v>
      </c>
      <c r="X335" s="238">
        <v>4.0</v>
      </c>
      <c r="Y335" s="239">
        <v>4.0</v>
      </c>
      <c r="Z335" s="239">
        <v>15.0</v>
      </c>
      <c r="AA335" s="239">
        <v>0.0</v>
      </c>
      <c r="AB335" s="239">
        <v>0.0</v>
      </c>
      <c r="AC335" s="239">
        <v>0.0</v>
      </c>
      <c r="AD335" s="239">
        <v>0.0</v>
      </c>
      <c r="AE335" s="239">
        <v>0.0</v>
      </c>
      <c r="AF335" s="189">
        <f t="shared" si="112"/>
        <v>42</v>
      </c>
    </row>
    <row r="336">
      <c r="A336" s="268" t="s">
        <v>328</v>
      </c>
      <c r="B336" s="239">
        <v>0.0</v>
      </c>
      <c r="C336" s="239">
        <v>0.0</v>
      </c>
      <c r="D336" s="239">
        <v>0.0</v>
      </c>
      <c r="E336" s="239">
        <v>0.0</v>
      </c>
      <c r="F336" s="239">
        <v>0.0</v>
      </c>
      <c r="G336" s="239">
        <v>0.0</v>
      </c>
      <c r="H336" s="239">
        <v>0.0</v>
      </c>
      <c r="I336" s="239">
        <v>0.0</v>
      </c>
      <c r="J336" s="239">
        <v>0.0</v>
      </c>
      <c r="K336" s="239">
        <v>1.0</v>
      </c>
      <c r="L336" s="239">
        <v>0.0</v>
      </c>
      <c r="M336" s="239">
        <v>0.0</v>
      </c>
      <c r="N336" s="239">
        <v>0.0</v>
      </c>
      <c r="O336" s="239">
        <v>1.0</v>
      </c>
      <c r="P336" s="239">
        <v>0.0</v>
      </c>
      <c r="Q336" s="239">
        <v>0.0</v>
      </c>
      <c r="R336" s="239">
        <v>0.0</v>
      </c>
      <c r="S336" s="239">
        <v>0.0</v>
      </c>
      <c r="T336" s="239">
        <v>0.0</v>
      </c>
      <c r="U336" s="239">
        <v>0.0</v>
      </c>
      <c r="V336" s="239">
        <v>0.0</v>
      </c>
      <c r="W336" s="239">
        <v>0.0</v>
      </c>
      <c r="X336" s="238">
        <v>2.0</v>
      </c>
      <c r="Y336" s="239">
        <v>2.0</v>
      </c>
      <c r="Z336" s="239">
        <v>2.0</v>
      </c>
      <c r="AA336" s="239">
        <v>0.0</v>
      </c>
      <c r="AB336" s="239">
        <v>0.0</v>
      </c>
      <c r="AC336" s="239">
        <v>0.0</v>
      </c>
      <c r="AD336" s="239">
        <v>0.0</v>
      </c>
      <c r="AE336" s="239">
        <v>0.0</v>
      </c>
      <c r="AF336" s="189">
        <f t="shared" si="112"/>
        <v>8</v>
      </c>
    </row>
    <row r="337">
      <c r="A337" s="268" t="s">
        <v>329</v>
      </c>
      <c r="B337" s="239">
        <v>0.0</v>
      </c>
      <c r="C337" s="239">
        <v>0.0</v>
      </c>
      <c r="D337" s="239">
        <v>0.0</v>
      </c>
      <c r="E337" s="239">
        <v>1.0</v>
      </c>
      <c r="F337" s="239">
        <v>0.0</v>
      </c>
      <c r="G337" s="239">
        <v>0.0</v>
      </c>
      <c r="H337" s="239">
        <v>0.0</v>
      </c>
      <c r="I337" s="239">
        <v>0.0</v>
      </c>
      <c r="J337" s="239">
        <v>0.0</v>
      </c>
      <c r="K337" s="239">
        <v>1.0</v>
      </c>
      <c r="L337" s="239">
        <v>0.0</v>
      </c>
      <c r="M337" s="239">
        <v>0.0</v>
      </c>
      <c r="N337" s="239">
        <v>0.0</v>
      </c>
      <c r="O337" s="239">
        <v>2.0</v>
      </c>
      <c r="P337" s="239">
        <v>2.0</v>
      </c>
      <c r="Q337" s="239">
        <v>1.0</v>
      </c>
      <c r="R337" s="239">
        <v>0.0</v>
      </c>
      <c r="S337" s="239">
        <v>0.0</v>
      </c>
      <c r="T337" s="239">
        <v>0.0</v>
      </c>
      <c r="U337" s="239">
        <v>1.0</v>
      </c>
      <c r="V337" s="239">
        <v>0.0</v>
      </c>
      <c r="W337" s="239">
        <v>1.0</v>
      </c>
      <c r="X337" s="238">
        <v>3.0</v>
      </c>
      <c r="Y337" s="239">
        <v>2.0</v>
      </c>
      <c r="Z337" s="239">
        <v>9.0</v>
      </c>
      <c r="AA337" s="239">
        <v>0.0</v>
      </c>
      <c r="AB337" s="239">
        <v>0.0</v>
      </c>
      <c r="AC337" s="239">
        <v>0.0</v>
      </c>
      <c r="AD337" s="239">
        <v>0.0</v>
      </c>
      <c r="AE337" s="239">
        <v>0.0</v>
      </c>
      <c r="AF337" s="189">
        <f t="shared" si="112"/>
        <v>23</v>
      </c>
    </row>
    <row r="338">
      <c r="A338" s="271" t="s">
        <v>330</v>
      </c>
      <c r="B338" s="270">
        <f t="shared" ref="B338:AE338" si="113">SUM(B333:B337)</f>
        <v>1</v>
      </c>
      <c r="C338" s="270">
        <f t="shared" si="113"/>
        <v>2</v>
      </c>
      <c r="D338" s="270">
        <f t="shared" si="113"/>
        <v>0</v>
      </c>
      <c r="E338" s="270">
        <f t="shared" si="113"/>
        <v>5</v>
      </c>
      <c r="F338" s="270">
        <f t="shared" si="113"/>
        <v>0</v>
      </c>
      <c r="G338" s="270">
        <f t="shared" si="113"/>
        <v>0</v>
      </c>
      <c r="H338" s="270">
        <f t="shared" si="113"/>
        <v>0</v>
      </c>
      <c r="I338" s="270">
        <f t="shared" si="113"/>
        <v>0</v>
      </c>
      <c r="J338" s="270">
        <f t="shared" si="113"/>
        <v>0</v>
      </c>
      <c r="K338" s="270">
        <f t="shared" si="113"/>
        <v>4</v>
      </c>
      <c r="L338" s="270">
        <f t="shared" si="113"/>
        <v>1</v>
      </c>
      <c r="M338" s="270">
        <f t="shared" si="113"/>
        <v>0</v>
      </c>
      <c r="N338" s="270">
        <f t="shared" si="113"/>
        <v>3</v>
      </c>
      <c r="O338" s="270">
        <f t="shared" si="113"/>
        <v>6</v>
      </c>
      <c r="P338" s="270">
        <f t="shared" si="113"/>
        <v>9</v>
      </c>
      <c r="Q338" s="270">
        <f t="shared" si="113"/>
        <v>3</v>
      </c>
      <c r="R338" s="270">
        <f t="shared" si="113"/>
        <v>0</v>
      </c>
      <c r="S338" s="270">
        <f t="shared" si="113"/>
        <v>0</v>
      </c>
      <c r="T338" s="270">
        <f t="shared" si="113"/>
        <v>0</v>
      </c>
      <c r="U338" s="270">
        <f t="shared" si="113"/>
        <v>2</v>
      </c>
      <c r="V338" s="270">
        <f t="shared" si="113"/>
        <v>0</v>
      </c>
      <c r="W338" s="270">
        <f t="shared" si="113"/>
        <v>2</v>
      </c>
      <c r="X338" s="270">
        <f t="shared" si="113"/>
        <v>12</v>
      </c>
      <c r="Y338" s="270">
        <f t="shared" si="113"/>
        <v>8</v>
      </c>
      <c r="Z338" s="270">
        <f t="shared" si="113"/>
        <v>36</v>
      </c>
      <c r="AA338" s="270">
        <f t="shared" si="113"/>
        <v>0</v>
      </c>
      <c r="AB338" s="270">
        <f t="shared" si="113"/>
        <v>0</v>
      </c>
      <c r="AC338" s="270">
        <f t="shared" si="113"/>
        <v>0</v>
      </c>
      <c r="AD338" s="270">
        <f t="shared" si="113"/>
        <v>0</v>
      </c>
      <c r="AE338" s="270">
        <f t="shared" si="113"/>
        <v>0</v>
      </c>
      <c r="AF338" s="189">
        <f t="shared" si="112"/>
        <v>94</v>
      </c>
    </row>
    <row r="339">
      <c r="A339" s="26"/>
      <c r="AF339" s="234"/>
    </row>
    <row r="340">
      <c r="A340" s="268" t="s">
        <v>331</v>
      </c>
      <c r="B340" s="239">
        <v>0.0</v>
      </c>
      <c r="C340" s="239">
        <v>0.0</v>
      </c>
      <c r="D340" s="239">
        <v>0.0</v>
      </c>
      <c r="E340" s="239">
        <v>0.0</v>
      </c>
      <c r="F340" s="239">
        <v>0.0</v>
      </c>
      <c r="G340" s="239">
        <v>0.0</v>
      </c>
      <c r="H340" s="239">
        <v>0.0</v>
      </c>
      <c r="I340" s="239">
        <v>0.0</v>
      </c>
      <c r="J340" s="239">
        <v>0.0</v>
      </c>
      <c r="K340" s="239">
        <v>0.0</v>
      </c>
      <c r="L340" s="239">
        <v>0.0</v>
      </c>
      <c r="M340" s="239">
        <v>0.0</v>
      </c>
      <c r="N340" s="239">
        <v>0.0</v>
      </c>
      <c r="O340" s="239">
        <v>0.0</v>
      </c>
      <c r="P340" s="239">
        <v>0.0</v>
      </c>
      <c r="Q340" s="239">
        <v>0.0</v>
      </c>
      <c r="R340" s="239">
        <v>0.0</v>
      </c>
      <c r="S340" s="239">
        <v>0.0</v>
      </c>
      <c r="T340" s="239">
        <v>0.0</v>
      </c>
      <c r="U340" s="239">
        <v>0.0</v>
      </c>
      <c r="V340" s="239">
        <v>0.0</v>
      </c>
      <c r="W340" s="239">
        <v>0.0</v>
      </c>
      <c r="X340" s="239">
        <v>0.0</v>
      </c>
      <c r="Y340" s="239">
        <v>0.0</v>
      </c>
      <c r="Z340" s="239">
        <v>0.0</v>
      </c>
      <c r="AA340" s="239">
        <v>0.0</v>
      </c>
      <c r="AB340" s="239">
        <v>0.0</v>
      </c>
      <c r="AC340" s="239">
        <v>0.0</v>
      </c>
      <c r="AD340" s="239">
        <v>0.0</v>
      </c>
      <c r="AE340" s="239">
        <v>0.0</v>
      </c>
      <c r="AF340" s="189">
        <f t="shared" ref="AF340:AF343" si="114">SUM(B340:AE340)</f>
        <v>0</v>
      </c>
    </row>
    <row r="341">
      <c r="A341" s="268" t="s">
        <v>332</v>
      </c>
      <c r="B341" s="239">
        <v>0.0</v>
      </c>
      <c r="C341" s="239">
        <v>0.0</v>
      </c>
      <c r="D341" s="239">
        <v>0.0</v>
      </c>
      <c r="E341" s="239">
        <v>0.0</v>
      </c>
      <c r="F341" s="239">
        <v>0.0</v>
      </c>
      <c r="G341" s="239">
        <v>0.0</v>
      </c>
      <c r="H341" s="239">
        <v>0.0</v>
      </c>
      <c r="I341" s="239">
        <v>0.0</v>
      </c>
      <c r="J341" s="239">
        <v>0.0</v>
      </c>
      <c r="K341" s="239">
        <v>0.0</v>
      </c>
      <c r="L341" s="239">
        <v>0.0</v>
      </c>
      <c r="M341" s="239">
        <v>0.0</v>
      </c>
      <c r="N341" s="239">
        <v>0.0</v>
      </c>
      <c r="O341" s="239">
        <v>0.0</v>
      </c>
      <c r="P341" s="239">
        <v>0.0</v>
      </c>
      <c r="Q341" s="239">
        <v>0.0</v>
      </c>
      <c r="R341" s="239">
        <v>0.0</v>
      </c>
      <c r="S341" s="239">
        <v>0.0</v>
      </c>
      <c r="T341" s="239">
        <v>0.0</v>
      </c>
      <c r="U341" s="239">
        <v>0.0</v>
      </c>
      <c r="V341" s="239">
        <v>0.0</v>
      </c>
      <c r="W341" s="239">
        <v>0.0</v>
      </c>
      <c r="X341" s="239">
        <v>0.0</v>
      </c>
      <c r="Y341" s="239">
        <v>0.0</v>
      </c>
      <c r="Z341" s="239">
        <v>0.0</v>
      </c>
      <c r="AA341" s="239">
        <v>0.0</v>
      </c>
      <c r="AB341" s="239">
        <v>0.0</v>
      </c>
      <c r="AC341" s="239">
        <v>0.0</v>
      </c>
      <c r="AD341" s="239">
        <v>0.0</v>
      </c>
      <c r="AE341" s="239">
        <v>0.0</v>
      </c>
      <c r="AF341" s="189">
        <f t="shared" si="114"/>
        <v>0</v>
      </c>
    </row>
    <row r="342">
      <c r="A342" s="268" t="s">
        <v>333</v>
      </c>
      <c r="B342" s="239">
        <v>0.0</v>
      </c>
      <c r="C342" s="239">
        <v>0.0</v>
      </c>
      <c r="D342" s="239">
        <v>0.0</v>
      </c>
      <c r="E342" s="239">
        <v>0.0</v>
      </c>
      <c r="F342" s="239">
        <v>0.0</v>
      </c>
      <c r="G342" s="239">
        <v>0.0</v>
      </c>
      <c r="H342" s="239">
        <v>0.0</v>
      </c>
      <c r="I342" s="239">
        <v>0.0</v>
      </c>
      <c r="J342" s="239">
        <v>0.0</v>
      </c>
      <c r="K342" s="239">
        <v>0.0</v>
      </c>
      <c r="L342" s="239">
        <v>0.0</v>
      </c>
      <c r="M342" s="239">
        <v>0.0</v>
      </c>
      <c r="N342" s="239">
        <v>0.0</v>
      </c>
      <c r="O342" s="239">
        <v>0.0</v>
      </c>
      <c r="P342" s="239">
        <v>0.0</v>
      </c>
      <c r="Q342" s="239">
        <v>0.0</v>
      </c>
      <c r="R342" s="239">
        <v>0.0</v>
      </c>
      <c r="S342" s="239">
        <v>0.0</v>
      </c>
      <c r="T342" s="239">
        <v>0.0</v>
      </c>
      <c r="U342" s="239">
        <v>0.0</v>
      </c>
      <c r="V342" s="239">
        <v>0.0</v>
      </c>
      <c r="W342" s="239">
        <v>0.0</v>
      </c>
      <c r="X342" s="239">
        <v>0.0</v>
      </c>
      <c r="Y342" s="239">
        <v>0.0</v>
      </c>
      <c r="Z342" s="239">
        <v>0.0</v>
      </c>
      <c r="AA342" s="239">
        <v>0.0</v>
      </c>
      <c r="AB342" s="239">
        <v>0.0</v>
      </c>
      <c r="AC342" s="239">
        <v>0.0</v>
      </c>
      <c r="AD342" s="239">
        <v>0.0</v>
      </c>
      <c r="AE342" s="239">
        <v>0.0</v>
      </c>
      <c r="AF342" s="189">
        <f t="shared" si="114"/>
        <v>0</v>
      </c>
    </row>
    <row r="343">
      <c r="A343" s="268" t="s">
        <v>334</v>
      </c>
      <c r="B343" s="239">
        <v>0.0</v>
      </c>
      <c r="C343" s="239">
        <v>0.0</v>
      </c>
      <c r="D343" s="239">
        <v>0.0</v>
      </c>
      <c r="E343" s="239">
        <v>0.0</v>
      </c>
      <c r="F343" s="239">
        <v>0.0</v>
      </c>
      <c r="G343" s="239">
        <v>0.0</v>
      </c>
      <c r="H343" s="239">
        <v>0.0</v>
      </c>
      <c r="I343" s="239">
        <v>0.0</v>
      </c>
      <c r="J343" s="239">
        <v>0.0</v>
      </c>
      <c r="K343" s="239">
        <v>0.0</v>
      </c>
      <c r="L343" s="239">
        <v>0.0</v>
      </c>
      <c r="M343" s="239">
        <v>0.0</v>
      </c>
      <c r="N343" s="239">
        <v>0.0</v>
      </c>
      <c r="O343" s="239">
        <v>0.0</v>
      </c>
      <c r="P343" s="239">
        <v>0.0</v>
      </c>
      <c r="Q343" s="239">
        <v>0.0</v>
      </c>
      <c r="R343" s="239">
        <v>0.0</v>
      </c>
      <c r="S343" s="239">
        <v>0.0</v>
      </c>
      <c r="T343" s="239">
        <v>0.0</v>
      </c>
      <c r="U343" s="239">
        <v>0.0</v>
      </c>
      <c r="V343" s="239">
        <v>0.0</v>
      </c>
      <c r="W343" s="239">
        <v>0.0</v>
      </c>
      <c r="X343" s="239">
        <v>0.0</v>
      </c>
      <c r="Y343" s="239">
        <v>0.0</v>
      </c>
      <c r="Z343" s="239">
        <v>0.0</v>
      </c>
      <c r="AA343" s="239">
        <v>0.0</v>
      </c>
      <c r="AB343" s="239">
        <v>0.0</v>
      </c>
      <c r="AC343" s="239">
        <v>0.0</v>
      </c>
      <c r="AD343" s="239">
        <v>0.0</v>
      </c>
      <c r="AE343" s="239">
        <v>0.0</v>
      </c>
      <c r="AF343" s="189">
        <f t="shared" si="114"/>
        <v>0</v>
      </c>
    </row>
    <row r="344">
      <c r="A344" s="268" t="s">
        <v>335</v>
      </c>
      <c r="B344" s="239">
        <v>0.0</v>
      </c>
      <c r="C344" s="239">
        <v>0.0</v>
      </c>
      <c r="D344" s="239">
        <v>0.0</v>
      </c>
      <c r="E344" s="239">
        <v>0.0</v>
      </c>
      <c r="F344" s="239">
        <v>0.0</v>
      </c>
      <c r="G344" s="239">
        <v>0.0</v>
      </c>
      <c r="H344" s="239">
        <v>0.0</v>
      </c>
      <c r="I344" s="239">
        <v>0.0</v>
      </c>
      <c r="J344" s="239">
        <v>0.0</v>
      </c>
      <c r="K344" s="239">
        <v>0.0</v>
      </c>
      <c r="L344" s="239">
        <v>0.0</v>
      </c>
      <c r="M344" s="239">
        <v>0.0</v>
      </c>
      <c r="N344" s="239">
        <v>0.0</v>
      </c>
      <c r="O344" s="239">
        <v>0.0</v>
      </c>
      <c r="P344" s="239">
        <v>0.0</v>
      </c>
      <c r="Q344" s="239">
        <v>0.0</v>
      </c>
      <c r="R344" s="239">
        <v>0.0</v>
      </c>
      <c r="S344" s="239">
        <v>0.0</v>
      </c>
      <c r="T344" s="239">
        <v>0.0</v>
      </c>
      <c r="U344" s="239">
        <v>0.0</v>
      </c>
      <c r="V344" s="239">
        <v>0.0</v>
      </c>
      <c r="W344" s="239">
        <v>0.0</v>
      </c>
      <c r="X344" s="239">
        <v>0.0</v>
      </c>
      <c r="Y344" s="239">
        <v>0.0</v>
      </c>
      <c r="Z344" s="239">
        <v>0.0</v>
      </c>
      <c r="AA344" s="239">
        <v>0.0</v>
      </c>
      <c r="AB344" s="239">
        <v>0.0</v>
      </c>
      <c r="AC344" s="239">
        <v>0.0</v>
      </c>
      <c r="AD344" s="239">
        <v>0.0</v>
      </c>
      <c r="AE344" s="239">
        <v>0.0</v>
      </c>
      <c r="AF344" s="189">
        <f>SUM(C344:AE344)</f>
        <v>0</v>
      </c>
    </row>
    <row r="345">
      <c r="A345" s="271" t="s">
        <v>336</v>
      </c>
      <c r="B345" s="270">
        <f t="shared" ref="B345:R345" si="115">SUM(B340:B344)</f>
        <v>0</v>
      </c>
      <c r="C345" s="270">
        <f t="shared" si="115"/>
        <v>0</v>
      </c>
      <c r="D345" s="270">
        <f t="shared" si="115"/>
        <v>0</v>
      </c>
      <c r="E345" s="270">
        <f t="shared" si="115"/>
        <v>0</v>
      </c>
      <c r="F345" s="270">
        <f t="shared" si="115"/>
        <v>0</v>
      </c>
      <c r="G345" s="270">
        <f t="shared" si="115"/>
        <v>0</v>
      </c>
      <c r="H345" s="270">
        <f t="shared" si="115"/>
        <v>0</v>
      </c>
      <c r="I345" s="270">
        <f t="shared" si="115"/>
        <v>0</v>
      </c>
      <c r="J345" s="270">
        <f t="shared" si="115"/>
        <v>0</v>
      </c>
      <c r="K345" s="270">
        <f t="shared" si="115"/>
        <v>0</v>
      </c>
      <c r="L345" s="270">
        <f t="shared" si="115"/>
        <v>0</v>
      </c>
      <c r="M345" s="270">
        <f t="shared" si="115"/>
        <v>0</v>
      </c>
      <c r="N345" s="270">
        <f t="shared" si="115"/>
        <v>0</v>
      </c>
      <c r="O345" s="270">
        <f t="shared" si="115"/>
        <v>0</v>
      </c>
      <c r="P345" s="270">
        <f t="shared" si="115"/>
        <v>0</v>
      </c>
      <c r="Q345" s="270">
        <f t="shared" si="115"/>
        <v>0</v>
      </c>
      <c r="R345" s="270">
        <f t="shared" si="115"/>
        <v>0</v>
      </c>
      <c r="S345" s="272">
        <v>0.0</v>
      </c>
      <c r="T345" s="270">
        <f t="shared" ref="T345:AE345" si="116">SUM(T340:T344)</f>
        <v>0</v>
      </c>
      <c r="U345" s="270">
        <f t="shared" si="116"/>
        <v>0</v>
      </c>
      <c r="V345" s="270">
        <f t="shared" si="116"/>
        <v>0</v>
      </c>
      <c r="W345" s="270">
        <f t="shared" si="116"/>
        <v>0</v>
      </c>
      <c r="X345" s="270">
        <f t="shared" si="116"/>
        <v>0</v>
      </c>
      <c r="Y345" s="270">
        <f t="shared" si="116"/>
        <v>0</v>
      </c>
      <c r="Z345" s="270">
        <f t="shared" si="116"/>
        <v>0</v>
      </c>
      <c r="AA345" s="270">
        <f t="shared" si="116"/>
        <v>0</v>
      </c>
      <c r="AB345" s="270">
        <f t="shared" si="116"/>
        <v>0</v>
      </c>
      <c r="AC345" s="270">
        <f t="shared" si="116"/>
        <v>0</v>
      </c>
      <c r="AD345" s="270">
        <f t="shared" si="116"/>
        <v>0</v>
      </c>
      <c r="AE345" s="270">
        <f t="shared" si="116"/>
        <v>0</v>
      </c>
      <c r="AF345" s="189">
        <f>SUM(B345:AE345)</f>
        <v>0</v>
      </c>
    </row>
    <row r="346">
      <c r="A346" s="26"/>
      <c r="S346" s="214"/>
      <c r="AF346" s="234"/>
    </row>
    <row r="347">
      <c r="A347" s="268" t="s">
        <v>337</v>
      </c>
      <c r="B347" s="239">
        <v>0.0</v>
      </c>
      <c r="C347" s="239">
        <v>0.0</v>
      </c>
      <c r="D347" s="239">
        <v>0.0</v>
      </c>
      <c r="E347" s="239">
        <v>0.0</v>
      </c>
      <c r="F347" s="239">
        <v>0.0</v>
      </c>
      <c r="G347" s="239">
        <v>0.0</v>
      </c>
      <c r="H347" s="239">
        <v>0.0</v>
      </c>
      <c r="I347" s="239">
        <v>0.0</v>
      </c>
      <c r="J347" s="239">
        <v>0.0</v>
      </c>
      <c r="K347" s="239">
        <v>0.0</v>
      </c>
      <c r="L347" s="239">
        <v>0.0</v>
      </c>
      <c r="M347" s="239">
        <v>0.0</v>
      </c>
      <c r="N347" s="239">
        <v>0.0</v>
      </c>
      <c r="O347" s="239">
        <v>0.0</v>
      </c>
      <c r="P347" s="239">
        <v>0.0</v>
      </c>
      <c r="Q347" s="239">
        <v>0.0</v>
      </c>
      <c r="R347" s="239">
        <v>0.0</v>
      </c>
      <c r="S347" s="239">
        <v>0.0</v>
      </c>
      <c r="T347" s="239">
        <v>0.0</v>
      </c>
      <c r="U347" s="239">
        <v>0.0</v>
      </c>
      <c r="V347" s="239">
        <v>0.0</v>
      </c>
      <c r="W347" s="239">
        <v>0.0</v>
      </c>
      <c r="X347" s="239">
        <v>0.0</v>
      </c>
      <c r="Y347" s="239">
        <v>0.0</v>
      </c>
      <c r="Z347" s="239">
        <v>0.0</v>
      </c>
      <c r="AA347" s="239">
        <v>0.0</v>
      </c>
      <c r="AB347" s="239">
        <v>0.0</v>
      </c>
      <c r="AC347" s="239">
        <v>0.0</v>
      </c>
      <c r="AD347" s="239">
        <v>0.0</v>
      </c>
      <c r="AE347" s="239">
        <v>0.0</v>
      </c>
      <c r="AF347" s="189">
        <f t="shared" ref="AF347:AF352" si="117">SUM(B347:AE347)</f>
        <v>0</v>
      </c>
    </row>
    <row r="348">
      <c r="A348" s="268" t="s">
        <v>338</v>
      </c>
      <c r="B348" s="239">
        <v>0.0</v>
      </c>
      <c r="C348" s="239">
        <v>0.0</v>
      </c>
      <c r="D348" s="239">
        <v>0.0</v>
      </c>
      <c r="E348" s="239">
        <v>0.0</v>
      </c>
      <c r="F348" s="239">
        <v>0.0</v>
      </c>
      <c r="G348" s="239">
        <v>0.0</v>
      </c>
      <c r="H348" s="239">
        <v>0.0</v>
      </c>
      <c r="I348" s="239">
        <v>0.0</v>
      </c>
      <c r="J348" s="239">
        <v>0.0</v>
      </c>
      <c r="K348" s="239">
        <v>0.0</v>
      </c>
      <c r="L348" s="239">
        <v>0.0</v>
      </c>
      <c r="M348" s="239">
        <v>0.0</v>
      </c>
      <c r="N348" s="239">
        <v>0.0</v>
      </c>
      <c r="O348" s="239">
        <v>0.0</v>
      </c>
      <c r="P348" s="239">
        <v>0.0</v>
      </c>
      <c r="Q348" s="239">
        <v>0.0</v>
      </c>
      <c r="R348" s="239">
        <v>0.0</v>
      </c>
      <c r="S348" s="239">
        <v>0.0</v>
      </c>
      <c r="T348" s="239">
        <v>0.0</v>
      </c>
      <c r="U348" s="239">
        <v>0.0</v>
      </c>
      <c r="V348" s="239">
        <v>0.0</v>
      </c>
      <c r="W348" s="239">
        <v>0.0</v>
      </c>
      <c r="X348" s="239">
        <v>0.0</v>
      </c>
      <c r="Y348" s="239">
        <v>0.0</v>
      </c>
      <c r="Z348" s="239">
        <v>0.0</v>
      </c>
      <c r="AA348" s="239">
        <v>0.0</v>
      </c>
      <c r="AB348" s="239">
        <v>0.0</v>
      </c>
      <c r="AC348" s="239">
        <v>0.0</v>
      </c>
      <c r="AD348" s="239">
        <v>0.0</v>
      </c>
      <c r="AE348" s="239">
        <v>0.0</v>
      </c>
      <c r="AF348" s="189">
        <f t="shared" si="117"/>
        <v>0</v>
      </c>
    </row>
    <row r="349">
      <c r="A349" s="268" t="s">
        <v>339</v>
      </c>
      <c r="B349" s="239">
        <v>0.0</v>
      </c>
      <c r="C349" s="239">
        <v>0.0</v>
      </c>
      <c r="D349" s="239">
        <v>0.0</v>
      </c>
      <c r="E349" s="239">
        <v>0.0</v>
      </c>
      <c r="F349" s="239">
        <v>0.0</v>
      </c>
      <c r="G349" s="239">
        <v>0.0</v>
      </c>
      <c r="H349" s="239">
        <v>0.0</v>
      </c>
      <c r="I349" s="239">
        <v>0.0</v>
      </c>
      <c r="J349" s="239">
        <v>0.0</v>
      </c>
      <c r="K349" s="239">
        <v>0.0</v>
      </c>
      <c r="L349" s="239">
        <v>0.0</v>
      </c>
      <c r="M349" s="239">
        <v>0.0</v>
      </c>
      <c r="N349" s="239">
        <v>0.0</v>
      </c>
      <c r="O349" s="239">
        <v>0.0</v>
      </c>
      <c r="P349" s="239">
        <v>0.0</v>
      </c>
      <c r="Q349" s="239">
        <v>0.0</v>
      </c>
      <c r="R349" s="239">
        <v>0.0</v>
      </c>
      <c r="S349" s="239">
        <v>0.0</v>
      </c>
      <c r="T349" s="239">
        <v>0.0</v>
      </c>
      <c r="U349" s="239">
        <v>0.0</v>
      </c>
      <c r="V349" s="239">
        <v>0.0</v>
      </c>
      <c r="W349" s="239">
        <v>0.0</v>
      </c>
      <c r="X349" s="239">
        <v>0.0</v>
      </c>
      <c r="Y349" s="239">
        <v>0.0</v>
      </c>
      <c r="Z349" s="239">
        <v>0.0</v>
      </c>
      <c r="AA349" s="239">
        <v>0.0</v>
      </c>
      <c r="AB349" s="239">
        <v>0.0</v>
      </c>
      <c r="AC349" s="239">
        <v>0.0</v>
      </c>
      <c r="AD349" s="239">
        <v>0.0</v>
      </c>
      <c r="AE349" s="239">
        <v>0.0</v>
      </c>
      <c r="AF349" s="189">
        <f t="shared" si="117"/>
        <v>0</v>
      </c>
    </row>
    <row r="350">
      <c r="A350" s="268" t="s">
        <v>340</v>
      </c>
      <c r="B350" s="239">
        <v>0.0</v>
      </c>
      <c r="C350" s="239">
        <v>0.0</v>
      </c>
      <c r="D350" s="239">
        <v>0.0</v>
      </c>
      <c r="E350" s="239">
        <v>0.0</v>
      </c>
      <c r="F350" s="239">
        <v>0.0</v>
      </c>
      <c r="G350" s="239">
        <v>0.0</v>
      </c>
      <c r="H350" s="239">
        <v>0.0</v>
      </c>
      <c r="I350" s="239">
        <v>0.0</v>
      </c>
      <c r="J350" s="239">
        <v>0.0</v>
      </c>
      <c r="K350" s="239">
        <v>0.0</v>
      </c>
      <c r="L350" s="239">
        <v>0.0</v>
      </c>
      <c r="M350" s="239">
        <v>0.0</v>
      </c>
      <c r="N350" s="239">
        <v>0.0</v>
      </c>
      <c r="O350" s="239">
        <v>0.0</v>
      </c>
      <c r="P350" s="239">
        <v>0.0</v>
      </c>
      <c r="Q350" s="239">
        <v>0.0</v>
      </c>
      <c r="R350" s="239">
        <v>0.0</v>
      </c>
      <c r="S350" s="239">
        <v>0.0</v>
      </c>
      <c r="T350" s="239">
        <v>0.0</v>
      </c>
      <c r="U350" s="239">
        <v>0.0</v>
      </c>
      <c r="V350" s="239">
        <v>0.0</v>
      </c>
      <c r="W350" s="239">
        <v>0.0</v>
      </c>
      <c r="X350" s="239">
        <v>0.0</v>
      </c>
      <c r="Y350" s="239">
        <v>0.0</v>
      </c>
      <c r="Z350" s="239">
        <v>0.0</v>
      </c>
      <c r="AA350" s="239">
        <v>0.0</v>
      </c>
      <c r="AB350" s="239">
        <v>0.0</v>
      </c>
      <c r="AC350" s="239">
        <v>0.0</v>
      </c>
      <c r="AD350" s="239">
        <v>0.0</v>
      </c>
      <c r="AE350" s="239">
        <v>0.0</v>
      </c>
      <c r="AF350" s="189">
        <f t="shared" si="117"/>
        <v>0</v>
      </c>
    </row>
    <row r="351">
      <c r="A351" s="268" t="s">
        <v>341</v>
      </c>
      <c r="B351" s="239">
        <v>0.0</v>
      </c>
      <c r="C351" s="239">
        <v>0.0</v>
      </c>
      <c r="D351" s="239">
        <v>0.0</v>
      </c>
      <c r="E351" s="239">
        <v>0.0</v>
      </c>
      <c r="F351" s="239">
        <v>0.0</v>
      </c>
      <c r="G351" s="239">
        <v>0.0</v>
      </c>
      <c r="H351" s="239">
        <v>0.0</v>
      </c>
      <c r="I351" s="239">
        <v>0.0</v>
      </c>
      <c r="J351" s="239">
        <v>0.0</v>
      </c>
      <c r="K351" s="239">
        <v>0.0</v>
      </c>
      <c r="L351" s="239">
        <v>0.0</v>
      </c>
      <c r="M351" s="239">
        <v>0.0</v>
      </c>
      <c r="N351" s="239">
        <v>0.0</v>
      </c>
      <c r="O351" s="239">
        <v>0.0</v>
      </c>
      <c r="P351" s="239">
        <v>0.0</v>
      </c>
      <c r="Q351" s="239">
        <v>0.0</v>
      </c>
      <c r="R351" s="239">
        <v>0.0</v>
      </c>
      <c r="S351" s="239">
        <v>0.0</v>
      </c>
      <c r="T351" s="239">
        <v>0.0</v>
      </c>
      <c r="U351" s="239">
        <v>0.0</v>
      </c>
      <c r="V351" s="239">
        <v>0.0</v>
      </c>
      <c r="W351" s="239">
        <v>0.0</v>
      </c>
      <c r="X351" s="239">
        <v>0.0</v>
      </c>
      <c r="Y351" s="239">
        <v>0.0</v>
      </c>
      <c r="Z351" s="239">
        <v>0.0</v>
      </c>
      <c r="AA351" s="239">
        <v>0.0</v>
      </c>
      <c r="AB351" s="239">
        <v>0.0</v>
      </c>
      <c r="AC351" s="239">
        <v>0.0</v>
      </c>
      <c r="AD351" s="239">
        <v>0.0</v>
      </c>
      <c r="AE351" s="239">
        <v>0.0</v>
      </c>
      <c r="AF351" s="189">
        <f t="shared" si="117"/>
        <v>0</v>
      </c>
    </row>
    <row r="352">
      <c r="A352" s="271" t="s">
        <v>342</v>
      </c>
      <c r="B352" s="270">
        <f t="shared" ref="B352:AE352" si="118">SUM(B347:B351)</f>
        <v>0</v>
      </c>
      <c r="C352" s="270">
        <f t="shared" si="118"/>
        <v>0</v>
      </c>
      <c r="D352" s="270">
        <f t="shared" si="118"/>
        <v>0</v>
      </c>
      <c r="E352" s="270">
        <f t="shared" si="118"/>
        <v>0</v>
      </c>
      <c r="F352" s="270">
        <f t="shared" si="118"/>
        <v>0</v>
      </c>
      <c r="G352" s="270">
        <f t="shared" si="118"/>
        <v>0</v>
      </c>
      <c r="H352" s="270">
        <f t="shared" si="118"/>
        <v>0</v>
      </c>
      <c r="I352" s="270">
        <f t="shared" si="118"/>
        <v>0</v>
      </c>
      <c r="J352" s="270">
        <f t="shared" si="118"/>
        <v>0</v>
      </c>
      <c r="K352" s="270">
        <f t="shared" si="118"/>
        <v>0</v>
      </c>
      <c r="L352" s="270">
        <f t="shared" si="118"/>
        <v>0</v>
      </c>
      <c r="M352" s="270">
        <f t="shared" si="118"/>
        <v>0</v>
      </c>
      <c r="N352" s="270">
        <f t="shared" si="118"/>
        <v>0</v>
      </c>
      <c r="O352" s="270">
        <f t="shared" si="118"/>
        <v>0</v>
      </c>
      <c r="P352" s="270">
        <f t="shared" si="118"/>
        <v>0</v>
      </c>
      <c r="Q352" s="270">
        <f t="shared" si="118"/>
        <v>0</v>
      </c>
      <c r="R352" s="270">
        <f t="shared" si="118"/>
        <v>0</v>
      </c>
      <c r="S352" s="270">
        <f t="shared" si="118"/>
        <v>0</v>
      </c>
      <c r="T352" s="270">
        <f t="shared" si="118"/>
        <v>0</v>
      </c>
      <c r="U352" s="270">
        <f t="shared" si="118"/>
        <v>0</v>
      </c>
      <c r="V352" s="270">
        <f t="shared" si="118"/>
        <v>0</v>
      </c>
      <c r="W352" s="270">
        <f t="shared" si="118"/>
        <v>0</v>
      </c>
      <c r="X352" s="270">
        <f t="shared" si="118"/>
        <v>0</v>
      </c>
      <c r="Y352" s="270">
        <f t="shared" si="118"/>
        <v>0</v>
      </c>
      <c r="Z352" s="270">
        <f t="shared" si="118"/>
        <v>0</v>
      </c>
      <c r="AA352" s="270">
        <f t="shared" si="118"/>
        <v>0</v>
      </c>
      <c r="AB352" s="270">
        <f t="shared" si="118"/>
        <v>0</v>
      </c>
      <c r="AC352" s="270">
        <f t="shared" si="118"/>
        <v>0</v>
      </c>
      <c r="AD352" s="270">
        <f t="shared" si="118"/>
        <v>0</v>
      </c>
      <c r="AE352" s="270">
        <f t="shared" si="118"/>
        <v>0</v>
      </c>
      <c r="AF352" s="189">
        <f t="shared" si="117"/>
        <v>0</v>
      </c>
    </row>
    <row r="353">
      <c r="A353" s="224"/>
      <c r="AF353" s="234"/>
    </row>
    <row r="354">
      <c r="A354" s="268" t="s">
        <v>345</v>
      </c>
      <c r="B354" s="239">
        <v>0.0</v>
      </c>
      <c r="C354" s="239">
        <v>0.0</v>
      </c>
      <c r="D354" s="239">
        <v>0.0</v>
      </c>
      <c r="E354" s="239">
        <v>0.0</v>
      </c>
      <c r="F354" s="239">
        <v>0.0</v>
      </c>
      <c r="G354" s="239">
        <v>0.0</v>
      </c>
      <c r="H354" s="239">
        <v>0.0</v>
      </c>
      <c r="I354" s="239">
        <v>0.0</v>
      </c>
      <c r="J354" s="239">
        <v>0.0</v>
      </c>
      <c r="K354" s="239">
        <v>0.0</v>
      </c>
      <c r="L354" s="239">
        <v>0.0</v>
      </c>
      <c r="M354" s="239">
        <v>0.0</v>
      </c>
      <c r="N354" s="239">
        <v>0.0</v>
      </c>
      <c r="O354" s="239">
        <v>0.0</v>
      </c>
      <c r="P354" s="239">
        <v>0.0</v>
      </c>
      <c r="Q354" s="239">
        <v>0.0</v>
      </c>
      <c r="R354" s="239">
        <v>0.0</v>
      </c>
      <c r="S354" s="239">
        <v>0.0</v>
      </c>
      <c r="T354" s="239">
        <v>0.0</v>
      </c>
      <c r="U354" s="239">
        <v>0.0</v>
      </c>
      <c r="V354" s="239">
        <v>0.0</v>
      </c>
      <c r="W354" s="239">
        <v>0.0</v>
      </c>
      <c r="X354" s="239">
        <v>0.0</v>
      </c>
      <c r="Y354" s="239">
        <v>0.0</v>
      </c>
      <c r="Z354" s="239">
        <v>0.0</v>
      </c>
      <c r="AA354" s="239">
        <v>0.0</v>
      </c>
      <c r="AB354" s="239">
        <v>0.0</v>
      </c>
      <c r="AC354" s="239">
        <v>0.0</v>
      </c>
      <c r="AD354" s="239">
        <v>0.0</v>
      </c>
      <c r="AE354" s="239">
        <v>0.0</v>
      </c>
      <c r="AF354" s="189">
        <f t="shared" ref="AF354:AF356" si="119">SUM(B354:AE354)</f>
        <v>0</v>
      </c>
    </row>
    <row r="355">
      <c r="A355" s="268" t="s">
        <v>346</v>
      </c>
      <c r="B355" s="239">
        <v>0.0</v>
      </c>
      <c r="C355" s="239">
        <v>0.0</v>
      </c>
      <c r="D355" s="239">
        <v>0.0</v>
      </c>
      <c r="E355" s="239">
        <v>0.0</v>
      </c>
      <c r="F355" s="239">
        <v>0.0</v>
      </c>
      <c r="G355" s="239">
        <v>0.0</v>
      </c>
      <c r="H355" s="239">
        <v>0.0</v>
      </c>
      <c r="I355" s="239">
        <v>0.0</v>
      </c>
      <c r="J355" s="239">
        <v>0.0</v>
      </c>
      <c r="K355" s="239">
        <v>0.0</v>
      </c>
      <c r="L355" s="239">
        <v>0.0</v>
      </c>
      <c r="M355" s="239">
        <v>0.0</v>
      </c>
      <c r="N355" s="239">
        <v>0.0</v>
      </c>
      <c r="O355" s="239">
        <v>0.0</v>
      </c>
      <c r="P355" s="239">
        <v>0.0</v>
      </c>
      <c r="Q355" s="239">
        <v>0.0</v>
      </c>
      <c r="R355" s="239">
        <v>0.0</v>
      </c>
      <c r="S355" s="239">
        <v>0.0</v>
      </c>
      <c r="T355" s="239">
        <v>0.0</v>
      </c>
      <c r="U355" s="239">
        <v>0.0</v>
      </c>
      <c r="V355" s="239">
        <v>0.0</v>
      </c>
      <c r="W355" s="239">
        <v>0.0</v>
      </c>
      <c r="X355" s="239">
        <v>0.0</v>
      </c>
      <c r="Y355" s="239">
        <v>0.0</v>
      </c>
      <c r="Z355" s="239">
        <v>0.0</v>
      </c>
      <c r="AA355" s="239">
        <v>0.0</v>
      </c>
      <c r="AB355" s="239">
        <v>0.0</v>
      </c>
      <c r="AC355" s="239">
        <v>0.0</v>
      </c>
      <c r="AD355" s="239">
        <v>0.0</v>
      </c>
      <c r="AE355" s="239">
        <v>0.0</v>
      </c>
      <c r="AF355" s="189">
        <f t="shared" si="119"/>
        <v>0</v>
      </c>
    </row>
    <row r="356">
      <c r="A356" s="271" t="s">
        <v>123</v>
      </c>
      <c r="B356" s="270">
        <f t="shared" ref="B356:AE356" si="120">SUM(B354:B355)</f>
        <v>0</v>
      </c>
      <c r="C356" s="270">
        <f t="shared" si="120"/>
        <v>0</v>
      </c>
      <c r="D356" s="270">
        <f t="shared" si="120"/>
        <v>0</v>
      </c>
      <c r="E356" s="270">
        <f t="shared" si="120"/>
        <v>0</v>
      </c>
      <c r="F356" s="270">
        <f t="shared" si="120"/>
        <v>0</v>
      </c>
      <c r="G356" s="270">
        <f t="shared" si="120"/>
        <v>0</v>
      </c>
      <c r="H356" s="270">
        <f t="shared" si="120"/>
        <v>0</v>
      </c>
      <c r="I356" s="270">
        <f t="shared" si="120"/>
        <v>0</v>
      </c>
      <c r="J356" s="270">
        <f t="shared" si="120"/>
        <v>0</v>
      </c>
      <c r="K356" s="270">
        <f t="shared" si="120"/>
        <v>0</v>
      </c>
      <c r="L356" s="270">
        <f t="shared" si="120"/>
        <v>0</v>
      </c>
      <c r="M356" s="270">
        <f t="shared" si="120"/>
        <v>0</v>
      </c>
      <c r="N356" s="270">
        <f t="shared" si="120"/>
        <v>0</v>
      </c>
      <c r="O356" s="270">
        <f t="shared" si="120"/>
        <v>0</v>
      </c>
      <c r="P356" s="270">
        <f t="shared" si="120"/>
        <v>0</v>
      </c>
      <c r="Q356" s="270">
        <f t="shared" si="120"/>
        <v>0</v>
      </c>
      <c r="R356" s="270">
        <f t="shared" si="120"/>
        <v>0</v>
      </c>
      <c r="S356" s="270">
        <f t="shared" si="120"/>
        <v>0</v>
      </c>
      <c r="T356" s="270">
        <f t="shared" si="120"/>
        <v>0</v>
      </c>
      <c r="U356" s="270">
        <f t="shared" si="120"/>
        <v>0</v>
      </c>
      <c r="V356" s="270">
        <f t="shared" si="120"/>
        <v>0</v>
      </c>
      <c r="W356" s="270">
        <f t="shared" si="120"/>
        <v>0</v>
      </c>
      <c r="X356" s="270">
        <f t="shared" si="120"/>
        <v>0</v>
      </c>
      <c r="Y356" s="270">
        <f t="shared" si="120"/>
        <v>0</v>
      </c>
      <c r="Z356" s="270">
        <f t="shared" si="120"/>
        <v>0</v>
      </c>
      <c r="AA356" s="270">
        <f t="shared" si="120"/>
        <v>0</v>
      </c>
      <c r="AB356" s="270">
        <f t="shared" si="120"/>
        <v>0</v>
      </c>
      <c r="AC356" s="270">
        <f t="shared" si="120"/>
        <v>0</v>
      </c>
      <c r="AD356" s="270">
        <f t="shared" si="120"/>
        <v>0</v>
      </c>
      <c r="AE356" s="270">
        <f t="shared" si="120"/>
        <v>0</v>
      </c>
      <c r="AF356" s="189">
        <f t="shared" si="119"/>
        <v>0</v>
      </c>
    </row>
    <row r="357">
      <c r="A357" s="224"/>
      <c r="AF357" s="234"/>
    </row>
    <row r="358">
      <c r="A358" s="268" t="s">
        <v>311</v>
      </c>
      <c r="B358" s="239">
        <v>0.0</v>
      </c>
      <c r="C358" s="239">
        <v>0.0</v>
      </c>
      <c r="D358" s="239">
        <v>0.0</v>
      </c>
      <c r="E358" s="239">
        <v>0.0</v>
      </c>
      <c r="F358" s="239">
        <v>0.0</v>
      </c>
      <c r="G358" s="239">
        <v>0.0</v>
      </c>
      <c r="H358" s="239">
        <v>0.0</v>
      </c>
      <c r="I358" s="239">
        <v>0.0</v>
      </c>
      <c r="J358" s="239">
        <v>0.0</v>
      </c>
      <c r="K358" s="239">
        <v>0.0</v>
      </c>
      <c r="L358" s="239">
        <v>0.0</v>
      </c>
      <c r="M358" s="239">
        <v>0.0</v>
      </c>
      <c r="N358" s="239">
        <v>0.0</v>
      </c>
      <c r="O358" s="239">
        <v>0.0</v>
      </c>
      <c r="P358" s="239">
        <v>0.0</v>
      </c>
      <c r="Q358" s="239">
        <v>0.0</v>
      </c>
      <c r="R358" s="239">
        <v>0.0</v>
      </c>
      <c r="S358" s="239">
        <v>0.0</v>
      </c>
      <c r="T358" s="239">
        <v>0.0</v>
      </c>
      <c r="U358" s="239">
        <v>0.0</v>
      </c>
      <c r="V358" s="239">
        <v>0.0</v>
      </c>
      <c r="W358" s="239">
        <v>0.0</v>
      </c>
      <c r="X358" s="239">
        <v>0.0</v>
      </c>
      <c r="Y358" s="239">
        <v>0.0</v>
      </c>
      <c r="Z358" s="239">
        <v>0.0</v>
      </c>
      <c r="AA358" s="239">
        <v>0.0</v>
      </c>
      <c r="AB358" s="239">
        <v>0.0</v>
      </c>
      <c r="AC358" s="239">
        <v>0.0</v>
      </c>
      <c r="AD358" s="239">
        <v>0.0</v>
      </c>
      <c r="AE358" s="239">
        <v>0.0</v>
      </c>
      <c r="AF358" s="189">
        <f t="shared" ref="AF358:AF360" si="121">SUM(B358:AE358)</f>
        <v>0</v>
      </c>
    </row>
    <row r="359">
      <c r="A359" s="268" t="s">
        <v>312</v>
      </c>
      <c r="B359" s="239">
        <v>0.0</v>
      </c>
      <c r="C359" s="239">
        <v>0.0</v>
      </c>
      <c r="D359" s="239">
        <v>0.0</v>
      </c>
      <c r="E359" s="239">
        <v>0.0</v>
      </c>
      <c r="F359" s="239">
        <v>0.0</v>
      </c>
      <c r="G359" s="239">
        <v>0.0</v>
      </c>
      <c r="H359" s="239">
        <v>0.0</v>
      </c>
      <c r="I359" s="239">
        <v>0.0</v>
      </c>
      <c r="J359" s="239">
        <v>0.0</v>
      </c>
      <c r="K359" s="239">
        <v>0.0</v>
      </c>
      <c r="L359" s="239">
        <v>0.0</v>
      </c>
      <c r="M359" s="239">
        <v>0.0</v>
      </c>
      <c r="N359" s="239">
        <v>0.0</v>
      </c>
      <c r="O359" s="239">
        <v>0.0</v>
      </c>
      <c r="P359" s="239">
        <v>0.0</v>
      </c>
      <c r="Q359" s="239">
        <v>0.0</v>
      </c>
      <c r="R359" s="239">
        <v>0.0</v>
      </c>
      <c r="S359" s="239">
        <v>0.0</v>
      </c>
      <c r="T359" s="239">
        <v>0.0</v>
      </c>
      <c r="U359" s="239">
        <v>0.0</v>
      </c>
      <c r="V359" s="239">
        <v>0.0</v>
      </c>
      <c r="W359" s="239">
        <v>0.0</v>
      </c>
      <c r="X359" s="239">
        <v>0.0</v>
      </c>
      <c r="Y359" s="239">
        <v>0.0</v>
      </c>
      <c r="Z359" s="239">
        <v>0.0</v>
      </c>
      <c r="AA359" s="239">
        <v>0.0</v>
      </c>
      <c r="AB359" s="239">
        <v>0.0</v>
      </c>
      <c r="AC359" s="239">
        <v>0.0</v>
      </c>
      <c r="AD359" s="239">
        <v>0.0</v>
      </c>
      <c r="AE359" s="239">
        <v>0.0</v>
      </c>
      <c r="AF359" s="189">
        <f t="shared" si="121"/>
        <v>0</v>
      </c>
    </row>
    <row r="360">
      <c r="A360" s="271" t="s">
        <v>123</v>
      </c>
      <c r="B360" s="270">
        <f t="shared" ref="B360:AE360" si="122">SUM(B358:B359)</f>
        <v>0</v>
      </c>
      <c r="C360" s="270">
        <f t="shared" si="122"/>
        <v>0</v>
      </c>
      <c r="D360" s="270">
        <f t="shared" si="122"/>
        <v>0</v>
      </c>
      <c r="E360" s="270">
        <f t="shared" si="122"/>
        <v>0</v>
      </c>
      <c r="F360" s="270">
        <f t="shared" si="122"/>
        <v>0</v>
      </c>
      <c r="G360" s="270">
        <f t="shared" si="122"/>
        <v>0</v>
      </c>
      <c r="H360" s="270">
        <f t="shared" si="122"/>
        <v>0</v>
      </c>
      <c r="I360" s="270">
        <f t="shared" si="122"/>
        <v>0</v>
      </c>
      <c r="J360" s="270">
        <f t="shared" si="122"/>
        <v>0</v>
      </c>
      <c r="K360" s="270">
        <f t="shared" si="122"/>
        <v>0</v>
      </c>
      <c r="L360" s="270">
        <f t="shared" si="122"/>
        <v>0</v>
      </c>
      <c r="M360" s="270">
        <f t="shared" si="122"/>
        <v>0</v>
      </c>
      <c r="N360" s="270">
        <f t="shared" si="122"/>
        <v>0</v>
      </c>
      <c r="O360" s="270">
        <f t="shared" si="122"/>
        <v>0</v>
      </c>
      <c r="P360" s="270">
        <f t="shared" si="122"/>
        <v>0</v>
      </c>
      <c r="Q360" s="270">
        <f t="shared" si="122"/>
        <v>0</v>
      </c>
      <c r="R360" s="270">
        <f t="shared" si="122"/>
        <v>0</v>
      </c>
      <c r="S360" s="270">
        <f t="shared" si="122"/>
        <v>0</v>
      </c>
      <c r="T360" s="270">
        <f t="shared" si="122"/>
        <v>0</v>
      </c>
      <c r="U360" s="270">
        <f t="shared" si="122"/>
        <v>0</v>
      </c>
      <c r="V360" s="270">
        <f t="shared" si="122"/>
        <v>0</v>
      </c>
      <c r="W360" s="270">
        <f t="shared" si="122"/>
        <v>0</v>
      </c>
      <c r="X360" s="270">
        <f t="shared" si="122"/>
        <v>0</v>
      </c>
      <c r="Y360" s="270">
        <f t="shared" si="122"/>
        <v>0</v>
      </c>
      <c r="Z360" s="270">
        <f t="shared" si="122"/>
        <v>0</v>
      </c>
      <c r="AA360" s="270">
        <f t="shared" si="122"/>
        <v>0</v>
      </c>
      <c r="AB360" s="270">
        <f t="shared" si="122"/>
        <v>0</v>
      </c>
      <c r="AC360" s="270">
        <f t="shared" si="122"/>
        <v>0</v>
      </c>
      <c r="AD360" s="270">
        <f t="shared" si="122"/>
        <v>0</v>
      </c>
      <c r="AE360" s="270">
        <f t="shared" si="122"/>
        <v>0</v>
      </c>
      <c r="AF360" s="189">
        <f t="shared" si="121"/>
        <v>0</v>
      </c>
    </row>
    <row r="361">
      <c r="A361" s="224"/>
      <c r="AF361" s="234"/>
    </row>
    <row r="362">
      <c r="A362" s="268" t="s">
        <v>347</v>
      </c>
      <c r="B362" s="239">
        <v>0.0</v>
      </c>
      <c r="C362" s="239">
        <v>0.0</v>
      </c>
      <c r="D362" s="239">
        <v>0.0</v>
      </c>
      <c r="E362" s="239">
        <v>0.0</v>
      </c>
      <c r="F362" s="239">
        <v>0.0</v>
      </c>
      <c r="G362" s="239">
        <v>0.0</v>
      </c>
      <c r="H362" s="239">
        <v>0.0</v>
      </c>
      <c r="I362" s="239">
        <v>0.0</v>
      </c>
      <c r="J362" s="239">
        <v>0.0</v>
      </c>
      <c r="K362" s="239">
        <v>0.0</v>
      </c>
      <c r="L362" s="239">
        <v>0.0</v>
      </c>
      <c r="M362" s="239">
        <v>0.0</v>
      </c>
      <c r="N362" s="239">
        <v>0.0</v>
      </c>
      <c r="O362" s="239">
        <v>0.0</v>
      </c>
      <c r="P362" s="239">
        <v>0.0</v>
      </c>
      <c r="Q362" s="239">
        <v>0.0</v>
      </c>
      <c r="R362" s="239">
        <v>0.0</v>
      </c>
      <c r="S362" s="239">
        <v>0.0</v>
      </c>
      <c r="T362" s="239">
        <v>0.0</v>
      </c>
      <c r="U362" s="239">
        <v>0.0</v>
      </c>
      <c r="V362" s="239">
        <v>0.0</v>
      </c>
      <c r="W362" s="239">
        <v>0.0</v>
      </c>
      <c r="X362" s="239">
        <v>0.0</v>
      </c>
      <c r="Y362" s="239">
        <v>0.0</v>
      </c>
      <c r="Z362" s="239">
        <v>0.0</v>
      </c>
      <c r="AA362" s="239">
        <v>0.0</v>
      </c>
      <c r="AB362" s="239">
        <v>0.0</v>
      </c>
      <c r="AC362" s="239">
        <v>0.0</v>
      </c>
      <c r="AD362" s="239">
        <v>0.0</v>
      </c>
      <c r="AE362" s="239">
        <v>0.0</v>
      </c>
      <c r="AF362" s="189"/>
    </row>
    <row r="363">
      <c r="A363" s="271" t="s">
        <v>348</v>
      </c>
      <c r="B363" s="270">
        <f t="shared" ref="B363:AE363" si="123">B362</f>
        <v>0</v>
      </c>
      <c r="C363" s="270">
        <f t="shared" si="123"/>
        <v>0</v>
      </c>
      <c r="D363" s="270">
        <f t="shared" si="123"/>
        <v>0</v>
      </c>
      <c r="E363" s="270">
        <f t="shared" si="123"/>
        <v>0</v>
      </c>
      <c r="F363" s="270">
        <f t="shared" si="123"/>
        <v>0</v>
      </c>
      <c r="G363" s="270">
        <f t="shared" si="123"/>
        <v>0</v>
      </c>
      <c r="H363" s="270">
        <f t="shared" si="123"/>
        <v>0</v>
      </c>
      <c r="I363" s="270">
        <f t="shared" si="123"/>
        <v>0</v>
      </c>
      <c r="J363" s="270">
        <f t="shared" si="123"/>
        <v>0</v>
      </c>
      <c r="K363" s="270">
        <f t="shared" si="123"/>
        <v>0</v>
      </c>
      <c r="L363" s="270">
        <f t="shared" si="123"/>
        <v>0</v>
      </c>
      <c r="M363" s="270">
        <f t="shared" si="123"/>
        <v>0</v>
      </c>
      <c r="N363" s="270">
        <f t="shared" si="123"/>
        <v>0</v>
      </c>
      <c r="O363" s="270">
        <f t="shared" si="123"/>
        <v>0</v>
      </c>
      <c r="P363" s="270">
        <f t="shared" si="123"/>
        <v>0</v>
      </c>
      <c r="Q363" s="270">
        <f t="shared" si="123"/>
        <v>0</v>
      </c>
      <c r="R363" s="270">
        <f t="shared" si="123"/>
        <v>0</v>
      </c>
      <c r="S363" s="270">
        <f t="shared" si="123"/>
        <v>0</v>
      </c>
      <c r="T363" s="270">
        <f t="shared" si="123"/>
        <v>0</v>
      </c>
      <c r="U363" s="270">
        <f t="shared" si="123"/>
        <v>0</v>
      </c>
      <c r="V363" s="270">
        <f t="shared" si="123"/>
        <v>0</v>
      </c>
      <c r="W363" s="270">
        <f t="shared" si="123"/>
        <v>0</v>
      </c>
      <c r="X363" s="270">
        <f t="shared" si="123"/>
        <v>0</v>
      </c>
      <c r="Y363" s="270">
        <f t="shared" si="123"/>
        <v>0</v>
      </c>
      <c r="Z363" s="270">
        <f t="shared" si="123"/>
        <v>0</v>
      </c>
      <c r="AA363" s="270">
        <f t="shared" si="123"/>
        <v>0</v>
      </c>
      <c r="AB363" s="270">
        <f t="shared" si="123"/>
        <v>0</v>
      </c>
      <c r="AC363" s="270">
        <f t="shared" si="123"/>
        <v>0</v>
      </c>
      <c r="AD363" s="270">
        <f t="shared" si="123"/>
        <v>0</v>
      </c>
      <c r="AE363" s="270">
        <f t="shared" si="123"/>
        <v>0</v>
      </c>
      <c r="AF363" s="189">
        <f>SUM(B363:AE363)</f>
        <v>0</v>
      </c>
    </row>
    <row r="364">
      <c r="A364" s="224"/>
      <c r="AF364" s="234"/>
    </row>
    <row r="365">
      <c r="A365" s="268" t="s">
        <v>352</v>
      </c>
      <c r="B365" s="239">
        <v>1.0</v>
      </c>
      <c r="C365" s="239">
        <v>1.0</v>
      </c>
      <c r="D365" s="238">
        <v>0.0</v>
      </c>
      <c r="E365" s="239">
        <v>2.0</v>
      </c>
      <c r="F365" s="239">
        <v>0.0</v>
      </c>
      <c r="G365" s="239">
        <v>0.0</v>
      </c>
      <c r="H365" s="239">
        <v>0.0</v>
      </c>
      <c r="I365" s="239">
        <v>1.0</v>
      </c>
      <c r="J365" s="239">
        <v>0.0</v>
      </c>
      <c r="K365" s="239">
        <v>1.0</v>
      </c>
      <c r="L365" s="239">
        <v>1.0</v>
      </c>
      <c r="M365" s="239">
        <v>0.0</v>
      </c>
      <c r="N365" s="239">
        <v>2.0</v>
      </c>
      <c r="O365" s="239">
        <v>3.0</v>
      </c>
      <c r="P365" s="239">
        <v>5.0</v>
      </c>
      <c r="Q365" s="239">
        <v>1.0</v>
      </c>
      <c r="R365" s="239">
        <v>0.0</v>
      </c>
      <c r="S365" s="239">
        <v>0.0</v>
      </c>
      <c r="T365" s="239">
        <v>0.0</v>
      </c>
      <c r="U365" s="239">
        <v>3.0</v>
      </c>
      <c r="V365" s="239">
        <v>0.0</v>
      </c>
      <c r="W365" s="239">
        <v>2.0</v>
      </c>
      <c r="X365" s="238">
        <v>5.0</v>
      </c>
      <c r="Y365" s="239">
        <v>6.0</v>
      </c>
      <c r="Z365" s="239">
        <v>19.0</v>
      </c>
      <c r="AA365" s="239">
        <v>0.0</v>
      </c>
      <c r="AB365" s="239">
        <v>0.0</v>
      </c>
      <c r="AC365" s="239">
        <v>0.0</v>
      </c>
      <c r="AD365" s="239">
        <v>1.0</v>
      </c>
      <c r="AE365" s="239">
        <v>0.0</v>
      </c>
      <c r="AF365" s="189">
        <f t="shared" ref="AF365:AF368" si="124">SUM(B365:AE365)</f>
        <v>54</v>
      </c>
    </row>
    <row r="366">
      <c r="A366" s="268" t="s">
        <v>353</v>
      </c>
      <c r="B366" s="239">
        <v>0.0</v>
      </c>
      <c r="C366" s="239">
        <v>0.0</v>
      </c>
      <c r="D366" s="238">
        <v>0.0</v>
      </c>
      <c r="E366" s="239">
        <v>0.0</v>
      </c>
      <c r="F366" s="239">
        <v>0.0</v>
      </c>
      <c r="G366" s="239">
        <v>0.0</v>
      </c>
      <c r="H366" s="239">
        <v>0.0</v>
      </c>
      <c r="I366" s="239">
        <v>0.0</v>
      </c>
      <c r="J366" s="239">
        <v>0.0</v>
      </c>
      <c r="K366" s="239">
        <v>0.0</v>
      </c>
      <c r="L366" s="239">
        <v>0.0</v>
      </c>
      <c r="M366" s="239">
        <v>0.0</v>
      </c>
      <c r="N366" s="239">
        <v>0.0</v>
      </c>
      <c r="O366" s="239">
        <v>0.0</v>
      </c>
      <c r="P366" s="239">
        <v>0.0</v>
      </c>
      <c r="Q366" s="239">
        <v>0.0</v>
      </c>
      <c r="R366" s="239">
        <v>0.0</v>
      </c>
      <c r="S366" s="239">
        <v>0.0</v>
      </c>
      <c r="T366" s="239">
        <v>0.0</v>
      </c>
      <c r="U366" s="239">
        <v>0.0</v>
      </c>
      <c r="V366" s="239">
        <v>0.0</v>
      </c>
      <c r="W366" s="239">
        <v>0.0</v>
      </c>
      <c r="X366" s="238">
        <v>0.0</v>
      </c>
      <c r="Y366" s="239">
        <v>0.0</v>
      </c>
      <c r="Z366" s="239">
        <v>0.0</v>
      </c>
      <c r="AA366" s="239">
        <v>0.0</v>
      </c>
      <c r="AB366" s="239">
        <v>0.0</v>
      </c>
      <c r="AC366" s="239">
        <v>0.0</v>
      </c>
      <c r="AD366" s="239">
        <v>0.0</v>
      </c>
      <c r="AE366" s="239">
        <v>0.0</v>
      </c>
      <c r="AF366" s="189">
        <f t="shared" si="124"/>
        <v>0</v>
      </c>
    </row>
    <row r="367">
      <c r="A367" s="268" t="s">
        <v>354</v>
      </c>
      <c r="B367" s="239">
        <v>0.0</v>
      </c>
      <c r="C367" s="239">
        <v>0.0</v>
      </c>
      <c r="D367" s="238">
        <v>0.0</v>
      </c>
      <c r="E367" s="239">
        <v>0.0</v>
      </c>
      <c r="F367" s="239">
        <v>0.0</v>
      </c>
      <c r="G367" s="239">
        <v>0.0</v>
      </c>
      <c r="H367" s="239">
        <v>0.0</v>
      </c>
      <c r="I367" s="239">
        <v>0.0</v>
      </c>
      <c r="J367" s="239">
        <v>0.0</v>
      </c>
      <c r="K367" s="239">
        <v>0.0</v>
      </c>
      <c r="L367" s="239">
        <v>0.0</v>
      </c>
      <c r="M367" s="239">
        <v>0.0</v>
      </c>
      <c r="N367" s="239">
        <v>0.0</v>
      </c>
      <c r="O367" s="239">
        <v>0.0</v>
      </c>
      <c r="P367" s="239">
        <v>0.0</v>
      </c>
      <c r="Q367" s="239">
        <v>0.0</v>
      </c>
      <c r="R367" s="239">
        <v>0.0</v>
      </c>
      <c r="S367" s="239">
        <v>0.0</v>
      </c>
      <c r="T367" s="239">
        <v>0.0</v>
      </c>
      <c r="U367" s="239">
        <v>0.0</v>
      </c>
      <c r="V367" s="239">
        <v>0.0</v>
      </c>
      <c r="W367" s="239">
        <v>0.0</v>
      </c>
      <c r="X367" s="238">
        <v>0.0</v>
      </c>
      <c r="Y367" s="239">
        <v>0.0</v>
      </c>
      <c r="Z367" s="239">
        <v>0.0</v>
      </c>
      <c r="AA367" s="239">
        <v>0.0</v>
      </c>
      <c r="AB367" s="239">
        <v>0.0</v>
      </c>
      <c r="AC367" s="239">
        <v>0.0</v>
      </c>
      <c r="AD367" s="239">
        <v>0.0</v>
      </c>
      <c r="AE367" s="239">
        <v>0.0</v>
      </c>
      <c r="AF367" s="189">
        <f t="shared" si="124"/>
        <v>0</v>
      </c>
    </row>
    <row r="368">
      <c r="A368" s="271" t="s">
        <v>348</v>
      </c>
      <c r="B368" s="270">
        <f t="shared" ref="B368:AE368" si="125">SUM(B365:B367)</f>
        <v>1</v>
      </c>
      <c r="C368" s="270">
        <f t="shared" si="125"/>
        <v>1</v>
      </c>
      <c r="D368" s="270">
        <f t="shared" si="125"/>
        <v>0</v>
      </c>
      <c r="E368" s="270">
        <f t="shared" si="125"/>
        <v>2</v>
      </c>
      <c r="F368" s="270">
        <f t="shared" si="125"/>
        <v>0</v>
      </c>
      <c r="G368" s="270">
        <f t="shared" si="125"/>
        <v>0</v>
      </c>
      <c r="H368" s="270">
        <f t="shared" si="125"/>
        <v>0</v>
      </c>
      <c r="I368" s="270">
        <f t="shared" si="125"/>
        <v>1</v>
      </c>
      <c r="J368" s="270">
        <f t="shared" si="125"/>
        <v>0</v>
      </c>
      <c r="K368" s="270">
        <f t="shared" si="125"/>
        <v>1</v>
      </c>
      <c r="L368" s="270">
        <f t="shared" si="125"/>
        <v>1</v>
      </c>
      <c r="M368" s="270">
        <f t="shared" si="125"/>
        <v>0</v>
      </c>
      <c r="N368" s="270">
        <f t="shared" si="125"/>
        <v>2</v>
      </c>
      <c r="O368" s="270">
        <f t="shared" si="125"/>
        <v>3</v>
      </c>
      <c r="P368" s="270">
        <f t="shared" si="125"/>
        <v>5</v>
      </c>
      <c r="Q368" s="270">
        <f t="shared" si="125"/>
        <v>1</v>
      </c>
      <c r="R368" s="270">
        <f t="shared" si="125"/>
        <v>0</v>
      </c>
      <c r="S368" s="270">
        <f t="shared" si="125"/>
        <v>0</v>
      </c>
      <c r="T368" s="270">
        <f t="shared" si="125"/>
        <v>0</v>
      </c>
      <c r="U368" s="270">
        <f t="shared" si="125"/>
        <v>3</v>
      </c>
      <c r="V368" s="270">
        <f t="shared" si="125"/>
        <v>0</v>
      </c>
      <c r="W368" s="270">
        <f t="shared" si="125"/>
        <v>2</v>
      </c>
      <c r="X368" s="270">
        <f t="shared" si="125"/>
        <v>5</v>
      </c>
      <c r="Y368" s="270">
        <f t="shared" si="125"/>
        <v>6</v>
      </c>
      <c r="Z368" s="270">
        <f t="shared" si="125"/>
        <v>19</v>
      </c>
      <c r="AA368" s="270">
        <f t="shared" si="125"/>
        <v>0</v>
      </c>
      <c r="AB368" s="270">
        <f t="shared" si="125"/>
        <v>0</v>
      </c>
      <c r="AC368" s="270">
        <f t="shared" si="125"/>
        <v>0</v>
      </c>
      <c r="AD368" s="270">
        <f t="shared" si="125"/>
        <v>1</v>
      </c>
      <c r="AE368" s="270">
        <f t="shared" si="125"/>
        <v>0</v>
      </c>
      <c r="AF368" s="189">
        <f t="shared" si="124"/>
        <v>54</v>
      </c>
    </row>
    <row r="369">
      <c r="A369" s="224"/>
      <c r="B369" s="275"/>
      <c r="AF369" s="234"/>
    </row>
    <row r="370">
      <c r="A370" s="169" t="s">
        <v>355</v>
      </c>
      <c r="B370" s="166"/>
      <c r="C370" s="166"/>
      <c r="D370" s="166"/>
      <c r="E370" s="166"/>
      <c r="F370" s="166"/>
      <c r="G370" s="166"/>
      <c r="H370" s="16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234"/>
    </row>
    <row r="371">
      <c r="A371" s="268" t="s">
        <v>356</v>
      </c>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253">
        <f t="shared" ref="AF371:AF374" si="126">SUM(B371:AE371)</f>
        <v>0</v>
      </c>
    </row>
    <row r="372">
      <c r="A372" s="268" t="s">
        <v>357</v>
      </c>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253">
        <f t="shared" si="126"/>
        <v>0</v>
      </c>
    </row>
    <row r="373">
      <c r="A373" s="268" t="s">
        <v>358</v>
      </c>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253">
        <f t="shared" si="126"/>
        <v>0</v>
      </c>
    </row>
    <row r="374">
      <c r="A374" s="277" t="s">
        <v>330</v>
      </c>
      <c r="B374" s="278"/>
      <c r="C374" s="278"/>
      <c r="D374" s="278"/>
      <c r="E374" s="278"/>
      <c r="F374" s="278"/>
      <c r="G374" s="278"/>
      <c r="H374" s="278"/>
      <c r="I374" s="278"/>
      <c r="J374" s="278"/>
      <c r="K374" s="278"/>
      <c r="L374" s="278"/>
      <c r="M374" s="278"/>
      <c r="N374" s="278"/>
      <c r="O374" s="278"/>
      <c r="P374" s="278"/>
      <c r="Q374" s="278"/>
      <c r="R374" s="278"/>
      <c r="S374" s="278"/>
      <c r="T374" s="278"/>
      <c r="U374" s="278"/>
      <c r="V374" s="278"/>
      <c r="W374" s="278"/>
      <c r="X374" s="278"/>
      <c r="Y374" s="278"/>
      <c r="Z374" s="278"/>
      <c r="AA374" s="278"/>
      <c r="AB374" s="278"/>
      <c r="AC374" s="278"/>
      <c r="AD374" s="278"/>
      <c r="AE374" s="278"/>
      <c r="AF374" s="253">
        <f t="shared" si="126"/>
        <v>0</v>
      </c>
    </row>
    <row r="375">
      <c r="A375" s="224"/>
      <c r="AF375" s="253"/>
    </row>
    <row r="376">
      <c r="A376" s="268" t="s">
        <v>359</v>
      </c>
      <c r="B376" s="251">
        <v>18.3</v>
      </c>
      <c r="C376" s="251">
        <v>0.0</v>
      </c>
      <c r="D376" s="251">
        <v>36.0</v>
      </c>
      <c r="E376" s="251">
        <v>223.0</v>
      </c>
      <c r="F376" s="251">
        <v>176.7</v>
      </c>
      <c r="G376" s="251">
        <v>298.0</v>
      </c>
      <c r="H376" s="251">
        <f>159.2+269+21.6</f>
        <v>449.8</v>
      </c>
      <c r="I376" s="251">
        <v>104.7</v>
      </c>
      <c r="J376" s="251">
        <v>0.0</v>
      </c>
      <c r="K376" s="251">
        <v>0.0</v>
      </c>
      <c r="L376" s="251">
        <f>24+22</f>
        <v>46</v>
      </c>
      <c r="M376" s="251">
        <f>24+29+24+269</f>
        <v>346</v>
      </c>
      <c r="N376" s="251">
        <f>14+29+24+269+269</f>
        <v>605</v>
      </c>
      <c r="O376" s="251">
        <v>199.0</v>
      </c>
      <c r="P376" s="251">
        <f>211.2+11.9+269</f>
        <v>492.1</v>
      </c>
      <c r="Q376" s="251">
        <v>0.0</v>
      </c>
      <c r="R376" s="251">
        <v>0.0</v>
      </c>
      <c r="S376" s="251">
        <v>0.0</v>
      </c>
      <c r="T376" s="251">
        <f>398+24+70+199+188.3+269+24+269+22+24+269+24+199+269+14+22+24+269+269+24+199+199+179+29</f>
        <v>3476.3</v>
      </c>
      <c r="U376" s="251">
        <v>0.0</v>
      </c>
      <c r="V376" s="251">
        <v>18.0</v>
      </c>
      <c r="W376" s="251">
        <v>14.0</v>
      </c>
      <c r="X376" s="251">
        <v>70.0</v>
      </c>
      <c r="Y376" s="251">
        <v>0.0</v>
      </c>
      <c r="Z376" s="251">
        <f>269+269+24+29+14+18</f>
        <v>623</v>
      </c>
      <c r="AA376" s="251">
        <v>0.0</v>
      </c>
      <c r="AB376" s="251">
        <v>0.0</v>
      </c>
      <c r="AC376" s="251">
        <v>0.0</v>
      </c>
      <c r="AD376" s="251">
        <f>218.28+11.89+37.02</f>
        <v>267.19</v>
      </c>
      <c r="AE376" s="251">
        <v>0.0</v>
      </c>
      <c r="AF376" s="253">
        <f t="shared" ref="AF376:AF379" si="127">SUM(B376:AE376)</f>
        <v>7463.09</v>
      </c>
    </row>
    <row r="377">
      <c r="A377" s="268" t="s">
        <v>360</v>
      </c>
      <c r="B377" s="251">
        <v>13.4</v>
      </c>
      <c r="C377" s="251">
        <v>0.0</v>
      </c>
      <c r="D377" s="254">
        <v>13.0</v>
      </c>
      <c r="E377" s="251">
        <v>70.0</v>
      </c>
      <c r="F377" s="251">
        <v>0.0</v>
      </c>
      <c r="G377" s="251">
        <v>0.0</v>
      </c>
      <c r="H377" s="251">
        <f>35+35+0</f>
        <v>70</v>
      </c>
      <c r="I377" s="251">
        <v>0.0</v>
      </c>
      <c r="J377" s="251">
        <v>0.0</v>
      </c>
      <c r="K377" s="251">
        <v>32.0</v>
      </c>
      <c r="L377" s="251">
        <f>32+10</f>
        <v>42</v>
      </c>
      <c r="M377" s="251">
        <f>20+10+10</f>
        <v>40</v>
      </c>
      <c r="N377" s="251">
        <f>35+35</f>
        <v>70</v>
      </c>
      <c r="O377" s="251">
        <v>35.0</v>
      </c>
      <c r="P377" s="251">
        <f>13.1+35</f>
        <v>48.1</v>
      </c>
      <c r="Q377" s="251">
        <v>0.0</v>
      </c>
      <c r="R377" s="251">
        <v>0.0</v>
      </c>
      <c r="S377" s="251">
        <v>0.0</v>
      </c>
      <c r="T377" s="251">
        <f>15+20+10+15+30+30+10+10+10+0+10+10+10</f>
        <v>180</v>
      </c>
      <c r="U377" s="251">
        <v>0.0</v>
      </c>
      <c r="V377" s="251">
        <v>32.0</v>
      </c>
      <c r="W377" s="254">
        <v>35.0</v>
      </c>
      <c r="X377" s="254">
        <v>10.0</v>
      </c>
      <c r="Y377" s="251">
        <v>0.0</v>
      </c>
      <c r="Z377" s="251">
        <f>35+35+32</f>
        <v>102</v>
      </c>
      <c r="AA377" s="251">
        <v>0.0</v>
      </c>
      <c r="AB377" s="251">
        <v>0.0</v>
      </c>
      <c r="AC377" s="251">
        <v>0.0</v>
      </c>
      <c r="AD377" s="251">
        <f>11.89+16.04</f>
        <v>27.93</v>
      </c>
      <c r="AE377" s="251">
        <v>0.0</v>
      </c>
      <c r="AF377" s="253">
        <f t="shared" si="127"/>
        <v>820.43</v>
      </c>
    </row>
    <row r="378">
      <c r="A378" s="268" t="s">
        <v>361</v>
      </c>
      <c r="B378" s="251">
        <f t="shared" ref="B378:AE378" si="128">B376*0.22</f>
        <v>4.026</v>
      </c>
      <c r="C378" s="251">
        <f t="shared" si="128"/>
        <v>0</v>
      </c>
      <c r="D378" s="251">
        <f t="shared" si="128"/>
        <v>7.92</v>
      </c>
      <c r="E378" s="251">
        <f t="shared" si="128"/>
        <v>49.06</v>
      </c>
      <c r="F378" s="251">
        <f t="shared" si="128"/>
        <v>38.874</v>
      </c>
      <c r="G378" s="251">
        <f t="shared" si="128"/>
        <v>65.56</v>
      </c>
      <c r="H378" s="251">
        <f t="shared" si="128"/>
        <v>98.956</v>
      </c>
      <c r="I378" s="251">
        <f t="shared" si="128"/>
        <v>23.034</v>
      </c>
      <c r="J378" s="251">
        <f t="shared" si="128"/>
        <v>0</v>
      </c>
      <c r="K378" s="251">
        <f t="shared" si="128"/>
        <v>0</v>
      </c>
      <c r="L378" s="251">
        <f t="shared" si="128"/>
        <v>10.12</v>
      </c>
      <c r="M378" s="251">
        <f t="shared" si="128"/>
        <v>76.12</v>
      </c>
      <c r="N378" s="251">
        <f t="shared" si="128"/>
        <v>133.1</v>
      </c>
      <c r="O378" s="251">
        <f t="shared" si="128"/>
        <v>43.78</v>
      </c>
      <c r="P378" s="251">
        <f t="shared" si="128"/>
        <v>108.262</v>
      </c>
      <c r="Q378" s="251">
        <f t="shared" si="128"/>
        <v>0</v>
      </c>
      <c r="R378" s="251">
        <f t="shared" si="128"/>
        <v>0</v>
      </c>
      <c r="S378" s="251">
        <f t="shared" si="128"/>
        <v>0</v>
      </c>
      <c r="T378" s="251">
        <f t="shared" si="128"/>
        <v>764.786</v>
      </c>
      <c r="U378" s="251">
        <f t="shared" si="128"/>
        <v>0</v>
      </c>
      <c r="V378" s="251">
        <f t="shared" si="128"/>
        <v>3.96</v>
      </c>
      <c r="W378" s="251">
        <f t="shared" si="128"/>
        <v>3.08</v>
      </c>
      <c r="X378" s="251">
        <f t="shared" si="128"/>
        <v>15.4</v>
      </c>
      <c r="Y378" s="251">
        <f t="shared" si="128"/>
        <v>0</v>
      </c>
      <c r="Z378" s="251">
        <f t="shared" si="128"/>
        <v>137.06</v>
      </c>
      <c r="AA378" s="251">
        <f t="shared" si="128"/>
        <v>0</v>
      </c>
      <c r="AB378" s="251">
        <f t="shared" si="128"/>
        <v>0</v>
      </c>
      <c r="AC378" s="251">
        <f t="shared" si="128"/>
        <v>0</v>
      </c>
      <c r="AD378" s="251">
        <f t="shared" si="128"/>
        <v>58.7818</v>
      </c>
      <c r="AE378" s="251">
        <f t="shared" si="128"/>
        <v>0</v>
      </c>
      <c r="AF378" s="253">
        <f t="shared" si="127"/>
        <v>1641.8798</v>
      </c>
    </row>
    <row r="379">
      <c r="A379" s="277" t="s">
        <v>336</v>
      </c>
      <c r="B379" s="278">
        <f t="shared" ref="B379:AE379" si="129">B376+B377</f>
        <v>31.7</v>
      </c>
      <c r="C379" s="278">
        <f t="shared" si="129"/>
        <v>0</v>
      </c>
      <c r="D379" s="278">
        <f t="shared" si="129"/>
        <v>49</v>
      </c>
      <c r="E379" s="278">
        <f t="shared" si="129"/>
        <v>293</v>
      </c>
      <c r="F379" s="278">
        <f t="shared" si="129"/>
        <v>176.7</v>
      </c>
      <c r="G379" s="278">
        <f t="shared" si="129"/>
        <v>298</v>
      </c>
      <c r="H379" s="278">
        <f t="shared" si="129"/>
        <v>519.8</v>
      </c>
      <c r="I379" s="278">
        <f t="shared" si="129"/>
        <v>104.7</v>
      </c>
      <c r="J379" s="278">
        <f t="shared" si="129"/>
        <v>0</v>
      </c>
      <c r="K379" s="278">
        <f t="shared" si="129"/>
        <v>32</v>
      </c>
      <c r="L379" s="278">
        <f t="shared" si="129"/>
        <v>88</v>
      </c>
      <c r="M379" s="278">
        <f t="shared" si="129"/>
        <v>386</v>
      </c>
      <c r="N379" s="278">
        <f t="shared" si="129"/>
        <v>675</v>
      </c>
      <c r="O379" s="278">
        <f t="shared" si="129"/>
        <v>234</v>
      </c>
      <c r="P379" s="278">
        <f t="shared" si="129"/>
        <v>540.2</v>
      </c>
      <c r="Q379" s="278">
        <f t="shared" si="129"/>
        <v>0</v>
      </c>
      <c r="R379" s="278">
        <f t="shared" si="129"/>
        <v>0</v>
      </c>
      <c r="S379" s="278">
        <f t="shared" si="129"/>
        <v>0</v>
      </c>
      <c r="T379" s="278">
        <f t="shared" si="129"/>
        <v>3656.3</v>
      </c>
      <c r="U379" s="278">
        <f t="shared" si="129"/>
        <v>0</v>
      </c>
      <c r="V379" s="278">
        <f t="shared" si="129"/>
        <v>50</v>
      </c>
      <c r="W379" s="278">
        <f t="shared" si="129"/>
        <v>49</v>
      </c>
      <c r="X379" s="278">
        <f t="shared" si="129"/>
        <v>80</v>
      </c>
      <c r="Y379" s="278">
        <f t="shared" si="129"/>
        <v>0</v>
      </c>
      <c r="Z379" s="278">
        <f t="shared" si="129"/>
        <v>725</v>
      </c>
      <c r="AA379" s="278">
        <f t="shared" si="129"/>
        <v>0</v>
      </c>
      <c r="AB379" s="278">
        <f t="shared" si="129"/>
        <v>0</v>
      </c>
      <c r="AC379" s="278">
        <f t="shared" si="129"/>
        <v>0</v>
      </c>
      <c r="AD379" s="278">
        <f t="shared" si="129"/>
        <v>295.12</v>
      </c>
      <c r="AE379" s="278">
        <f t="shared" si="129"/>
        <v>0</v>
      </c>
      <c r="AF379" s="253">
        <f t="shared" si="127"/>
        <v>8283.52</v>
      </c>
    </row>
    <row r="380">
      <c r="A380" s="224"/>
      <c r="B380" s="239"/>
      <c r="C380" s="239"/>
      <c r="D380" s="239"/>
      <c r="E380" s="239"/>
      <c r="F380" s="239"/>
      <c r="G380" s="239"/>
      <c r="H380" s="239"/>
      <c r="I380" s="239"/>
      <c r="J380" s="239"/>
      <c r="K380" s="239"/>
      <c r="L380" s="239"/>
      <c r="M380" s="239"/>
      <c r="N380" s="239"/>
      <c r="O380" s="219"/>
      <c r="P380" s="219"/>
      <c r="Q380" s="219"/>
      <c r="R380" s="219"/>
      <c r="S380" s="219"/>
      <c r="T380" s="219"/>
      <c r="U380" s="219"/>
      <c r="V380" s="219"/>
      <c r="W380" s="219"/>
      <c r="X380" s="219"/>
      <c r="Y380" s="219"/>
      <c r="Z380" s="219"/>
      <c r="AA380" s="219"/>
      <c r="AB380" s="219"/>
      <c r="AC380" s="219"/>
      <c r="AD380" s="219"/>
      <c r="AE380" s="219"/>
      <c r="AF380" s="253"/>
    </row>
    <row r="381">
      <c r="A381" s="268" t="s">
        <v>362</v>
      </c>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253">
        <f t="shared" ref="AF381:AF384" si="130">SUM(B381:AE381)</f>
        <v>0</v>
      </c>
    </row>
    <row r="382">
      <c r="A382" s="268" t="s">
        <v>363</v>
      </c>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253">
        <f t="shared" si="130"/>
        <v>0</v>
      </c>
    </row>
    <row r="383">
      <c r="A383" s="268" t="s">
        <v>364</v>
      </c>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253">
        <f t="shared" si="130"/>
        <v>0</v>
      </c>
    </row>
    <row r="384">
      <c r="A384" s="277" t="s">
        <v>342</v>
      </c>
      <c r="B384" s="278">
        <f t="shared" ref="B384:AE384" si="131">B381+B382</f>
        <v>0</v>
      </c>
      <c r="C384" s="278">
        <f t="shared" si="131"/>
        <v>0</v>
      </c>
      <c r="D384" s="278">
        <f t="shared" si="131"/>
        <v>0</v>
      </c>
      <c r="E384" s="278">
        <f t="shared" si="131"/>
        <v>0</v>
      </c>
      <c r="F384" s="278">
        <f t="shared" si="131"/>
        <v>0</v>
      </c>
      <c r="G384" s="278">
        <f t="shared" si="131"/>
        <v>0</v>
      </c>
      <c r="H384" s="278">
        <f t="shared" si="131"/>
        <v>0</v>
      </c>
      <c r="I384" s="278">
        <f t="shared" si="131"/>
        <v>0</v>
      </c>
      <c r="J384" s="278">
        <f t="shared" si="131"/>
        <v>0</v>
      </c>
      <c r="K384" s="278">
        <f t="shared" si="131"/>
        <v>0</v>
      </c>
      <c r="L384" s="278">
        <f t="shared" si="131"/>
        <v>0</v>
      </c>
      <c r="M384" s="278">
        <f t="shared" si="131"/>
        <v>0</v>
      </c>
      <c r="N384" s="278">
        <f t="shared" si="131"/>
        <v>0</v>
      </c>
      <c r="O384" s="278">
        <f t="shared" si="131"/>
        <v>0</v>
      </c>
      <c r="P384" s="278">
        <f t="shared" si="131"/>
        <v>0</v>
      </c>
      <c r="Q384" s="278">
        <f t="shared" si="131"/>
        <v>0</v>
      </c>
      <c r="R384" s="278">
        <f t="shared" si="131"/>
        <v>0</v>
      </c>
      <c r="S384" s="278">
        <f t="shared" si="131"/>
        <v>0</v>
      </c>
      <c r="T384" s="278">
        <f t="shared" si="131"/>
        <v>0</v>
      </c>
      <c r="U384" s="278">
        <f t="shared" si="131"/>
        <v>0</v>
      </c>
      <c r="V384" s="278">
        <f t="shared" si="131"/>
        <v>0</v>
      </c>
      <c r="W384" s="278">
        <f t="shared" si="131"/>
        <v>0</v>
      </c>
      <c r="X384" s="278">
        <f t="shared" si="131"/>
        <v>0</v>
      </c>
      <c r="Y384" s="278">
        <f t="shared" si="131"/>
        <v>0</v>
      </c>
      <c r="Z384" s="278">
        <f t="shared" si="131"/>
        <v>0</v>
      </c>
      <c r="AA384" s="278">
        <f t="shared" si="131"/>
        <v>0</v>
      </c>
      <c r="AB384" s="278">
        <f t="shared" si="131"/>
        <v>0</v>
      </c>
      <c r="AC384" s="278">
        <f t="shared" si="131"/>
        <v>0</v>
      </c>
      <c r="AD384" s="278">
        <f t="shared" si="131"/>
        <v>0</v>
      </c>
      <c r="AE384" s="278">
        <f t="shared" si="131"/>
        <v>0</v>
      </c>
      <c r="AF384" s="253">
        <f t="shared" si="130"/>
        <v>0</v>
      </c>
    </row>
    <row r="385">
      <c r="A385" s="224"/>
      <c r="AF385" s="234"/>
    </row>
    <row r="386">
      <c r="A386" s="169" t="s">
        <v>365</v>
      </c>
      <c r="AF386" s="234"/>
    </row>
    <row r="387">
      <c r="A387" s="268" t="s">
        <v>356</v>
      </c>
      <c r="B387" s="251">
        <v>199.0</v>
      </c>
      <c r="C387" s="251">
        <v>199.0</v>
      </c>
      <c r="D387" s="254">
        <v>0.0</v>
      </c>
      <c r="E387" s="279">
        <f>398+334.7</f>
        <v>732.7</v>
      </c>
      <c r="F387" s="279">
        <v>0.0</v>
      </c>
      <c r="G387" s="279">
        <v>0.0</v>
      </c>
      <c r="H387" s="279">
        <v>0.0</v>
      </c>
      <c r="I387" s="279">
        <v>309.85</v>
      </c>
      <c r="J387" s="279">
        <v>0.0</v>
      </c>
      <c r="K387" s="279">
        <v>335.87</v>
      </c>
      <c r="L387" s="279">
        <v>199.0</v>
      </c>
      <c r="M387" s="279">
        <v>0.0</v>
      </c>
      <c r="N387" s="279">
        <f>199+24+199</f>
        <v>422</v>
      </c>
      <c r="O387" s="279">
        <f>199+70+24+22+199+70+269</f>
        <v>853</v>
      </c>
      <c r="P387" s="279">
        <f>199+199+24+199+70+24+199+70+199+70</f>
        <v>1253</v>
      </c>
      <c r="Q387" s="279">
        <f>70+199+24</f>
        <v>293</v>
      </c>
      <c r="R387" s="279">
        <v>0.0</v>
      </c>
      <c r="S387" s="279">
        <v>0.0</v>
      </c>
      <c r="T387" s="279">
        <v>0.0</v>
      </c>
      <c r="U387" s="279">
        <f>199+70+199+170.5</f>
        <v>638.5</v>
      </c>
      <c r="V387" s="279">
        <v>0.0</v>
      </c>
      <c r="W387" s="280">
        <f>199+199+70</f>
        <v>468</v>
      </c>
      <c r="X387" s="251">
        <f>199+199+70+24+22+199+70+70+24+199+199+24</f>
        <v>1299</v>
      </c>
      <c r="Y387" s="279">
        <f>199+199+22+199+70+199+70+199+22+199</f>
        <v>1378</v>
      </c>
      <c r="Z387" s="279">
        <f>199+24+199+189+199+70+199+269+24+199+70+199+189+18+189+199+70+24+199+24+199+70+199+199+70+24+398+140+48+199+70+199+70+24+199</f>
        <v>4860</v>
      </c>
      <c r="AA387" s="279">
        <v>0.0</v>
      </c>
      <c r="AB387" s="279">
        <v>0.0</v>
      </c>
      <c r="AC387" s="279">
        <v>0.0</v>
      </c>
      <c r="AD387" s="279">
        <v>258.0</v>
      </c>
      <c r="AE387" s="279">
        <v>0.0</v>
      </c>
      <c r="AF387" s="253">
        <f t="shared" ref="AF387:AF388" si="132">SUM(B387:AE387)</f>
        <v>13697.92</v>
      </c>
    </row>
    <row r="388">
      <c r="A388" s="268" t="s">
        <v>357</v>
      </c>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53">
        <f t="shared" si="132"/>
        <v>0</v>
      </c>
    </row>
    <row r="389">
      <c r="A389" s="268" t="s">
        <v>358</v>
      </c>
      <c r="B389" s="281"/>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53">
        <f>SUM(C389:AE389)</f>
        <v>0</v>
      </c>
    </row>
    <row r="390">
      <c r="A390" s="277" t="s">
        <v>330</v>
      </c>
      <c r="B390" s="282">
        <f t="shared" ref="B390:AE390" si="133">sum(B387:B389)</f>
        <v>199</v>
      </c>
      <c r="C390" s="282">
        <f t="shared" si="133"/>
        <v>199</v>
      </c>
      <c r="D390" s="282">
        <f t="shared" si="133"/>
        <v>0</v>
      </c>
      <c r="E390" s="282">
        <f t="shared" si="133"/>
        <v>732.7</v>
      </c>
      <c r="F390" s="282">
        <f t="shared" si="133"/>
        <v>0</v>
      </c>
      <c r="G390" s="282">
        <f t="shared" si="133"/>
        <v>0</v>
      </c>
      <c r="H390" s="282">
        <f t="shared" si="133"/>
        <v>0</v>
      </c>
      <c r="I390" s="282">
        <f t="shared" si="133"/>
        <v>309.85</v>
      </c>
      <c r="J390" s="282">
        <f t="shared" si="133"/>
        <v>0</v>
      </c>
      <c r="K390" s="282">
        <f t="shared" si="133"/>
        <v>335.87</v>
      </c>
      <c r="L390" s="282">
        <f t="shared" si="133"/>
        <v>199</v>
      </c>
      <c r="M390" s="282">
        <f t="shared" si="133"/>
        <v>0</v>
      </c>
      <c r="N390" s="282">
        <f t="shared" si="133"/>
        <v>422</v>
      </c>
      <c r="O390" s="282">
        <f t="shared" si="133"/>
        <v>853</v>
      </c>
      <c r="P390" s="282">
        <f t="shared" si="133"/>
        <v>1253</v>
      </c>
      <c r="Q390" s="282">
        <f t="shared" si="133"/>
        <v>293</v>
      </c>
      <c r="R390" s="282">
        <f t="shared" si="133"/>
        <v>0</v>
      </c>
      <c r="S390" s="282">
        <f t="shared" si="133"/>
        <v>0</v>
      </c>
      <c r="T390" s="282">
        <f t="shared" si="133"/>
        <v>0</v>
      </c>
      <c r="U390" s="282">
        <f t="shared" si="133"/>
        <v>638.5</v>
      </c>
      <c r="V390" s="282">
        <f t="shared" si="133"/>
        <v>0</v>
      </c>
      <c r="W390" s="282">
        <f t="shared" si="133"/>
        <v>468</v>
      </c>
      <c r="X390" s="282">
        <f t="shared" si="133"/>
        <v>1299</v>
      </c>
      <c r="Y390" s="282">
        <f t="shared" si="133"/>
        <v>1378</v>
      </c>
      <c r="Z390" s="282">
        <f t="shared" si="133"/>
        <v>4860</v>
      </c>
      <c r="AA390" s="282">
        <f t="shared" si="133"/>
        <v>0</v>
      </c>
      <c r="AB390" s="282">
        <f t="shared" si="133"/>
        <v>0</v>
      </c>
      <c r="AC390" s="282">
        <f t="shared" si="133"/>
        <v>0</v>
      </c>
      <c r="AD390" s="282">
        <f t="shared" si="133"/>
        <v>258</v>
      </c>
      <c r="AE390" s="282">
        <f t="shared" si="133"/>
        <v>0</v>
      </c>
      <c r="AF390" s="253">
        <f>SUM(B390:AE390)</f>
        <v>13697.92</v>
      </c>
    </row>
    <row r="391">
      <c r="A391" s="224"/>
      <c r="B391" s="266"/>
      <c r="C391" s="266"/>
      <c r="D391" s="266"/>
      <c r="E391" s="266"/>
      <c r="F391" s="26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c r="AD391" s="266"/>
      <c r="AE391" s="266"/>
      <c r="AF391" s="234"/>
    </row>
    <row r="392">
      <c r="A392" s="268" t="s">
        <v>359</v>
      </c>
      <c r="B392" s="251">
        <v>0.0</v>
      </c>
      <c r="C392" s="251">
        <v>0.0</v>
      </c>
      <c r="D392" s="280">
        <v>0.0</v>
      </c>
      <c r="E392" s="279">
        <v>0.0</v>
      </c>
      <c r="F392" s="251">
        <v>0.0</v>
      </c>
      <c r="G392" s="279">
        <v>0.0</v>
      </c>
      <c r="H392" s="279"/>
      <c r="I392" s="279">
        <v>0.0</v>
      </c>
      <c r="J392" s="279">
        <v>0.0</v>
      </c>
      <c r="K392" s="279">
        <v>0.0</v>
      </c>
      <c r="L392" s="279">
        <v>0.0</v>
      </c>
      <c r="M392" s="279">
        <v>0.0</v>
      </c>
      <c r="N392" s="279">
        <v>0.0</v>
      </c>
      <c r="O392" s="279">
        <v>0.0</v>
      </c>
      <c r="P392" s="279">
        <v>0.0</v>
      </c>
      <c r="Q392" s="279">
        <v>0.0</v>
      </c>
      <c r="R392" s="279">
        <v>0.0</v>
      </c>
      <c r="S392" s="279">
        <v>0.0</v>
      </c>
      <c r="T392" s="279">
        <v>0.0</v>
      </c>
      <c r="U392" s="279">
        <v>0.0</v>
      </c>
      <c r="V392" s="279">
        <v>0.0</v>
      </c>
      <c r="W392" s="279">
        <v>0.0</v>
      </c>
      <c r="X392" s="280">
        <v>0.0</v>
      </c>
      <c r="Y392" s="279">
        <v>0.0</v>
      </c>
      <c r="Z392" s="279">
        <v>0.0</v>
      </c>
      <c r="AA392" s="279">
        <v>0.0</v>
      </c>
      <c r="AB392" s="279">
        <v>0.0</v>
      </c>
      <c r="AC392" s="279">
        <v>0.0</v>
      </c>
      <c r="AD392" s="279">
        <v>0.0</v>
      </c>
      <c r="AE392" s="279">
        <v>0.0</v>
      </c>
      <c r="AF392" s="253">
        <f t="shared" ref="AF392:AF395" si="134">SUM(B392:AE392)</f>
        <v>0</v>
      </c>
    </row>
    <row r="393">
      <c r="A393" s="268" t="s">
        <v>360</v>
      </c>
      <c r="B393" s="251">
        <v>0.0</v>
      </c>
      <c r="C393" s="251">
        <v>0.0</v>
      </c>
      <c r="D393" s="280">
        <v>0.0</v>
      </c>
      <c r="E393" s="279">
        <v>0.0</v>
      </c>
      <c r="F393" s="251">
        <v>0.0</v>
      </c>
      <c r="G393" s="279">
        <v>0.0</v>
      </c>
      <c r="H393" s="279"/>
      <c r="I393" s="279">
        <v>0.0</v>
      </c>
      <c r="J393" s="279">
        <v>0.0</v>
      </c>
      <c r="K393" s="279">
        <v>0.0</v>
      </c>
      <c r="L393" s="279">
        <v>0.0</v>
      </c>
      <c r="M393" s="279">
        <v>0.0</v>
      </c>
      <c r="N393" s="279">
        <v>0.0</v>
      </c>
      <c r="O393" s="279">
        <v>0.0</v>
      </c>
      <c r="P393" s="279">
        <v>0.0</v>
      </c>
      <c r="Q393" s="279">
        <v>0.0</v>
      </c>
      <c r="R393" s="279">
        <v>0.0</v>
      </c>
      <c r="S393" s="279">
        <v>0.0</v>
      </c>
      <c r="T393" s="279">
        <v>0.0</v>
      </c>
      <c r="U393" s="279">
        <v>0.0</v>
      </c>
      <c r="V393" s="279">
        <v>0.0</v>
      </c>
      <c r="W393" s="279">
        <v>0.0</v>
      </c>
      <c r="X393" s="280">
        <v>0.0</v>
      </c>
      <c r="Y393" s="279">
        <v>0.0</v>
      </c>
      <c r="Z393" s="279">
        <v>0.0</v>
      </c>
      <c r="AA393" s="279">
        <v>0.0</v>
      </c>
      <c r="AB393" s="279">
        <v>0.0</v>
      </c>
      <c r="AC393" s="279">
        <v>0.0</v>
      </c>
      <c r="AD393" s="279">
        <v>0.0</v>
      </c>
      <c r="AE393" s="279">
        <v>0.0</v>
      </c>
      <c r="AF393" s="253">
        <f t="shared" si="134"/>
        <v>0</v>
      </c>
    </row>
    <row r="394">
      <c r="A394" s="268" t="s">
        <v>361</v>
      </c>
      <c r="B394" s="251">
        <v>0.0</v>
      </c>
      <c r="C394" s="251">
        <v>0.0</v>
      </c>
      <c r="D394" s="254">
        <v>0.0</v>
      </c>
      <c r="E394" s="251">
        <v>0.0</v>
      </c>
      <c r="F394" s="251">
        <v>0.0</v>
      </c>
      <c r="G394" s="251">
        <v>0.0</v>
      </c>
      <c r="H394" s="251"/>
      <c r="I394" s="251">
        <v>0.0</v>
      </c>
      <c r="J394" s="251">
        <v>0.0</v>
      </c>
      <c r="K394" s="251">
        <v>0.0</v>
      </c>
      <c r="L394" s="251">
        <v>0.0</v>
      </c>
      <c r="M394" s="251">
        <v>0.0</v>
      </c>
      <c r="N394" s="251">
        <v>0.0</v>
      </c>
      <c r="O394" s="251">
        <v>0.0</v>
      </c>
      <c r="P394" s="251">
        <v>0.0</v>
      </c>
      <c r="Q394" s="251">
        <v>0.0</v>
      </c>
      <c r="R394" s="251">
        <v>0.0</v>
      </c>
      <c r="S394" s="251">
        <v>0.0</v>
      </c>
      <c r="T394" s="251">
        <v>0.0</v>
      </c>
      <c r="U394" s="251">
        <v>0.0</v>
      </c>
      <c r="V394" s="251">
        <v>0.0</v>
      </c>
      <c r="W394" s="251">
        <v>0.0</v>
      </c>
      <c r="X394" s="254">
        <v>0.0</v>
      </c>
      <c r="Y394" s="251">
        <v>0.0</v>
      </c>
      <c r="Z394" s="251">
        <v>0.0</v>
      </c>
      <c r="AA394" s="251">
        <v>0.0</v>
      </c>
      <c r="AB394" s="251">
        <v>0.0</v>
      </c>
      <c r="AC394" s="251">
        <v>0.0</v>
      </c>
      <c r="AD394" s="251">
        <v>0.0</v>
      </c>
      <c r="AE394" s="251">
        <v>0.0</v>
      </c>
      <c r="AF394" s="253">
        <f t="shared" si="134"/>
        <v>0</v>
      </c>
    </row>
    <row r="395">
      <c r="A395" s="271" t="s">
        <v>336</v>
      </c>
      <c r="B395" s="278">
        <f t="shared" ref="B395:AE395" si="135">SUM(B392:B394)</f>
        <v>0</v>
      </c>
      <c r="C395" s="278">
        <f t="shared" si="135"/>
        <v>0</v>
      </c>
      <c r="D395" s="278">
        <f t="shared" si="135"/>
        <v>0</v>
      </c>
      <c r="E395" s="278">
        <f t="shared" si="135"/>
        <v>0</v>
      </c>
      <c r="F395" s="278">
        <f t="shared" si="135"/>
        <v>0</v>
      </c>
      <c r="G395" s="278">
        <f t="shared" si="135"/>
        <v>0</v>
      </c>
      <c r="H395" s="278">
        <f t="shared" si="135"/>
        <v>0</v>
      </c>
      <c r="I395" s="278">
        <f t="shared" si="135"/>
        <v>0</v>
      </c>
      <c r="J395" s="278">
        <f t="shared" si="135"/>
        <v>0</v>
      </c>
      <c r="K395" s="278">
        <f t="shared" si="135"/>
        <v>0</v>
      </c>
      <c r="L395" s="278">
        <f t="shared" si="135"/>
        <v>0</v>
      </c>
      <c r="M395" s="278">
        <f t="shared" si="135"/>
        <v>0</v>
      </c>
      <c r="N395" s="278">
        <f t="shared" si="135"/>
        <v>0</v>
      </c>
      <c r="O395" s="278">
        <f t="shared" si="135"/>
        <v>0</v>
      </c>
      <c r="P395" s="278">
        <f t="shared" si="135"/>
        <v>0</v>
      </c>
      <c r="Q395" s="278">
        <f t="shared" si="135"/>
        <v>0</v>
      </c>
      <c r="R395" s="278">
        <f t="shared" si="135"/>
        <v>0</v>
      </c>
      <c r="S395" s="278">
        <f t="shared" si="135"/>
        <v>0</v>
      </c>
      <c r="T395" s="278">
        <f t="shared" si="135"/>
        <v>0</v>
      </c>
      <c r="U395" s="278">
        <f t="shared" si="135"/>
        <v>0</v>
      </c>
      <c r="V395" s="278">
        <f t="shared" si="135"/>
        <v>0</v>
      </c>
      <c r="W395" s="278">
        <f t="shared" si="135"/>
        <v>0</v>
      </c>
      <c r="X395" s="278">
        <f t="shared" si="135"/>
        <v>0</v>
      </c>
      <c r="Y395" s="278">
        <f t="shared" si="135"/>
        <v>0</v>
      </c>
      <c r="Z395" s="278">
        <f t="shared" si="135"/>
        <v>0</v>
      </c>
      <c r="AA395" s="278">
        <f t="shared" si="135"/>
        <v>0</v>
      </c>
      <c r="AB395" s="278">
        <f t="shared" si="135"/>
        <v>0</v>
      </c>
      <c r="AC395" s="278">
        <f t="shared" si="135"/>
        <v>0</v>
      </c>
      <c r="AD395" s="278">
        <f t="shared" si="135"/>
        <v>0</v>
      </c>
      <c r="AE395" s="278">
        <f t="shared" si="135"/>
        <v>0</v>
      </c>
      <c r="AF395" s="253">
        <f t="shared" si="134"/>
        <v>0</v>
      </c>
    </row>
    <row r="396">
      <c r="A396" s="224"/>
      <c r="B396" s="266"/>
      <c r="C396" s="266"/>
      <c r="D396" s="266"/>
      <c r="E396" s="266"/>
      <c r="F396" s="266"/>
      <c r="G396" s="266"/>
      <c r="H396" s="266"/>
      <c r="I396" s="266"/>
      <c r="J396" s="266"/>
      <c r="K396" s="266"/>
      <c r="L396" s="266"/>
      <c r="M396" s="266"/>
      <c r="N396" s="266"/>
      <c r="O396" s="266"/>
      <c r="P396" s="266"/>
      <c r="Q396" s="266"/>
      <c r="R396" s="266"/>
      <c r="S396" s="266"/>
      <c r="T396" s="266"/>
      <c r="U396" s="266"/>
      <c r="V396" s="266"/>
      <c r="W396" s="266"/>
      <c r="X396" s="266"/>
      <c r="Y396" s="266"/>
      <c r="Z396" s="266"/>
      <c r="AA396" s="266"/>
      <c r="AB396" s="266"/>
      <c r="AC396" s="266"/>
      <c r="AD396" s="266"/>
      <c r="AE396" s="266"/>
      <c r="AF396" s="234"/>
    </row>
    <row r="397">
      <c r="A397" s="268" t="s">
        <v>362</v>
      </c>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53">
        <f t="shared" ref="AF397:AF400" si="136">SUM(B397:AE397)</f>
        <v>0</v>
      </c>
    </row>
    <row r="398">
      <c r="A398" s="268" t="s">
        <v>363</v>
      </c>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53">
        <f t="shared" si="136"/>
        <v>0</v>
      </c>
    </row>
    <row r="399">
      <c r="A399" s="268" t="s">
        <v>364</v>
      </c>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53">
        <f t="shared" si="136"/>
        <v>0</v>
      </c>
    </row>
    <row r="400">
      <c r="A400" s="277" t="s">
        <v>342</v>
      </c>
      <c r="B400" s="278">
        <f t="shared" ref="B400:AE400" si="137">SUM(B397:B399)</f>
        <v>0</v>
      </c>
      <c r="C400" s="278">
        <f t="shared" si="137"/>
        <v>0</v>
      </c>
      <c r="D400" s="278">
        <f t="shared" si="137"/>
        <v>0</v>
      </c>
      <c r="E400" s="278">
        <f t="shared" si="137"/>
        <v>0</v>
      </c>
      <c r="F400" s="278">
        <f t="shared" si="137"/>
        <v>0</v>
      </c>
      <c r="G400" s="278">
        <f t="shared" si="137"/>
        <v>0</v>
      </c>
      <c r="H400" s="278">
        <f t="shared" si="137"/>
        <v>0</v>
      </c>
      <c r="I400" s="278">
        <f t="shared" si="137"/>
        <v>0</v>
      </c>
      <c r="J400" s="278">
        <f t="shared" si="137"/>
        <v>0</v>
      </c>
      <c r="K400" s="278">
        <f t="shared" si="137"/>
        <v>0</v>
      </c>
      <c r="L400" s="278">
        <f t="shared" si="137"/>
        <v>0</v>
      </c>
      <c r="M400" s="278">
        <f t="shared" si="137"/>
        <v>0</v>
      </c>
      <c r="N400" s="278">
        <f t="shared" si="137"/>
        <v>0</v>
      </c>
      <c r="O400" s="278">
        <f t="shared" si="137"/>
        <v>0</v>
      </c>
      <c r="P400" s="278">
        <f t="shared" si="137"/>
        <v>0</v>
      </c>
      <c r="Q400" s="278">
        <f t="shared" si="137"/>
        <v>0</v>
      </c>
      <c r="R400" s="278">
        <f t="shared" si="137"/>
        <v>0</v>
      </c>
      <c r="S400" s="278">
        <f t="shared" si="137"/>
        <v>0</v>
      </c>
      <c r="T400" s="278">
        <f t="shared" si="137"/>
        <v>0</v>
      </c>
      <c r="U400" s="278">
        <f t="shared" si="137"/>
        <v>0</v>
      </c>
      <c r="V400" s="278">
        <f t="shared" si="137"/>
        <v>0</v>
      </c>
      <c r="W400" s="278">
        <f t="shared" si="137"/>
        <v>0</v>
      </c>
      <c r="X400" s="278">
        <f t="shared" si="137"/>
        <v>0</v>
      </c>
      <c r="Y400" s="278">
        <f t="shared" si="137"/>
        <v>0</v>
      </c>
      <c r="Z400" s="278">
        <f t="shared" si="137"/>
        <v>0</v>
      </c>
      <c r="AA400" s="278">
        <f t="shared" si="137"/>
        <v>0</v>
      </c>
      <c r="AB400" s="278">
        <f t="shared" si="137"/>
        <v>0</v>
      </c>
      <c r="AC400" s="278">
        <f t="shared" si="137"/>
        <v>0</v>
      </c>
      <c r="AD400" s="278">
        <f t="shared" si="137"/>
        <v>0</v>
      </c>
      <c r="AE400" s="278">
        <f t="shared" si="137"/>
        <v>0</v>
      </c>
      <c r="AF400" s="253">
        <f t="shared" si="136"/>
        <v>0</v>
      </c>
    </row>
    <row r="401">
      <c r="A401" s="224"/>
      <c r="AF401" s="234"/>
    </row>
    <row r="402">
      <c r="A402" s="169" t="s">
        <v>366</v>
      </c>
      <c r="AF402" s="234"/>
    </row>
    <row r="403">
      <c r="A403" s="268" t="s">
        <v>318</v>
      </c>
      <c r="B403" s="239">
        <v>0.0</v>
      </c>
      <c r="C403" s="239">
        <v>0.0</v>
      </c>
      <c r="D403" s="239">
        <v>0.0</v>
      </c>
      <c r="E403" s="239">
        <v>0.0</v>
      </c>
      <c r="F403" s="239">
        <v>0.0</v>
      </c>
      <c r="G403" s="239">
        <v>0.0</v>
      </c>
      <c r="H403" s="239">
        <v>0.0</v>
      </c>
      <c r="I403" s="239">
        <v>0.0</v>
      </c>
      <c r="J403" s="239">
        <v>0.0</v>
      </c>
      <c r="K403" s="239">
        <v>0.0</v>
      </c>
      <c r="L403" s="239">
        <v>0.0</v>
      </c>
      <c r="M403" s="239">
        <v>0.0</v>
      </c>
      <c r="N403" s="239">
        <v>0.0</v>
      </c>
      <c r="O403" s="239">
        <v>0.0</v>
      </c>
      <c r="P403" s="239">
        <v>0.0</v>
      </c>
      <c r="Q403" s="239">
        <v>0.0</v>
      </c>
      <c r="R403" s="239">
        <v>0.0</v>
      </c>
      <c r="S403" s="239">
        <v>0.0</v>
      </c>
      <c r="T403" s="239">
        <v>0.0</v>
      </c>
      <c r="U403" s="239">
        <v>0.0</v>
      </c>
      <c r="V403" s="239">
        <v>0.0</v>
      </c>
      <c r="W403" s="239">
        <v>0.0</v>
      </c>
      <c r="X403" s="239">
        <v>0.0</v>
      </c>
      <c r="Y403" s="239">
        <v>0.0</v>
      </c>
      <c r="Z403" s="239">
        <v>0.0</v>
      </c>
      <c r="AA403" s="239">
        <v>0.0</v>
      </c>
      <c r="AB403" s="239">
        <v>0.0</v>
      </c>
      <c r="AC403" s="239">
        <v>0.0</v>
      </c>
      <c r="AD403" s="239">
        <v>0.0</v>
      </c>
      <c r="AE403" s="239">
        <v>0.0</v>
      </c>
      <c r="AF403" s="189">
        <f t="shared" ref="AF403:AF410" si="138">SUM(B403:AE403)</f>
        <v>0</v>
      </c>
    </row>
    <row r="404">
      <c r="A404" s="268" t="s">
        <v>319</v>
      </c>
      <c r="B404" s="239">
        <v>0.0</v>
      </c>
      <c r="C404" s="239">
        <v>0.0</v>
      </c>
      <c r="D404" s="239">
        <v>0.0</v>
      </c>
      <c r="E404" s="239">
        <v>0.0</v>
      </c>
      <c r="F404" s="239">
        <v>0.0</v>
      </c>
      <c r="G404" s="239">
        <v>0.0</v>
      </c>
      <c r="H404" s="239">
        <v>0.0</v>
      </c>
      <c r="I404" s="239">
        <v>0.0</v>
      </c>
      <c r="J404" s="239">
        <v>0.0</v>
      </c>
      <c r="K404" s="239">
        <v>0.0</v>
      </c>
      <c r="L404" s="239">
        <v>0.0</v>
      </c>
      <c r="M404" s="239">
        <v>0.0</v>
      </c>
      <c r="N404" s="239">
        <v>0.0</v>
      </c>
      <c r="O404" s="239">
        <v>0.0</v>
      </c>
      <c r="P404" s="239">
        <v>0.0</v>
      </c>
      <c r="Q404" s="239">
        <v>0.0</v>
      </c>
      <c r="R404" s="239">
        <v>0.0</v>
      </c>
      <c r="S404" s="239">
        <v>0.0</v>
      </c>
      <c r="T404" s="239">
        <v>0.0</v>
      </c>
      <c r="U404" s="239">
        <v>0.0</v>
      </c>
      <c r="V404" s="239">
        <v>0.0</v>
      </c>
      <c r="W404" s="239">
        <v>0.0</v>
      </c>
      <c r="X404" s="239">
        <v>0.0</v>
      </c>
      <c r="Y404" s="239">
        <v>0.0</v>
      </c>
      <c r="Z404" s="239">
        <v>0.0</v>
      </c>
      <c r="AA404" s="239">
        <v>0.0</v>
      </c>
      <c r="AB404" s="239">
        <v>0.0</v>
      </c>
      <c r="AC404" s="239">
        <v>0.0</v>
      </c>
      <c r="AD404" s="239">
        <v>0.0</v>
      </c>
      <c r="AE404" s="239">
        <v>0.0</v>
      </c>
      <c r="AF404" s="189">
        <f t="shared" si="138"/>
        <v>0</v>
      </c>
    </row>
    <row r="405">
      <c r="A405" s="268" t="s">
        <v>320</v>
      </c>
      <c r="B405" s="239">
        <v>0.0</v>
      </c>
      <c r="C405" s="239">
        <v>0.0</v>
      </c>
      <c r="D405" s="239">
        <v>0.0</v>
      </c>
      <c r="E405" s="239">
        <v>0.0</v>
      </c>
      <c r="F405" s="239">
        <v>0.0</v>
      </c>
      <c r="G405" s="239">
        <v>0.0</v>
      </c>
      <c r="H405" s="239">
        <v>0.0</v>
      </c>
      <c r="I405" s="239">
        <v>0.0</v>
      </c>
      <c r="J405" s="239">
        <v>0.0</v>
      </c>
      <c r="K405" s="239">
        <v>0.0</v>
      </c>
      <c r="L405" s="239">
        <v>0.0</v>
      </c>
      <c r="M405" s="239">
        <v>0.0</v>
      </c>
      <c r="N405" s="239">
        <v>0.0</v>
      </c>
      <c r="O405" s="239">
        <v>0.0</v>
      </c>
      <c r="P405" s="239">
        <v>0.0</v>
      </c>
      <c r="Q405" s="239">
        <v>0.0</v>
      </c>
      <c r="R405" s="239">
        <v>0.0</v>
      </c>
      <c r="S405" s="239">
        <v>0.0</v>
      </c>
      <c r="T405" s="239">
        <v>0.0</v>
      </c>
      <c r="U405" s="239">
        <v>0.0</v>
      </c>
      <c r="V405" s="239">
        <v>0.0</v>
      </c>
      <c r="W405" s="239">
        <v>0.0</v>
      </c>
      <c r="X405" s="239">
        <v>0.0</v>
      </c>
      <c r="Y405" s="239">
        <v>0.0</v>
      </c>
      <c r="Z405" s="239">
        <v>0.0</v>
      </c>
      <c r="AA405" s="239">
        <v>0.0</v>
      </c>
      <c r="AB405" s="239">
        <v>0.0</v>
      </c>
      <c r="AC405" s="239">
        <v>0.0</v>
      </c>
      <c r="AD405" s="239">
        <v>0.0</v>
      </c>
      <c r="AE405" s="239">
        <v>0.0</v>
      </c>
      <c r="AF405" s="189">
        <f t="shared" si="138"/>
        <v>0</v>
      </c>
    </row>
    <row r="406">
      <c r="A406" s="268" t="s">
        <v>321</v>
      </c>
      <c r="B406" s="239">
        <v>0.0</v>
      </c>
      <c r="C406" s="239">
        <v>0.0</v>
      </c>
      <c r="D406" s="239">
        <v>0.0</v>
      </c>
      <c r="E406" s="239">
        <v>0.0</v>
      </c>
      <c r="F406" s="239">
        <v>0.0</v>
      </c>
      <c r="G406" s="239">
        <v>0.0</v>
      </c>
      <c r="H406" s="239">
        <v>0.0</v>
      </c>
      <c r="I406" s="239">
        <v>0.0</v>
      </c>
      <c r="J406" s="239">
        <v>0.0</v>
      </c>
      <c r="K406" s="239">
        <v>0.0</v>
      </c>
      <c r="L406" s="239">
        <v>0.0</v>
      </c>
      <c r="M406" s="239">
        <v>0.0</v>
      </c>
      <c r="N406" s="239">
        <v>0.0</v>
      </c>
      <c r="O406" s="239">
        <v>0.0</v>
      </c>
      <c r="P406" s="239">
        <v>0.0</v>
      </c>
      <c r="Q406" s="239">
        <v>0.0</v>
      </c>
      <c r="R406" s="239">
        <v>0.0</v>
      </c>
      <c r="S406" s="239">
        <v>0.0</v>
      </c>
      <c r="T406" s="239">
        <v>0.0</v>
      </c>
      <c r="U406" s="239">
        <v>0.0</v>
      </c>
      <c r="V406" s="239">
        <v>0.0</v>
      </c>
      <c r="W406" s="239">
        <v>0.0</v>
      </c>
      <c r="X406" s="239">
        <v>0.0</v>
      </c>
      <c r="Y406" s="239">
        <v>0.0</v>
      </c>
      <c r="Z406" s="239">
        <v>0.0</v>
      </c>
      <c r="AA406" s="239">
        <v>0.0</v>
      </c>
      <c r="AB406" s="239">
        <v>0.0</v>
      </c>
      <c r="AC406" s="239">
        <v>0.0</v>
      </c>
      <c r="AD406" s="239">
        <v>0.0</v>
      </c>
      <c r="AE406" s="239">
        <v>0.0</v>
      </c>
      <c r="AF406" s="189">
        <f t="shared" si="138"/>
        <v>0</v>
      </c>
    </row>
    <row r="407">
      <c r="A407" s="268" t="s">
        <v>322</v>
      </c>
      <c r="B407" s="239">
        <v>0.0</v>
      </c>
      <c r="C407" s="239">
        <v>0.0</v>
      </c>
      <c r="D407" s="239">
        <v>0.0</v>
      </c>
      <c r="E407" s="239">
        <v>0.0</v>
      </c>
      <c r="F407" s="239">
        <v>0.0</v>
      </c>
      <c r="G407" s="239">
        <v>0.0</v>
      </c>
      <c r="H407" s="239">
        <v>0.0</v>
      </c>
      <c r="I407" s="239">
        <v>0.0</v>
      </c>
      <c r="J407" s="239">
        <v>0.0</v>
      </c>
      <c r="K407" s="239">
        <v>0.0</v>
      </c>
      <c r="L407" s="239">
        <v>0.0</v>
      </c>
      <c r="M407" s="239">
        <v>0.0</v>
      </c>
      <c r="N407" s="239">
        <v>0.0</v>
      </c>
      <c r="O407" s="239">
        <v>0.0</v>
      </c>
      <c r="P407" s="239">
        <v>0.0</v>
      </c>
      <c r="Q407" s="239">
        <v>0.0</v>
      </c>
      <c r="R407" s="239">
        <v>0.0</v>
      </c>
      <c r="S407" s="239">
        <v>0.0</v>
      </c>
      <c r="T407" s="239">
        <v>0.0</v>
      </c>
      <c r="U407" s="239">
        <v>0.0</v>
      </c>
      <c r="V407" s="239">
        <v>0.0</v>
      </c>
      <c r="W407" s="239">
        <v>0.0</v>
      </c>
      <c r="X407" s="239">
        <v>0.0</v>
      </c>
      <c r="Y407" s="239">
        <v>0.0</v>
      </c>
      <c r="Z407" s="239">
        <v>0.0</v>
      </c>
      <c r="AA407" s="239">
        <v>0.0</v>
      </c>
      <c r="AB407" s="239">
        <v>0.0</v>
      </c>
      <c r="AC407" s="239">
        <v>0.0</v>
      </c>
      <c r="AD407" s="239">
        <v>0.0</v>
      </c>
      <c r="AE407" s="239">
        <v>0.0</v>
      </c>
      <c r="AF407" s="189">
        <f t="shared" si="138"/>
        <v>0</v>
      </c>
    </row>
    <row r="408">
      <c r="A408" s="268" t="s">
        <v>323</v>
      </c>
      <c r="B408" s="239">
        <v>0.0</v>
      </c>
      <c r="C408" s="239">
        <v>0.0</v>
      </c>
      <c r="D408" s="239">
        <v>0.0</v>
      </c>
      <c r="E408" s="239">
        <v>0.0</v>
      </c>
      <c r="F408" s="239">
        <v>0.0</v>
      </c>
      <c r="G408" s="239">
        <v>0.0</v>
      </c>
      <c r="H408" s="239">
        <v>0.0</v>
      </c>
      <c r="I408" s="239">
        <v>0.0</v>
      </c>
      <c r="J408" s="239">
        <v>0.0</v>
      </c>
      <c r="K408" s="239">
        <v>0.0</v>
      </c>
      <c r="L408" s="239">
        <v>0.0</v>
      </c>
      <c r="M408" s="239">
        <v>0.0</v>
      </c>
      <c r="N408" s="239">
        <v>0.0</v>
      </c>
      <c r="O408" s="239">
        <v>0.0</v>
      </c>
      <c r="P408" s="239">
        <v>0.0</v>
      </c>
      <c r="Q408" s="239">
        <v>0.0</v>
      </c>
      <c r="R408" s="239">
        <v>0.0</v>
      </c>
      <c r="S408" s="239">
        <v>0.0</v>
      </c>
      <c r="T408" s="239">
        <v>0.0</v>
      </c>
      <c r="U408" s="239">
        <v>0.0</v>
      </c>
      <c r="V408" s="239">
        <v>0.0</v>
      </c>
      <c r="W408" s="239">
        <v>0.0</v>
      </c>
      <c r="X408" s="238">
        <v>0.0</v>
      </c>
      <c r="Y408" s="238">
        <v>0.0</v>
      </c>
      <c r="Z408" s="239">
        <v>0.0</v>
      </c>
      <c r="AA408" s="239">
        <v>0.0</v>
      </c>
      <c r="AB408" s="239">
        <v>0.0</v>
      </c>
      <c r="AC408" s="239">
        <v>0.0</v>
      </c>
      <c r="AD408" s="239">
        <v>0.0</v>
      </c>
      <c r="AE408" s="239">
        <v>0.0</v>
      </c>
      <c r="AF408" s="189">
        <f t="shared" si="138"/>
        <v>0</v>
      </c>
    </row>
    <row r="409">
      <c r="A409" s="284" t="s">
        <v>308</v>
      </c>
      <c r="B409" s="285">
        <f t="shared" ref="B409:AE409" si="139">B403+B405+B407</f>
        <v>0</v>
      </c>
      <c r="C409" s="286">
        <f t="shared" si="139"/>
        <v>0</v>
      </c>
      <c r="D409" s="286">
        <f t="shared" si="139"/>
        <v>0</v>
      </c>
      <c r="E409" s="286">
        <f t="shared" si="139"/>
        <v>0</v>
      </c>
      <c r="F409" s="286">
        <f t="shared" si="139"/>
        <v>0</v>
      </c>
      <c r="G409" s="286">
        <f t="shared" si="139"/>
        <v>0</v>
      </c>
      <c r="H409" s="286">
        <f t="shared" si="139"/>
        <v>0</v>
      </c>
      <c r="I409" s="286">
        <f t="shared" si="139"/>
        <v>0</v>
      </c>
      <c r="J409" s="286">
        <f t="shared" si="139"/>
        <v>0</v>
      </c>
      <c r="K409" s="286">
        <f t="shared" si="139"/>
        <v>0</v>
      </c>
      <c r="L409" s="286">
        <f t="shared" si="139"/>
        <v>0</v>
      </c>
      <c r="M409" s="286">
        <f t="shared" si="139"/>
        <v>0</v>
      </c>
      <c r="N409" s="286">
        <f t="shared" si="139"/>
        <v>0</v>
      </c>
      <c r="O409" s="286">
        <f t="shared" si="139"/>
        <v>0</v>
      </c>
      <c r="P409" s="286">
        <f t="shared" si="139"/>
        <v>0</v>
      </c>
      <c r="Q409" s="286">
        <f t="shared" si="139"/>
        <v>0</v>
      </c>
      <c r="R409" s="286">
        <f t="shared" si="139"/>
        <v>0</v>
      </c>
      <c r="S409" s="286">
        <f t="shared" si="139"/>
        <v>0</v>
      </c>
      <c r="T409" s="286">
        <f t="shared" si="139"/>
        <v>0</v>
      </c>
      <c r="U409" s="286">
        <f t="shared" si="139"/>
        <v>0</v>
      </c>
      <c r="V409" s="286">
        <f t="shared" si="139"/>
        <v>0</v>
      </c>
      <c r="W409" s="286">
        <f t="shared" si="139"/>
        <v>0</v>
      </c>
      <c r="X409" s="286">
        <f t="shared" si="139"/>
        <v>0</v>
      </c>
      <c r="Y409" s="286">
        <f t="shared" si="139"/>
        <v>0</v>
      </c>
      <c r="Z409" s="286">
        <f t="shared" si="139"/>
        <v>0</v>
      </c>
      <c r="AA409" s="286">
        <f t="shared" si="139"/>
        <v>0</v>
      </c>
      <c r="AB409" s="286">
        <f t="shared" si="139"/>
        <v>0</v>
      </c>
      <c r="AC409" s="286">
        <f t="shared" si="139"/>
        <v>0</v>
      </c>
      <c r="AD409" s="286">
        <f t="shared" si="139"/>
        <v>0</v>
      </c>
      <c r="AE409" s="286">
        <f t="shared" si="139"/>
        <v>0</v>
      </c>
      <c r="AF409" s="287">
        <f t="shared" si="138"/>
        <v>0</v>
      </c>
    </row>
    <row r="410">
      <c r="A410" s="284" t="s">
        <v>324</v>
      </c>
      <c r="B410" s="285">
        <f t="shared" ref="B410:AE410" si="140">B404+B406+B408</f>
        <v>0</v>
      </c>
      <c r="C410" s="286">
        <f t="shared" si="140"/>
        <v>0</v>
      </c>
      <c r="D410" s="286">
        <f t="shared" si="140"/>
        <v>0</v>
      </c>
      <c r="E410" s="286">
        <f t="shared" si="140"/>
        <v>0</v>
      </c>
      <c r="F410" s="286">
        <f t="shared" si="140"/>
        <v>0</v>
      </c>
      <c r="G410" s="286">
        <f t="shared" si="140"/>
        <v>0</v>
      </c>
      <c r="H410" s="286">
        <f t="shared" si="140"/>
        <v>0</v>
      </c>
      <c r="I410" s="286">
        <f t="shared" si="140"/>
        <v>0</v>
      </c>
      <c r="J410" s="286">
        <f t="shared" si="140"/>
        <v>0</v>
      </c>
      <c r="K410" s="286">
        <f t="shared" si="140"/>
        <v>0</v>
      </c>
      <c r="L410" s="286">
        <f t="shared" si="140"/>
        <v>0</v>
      </c>
      <c r="M410" s="286">
        <f t="shared" si="140"/>
        <v>0</v>
      </c>
      <c r="N410" s="286">
        <f t="shared" si="140"/>
        <v>0</v>
      </c>
      <c r="O410" s="286">
        <f t="shared" si="140"/>
        <v>0</v>
      </c>
      <c r="P410" s="286">
        <f t="shared" si="140"/>
        <v>0</v>
      </c>
      <c r="Q410" s="286">
        <f t="shared" si="140"/>
        <v>0</v>
      </c>
      <c r="R410" s="286">
        <f t="shared" si="140"/>
        <v>0</v>
      </c>
      <c r="S410" s="286">
        <f t="shared" si="140"/>
        <v>0</v>
      </c>
      <c r="T410" s="286">
        <f t="shared" si="140"/>
        <v>0</v>
      </c>
      <c r="U410" s="286">
        <f t="shared" si="140"/>
        <v>0</v>
      </c>
      <c r="V410" s="286">
        <f t="shared" si="140"/>
        <v>0</v>
      </c>
      <c r="W410" s="286">
        <f t="shared" si="140"/>
        <v>0</v>
      </c>
      <c r="X410" s="286">
        <f t="shared" si="140"/>
        <v>0</v>
      </c>
      <c r="Y410" s="286">
        <f t="shared" si="140"/>
        <v>0</v>
      </c>
      <c r="Z410" s="286">
        <f t="shared" si="140"/>
        <v>0</v>
      </c>
      <c r="AA410" s="286">
        <f t="shared" si="140"/>
        <v>0</v>
      </c>
      <c r="AB410" s="286">
        <f t="shared" si="140"/>
        <v>0</v>
      </c>
      <c r="AC410" s="286">
        <f t="shared" si="140"/>
        <v>0</v>
      </c>
      <c r="AD410" s="286">
        <f t="shared" si="140"/>
        <v>0</v>
      </c>
      <c r="AE410" s="286">
        <f t="shared" si="140"/>
        <v>0</v>
      </c>
      <c r="AF410" s="287">
        <f t="shared" si="138"/>
        <v>0</v>
      </c>
    </row>
    <row r="411">
      <c r="A411" s="26"/>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c r="AD411" s="288"/>
      <c r="AE411" s="288"/>
      <c r="AF411" s="234"/>
    </row>
    <row r="412">
      <c r="A412" s="268" t="s">
        <v>325</v>
      </c>
      <c r="B412" s="239">
        <v>0.0</v>
      </c>
      <c r="C412" s="239">
        <v>0.0</v>
      </c>
      <c r="D412" s="239">
        <v>0.0</v>
      </c>
      <c r="E412" s="239">
        <v>0.0</v>
      </c>
      <c r="F412" s="239">
        <v>0.0</v>
      </c>
      <c r="G412" s="239">
        <v>0.0</v>
      </c>
      <c r="H412" s="239">
        <v>0.0</v>
      </c>
      <c r="I412" s="239">
        <v>0.0</v>
      </c>
      <c r="J412" s="239">
        <v>0.0</v>
      </c>
      <c r="K412" s="239">
        <v>0.0</v>
      </c>
      <c r="L412" s="239">
        <v>0.0</v>
      </c>
      <c r="M412" s="239">
        <v>0.0</v>
      </c>
      <c r="N412" s="239">
        <v>0.0</v>
      </c>
      <c r="O412" s="239">
        <v>0.0</v>
      </c>
      <c r="P412" s="239">
        <v>0.0</v>
      </c>
      <c r="Q412" s="239">
        <v>0.0</v>
      </c>
      <c r="R412" s="239">
        <v>0.0</v>
      </c>
      <c r="S412" s="239">
        <v>0.0</v>
      </c>
      <c r="T412" s="239">
        <v>0.0</v>
      </c>
      <c r="U412" s="239">
        <v>0.0</v>
      </c>
      <c r="V412" s="239">
        <v>0.0</v>
      </c>
      <c r="W412" s="239">
        <v>0.0</v>
      </c>
      <c r="X412" s="239">
        <v>0.0</v>
      </c>
      <c r="Y412" s="239">
        <v>0.0</v>
      </c>
      <c r="Z412" s="239">
        <v>0.0</v>
      </c>
      <c r="AA412" s="239">
        <v>0.0</v>
      </c>
      <c r="AB412" s="239">
        <v>0.0</v>
      </c>
      <c r="AC412" s="239">
        <v>0.0</v>
      </c>
      <c r="AD412" s="239">
        <v>0.0</v>
      </c>
      <c r="AE412" s="214">
        <v>0.0</v>
      </c>
      <c r="AF412" s="189">
        <f t="shared" ref="AF412:AF417" si="141">SUM(B412:AE412)</f>
        <v>0</v>
      </c>
    </row>
    <row r="413">
      <c r="A413" s="268" t="s">
        <v>326</v>
      </c>
      <c r="B413" s="239">
        <v>0.0</v>
      </c>
      <c r="C413" s="239">
        <v>0.0</v>
      </c>
      <c r="D413" s="239">
        <v>0.0</v>
      </c>
      <c r="E413" s="239">
        <v>0.0</v>
      </c>
      <c r="F413" s="239">
        <v>0.0</v>
      </c>
      <c r="G413" s="239">
        <v>0.0</v>
      </c>
      <c r="H413" s="239">
        <v>0.0</v>
      </c>
      <c r="I413" s="239">
        <v>0.0</v>
      </c>
      <c r="J413" s="239">
        <v>0.0</v>
      </c>
      <c r="K413" s="239">
        <v>0.0</v>
      </c>
      <c r="L413" s="239">
        <v>0.0</v>
      </c>
      <c r="M413" s="239">
        <v>0.0</v>
      </c>
      <c r="N413" s="239">
        <v>0.0</v>
      </c>
      <c r="O413" s="239">
        <v>0.0</v>
      </c>
      <c r="P413" s="239">
        <v>0.0</v>
      </c>
      <c r="Q413" s="239">
        <v>0.0</v>
      </c>
      <c r="R413" s="239">
        <v>0.0</v>
      </c>
      <c r="S413" s="239">
        <v>0.0</v>
      </c>
      <c r="T413" s="239">
        <v>0.0</v>
      </c>
      <c r="U413" s="239">
        <v>0.0</v>
      </c>
      <c r="V413" s="239">
        <v>0.0</v>
      </c>
      <c r="W413" s="239">
        <v>0.0</v>
      </c>
      <c r="X413" s="239">
        <v>0.0</v>
      </c>
      <c r="Y413" s="239">
        <v>0.0</v>
      </c>
      <c r="Z413" s="239">
        <v>0.0</v>
      </c>
      <c r="AA413" s="239">
        <v>0.0</v>
      </c>
      <c r="AB413" s="239">
        <v>0.0</v>
      </c>
      <c r="AC413" s="239">
        <v>0.0</v>
      </c>
      <c r="AD413" s="239">
        <v>0.0</v>
      </c>
      <c r="AE413" s="214">
        <v>0.0</v>
      </c>
      <c r="AF413" s="189">
        <f t="shared" si="141"/>
        <v>0</v>
      </c>
    </row>
    <row r="414">
      <c r="A414" s="268" t="s">
        <v>327</v>
      </c>
      <c r="B414" s="239">
        <v>0.0</v>
      </c>
      <c r="C414" s="239">
        <v>0.0</v>
      </c>
      <c r="D414" s="239">
        <v>0.0</v>
      </c>
      <c r="E414" s="239">
        <v>0.0</v>
      </c>
      <c r="F414" s="239">
        <v>0.0</v>
      </c>
      <c r="G414" s="239">
        <v>0.0</v>
      </c>
      <c r="H414" s="239">
        <v>0.0</v>
      </c>
      <c r="I414" s="239">
        <v>0.0</v>
      </c>
      <c r="J414" s="239">
        <v>0.0</v>
      </c>
      <c r="K414" s="239">
        <v>0.0</v>
      </c>
      <c r="L414" s="239">
        <v>0.0</v>
      </c>
      <c r="M414" s="239">
        <v>0.0</v>
      </c>
      <c r="N414" s="239">
        <v>0.0</v>
      </c>
      <c r="O414" s="239">
        <v>0.0</v>
      </c>
      <c r="P414" s="239">
        <v>0.0</v>
      </c>
      <c r="Q414" s="239">
        <v>0.0</v>
      </c>
      <c r="R414" s="239">
        <v>0.0</v>
      </c>
      <c r="S414" s="239">
        <v>0.0</v>
      </c>
      <c r="T414" s="239">
        <v>0.0</v>
      </c>
      <c r="U414" s="239">
        <v>0.0</v>
      </c>
      <c r="V414" s="239">
        <v>0.0</v>
      </c>
      <c r="W414" s="239">
        <v>0.0</v>
      </c>
      <c r="X414" s="239">
        <v>0.0</v>
      </c>
      <c r="Y414" s="239">
        <v>0.0</v>
      </c>
      <c r="Z414" s="239">
        <v>0.0</v>
      </c>
      <c r="AA414" s="239">
        <v>0.0</v>
      </c>
      <c r="AB414" s="239">
        <v>0.0</v>
      </c>
      <c r="AC414" s="239">
        <v>0.0</v>
      </c>
      <c r="AD414" s="239">
        <v>0.0</v>
      </c>
      <c r="AE414" s="214">
        <v>0.0</v>
      </c>
      <c r="AF414" s="189">
        <f t="shared" si="141"/>
        <v>0</v>
      </c>
    </row>
    <row r="415">
      <c r="A415" s="268" t="s">
        <v>328</v>
      </c>
      <c r="B415" s="239">
        <v>0.0</v>
      </c>
      <c r="C415" s="239">
        <v>0.0</v>
      </c>
      <c r="D415" s="239">
        <v>0.0</v>
      </c>
      <c r="E415" s="239">
        <v>0.0</v>
      </c>
      <c r="F415" s="239">
        <v>0.0</v>
      </c>
      <c r="G415" s="239">
        <v>0.0</v>
      </c>
      <c r="H415" s="239">
        <v>0.0</v>
      </c>
      <c r="I415" s="239">
        <v>0.0</v>
      </c>
      <c r="J415" s="239">
        <v>0.0</v>
      </c>
      <c r="K415" s="239">
        <v>0.0</v>
      </c>
      <c r="L415" s="239">
        <v>0.0</v>
      </c>
      <c r="M415" s="239">
        <v>0.0</v>
      </c>
      <c r="N415" s="239">
        <v>0.0</v>
      </c>
      <c r="O415" s="239">
        <v>0.0</v>
      </c>
      <c r="P415" s="239">
        <v>0.0</v>
      </c>
      <c r="Q415" s="239">
        <v>0.0</v>
      </c>
      <c r="R415" s="239">
        <v>0.0</v>
      </c>
      <c r="S415" s="239">
        <v>0.0</v>
      </c>
      <c r="T415" s="239">
        <v>0.0</v>
      </c>
      <c r="U415" s="239">
        <v>0.0</v>
      </c>
      <c r="V415" s="239">
        <v>0.0</v>
      </c>
      <c r="W415" s="239">
        <v>0.0</v>
      </c>
      <c r="X415" s="239">
        <v>0.0</v>
      </c>
      <c r="Y415" s="239">
        <v>0.0</v>
      </c>
      <c r="Z415" s="239">
        <v>0.0</v>
      </c>
      <c r="AA415" s="239">
        <v>0.0</v>
      </c>
      <c r="AB415" s="239">
        <v>0.0</v>
      </c>
      <c r="AC415" s="239">
        <v>0.0</v>
      </c>
      <c r="AD415" s="239">
        <v>0.0</v>
      </c>
      <c r="AE415" s="214">
        <v>0.0</v>
      </c>
      <c r="AF415" s="189">
        <f t="shared" si="141"/>
        <v>0</v>
      </c>
    </row>
    <row r="416">
      <c r="A416" s="268" t="s">
        <v>329</v>
      </c>
      <c r="B416" s="239">
        <v>0.0</v>
      </c>
      <c r="C416" s="239">
        <v>0.0</v>
      </c>
      <c r="D416" s="239">
        <v>0.0</v>
      </c>
      <c r="E416" s="239">
        <v>0.0</v>
      </c>
      <c r="F416" s="239">
        <v>0.0</v>
      </c>
      <c r="G416" s="239">
        <v>0.0</v>
      </c>
      <c r="H416" s="239">
        <v>0.0</v>
      </c>
      <c r="I416" s="239">
        <v>0.0</v>
      </c>
      <c r="J416" s="239">
        <v>0.0</v>
      </c>
      <c r="K416" s="239">
        <v>0.0</v>
      </c>
      <c r="L416" s="239">
        <v>0.0</v>
      </c>
      <c r="M416" s="239">
        <v>0.0</v>
      </c>
      <c r="N416" s="239">
        <v>0.0</v>
      </c>
      <c r="O416" s="239">
        <v>0.0</v>
      </c>
      <c r="P416" s="239">
        <v>0.0</v>
      </c>
      <c r="Q416" s="239">
        <v>0.0</v>
      </c>
      <c r="R416" s="239">
        <v>0.0</v>
      </c>
      <c r="S416" s="239">
        <v>0.0</v>
      </c>
      <c r="T416" s="239">
        <v>0.0</v>
      </c>
      <c r="U416" s="239">
        <v>0.0</v>
      </c>
      <c r="V416" s="239">
        <v>0.0</v>
      </c>
      <c r="W416" s="239">
        <v>0.0</v>
      </c>
      <c r="X416" s="239">
        <v>0.0</v>
      </c>
      <c r="Y416" s="239">
        <v>0.0</v>
      </c>
      <c r="Z416" s="239">
        <v>0.0</v>
      </c>
      <c r="AA416" s="239">
        <v>0.0</v>
      </c>
      <c r="AB416" s="239">
        <v>0.0</v>
      </c>
      <c r="AC416" s="239">
        <v>0.0</v>
      </c>
      <c r="AD416" s="239">
        <v>0.0</v>
      </c>
      <c r="AE416" s="214">
        <v>0.0</v>
      </c>
      <c r="AF416" s="189">
        <f t="shared" si="141"/>
        <v>0</v>
      </c>
    </row>
    <row r="417">
      <c r="A417" s="271" t="s">
        <v>330</v>
      </c>
      <c r="B417" s="286">
        <f t="shared" ref="B417:AE417" si="142">SUM(B412:B416)</f>
        <v>0</v>
      </c>
      <c r="C417" s="286">
        <f t="shared" si="142"/>
        <v>0</v>
      </c>
      <c r="D417" s="286">
        <f t="shared" si="142"/>
        <v>0</v>
      </c>
      <c r="E417" s="286">
        <f t="shared" si="142"/>
        <v>0</v>
      </c>
      <c r="F417" s="286">
        <f t="shared" si="142"/>
        <v>0</v>
      </c>
      <c r="G417" s="286">
        <f t="shared" si="142"/>
        <v>0</v>
      </c>
      <c r="H417" s="286">
        <f t="shared" si="142"/>
        <v>0</v>
      </c>
      <c r="I417" s="286">
        <f t="shared" si="142"/>
        <v>0</v>
      </c>
      <c r="J417" s="286">
        <f t="shared" si="142"/>
        <v>0</v>
      </c>
      <c r="K417" s="286">
        <f t="shared" si="142"/>
        <v>0</v>
      </c>
      <c r="L417" s="286">
        <f t="shared" si="142"/>
        <v>0</v>
      </c>
      <c r="M417" s="286">
        <f t="shared" si="142"/>
        <v>0</v>
      </c>
      <c r="N417" s="286">
        <f t="shared" si="142"/>
        <v>0</v>
      </c>
      <c r="O417" s="286">
        <f t="shared" si="142"/>
        <v>0</v>
      </c>
      <c r="P417" s="286">
        <f t="shared" si="142"/>
        <v>0</v>
      </c>
      <c r="Q417" s="286">
        <f t="shared" si="142"/>
        <v>0</v>
      </c>
      <c r="R417" s="286">
        <f t="shared" si="142"/>
        <v>0</v>
      </c>
      <c r="S417" s="286">
        <f t="shared" si="142"/>
        <v>0</v>
      </c>
      <c r="T417" s="286">
        <f t="shared" si="142"/>
        <v>0</v>
      </c>
      <c r="U417" s="286">
        <f t="shared" si="142"/>
        <v>0</v>
      </c>
      <c r="V417" s="286">
        <f t="shared" si="142"/>
        <v>0</v>
      </c>
      <c r="W417" s="286">
        <f t="shared" si="142"/>
        <v>0</v>
      </c>
      <c r="X417" s="286">
        <f t="shared" si="142"/>
        <v>0</v>
      </c>
      <c r="Y417" s="286">
        <f t="shared" si="142"/>
        <v>0</v>
      </c>
      <c r="Z417" s="286">
        <f t="shared" si="142"/>
        <v>0</v>
      </c>
      <c r="AA417" s="286">
        <f t="shared" si="142"/>
        <v>0</v>
      </c>
      <c r="AB417" s="286">
        <f t="shared" si="142"/>
        <v>0</v>
      </c>
      <c r="AC417" s="286">
        <f t="shared" si="142"/>
        <v>0</v>
      </c>
      <c r="AD417" s="286">
        <f t="shared" si="142"/>
        <v>0</v>
      </c>
      <c r="AE417" s="286">
        <f t="shared" si="142"/>
        <v>0</v>
      </c>
      <c r="AF417" s="189">
        <f t="shared" si="141"/>
        <v>0</v>
      </c>
    </row>
    <row r="418">
      <c r="A418" s="26"/>
      <c r="B418" s="239"/>
      <c r="C418" s="239"/>
      <c r="D418" s="239"/>
      <c r="E418" s="239"/>
      <c r="F418" s="239"/>
      <c r="G418" s="239"/>
      <c r="H418" s="239"/>
      <c r="I418" s="239"/>
      <c r="J418" s="239"/>
      <c r="K418" s="239"/>
      <c r="L418" s="239"/>
      <c r="M418" s="239"/>
      <c r="N418" s="239"/>
      <c r="O418" s="239"/>
      <c r="P418" s="239"/>
      <c r="Q418" s="239"/>
      <c r="R418" s="239"/>
      <c r="S418" s="239"/>
      <c r="T418" s="239"/>
      <c r="U418" s="239"/>
      <c r="V418" s="239"/>
      <c r="W418" s="239"/>
      <c r="X418" s="239"/>
      <c r="Y418" s="239"/>
      <c r="Z418" s="239"/>
      <c r="AA418" s="239"/>
      <c r="AB418" s="239"/>
      <c r="AC418" s="239"/>
      <c r="AD418" s="239"/>
      <c r="AE418" s="239"/>
      <c r="AF418" s="189"/>
    </row>
    <row r="419">
      <c r="A419" s="268" t="s">
        <v>331</v>
      </c>
      <c r="B419" s="239">
        <v>0.0</v>
      </c>
      <c r="C419" s="239">
        <v>0.0</v>
      </c>
      <c r="D419" s="239">
        <v>0.0</v>
      </c>
      <c r="E419" s="239">
        <v>0.0</v>
      </c>
      <c r="F419" s="239">
        <v>0.0</v>
      </c>
      <c r="G419" s="239">
        <v>0.0</v>
      </c>
      <c r="H419" s="239">
        <v>0.0</v>
      </c>
      <c r="I419" s="239">
        <v>0.0</v>
      </c>
      <c r="J419" s="239">
        <v>0.0</v>
      </c>
      <c r="K419" s="239">
        <v>0.0</v>
      </c>
      <c r="L419" s="239">
        <v>0.0</v>
      </c>
      <c r="M419" s="239">
        <v>0.0</v>
      </c>
      <c r="N419" s="239">
        <v>0.0</v>
      </c>
      <c r="O419" s="239">
        <v>0.0</v>
      </c>
      <c r="P419" s="239">
        <v>0.0</v>
      </c>
      <c r="Q419" s="239">
        <v>0.0</v>
      </c>
      <c r="R419" s="239">
        <v>0.0</v>
      </c>
      <c r="S419" s="239">
        <v>0.0</v>
      </c>
      <c r="T419" s="239">
        <v>0.0</v>
      </c>
      <c r="U419" s="239">
        <v>0.0</v>
      </c>
      <c r="V419" s="239">
        <v>0.0</v>
      </c>
      <c r="W419" s="239">
        <v>0.0</v>
      </c>
      <c r="X419" s="239">
        <v>0.0</v>
      </c>
      <c r="Y419" s="239">
        <v>0.0</v>
      </c>
      <c r="Z419" s="239">
        <v>0.0</v>
      </c>
      <c r="AA419" s="239">
        <v>0.0</v>
      </c>
      <c r="AB419" s="239">
        <v>0.0</v>
      </c>
      <c r="AC419" s="239">
        <v>0.0</v>
      </c>
      <c r="AD419" s="239">
        <v>0.0</v>
      </c>
      <c r="AE419" s="239">
        <v>0.0</v>
      </c>
      <c r="AF419" s="189">
        <f t="shared" ref="AF419:AF424" si="143">SUM(B419:AE419)</f>
        <v>0</v>
      </c>
    </row>
    <row r="420">
      <c r="A420" s="268" t="s">
        <v>332</v>
      </c>
      <c r="B420" s="239">
        <v>0.0</v>
      </c>
      <c r="C420" s="239">
        <v>0.0</v>
      </c>
      <c r="D420" s="239">
        <v>0.0</v>
      </c>
      <c r="E420" s="239">
        <v>0.0</v>
      </c>
      <c r="F420" s="239">
        <v>0.0</v>
      </c>
      <c r="G420" s="239">
        <v>0.0</v>
      </c>
      <c r="H420" s="239">
        <v>0.0</v>
      </c>
      <c r="I420" s="239">
        <v>0.0</v>
      </c>
      <c r="J420" s="239">
        <v>0.0</v>
      </c>
      <c r="K420" s="239">
        <v>0.0</v>
      </c>
      <c r="L420" s="239">
        <v>0.0</v>
      </c>
      <c r="M420" s="239">
        <v>0.0</v>
      </c>
      <c r="N420" s="239">
        <v>0.0</v>
      </c>
      <c r="O420" s="239">
        <v>0.0</v>
      </c>
      <c r="P420" s="239">
        <v>0.0</v>
      </c>
      <c r="Q420" s="239">
        <v>0.0</v>
      </c>
      <c r="R420" s="239">
        <v>0.0</v>
      </c>
      <c r="S420" s="239">
        <v>0.0</v>
      </c>
      <c r="T420" s="239">
        <v>0.0</v>
      </c>
      <c r="U420" s="239">
        <v>0.0</v>
      </c>
      <c r="V420" s="239">
        <v>0.0</v>
      </c>
      <c r="W420" s="239">
        <v>0.0</v>
      </c>
      <c r="X420" s="239">
        <v>0.0</v>
      </c>
      <c r="Y420" s="239">
        <v>0.0</v>
      </c>
      <c r="Z420" s="239">
        <v>0.0</v>
      </c>
      <c r="AA420" s="239">
        <v>0.0</v>
      </c>
      <c r="AB420" s="239">
        <v>0.0</v>
      </c>
      <c r="AC420" s="239">
        <v>0.0</v>
      </c>
      <c r="AD420" s="239">
        <v>0.0</v>
      </c>
      <c r="AE420" s="239">
        <v>0.0</v>
      </c>
      <c r="AF420" s="189">
        <f t="shared" si="143"/>
        <v>0</v>
      </c>
    </row>
    <row r="421">
      <c r="A421" s="268" t="s">
        <v>333</v>
      </c>
      <c r="B421" s="239">
        <v>0.0</v>
      </c>
      <c r="C421" s="239">
        <v>0.0</v>
      </c>
      <c r="D421" s="239">
        <v>0.0</v>
      </c>
      <c r="E421" s="239">
        <v>0.0</v>
      </c>
      <c r="F421" s="239">
        <v>0.0</v>
      </c>
      <c r="G421" s="239">
        <v>0.0</v>
      </c>
      <c r="H421" s="239">
        <v>0.0</v>
      </c>
      <c r="I421" s="239">
        <v>0.0</v>
      </c>
      <c r="J421" s="239">
        <v>0.0</v>
      </c>
      <c r="K421" s="239">
        <v>0.0</v>
      </c>
      <c r="L421" s="239">
        <v>0.0</v>
      </c>
      <c r="M421" s="239">
        <v>0.0</v>
      </c>
      <c r="N421" s="239">
        <v>0.0</v>
      </c>
      <c r="O421" s="239">
        <v>0.0</v>
      </c>
      <c r="P421" s="239">
        <v>0.0</v>
      </c>
      <c r="Q421" s="239">
        <v>0.0</v>
      </c>
      <c r="R421" s="239">
        <v>0.0</v>
      </c>
      <c r="S421" s="239">
        <v>0.0</v>
      </c>
      <c r="T421" s="239">
        <v>0.0</v>
      </c>
      <c r="U421" s="239">
        <v>0.0</v>
      </c>
      <c r="V421" s="239">
        <v>0.0</v>
      </c>
      <c r="W421" s="239">
        <v>0.0</v>
      </c>
      <c r="X421" s="239">
        <v>0.0</v>
      </c>
      <c r="Y421" s="239">
        <v>0.0</v>
      </c>
      <c r="Z421" s="239">
        <v>0.0</v>
      </c>
      <c r="AA421" s="239">
        <v>0.0</v>
      </c>
      <c r="AB421" s="239">
        <v>0.0</v>
      </c>
      <c r="AC421" s="239">
        <v>0.0</v>
      </c>
      <c r="AD421" s="239">
        <v>0.0</v>
      </c>
      <c r="AE421" s="239">
        <v>0.0</v>
      </c>
      <c r="AF421" s="189">
        <f t="shared" si="143"/>
        <v>0</v>
      </c>
    </row>
    <row r="422">
      <c r="A422" s="268" t="s">
        <v>334</v>
      </c>
      <c r="B422" s="239">
        <v>0.0</v>
      </c>
      <c r="C422" s="239">
        <v>0.0</v>
      </c>
      <c r="D422" s="239">
        <v>0.0</v>
      </c>
      <c r="E422" s="239">
        <v>0.0</v>
      </c>
      <c r="F422" s="239">
        <v>0.0</v>
      </c>
      <c r="G422" s="239">
        <v>0.0</v>
      </c>
      <c r="H422" s="239">
        <v>0.0</v>
      </c>
      <c r="I422" s="239">
        <v>0.0</v>
      </c>
      <c r="J422" s="239">
        <v>0.0</v>
      </c>
      <c r="K422" s="239">
        <v>0.0</v>
      </c>
      <c r="L422" s="239">
        <v>0.0</v>
      </c>
      <c r="M422" s="239">
        <v>0.0</v>
      </c>
      <c r="N422" s="239">
        <v>0.0</v>
      </c>
      <c r="O422" s="239">
        <v>0.0</v>
      </c>
      <c r="P422" s="239">
        <v>0.0</v>
      </c>
      <c r="Q422" s="239">
        <v>0.0</v>
      </c>
      <c r="R422" s="239">
        <v>0.0</v>
      </c>
      <c r="S422" s="239">
        <v>0.0</v>
      </c>
      <c r="T422" s="239">
        <v>0.0</v>
      </c>
      <c r="U422" s="239">
        <v>0.0</v>
      </c>
      <c r="V422" s="239">
        <v>0.0</v>
      </c>
      <c r="W422" s="239">
        <v>0.0</v>
      </c>
      <c r="X422" s="239">
        <v>0.0</v>
      </c>
      <c r="Y422" s="239">
        <v>0.0</v>
      </c>
      <c r="Z422" s="239">
        <v>0.0</v>
      </c>
      <c r="AA422" s="239">
        <v>0.0</v>
      </c>
      <c r="AB422" s="239">
        <v>0.0</v>
      </c>
      <c r="AC422" s="239">
        <v>0.0</v>
      </c>
      <c r="AD422" s="239">
        <v>0.0</v>
      </c>
      <c r="AE422" s="239">
        <v>0.0</v>
      </c>
      <c r="AF422" s="189">
        <f t="shared" si="143"/>
        <v>0</v>
      </c>
    </row>
    <row r="423">
      <c r="A423" s="268" t="s">
        <v>335</v>
      </c>
      <c r="B423" s="239">
        <v>0.0</v>
      </c>
      <c r="C423" s="239">
        <v>0.0</v>
      </c>
      <c r="D423" s="239">
        <v>0.0</v>
      </c>
      <c r="E423" s="239">
        <v>0.0</v>
      </c>
      <c r="F423" s="239">
        <v>0.0</v>
      </c>
      <c r="G423" s="239">
        <v>0.0</v>
      </c>
      <c r="H423" s="239">
        <v>0.0</v>
      </c>
      <c r="I423" s="239">
        <v>0.0</v>
      </c>
      <c r="J423" s="239">
        <v>0.0</v>
      </c>
      <c r="K423" s="239">
        <v>0.0</v>
      </c>
      <c r="L423" s="239">
        <v>0.0</v>
      </c>
      <c r="M423" s="239">
        <v>0.0</v>
      </c>
      <c r="N423" s="239">
        <v>0.0</v>
      </c>
      <c r="O423" s="239">
        <v>0.0</v>
      </c>
      <c r="P423" s="239">
        <v>0.0</v>
      </c>
      <c r="Q423" s="239">
        <v>0.0</v>
      </c>
      <c r="R423" s="239">
        <v>0.0</v>
      </c>
      <c r="S423" s="239">
        <v>0.0</v>
      </c>
      <c r="T423" s="239">
        <v>0.0</v>
      </c>
      <c r="U423" s="239">
        <v>0.0</v>
      </c>
      <c r="V423" s="239">
        <v>0.0</v>
      </c>
      <c r="W423" s="239">
        <v>0.0</v>
      </c>
      <c r="X423" s="239">
        <v>0.0</v>
      </c>
      <c r="Y423" s="239">
        <v>0.0</v>
      </c>
      <c r="Z423" s="239">
        <v>0.0</v>
      </c>
      <c r="AA423" s="239">
        <v>0.0</v>
      </c>
      <c r="AB423" s="239">
        <v>0.0</v>
      </c>
      <c r="AC423" s="239">
        <v>0.0</v>
      </c>
      <c r="AD423" s="239">
        <v>0.0</v>
      </c>
      <c r="AE423" s="239">
        <v>0.0</v>
      </c>
      <c r="AF423" s="189">
        <f t="shared" si="143"/>
        <v>0</v>
      </c>
    </row>
    <row r="424">
      <c r="A424" s="271" t="s">
        <v>336</v>
      </c>
      <c r="B424" s="286">
        <v>0.0</v>
      </c>
      <c r="C424" s="286">
        <f t="shared" ref="C424:AE424" si="144">SUM(C419:C423)</f>
        <v>0</v>
      </c>
      <c r="D424" s="286">
        <f t="shared" si="144"/>
        <v>0</v>
      </c>
      <c r="E424" s="286">
        <f t="shared" si="144"/>
        <v>0</v>
      </c>
      <c r="F424" s="286">
        <f t="shared" si="144"/>
        <v>0</v>
      </c>
      <c r="G424" s="286">
        <f t="shared" si="144"/>
        <v>0</v>
      </c>
      <c r="H424" s="286">
        <f t="shared" si="144"/>
        <v>0</v>
      </c>
      <c r="I424" s="286">
        <f t="shared" si="144"/>
        <v>0</v>
      </c>
      <c r="J424" s="286">
        <f t="shared" si="144"/>
        <v>0</v>
      </c>
      <c r="K424" s="286">
        <f t="shared" si="144"/>
        <v>0</v>
      </c>
      <c r="L424" s="286">
        <f t="shared" si="144"/>
        <v>0</v>
      </c>
      <c r="M424" s="286">
        <f t="shared" si="144"/>
        <v>0</v>
      </c>
      <c r="N424" s="286">
        <f t="shared" si="144"/>
        <v>0</v>
      </c>
      <c r="O424" s="286">
        <f t="shared" si="144"/>
        <v>0</v>
      </c>
      <c r="P424" s="286">
        <f t="shared" si="144"/>
        <v>0</v>
      </c>
      <c r="Q424" s="286">
        <f t="shared" si="144"/>
        <v>0</v>
      </c>
      <c r="R424" s="286">
        <f t="shared" si="144"/>
        <v>0</v>
      </c>
      <c r="S424" s="286">
        <f t="shared" si="144"/>
        <v>0</v>
      </c>
      <c r="T424" s="286">
        <f t="shared" si="144"/>
        <v>0</v>
      </c>
      <c r="U424" s="286">
        <f t="shared" si="144"/>
        <v>0</v>
      </c>
      <c r="V424" s="286">
        <f t="shared" si="144"/>
        <v>0</v>
      </c>
      <c r="W424" s="286">
        <f t="shared" si="144"/>
        <v>0</v>
      </c>
      <c r="X424" s="286">
        <f t="shared" si="144"/>
        <v>0</v>
      </c>
      <c r="Y424" s="286">
        <f t="shared" si="144"/>
        <v>0</v>
      </c>
      <c r="Z424" s="286">
        <f t="shared" si="144"/>
        <v>0</v>
      </c>
      <c r="AA424" s="286">
        <f t="shared" si="144"/>
        <v>0</v>
      </c>
      <c r="AB424" s="286">
        <f t="shared" si="144"/>
        <v>0</v>
      </c>
      <c r="AC424" s="286">
        <f t="shared" si="144"/>
        <v>0</v>
      </c>
      <c r="AD424" s="286">
        <f t="shared" si="144"/>
        <v>0</v>
      </c>
      <c r="AE424" s="286">
        <f t="shared" si="144"/>
        <v>0</v>
      </c>
      <c r="AF424" s="189">
        <f t="shared" si="143"/>
        <v>0</v>
      </c>
    </row>
    <row r="425">
      <c r="A425" s="26"/>
      <c r="B425" s="288"/>
      <c r="C425" s="288"/>
      <c r="D425" s="288"/>
      <c r="E425" s="288"/>
      <c r="F425" s="288"/>
      <c r="G425" s="288"/>
      <c r="H425" s="288"/>
      <c r="I425" s="288"/>
      <c r="J425" s="288"/>
      <c r="K425" s="288"/>
      <c r="L425" s="288"/>
      <c r="M425" s="288"/>
      <c r="N425" s="288"/>
      <c r="O425" s="288"/>
      <c r="P425" s="288"/>
      <c r="Q425" s="288"/>
      <c r="R425" s="288"/>
      <c r="S425" s="288"/>
      <c r="T425" s="288"/>
      <c r="U425" s="288"/>
      <c r="V425" s="288"/>
      <c r="W425" s="288"/>
      <c r="X425" s="288"/>
      <c r="Y425" s="288"/>
      <c r="Z425" s="288"/>
      <c r="AA425" s="288"/>
      <c r="AB425" s="288"/>
      <c r="AC425" s="288"/>
      <c r="AD425" s="288"/>
      <c r="AE425" s="288"/>
      <c r="AF425" s="234"/>
    </row>
    <row r="426">
      <c r="A426" s="268" t="s">
        <v>337</v>
      </c>
      <c r="B426" s="239">
        <v>0.0</v>
      </c>
      <c r="C426" s="239">
        <v>0.0</v>
      </c>
      <c r="D426" s="239">
        <v>0.0</v>
      </c>
      <c r="E426" s="239">
        <v>0.0</v>
      </c>
      <c r="F426" s="239">
        <v>0.0</v>
      </c>
      <c r="G426" s="239">
        <v>0.0</v>
      </c>
      <c r="H426" s="239">
        <v>0.0</v>
      </c>
      <c r="I426" s="239">
        <v>0.0</v>
      </c>
      <c r="J426" s="239">
        <v>0.0</v>
      </c>
      <c r="K426" s="239">
        <v>0.0</v>
      </c>
      <c r="L426" s="239">
        <v>0.0</v>
      </c>
      <c r="M426" s="239">
        <v>0.0</v>
      </c>
      <c r="N426" s="239">
        <v>0.0</v>
      </c>
      <c r="O426" s="239">
        <v>0.0</v>
      </c>
      <c r="P426" s="239">
        <v>0.0</v>
      </c>
      <c r="Q426" s="239">
        <v>0.0</v>
      </c>
      <c r="R426" s="239">
        <v>0.0</v>
      </c>
      <c r="S426" s="239">
        <v>0.0</v>
      </c>
      <c r="T426" s="239">
        <v>0.0</v>
      </c>
      <c r="U426" s="239">
        <v>0.0</v>
      </c>
      <c r="V426" s="239">
        <v>0.0</v>
      </c>
      <c r="W426" s="239">
        <v>0.0</v>
      </c>
      <c r="X426" s="239">
        <v>0.0</v>
      </c>
      <c r="Y426" s="239">
        <v>0.0</v>
      </c>
      <c r="Z426" s="239">
        <v>0.0</v>
      </c>
      <c r="AA426" s="239">
        <v>0.0</v>
      </c>
      <c r="AB426" s="239">
        <v>0.0</v>
      </c>
      <c r="AC426" s="239">
        <v>0.0</v>
      </c>
      <c r="AD426" s="239">
        <v>0.0</v>
      </c>
      <c r="AE426" s="214">
        <v>0.0</v>
      </c>
      <c r="AF426" s="189">
        <f t="shared" ref="AF426:AF431" si="145">SUM(B426:AE426)</f>
        <v>0</v>
      </c>
    </row>
    <row r="427">
      <c r="A427" s="268" t="s">
        <v>338</v>
      </c>
      <c r="B427" s="239">
        <v>0.0</v>
      </c>
      <c r="C427" s="239">
        <v>0.0</v>
      </c>
      <c r="D427" s="239">
        <v>0.0</v>
      </c>
      <c r="E427" s="239">
        <v>0.0</v>
      </c>
      <c r="F427" s="239">
        <v>0.0</v>
      </c>
      <c r="G427" s="239">
        <v>0.0</v>
      </c>
      <c r="H427" s="239">
        <v>0.0</v>
      </c>
      <c r="I427" s="239">
        <v>0.0</v>
      </c>
      <c r="J427" s="239">
        <v>0.0</v>
      </c>
      <c r="K427" s="239">
        <v>0.0</v>
      </c>
      <c r="L427" s="239">
        <v>0.0</v>
      </c>
      <c r="M427" s="239">
        <v>0.0</v>
      </c>
      <c r="N427" s="239">
        <v>0.0</v>
      </c>
      <c r="O427" s="239">
        <v>0.0</v>
      </c>
      <c r="P427" s="239">
        <v>0.0</v>
      </c>
      <c r="Q427" s="239">
        <v>0.0</v>
      </c>
      <c r="R427" s="239">
        <v>0.0</v>
      </c>
      <c r="S427" s="239">
        <v>0.0</v>
      </c>
      <c r="T427" s="239">
        <v>0.0</v>
      </c>
      <c r="U427" s="239">
        <v>0.0</v>
      </c>
      <c r="V427" s="239">
        <v>0.0</v>
      </c>
      <c r="W427" s="239">
        <v>0.0</v>
      </c>
      <c r="X427" s="239">
        <v>0.0</v>
      </c>
      <c r="Y427" s="239">
        <v>0.0</v>
      </c>
      <c r="Z427" s="239">
        <v>0.0</v>
      </c>
      <c r="AA427" s="239">
        <v>0.0</v>
      </c>
      <c r="AB427" s="239">
        <v>0.0</v>
      </c>
      <c r="AC427" s="239">
        <v>0.0</v>
      </c>
      <c r="AD427" s="239">
        <v>0.0</v>
      </c>
      <c r="AE427" s="214">
        <v>0.0</v>
      </c>
      <c r="AF427" s="189">
        <f t="shared" si="145"/>
        <v>0</v>
      </c>
    </row>
    <row r="428">
      <c r="A428" s="268" t="s">
        <v>339</v>
      </c>
      <c r="B428" s="239">
        <v>0.0</v>
      </c>
      <c r="C428" s="239">
        <v>0.0</v>
      </c>
      <c r="D428" s="239">
        <v>0.0</v>
      </c>
      <c r="E428" s="239">
        <v>0.0</v>
      </c>
      <c r="F428" s="239">
        <v>0.0</v>
      </c>
      <c r="G428" s="239">
        <v>0.0</v>
      </c>
      <c r="H428" s="239">
        <v>0.0</v>
      </c>
      <c r="I428" s="239">
        <v>0.0</v>
      </c>
      <c r="J428" s="239">
        <v>0.0</v>
      </c>
      <c r="K428" s="239">
        <v>0.0</v>
      </c>
      <c r="L428" s="239">
        <v>0.0</v>
      </c>
      <c r="M428" s="239">
        <v>0.0</v>
      </c>
      <c r="N428" s="239">
        <v>0.0</v>
      </c>
      <c r="O428" s="239">
        <v>0.0</v>
      </c>
      <c r="P428" s="239">
        <v>0.0</v>
      </c>
      <c r="Q428" s="239">
        <v>0.0</v>
      </c>
      <c r="R428" s="239">
        <v>0.0</v>
      </c>
      <c r="S428" s="239">
        <v>0.0</v>
      </c>
      <c r="T428" s="239">
        <v>0.0</v>
      </c>
      <c r="U428" s="239">
        <v>0.0</v>
      </c>
      <c r="V428" s="239">
        <v>0.0</v>
      </c>
      <c r="W428" s="239">
        <v>0.0</v>
      </c>
      <c r="X428" s="239">
        <v>0.0</v>
      </c>
      <c r="Y428" s="239">
        <v>0.0</v>
      </c>
      <c r="Z428" s="239">
        <v>0.0</v>
      </c>
      <c r="AA428" s="239">
        <v>0.0</v>
      </c>
      <c r="AB428" s="239">
        <v>0.0</v>
      </c>
      <c r="AC428" s="239">
        <v>0.0</v>
      </c>
      <c r="AD428" s="239">
        <v>0.0</v>
      </c>
      <c r="AE428" s="214">
        <v>0.0</v>
      </c>
      <c r="AF428" s="189">
        <f t="shared" si="145"/>
        <v>0</v>
      </c>
    </row>
    <row r="429">
      <c r="A429" s="268" t="s">
        <v>340</v>
      </c>
      <c r="B429" s="239">
        <v>0.0</v>
      </c>
      <c r="C429" s="239">
        <v>0.0</v>
      </c>
      <c r="D429" s="239">
        <v>0.0</v>
      </c>
      <c r="E429" s="239">
        <v>0.0</v>
      </c>
      <c r="F429" s="239">
        <v>0.0</v>
      </c>
      <c r="G429" s="239">
        <v>0.0</v>
      </c>
      <c r="H429" s="239">
        <v>0.0</v>
      </c>
      <c r="I429" s="239">
        <v>0.0</v>
      </c>
      <c r="J429" s="239">
        <v>0.0</v>
      </c>
      <c r="K429" s="239">
        <v>0.0</v>
      </c>
      <c r="L429" s="239">
        <v>0.0</v>
      </c>
      <c r="M429" s="239">
        <v>0.0</v>
      </c>
      <c r="N429" s="239">
        <v>0.0</v>
      </c>
      <c r="O429" s="239">
        <v>0.0</v>
      </c>
      <c r="P429" s="239">
        <v>0.0</v>
      </c>
      <c r="Q429" s="239">
        <v>0.0</v>
      </c>
      <c r="R429" s="239">
        <v>0.0</v>
      </c>
      <c r="S429" s="239">
        <v>0.0</v>
      </c>
      <c r="T429" s="239">
        <v>0.0</v>
      </c>
      <c r="U429" s="239">
        <v>0.0</v>
      </c>
      <c r="V429" s="239">
        <v>0.0</v>
      </c>
      <c r="W429" s="239">
        <v>0.0</v>
      </c>
      <c r="X429" s="239">
        <v>0.0</v>
      </c>
      <c r="Y429" s="239">
        <v>0.0</v>
      </c>
      <c r="Z429" s="239">
        <v>0.0</v>
      </c>
      <c r="AA429" s="239">
        <v>0.0</v>
      </c>
      <c r="AB429" s="239">
        <v>0.0</v>
      </c>
      <c r="AC429" s="239">
        <v>0.0</v>
      </c>
      <c r="AD429" s="239">
        <v>0.0</v>
      </c>
      <c r="AE429" s="214">
        <v>0.0</v>
      </c>
      <c r="AF429" s="189">
        <f t="shared" si="145"/>
        <v>0</v>
      </c>
    </row>
    <row r="430">
      <c r="A430" s="268" t="s">
        <v>341</v>
      </c>
      <c r="B430" s="239">
        <v>0.0</v>
      </c>
      <c r="C430" s="239">
        <v>0.0</v>
      </c>
      <c r="D430" s="239">
        <v>0.0</v>
      </c>
      <c r="E430" s="239">
        <v>0.0</v>
      </c>
      <c r="F430" s="239">
        <v>0.0</v>
      </c>
      <c r="G430" s="239">
        <v>0.0</v>
      </c>
      <c r="H430" s="239">
        <v>0.0</v>
      </c>
      <c r="I430" s="239">
        <v>0.0</v>
      </c>
      <c r="J430" s="239">
        <v>0.0</v>
      </c>
      <c r="K430" s="239">
        <v>0.0</v>
      </c>
      <c r="L430" s="239">
        <v>0.0</v>
      </c>
      <c r="M430" s="239">
        <v>0.0</v>
      </c>
      <c r="N430" s="239">
        <v>0.0</v>
      </c>
      <c r="O430" s="239">
        <v>0.0</v>
      </c>
      <c r="P430" s="239">
        <v>0.0</v>
      </c>
      <c r="Q430" s="239">
        <v>0.0</v>
      </c>
      <c r="R430" s="239">
        <v>0.0</v>
      </c>
      <c r="S430" s="239">
        <v>0.0</v>
      </c>
      <c r="T430" s="239">
        <v>0.0</v>
      </c>
      <c r="U430" s="239">
        <v>0.0</v>
      </c>
      <c r="V430" s="239">
        <v>0.0</v>
      </c>
      <c r="W430" s="239">
        <v>0.0</v>
      </c>
      <c r="X430" s="239">
        <v>0.0</v>
      </c>
      <c r="Y430" s="239">
        <v>0.0</v>
      </c>
      <c r="Z430" s="239">
        <v>0.0</v>
      </c>
      <c r="AA430" s="239">
        <v>0.0</v>
      </c>
      <c r="AB430" s="239">
        <v>0.0</v>
      </c>
      <c r="AC430" s="239">
        <v>0.0</v>
      </c>
      <c r="AD430" s="239">
        <v>0.0</v>
      </c>
      <c r="AE430" s="214">
        <v>0.0</v>
      </c>
      <c r="AF430" s="189">
        <f t="shared" si="145"/>
        <v>0</v>
      </c>
    </row>
    <row r="431">
      <c r="A431" s="271" t="s">
        <v>342</v>
      </c>
      <c r="B431" s="286">
        <f t="shared" ref="B431:AE431" si="146">SUM(B426:B430)</f>
        <v>0</v>
      </c>
      <c r="C431" s="286">
        <f t="shared" si="146"/>
        <v>0</v>
      </c>
      <c r="D431" s="286">
        <f t="shared" si="146"/>
        <v>0</v>
      </c>
      <c r="E431" s="286">
        <f t="shared" si="146"/>
        <v>0</v>
      </c>
      <c r="F431" s="286">
        <f t="shared" si="146"/>
        <v>0</v>
      </c>
      <c r="G431" s="286">
        <f t="shared" si="146"/>
        <v>0</v>
      </c>
      <c r="H431" s="286">
        <f t="shared" si="146"/>
        <v>0</v>
      </c>
      <c r="I431" s="286">
        <f t="shared" si="146"/>
        <v>0</v>
      </c>
      <c r="J431" s="286">
        <f t="shared" si="146"/>
        <v>0</v>
      </c>
      <c r="K431" s="286">
        <f t="shared" si="146"/>
        <v>0</v>
      </c>
      <c r="L431" s="286">
        <f t="shared" si="146"/>
        <v>0</v>
      </c>
      <c r="M431" s="286">
        <f t="shared" si="146"/>
        <v>0</v>
      </c>
      <c r="N431" s="286">
        <f t="shared" si="146"/>
        <v>0</v>
      </c>
      <c r="O431" s="286">
        <f t="shared" si="146"/>
        <v>0</v>
      </c>
      <c r="P431" s="286">
        <f t="shared" si="146"/>
        <v>0</v>
      </c>
      <c r="Q431" s="286">
        <f t="shared" si="146"/>
        <v>0</v>
      </c>
      <c r="R431" s="286">
        <f t="shared" si="146"/>
        <v>0</v>
      </c>
      <c r="S431" s="286">
        <f t="shared" si="146"/>
        <v>0</v>
      </c>
      <c r="T431" s="286">
        <f t="shared" si="146"/>
        <v>0</v>
      </c>
      <c r="U431" s="286">
        <f t="shared" si="146"/>
        <v>0</v>
      </c>
      <c r="V431" s="286">
        <f t="shared" si="146"/>
        <v>0</v>
      </c>
      <c r="W431" s="286">
        <f t="shared" si="146"/>
        <v>0</v>
      </c>
      <c r="X431" s="286">
        <f t="shared" si="146"/>
        <v>0</v>
      </c>
      <c r="Y431" s="286">
        <f t="shared" si="146"/>
        <v>0</v>
      </c>
      <c r="Z431" s="286">
        <f t="shared" si="146"/>
        <v>0</v>
      </c>
      <c r="AA431" s="286">
        <f t="shared" si="146"/>
        <v>0</v>
      </c>
      <c r="AB431" s="286">
        <f t="shared" si="146"/>
        <v>0</v>
      </c>
      <c r="AC431" s="286">
        <f t="shared" si="146"/>
        <v>0</v>
      </c>
      <c r="AD431" s="286">
        <f t="shared" si="146"/>
        <v>0</v>
      </c>
      <c r="AE431" s="286">
        <f t="shared" si="146"/>
        <v>0</v>
      </c>
      <c r="AF431" s="189">
        <f t="shared" si="145"/>
        <v>0</v>
      </c>
    </row>
    <row r="432">
      <c r="A432" s="224"/>
      <c r="AF432" s="234"/>
    </row>
    <row r="433">
      <c r="A433" s="268" t="s">
        <v>347</v>
      </c>
      <c r="B433" s="239">
        <v>0.0</v>
      </c>
      <c r="C433" s="239">
        <v>0.0</v>
      </c>
      <c r="D433" s="239">
        <v>0.0</v>
      </c>
      <c r="E433" s="239">
        <v>0.0</v>
      </c>
      <c r="F433" s="239">
        <v>0.0</v>
      </c>
      <c r="G433" s="239">
        <v>0.0</v>
      </c>
      <c r="H433" s="239">
        <v>0.0</v>
      </c>
      <c r="I433" s="239">
        <v>0.0</v>
      </c>
      <c r="J433" s="239">
        <v>0.0</v>
      </c>
      <c r="K433" s="239">
        <v>0.0</v>
      </c>
      <c r="L433" s="239">
        <v>0.0</v>
      </c>
      <c r="M433" s="239">
        <v>0.0</v>
      </c>
      <c r="N433" s="239">
        <v>0.0</v>
      </c>
      <c r="O433" s="239">
        <v>0.0</v>
      </c>
      <c r="P433" s="239">
        <v>0.0</v>
      </c>
      <c r="Q433" s="239">
        <v>0.0</v>
      </c>
      <c r="R433" s="239">
        <v>0.0</v>
      </c>
      <c r="S433" s="239">
        <v>0.0</v>
      </c>
      <c r="T433" s="239">
        <v>0.0</v>
      </c>
      <c r="U433" s="239">
        <v>0.0</v>
      </c>
      <c r="V433" s="239">
        <v>0.0</v>
      </c>
      <c r="W433" s="239">
        <v>0.0</v>
      </c>
      <c r="X433" s="238">
        <v>0.0</v>
      </c>
      <c r="Y433" s="238">
        <v>0.0</v>
      </c>
      <c r="Z433" s="238">
        <v>0.0</v>
      </c>
      <c r="AA433" s="238">
        <v>0.0</v>
      </c>
      <c r="AB433" s="238">
        <v>0.0</v>
      </c>
      <c r="AC433" s="238">
        <v>0.0</v>
      </c>
      <c r="AD433" s="238">
        <v>0.0</v>
      </c>
      <c r="AE433" s="214">
        <v>0.0</v>
      </c>
      <c r="AF433" s="234"/>
    </row>
    <row r="434">
      <c r="A434" s="269" t="s">
        <v>123</v>
      </c>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c r="AA434" s="289"/>
      <c r="AB434" s="289"/>
      <c r="AC434" s="289"/>
      <c r="AD434" s="289"/>
      <c r="AE434" s="289"/>
      <c r="AF434" s="234"/>
    </row>
    <row r="435">
      <c r="A435" s="224"/>
      <c r="AF435" s="234"/>
    </row>
    <row r="436">
      <c r="A436" s="290" t="s">
        <v>367</v>
      </c>
      <c r="B436" s="291">
        <f t="shared" ref="B436:AE436" si="147">B516</f>
        <v>199</v>
      </c>
      <c r="C436" s="291">
        <f t="shared" si="147"/>
        <v>199</v>
      </c>
      <c r="D436" s="291">
        <f t="shared" si="147"/>
        <v>0</v>
      </c>
      <c r="E436" s="291">
        <f t="shared" si="147"/>
        <v>732.7</v>
      </c>
      <c r="F436" s="291">
        <f t="shared" si="147"/>
        <v>0</v>
      </c>
      <c r="G436" s="291">
        <f t="shared" si="147"/>
        <v>0</v>
      </c>
      <c r="H436" s="291">
        <f t="shared" si="147"/>
        <v>0</v>
      </c>
      <c r="I436" s="291">
        <f t="shared" si="147"/>
        <v>309.85</v>
      </c>
      <c r="J436" s="291">
        <f t="shared" si="147"/>
        <v>0</v>
      </c>
      <c r="K436" s="291">
        <f t="shared" si="147"/>
        <v>335.87</v>
      </c>
      <c r="L436" s="291">
        <f t="shared" si="147"/>
        <v>199</v>
      </c>
      <c r="M436" s="291">
        <f t="shared" si="147"/>
        <v>0</v>
      </c>
      <c r="N436" s="291">
        <f t="shared" si="147"/>
        <v>422</v>
      </c>
      <c r="O436" s="291">
        <f t="shared" si="147"/>
        <v>853</v>
      </c>
      <c r="P436" s="291">
        <f t="shared" si="147"/>
        <v>1253</v>
      </c>
      <c r="Q436" s="291">
        <f t="shared" si="147"/>
        <v>293</v>
      </c>
      <c r="R436" s="291">
        <f t="shared" si="147"/>
        <v>0</v>
      </c>
      <c r="S436" s="291">
        <f t="shared" si="147"/>
        <v>0</v>
      </c>
      <c r="T436" s="291">
        <f t="shared" si="147"/>
        <v>0</v>
      </c>
      <c r="U436" s="291" t="str">
        <f t="shared" si="147"/>
        <v/>
      </c>
      <c r="V436" s="291">
        <f t="shared" si="147"/>
        <v>0</v>
      </c>
      <c r="W436" s="291">
        <f t="shared" si="147"/>
        <v>468</v>
      </c>
      <c r="X436" s="291">
        <f t="shared" si="147"/>
        <v>1299</v>
      </c>
      <c r="Y436" s="291">
        <f t="shared" si="147"/>
        <v>1378</v>
      </c>
      <c r="Z436" s="291">
        <f t="shared" si="147"/>
        <v>4860</v>
      </c>
      <c r="AA436" s="291">
        <f t="shared" si="147"/>
        <v>0</v>
      </c>
      <c r="AB436" s="291">
        <f t="shared" si="147"/>
        <v>0</v>
      </c>
      <c r="AC436" s="291">
        <f t="shared" si="147"/>
        <v>0</v>
      </c>
      <c r="AD436" s="291">
        <f t="shared" si="147"/>
        <v>258</v>
      </c>
      <c r="AE436" s="291">
        <f t="shared" si="147"/>
        <v>0</v>
      </c>
      <c r="AF436" s="234"/>
    </row>
    <row r="437">
      <c r="A437" s="290" t="s">
        <v>368</v>
      </c>
      <c r="B437" s="292">
        <f t="shared" ref="B437:I437" si="148">B515</f>
        <v>2923.99</v>
      </c>
      <c r="C437" s="292">
        <f t="shared" si="148"/>
        <v>397.44</v>
      </c>
      <c r="D437" s="292">
        <f t="shared" si="148"/>
        <v>2777.14</v>
      </c>
      <c r="E437" s="292">
        <f t="shared" si="148"/>
        <v>369.57</v>
      </c>
      <c r="F437" s="292">
        <f t="shared" si="148"/>
        <v>2784.33</v>
      </c>
      <c r="G437" s="292">
        <f t="shared" si="148"/>
        <v>298</v>
      </c>
      <c r="H437" s="292">
        <f t="shared" si="148"/>
        <v>10324.46</v>
      </c>
      <c r="I437" s="36">
        <f t="shared" si="148"/>
        <v>6730.03</v>
      </c>
      <c r="J437" s="1">
        <v>0.0</v>
      </c>
      <c r="K437" s="293">
        <v>1496.82</v>
      </c>
      <c r="L437" s="292">
        <f t="shared" ref="L437:AE437" si="149">L515</f>
        <v>1398</v>
      </c>
      <c r="M437" s="292">
        <f t="shared" si="149"/>
        <v>692.53</v>
      </c>
      <c r="N437" s="292">
        <f t="shared" si="149"/>
        <v>12594.64</v>
      </c>
      <c r="O437" s="292">
        <f t="shared" si="149"/>
        <v>3954.62</v>
      </c>
      <c r="P437" s="292">
        <f t="shared" si="149"/>
        <v>3137.56</v>
      </c>
      <c r="Q437" s="292">
        <f t="shared" si="149"/>
        <v>5398.49</v>
      </c>
      <c r="R437" s="292">
        <f t="shared" si="149"/>
        <v>0</v>
      </c>
      <c r="S437" s="292">
        <f t="shared" si="149"/>
        <v>481</v>
      </c>
      <c r="T437" s="292">
        <f t="shared" si="149"/>
        <v>3476.3</v>
      </c>
      <c r="U437" s="292">
        <f t="shared" si="149"/>
        <v>2405.01</v>
      </c>
      <c r="V437" s="292">
        <f t="shared" si="149"/>
        <v>5221.9</v>
      </c>
      <c r="W437" s="292">
        <f t="shared" si="149"/>
        <v>2738.86</v>
      </c>
      <c r="X437" s="292">
        <f t="shared" si="149"/>
        <v>5752.26</v>
      </c>
      <c r="Y437" s="292">
        <f t="shared" si="149"/>
        <v>566.11</v>
      </c>
      <c r="Z437" s="292">
        <f t="shared" si="149"/>
        <v>4249.79</v>
      </c>
      <c r="AA437" s="292">
        <f t="shared" si="149"/>
        <v>6953.28</v>
      </c>
      <c r="AB437" s="292">
        <f t="shared" si="149"/>
        <v>5033.12</v>
      </c>
      <c r="AC437" s="292">
        <f t="shared" si="149"/>
        <v>0</v>
      </c>
      <c r="AD437" s="292">
        <f t="shared" si="149"/>
        <v>260.57</v>
      </c>
      <c r="AE437" s="292">
        <f t="shared" si="149"/>
        <v>0</v>
      </c>
      <c r="AF437" s="234"/>
    </row>
    <row r="438">
      <c r="A438" s="290" t="s">
        <v>369</v>
      </c>
      <c r="B438" s="38">
        <f t="shared" ref="B438:AE438" si="150">B557</f>
        <v>0.08237058685</v>
      </c>
      <c r="C438" s="38">
        <f t="shared" si="150"/>
        <v>-0.009366725178</v>
      </c>
      <c r="D438" s="38">
        <f t="shared" si="150"/>
        <v>0.08664842689</v>
      </c>
      <c r="E438" s="38">
        <f t="shared" si="150"/>
        <v>0.1015527996</v>
      </c>
      <c r="F438" s="38">
        <f t="shared" si="150"/>
        <v>0.10918502</v>
      </c>
      <c r="G438" s="38">
        <f t="shared" si="150"/>
        <v>0.1948260837</v>
      </c>
      <c r="H438" s="38">
        <f t="shared" si="150"/>
        <v>0.0251271806</v>
      </c>
      <c r="I438" s="38">
        <f t="shared" si="150"/>
        <v>0.163416826</v>
      </c>
      <c r="J438" s="38">
        <f t="shared" si="150"/>
        <v>0.1571566665</v>
      </c>
      <c r="K438" s="38">
        <f t="shared" si="150"/>
        <v>0.02945687144</v>
      </c>
      <c r="L438" s="38">
        <f t="shared" si="150"/>
        <v>-0.01455534821</v>
      </c>
      <c r="M438" s="38">
        <f t="shared" si="150"/>
        <v>0.06814693663</v>
      </c>
      <c r="N438" s="38">
        <f t="shared" si="150"/>
        <v>0.07704154604</v>
      </c>
      <c r="O438" s="38">
        <f t="shared" si="150"/>
        <v>0.1458344836</v>
      </c>
      <c r="P438" s="38">
        <f t="shared" si="150"/>
        <v>0.1590077196</v>
      </c>
      <c r="Q438" s="38">
        <f t="shared" si="150"/>
        <v>0.0983768748</v>
      </c>
      <c r="R438" s="38">
        <f t="shared" si="150"/>
        <v>0.1618659085</v>
      </c>
      <c r="S438" s="38">
        <f t="shared" si="150"/>
        <v>0.2300881196</v>
      </c>
      <c r="T438" s="38">
        <f t="shared" si="150"/>
        <v>0.1278291264</v>
      </c>
      <c r="U438" s="38">
        <f t="shared" si="150"/>
        <v>-0.09652999841</v>
      </c>
      <c r="V438" s="38">
        <f t="shared" si="150"/>
        <v>0.02760340457</v>
      </c>
      <c r="W438" s="38">
        <f t="shared" si="150"/>
        <v>0.3387481599</v>
      </c>
      <c r="X438" s="38">
        <f t="shared" si="150"/>
        <v>0.06521144026</v>
      </c>
      <c r="Y438" s="38">
        <f t="shared" si="150"/>
        <v>0.2070247831</v>
      </c>
      <c r="Z438" s="38">
        <f t="shared" si="150"/>
        <v>0.1682609466</v>
      </c>
      <c r="AA438" s="38">
        <f t="shared" si="150"/>
        <v>0.1524909141</v>
      </c>
      <c r="AB438" s="38">
        <f t="shared" si="150"/>
        <v>-0.06143104953</v>
      </c>
      <c r="AC438" s="38">
        <f t="shared" si="150"/>
        <v>0.08086988138</v>
      </c>
      <c r="AD438" s="38">
        <f t="shared" si="150"/>
        <v>0.05787541808</v>
      </c>
      <c r="AE438" s="38">
        <f t="shared" si="150"/>
        <v>0.1776453521</v>
      </c>
      <c r="AF438" s="234"/>
    </row>
    <row r="439">
      <c r="A439" s="224"/>
      <c r="AF439" s="234"/>
    </row>
    <row r="440">
      <c r="A440" s="169" t="s">
        <v>370</v>
      </c>
      <c r="B440" s="166"/>
      <c r="C440" s="166"/>
      <c r="D440" s="166"/>
      <c r="E440" s="166"/>
      <c r="F440" s="166"/>
      <c r="G440" s="166"/>
      <c r="H440" s="16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234"/>
    </row>
    <row r="441">
      <c r="A441" s="294" t="s">
        <v>318</v>
      </c>
      <c r="B441" s="239">
        <f t="shared" ref="B441:AE441" si="151">B209-B282</f>
        <v>49</v>
      </c>
      <c r="C441" s="239">
        <f t="shared" si="151"/>
        <v>41</v>
      </c>
      <c r="D441" s="239">
        <f t="shared" si="151"/>
        <v>46</v>
      </c>
      <c r="E441" s="239">
        <f t="shared" si="151"/>
        <v>42</v>
      </c>
      <c r="F441" s="239">
        <f t="shared" si="151"/>
        <v>42</v>
      </c>
      <c r="G441" s="239">
        <f t="shared" si="151"/>
        <v>47</v>
      </c>
      <c r="H441" s="239">
        <f t="shared" si="151"/>
        <v>37</v>
      </c>
      <c r="I441" s="239">
        <f t="shared" si="151"/>
        <v>57</v>
      </c>
      <c r="J441" s="239">
        <f t="shared" si="151"/>
        <v>59</v>
      </c>
      <c r="K441" s="239">
        <f t="shared" si="151"/>
        <v>42</v>
      </c>
      <c r="L441" s="239">
        <f t="shared" si="151"/>
        <v>53</v>
      </c>
      <c r="M441" s="239">
        <f t="shared" si="151"/>
        <v>66</v>
      </c>
      <c r="N441" s="239">
        <f t="shared" si="151"/>
        <v>69</v>
      </c>
      <c r="O441" s="239">
        <f t="shared" si="151"/>
        <v>87</v>
      </c>
      <c r="P441" s="239">
        <f t="shared" si="151"/>
        <v>96</v>
      </c>
      <c r="Q441" s="239">
        <f t="shared" si="151"/>
        <v>72</v>
      </c>
      <c r="R441" s="239">
        <f t="shared" si="151"/>
        <v>90</v>
      </c>
      <c r="S441" s="239">
        <f t="shared" si="151"/>
        <v>134</v>
      </c>
      <c r="T441" s="239">
        <f t="shared" si="151"/>
        <v>64</v>
      </c>
      <c r="U441" s="239">
        <f t="shared" si="151"/>
        <v>26</v>
      </c>
      <c r="V441" s="239">
        <f t="shared" si="151"/>
        <v>7</v>
      </c>
      <c r="W441" s="239">
        <f t="shared" si="151"/>
        <v>12</v>
      </c>
      <c r="X441" s="239">
        <f t="shared" si="151"/>
        <v>11</v>
      </c>
      <c r="Y441" s="239">
        <f t="shared" si="151"/>
        <v>27</v>
      </c>
      <c r="Z441" s="239">
        <f t="shared" si="151"/>
        <v>21</v>
      </c>
      <c r="AA441" s="239">
        <f t="shared" si="151"/>
        <v>24</v>
      </c>
      <c r="AB441" s="239">
        <f t="shared" si="151"/>
        <v>16</v>
      </c>
      <c r="AC441" s="239">
        <f t="shared" si="151"/>
        <v>19</v>
      </c>
      <c r="AD441" s="239">
        <f t="shared" si="151"/>
        <v>17</v>
      </c>
      <c r="AE441" s="239">
        <f t="shared" si="151"/>
        <v>19</v>
      </c>
      <c r="AF441" s="189">
        <f t="shared" ref="AF441:AF448" si="153">SUM(B441:AE441)</f>
        <v>1392</v>
      </c>
    </row>
    <row r="442">
      <c r="A442" s="294" t="s">
        <v>319</v>
      </c>
      <c r="B442" s="239">
        <f>B210-B282</f>
        <v>73</v>
      </c>
      <c r="C442" s="239">
        <f t="shared" ref="C442:AE442" si="152">C210-C283</f>
        <v>85</v>
      </c>
      <c r="D442" s="239">
        <f t="shared" si="152"/>
        <v>99</v>
      </c>
      <c r="E442" s="239">
        <f t="shared" si="152"/>
        <v>81</v>
      </c>
      <c r="F442" s="239">
        <f t="shared" si="152"/>
        <v>79</v>
      </c>
      <c r="G442" s="239">
        <f t="shared" si="152"/>
        <v>83</v>
      </c>
      <c r="H442" s="239">
        <f t="shared" si="152"/>
        <v>46</v>
      </c>
      <c r="I442" s="239">
        <f t="shared" si="152"/>
        <v>97</v>
      </c>
      <c r="J442" s="239">
        <f t="shared" si="152"/>
        <v>92</v>
      </c>
      <c r="K442" s="239">
        <f t="shared" si="152"/>
        <v>84</v>
      </c>
      <c r="L442" s="239">
        <f t="shared" si="152"/>
        <v>86</v>
      </c>
      <c r="M442" s="239">
        <f t="shared" si="152"/>
        <v>95</v>
      </c>
      <c r="N442" s="239">
        <f t="shared" si="152"/>
        <v>99</v>
      </c>
      <c r="O442" s="239">
        <f t="shared" si="152"/>
        <v>111</v>
      </c>
      <c r="P442" s="239">
        <f t="shared" si="152"/>
        <v>133</v>
      </c>
      <c r="Q442" s="239">
        <f t="shared" si="152"/>
        <v>107</v>
      </c>
      <c r="R442" s="239">
        <f t="shared" si="152"/>
        <v>154</v>
      </c>
      <c r="S442" s="239">
        <f t="shared" si="152"/>
        <v>193</v>
      </c>
      <c r="T442" s="239">
        <f t="shared" si="152"/>
        <v>136</v>
      </c>
      <c r="U442" s="239">
        <f t="shared" si="152"/>
        <v>54</v>
      </c>
      <c r="V442" s="239">
        <f t="shared" si="152"/>
        <v>21</v>
      </c>
      <c r="W442" s="239">
        <f t="shared" si="152"/>
        <v>23</v>
      </c>
      <c r="X442" s="239">
        <f t="shared" si="152"/>
        <v>24</v>
      </c>
      <c r="Y442" s="239">
        <f t="shared" si="152"/>
        <v>43</v>
      </c>
      <c r="Z442" s="239">
        <f t="shared" si="152"/>
        <v>101</v>
      </c>
      <c r="AA442" s="239">
        <f t="shared" si="152"/>
        <v>51</v>
      </c>
      <c r="AB442" s="239">
        <f t="shared" si="152"/>
        <v>25</v>
      </c>
      <c r="AC442" s="239">
        <f t="shared" si="152"/>
        <v>36</v>
      </c>
      <c r="AD442" s="239">
        <f t="shared" si="152"/>
        <v>44</v>
      </c>
      <c r="AE442" s="239">
        <f t="shared" si="152"/>
        <v>60</v>
      </c>
      <c r="AF442" s="189">
        <f t="shared" si="153"/>
        <v>2415</v>
      </c>
    </row>
    <row r="443">
      <c r="A443" s="294" t="s">
        <v>320</v>
      </c>
      <c r="B443" s="239">
        <f t="shared" ref="B443:M443" si="154">B211-B284</f>
        <v>0</v>
      </c>
      <c r="C443" s="239">
        <f t="shared" si="154"/>
        <v>0</v>
      </c>
      <c r="D443" s="239">
        <f t="shared" si="154"/>
        <v>3</v>
      </c>
      <c r="E443" s="239">
        <f t="shared" si="154"/>
        <v>1</v>
      </c>
      <c r="F443" s="239">
        <f t="shared" si="154"/>
        <v>4</v>
      </c>
      <c r="G443" s="239">
        <f t="shared" si="154"/>
        <v>2</v>
      </c>
      <c r="H443" s="239">
        <f t="shared" si="154"/>
        <v>1</v>
      </c>
      <c r="I443" s="239">
        <f t="shared" si="154"/>
        <v>0</v>
      </c>
      <c r="J443" s="239">
        <f t="shared" si="154"/>
        <v>1</v>
      </c>
      <c r="K443" s="239">
        <f t="shared" si="154"/>
        <v>3</v>
      </c>
      <c r="L443" s="239">
        <f t="shared" si="154"/>
        <v>1</v>
      </c>
      <c r="M443" s="239">
        <f t="shared" si="154"/>
        <v>7</v>
      </c>
      <c r="N443" s="239">
        <f>N211-N282</f>
        <v>-10</v>
      </c>
      <c r="O443" s="239">
        <f t="shared" ref="O443:AE443" si="155">O211-O284</f>
        <v>4</v>
      </c>
      <c r="P443" s="239">
        <f t="shared" si="155"/>
        <v>0</v>
      </c>
      <c r="Q443" s="239">
        <f t="shared" si="155"/>
        <v>1</v>
      </c>
      <c r="R443" s="239">
        <f t="shared" si="155"/>
        <v>2</v>
      </c>
      <c r="S443" s="239">
        <f t="shared" si="155"/>
        <v>3</v>
      </c>
      <c r="T443" s="239">
        <f t="shared" si="155"/>
        <v>1</v>
      </c>
      <c r="U443" s="239">
        <f t="shared" si="155"/>
        <v>1</v>
      </c>
      <c r="V443" s="239">
        <f t="shared" si="155"/>
        <v>2</v>
      </c>
      <c r="W443" s="239">
        <f t="shared" si="155"/>
        <v>2</v>
      </c>
      <c r="X443" s="239">
        <f t="shared" si="155"/>
        <v>2</v>
      </c>
      <c r="Y443" s="239">
        <f t="shared" si="155"/>
        <v>3</v>
      </c>
      <c r="Z443" s="239">
        <f t="shared" si="155"/>
        <v>4</v>
      </c>
      <c r="AA443" s="239">
        <f t="shared" si="155"/>
        <v>3</v>
      </c>
      <c r="AB443" s="239">
        <f t="shared" si="155"/>
        <v>2</v>
      </c>
      <c r="AC443" s="239">
        <f t="shared" si="155"/>
        <v>3</v>
      </c>
      <c r="AD443" s="239">
        <f t="shared" si="155"/>
        <v>1</v>
      </c>
      <c r="AE443" s="239">
        <f t="shared" si="155"/>
        <v>3</v>
      </c>
      <c r="AF443" s="189">
        <f t="shared" si="153"/>
        <v>50</v>
      </c>
    </row>
    <row r="444">
      <c r="A444" s="294" t="s">
        <v>321</v>
      </c>
      <c r="B444" s="239">
        <f t="shared" ref="B444:AE444" si="156">B212-B285</f>
        <v>2</v>
      </c>
      <c r="C444" s="239">
        <f t="shared" si="156"/>
        <v>5</v>
      </c>
      <c r="D444" s="239">
        <f t="shared" si="156"/>
        <v>1</v>
      </c>
      <c r="E444" s="239">
        <f t="shared" si="156"/>
        <v>8</v>
      </c>
      <c r="F444" s="239">
        <f t="shared" si="156"/>
        <v>6</v>
      </c>
      <c r="G444" s="239">
        <f t="shared" si="156"/>
        <v>2</v>
      </c>
      <c r="H444" s="239">
        <f t="shared" si="156"/>
        <v>8</v>
      </c>
      <c r="I444" s="239">
        <f t="shared" si="156"/>
        <v>6</v>
      </c>
      <c r="J444" s="239">
        <f t="shared" si="156"/>
        <v>4</v>
      </c>
      <c r="K444" s="239">
        <f t="shared" si="156"/>
        <v>8</v>
      </c>
      <c r="L444" s="239">
        <f t="shared" si="156"/>
        <v>4</v>
      </c>
      <c r="M444" s="239">
        <f t="shared" si="156"/>
        <v>2</v>
      </c>
      <c r="N444" s="239">
        <f t="shared" si="156"/>
        <v>0</v>
      </c>
      <c r="O444" s="239">
        <f t="shared" si="156"/>
        <v>6</v>
      </c>
      <c r="P444" s="239">
        <f t="shared" si="156"/>
        <v>3</v>
      </c>
      <c r="Q444" s="239">
        <f t="shared" si="156"/>
        <v>0</v>
      </c>
      <c r="R444" s="239">
        <f t="shared" si="156"/>
        <v>5</v>
      </c>
      <c r="S444" s="239">
        <f t="shared" si="156"/>
        <v>8</v>
      </c>
      <c r="T444" s="239">
        <f t="shared" si="156"/>
        <v>7</v>
      </c>
      <c r="U444" s="239">
        <f t="shared" si="156"/>
        <v>4</v>
      </c>
      <c r="V444" s="239">
        <f t="shared" si="156"/>
        <v>2</v>
      </c>
      <c r="W444" s="239">
        <f t="shared" si="156"/>
        <v>2</v>
      </c>
      <c r="X444" s="239">
        <f t="shared" si="156"/>
        <v>4</v>
      </c>
      <c r="Y444" s="239">
        <f t="shared" si="156"/>
        <v>6</v>
      </c>
      <c r="Z444" s="239">
        <f t="shared" si="156"/>
        <v>5</v>
      </c>
      <c r="AA444" s="239">
        <f t="shared" si="156"/>
        <v>4</v>
      </c>
      <c r="AB444" s="239">
        <f t="shared" si="156"/>
        <v>2</v>
      </c>
      <c r="AC444" s="239">
        <f t="shared" si="156"/>
        <v>3</v>
      </c>
      <c r="AD444" s="239">
        <f t="shared" si="156"/>
        <v>4</v>
      </c>
      <c r="AE444" s="239">
        <f t="shared" si="156"/>
        <v>4</v>
      </c>
      <c r="AF444" s="189">
        <f t="shared" si="153"/>
        <v>125</v>
      </c>
    </row>
    <row r="445">
      <c r="A445" s="294" t="s">
        <v>322</v>
      </c>
      <c r="B445" s="219">
        <f t="shared" ref="B445:AE445" si="157">B213-B286</f>
        <v>0</v>
      </c>
      <c r="C445" s="219">
        <f t="shared" si="157"/>
        <v>0</v>
      </c>
      <c r="D445" s="219">
        <f t="shared" si="157"/>
        <v>1</v>
      </c>
      <c r="E445" s="219">
        <f t="shared" si="157"/>
        <v>0</v>
      </c>
      <c r="F445" s="219">
        <f t="shared" si="157"/>
        <v>0</v>
      </c>
      <c r="G445" s="219">
        <f t="shared" si="157"/>
        <v>0</v>
      </c>
      <c r="H445" s="219">
        <f t="shared" si="157"/>
        <v>0</v>
      </c>
      <c r="I445" s="219">
        <f t="shared" si="157"/>
        <v>1</v>
      </c>
      <c r="J445" s="219">
        <f t="shared" si="157"/>
        <v>0</v>
      </c>
      <c r="K445" s="219">
        <f t="shared" si="157"/>
        <v>0</v>
      </c>
      <c r="L445" s="219">
        <f t="shared" si="157"/>
        <v>0</v>
      </c>
      <c r="M445" s="219">
        <f t="shared" si="157"/>
        <v>0</v>
      </c>
      <c r="N445" s="219">
        <f t="shared" si="157"/>
        <v>0</v>
      </c>
      <c r="O445" s="219">
        <f t="shared" si="157"/>
        <v>0</v>
      </c>
      <c r="P445" s="219">
        <f t="shared" si="157"/>
        <v>0</v>
      </c>
      <c r="Q445" s="219">
        <f t="shared" si="157"/>
        <v>0</v>
      </c>
      <c r="R445" s="219">
        <f t="shared" si="157"/>
        <v>0</v>
      </c>
      <c r="S445" s="219">
        <f t="shared" si="157"/>
        <v>0</v>
      </c>
      <c r="T445" s="219">
        <f t="shared" si="157"/>
        <v>0</v>
      </c>
      <c r="U445" s="219">
        <f t="shared" si="157"/>
        <v>0</v>
      </c>
      <c r="V445" s="219">
        <f t="shared" si="157"/>
        <v>0</v>
      </c>
      <c r="W445" s="219">
        <f t="shared" si="157"/>
        <v>4</v>
      </c>
      <c r="X445" s="219">
        <f t="shared" si="157"/>
        <v>0</v>
      </c>
      <c r="Y445" s="219">
        <f t="shared" si="157"/>
        <v>0</v>
      </c>
      <c r="Z445" s="219">
        <f t="shared" si="157"/>
        <v>0</v>
      </c>
      <c r="AA445" s="219">
        <f t="shared" si="157"/>
        <v>0</v>
      </c>
      <c r="AB445" s="219">
        <f t="shared" si="157"/>
        <v>0</v>
      </c>
      <c r="AC445" s="219">
        <f t="shared" si="157"/>
        <v>0</v>
      </c>
      <c r="AD445" s="219">
        <f t="shared" si="157"/>
        <v>0</v>
      </c>
      <c r="AE445" s="219">
        <f t="shared" si="157"/>
        <v>0</v>
      </c>
      <c r="AF445" s="189">
        <f t="shared" si="153"/>
        <v>6</v>
      </c>
    </row>
    <row r="446">
      <c r="A446" s="294" t="s">
        <v>323</v>
      </c>
      <c r="B446" s="219">
        <f t="shared" ref="B446:AE446" si="158">B214-B287</f>
        <v>0</v>
      </c>
      <c r="C446" s="219">
        <f t="shared" si="158"/>
        <v>23</v>
      </c>
      <c r="D446" s="219">
        <f t="shared" si="158"/>
        <v>0</v>
      </c>
      <c r="E446" s="219">
        <f t="shared" si="158"/>
        <v>0</v>
      </c>
      <c r="F446" s="219">
        <f t="shared" si="158"/>
        <v>0</v>
      </c>
      <c r="G446" s="219">
        <f t="shared" si="158"/>
        <v>0</v>
      </c>
      <c r="H446" s="219">
        <f t="shared" si="158"/>
        <v>0</v>
      </c>
      <c r="I446" s="219">
        <f t="shared" si="158"/>
        <v>0</v>
      </c>
      <c r="J446" s="219">
        <f t="shared" si="158"/>
        <v>0</v>
      </c>
      <c r="K446" s="219">
        <f t="shared" si="158"/>
        <v>0</v>
      </c>
      <c r="L446" s="219">
        <f t="shared" si="158"/>
        <v>0</v>
      </c>
      <c r="M446" s="219">
        <f t="shared" si="158"/>
        <v>0</v>
      </c>
      <c r="N446" s="219">
        <f t="shared" si="158"/>
        <v>0</v>
      </c>
      <c r="O446" s="219">
        <f t="shared" si="158"/>
        <v>0</v>
      </c>
      <c r="P446" s="219">
        <f t="shared" si="158"/>
        <v>0</v>
      </c>
      <c r="Q446" s="219">
        <f t="shared" si="158"/>
        <v>0</v>
      </c>
      <c r="R446" s="219">
        <f t="shared" si="158"/>
        <v>0</v>
      </c>
      <c r="S446" s="219">
        <f t="shared" si="158"/>
        <v>0</v>
      </c>
      <c r="T446" s="219">
        <f t="shared" si="158"/>
        <v>0</v>
      </c>
      <c r="U446" s="219">
        <f t="shared" si="158"/>
        <v>0</v>
      </c>
      <c r="V446" s="219">
        <f t="shared" si="158"/>
        <v>0</v>
      </c>
      <c r="W446" s="219">
        <f t="shared" si="158"/>
        <v>0</v>
      </c>
      <c r="X446" s="219">
        <f t="shared" si="158"/>
        <v>0</v>
      </c>
      <c r="Y446" s="219">
        <f t="shared" si="158"/>
        <v>0</v>
      </c>
      <c r="Z446" s="219">
        <f t="shared" si="158"/>
        <v>0</v>
      </c>
      <c r="AA446" s="219">
        <f t="shared" si="158"/>
        <v>0</v>
      </c>
      <c r="AB446" s="219">
        <f t="shared" si="158"/>
        <v>0</v>
      </c>
      <c r="AC446" s="219">
        <f t="shared" si="158"/>
        <v>2</v>
      </c>
      <c r="AD446" s="219">
        <f t="shared" si="158"/>
        <v>1</v>
      </c>
      <c r="AE446" s="219">
        <f t="shared" si="158"/>
        <v>0</v>
      </c>
      <c r="AF446" s="189">
        <f t="shared" si="153"/>
        <v>26</v>
      </c>
    </row>
    <row r="447">
      <c r="A447" s="295" t="s">
        <v>308</v>
      </c>
      <c r="B447" s="296">
        <f t="shared" ref="B447:AE447" si="159">B441+B443+B445</f>
        <v>49</v>
      </c>
      <c r="C447" s="296">
        <f t="shared" si="159"/>
        <v>41</v>
      </c>
      <c r="D447" s="296">
        <f t="shared" si="159"/>
        <v>50</v>
      </c>
      <c r="E447" s="296">
        <f t="shared" si="159"/>
        <v>43</v>
      </c>
      <c r="F447" s="296">
        <f t="shared" si="159"/>
        <v>46</v>
      </c>
      <c r="G447" s="296">
        <f t="shared" si="159"/>
        <v>49</v>
      </c>
      <c r="H447" s="296">
        <f t="shared" si="159"/>
        <v>38</v>
      </c>
      <c r="I447" s="296">
        <f t="shared" si="159"/>
        <v>58</v>
      </c>
      <c r="J447" s="296">
        <f t="shared" si="159"/>
        <v>60</v>
      </c>
      <c r="K447" s="296">
        <f t="shared" si="159"/>
        <v>45</v>
      </c>
      <c r="L447" s="296">
        <f t="shared" si="159"/>
        <v>54</v>
      </c>
      <c r="M447" s="296">
        <f t="shared" si="159"/>
        <v>73</v>
      </c>
      <c r="N447" s="296">
        <f t="shared" si="159"/>
        <v>59</v>
      </c>
      <c r="O447" s="296">
        <f t="shared" si="159"/>
        <v>91</v>
      </c>
      <c r="P447" s="296">
        <f t="shared" si="159"/>
        <v>96</v>
      </c>
      <c r="Q447" s="296">
        <f t="shared" si="159"/>
        <v>73</v>
      </c>
      <c r="R447" s="296">
        <f t="shared" si="159"/>
        <v>92</v>
      </c>
      <c r="S447" s="296">
        <f t="shared" si="159"/>
        <v>137</v>
      </c>
      <c r="T447" s="296">
        <f t="shared" si="159"/>
        <v>65</v>
      </c>
      <c r="U447" s="296">
        <f t="shared" si="159"/>
        <v>27</v>
      </c>
      <c r="V447" s="296">
        <f t="shared" si="159"/>
        <v>9</v>
      </c>
      <c r="W447" s="296">
        <f t="shared" si="159"/>
        <v>18</v>
      </c>
      <c r="X447" s="296">
        <f t="shared" si="159"/>
        <v>13</v>
      </c>
      <c r="Y447" s="296">
        <f t="shared" si="159"/>
        <v>30</v>
      </c>
      <c r="Z447" s="296">
        <f t="shared" si="159"/>
        <v>25</v>
      </c>
      <c r="AA447" s="296">
        <f t="shared" si="159"/>
        <v>27</v>
      </c>
      <c r="AB447" s="296">
        <f t="shared" si="159"/>
        <v>18</v>
      </c>
      <c r="AC447" s="296">
        <f t="shared" si="159"/>
        <v>22</v>
      </c>
      <c r="AD447" s="296">
        <f t="shared" si="159"/>
        <v>18</v>
      </c>
      <c r="AE447" s="296">
        <f t="shared" si="159"/>
        <v>22</v>
      </c>
      <c r="AF447" s="189">
        <f t="shared" si="153"/>
        <v>1448</v>
      </c>
    </row>
    <row r="448">
      <c r="A448" s="295" t="s">
        <v>344</v>
      </c>
      <c r="B448" s="296">
        <f t="shared" ref="B448:AE448" si="160">B442+B444+B446</f>
        <v>75</v>
      </c>
      <c r="C448" s="296">
        <f t="shared" si="160"/>
        <v>113</v>
      </c>
      <c r="D448" s="296">
        <f t="shared" si="160"/>
        <v>100</v>
      </c>
      <c r="E448" s="296">
        <f t="shared" si="160"/>
        <v>89</v>
      </c>
      <c r="F448" s="296">
        <f t="shared" si="160"/>
        <v>85</v>
      </c>
      <c r="G448" s="296">
        <f t="shared" si="160"/>
        <v>85</v>
      </c>
      <c r="H448" s="296">
        <f t="shared" si="160"/>
        <v>54</v>
      </c>
      <c r="I448" s="296">
        <f t="shared" si="160"/>
        <v>103</v>
      </c>
      <c r="J448" s="296">
        <f t="shared" si="160"/>
        <v>96</v>
      </c>
      <c r="K448" s="296">
        <f t="shared" si="160"/>
        <v>92</v>
      </c>
      <c r="L448" s="296">
        <f t="shared" si="160"/>
        <v>90</v>
      </c>
      <c r="M448" s="296">
        <f t="shared" si="160"/>
        <v>97</v>
      </c>
      <c r="N448" s="296">
        <f t="shared" si="160"/>
        <v>99</v>
      </c>
      <c r="O448" s="296">
        <f t="shared" si="160"/>
        <v>117</v>
      </c>
      <c r="P448" s="296">
        <f t="shared" si="160"/>
        <v>136</v>
      </c>
      <c r="Q448" s="296">
        <f t="shared" si="160"/>
        <v>107</v>
      </c>
      <c r="R448" s="296">
        <f t="shared" si="160"/>
        <v>159</v>
      </c>
      <c r="S448" s="296">
        <f t="shared" si="160"/>
        <v>201</v>
      </c>
      <c r="T448" s="296">
        <f t="shared" si="160"/>
        <v>143</v>
      </c>
      <c r="U448" s="296">
        <f t="shared" si="160"/>
        <v>58</v>
      </c>
      <c r="V448" s="296">
        <f t="shared" si="160"/>
        <v>23</v>
      </c>
      <c r="W448" s="296">
        <f t="shared" si="160"/>
        <v>25</v>
      </c>
      <c r="X448" s="296">
        <f t="shared" si="160"/>
        <v>28</v>
      </c>
      <c r="Y448" s="296">
        <f t="shared" si="160"/>
        <v>49</v>
      </c>
      <c r="Z448" s="296">
        <f t="shared" si="160"/>
        <v>106</v>
      </c>
      <c r="AA448" s="296">
        <f t="shared" si="160"/>
        <v>55</v>
      </c>
      <c r="AB448" s="296">
        <f t="shared" si="160"/>
        <v>27</v>
      </c>
      <c r="AC448" s="296">
        <f t="shared" si="160"/>
        <v>41</v>
      </c>
      <c r="AD448" s="296">
        <f t="shared" si="160"/>
        <v>49</v>
      </c>
      <c r="AE448" s="296">
        <f t="shared" si="160"/>
        <v>64</v>
      </c>
      <c r="AF448" s="189">
        <f t="shared" si="153"/>
        <v>2566</v>
      </c>
    </row>
    <row r="449">
      <c r="A449" s="2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c r="AB449" s="166"/>
      <c r="AC449" s="166"/>
      <c r="AD449" s="166"/>
      <c r="AE449" s="166"/>
      <c r="AF449" s="189"/>
    </row>
    <row r="450">
      <c r="A450" s="294" t="s">
        <v>325</v>
      </c>
      <c r="B450" s="239">
        <f t="shared" ref="B450:AE450" si="161">B218-B291</f>
        <v>24</v>
      </c>
      <c r="C450" s="239">
        <f t="shared" si="161"/>
        <v>33</v>
      </c>
      <c r="D450" s="239">
        <f t="shared" si="161"/>
        <v>41</v>
      </c>
      <c r="E450" s="239">
        <f t="shared" si="161"/>
        <v>46</v>
      </c>
      <c r="F450" s="239">
        <f t="shared" si="161"/>
        <v>40</v>
      </c>
      <c r="G450" s="239">
        <f t="shared" si="161"/>
        <v>33</v>
      </c>
      <c r="H450" s="239">
        <f t="shared" si="161"/>
        <v>25</v>
      </c>
      <c r="I450" s="239">
        <f t="shared" si="161"/>
        <v>36</v>
      </c>
      <c r="J450" s="239">
        <f t="shared" si="161"/>
        <v>55</v>
      </c>
      <c r="K450" s="239">
        <f t="shared" si="161"/>
        <v>50</v>
      </c>
      <c r="L450" s="239">
        <f t="shared" si="161"/>
        <v>48</v>
      </c>
      <c r="M450" s="239">
        <f t="shared" si="161"/>
        <v>62</v>
      </c>
      <c r="N450" s="239">
        <f t="shared" si="161"/>
        <v>41</v>
      </c>
      <c r="O450" s="239">
        <f t="shared" si="161"/>
        <v>68</v>
      </c>
      <c r="P450" s="239">
        <f t="shared" si="161"/>
        <v>76</v>
      </c>
      <c r="Q450" s="239">
        <f t="shared" si="161"/>
        <v>73</v>
      </c>
      <c r="R450" s="239">
        <f t="shared" si="161"/>
        <v>68</v>
      </c>
      <c r="S450" s="239">
        <f t="shared" si="161"/>
        <v>95</v>
      </c>
      <c r="T450" s="239">
        <f t="shared" si="161"/>
        <v>67</v>
      </c>
      <c r="U450" s="239">
        <f t="shared" si="161"/>
        <v>34</v>
      </c>
      <c r="V450" s="239">
        <f t="shared" si="161"/>
        <v>8</v>
      </c>
      <c r="W450" s="239">
        <f t="shared" si="161"/>
        <v>9</v>
      </c>
      <c r="X450" s="239">
        <f t="shared" si="161"/>
        <v>20</v>
      </c>
      <c r="Y450" s="239">
        <f t="shared" si="161"/>
        <v>30</v>
      </c>
      <c r="Z450" s="239">
        <f t="shared" si="161"/>
        <v>52</v>
      </c>
      <c r="AA450" s="239">
        <f t="shared" si="161"/>
        <v>22</v>
      </c>
      <c r="AB450" s="239">
        <f t="shared" si="161"/>
        <v>14</v>
      </c>
      <c r="AC450" s="239">
        <f t="shared" si="161"/>
        <v>20</v>
      </c>
      <c r="AD450" s="239">
        <f t="shared" si="161"/>
        <v>15</v>
      </c>
      <c r="AE450" s="239">
        <f t="shared" si="161"/>
        <v>19</v>
      </c>
      <c r="AF450" s="189">
        <f t="shared" ref="AF450:AF455" si="163">SUM(B450:AE450)</f>
        <v>1224</v>
      </c>
    </row>
    <row r="451">
      <c r="A451" s="294" t="s">
        <v>326</v>
      </c>
      <c r="B451" s="239">
        <f t="shared" ref="B451:AE451" si="162">B219-B292</f>
        <v>0</v>
      </c>
      <c r="C451" s="239">
        <f t="shared" si="162"/>
        <v>0</v>
      </c>
      <c r="D451" s="239">
        <f t="shared" si="162"/>
        <v>0</v>
      </c>
      <c r="E451" s="239">
        <f t="shared" si="162"/>
        <v>0</v>
      </c>
      <c r="F451" s="239">
        <f t="shared" si="162"/>
        <v>1</v>
      </c>
      <c r="G451" s="239">
        <f t="shared" si="162"/>
        <v>0</v>
      </c>
      <c r="H451" s="239">
        <f t="shared" si="162"/>
        <v>0</v>
      </c>
      <c r="I451" s="239">
        <f t="shared" si="162"/>
        <v>0</v>
      </c>
      <c r="J451" s="239">
        <f t="shared" si="162"/>
        <v>0</v>
      </c>
      <c r="K451" s="239">
        <f t="shared" si="162"/>
        <v>0</v>
      </c>
      <c r="L451" s="239">
        <f t="shared" si="162"/>
        <v>0</v>
      </c>
      <c r="M451" s="239">
        <f t="shared" si="162"/>
        <v>0</v>
      </c>
      <c r="N451" s="239">
        <f t="shared" si="162"/>
        <v>0</v>
      </c>
      <c r="O451" s="239">
        <f t="shared" si="162"/>
        <v>0</v>
      </c>
      <c r="P451" s="239">
        <f t="shared" si="162"/>
        <v>0</v>
      </c>
      <c r="Q451" s="239">
        <f t="shared" si="162"/>
        <v>0</v>
      </c>
      <c r="R451" s="239">
        <f t="shared" si="162"/>
        <v>0</v>
      </c>
      <c r="S451" s="239">
        <f t="shared" si="162"/>
        <v>0</v>
      </c>
      <c r="T451" s="239">
        <f t="shared" si="162"/>
        <v>0</v>
      </c>
      <c r="U451" s="239">
        <f t="shared" si="162"/>
        <v>0</v>
      </c>
      <c r="V451" s="239">
        <f t="shared" si="162"/>
        <v>0</v>
      </c>
      <c r="W451" s="239">
        <f t="shared" si="162"/>
        <v>0</v>
      </c>
      <c r="X451" s="239">
        <f t="shared" si="162"/>
        <v>0</v>
      </c>
      <c r="Y451" s="239">
        <f t="shared" si="162"/>
        <v>0</v>
      </c>
      <c r="Z451" s="239">
        <f t="shared" si="162"/>
        <v>0</v>
      </c>
      <c r="AA451" s="239">
        <f t="shared" si="162"/>
        <v>0</v>
      </c>
      <c r="AB451" s="239">
        <f t="shared" si="162"/>
        <v>0</v>
      </c>
      <c r="AC451" s="239">
        <f t="shared" si="162"/>
        <v>0</v>
      </c>
      <c r="AD451" s="239">
        <f t="shared" si="162"/>
        <v>0</v>
      </c>
      <c r="AE451" s="239">
        <f t="shared" si="162"/>
        <v>0</v>
      </c>
      <c r="AF451" s="189">
        <f t="shared" si="163"/>
        <v>1</v>
      </c>
    </row>
    <row r="452">
      <c r="A452" s="294" t="s">
        <v>327</v>
      </c>
      <c r="B452" s="239">
        <f t="shared" ref="B452:AE452" si="164">B220-B293</f>
        <v>15</v>
      </c>
      <c r="C452" s="239">
        <f t="shared" si="164"/>
        <v>21</v>
      </c>
      <c r="D452" s="239">
        <f t="shared" si="164"/>
        <v>20</v>
      </c>
      <c r="E452" s="239">
        <f t="shared" si="164"/>
        <v>27</v>
      </c>
      <c r="F452" s="239">
        <f t="shared" si="164"/>
        <v>19</v>
      </c>
      <c r="G452" s="239">
        <f t="shared" si="164"/>
        <v>11</v>
      </c>
      <c r="H452" s="239">
        <f t="shared" si="164"/>
        <v>19</v>
      </c>
      <c r="I452" s="239">
        <f t="shared" si="164"/>
        <v>33</v>
      </c>
      <c r="J452" s="239">
        <f t="shared" si="164"/>
        <v>33</v>
      </c>
      <c r="K452" s="239">
        <f t="shared" si="164"/>
        <v>28</v>
      </c>
      <c r="L452" s="239">
        <f t="shared" si="164"/>
        <v>31</v>
      </c>
      <c r="M452" s="239">
        <f t="shared" si="164"/>
        <v>31</v>
      </c>
      <c r="N452" s="239">
        <f t="shared" si="164"/>
        <v>16</v>
      </c>
      <c r="O452" s="239">
        <f t="shared" si="164"/>
        <v>23</v>
      </c>
      <c r="P452" s="239">
        <f t="shared" si="164"/>
        <v>33</v>
      </c>
      <c r="Q452" s="239">
        <f t="shared" si="164"/>
        <v>38</v>
      </c>
      <c r="R452" s="239">
        <f t="shared" si="164"/>
        <v>36</v>
      </c>
      <c r="S452" s="239">
        <f t="shared" si="164"/>
        <v>53</v>
      </c>
      <c r="T452" s="239">
        <f t="shared" si="164"/>
        <v>43</v>
      </c>
      <c r="U452" s="239">
        <f t="shared" si="164"/>
        <v>18</v>
      </c>
      <c r="V452" s="239">
        <f t="shared" si="164"/>
        <v>15</v>
      </c>
      <c r="W452" s="239">
        <f t="shared" si="164"/>
        <v>5</v>
      </c>
      <c r="X452" s="239">
        <f t="shared" si="164"/>
        <v>12</v>
      </c>
      <c r="Y452" s="239">
        <f t="shared" si="164"/>
        <v>18</v>
      </c>
      <c r="Z452" s="239">
        <f t="shared" si="164"/>
        <v>27</v>
      </c>
      <c r="AA452" s="239">
        <f t="shared" si="164"/>
        <v>11</v>
      </c>
      <c r="AB452" s="239">
        <f t="shared" si="164"/>
        <v>5</v>
      </c>
      <c r="AC452" s="239">
        <f t="shared" si="164"/>
        <v>6</v>
      </c>
      <c r="AD452" s="239">
        <f t="shared" si="164"/>
        <v>16</v>
      </c>
      <c r="AE452" s="239">
        <f t="shared" si="164"/>
        <v>9</v>
      </c>
      <c r="AF452" s="189">
        <f t="shared" si="163"/>
        <v>672</v>
      </c>
    </row>
    <row r="453">
      <c r="A453" s="294" t="s">
        <v>328</v>
      </c>
      <c r="B453" s="239">
        <f t="shared" ref="B453:AE453" si="165">B221-B294</f>
        <v>20</v>
      </c>
      <c r="C453" s="239">
        <f t="shared" si="165"/>
        <v>28</v>
      </c>
      <c r="D453" s="239">
        <f t="shared" si="165"/>
        <v>23</v>
      </c>
      <c r="E453" s="239">
        <f t="shared" si="165"/>
        <v>30</v>
      </c>
      <c r="F453" s="239">
        <f t="shared" si="165"/>
        <v>21</v>
      </c>
      <c r="G453" s="239">
        <f t="shared" si="165"/>
        <v>18</v>
      </c>
      <c r="H453" s="239">
        <f t="shared" si="165"/>
        <v>17</v>
      </c>
      <c r="I453" s="239">
        <f t="shared" si="165"/>
        <v>33</v>
      </c>
      <c r="J453" s="239">
        <f t="shared" si="165"/>
        <v>36</v>
      </c>
      <c r="K453" s="239">
        <f t="shared" si="165"/>
        <v>21</v>
      </c>
      <c r="L453" s="239">
        <f t="shared" si="165"/>
        <v>30</v>
      </c>
      <c r="M453" s="239">
        <f t="shared" si="165"/>
        <v>32</v>
      </c>
      <c r="N453" s="239">
        <f t="shared" si="165"/>
        <v>9</v>
      </c>
      <c r="O453" s="239">
        <f t="shared" si="165"/>
        <v>27</v>
      </c>
      <c r="P453" s="239">
        <f t="shared" si="165"/>
        <v>31</v>
      </c>
      <c r="Q453" s="239">
        <f t="shared" si="165"/>
        <v>46</v>
      </c>
      <c r="R453" s="239">
        <f t="shared" si="165"/>
        <v>35</v>
      </c>
      <c r="S453" s="239">
        <f t="shared" si="165"/>
        <v>61</v>
      </c>
      <c r="T453" s="239">
        <f t="shared" si="165"/>
        <v>49</v>
      </c>
      <c r="U453" s="239">
        <f t="shared" si="165"/>
        <v>21</v>
      </c>
      <c r="V453" s="239">
        <f t="shared" si="165"/>
        <v>10</v>
      </c>
      <c r="W453" s="239">
        <f t="shared" si="165"/>
        <v>3</v>
      </c>
      <c r="X453" s="239">
        <f t="shared" si="165"/>
        <v>16</v>
      </c>
      <c r="Y453" s="239">
        <f t="shared" si="165"/>
        <v>14</v>
      </c>
      <c r="Z453" s="239">
        <f t="shared" si="165"/>
        <v>27</v>
      </c>
      <c r="AA453" s="239">
        <f t="shared" si="165"/>
        <v>9</v>
      </c>
      <c r="AB453" s="239">
        <f t="shared" si="165"/>
        <v>5</v>
      </c>
      <c r="AC453" s="239">
        <f t="shared" si="165"/>
        <v>6</v>
      </c>
      <c r="AD453" s="239">
        <f t="shared" si="165"/>
        <v>13</v>
      </c>
      <c r="AE453" s="239">
        <f t="shared" si="165"/>
        <v>13</v>
      </c>
      <c r="AF453" s="189">
        <f t="shared" si="163"/>
        <v>704</v>
      </c>
    </row>
    <row r="454">
      <c r="A454" s="294" t="s">
        <v>329</v>
      </c>
      <c r="B454" s="239">
        <f t="shared" ref="B454:AE454" si="166">B222-B295</f>
        <v>13</v>
      </c>
      <c r="C454" s="239">
        <f t="shared" si="166"/>
        <v>16</v>
      </c>
      <c r="D454" s="239">
        <f t="shared" si="166"/>
        <v>20</v>
      </c>
      <c r="E454" s="239">
        <f t="shared" si="166"/>
        <v>15</v>
      </c>
      <c r="F454" s="239">
        <f t="shared" si="166"/>
        <v>19</v>
      </c>
      <c r="G454" s="239">
        <f t="shared" si="166"/>
        <v>8</v>
      </c>
      <c r="H454" s="239">
        <f t="shared" si="166"/>
        <v>15</v>
      </c>
      <c r="I454" s="239">
        <f t="shared" si="166"/>
        <v>17</v>
      </c>
      <c r="J454" s="239">
        <f t="shared" si="166"/>
        <v>16</v>
      </c>
      <c r="K454" s="239">
        <f t="shared" si="166"/>
        <v>20</v>
      </c>
      <c r="L454" s="239">
        <f t="shared" si="166"/>
        <v>13</v>
      </c>
      <c r="M454" s="239">
        <f t="shared" si="166"/>
        <v>28</v>
      </c>
      <c r="N454" s="239">
        <f t="shared" si="166"/>
        <v>17</v>
      </c>
      <c r="O454" s="239">
        <f t="shared" si="166"/>
        <v>23</v>
      </c>
      <c r="P454" s="239">
        <f t="shared" si="166"/>
        <v>11</v>
      </c>
      <c r="Q454" s="239">
        <f t="shared" si="166"/>
        <v>31</v>
      </c>
      <c r="R454" s="239">
        <f t="shared" si="166"/>
        <v>18</v>
      </c>
      <c r="S454" s="239">
        <f t="shared" si="166"/>
        <v>28</v>
      </c>
      <c r="T454" s="239">
        <f t="shared" si="166"/>
        <v>27</v>
      </c>
      <c r="U454" s="239">
        <f t="shared" si="166"/>
        <v>12</v>
      </c>
      <c r="V454" s="239">
        <f t="shared" si="166"/>
        <v>7</v>
      </c>
      <c r="W454" s="239">
        <f t="shared" si="166"/>
        <v>4</v>
      </c>
      <c r="X454" s="239">
        <f t="shared" si="166"/>
        <v>12</v>
      </c>
      <c r="Y454" s="239">
        <f t="shared" si="166"/>
        <v>6</v>
      </c>
      <c r="Z454" s="239">
        <f t="shared" si="166"/>
        <v>11</v>
      </c>
      <c r="AA454" s="239">
        <f t="shared" si="166"/>
        <v>10</v>
      </c>
      <c r="AB454" s="239">
        <f t="shared" si="166"/>
        <v>2</v>
      </c>
      <c r="AC454" s="239">
        <f t="shared" si="166"/>
        <v>9</v>
      </c>
      <c r="AD454" s="239">
        <f t="shared" si="166"/>
        <v>13</v>
      </c>
      <c r="AE454" s="239">
        <f t="shared" si="166"/>
        <v>12</v>
      </c>
      <c r="AF454" s="189">
        <f t="shared" si="163"/>
        <v>453</v>
      </c>
    </row>
    <row r="455">
      <c r="A455" s="297" t="s">
        <v>330</v>
      </c>
      <c r="B455" s="296">
        <f t="shared" ref="B455:AE455" si="167">SUM(B450:B454)</f>
        <v>72</v>
      </c>
      <c r="C455" s="296">
        <f t="shared" si="167"/>
        <v>98</v>
      </c>
      <c r="D455" s="296">
        <f t="shared" si="167"/>
        <v>104</v>
      </c>
      <c r="E455" s="296">
        <f t="shared" si="167"/>
        <v>118</v>
      </c>
      <c r="F455" s="296">
        <f t="shared" si="167"/>
        <v>100</v>
      </c>
      <c r="G455" s="296">
        <f t="shared" si="167"/>
        <v>70</v>
      </c>
      <c r="H455" s="296">
        <f t="shared" si="167"/>
        <v>76</v>
      </c>
      <c r="I455" s="296">
        <f t="shared" si="167"/>
        <v>119</v>
      </c>
      <c r="J455" s="296">
        <f t="shared" si="167"/>
        <v>140</v>
      </c>
      <c r="K455" s="296">
        <f t="shared" si="167"/>
        <v>119</v>
      </c>
      <c r="L455" s="296">
        <f t="shared" si="167"/>
        <v>122</v>
      </c>
      <c r="M455" s="296">
        <f t="shared" si="167"/>
        <v>153</v>
      </c>
      <c r="N455" s="296">
        <f t="shared" si="167"/>
        <v>83</v>
      </c>
      <c r="O455" s="296">
        <f t="shared" si="167"/>
        <v>141</v>
      </c>
      <c r="P455" s="296">
        <f t="shared" si="167"/>
        <v>151</v>
      </c>
      <c r="Q455" s="296">
        <f t="shared" si="167"/>
        <v>188</v>
      </c>
      <c r="R455" s="296">
        <f t="shared" si="167"/>
        <v>157</v>
      </c>
      <c r="S455" s="296">
        <f t="shared" si="167"/>
        <v>237</v>
      </c>
      <c r="T455" s="296">
        <f t="shared" si="167"/>
        <v>186</v>
      </c>
      <c r="U455" s="296">
        <f t="shared" si="167"/>
        <v>85</v>
      </c>
      <c r="V455" s="296">
        <f t="shared" si="167"/>
        <v>40</v>
      </c>
      <c r="W455" s="296">
        <f t="shared" si="167"/>
        <v>21</v>
      </c>
      <c r="X455" s="296">
        <f t="shared" si="167"/>
        <v>60</v>
      </c>
      <c r="Y455" s="296">
        <f t="shared" si="167"/>
        <v>68</v>
      </c>
      <c r="Z455" s="296">
        <f t="shared" si="167"/>
        <v>117</v>
      </c>
      <c r="AA455" s="296">
        <f t="shared" si="167"/>
        <v>52</v>
      </c>
      <c r="AB455" s="296">
        <f t="shared" si="167"/>
        <v>26</v>
      </c>
      <c r="AC455" s="296">
        <f t="shared" si="167"/>
        <v>41</v>
      </c>
      <c r="AD455" s="296">
        <f t="shared" si="167"/>
        <v>57</v>
      </c>
      <c r="AE455" s="296">
        <f t="shared" si="167"/>
        <v>53</v>
      </c>
      <c r="AF455" s="189">
        <f t="shared" si="163"/>
        <v>3054</v>
      </c>
    </row>
    <row r="456">
      <c r="A456" s="2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c r="AB456" s="166"/>
      <c r="AC456" s="166"/>
      <c r="AD456" s="166"/>
      <c r="AE456" s="166"/>
      <c r="AF456" s="189"/>
    </row>
    <row r="457">
      <c r="A457" s="294" t="s">
        <v>331</v>
      </c>
      <c r="B457" s="239">
        <f t="shared" ref="B457:AE457" si="168">B225-B298</f>
        <v>-1</v>
      </c>
      <c r="C457" s="239">
        <f t="shared" si="168"/>
        <v>4</v>
      </c>
      <c r="D457" s="239">
        <f t="shared" si="168"/>
        <v>3</v>
      </c>
      <c r="E457" s="239">
        <f t="shared" si="168"/>
        <v>2</v>
      </c>
      <c r="F457" s="239">
        <f t="shared" si="168"/>
        <v>6</v>
      </c>
      <c r="G457" s="239">
        <f t="shared" si="168"/>
        <v>8</v>
      </c>
      <c r="H457" s="239">
        <f t="shared" si="168"/>
        <v>5</v>
      </c>
      <c r="I457" s="239">
        <f t="shared" si="168"/>
        <v>4</v>
      </c>
      <c r="J457" s="239">
        <f t="shared" si="168"/>
        <v>4</v>
      </c>
      <c r="K457" s="239">
        <f t="shared" si="168"/>
        <v>9</v>
      </c>
      <c r="L457" s="239">
        <f t="shared" si="168"/>
        <v>2</v>
      </c>
      <c r="M457" s="239">
        <f t="shared" si="168"/>
        <v>1</v>
      </c>
      <c r="N457" s="239">
        <f t="shared" si="168"/>
        <v>3</v>
      </c>
      <c r="O457" s="239">
        <f t="shared" si="168"/>
        <v>8</v>
      </c>
      <c r="P457" s="239">
        <f t="shared" si="168"/>
        <v>3</v>
      </c>
      <c r="Q457" s="239">
        <f t="shared" si="168"/>
        <v>1</v>
      </c>
      <c r="R457" s="239">
        <f t="shared" si="168"/>
        <v>2</v>
      </c>
      <c r="S457" s="239">
        <f t="shared" si="168"/>
        <v>4</v>
      </c>
      <c r="T457" s="239">
        <f t="shared" si="168"/>
        <v>5</v>
      </c>
      <c r="U457" s="239">
        <f t="shared" si="168"/>
        <v>2</v>
      </c>
      <c r="V457" s="239">
        <f t="shared" si="168"/>
        <v>1</v>
      </c>
      <c r="W457" s="239">
        <f t="shared" si="168"/>
        <v>0</v>
      </c>
      <c r="X457" s="239">
        <f t="shared" si="168"/>
        <v>4</v>
      </c>
      <c r="Y457" s="239">
        <f t="shared" si="168"/>
        <v>3</v>
      </c>
      <c r="Z457" s="239">
        <f t="shared" si="168"/>
        <v>7</v>
      </c>
      <c r="AA457" s="239">
        <f t="shared" si="168"/>
        <v>2</v>
      </c>
      <c r="AB457" s="239">
        <f t="shared" si="168"/>
        <v>2</v>
      </c>
      <c r="AC457" s="239">
        <f t="shared" si="168"/>
        <v>1</v>
      </c>
      <c r="AD457" s="239">
        <f t="shared" si="168"/>
        <v>0</v>
      </c>
      <c r="AE457" s="239">
        <f t="shared" si="168"/>
        <v>4</v>
      </c>
      <c r="AF457" s="189">
        <f t="shared" ref="AF457:AF462" si="170">SUM(B457:AE457)</f>
        <v>99</v>
      </c>
    </row>
    <row r="458">
      <c r="A458" s="294" t="s">
        <v>332</v>
      </c>
      <c r="B458" s="239">
        <f t="shared" ref="B458:AE458" si="169">B226-B299</f>
        <v>0</v>
      </c>
      <c r="C458" s="239">
        <f t="shared" si="169"/>
        <v>0</v>
      </c>
      <c r="D458" s="239">
        <f t="shared" si="169"/>
        <v>-2</v>
      </c>
      <c r="E458" s="239">
        <f t="shared" si="169"/>
        <v>0</v>
      </c>
      <c r="F458" s="239">
        <f t="shared" si="169"/>
        <v>0</v>
      </c>
      <c r="G458" s="239">
        <f t="shared" si="169"/>
        <v>0</v>
      </c>
      <c r="H458" s="239">
        <f t="shared" si="169"/>
        <v>0</v>
      </c>
      <c r="I458" s="239">
        <f t="shared" si="169"/>
        <v>0</v>
      </c>
      <c r="J458" s="239">
        <f t="shared" si="169"/>
        <v>0</v>
      </c>
      <c r="K458" s="239">
        <f t="shared" si="169"/>
        <v>0</v>
      </c>
      <c r="L458" s="239">
        <f t="shared" si="169"/>
        <v>0</v>
      </c>
      <c r="M458" s="239">
        <f t="shared" si="169"/>
        <v>0</v>
      </c>
      <c r="N458" s="239">
        <f t="shared" si="169"/>
        <v>0</v>
      </c>
      <c r="O458" s="239">
        <f t="shared" si="169"/>
        <v>0</v>
      </c>
      <c r="P458" s="239">
        <f t="shared" si="169"/>
        <v>0</v>
      </c>
      <c r="Q458" s="239">
        <f t="shared" si="169"/>
        <v>0</v>
      </c>
      <c r="R458" s="239">
        <f t="shared" si="169"/>
        <v>0</v>
      </c>
      <c r="S458" s="239">
        <f t="shared" si="169"/>
        <v>0</v>
      </c>
      <c r="T458" s="239">
        <f t="shared" si="169"/>
        <v>0</v>
      </c>
      <c r="U458" s="239">
        <f t="shared" si="169"/>
        <v>0</v>
      </c>
      <c r="V458" s="239">
        <f t="shared" si="169"/>
        <v>-1</v>
      </c>
      <c r="W458" s="239">
        <f t="shared" si="169"/>
        <v>0</v>
      </c>
      <c r="X458" s="239">
        <f t="shared" si="169"/>
        <v>0</v>
      </c>
      <c r="Y458" s="239">
        <f t="shared" si="169"/>
        <v>0</v>
      </c>
      <c r="Z458" s="239">
        <f t="shared" si="169"/>
        <v>-1</v>
      </c>
      <c r="AA458" s="239">
        <f t="shared" si="169"/>
        <v>0</v>
      </c>
      <c r="AB458" s="239">
        <f t="shared" si="169"/>
        <v>0</v>
      </c>
      <c r="AC458" s="239">
        <f t="shared" si="169"/>
        <v>0</v>
      </c>
      <c r="AD458" s="239">
        <f t="shared" si="169"/>
        <v>-2</v>
      </c>
      <c r="AE458" s="239">
        <f t="shared" si="169"/>
        <v>0</v>
      </c>
      <c r="AF458" s="189">
        <f t="shared" si="170"/>
        <v>-6</v>
      </c>
    </row>
    <row r="459">
      <c r="A459" s="294" t="s">
        <v>333</v>
      </c>
      <c r="B459" s="239">
        <f t="shared" ref="B459:AE459" si="171">B227-B300</f>
        <v>0</v>
      </c>
      <c r="C459" s="239">
        <f t="shared" si="171"/>
        <v>1</v>
      </c>
      <c r="D459" s="239">
        <f t="shared" si="171"/>
        <v>3</v>
      </c>
      <c r="E459" s="239">
        <f t="shared" si="171"/>
        <v>2</v>
      </c>
      <c r="F459" s="239">
        <f t="shared" si="171"/>
        <v>4</v>
      </c>
      <c r="G459" s="239">
        <f t="shared" si="171"/>
        <v>2</v>
      </c>
      <c r="H459" s="239">
        <f t="shared" si="171"/>
        <v>4</v>
      </c>
      <c r="I459" s="239">
        <f t="shared" si="171"/>
        <v>4</v>
      </c>
      <c r="J459" s="239">
        <f t="shared" si="171"/>
        <v>2</v>
      </c>
      <c r="K459" s="239">
        <f t="shared" si="171"/>
        <v>2</v>
      </c>
      <c r="L459" s="239">
        <f t="shared" si="171"/>
        <v>2</v>
      </c>
      <c r="M459" s="239">
        <f t="shared" si="171"/>
        <v>1</v>
      </c>
      <c r="N459" s="239">
        <f t="shared" si="171"/>
        <v>0</v>
      </c>
      <c r="O459" s="239">
        <f t="shared" si="171"/>
        <v>3</v>
      </c>
      <c r="P459" s="239">
        <f t="shared" si="171"/>
        <v>2</v>
      </c>
      <c r="Q459" s="239">
        <f t="shared" si="171"/>
        <v>1</v>
      </c>
      <c r="R459" s="239">
        <f t="shared" si="171"/>
        <v>1</v>
      </c>
      <c r="S459" s="239">
        <f t="shared" si="171"/>
        <v>7</v>
      </c>
      <c r="T459" s="239">
        <f t="shared" si="171"/>
        <v>6</v>
      </c>
      <c r="U459" s="239">
        <f t="shared" si="171"/>
        <v>2</v>
      </c>
      <c r="V459" s="239">
        <f t="shared" si="171"/>
        <v>1</v>
      </c>
      <c r="W459" s="239">
        <f t="shared" si="171"/>
        <v>-1</v>
      </c>
      <c r="X459" s="239">
        <f t="shared" si="171"/>
        <v>3</v>
      </c>
      <c r="Y459" s="239">
        <f t="shared" si="171"/>
        <v>3</v>
      </c>
      <c r="Z459" s="239">
        <f t="shared" si="171"/>
        <v>-1</v>
      </c>
      <c r="AA459" s="239">
        <f t="shared" si="171"/>
        <v>1</v>
      </c>
      <c r="AB459" s="239">
        <f t="shared" si="171"/>
        <v>1</v>
      </c>
      <c r="AC459" s="239">
        <f t="shared" si="171"/>
        <v>0</v>
      </c>
      <c r="AD459" s="239">
        <f t="shared" si="171"/>
        <v>-1</v>
      </c>
      <c r="AE459" s="239">
        <f t="shared" si="171"/>
        <v>4</v>
      </c>
      <c r="AF459" s="189">
        <f t="shared" si="170"/>
        <v>59</v>
      </c>
    </row>
    <row r="460">
      <c r="A460" s="294" t="s">
        <v>334</v>
      </c>
      <c r="B460" s="239">
        <f t="shared" ref="B460:AE460" si="172">B228-B301</f>
        <v>2</v>
      </c>
      <c r="C460" s="239">
        <f t="shared" si="172"/>
        <v>4</v>
      </c>
      <c r="D460" s="239">
        <f t="shared" si="172"/>
        <v>4</v>
      </c>
      <c r="E460" s="239">
        <f t="shared" si="172"/>
        <v>2</v>
      </c>
      <c r="F460" s="239">
        <f t="shared" si="172"/>
        <v>4</v>
      </c>
      <c r="G460" s="239">
        <f t="shared" si="172"/>
        <v>3</v>
      </c>
      <c r="H460" s="239">
        <f t="shared" si="172"/>
        <v>5</v>
      </c>
      <c r="I460" s="239">
        <f t="shared" si="172"/>
        <v>3</v>
      </c>
      <c r="J460" s="239">
        <f t="shared" si="172"/>
        <v>6</v>
      </c>
      <c r="K460" s="239">
        <f t="shared" si="172"/>
        <v>8</v>
      </c>
      <c r="L460" s="239">
        <f t="shared" si="172"/>
        <v>3</v>
      </c>
      <c r="M460" s="239">
        <f t="shared" si="172"/>
        <v>5</v>
      </c>
      <c r="N460" s="239">
        <f t="shared" si="172"/>
        <v>3</v>
      </c>
      <c r="O460" s="239">
        <f t="shared" si="172"/>
        <v>4</v>
      </c>
      <c r="P460" s="239">
        <f t="shared" si="172"/>
        <v>3</v>
      </c>
      <c r="Q460" s="239">
        <f t="shared" si="172"/>
        <v>2</v>
      </c>
      <c r="R460" s="239">
        <f t="shared" si="172"/>
        <v>0</v>
      </c>
      <c r="S460" s="239">
        <f t="shared" si="172"/>
        <v>5</v>
      </c>
      <c r="T460" s="239">
        <f t="shared" si="172"/>
        <v>7</v>
      </c>
      <c r="U460" s="239">
        <f t="shared" si="172"/>
        <v>3</v>
      </c>
      <c r="V460" s="239">
        <f t="shared" si="172"/>
        <v>2</v>
      </c>
      <c r="W460" s="239">
        <f t="shared" si="172"/>
        <v>3</v>
      </c>
      <c r="X460" s="239">
        <f t="shared" si="172"/>
        <v>5</v>
      </c>
      <c r="Y460" s="239">
        <f t="shared" si="172"/>
        <v>2</v>
      </c>
      <c r="Z460" s="239">
        <f t="shared" si="172"/>
        <v>2</v>
      </c>
      <c r="AA460" s="239">
        <f t="shared" si="172"/>
        <v>3</v>
      </c>
      <c r="AB460" s="239">
        <f t="shared" si="172"/>
        <v>2</v>
      </c>
      <c r="AC460" s="239">
        <f t="shared" si="172"/>
        <v>1</v>
      </c>
      <c r="AD460" s="239">
        <f t="shared" si="172"/>
        <v>2</v>
      </c>
      <c r="AE460" s="239">
        <f t="shared" si="172"/>
        <v>4</v>
      </c>
      <c r="AF460" s="189">
        <f t="shared" si="170"/>
        <v>102</v>
      </c>
    </row>
    <row r="461">
      <c r="A461" s="294" t="s">
        <v>335</v>
      </c>
      <c r="B461" s="239">
        <f t="shared" ref="B461:AE461" si="173">B229-B302</f>
        <v>2</v>
      </c>
      <c r="C461" s="239">
        <f t="shared" si="173"/>
        <v>2</v>
      </c>
      <c r="D461" s="239">
        <f t="shared" si="173"/>
        <v>4</v>
      </c>
      <c r="E461" s="239">
        <f t="shared" si="173"/>
        <v>0</v>
      </c>
      <c r="F461" s="239">
        <f t="shared" si="173"/>
        <v>1</v>
      </c>
      <c r="G461" s="239">
        <f t="shared" si="173"/>
        <v>0</v>
      </c>
      <c r="H461" s="239">
        <f t="shared" si="173"/>
        <v>2</v>
      </c>
      <c r="I461" s="239">
        <f t="shared" si="173"/>
        <v>3</v>
      </c>
      <c r="J461" s="239">
        <f t="shared" si="173"/>
        <v>1</v>
      </c>
      <c r="K461" s="239">
        <f t="shared" si="173"/>
        <v>3</v>
      </c>
      <c r="L461" s="239">
        <f t="shared" si="173"/>
        <v>2</v>
      </c>
      <c r="M461" s="239">
        <f t="shared" si="173"/>
        <v>6</v>
      </c>
      <c r="N461" s="239">
        <f t="shared" si="173"/>
        <v>1</v>
      </c>
      <c r="O461" s="239">
        <f t="shared" si="173"/>
        <v>3</v>
      </c>
      <c r="P461" s="239">
        <f t="shared" si="173"/>
        <v>1</v>
      </c>
      <c r="Q461" s="239">
        <f t="shared" si="173"/>
        <v>2</v>
      </c>
      <c r="R461" s="239">
        <f t="shared" si="173"/>
        <v>0</v>
      </c>
      <c r="S461" s="239">
        <f t="shared" si="173"/>
        <v>6</v>
      </c>
      <c r="T461" s="239">
        <f t="shared" si="173"/>
        <v>0</v>
      </c>
      <c r="U461" s="239">
        <f t="shared" si="173"/>
        <v>0</v>
      </c>
      <c r="V461" s="239">
        <f t="shared" si="173"/>
        <v>0</v>
      </c>
      <c r="W461" s="239">
        <f t="shared" si="173"/>
        <v>3</v>
      </c>
      <c r="X461" s="239">
        <f t="shared" si="173"/>
        <v>2</v>
      </c>
      <c r="Y461" s="239">
        <f t="shared" si="173"/>
        <v>1</v>
      </c>
      <c r="Z461" s="239">
        <f t="shared" si="173"/>
        <v>2</v>
      </c>
      <c r="AA461" s="239">
        <f t="shared" si="173"/>
        <v>1</v>
      </c>
      <c r="AB461" s="239">
        <f t="shared" si="173"/>
        <v>2</v>
      </c>
      <c r="AC461" s="239">
        <f t="shared" si="173"/>
        <v>1</v>
      </c>
      <c r="AD461" s="239">
        <f t="shared" si="173"/>
        <v>1</v>
      </c>
      <c r="AE461" s="239">
        <f t="shared" si="173"/>
        <v>1</v>
      </c>
      <c r="AF461" s="189">
        <f t="shared" si="170"/>
        <v>53</v>
      </c>
    </row>
    <row r="462">
      <c r="A462" s="297" t="s">
        <v>336</v>
      </c>
      <c r="B462" s="298">
        <f t="shared" ref="B462:AE462" si="174">SUM(B457:B461)</f>
        <v>3</v>
      </c>
      <c r="C462" s="296">
        <f t="shared" si="174"/>
        <v>11</v>
      </c>
      <c r="D462" s="296">
        <f t="shared" si="174"/>
        <v>12</v>
      </c>
      <c r="E462" s="296">
        <f t="shared" si="174"/>
        <v>6</v>
      </c>
      <c r="F462" s="296">
        <f t="shared" si="174"/>
        <v>15</v>
      </c>
      <c r="G462" s="296">
        <f t="shared" si="174"/>
        <v>13</v>
      </c>
      <c r="H462" s="296">
        <f t="shared" si="174"/>
        <v>16</v>
      </c>
      <c r="I462" s="296">
        <f t="shared" si="174"/>
        <v>14</v>
      </c>
      <c r="J462" s="296">
        <f t="shared" si="174"/>
        <v>13</v>
      </c>
      <c r="K462" s="296">
        <f t="shared" si="174"/>
        <v>22</v>
      </c>
      <c r="L462" s="296">
        <f t="shared" si="174"/>
        <v>9</v>
      </c>
      <c r="M462" s="296">
        <f t="shared" si="174"/>
        <v>13</v>
      </c>
      <c r="N462" s="296">
        <f t="shared" si="174"/>
        <v>7</v>
      </c>
      <c r="O462" s="296">
        <f t="shared" si="174"/>
        <v>18</v>
      </c>
      <c r="P462" s="296">
        <f t="shared" si="174"/>
        <v>9</v>
      </c>
      <c r="Q462" s="296">
        <f t="shared" si="174"/>
        <v>6</v>
      </c>
      <c r="R462" s="296">
        <f t="shared" si="174"/>
        <v>3</v>
      </c>
      <c r="S462" s="296">
        <f t="shared" si="174"/>
        <v>22</v>
      </c>
      <c r="T462" s="296">
        <f t="shared" si="174"/>
        <v>18</v>
      </c>
      <c r="U462" s="296">
        <f t="shared" si="174"/>
        <v>7</v>
      </c>
      <c r="V462" s="296">
        <f t="shared" si="174"/>
        <v>3</v>
      </c>
      <c r="W462" s="296">
        <f t="shared" si="174"/>
        <v>5</v>
      </c>
      <c r="X462" s="296">
        <f t="shared" si="174"/>
        <v>14</v>
      </c>
      <c r="Y462" s="296">
        <f t="shared" si="174"/>
        <v>9</v>
      </c>
      <c r="Z462" s="296">
        <f t="shared" si="174"/>
        <v>9</v>
      </c>
      <c r="AA462" s="296">
        <f t="shared" si="174"/>
        <v>7</v>
      </c>
      <c r="AB462" s="296">
        <f t="shared" si="174"/>
        <v>7</v>
      </c>
      <c r="AC462" s="296">
        <f t="shared" si="174"/>
        <v>3</v>
      </c>
      <c r="AD462" s="296">
        <f t="shared" si="174"/>
        <v>0</v>
      </c>
      <c r="AE462" s="296">
        <f t="shared" si="174"/>
        <v>13</v>
      </c>
      <c r="AF462" s="189">
        <f t="shared" si="170"/>
        <v>307</v>
      </c>
    </row>
    <row r="463">
      <c r="A463" s="2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c r="AB463" s="166"/>
      <c r="AC463" s="166"/>
      <c r="AD463" s="166"/>
      <c r="AE463" s="166"/>
      <c r="AF463" s="189"/>
    </row>
    <row r="464">
      <c r="A464" s="294" t="s">
        <v>337</v>
      </c>
      <c r="B464" s="249">
        <f t="shared" ref="B464:AE464" si="175">B232-B305</f>
        <v>0</v>
      </c>
      <c r="C464" s="249">
        <f t="shared" si="175"/>
        <v>0</v>
      </c>
      <c r="D464" s="249">
        <f t="shared" si="175"/>
        <v>0</v>
      </c>
      <c r="E464" s="249">
        <f t="shared" si="175"/>
        <v>0</v>
      </c>
      <c r="F464" s="249">
        <f t="shared" si="175"/>
        <v>0</v>
      </c>
      <c r="G464" s="249">
        <f t="shared" si="175"/>
        <v>0</v>
      </c>
      <c r="H464" s="249">
        <f t="shared" si="175"/>
        <v>0</v>
      </c>
      <c r="I464" s="249">
        <f t="shared" si="175"/>
        <v>0</v>
      </c>
      <c r="J464" s="249">
        <f t="shared" si="175"/>
        <v>0</v>
      </c>
      <c r="K464" s="249">
        <f t="shared" si="175"/>
        <v>0</v>
      </c>
      <c r="L464" s="249">
        <f t="shared" si="175"/>
        <v>0</v>
      </c>
      <c r="M464" s="249">
        <f t="shared" si="175"/>
        <v>0</v>
      </c>
      <c r="N464" s="249">
        <f t="shared" si="175"/>
        <v>0</v>
      </c>
      <c r="O464" s="249">
        <f t="shared" si="175"/>
        <v>0</v>
      </c>
      <c r="P464" s="249">
        <f t="shared" si="175"/>
        <v>0</v>
      </c>
      <c r="Q464" s="249">
        <f t="shared" si="175"/>
        <v>0</v>
      </c>
      <c r="R464" s="249">
        <f t="shared" si="175"/>
        <v>0</v>
      </c>
      <c r="S464" s="249">
        <f t="shared" si="175"/>
        <v>0</v>
      </c>
      <c r="T464" s="249">
        <f t="shared" si="175"/>
        <v>0</v>
      </c>
      <c r="U464" s="249">
        <f t="shared" si="175"/>
        <v>0</v>
      </c>
      <c r="V464" s="249">
        <f t="shared" si="175"/>
        <v>0</v>
      </c>
      <c r="W464" s="249">
        <f t="shared" si="175"/>
        <v>0</v>
      </c>
      <c r="X464" s="249">
        <f t="shared" si="175"/>
        <v>0</v>
      </c>
      <c r="Y464" s="249">
        <f t="shared" si="175"/>
        <v>0</v>
      </c>
      <c r="Z464" s="249">
        <f t="shared" si="175"/>
        <v>0</v>
      </c>
      <c r="AA464" s="249">
        <f t="shared" si="175"/>
        <v>0</v>
      </c>
      <c r="AB464" s="249">
        <f t="shared" si="175"/>
        <v>0</v>
      </c>
      <c r="AC464" s="249">
        <f t="shared" si="175"/>
        <v>0</v>
      </c>
      <c r="AD464" s="249">
        <f t="shared" si="175"/>
        <v>0</v>
      </c>
      <c r="AE464" s="249">
        <f t="shared" si="175"/>
        <v>0</v>
      </c>
      <c r="AF464" s="189">
        <f t="shared" ref="AF464:AF469" si="177">SUM(B464:AE464)</f>
        <v>0</v>
      </c>
    </row>
    <row r="465">
      <c r="A465" s="294" t="s">
        <v>338</v>
      </c>
      <c r="B465" s="249">
        <f t="shared" ref="B465:AE465" si="176">B233-B306</f>
        <v>0</v>
      </c>
      <c r="C465" s="249">
        <f t="shared" si="176"/>
        <v>0</v>
      </c>
      <c r="D465" s="249">
        <f t="shared" si="176"/>
        <v>0</v>
      </c>
      <c r="E465" s="249">
        <f t="shared" si="176"/>
        <v>0</v>
      </c>
      <c r="F465" s="249">
        <f t="shared" si="176"/>
        <v>0</v>
      </c>
      <c r="G465" s="249">
        <f t="shared" si="176"/>
        <v>0</v>
      </c>
      <c r="H465" s="249">
        <f t="shared" si="176"/>
        <v>0</v>
      </c>
      <c r="I465" s="249">
        <f t="shared" si="176"/>
        <v>0</v>
      </c>
      <c r="J465" s="249">
        <f t="shared" si="176"/>
        <v>0</v>
      </c>
      <c r="K465" s="249">
        <f t="shared" si="176"/>
        <v>0</v>
      </c>
      <c r="L465" s="249">
        <f t="shared" si="176"/>
        <v>0</v>
      </c>
      <c r="M465" s="249">
        <f t="shared" si="176"/>
        <v>0</v>
      </c>
      <c r="N465" s="249">
        <f t="shared" si="176"/>
        <v>0</v>
      </c>
      <c r="O465" s="249">
        <f t="shared" si="176"/>
        <v>0</v>
      </c>
      <c r="P465" s="249">
        <f t="shared" si="176"/>
        <v>0</v>
      </c>
      <c r="Q465" s="249">
        <f t="shared" si="176"/>
        <v>0</v>
      </c>
      <c r="R465" s="249">
        <f t="shared" si="176"/>
        <v>0</v>
      </c>
      <c r="S465" s="249">
        <f t="shared" si="176"/>
        <v>0</v>
      </c>
      <c r="T465" s="249">
        <f t="shared" si="176"/>
        <v>0</v>
      </c>
      <c r="U465" s="249">
        <f t="shared" si="176"/>
        <v>0</v>
      </c>
      <c r="V465" s="249">
        <f t="shared" si="176"/>
        <v>0</v>
      </c>
      <c r="W465" s="249">
        <f t="shared" si="176"/>
        <v>0</v>
      </c>
      <c r="X465" s="249">
        <f t="shared" si="176"/>
        <v>0</v>
      </c>
      <c r="Y465" s="249">
        <f t="shared" si="176"/>
        <v>0</v>
      </c>
      <c r="Z465" s="249">
        <f t="shared" si="176"/>
        <v>0</v>
      </c>
      <c r="AA465" s="249">
        <f t="shared" si="176"/>
        <v>0</v>
      </c>
      <c r="AB465" s="249">
        <f t="shared" si="176"/>
        <v>0</v>
      </c>
      <c r="AC465" s="249">
        <f t="shared" si="176"/>
        <v>0</v>
      </c>
      <c r="AD465" s="249">
        <f t="shared" si="176"/>
        <v>0</v>
      </c>
      <c r="AE465" s="249">
        <f t="shared" si="176"/>
        <v>0</v>
      </c>
      <c r="AF465" s="189">
        <f t="shared" si="177"/>
        <v>0</v>
      </c>
    </row>
    <row r="466">
      <c r="A466" s="294" t="s">
        <v>339</v>
      </c>
      <c r="B466" s="249">
        <f t="shared" ref="B466:AE466" si="178">B234-B307</f>
        <v>0</v>
      </c>
      <c r="C466" s="249">
        <f t="shared" si="178"/>
        <v>0</v>
      </c>
      <c r="D466" s="249">
        <f t="shared" si="178"/>
        <v>0</v>
      </c>
      <c r="E466" s="249">
        <f t="shared" si="178"/>
        <v>0</v>
      </c>
      <c r="F466" s="249">
        <f t="shared" si="178"/>
        <v>0</v>
      </c>
      <c r="G466" s="249">
        <f t="shared" si="178"/>
        <v>0</v>
      </c>
      <c r="H466" s="249">
        <f t="shared" si="178"/>
        <v>0</v>
      </c>
      <c r="I466" s="249">
        <f t="shared" si="178"/>
        <v>0</v>
      </c>
      <c r="J466" s="249">
        <f t="shared" si="178"/>
        <v>0</v>
      </c>
      <c r="K466" s="249">
        <f t="shared" si="178"/>
        <v>0</v>
      </c>
      <c r="L466" s="249">
        <f t="shared" si="178"/>
        <v>0</v>
      </c>
      <c r="M466" s="249">
        <f t="shared" si="178"/>
        <v>0</v>
      </c>
      <c r="N466" s="249">
        <f t="shared" si="178"/>
        <v>0</v>
      </c>
      <c r="O466" s="249">
        <f t="shared" si="178"/>
        <v>0</v>
      </c>
      <c r="P466" s="249">
        <f t="shared" si="178"/>
        <v>0</v>
      </c>
      <c r="Q466" s="249">
        <f t="shared" si="178"/>
        <v>0</v>
      </c>
      <c r="R466" s="249">
        <f t="shared" si="178"/>
        <v>0</v>
      </c>
      <c r="S466" s="249">
        <f t="shared" si="178"/>
        <v>0</v>
      </c>
      <c r="T466" s="249">
        <f t="shared" si="178"/>
        <v>0</v>
      </c>
      <c r="U466" s="249">
        <f t="shared" si="178"/>
        <v>0</v>
      </c>
      <c r="V466" s="249">
        <f t="shared" si="178"/>
        <v>0</v>
      </c>
      <c r="W466" s="249">
        <f t="shared" si="178"/>
        <v>0</v>
      </c>
      <c r="X466" s="249">
        <f t="shared" si="178"/>
        <v>0</v>
      </c>
      <c r="Y466" s="249">
        <f t="shared" si="178"/>
        <v>0</v>
      </c>
      <c r="Z466" s="249">
        <f t="shared" si="178"/>
        <v>0</v>
      </c>
      <c r="AA466" s="249">
        <f t="shared" si="178"/>
        <v>0</v>
      </c>
      <c r="AB466" s="249">
        <f t="shared" si="178"/>
        <v>0</v>
      </c>
      <c r="AC466" s="249">
        <f t="shared" si="178"/>
        <v>0</v>
      </c>
      <c r="AD466" s="249">
        <f t="shared" si="178"/>
        <v>0</v>
      </c>
      <c r="AE466" s="249">
        <f t="shared" si="178"/>
        <v>0</v>
      </c>
      <c r="AF466" s="189">
        <f t="shared" si="177"/>
        <v>0</v>
      </c>
    </row>
    <row r="467">
      <c r="A467" s="294" t="s">
        <v>340</v>
      </c>
      <c r="B467" s="249">
        <f t="shared" ref="B467:AE467" si="179">B235-B308</f>
        <v>0</v>
      </c>
      <c r="C467" s="249">
        <f t="shared" si="179"/>
        <v>0</v>
      </c>
      <c r="D467" s="249">
        <f t="shared" si="179"/>
        <v>0</v>
      </c>
      <c r="E467" s="249">
        <f t="shared" si="179"/>
        <v>0</v>
      </c>
      <c r="F467" s="249">
        <f t="shared" si="179"/>
        <v>0</v>
      </c>
      <c r="G467" s="249">
        <f t="shared" si="179"/>
        <v>0</v>
      </c>
      <c r="H467" s="249">
        <f t="shared" si="179"/>
        <v>0</v>
      </c>
      <c r="I467" s="249">
        <f t="shared" si="179"/>
        <v>0</v>
      </c>
      <c r="J467" s="249">
        <f t="shared" si="179"/>
        <v>0</v>
      </c>
      <c r="K467" s="249">
        <f t="shared" si="179"/>
        <v>0</v>
      </c>
      <c r="L467" s="249">
        <f t="shared" si="179"/>
        <v>0</v>
      </c>
      <c r="M467" s="249">
        <f t="shared" si="179"/>
        <v>0</v>
      </c>
      <c r="N467" s="249">
        <f t="shared" si="179"/>
        <v>0</v>
      </c>
      <c r="O467" s="249">
        <f t="shared" si="179"/>
        <v>0</v>
      </c>
      <c r="P467" s="249">
        <f t="shared" si="179"/>
        <v>0</v>
      </c>
      <c r="Q467" s="249">
        <f t="shared" si="179"/>
        <v>0</v>
      </c>
      <c r="R467" s="249">
        <f t="shared" si="179"/>
        <v>0</v>
      </c>
      <c r="S467" s="249">
        <f t="shared" si="179"/>
        <v>0</v>
      </c>
      <c r="T467" s="249">
        <f t="shared" si="179"/>
        <v>0</v>
      </c>
      <c r="U467" s="249">
        <f t="shared" si="179"/>
        <v>0</v>
      </c>
      <c r="V467" s="249">
        <f t="shared" si="179"/>
        <v>0</v>
      </c>
      <c r="W467" s="249">
        <f t="shared" si="179"/>
        <v>0</v>
      </c>
      <c r="X467" s="249">
        <f t="shared" si="179"/>
        <v>0</v>
      </c>
      <c r="Y467" s="249">
        <f t="shared" si="179"/>
        <v>0</v>
      </c>
      <c r="Z467" s="249">
        <f t="shared" si="179"/>
        <v>0</v>
      </c>
      <c r="AA467" s="249">
        <f t="shared" si="179"/>
        <v>0</v>
      </c>
      <c r="AB467" s="249">
        <f t="shared" si="179"/>
        <v>0</v>
      </c>
      <c r="AC467" s="249">
        <f t="shared" si="179"/>
        <v>0</v>
      </c>
      <c r="AD467" s="249">
        <f t="shared" si="179"/>
        <v>0</v>
      </c>
      <c r="AE467" s="249">
        <f t="shared" si="179"/>
        <v>1</v>
      </c>
      <c r="AF467" s="189">
        <f t="shared" si="177"/>
        <v>1</v>
      </c>
    </row>
    <row r="468">
      <c r="A468" s="294" t="s">
        <v>341</v>
      </c>
      <c r="B468" s="250">
        <v>0.0</v>
      </c>
      <c r="C468" s="250">
        <v>0.0</v>
      </c>
      <c r="D468" s="250">
        <v>0.0</v>
      </c>
      <c r="E468" s="250">
        <v>0.0</v>
      </c>
      <c r="F468" s="250">
        <v>0.0</v>
      </c>
      <c r="G468" s="250">
        <v>0.0</v>
      </c>
      <c r="H468" s="250">
        <v>0.0</v>
      </c>
      <c r="I468" s="250">
        <v>0.0</v>
      </c>
      <c r="J468" s="250">
        <v>0.0</v>
      </c>
      <c r="K468" s="250">
        <v>0.0</v>
      </c>
      <c r="L468" s="250">
        <v>0.0</v>
      </c>
      <c r="M468" s="250">
        <v>0.0</v>
      </c>
      <c r="N468" s="250">
        <v>0.0</v>
      </c>
      <c r="O468" s="250">
        <v>0.0</v>
      </c>
      <c r="P468" s="250">
        <v>0.0</v>
      </c>
      <c r="Q468" s="250">
        <v>0.0</v>
      </c>
      <c r="R468" s="250">
        <v>0.0</v>
      </c>
      <c r="S468" s="250">
        <v>0.0</v>
      </c>
      <c r="T468" s="250">
        <v>0.0</v>
      </c>
      <c r="U468" s="250">
        <v>0.0</v>
      </c>
      <c r="V468" s="250">
        <v>0.0</v>
      </c>
      <c r="W468" s="250">
        <v>0.0</v>
      </c>
      <c r="X468" s="250">
        <v>0.0</v>
      </c>
      <c r="Y468" s="250">
        <v>0.0</v>
      </c>
      <c r="Z468" s="250">
        <v>0.0</v>
      </c>
      <c r="AA468" s="250">
        <v>0.0</v>
      </c>
      <c r="AB468" s="250">
        <v>0.0</v>
      </c>
      <c r="AC468" s="250">
        <v>0.0</v>
      </c>
      <c r="AD468" s="250">
        <v>0.0</v>
      </c>
      <c r="AE468" s="250">
        <v>0.0</v>
      </c>
      <c r="AF468" s="189">
        <f t="shared" si="177"/>
        <v>0</v>
      </c>
    </row>
    <row r="469">
      <c r="A469" s="297" t="s">
        <v>342</v>
      </c>
      <c r="B469" s="298">
        <f t="shared" ref="B469:AE469" si="180">SUM(B464:B468)</f>
        <v>0</v>
      </c>
      <c r="C469" s="296">
        <f t="shared" si="180"/>
        <v>0</v>
      </c>
      <c r="D469" s="296">
        <f t="shared" si="180"/>
        <v>0</v>
      </c>
      <c r="E469" s="296">
        <f t="shared" si="180"/>
        <v>0</v>
      </c>
      <c r="F469" s="296">
        <f t="shared" si="180"/>
        <v>0</v>
      </c>
      <c r="G469" s="296">
        <f t="shared" si="180"/>
        <v>0</v>
      </c>
      <c r="H469" s="296">
        <f t="shared" si="180"/>
        <v>0</v>
      </c>
      <c r="I469" s="296">
        <f t="shared" si="180"/>
        <v>0</v>
      </c>
      <c r="J469" s="296">
        <f t="shared" si="180"/>
        <v>0</v>
      </c>
      <c r="K469" s="296">
        <f t="shared" si="180"/>
        <v>0</v>
      </c>
      <c r="L469" s="296">
        <f t="shared" si="180"/>
        <v>0</v>
      </c>
      <c r="M469" s="296">
        <f t="shared" si="180"/>
        <v>0</v>
      </c>
      <c r="N469" s="296">
        <f t="shared" si="180"/>
        <v>0</v>
      </c>
      <c r="O469" s="296">
        <f t="shared" si="180"/>
        <v>0</v>
      </c>
      <c r="P469" s="296">
        <f t="shared" si="180"/>
        <v>0</v>
      </c>
      <c r="Q469" s="296">
        <f t="shared" si="180"/>
        <v>0</v>
      </c>
      <c r="R469" s="296">
        <f t="shared" si="180"/>
        <v>0</v>
      </c>
      <c r="S469" s="296">
        <f t="shared" si="180"/>
        <v>0</v>
      </c>
      <c r="T469" s="296">
        <f t="shared" si="180"/>
        <v>0</v>
      </c>
      <c r="U469" s="296">
        <f t="shared" si="180"/>
        <v>0</v>
      </c>
      <c r="V469" s="296">
        <f t="shared" si="180"/>
        <v>0</v>
      </c>
      <c r="W469" s="296">
        <f t="shared" si="180"/>
        <v>0</v>
      </c>
      <c r="X469" s="296">
        <f t="shared" si="180"/>
        <v>0</v>
      </c>
      <c r="Y469" s="296">
        <f t="shared" si="180"/>
        <v>0</v>
      </c>
      <c r="Z469" s="296">
        <f t="shared" si="180"/>
        <v>0</v>
      </c>
      <c r="AA469" s="296">
        <f t="shared" si="180"/>
        <v>0</v>
      </c>
      <c r="AB469" s="296">
        <f t="shared" si="180"/>
        <v>0</v>
      </c>
      <c r="AC469" s="296">
        <f t="shared" si="180"/>
        <v>0</v>
      </c>
      <c r="AD469" s="296">
        <f t="shared" si="180"/>
        <v>0</v>
      </c>
      <c r="AE469" s="296">
        <f t="shared" si="180"/>
        <v>1</v>
      </c>
      <c r="AF469" s="189">
        <f t="shared" si="177"/>
        <v>1</v>
      </c>
    </row>
    <row r="470">
      <c r="A470" s="224"/>
      <c r="B470" s="275"/>
      <c r="AF470" s="189"/>
    </row>
    <row r="471">
      <c r="A471" s="294" t="s">
        <v>345</v>
      </c>
      <c r="B471" s="250">
        <f t="shared" ref="B471:AE471" si="181">B150-B312</f>
        <v>0</v>
      </c>
      <c r="C471" s="250">
        <f t="shared" si="181"/>
        <v>0</v>
      </c>
      <c r="D471" s="250">
        <f t="shared" si="181"/>
        <v>0</v>
      </c>
      <c r="E471" s="250">
        <f t="shared" si="181"/>
        <v>0</v>
      </c>
      <c r="F471" s="250">
        <f t="shared" si="181"/>
        <v>0</v>
      </c>
      <c r="G471" s="250">
        <f t="shared" si="181"/>
        <v>0</v>
      </c>
      <c r="H471" s="250">
        <f t="shared" si="181"/>
        <v>0</v>
      </c>
      <c r="I471" s="250">
        <f t="shared" si="181"/>
        <v>0</v>
      </c>
      <c r="J471" s="250">
        <f t="shared" si="181"/>
        <v>0</v>
      </c>
      <c r="K471" s="250">
        <f t="shared" si="181"/>
        <v>0</v>
      </c>
      <c r="L471" s="250">
        <f t="shared" si="181"/>
        <v>0</v>
      </c>
      <c r="M471" s="250">
        <f t="shared" si="181"/>
        <v>0</v>
      </c>
      <c r="N471" s="250">
        <f t="shared" si="181"/>
        <v>0</v>
      </c>
      <c r="O471" s="250">
        <f t="shared" si="181"/>
        <v>0</v>
      </c>
      <c r="P471" s="250">
        <f t="shared" si="181"/>
        <v>0</v>
      </c>
      <c r="Q471" s="250">
        <f t="shared" si="181"/>
        <v>0</v>
      </c>
      <c r="R471" s="250">
        <f t="shared" si="181"/>
        <v>0</v>
      </c>
      <c r="S471" s="250">
        <f t="shared" si="181"/>
        <v>0</v>
      </c>
      <c r="T471" s="250">
        <f t="shared" si="181"/>
        <v>0</v>
      </c>
      <c r="U471" s="250">
        <f t="shared" si="181"/>
        <v>0</v>
      </c>
      <c r="V471" s="250">
        <f t="shared" si="181"/>
        <v>0</v>
      </c>
      <c r="W471" s="250">
        <f t="shared" si="181"/>
        <v>0</v>
      </c>
      <c r="X471" s="250">
        <f t="shared" si="181"/>
        <v>0</v>
      </c>
      <c r="Y471" s="250">
        <f t="shared" si="181"/>
        <v>0</v>
      </c>
      <c r="Z471" s="250">
        <f t="shared" si="181"/>
        <v>0</v>
      </c>
      <c r="AA471" s="250">
        <f t="shared" si="181"/>
        <v>0</v>
      </c>
      <c r="AB471" s="250">
        <f t="shared" si="181"/>
        <v>0</v>
      </c>
      <c r="AC471" s="250">
        <f t="shared" si="181"/>
        <v>0</v>
      </c>
      <c r="AD471" s="250">
        <f t="shared" si="181"/>
        <v>0</v>
      </c>
      <c r="AE471" s="250">
        <f t="shared" si="181"/>
        <v>0</v>
      </c>
      <c r="AF471" s="189">
        <f t="shared" ref="AF471:AF473" si="183">SUM(B471:AE471)</f>
        <v>0</v>
      </c>
    </row>
    <row r="472">
      <c r="A472" s="294" t="s">
        <v>346</v>
      </c>
      <c r="B472" s="250">
        <f t="shared" ref="B472:AE472" si="182">B151-B313</f>
        <v>0</v>
      </c>
      <c r="C472" s="250">
        <f t="shared" si="182"/>
        <v>0</v>
      </c>
      <c r="D472" s="250">
        <f t="shared" si="182"/>
        <v>0</v>
      </c>
      <c r="E472" s="250">
        <f t="shared" si="182"/>
        <v>0</v>
      </c>
      <c r="F472" s="250">
        <f t="shared" si="182"/>
        <v>0</v>
      </c>
      <c r="G472" s="250">
        <f t="shared" si="182"/>
        <v>0</v>
      </c>
      <c r="H472" s="250">
        <f t="shared" si="182"/>
        <v>0</v>
      </c>
      <c r="I472" s="250">
        <f t="shared" si="182"/>
        <v>0</v>
      </c>
      <c r="J472" s="250">
        <f t="shared" si="182"/>
        <v>0</v>
      </c>
      <c r="K472" s="250">
        <f t="shared" si="182"/>
        <v>0</v>
      </c>
      <c r="L472" s="250">
        <f t="shared" si="182"/>
        <v>0</v>
      </c>
      <c r="M472" s="250">
        <f t="shared" si="182"/>
        <v>0</v>
      </c>
      <c r="N472" s="250">
        <f t="shared" si="182"/>
        <v>0</v>
      </c>
      <c r="O472" s="250">
        <f t="shared" si="182"/>
        <v>0</v>
      </c>
      <c r="P472" s="250">
        <f t="shared" si="182"/>
        <v>0</v>
      </c>
      <c r="Q472" s="250">
        <f t="shared" si="182"/>
        <v>0</v>
      </c>
      <c r="R472" s="250">
        <f t="shared" si="182"/>
        <v>0</v>
      </c>
      <c r="S472" s="250">
        <f t="shared" si="182"/>
        <v>0</v>
      </c>
      <c r="T472" s="250">
        <f t="shared" si="182"/>
        <v>0</v>
      </c>
      <c r="U472" s="250">
        <f t="shared" si="182"/>
        <v>0</v>
      </c>
      <c r="V472" s="250">
        <f t="shared" si="182"/>
        <v>0</v>
      </c>
      <c r="W472" s="250">
        <f t="shared" si="182"/>
        <v>0</v>
      </c>
      <c r="X472" s="250">
        <f t="shared" si="182"/>
        <v>0</v>
      </c>
      <c r="Y472" s="250">
        <f t="shared" si="182"/>
        <v>0</v>
      </c>
      <c r="Z472" s="250">
        <f t="shared" si="182"/>
        <v>0</v>
      </c>
      <c r="AA472" s="250">
        <f t="shared" si="182"/>
        <v>0</v>
      </c>
      <c r="AB472" s="250">
        <f t="shared" si="182"/>
        <v>0</v>
      </c>
      <c r="AC472" s="250">
        <f t="shared" si="182"/>
        <v>0</v>
      </c>
      <c r="AD472" s="250">
        <f t="shared" si="182"/>
        <v>0</v>
      </c>
      <c r="AE472" s="250">
        <f t="shared" si="182"/>
        <v>0</v>
      </c>
      <c r="AF472" s="189">
        <f t="shared" si="183"/>
        <v>0</v>
      </c>
    </row>
    <row r="473">
      <c r="A473" s="297" t="s">
        <v>123</v>
      </c>
      <c r="B473" s="296">
        <f t="shared" ref="B473:AE473" si="184">SUM(B471:B472)</f>
        <v>0</v>
      </c>
      <c r="C473" s="296">
        <f t="shared" si="184"/>
        <v>0</v>
      </c>
      <c r="D473" s="296">
        <f t="shared" si="184"/>
        <v>0</v>
      </c>
      <c r="E473" s="296">
        <f t="shared" si="184"/>
        <v>0</v>
      </c>
      <c r="F473" s="296">
        <f t="shared" si="184"/>
        <v>0</v>
      </c>
      <c r="G473" s="296">
        <f t="shared" si="184"/>
        <v>0</v>
      </c>
      <c r="H473" s="296">
        <f t="shared" si="184"/>
        <v>0</v>
      </c>
      <c r="I473" s="296">
        <f t="shared" si="184"/>
        <v>0</v>
      </c>
      <c r="J473" s="296">
        <f t="shared" si="184"/>
        <v>0</v>
      </c>
      <c r="K473" s="296">
        <f t="shared" si="184"/>
        <v>0</v>
      </c>
      <c r="L473" s="296">
        <f t="shared" si="184"/>
        <v>0</v>
      </c>
      <c r="M473" s="296">
        <f t="shared" si="184"/>
        <v>0</v>
      </c>
      <c r="N473" s="296">
        <f t="shared" si="184"/>
        <v>0</v>
      </c>
      <c r="O473" s="296">
        <f t="shared" si="184"/>
        <v>0</v>
      </c>
      <c r="P473" s="296">
        <f t="shared" si="184"/>
        <v>0</v>
      </c>
      <c r="Q473" s="296">
        <f t="shared" si="184"/>
        <v>0</v>
      </c>
      <c r="R473" s="296">
        <f t="shared" si="184"/>
        <v>0</v>
      </c>
      <c r="S473" s="296">
        <f t="shared" si="184"/>
        <v>0</v>
      </c>
      <c r="T473" s="296">
        <f t="shared" si="184"/>
        <v>0</v>
      </c>
      <c r="U473" s="296">
        <f t="shared" si="184"/>
        <v>0</v>
      </c>
      <c r="V473" s="296">
        <f t="shared" si="184"/>
        <v>0</v>
      </c>
      <c r="W473" s="296">
        <f t="shared" si="184"/>
        <v>0</v>
      </c>
      <c r="X473" s="296">
        <f t="shared" si="184"/>
        <v>0</v>
      </c>
      <c r="Y473" s="296">
        <f t="shared" si="184"/>
        <v>0</v>
      </c>
      <c r="Z473" s="296">
        <f t="shared" si="184"/>
        <v>0</v>
      </c>
      <c r="AA473" s="296">
        <f t="shared" si="184"/>
        <v>0</v>
      </c>
      <c r="AB473" s="296">
        <f t="shared" si="184"/>
        <v>0</v>
      </c>
      <c r="AC473" s="296">
        <f t="shared" si="184"/>
        <v>0</v>
      </c>
      <c r="AD473" s="296">
        <f t="shared" si="184"/>
        <v>0</v>
      </c>
      <c r="AE473" s="296">
        <f t="shared" si="184"/>
        <v>0</v>
      </c>
      <c r="AF473" s="189">
        <f t="shared" si="183"/>
        <v>0</v>
      </c>
    </row>
    <row r="474">
      <c r="A474" s="224"/>
      <c r="AF474" s="234"/>
    </row>
    <row r="475">
      <c r="A475" s="294" t="s">
        <v>311</v>
      </c>
      <c r="B475" s="250">
        <f t="shared" ref="B475:AE475" si="185">B154-B316</f>
        <v>0</v>
      </c>
      <c r="C475" s="250">
        <f t="shared" si="185"/>
        <v>0</v>
      </c>
      <c r="D475" s="250">
        <f t="shared" si="185"/>
        <v>0</v>
      </c>
      <c r="E475" s="250">
        <f t="shared" si="185"/>
        <v>0</v>
      </c>
      <c r="F475" s="250">
        <f t="shared" si="185"/>
        <v>0</v>
      </c>
      <c r="G475" s="250">
        <f t="shared" si="185"/>
        <v>0</v>
      </c>
      <c r="H475" s="250">
        <f t="shared" si="185"/>
        <v>0</v>
      </c>
      <c r="I475" s="250">
        <f t="shared" si="185"/>
        <v>0</v>
      </c>
      <c r="J475" s="250">
        <f t="shared" si="185"/>
        <v>0</v>
      </c>
      <c r="K475" s="250">
        <f t="shared" si="185"/>
        <v>0</v>
      </c>
      <c r="L475" s="250">
        <f t="shared" si="185"/>
        <v>0</v>
      </c>
      <c r="M475" s="250">
        <f t="shared" si="185"/>
        <v>0</v>
      </c>
      <c r="N475" s="250">
        <f t="shared" si="185"/>
        <v>0</v>
      </c>
      <c r="O475" s="250">
        <f t="shared" si="185"/>
        <v>0</v>
      </c>
      <c r="P475" s="250">
        <f t="shared" si="185"/>
        <v>0</v>
      </c>
      <c r="Q475" s="250">
        <f t="shared" si="185"/>
        <v>0</v>
      </c>
      <c r="R475" s="250">
        <f t="shared" si="185"/>
        <v>0</v>
      </c>
      <c r="S475" s="250">
        <f t="shared" si="185"/>
        <v>0</v>
      </c>
      <c r="T475" s="250">
        <f t="shared" si="185"/>
        <v>0</v>
      </c>
      <c r="U475" s="250">
        <f t="shared" si="185"/>
        <v>0</v>
      </c>
      <c r="V475" s="250">
        <f t="shared" si="185"/>
        <v>0</v>
      </c>
      <c r="W475" s="250">
        <f t="shared" si="185"/>
        <v>0</v>
      </c>
      <c r="X475" s="250">
        <f t="shared" si="185"/>
        <v>0</v>
      </c>
      <c r="Y475" s="250">
        <f t="shared" si="185"/>
        <v>0</v>
      </c>
      <c r="Z475" s="250">
        <f t="shared" si="185"/>
        <v>0</v>
      </c>
      <c r="AA475" s="250">
        <f t="shared" si="185"/>
        <v>0</v>
      </c>
      <c r="AB475" s="250">
        <f t="shared" si="185"/>
        <v>0</v>
      </c>
      <c r="AC475" s="250">
        <f t="shared" si="185"/>
        <v>0</v>
      </c>
      <c r="AD475" s="250">
        <f t="shared" si="185"/>
        <v>0</v>
      </c>
      <c r="AE475" s="250">
        <f t="shared" si="185"/>
        <v>0</v>
      </c>
      <c r="AF475" s="189">
        <f t="shared" ref="AF475:AF477" si="187">SUM(B475:AE475)</f>
        <v>0</v>
      </c>
    </row>
    <row r="476">
      <c r="A476" s="294" t="s">
        <v>312</v>
      </c>
      <c r="B476" s="250">
        <f t="shared" ref="B476:AE476" si="186">B155-B317</f>
        <v>0</v>
      </c>
      <c r="C476" s="250">
        <f t="shared" si="186"/>
        <v>0</v>
      </c>
      <c r="D476" s="250">
        <f t="shared" si="186"/>
        <v>0</v>
      </c>
      <c r="E476" s="250">
        <f t="shared" si="186"/>
        <v>0</v>
      </c>
      <c r="F476" s="250">
        <f t="shared" si="186"/>
        <v>0</v>
      </c>
      <c r="G476" s="250">
        <f t="shared" si="186"/>
        <v>0</v>
      </c>
      <c r="H476" s="250">
        <f t="shared" si="186"/>
        <v>0</v>
      </c>
      <c r="I476" s="250">
        <f t="shared" si="186"/>
        <v>0</v>
      </c>
      <c r="J476" s="250">
        <f t="shared" si="186"/>
        <v>0</v>
      </c>
      <c r="K476" s="250">
        <f t="shared" si="186"/>
        <v>0</v>
      </c>
      <c r="L476" s="250">
        <f t="shared" si="186"/>
        <v>0</v>
      </c>
      <c r="M476" s="250">
        <f t="shared" si="186"/>
        <v>0</v>
      </c>
      <c r="N476" s="250">
        <f t="shared" si="186"/>
        <v>0</v>
      </c>
      <c r="O476" s="250">
        <f t="shared" si="186"/>
        <v>0</v>
      </c>
      <c r="P476" s="250">
        <f t="shared" si="186"/>
        <v>0</v>
      </c>
      <c r="Q476" s="250">
        <f t="shared" si="186"/>
        <v>0</v>
      </c>
      <c r="R476" s="250">
        <f t="shared" si="186"/>
        <v>0</v>
      </c>
      <c r="S476" s="250">
        <f t="shared" si="186"/>
        <v>0</v>
      </c>
      <c r="T476" s="250">
        <f t="shared" si="186"/>
        <v>0</v>
      </c>
      <c r="U476" s="250">
        <f t="shared" si="186"/>
        <v>0</v>
      </c>
      <c r="V476" s="250">
        <f t="shared" si="186"/>
        <v>0</v>
      </c>
      <c r="W476" s="250">
        <f t="shared" si="186"/>
        <v>0</v>
      </c>
      <c r="X476" s="250">
        <f t="shared" si="186"/>
        <v>0</v>
      </c>
      <c r="Y476" s="250">
        <f t="shared" si="186"/>
        <v>0</v>
      </c>
      <c r="Z476" s="250">
        <f t="shared" si="186"/>
        <v>0</v>
      </c>
      <c r="AA476" s="250">
        <f t="shared" si="186"/>
        <v>0</v>
      </c>
      <c r="AB476" s="250">
        <f t="shared" si="186"/>
        <v>0</v>
      </c>
      <c r="AC476" s="250">
        <f t="shared" si="186"/>
        <v>0</v>
      </c>
      <c r="AD476" s="250">
        <f t="shared" si="186"/>
        <v>0</v>
      </c>
      <c r="AE476" s="250">
        <f t="shared" si="186"/>
        <v>0</v>
      </c>
      <c r="AF476" s="189">
        <f t="shared" si="187"/>
        <v>0</v>
      </c>
    </row>
    <row r="477">
      <c r="A477" s="297" t="s">
        <v>123</v>
      </c>
      <c r="B477" s="296">
        <f t="shared" ref="B477:AE477" si="188">SUM(B475:B476)</f>
        <v>0</v>
      </c>
      <c r="C477" s="296">
        <f t="shared" si="188"/>
        <v>0</v>
      </c>
      <c r="D477" s="296">
        <f t="shared" si="188"/>
        <v>0</v>
      </c>
      <c r="E477" s="296">
        <f t="shared" si="188"/>
        <v>0</v>
      </c>
      <c r="F477" s="296">
        <f t="shared" si="188"/>
        <v>0</v>
      </c>
      <c r="G477" s="296">
        <f t="shared" si="188"/>
        <v>0</v>
      </c>
      <c r="H477" s="296">
        <f t="shared" si="188"/>
        <v>0</v>
      </c>
      <c r="I477" s="296">
        <f t="shared" si="188"/>
        <v>0</v>
      </c>
      <c r="J477" s="296">
        <f t="shared" si="188"/>
        <v>0</v>
      </c>
      <c r="K477" s="296">
        <f t="shared" si="188"/>
        <v>0</v>
      </c>
      <c r="L477" s="296">
        <f t="shared" si="188"/>
        <v>0</v>
      </c>
      <c r="M477" s="296">
        <f t="shared" si="188"/>
        <v>0</v>
      </c>
      <c r="N477" s="296">
        <f t="shared" si="188"/>
        <v>0</v>
      </c>
      <c r="O477" s="296">
        <f t="shared" si="188"/>
        <v>0</v>
      </c>
      <c r="P477" s="296">
        <f t="shared" si="188"/>
        <v>0</v>
      </c>
      <c r="Q477" s="296">
        <f t="shared" si="188"/>
        <v>0</v>
      </c>
      <c r="R477" s="296">
        <f t="shared" si="188"/>
        <v>0</v>
      </c>
      <c r="S477" s="296">
        <f t="shared" si="188"/>
        <v>0</v>
      </c>
      <c r="T477" s="296">
        <f t="shared" si="188"/>
        <v>0</v>
      </c>
      <c r="U477" s="296">
        <f t="shared" si="188"/>
        <v>0</v>
      </c>
      <c r="V477" s="296">
        <f t="shared" si="188"/>
        <v>0</v>
      </c>
      <c r="W477" s="296">
        <f t="shared" si="188"/>
        <v>0</v>
      </c>
      <c r="X477" s="296">
        <f t="shared" si="188"/>
        <v>0</v>
      </c>
      <c r="Y477" s="296">
        <f t="shared" si="188"/>
        <v>0</v>
      </c>
      <c r="Z477" s="296">
        <f t="shared" si="188"/>
        <v>0</v>
      </c>
      <c r="AA477" s="296">
        <f t="shared" si="188"/>
        <v>0</v>
      </c>
      <c r="AB477" s="296">
        <f t="shared" si="188"/>
        <v>0</v>
      </c>
      <c r="AC477" s="296">
        <f t="shared" si="188"/>
        <v>0</v>
      </c>
      <c r="AD477" s="296">
        <f t="shared" si="188"/>
        <v>0</v>
      </c>
      <c r="AE477" s="296">
        <f t="shared" si="188"/>
        <v>0</v>
      </c>
      <c r="AF477" s="189">
        <f t="shared" si="187"/>
        <v>0</v>
      </c>
    </row>
    <row r="478">
      <c r="A478" s="224"/>
      <c r="AF478" s="234"/>
    </row>
    <row r="479">
      <c r="A479" s="294" t="s">
        <v>347</v>
      </c>
      <c r="B479" s="239">
        <f t="shared" ref="B479:AE479" si="189">B158-B320</f>
        <v>0</v>
      </c>
      <c r="C479" s="239">
        <f t="shared" si="189"/>
        <v>0</v>
      </c>
      <c r="D479" s="239">
        <f t="shared" si="189"/>
        <v>0</v>
      </c>
      <c r="E479" s="239">
        <f t="shared" si="189"/>
        <v>0</v>
      </c>
      <c r="F479" s="239">
        <f t="shared" si="189"/>
        <v>0</v>
      </c>
      <c r="G479" s="239">
        <f t="shared" si="189"/>
        <v>-1</v>
      </c>
      <c r="H479" s="239">
        <f t="shared" si="189"/>
        <v>0</v>
      </c>
      <c r="I479" s="239">
        <f t="shared" si="189"/>
        <v>-1</v>
      </c>
      <c r="J479" s="239">
        <f t="shared" si="189"/>
        <v>0</v>
      </c>
      <c r="K479" s="239">
        <f t="shared" si="189"/>
        <v>0</v>
      </c>
      <c r="L479" s="239">
        <f t="shared" si="189"/>
        <v>0</v>
      </c>
      <c r="M479" s="239">
        <f t="shared" si="189"/>
        <v>0</v>
      </c>
      <c r="N479" s="239">
        <f t="shared" si="189"/>
        <v>0</v>
      </c>
      <c r="O479" s="239">
        <f t="shared" si="189"/>
        <v>0</v>
      </c>
      <c r="P479" s="239">
        <f t="shared" si="189"/>
        <v>0</v>
      </c>
      <c r="Q479" s="239">
        <f t="shared" si="189"/>
        <v>0</v>
      </c>
      <c r="R479" s="239">
        <f t="shared" si="189"/>
        <v>0</v>
      </c>
      <c r="S479" s="239">
        <f t="shared" si="189"/>
        <v>0</v>
      </c>
      <c r="T479" s="239">
        <f t="shared" si="189"/>
        <v>0</v>
      </c>
      <c r="U479" s="239">
        <f t="shared" si="189"/>
        <v>0</v>
      </c>
      <c r="V479" s="239">
        <f t="shared" si="189"/>
        <v>0</v>
      </c>
      <c r="W479" s="239">
        <f t="shared" si="189"/>
        <v>0</v>
      </c>
      <c r="X479" s="239">
        <f t="shared" si="189"/>
        <v>0</v>
      </c>
      <c r="Y479" s="239">
        <f t="shared" si="189"/>
        <v>0</v>
      </c>
      <c r="Z479" s="239">
        <f t="shared" si="189"/>
        <v>0</v>
      </c>
      <c r="AA479" s="239">
        <f t="shared" si="189"/>
        <v>0</v>
      </c>
      <c r="AB479" s="239">
        <f t="shared" si="189"/>
        <v>0</v>
      </c>
      <c r="AC479" s="239">
        <f t="shared" si="189"/>
        <v>0</v>
      </c>
      <c r="AD479" s="239">
        <f t="shared" si="189"/>
        <v>0</v>
      </c>
      <c r="AE479" s="239">
        <f t="shared" si="189"/>
        <v>0</v>
      </c>
      <c r="AF479" s="189">
        <f t="shared" ref="AF479:AF480" si="191">SUM(B479:AE479)</f>
        <v>-2</v>
      </c>
    </row>
    <row r="480">
      <c r="A480" s="297" t="s">
        <v>348</v>
      </c>
      <c r="B480" s="296">
        <f t="shared" ref="B480:AE480" si="190">B159-B321</f>
        <v>0</v>
      </c>
      <c r="C480" s="296">
        <f t="shared" si="190"/>
        <v>0</v>
      </c>
      <c r="D480" s="296">
        <f t="shared" si="190"/>
        <v>0</v>
      </c>
      <c r="E480" s="296">
        <f t="shared" si="190"/>
        <v>0</v>
      </c>
      <c r="F480" s="296">
        <f t="shared" si="190"/>
        <v>0</v>
      </c>
      <c r="G480" s="296">
        <f t="shared" si="190"/>
        <v>-1</v>
      </c>
      <c r="H480" s="296">
        <f t="shared" si="190"/>
        <v>0</v>
      </c>
      <c r="I480" s="296">
        <f t="shared" si="190"/>
        <v>-1</v>
      </c>
      <c r="J480" s="296">
        <f t="shared" si="190"/>
        <v>0</v>
      </c>
      <c r="K480" s="296">
        <f t="shared" si="190"/>
        <v>0</v>
      </c>
      <c r="L480" s="296">
        <f t="shared" si="190"/>
        <v>0</v>
      </c>
      <c r="M480" s="296">
        <f t="shared" si="190"/>
        <v>0</v>
      </c>
      <c r="N480" s="296">
        <f t="shared" si="190"/>
        <v>0</v>
      </c>
      <c r="O480" s="296">
        <f t="shared" si="190"/>
        <v>0</v>
      </c>
      <c r="P480" s="296">
        <f t="shared" si="190"/>
        <v>0</v>
      </c>
      <c r="Q480" s="296">
        <f t="shared" si="190"/>
        <v>0</v>
      </c>
      <c r="R480" s="296">
        <f t="shared" si="190"/>
        <v>0</v>
      </c>
      <c r="S480" s="296">
        <f t="shared" si="190"/>
        <v>0</v>
      </c>
      <c r="T480" s="296">
        <f t="shared" si="190"/>
        <v>0</v>
      </c>
      <c r="U480" s="296">
        <f t="shared" si="190"/>
        <v>0</v>
      </c>
      <c r="V480" s="296">
        <f t="shared" si="190"/>
        <v>0</v>
      </c>
      <c r="W480" s="296">
        <f t="shared" si="190"/>
        <v>0</v>
      </c>
      <c r="X480" s="296">
        <f t="shared" si="190"/>
        <v>0</v>
      </c>
      <c r="Y480" s="296">
        <f t="shared" si="190"/>
        <v>0</v>
      </c>
      <c r="Z480" s="296">
        <f t="shared" si="190"/>
        <v>0</v>
      </c>
      <c r="AA480" s="296">
        <f t="shared" si="190"/>
        <v>0</v>
      </c>
      <c r="AB480" s="296">
        <f t="shared" si="190"/>
        <v>0</v>
      </c>
      <c r="AC480" s="296">
        <f t="shared" si="190"/>
        <v>0</v>
      </c>
      <c r="AD480" s="296">
        <f t="shared" si="190"/>
        <v>0</v>
      </c>
      <c r="AE480" s="296">
        <f t="shared" si="190"/>
        <v>0</v>
      </c>
      <c r="AF480" s="189">
        <f t="shared" si="191"/>
        <v>-2</v>
      </c>
    </row>
    <row r="481">
      <c r="A481" s="224"/>
      <c r="AF481" s="234"/>
    </row>
    <row r="482">
      <c r="A482" s="87" t="s">
        <v>249</v>
      </c>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234"/>
    </row>
    <row r="483">
      <c r="A483" s="33" t="s">
        <v>371</v>
      </c>
      <c r="B483" s="299">
        <f t="shared" ref="B483:AE483" si="192">B30+B36+B33+B38+B29+B31+B39+B32+B40</f>
        <v>13233.17</v>
      </c>
      <c r="C483" s="300">
        <f t="shared" si="192"/>
        <v>17007.26</v>
      </c>
      <c r="D483" s="301">
        <f t="shared" si="192"/>
        <v>16715.12</v>
      </c>
      <c r="E483" s="302">
        <f t="shared" si="192"/>
        <v>14735.68</v>
      </c>
      <c r="F483" s="303">
        <f t="shared" si="192"/>
        <v>13836.19</v>
      </c>
      <c r="G483" s="304">
        <f t="shared" si="192"/>
        <v>13251.29</v>
      </c>
      <c r="H483" s="305">
        <f t="shared" si="192"/>
        <v>14186.68</v>
      </c>
      <c r="I483" s="306">
        <f t="shared" si="192"/>
        <v>13997.62</v>
      </c>
      <c r="J483" s="307">
        <f t="shared" si="192"/>
        <v>14509.83</v>
      </c>
      <c r="K483" s="308">
        <f t="shared" si="192"/>
        <v>18328.91</v>
      </c>
      <c r="L483" s="309">
        <f t="shared" si="192"/>
        <v>20756.68</v>
      </c>
      <c r="M483" s="310">
        <f t="shared" si="192"/>
        <v>20808.23</v>
      </c>
      <c r="N483" s="311">
        <f t="shared" si="192"/>
        <v>19066.77</v>
      </c>
      <c r="O483" s="312">
        <f t="shared" si="192"/>
        <v>17601.76</v>
      </c>
      <c r="P483" s="313">
        <f t="shared" si="192"/>
        <v>16701.16</v>
      </c>
      <c r="Q483" s="314">
        <f t="shared" si="192"/>
        <v>19080.35</v>
      </c>
      <c r="R483" s="315">
        <f t="shared" si="192"/>
        <v>20909.46</v>
      </c>
      <c r="S483" s="316">
        <f t="shared" si="192"/>
        <v>22129.94</v>
      </c>
      <c r="T483" s="316">
        <f t="shared" si="192"/>
        <v>20805.42</v>
      </c>
      <c r="U483" s="316">
        <f t="shared" si="192"/>
        <v>14481.05</v>
      </c>
      <c r="V483" s="316">
        <f t="shared" si="192"/>
        <v>4596.34</v>
      </c>
      <c r="W483" s="316">
        <f t="shared" si="192"/>
        <v>0</v>
      </c>
      <c r="X483" s="316">
        <f t="shared" si="192"/>
        <v>1945.24</v>
      </c>
      <c r="Y483" s="316">
        <f t="shared" si="192"/>
        <v>4430.21</v>
      </c>
      <c r="Z483" s="316">
        <f t="shared" si="192"/>
        <v>6945.47</v>
      </c>
      <c r="AA483" s="316">
        <f t="shared" si="192"/>
        <v>7666.79</v>
      </c>
      <c r="AB483" s="316">
        <f t="shared" si="192"/>
        <v>6961.65</v>
      </c>
      <c r="AC483" s="316">
        <f t="shared" si="192"/>
        <v>6305.64</v>
      </c>
      <c r="AD483" s="316">
        <f t="shared" si="192"/>
        <v>7332.95</v>
      </c>
      <c r="AE483" s="316">
        <f t="shared" si="192"/>
        <v>8304.22</v>
      </c>
      <c r="AF483" s="61">
        <f t="shared" ref="AF483:AF506" si="194">SUM(B483:AE483)</f>
        <v>396631.08</v>
      </c>
    </row>
    <row r="484">
      <c r="A484" s="33" t="s">
        <v>372</v>
      </c>
      <c r="B484" s="135">
        <f t="shared" ref="B484:AE484" si="193">B35+B37+B34</f>
        <v>0</v>
      </c>
      <c r="C484" s="135">
        <f t="shared" si="193"/>
        <v>58.44</v>
      </c>
      <c r="D484" s="135">
        <f t="shared" si="193"/>
        <v>212.47</v>
      </c>
      <c r="E484" s="135">
        <f t="shared" si="193"/>
        <v>0</v>
      </c>
      <c r="F484" s="135">
        <f t="shared" si="193"/>
        <v>205.69</v>
      </c>
      <c r="G484" s="135">
        <f t="shared" si="193"/>
        <v>200.16</v>
      </c>
      <c r="H484" s="135">
        <f t="shared" si="193"/>
        <v>16.88</v>
      </c>
      <c r="I484" s="135">
        <f t="shared" si="193"/>
        <v>0</v>
      </c>
      <c r="J484" s="135">
        <f t="shared" si="193"/>
        <v>0</v>
      </c>
      <c r="K484" s="135">
        <f t="shared" si="193"/>
        <v>150.23</v>
      </c>
      <c r="L484" s="135">
        <f t="shared" si="193"/>
        <v>267.68</v>
      </c>
      <c r="M484" s="135">
        <f t="shared" si="193"/>
        <v>76.11</v>
      </c>
      <c r="N484" s="135">
        <f t="shared" si="193"/>
        <v>305.87</v>
      </c>
      <c r="O484" s="135">
        <f t="shared" si="193"/>
        <v>295.93</v>
      </c>
      <c r="P484" s="135">
        <f t="shared" si="193"/>
        <v>290.62</v>
      </c>
      <c r="Q484" s="135">
        <f t="shared" si="193"/>
        <v>0</v>
      </c>
      <c r="R484" s="135">
        <f t="shared" si="193"/>
        <v>325.96</v>
      </c>
      <c r="S484" s="135">
        <f t="shared" si="193"/>
        <v>376.14</v>
      </c>
      <c r="T484" s="135">
        <f t="shared" si="193"/>
        <v>283.3</v>
      </c>
      <c r="U484" s="135">
        <f t="shared" si="193"/>
        <v>173.13</v>
      </c>
      <c r="V484" s="135">
        <f t="shared" si="193"/>
        <v>0</v>
      </c>
      <c r="W484" s="135">
        <f t="shared" si="193"/>
        <v>255.8</v>
      </c>
      <c r="X484" s="135">
        <f t="shared" si="193"/>
        <v>89.43</v>
      </c>
      <c r="Y484" s="135">
        <f t="shared" si="193"/>
        <v>124.22</v>
      </c>
      <c r="Z484" s="135">
        <f t="shared" si="193"/>
        <v>245.73</v>
      </c>
      <c r="AA484" s="135">
        <f t="shared" si="193"/>
        <v>62.62</v>
      </c>
      <c r="AB484" s="135">
        <f t="shared" si="193"/>
        <v>56.04</v>
      </c>
      <c r="AC484" s="135">
        <f t="shared" si="193"/>
        <v>0</v>
      </c>
      <c r="AD484" s="135">
        <f t="shared" si="193"/>
        <v>0</v>
      </c>
      <c r="AE484" s="135">
        <f t="shared" si="193"/>
        <v>0</v>
      </c>
      <c r="AF484" s="61">
        <f t="shared" si="194"/>
        <v>4072.45</v>
      </c>
    </row>
    <row r="485">
      <c r="A485" s="54" t="s">
        <v>373</v>
      </c>
      <c r="B485" s="135">
        <f>B186*Formulas!$C4</f>
        <v>3032.79</v>
      </c>
      <c r="C485" s="135">
        <f>C186*Formulas!$C4</f>
        <v>2821.2</v>
      </c>
      <c r="D485" s="135">
        <f>D186*Formulas!$C4</f>
        <v>3032.79</v>
      </c>
      <c r="E485" s="135">
        <f>E186*Formulas!$C4</f>
        <v>2962.26</v>
      </c>
      <c r="F485" s="135">
        <f>F186*Formulas!$C4</f>
        <v>2962.26</v>
      </c>
      <c r="G485" s="135">
        <f>G186*Formulas!$C4</f>
        <v>3032.79</v>
      </c>
      <c r="H485" s="135">
        <f>H186*Formulas!$C4</f>
        <v>916.89</v>
      </c>
      <c r="I485" s="135">
        <f>I186*Formulas!$C4</f>
        <v>3173.85</v>
      </c>
      <c r="J485" s="135">
        <f>J186*Formulas!$C4</f>
        <v>3597.03</v>
      </c>
      <c r="K485" s="135">
        <f>K186*Formulas!$C4</f>
        <v>3032.79</v>
      </c>
      <c r="L485" s="135">
        <f>L186*Formulas!$C4</f>
        <v>3667.56</v>
      </c>
      <c r="M485" s="135">
        <f>M186*Formulas!$C4</f>
        <v>5007.63</v>
      </c>
      <c r="N485" s="135">
        <f>N186*Formulas!$C4</f>
        <v>2962.26</v>
      </c>
      <c r="O485" s="135">
        <f>O186*Formulas!$C4</f>
        <v>5924.52</v>
      </c>
      <c r="P485" s="135">
        <f>P186*Formulas!$C4</f>
        <v>6418.23</v>
      </c>
      <c r="Q485" s="135">
        <f>Q186*Formulas!$C4</f>
        <v>4443.39</v>
      </c>
      <c r="R485" s="135">
        <f>R186*Formulas!$C4</f>
        <v>6488.76</v>
      </c>
      <c r="S485" s="135">
        <f>S186*Formulas!$C4</f>
        <v>9592.08</v>
      </c>
      <c r="T485" s="135">
        <f>T186*Formulas!$C4</f>
        <v>4090.74</v>
      </c>
      <c r="U485" s="135">
        <f>U186*Formulas!$C4</f>
        <v>1551.66</v>
      </c>
      <c r="V485" s="135">
        <f>V186*Formulas!$C4</f>
        <v>0</v>
      </c>
      <c r="W485" s="135">
        <f>W186*Formulas!$C4</f>
        <v>352.65</v>
      </c>
      <c r="X485" s="135">
        <f>X186*Formulas!$C4</f>
        <v>70.53</v>
      </c>
      <c r="Y485" s="135">
        <f>Y186*Formulas!$C4</f>
        <v>2045.37</v>
      </c>
      <c r="Z485" s="135">
        <f>Z186*Formulas!$C4</f>
        <v>1269.54</v>
      </c>
      <c r="AA485" s="135">
        <f>AA186*Formulas!$C4</f>
        <v>705.3</v>
      </c>
      <c r="AB485" s="135">
        <f>AB186*Formulas!$C4</f>
        <v>564.24</v>
      </c>
      <c r="AC485" s="135">
        <f>AC186*Formulas!$C4</f>
        <v>1551.66</v>
      </c>
      <c r="AD485" s="135">
        <f>AD186*Formulas!$C4</f>
        <v>1269.54</v>
      </c>
      <c r="AE485" s="135">
        <f>AE186*Formulas!$C4</f>
        <v>1551.66</v>
      </c>
      <c r="AF485" s="61">
        <f t="shared" si="194"/>
        <v>88091.97</v>
      </c>
    </row>
    <row r="486">
      <c r="A486" s="33" t="s">
        <v>374</v>
      </c>
      <c r="B486" s="135">
        <f>(B485)*Formulas!$C37</f>
        <v>227.45925</v>
      </c>
      <c r="C486" s="135">
        <f>(C485)*Formulas!$C37</f>
        <v>211.59</v>
      </c>
      <c r="D486" s="135">
        <f>(D485)*Formulas!$C37</f>
        <v>227.45925</v>
      </c>
      <c r="E486" s="135">
        <f>(E485)*Formulas!$C37</f>
        <v>222.1695</v>
      </c>
      <c r="F486" s="135">
        <f>(F485)*Formulas!$C37</f>
        <v>222.1695</v>
      </c>
      <c r="G486" s="135">
        <f>(G485)*Formulas!$C37</f>
        <v>227.45925</v>
      </c>
      <c r="H486" s="135">
        <f>(H485)*Formulas!$C37</f>
        <v>68.76675</v>
      </c>
      <c r="I486" s="135">
        <f>(I485)*Formulas!$C37</f>
        <v>238.03875</v>
      </c>
      <c r="J486" s="135">
        <f>(J485)*Formulas!$C37</f>
        <v>269.77725</v>
      </c>
      <c r="K486" s="135">
        <f>(K485)*Formulas!$C37</f>
        <v>227.45925</v>
      </c>
      <c r="L486" s="135">
        <f>(L485)*Formulas!$C37</f>
        <v>275.067</v>
      </c>
      <c r="M486" s="135">
        <f>(M485)*Formulas!$C37</f>
        <v>375.57225</v>
      </c>
      <c r="N486" s="135">
        <f>(N485)*Formulas!$C37</f>
        <v>222.1695</v>
      </c>
      <c r="O486" s="135">
        <f>(O485)*Formulas!$C37</f>
        <v>444.339</v>
      </c>
      <c r="P486" s="135">
        <f>(P485)*Formulas!$C37</f>
        <v>481.36725</v>
      </c>
      <c r="Q486" s="135">
        <f>(Q485)*Formulas!$C37</f>
        <v>333.25425</v>
      </c>
      <c r="R486" s="135">
        <f>(R485)*Formulas!$C37</f>
        <v>486.657</v>
      </c>
      <c r="S486" s="135">
        <f>(S485)*Formulas!$C37</f>
        <v>719.406</v>
      </c>
      <c r="T486" s="135">
        <f>(T485)*Formulas!$C37</f>
        <v>306.8055</v>
      </c>
      <c r="U486" s="135">
        <f>(U485)*Formulas!$C37</f>
        <v>116.3745</v>
      </c>
      <c r="V486" s="135">
        <f>(V485)*Formulas!$C37</f>
        <v>0</v>
      </c>
      <c r="W486" s="135">
        <f>(W485)*Formulas!$C37</f>
        <v>26.44875</v>
      </c>
      <c r="X486" s="135">
        <f>(X485)*Formulas!$C37</f>
        <v>5.28975</v>
      </c>
      <c r="Y486" s="135">
        <f>(Y485)*Formulas!$C37</f>
        <v>153.40275</v>
      </c>
      <c r="Z486" s="135">
        <f>(Z485)*Formulas!$C37</f>
        <v>95.2155</v>
      </c>
      <c r="AA486" s="135">
        <f>(AA485)*Formulas!$C37</f>
        <v>52.8975</v>
      </c>
      <c r="AB486" s="135">
        <f>(AB485)*Formulas!$C37</f>
        <v>42.318</v>
      </c>
      <c r="AC486" s="135">
        <f>(AC485)*Formulas!$C37</f>
        <v>116.3745</v>
      </c>
      <c r="AD486" s="135">
        <f>(AD485)*Formulas!$C37</f>
        <v>95.2155</v>
      </c>
      <c r="AE486" s="135">
        <f>(AE485)*Formulas!$C37</f>
        <v>116.3745</v>
      </c>
      <c r="AF486" s="61">
        <f t="shared" si="194"/>
        <v>6606.89775</v>
      </c>
    </row>
    <row r="487">
      <c r="A487" s="54" t="s">
        <v>375</v>
      </c>
      <c r="B487" s="135">
        <f>B187*Formulas!$C$5</f>
        <v>6006</v>
      </c>
      <c r="C487" s="135">
        <f>C187*Formulas!$C$5</f>
        <v>7127.12</v>
      </c>
      <c r="D487" s="135">
        <f>D187*Formulas!$C$5</f>
        <v>8008</v>
      </c>
      <c r="E487" s="135">
        <f>E187*Formulas!$C$5</f>
        <v>7127.12</v>
      </c>
      <c r="F487" s="135">
        <f>F187*Formulas!$C$5</f>
        <v>6726.72</v>
      </c>
      <c r="G487" s="135">
        <f>G187*Formulas!$C$5</f>
        <v>6806.8</v>
      </c>
      <c r="H487" s="135">
        <f>H187*Formulas!$C$5</f>
        <v>4324.32</v>
      </c>
      <c r="I487" s="135">
        <f>I187*Formulas!$C$5</f>
        <v>8248.24</v>
      </c>
      <c r="J487" s="135">
        <f>J187*Formulas!$C$5</f>
        <v>7687.68</v>
      </c>
      <c r="K487" s="135">
        <f>K187*Formulas!$C$5</f>
        <v>7367.36</v>
      </c>
      <c r="L487" s="135">
        <f>L187*Formulas!$C$5</f>
        <v>7207.2</v>
      </c>
      <c r="M487" s="135">
        <f>M187*Formulas!$C$5</f>
        <v>7767.76</v>
      </c>
      <c r="N487" s="135">
        <f>N187*Formulas!$C$5</f>
        <v>7847.84</v>
      </c>
      <c r="O487" s="135">
        <f>O187*Formulas!$C$5</f>
        <v>9289.28</v>
      </c>
      <c r="P487" s="135">
        <f>P187*Formulas!$C$5</f>
        <v>10890.88</v>
      </c>
      <c r="Q487" s="135">
        <f>Q187*Formulas!$C$5</f>
        <v>8568.56</v>
      </c>
      <c r="R487" s="135">
        <f>R187*Formulas!$C$5</f>
        <v>12732.72</v>
      </c>
      <c r="S487" s="135">
        <f>S187*Formulas!$C$5</f>
        <v>16096.08</v>
      </c>
      <c r="T487" s="135">
        <f>T187*Formulas!$C$5</f>
        <v>11451.44</v>
      </c>
      <c r="U487" s="135">
        <f>U187*Formulas!$C$5</f>
        <v>4644.64</v>
      </c>
      <c r="V487" s="135">
        <f>V187*Formulas!$C$5</f>
        <v>1841.84</v>
      </c>
      <c r="W487" s="135">
        <f>W187*Formulas!$C$5</f>
        <v>2002</v>
      </c>
      <c r="X487" s="135">
        <f>X187*Formulas!$C$5</f>
        <v>2242.24</v>
      </c>
      <c r="Y487" s="135">
        <f>Y187*Formulas!$C$5</f>
        <v>3923.92</v>
      </c>
      <c r="Z487" s="135">
        <f>Z187*Formulas!$C$5</f>
        <v>8408.4</v>
      </c>
      <c r="AA487" s="135">
        <f>AA187*Formulas!$C$5</f>
        <v>4404.4</v>
      </c>
      <c r="AB487" s="135">
        <f>AB187*Formulas!$C$5</f>
        <v>2162.16</v>
      </c>
      <c r="AC487" s="135">
        <f>AC187*Formulas!$C$5</f>
        <v>3363.36</v>
      </c>
      <c r="AD487" s="135">
        <f>AD187*Formulas!$C$5</f>
        <v>4004</v>
      </c>
      <c r="AE487" s="135">
        <f>AE187*Formulas!$C$5</f>
        <v>5125.12</v>
      </c>
      <c r="AF487" s="61">
        <f t="shared" si="194"/>
        <v>203403.2</v>
      </c>
    </row>
    <row r="488">
      <c r="A488" s="33" t="s">
        <v>376</v>
      </c>
      <c r="B488" s="135">
        <f>(B487+B489)*Formulas!$C37</f>
        <v>450.45</v>
      </c>
      <c r="C488" s="135">
        <f>(C487+C489)*Formulas!$C37</f>
        <v>534.534</v>
      </c>
      <c r="D488" s="135">
        <f>(D487+D489)*Formulas!$C37</f>
        <v>599.6445</v>
      </c>
      <c r="E488" s="135">
        <f>(E487+E489)*Formulas!$C37</f>
        <v>534.534</v>
      </c>
      <c r="F488" s="135">
        <f>(F487+F489)*Formulas!$C37</f>
        <v>504.98175</v>
      </c>
      <c r="G488" s="135">
        <f>(G487+G489)*Formulas!$C37</f>
        <v>510.51</v>
      </c>
      <c r="H488" s="135">
        <f>(H487+H489)*Formulas!$C37</f>
        <v>324.324</v>
      </c>
      <c r="I488" s="135">
        <f>(I487+I489)*Formulas!$C37</f>
        <v>618.618</v>
      </c>
      <c r="J488" s="135">
        <f>(J487+J489)*Formulas!$C37</f>
        <v>576.576</v>
      </c>
      <c r="K488" s="135">
        <f>(K487+K489)*Formulas!$C37</f>
        <v>552.552</v>
      </c>
      <c r="L488" s="135">
        <f>(L487+L489)*Formulas!$C37</f>
        <v>540.54</v>
      </c>
      <c r="M488" s="135">
        <f>(M487+M489)*Formulas!$C37</f>
        <v>582.582</v>
      </c>
      <c r="N488" s="135">
        <f>(N487+N489)*Formulas!$C37</f>
        <v>588.588</v>
      </c>
      <c r="O488" s="135">
        <f>(O487+O489)*Formulas!$C37</f>
        <v>696.696</v>
      </c>
      <c r="P488" s="135">
        <f>(P487+P489)*Formulas!$C37</f>
        <v>816.816</v>
      </c>
      <c r="Q488" s="135">
        <f>(Q487+Q489)*Formulas!$C37</f>
        <v>642.642</v>
      </c>
      <c r="R488" s="135">
        <f>(R487+R489)*Formulas!$C37</f>
        <v>954.954</v>
      </c>
      <c r="S488" s="135">
        <f>(S487+S489)*Formulas!$C37</f>
        <v>1207.206</v>
      </c>
      <c r="T488" s="135">
        <f>(T487+T489)*Formulas!$C37</f>
        <v>858.858</v>
      </c>
      <c r="U488" s="135">
        <f>(U487+U489)*Formulas!$C37</f>
        <v>348.348</v>
      </c>
      <c r="V488" s="135">
        <f>(V487+V489)*Formulas!$C37</f>
        <v>137.66025</v>
      </c>
      <c r="W488" s="135">
        <f>(W487+W489)*Formulas!$C37</f>
        <v>150.15</v>
      </c>
      <c r="X488" s="135">
        <f>(X487+X489)*Formulas!$C37</f>
        <v>168.168</v>
      </c>
      <c r="Y488" s="135">
        <f>(Y487+Y489)*Formulas!$C37</f>
        <v>294.294</v>
      </c>
      <c r="Z488" s="135">
        <f>(Z487+Z489)*Formulas!$C37</f>
        <v>643.52925</v>
      </c>
      <c r="AA488" s="135">
        <f>(AA487+AA489)*Formulas!$C37</f>
        <v>337.974</v>
      </c>
      <c r="AB488" s="135">
        <f>(AB487+AB489)*Formulas!$C37</f>
        <v>162.162</v>
      </c>
      <c r="AC488" s="135">
        <f>(AC487+AC489)*Formulas!$C37</f>
        <v>252.252</v>
      </c>
      <c r="AD488" s="135">
        <f>(AD487+AD489)*Formulas!$C37</f>
        <v>299.3445</v>
      </c>
      <c r="AE488" s="135">
        <f>(AE487+AE489)*Formulas!$C37</f>
        <v>384.384</v>
      </c>
      <c r="AF488" s="61">
        <f t="shared" si="194"/>
        <v>15273.87225</v>
      </c>
    </row>
    <row r="489">
      <c r="A489" s="54" t="s">
        <v>377</v>
      </c>
      <c r="B489" s="135">
        <f>B191*Formulas!$C8</f>
        <v>0</v>
      </c>
      <c r="C489" s="135">
        <f>C191*Formulas!$C8</f>
        <v>0</v>
      </c>
      <c r="D489" s="135">
        <f>D191*Formulas!$C8</f>
        <v>-12.74</v>
      </c>
      <c r="E489" s="135">
        <f>E191*Formulas!$C8</f>
        <v>0</v>
      </c>
      <c r="F489" s="135">
        <f>F191*Formulas!$C8</f>
        <v>6.37</v>
      </c>
      <c r="G489" s="135">
        <f>G191*Formulas!$C8</f>
        <v>0</v>
      </c>
      <c r="H489" s="135">
        <f>H191*Formulas!$C8</f>
        <v>0</v>
      </c>
      <c r="I489" s="135">
        <f>I191*Formulas!$C8</f>
        <v>0</v>
      </c>
      <c r="J489" s="135">
        <f>J191*Formulas!$C8</f>
        <v>0</v>
      </c>
      <c r="K489" s="135">
        <f>K191*Formulas!$C8</f>
        <v>0</v>
      </c>
      <c r="L489" s="135">
        <f>L191*Formulas!$C8</f>
        <v>0</v>
      </c>
      <c r="M489" s="135">
        <f>M191*Formulas!$C8</f>
        <v>0</v>
      </c>
      <c r="N489" s="135">
        <f>N191*Formulas!$C8</f>
        <v>0</v>
      </c>
      <c r="O489" s="135">
        <f>O191*Formulas!$C8</f>
        <v>0</v>
      </c>
      <c r="P489" s="135">
        <f>P191*Formulas!$C8</f>
        <v>0</v>
      </c>
      <c r="Q489" s="135">
        <f>Q191*Formulas!$C8</f>
        <v>0</v>
      </c>
      <c r="R489" s="135">
        <f>R191*Formulas!$C8</f>
        <v>0</v>
      </c>
      <c r="S489" s="135">
        <f>S191*Formulas!$C8</f>
        <v>0</v>
      </c>
      <c r="T489" s="135">
        <f>T191*Formulas!$C8</f>
        <v>0</v>
      </c>
      <c r="U489" s="135">
        <f>U191*Formulas!$C8</f>
        <v>0</v>
      </c>
      <c r="V489" s="135">
        <f>V191*Formulas!$C8</f>
        <v>-6.37</v>
      </c>
      <c r="W489" s="135">
        <f>W191*Formulas!$C8</f>
        <v>0</v>
      </c>
      <c r="X489" s="135">
        <f>X191*Formulas!$C8</f>
        <v>0</v>
      </c>
      <c r="Y489" s="135">
        <f>Y191*Formulas!$C8</f>
        <v>0</v>
      </c>
      <c r="Z489" s="135">
        <f>Z191*Formulas!$C8</f>
        <v>171.99</v>
      </c>
      <c r="AA489" s="135">
        <f>AA191*Formulas!$C8</f>
        <v>101.92</v>
      </c>
      <c r="AB489" s="135">
        <f>AB191*Formulas!$C8</f>
        <v>0</v>
      </c>
      <c r="AC489" s="135">
        <f>AC191*Formulas!$C8</f>
        <v>0</v>
      </c>
      <c r="AD489" s="135">
        <f>AD191*Formulas!$C8</f>
        <v>-12.74</v>
      </c>
      <c r="AE489" s="135">
        <f>AE191*Formulas!$C8</f>
        <v>0</v>
      </c>
      <c r="AF489" s="61">
        <f t="shared" si="194"/>
        <v>248.43</v>
      </c>
    </row>
    <row r="490">
      <c r="A490" s="33" t="s">
        <v>378</v>
      </c>
      <c r="B490" s="135">
        <f>B489*Formulas!$C37</f>
        <v>0</v>
      </c>
      <c r="C490" s="135">
        <f>C489*Formulas!$C37</f>
        <v>0</v>
      </c>
      <c r="D490" s="135">
        <f>D489*Formulas!$C37</f>
        <v>-0.9555</v>
      </c>
      <c r="E490" s="135">
        <f>E489*Formulas!$C37</f>
        <v>0</v>
      </c>
      <c r="F490" s="135">
        <f>F489*Formulas!$C37</f>
        <v>0.47775</v>
      </c>
      <c r="G490" s="135">
        <f>G489*Formulas!$C37</f>
        <v>0</v>
      </c>
      <c r="H490" s="135">
        <f>H489*Formulas!$C37</f>
        <v>0</v>
      </c>
      <c r="I490" s="135">
        <f>I489*Formulas!$C37</f>
        <v>0</v>
      </c>
      <c r="J490" s="135">
        <f>J489*Formulas!$C37</f>
        <v>0</v>
      </c>
      <c r="K490" s="135">
        <f>K489*Formulas!$C37</f>
        <v>0</v>
      </c>
      <c r="L490" s="135">
        <f>L489*Formulas!$C37</f>
        <v>0</v>
      </c>
      <c r="M490" s="135">
        <f>M489*Formulas!$C37</f>
        <v>0</v>
      </c>
      <c r="N490" s="135">
        <f>N489*Formulas!$C37</f>
        <v>0</v>
      </c>
      <c r="O490" s="135">
        <f>O489*Formulas!$C37</f>
        <v>0</v>
      </c>
      <c r="P490" s="135">
        <f>P489*Formulas!$C37</f>
        <v>0</v>
      </c>
      <c r="Q490" s="135">
        <f>Q489*Formulas!$C37</f>
        <v>0</v>
      </c>
      <c r="R490" s="135">
        <f>R489*Formulas!$C37</f>
        <v>0</v>
      </c>
      <c r="S490" s="135">
        <f>S489*Formulas!$C37</f>
        <v>0</v>
      </c>
      <c r="T490" s="135">
        <f>T489*Formulas!$C37</f>
        <v>0</v>
      </c>
      <c r="U490" s="135">
        <f>U489*Formulas!$C37</f>
        <v>0</v>
      </c>
      <c r="V490" s="135">
        <f>V489*Formulas!$C37</f>
        <v>-0.47775</v>
      </c>
      <c r="W490" s="135">
        <f>W489*Formulas!$C37</f>
        <v>0</v>
      </c>
      <c r="X490" s="135">
        <f>X489*Formulas!$C37</f>
        <v>0</v>
      </c>
      <c r="Y490" s="135">
        <f>Y489*Formulas!$C37</f>
        <v>0</v>
      </c>
      <c r="Z490" s="135">
        <f>Z489*Formulas!$C37</f>
        <v>12.89925</v>
      </c>
      <c r="AA490" s="135">
        <f>AA489*Formulas!$C37</f>
        <v>7.644</v>
      </c>
      <c r="AB490" s="135">
        <f>AB489*Formulas!$C37</f>
        <v>0</v>
      </c>
      <c r="AC490" s="135">
        <f>AC489*Formulas!$C37</f>
        <v>0</v>
      </c>
      <c r="AD490" s="135">
        <f>AD489*Formulas!$C37</f>
        <v>-0.9555</v>
      </c>
      <c r="AE490" s="135">
        <f>AE489*Formulas!$C37</f>
        <v>0</v>
      </c>
      <c r="AF490" s="61">
        <f t="shared" si="194"/>
        <v>18.63225</v>
      </c>
    </row>
    <row r="491">
      <c r="A491" s="33" t="s">
        <v>379</v>
      </c>
      <c r="B491" s="135">
        <f>B489*Formulas!$C36</f>
        <v>0</v>
      </c>
      <c r="C491" s="135">
        <f>C489*Formulas!$C36</f>
        <v>0</v>
      </c>
      <c r="D491" s="135">
        <f>D489*Formulas!$C36</f>
        <v>-0.43316</v>
      </c>
      <c r="E491" s="135">
        <f>E489*Formulas!$C36</f>
        <v>0</v>
      </c>
      <c r="F491" s="135">
        <f>F489*Formulas!$C36</f>
        <v>0.21658</v>
      </c>
      <c r="G491" s="135">
        <f>G489*Formulas!$C36</f>
        <v>0</v>
      </c>
      <c r="H491" s="135">
        <f>H489*Formulas!$C36</f>
        <v>0</v>
      </c>
      <c r="I491" s="135">
        <f>I489*Formulas!$C36</f>
        <v>0</v>
      </c>
      <c r="J491" s="135">
        <f>J489*Formulas!$C36</f>
        <v>0</v>
      </c>
      <c r="K491" s="135">
        <f>K489*Formulas!$C36</f>
        <v>0</v>
      </c>
      <c r="L491" s="135">
        <f>L489*Formulas!$C36</f>
        <v>0</v>
      </c>
      <c r="M491" s="135">
        <f>M489*Formulas!$C36</f>
        <v>0</v>
      </c>
      <c r="N491" s="135">
        <f>N489*Formulas!$C36</f>
        <v>0</v>
      </c>
      <c r="O491" s="135">
        <f>O489*Formulas!$C36</f>
        <v>0</v>
      </c>
      <c r="P491" s="135">
        <f>P489*Formulas!$C36</f>
        <v>0</v>
      </c>
      <c r="Q491" s="135">
        <f>Q489*Formulas!$C36</f>
        <v>0</v>
      </c>
      <c r="R491" s="135">
        <f>R489*Formulas!$C36</f>
        <v>0</v>
      </c>
      <c r="S491" s="135">
        <f>S489*Formulas!$C36</f>
        <v>0</v>
      </c>
      <c r="T491" s="135">
        <f>T489*Formulas!$C36</f>
        <v>0</v>
      </c>
      <c r="U491" s="135">
        <f>U489*Formulas!$C36</f>
        <v>0</v>
      </c>
      <c r="V491" s="135">
        <f>V489*Formulas!$C36</f>
        <v>-0.21658</v>
      </c>
      <c r="W491" s="135">
        <f>W489*Formulas!$C36</f>
        <v>0</v>
      </c>
      <c r="X491" s="135">
        <f>X489*Formulas!$C36</f>
        <v>0</v>
      </c>
      <c r="Y491" s="135">
        <f>Y489*Formulas!$C36</f>
        <v>0</v>
      </c>
      <c r="Z491" s="135">
        <f>Z489*Formulas!$C36</f>
        <v>5.84766</v>
      </c>
      <c r="AA491" s="135">
        <f>AA489*Formulas!$C36</f>
        <v>3.46528</v>
      </c>
      <c r="AB491" s="135">
        <f>AB489*Formulas!$C36</f>
        <v>0</v>
      </c>
      <c r="AC491" s="135">
        <f>AC489*Formulas!$C36</f>
        <v>0</v>
      </c>
      <c r="AD491" s="135">
        <f>AD489*Formulas!$C36</f>
        <v>-0.43316</v>
      </c>
      <c r="AE491" s="135">
        <f>AE489*Formulas!$C36</f>
        <v>0</v>
      </c>
      <c r="AF491" s="61">
        <f t="shared" si="194"/>
        <v>8.44662</v>
      </c>
    </row>
    <row r="492">
      <c r="A492" s="54" t="s">
        <v>380</v>
      </c>
      <c r="B492" s="135">
        <f>B190*Formulas!$C7</f>
        <v>113.39</v>
      </c>
      <c r="C492" s="135">
        <f>C190*Formulas!$C7</f>
        <v>177.48</v>
      </c>
      <c r="D492" s="135">
        <f>D190*Formulas!$C7</f>
        <v>221.85</v>
      </c>
      <c r="E492" s="135">
        <f>E190*Formulas!$C7</f>
        <v>236.64</v>
      </c>
      <c r="F492" s="135">
        <f>F190*Formulas!$C7</f>
        <v>78.88</v>
      </c>
      <c r="G492" s="135">
        <f>G190*Formulas!$C7</f>
        <v>197.2</v>
      </c>
      <c r="H492" s="135">
        <f>H190*Formulas!$C7</f>
        <v>147.9</v>
      </c>
      <c r="I492" s="135">
        <f>I190*Formulas!$C7</f>
        <v>202.13</v>
      </c>
      <c r="J492" s="135">
        <f>J190*Formulas!$C7</f>
        <v>290.87</v>
      </c>
      <c r="K492" s="135">
        <f>K190*Formulas!$C7</f>
        <v>290.87</v>
      </c>
      <c r="L492" s="135">
        <f>L190*Formulas!$C7</f>
        <v>246.5</v>
      </c>
      <c r="M492" s="135">
        <f>M190*Formulas!$C7</f>
        <v>310.59</v>
      </c>
      <c r="N492" s="135">
        <f>N190*Formulas!$C7</f>
        <v>216.92</v>
      </c>
      <c r="O492" s="135">
        <f>O190*Formulas!$C7</f>
        <v>369.75</v>
      </c>
      <c r="P492" s="135">
        <f>P190*Formulas!$C7</f>
        <v>389.47</v>
      </c>
      <c r="Q492" s="135">
        <f>Q190*Formulas!$C7</f>
        <v>364.82</v>
      </c>
      <c r="R492" s="135">
        <f>R190*Formulas!$C7</f>
        <v>345.1</v>
      </c>
      <c r="S492" s="135">
        <f>S190*Formulas!$C7</f>
        <v>488.07</v>
      </c>
      <c r="T492" s="135">
        <f>T190*Formulas!$C7</f>
        <v>354.96</v>
      </c>
      <c r="U492" s="135">
        <f>U190*Formulas!$C7</f>
        <v>177.48</v>
      </c>
      <c r="V492" s="135">
        <f>V190*Formulas!$C7</f>
        <v>44.37</v>
      </c>
      <c r="W492" s="135">
        <f>W190*Formulas!$C7</f>
        <v>44.37</v>
      </c>
      <c r="X492" s="135">
        <f>X190*Formulas!$C7</f>
        <v>118.32</v>
      </c>
      <c r="Y492" s="135">
        <f>Y190*Formulas!$C7</f>
        <v>162.69</v>
      </c>
      <c r="Z492" s="135">
        <f>Z190*Formulas!$C7</f>
        <v>285.94</v>
      </c>
      <c r="AA492" s="135">
        <f>AA190*Formulas!$C7</f>
        <v>118.32</v>
      </c>
      <c r="AB492" s="135">
        <f>AB190*Formulas!$C7</f>
        <v>73.95</v>
      </c>
      <c r="AC492" s="135">
        <f>AC190*Formulas!$C7</f>
        <v>103.53</v>
      </c>
      <c r="AD492" s="135">
        <f>AD190*Formulas!$C7</f>
        <v>78.88</v>
      </c>
      <c r="AE492" s="135">
        <f>AE190*Formulas!$C7</f>
        <v>113.39</v>
      </c>
      <c r="AF492" s="61">
        <f t="shared" si="194"/>
        <v>6364.63</v>
      </c>
    </row>
    <row r="493">
      <c r="A493" s="33" t="s">
        <v>381</v>
      </c>
      <c r="B493" s="135">
        <f>B492*Formulas!$C37</f>
        <v>8.50425</v>
      </c>
      <c r="C493" s="135">
        <f>C492*Formulas!$C37</f>
        <v>13.311</v>
      </c>
      <c r="D493" s="135">
        <f>D492*Formulas!$C37</f>
        <v>16.63875</v>
      </c>
      <c r="E493" s="135">
        <f>E492*Formulas!$C37</f>
        <v>17.748</v>
      </c>
      <c r="F493" s="135">
        <f>F492*Formulas!$C37</f>
        <v>5.916</v>
      </c>
      <c r="G493" s="135">
        <f>G492*Formulas!$C37</f>
        <v>14.79</v>
      </c>
      <c r="H493" s="135">
        <f>H492*Formulas!$C37</f>
        <v>11.0925</v>
      </c>
      <c r="I493" s="135">
        <f>I492*Formulas!$C37</f>
        <v>15.15975</v>
      </c>
      <c r="J493" s="135">
        <f>J492*Formulas!$C37</f>
        <v>21.81525</v>
      </c>
      <c r="K493" s="135">
        <f>K492*Formulas!$C37</f>
        <v>21.81525</v>
      </c>
      <c r="L493" s="135">
        <f>L492*Formulas!$C37</f>
        <v>18.4875</v>
      </c>
      <c r="M493" s="135">
        <f>M492*Formulas!$C37</f>
        <v>23.29425</v>
      </c>
      <c r="N493" s="135">
        <f>N492*Formulas!$C37</f>
        <v>16.269</v>
      </c>
      <c r="O493" s="135">
        <f>O492*Formulas!$C37</f>
        <v>27.73125</v>
      </c>
      <c r="P493" s="135">
        <f>P492*Formulas!$C37</f>
        <v>29.21025</v>
      </c>
      <c r="Q493" s="135">
        <f>Q492*Formulas!$C37</f>
        <v>27.3615</v>
      </c>
      <c r="R493" s="135">
        <f>R492*Formulas!$C37</f>
        <v>25.8825</v>
      </c>
      <c r="S493" s="135">
        <f>S492*Formulas!$C37</f>
        <v>36.60525</v>
      </c>
      <c r="T493" s="135">
        <f>T492*Formulas!$C37</f>
        <v>26.622</v>
      </c>
      <c r="U493" s="135">
        <f>U492*Formulas!$C37</f>
        <v>13.311</v>
      </c>
      <c r="V493" s="135">
        <f>V492*Formulas!$C37</f>
        <v>3.32775</v>
      </c>
      <c r="W493" s="135">
        <f>W492*Formulas!$C37</f>
        <v>3.32775</v>
      </c>
      <c r="X493" s="135">
        <f>X492*Formulas!$C37</f>
        <v>8.874</v>
      </c>
      <c r="Y493" s="135">
        <f>Y492*Formulas!$C37</f>
        <v>12.20175</v>
      </c>
      <c r="Z493" s="135">
        <f>Z492*Formulas!$C37</f>
        <v>21.4455</v>
      </c>
      <c r="AA493" s="135">
        <f>AA492*Formulas!$C37</f>
        <v>8.874</v>
      </c>
      <c r="AB493" s="135">
        <f>AB492*Formulas!$C37</f>
        <v>5.54625</v>
      </c>
      <c r="AC493" s="135">
        <f>AC492*Formulas!$C37</f>
        <v>7.76475</v>
      </c>
      <c r="AD493" s="135">
        <f>AD492*Formulas!$C37</f>
        <v>5.916</v>
      </c>
      <c r="AE493" s="135">
        <f>AE492*Formulas!$C37</f>
        <v>8.50425</v>
      </c>
      <c r="AF493" s="61">
        <f t="shared" si="194"/>
        <v>477.34725</v>
      </c>
    </row>
    <row r="494">
      <c r="A494" s="33" t="s">
        <v>382</v>
      </c>
      <c r="B494" s="135">
        <f>B492*Formulas!$C36</f>
        <v>3.85526</v>
      </c>
      <c r="C494" s="135">
        <f>C492*Formulas!$C36</f>
        <v>6.03432</v>
      </c>
      <c r="D494" s="135">
        <f>D492*Formulas!$C36</f>
        <v>7.5429</v>
      </c>
      <c r="E494" s="135">
        <f>E492*Formulas!$C36</f>
        <v>8.04576</v>
      </c>
      <c r="F494" s="135">
        <f>F492*Formulas!$C36</f>
        <v>2.68192</v>
      </c>
      <c r="G494" s="135">
        <f>G492*Formulas!$C36</f>
        <v>6.7048</v>
      </c>
      <c r="H494" s="135">
        <f>H492*Formulas!$C36</f>
        <v>5.0286</v>
      </c>
      <c r="I494" s="135">
        <f>I492*Formulas!$C36</f>
        <v>6.87242</v>
      </c>
      <c r="J494" s="135">
        <f>J492*Formulas!$C36</f>
        <v>9.88958</v>
      </c>
      <c r="K494" s="135">
        <f>K492*Formulas!$C36</f>
        <v>9.88958</v>
      </c>
      <c r="L494" s="135">
        <f>L492*Formulas!$C36</f>
        <v>8.381</v>
      </c>
      <c r="M494" s="135">
        <f>M492*Formulas!$C36</f>
        <v>10.56006</v>
      </c>
      <c r="N494" s="135">
        <f>N492*Formulas!$C36</f>
        <v>7.37528</v>
      </c>
      <c r="O494" s="135">
        <f>O492*Formulas!$C36</f>
        <v>12.5715</v>
      </c>
      <c r="P494" s="135">
        <f>P492*Formulas!$C36</f>
        <v>13.24198</v>
      </c>
      <c r="Q494" s="135">
        <f>Q492*Formulas!$C36</f>
        <v>12.40388</v>
      </c>
      <c r="R494" s="135">
        <f>R492*Formulas!$C36</f>
        <v>11.7334</v>
      </c>
      <c r="S494" s="135">
        <f>S492*Formulas!$C36</f>
        <v>16.59438</v>
      </c>
      <c r="T494" s="135">
        <f>T492*Formulas!$C36</f>
        <v>12.06864</v>
      </c>
      <c r="U494" s="135">
        <f>U492*Formulas!$C36</f>
        <v>6.03432</v>
      </c>
      <c r="V494" s="135">
        <f>V492*Formulas!$C36</f>
        <v>1.50858</v>
      </c>
      <c r="W494" s="135">
        <f>W492*Formulas!$C36</f>
        <v>1.50858</v>
      </c>
      <c r="X494" s="135">
        <f>X492*Formulas!$C36</f>
        <v>4.02288</v>
      </c>
      <c r="Y494" s="135">
        <f>Y492*Formulas!$C36</f>
        <v>5.53146</v>
      </c>
      <c r="Z494" s="135">
        <f>Z492*Formulas!$C36</f>
        <v>9.72196</v>
      </c>
      <c r="AA494" s="135">
        <f>AA492*Formulas!$C36</f>
        <v>4.02288</v>
      </c>
      <c r="AB494" s="135">
        <f>AB492*Formulas!$C36</f>
        <v>2.5143</v>
      </c>
      <c r="AC494" s="135">
        <f>AC492*Formulas!$C36</f>
        <v>3.52002</v>
      </c>
      <c r="AD494" s="135">
        <f>AD492*Formulas!$C36</f>
        <v>2.68192</v>
      </c>
      <c r="AE494" s="135">
        <f>AE492*Formulas!$C36</f>
        <v>3.85526</v>
      </c>
      <c r="AF494" s="61">
        <f t="shared" si="194"/>
        <v>216.39742</v>
      </c>
    </row>
    <row r="495">
      <c r="A495" s="54" t="s">
        <v>383</v>
      </c>
      <c r="B495" s="135">
        <f>B192*Formulas!$C9</f>
        <v>16.05</v>
      </c>
      <c r="C495" s="135">
        <f>C192*Formulas!$C9</f>
        <v>23.54</v>
      </c>
      <c r="D495" s="135">
        <f>D192*Formulas!$C9</f>
        <v>25.68</v>
      </c>
      <c r="E495" s="135">
        <f>E192*Formulas!$C9</f>
        <v>31.03</v>
      </c>
      <c r="F495" s="135">
        <f>F192*Formulas!$C9</f>
        <v>23.54</v>
      </c>
      <c r="G495" s="135">
        <f>G192*Formulas!$C9</f>
        <v>13.91</v>
      </c>
      <c r="H495" s="135">
        <f>H192*Formulas!$C9</f>
        <v>24.61</v>
      </c>
      <c r="I495" s="135">
        <f>I192*Formulas!$C9</f>
        <v>40.66</v>
      </c>
      <c r="J495" s="135">
        <f>J192*Formulas!$C9</f>
        <v>37.45</v>
      </c>
      <c r="K495" s="135">
        <f>K192*Formulas!$C9</f>
        <v>32.1</v>
      </c>
      <c r="L495" s="135">
        <f>L192*Formulas!$C9</f>
        <v>35.31</v>
      </c>
      <c r="M495" s="135">
        <f>M192*Formulas!$C9</f>
        <v>34.24</v>
      </c>
      <c r="N495" s="135">
        <f>N192*Formulas!$C9</f>
        <v>17.12</v>
      </c>
      <c r="O495" s="135">
        <f>O192*Formulas!$C9</f>
        <v>26.75</v>
      </c>
      <c r="P495" s="135">
        <f>P192*Formulas!$C9</f>
        <v>37.45</v>
      </c>
      <c r="Q495" s="135">
        <f>Q192*Formulas!$C9</f>
        <v>41.73</v>
      </c>
      <c r="R495" s="135">
        <f>R192*Formulas!$C9</f>
        <v>39.59</v>
      </c>
      <c r="S495" s="135">
        <f>S192*Formulas!$C9</f>
        <v>64.2</v>
      </c>
      <c r="T495" s="135">
        <f>T192*Formulas!$C9</f>
        <v>52.43</v>
      </c>
      <c r="U495" s="135">
        <f>U192*Formulas!$C9</f>
        <v>21.4</v>
      </c>
      <c r="V495" s="135">
        <f>V192*Formulas!$C9</f>
        <v>17.12</v>
      </c>
      <c r="W495" s="135">
        <f>W192*Formulas!$C9</f>
        <v>4.28</v>
      </c>
      <c r="X495" s="135">
        <f>X192*Formulas!$C9</f>
        <v>16.05</v>
      </c>
      <c r="Y495" s="135">
        <f>Y192*Formulas!$C9</f>
        <v>22.47</v>
      </c>
      <c r="Z495" s="135">
        <f>Z192*Formulas!$C9</f>
        <v>-2.14</v>
      </c>
      <c r="AA495" s="135">
        <f>AA192*Formulas!$C9</f>
        <v>-4.28</v>
      </c>
      <c r="AB495" s="135">
        <f>AB192*Formulas!$C9</f>
        <v>6.42</v>
      </c>
      <c r="AC495" s="135">
        <f>AC192*Formulas!$C9</f>
        <v>6.42</v>
      </c>
      <c r="AD495" s="135">
        <f>AD192*Formulas!$C9</f>
        <v>16.05</v>
      </c>
      <c r="AE495" s="135">
        <f>AE192*Formulas!$C9</f>
        <v>13.91</v>
      </c>
      <c r="AF495" s="61">
        <f t="shared" si="194"/>
        <v>735.09</v>
      </c>
    </row>
    <row r="496">
      <c r="A496" s="33" t="s">
        <v>384</v>
      </c>
      <c r="B496" s="135">
        <f>B495*Formulas!$C37</f>
        <v>1.20375</v>
      </c>
      <c r="C496" s="135">
        <f>C495*Formulas!$C37</f>
        <v>1.7655</v>
      </c>
      <c r="D496" s="135">
        <f>D495*Formulas!$C37</f>
        <v>1.926</v>
      </c>
      <c r="E496" s="135">
        <f>E495*Formulas!$C37</f>
        <v>2.32725</v>
      </c>
      <c r="F496" s="135">
        <f>F495*Formulas!$C37</f>
        <v>1.7655</v>
      </c>
      <c r="G496" s="135">
        <f>G495*Formulas!$C37</f>
        <v>1.04325</v>
      </c>
      <c r="H496" s="135">
        <f>H495*Formulas!$C37</f>
        <v>1.84575</v>
      </c>
      <c r="I496" s="135">
        <f>I495*Formulas!$C37</f>
        <v>3.0495</v>
      </c>
      <c r="J496" s="135">
        <f>J495*Formulas!$C37</f>
        <v>2.80875</v>
      </c>
      <c r="K496" s="135">
        <f>K495*Formulas!$C37</f>
        <v>2.4075</v>
      </c>
      <c r="L496" s="135">
        <f>L495*Formulas!$C37</f>
        <v>2.64825</v>
      </c>
      <c r="M496" s="135">
        <f>M495*Formulas!$C37</f>
        <v>2.568</v>
      </c>
      <c r="N496" s="135">
        <f>N495*Formulas!$C37</f>
        <v>1.284</v>
      </c>
      <c r="O496" s="135">
        <f>O495*Formulas!$C37</f>
        <v>2.00625</v>
      </c>
      <c r="P496" s="135">
        <f>P495*Formulas!$C37</f>
        <v>2.80875</v>
      </c>
      <c r="Q496" s="135">
        <f>Q495*Formulas!$C37</f>
        <v>3.12975</v>
      </c>
      <c r="R496" s="135">
        <f>R495*Formulas!$C37</f>
        <v>2.96925</v>
      </c>
      <c r="S496" s="135">
        <f>S495*Formulas!$C37</f>
        <v>4.815</v>
      </c>
      <c r="T496" s="135">
        <f>T495*Formulas!$C37</f>
        <v>3.93225</v>
      </c>
      <c r="U496" s="135">
        <f>U495*Formulas!$C37</f>
        <v>1.605</v>
      </c>
      <c r="V496" s="135">
        <f>V495*Formulas!$C37</f>
        <v>1.284</v>
      </c>
      <c r="W496" s="135">
        <f>W495*Formulas!$C37</f>
        <v>0.321</v>
      </c>
      <c r="X496" s="135">
        <f>X495*Formulas!$C37</f>
        <v>1.20375</v>
      </c>
      <c r="Y496" s="135">
        <f>Y495*Formulas!$C37</f>
        <v>1.68525</v>
      </c>
      <c r="Z496" s="135">
        <f>Z495*Formulas!$C37</f>
        <v>-0.1605</v>
      </c>
      <c r="AA496" s="135">
        <f>AA495*Formulas!$C37</f>
        <v>-0.321</v>
      </c>
      <c r="AB496" s="135">
        <f>AB495*Formulas!$C37</f>
        <v>0.4815</v>
      </c>
      <c r="AC496" s="135">
        <f>AC495*Formulas!$C37</f>
        <v>0.4815</v>
      </c>
      <c r="AD496" s="135">
        <f>AD495*Formulas!$C37</f>
        <v>1.20375</v>
      </c>
      <c r="AE496" s="135">
        <f>AE495*Formulas!$C37</f>
        <v>1.04325</v>
      </c>
      <c r="AF496" s="61">
        <f t="shared" si="194"/>
        <v>55.13175</v>
      </c>
    </row>
    <row r="497">
      <c r="A497" s="33" t="s">
        <v>385</v>
      </c>
      <c r="B497" s="135">
        <f>B495*Formulas!$C36</f>
        <v>0.5457</v>
      </c>
      <c r="C497" s="135">
        <f>C495*Formulas!$C36</f>
        <v>0.80036</v>
      </c>
      <c r="D497" s="135">
        <f>D495*Formulas!$C36</f>
        <v>0.87312</v>
      </c>
      <c r="E497" s="135">
        <f>E495*Formulas!$C36</f>
        <v>1.05502</v>
      </c>
      <c r="F497" s="135">
        <f>F495*Formulas!$C36</f>
        <v>0.80036</v>
      </c>
      <c r="G497" s="135">
        <f>G495*Formulas!$C36</f>
        <v>0.47294</v>
      </c>
      <c r="H497" s="135">
        <f>H495*Formulas!$C36</f>
        <v>0.83674</v>
      </c>
      <c r="I497" s="135">
        <f>I495*Formulas!$C36</f>
        <v>1.38244</v>
      </c>
      <c r="J497" s="135">
        <f>J495*Formulas!$C36</f>
        <v>1.2733</v>
      </c>
      <c r="K497" s="135">
        <f>K495*Formulas!$C36</f>
        <v>1.0914</v>
      </c>
      <c r="L497" s="135">
        <f>L495*Formulas!$C36</f>
        <v>1.20054</v>
      </c>
      <c r="M497" s="135">
        <f>M495*Formulas!$C36</f>
        <v>1.16416</v>
      </c>
      <c r="N497" s="135">
        <f>N495*Formulas!$C36</f>
        <v>0.58208</v>
      </c>
      <c r="O497" s="135">
        <f>O495*Formulas!$C36</f>
        <v>0.9095</v>
      </c>
      <c r="P497" s="135">
        <f>P495*Formulas!$C36</f>
        <v>1.2733</v>
      </c>
      <c r="Q497" s="135">
        <f>Q495*Formulas!$C36</f>
        <v>1.41882</v>
      </c>
      <c r="R497" s="135">
        <f>R495*Formulas!$C36</f>
        <v>1.34606</v>
      </c>
      <c r="S497" s="135">
        <f>S495*Formulas!$C36</f>
        <v>2.1828</v>
      </c>
      <c r="T497" s="135">
        <f>T495*Formulas!$C36</f>
        <v>1.78262</v>
      </c>
      <c r="U497" s="135">
        <f>U495*Formulas!$C36</f>
        <v>0.7276</v>
      </c>
      <c r="V497" s="135">
        <f>V495*Formulas!$C36</f>
        <v>0.58208</v>
      </c>
      <c r="W497" s="135">
        <f>W495*Formulas!$C36</f>
        <v>0.14552</v>
      </c>
      <c r="X497" s="135">
        <f>X495*Formulas!$C36</f>
        <v>0.5457</v>
      </c>
      <c r="Y497" s="135">
        <f>Y495*Formulas!$C36</f>
        <v>0.76398</v>
      </c>
      <c r="Z497" s="135">
        <f>Z495*Formulas!$C36</f>
        <v>-0.07276</v>
      </c>
      <c r="AA497" s="135">
        <f>AA495*Formulas!$C36</f>
        <v>-0.14552</v>
      </c>
      <c r="AB497" s="135">
        <f>AB495*Formulas!$C36</f>
        <v>0.21828</v>
      </c>
      <c r="AC497" s="135">
        <f>AC495*Formulas!$C36</f>
        <v>0.21828</v>
      </c>
      <c r="AD497" s="135">
        <f>AD495*Formulas!$C36</f>
        <v>0.5457</v>
      </c>
      <c r="AE497" s="135">
        <f>AE495*Formulas!$C36</f>
        <v>0.47294</v>
      </c>
      <c r="AF497" s="61">
        <f t="shared" si="194"/>
        <v>24.99306</v>
      </c>
    </row>
    <row r="498">
      <c r="A498" s="54" t="s">
        <v>386</v>
      </c>
      <c r="B498" s="135">
        <f>B193*Formulas!$C10</f>
        <v>133.76</v>
      </c>
      <c r="C498" s="135">
        <f>C193*Formulas!$C10</f>
        <v>188.48</v>
      </c>
      <c r="D498" s="135">
        <f>D193*Formulas!$C10</f>
        <v>170.24</v>
      </c>
      <c r="E498" s="135">
        <f>E193*Formulas!$C10</f>
        <v>194.56</v>
      </c>
      <c r="F498" s="135">
        <f>F193*Formulas!$C10</f>
        <v>145.92</v>
      </c>
      <c r="G498" s="135">
        <f>G193*Formulas!$C10</f>
        <v>121.6</v>
      </c>
      <c r="H498" s="135">
        <f>H193*Formulas!$C10</f>
        <v>127.68</v>
      </c>
      <c r="I498" s="135">
        <f>I193*Formulas!$C10</f>
        <v>224.96</v>
      </c>
      <c r="J498" s="135">
        <f>J193*Formulas!$C10</f>
        <v>243.2</v>
      </c>
      <c r="K498" s="135">
        <f>K193*Formulas!$C10</f>
        <v>170.24</v>
      </c>
      <c r="L498" s="135">
        <f>L193*Formulas!$C10</f>
        <v>200.64</v>
      </c>
      <c r="M498" s="135">
        <f>M193*Formulas!$C10</f>
        <v>224.96</v>
      </c>
      <c r="N498" s="135">
        <f>N193*Formulas!$C10</f>
        <v>72.96</v>
      </c>
      <c r="O498" s="135">
        <f>O193*Formulas!$C10</f>
        <v>170.24</v>
      </c>
      <c r="P498" s="135">
        <f>P193*Formulas!$C10</f>
        <v>206.72</v>
      </c>
      <c r="Q498" s="135">
        <f>Q193*Formulas!$C10</f>
        <v>285.76</v>
      </c>
      <c r="R498" s="135">
        <f>R193*Formulas!$C10</f>
        <v>212.8</v>
      </c>
      <c r="S498" s="135">
        <f>S193*Formulas!$C10</f>
        <v>401.28</v>
      </c>
      <c r="T498" s="135">
        <f>T193*Formulas!$C10</f>
        <v>340.48</v>
      </c>
      <c r="U498" s="135">
        <f>U193*Formulas!$C10</f>
        <v>145.92</v>
      </c>
      <c r="V498" s="135">
        <f>V193*Formulas!$C10</f>
        <v>72.96</v>
      </c>
      <c r="W498" s="135">
        <f>W193*Formulas!$C10</f>
        <v>36.48</v>
      </c>
      <c r="X498" s="135">
        <f>X193*Formulas!$C10</f>
        <v>127.68</v>
      </c>
      <c r="Y498" s="135">
        <f>Y193*Formulas!$C10</f>
        <v>97.28</v>
      </c>
      <c r="Z498" s="135">
        <f>Z193*Formulas!$C10</f>
        <v>170.24</v>
      </c>
      <c r="AA498" s="135">
        <f>AA193*Formulas!$C10</f>
        <v>72.96</v>
      </c>
      <c r="AB498" s="135">
        <f>AB193*Formulas!$C10</f>
        <v>30.4</v>
      </c>
      <c r="AC498" s="135">
        <f>AC193*Formulas!$C10</f>
        <v>42.56</v>
      </c>
      <c r="AD498" s="135">
        <f>AD193*Formulas!$C10</f>
        <v>91.2</v>
      </c>
      <c r="AE498" s="135">
        <f>AE193*Formulas!$C10</f>
        <v>109.44</v>
      </c>
      <c r="AF498" s="61">
        <f t="shared" si="194"/>
        <v>4833.6</v>
      </c>
    </row>
    <row r="499">
      <c r="A499" s="33" t="s">
        <v>387</v>
      </c>
      <c r="B499" s="135">
        <f>B498*Formulas!$C37</f>
        <v>10.032</v>
      </c>
      <c r="C499" s="135">
        <f>C498*Formulas!$C37</f>
        <v>14.136</v>
      </c>
      <c r="D499" s="135">
        <f>D498*Formulas!$C37</f>
        <v>12.768</v>
      </c>
      <c r="E499" s="135">
        <f>E498*Formulas!$C37</f>
        <v>14.592</v>
      </c>
      <c r="F499" s="135">
        <f>F498*Formulas!$C37</f>
        <v>10.944</v>
      </c>
      <c r="G499" s="135">
        <f>G498*Formulas!$C37</f>
        <v>9.12</v>
      </c>
      <c r="H499" s="135">
        <f>H498*Formulas!$C37</f>
        <v>9.576</v>
      </c>
      <c r="I499" s="135">
        <f>I498*Formulas!$C37</f>
        <v>16.872</v>
      </c>
      <c r="J499" s="135">
        <f>J498*Formulas!$C37</f>
        <v>18.24</v>
      </c>
      <c r="K499" s="135">
        <f>K498*Formulas!$C37</f>
        <v>12.768</v>
      </c>
      <c r="L499" s="135">
        <f>L498*Formulas!$C37</f>
        <v>15.048</v>
      </c>
      <c r="M499" s="135">
        <f>M498*Formulas!$C37</f>
        <v>16.872</v>
      </c>
      <c r="N499" s="135">
        <f>N498*Formulas!$C37</f>
        <v>5.472</v>
      </c>
      <c r="O499" s="135">
        <f>O498*Formulas!$C37</f>
        <v>12.768</v>
      </c>
      <c r="P499" s="135">
        <f>P498*Formulas!$C37</f>
        <v>15.504</v>
      </c>
      <c r="Q499" s="135">
        <f>Q498*Formulas!$C37</f>
        <v>21.432</v>
      </c>
      <c r="R499" s="135">
        <f>R498*Formulas!$C37</f>
        <v>15.96</v>
      </c>
      <c r="S499" s="135">
        <f>S498*Formulas!$C37</f>
        <v>30.096</v>
      </c>
      <c r="T499" s="135">
        <f>T498*Formulas!$C37</f>
        <v>25.536</v>
      </c>
      <c r="U499" s="135">
        <f>U498*Formulas!$C37</f>
        <v>10.944</v>
      </c>
      <c r="V499" s="135">
        <f>V498*Formulas!$C37</f>
        <v>5.472</v>
      </c>
      <c r="W499" s="135">
        <f>W498*Formulas!$C37</f>
        <v>2.736</v>
      </c>
      <c r="X499" s="135">
        <f>X498*Formulas!$C37</f>
        <v>9.576</v>
      </c>
      <c r="Y499" s="135">
        <f>Y498*Formulas!$C37</f>
        <v>7.296</v>
      </c>
      <c r="Z499" s="135">
        <f>Z498*Formulas!$C37</f>
        <v>12.768</v>
      </c>
      <c r="AA499" s="135">
        <f>AA498*Formulas!$C37</f>
        <v>5.472</v>
      </c>
      <c r="AB499" s="135">
        <f>AB498*Formulas!$C37</f>
        <v>2.28</v>
      </c>
      <c r="AC499" s="135">
        <f>AC498*Formulas!$C37</f>
        <v>3.192</v>
      </c>
      <c r="AD499" s="135">
        <f>AD498*Formulas!$C37</f>
        <v>6.84</v>
      </c>
      <c r="AE499" s="135">
        <f>AE498*Formulas!$C37</f>
        <v>8.208</v>
      </c>
      <c r="AF499" s="61">
        <f t="shared" si="194"/>
        <v>362.52</v>
      </c>
    </row>
    <row r="500">
      <c r="A500" s="33" t="s">
        <v>388</v>
      </c>
      <c r="B500" s="135">
        <f>B498*Formulas!$C36</f>
        <v>4.54784</v>
      </c>
      <c r="C500" s="135">
        <f>C498*Formulas!$C36</f>
        <v>6.40832</v>
      </c>
      <c r="D500" s="135">
        <f>D498*Formulas!$C36</f>
        <v>5.78816</v>
      </c>
      <c r="E500" s="135">
        <f>E498*Formulas!$C36</f>
        <v>6.61504</v>
      </c>
      <c r="F500" s="135">
        <f>F498*Formulas!$C36</f>
        <v>4.96128</v>
      </c>
      <c r="G500" s="135">
        <f>G498*Formulas!$C36</f>
        <v>4.1344</v>
      </c>
      <c r="H500" s="135">
        <f>H498*Formulas!$C36</f>
        <v>4.34112</v>
      </c>
      <c r="I500" s="135">
        <f>I498*Formulas!$C36</f>
        <v>7.64864</v>
      </c>
      <c r="J500" s="135">
        <f>J498*Formulas!$C36</f>
        <v>8.2688</v>
      </c>
      <c r="K500" s="135">
        <f>K498*Formulas!$C36</f>
        <v>5.78816</v>
      </c>
      <c r="L500" s="135">
        <f>L498*Formulas!$C36</f>
        <v>6.82176</v>
      </c>
      <c r="M500" s="135">
        <f>M498*Formulas!$C36</f>
        <v>7.64864</v>
      </c>
      <c r="N500" s="135">
        <f>N498*Formulas!$C36</f>
        <v>2.48064</v>
      </c>
      <c r="O500" s="135">
        <f>O498*Formulas!$C36</f>
        <v>5.78816</v>
      </c>
      <c r="P500" s="135">
        <f>P498*Formulas!$C36</f>
        <v>7.02848</v>
      </c>
      <c r="Q500" s="135">
        <f>Q498*Formulas!$C36</f>
        <v>9.71584</v>
      </c>
      <c r="R500" s="135">
        <f>R498*Formulas!$C36</f>
        <v>7.2352</v>
      </c>
      <c r="S500" s="135">
        <f>S498*Formulas!$C36</f>
        <v>13.64352</v>
      </c>
      <c r="T500" s="135">
        <f>T498*Formulas!$C36</f>
        <v>11.57632</v>
      </c>
      <c r="U500" s="135">
        <f>U498*Formulas!$C36</f>
        <v>4.96128</v>
      </c>
      <c r="V500" s="135">
        <f>V498*Formulas!$C36</f>
        <v>2.48064</v>
      </c>
      <c r="W500" s="135">
        <f>W498*Formulas!$C36</f>
        <v>1.24032</v>
      </c>
      <c r="X500" s="135">
        <f>X498*Formulas!$C36</f>
        <v>4.34112</v>
      </c>
      <c r="Y500" s="135">
        <f>Y498*Formulas!$C36</f>
        <v>3.30752</v>
      </c>
      <c r="Z500" s="135">
        <f>Z498*Formulas!$C36</f>
        <v>5.78816</v>
      </c>
      <c r="AA500" s="135">
        <f>AA498*Formulas!$C36</f>
        <v>2.48064</v>
      </c>
      <c r="AB500" s="135">
        <f>AB498*Formulas!$C36</f>
        <v>1.0336</v>
      </c>
      <c r="AC500" s="135">
        <f>AC498*Formulas!$C36</f>
        <v>1.44704</v>
      </c>
      <c r="AD500" s="135">
        <f>AD498*Formulas!$C36</f>
        <v>3.1008</v>
      </c>
      <c r="AE500" s="135">
        <f>AE498*Formulas!$C36</f>
        <v>3.72096</v>
      </c>
      <c r="AF500" s="61">
        <f t="shared" si="194"/>
        <v>164.3424</v>
      </c>
    </row>
    <row r="501">
      <c r="A501" s="54" t="s">
        <v>389</v>
      </c>
      <c r="B501" s="135">
        <f>B194*Formulas!$C6</f>
        <v>149.7</v>
      </c>
      <c r="C501" s="135">
        <f>C194*Formulas!$C6</f>
        <v>179.64</v>
      </c>
      <c r="D501" s="135">
        <f>D194*Formulas!$C6</f>
        <v>229.54</v>
      </c>
      <c r="E501" s="135">
        <f>E194*Formulas!$C6</f>
        <v>149.7</v>
      </c>
      <c r="F501" s="135">
        <f>F194*Formulas!$C6</f>
        <v>489.02</v>
      </c>
      <c r="G501" s="135">
        <f>G194*Formulas!$C6</f>
        <v>49.9</v>
      </c>
      <c r="H501" s="135">
        <f>H194*Formulas!$C6</f>
        <v>169.66</v>
      </c>
      <c r="I501" s="135">
        <f>I194*Formulas!$C6</f>
        <v>209.58</v>
      </c>
      <c r="J501" s="135">
        <f>J194*Formulas!$C6</f>
        <v>169.66</v>
      </c>
      <c r="K501" s="135">
        <f>K194*Formulas!$C6</f>
        <v>219.56</v>
      </c>
      <c r="L501" s="135">
        <f>L194*Formulas!$C6</f>
        <v>149.7</v>
      </c>
      <c r="M501" s="135">
        <f>M194*Formulas!$C6</f>
        <v>329.34</v>
      </c>
      <c r="N501" s="135">
        <f>N194*Formulas!$C6</f>
        <v>179.64</v>
      </c>
      <c r="O501" s="135">
        <f>O194*Formulas!$C6</f>
        <v>249.5</v>
      </c>
      <c r="P501" s="135">
        <f>P194*Formulas!$C6</f>
        <v>119.76</v>
      </c>
      <c r="Q501" s="135">
        <f>Q194*Formulas!$C6</f>
        <v>329.34</v>
      </c>
      <c r="R501" s="135">
        <f>R194*Formulas!$C6</f>
        <v>179.64</v>
      </c>
      <c r="S501" s="135">
        <f>S194*Formulas!$C6</f>
        <v>339.32</v>
      </c>
      <c r="T501" s="135">
        <f>T194*Formulas!$C6</f>
        <v>269.46</v>
      </c>
      <c r="U501" s="135">
        <f>U194*Formulas!$C6</f>
        <v>119.76</v>
      </c>
      <c r="V501" s="135">
        <f>V194*Formulas!$C6</f>
        <v>69.86</v>
      </c>
      <c r="W501" s="135">
        <f>W194*Formulas!$C6</f>
        <v>59.88</v>
      </c>
      <c r="X501" s="135">
        <f>X194*Formulas!$C6</f>
        <v>139.72</v>
      </c>
      <c r="Y501" s="135">
        <f>Y194*Formulas!$C6</f>
        <v>69.86</v>
      </c>
      <c r="Z501" s="135">
        <f>Z194*Formulas!$C6</f>
        <v>129.74</v>
      </c>
      <c r="AA501" s="135">
        <f>AA194*Formulas!$C6</f>
        <v>99.8</v>
      </c>
      <c r="AB501" s="135">
        <f>AB194*Formulas!$C6</f>
        <v>29.94</v>
      </c>
      <c r="AC501" s="135">
        <f>AC194*Formulas!$C6</f>
        <v>99.8</v>
      </c>
      <c r="AD501" s="135">
        <f>AD194*Formulas!$C6</f>
        <v>149.7</v>
      </c>
      <c r="AE501" s="135">
        <f>AE194*Formulas!$C6</f>
        <v>129.74</v>
      </c>
      <c r="AF501" s="61">
        <f t="shared" si="194"/>
        <v>5259.46</v>
      </c>
    </row>
    <row r="502">
      <c r="A502" s="33" t="s">
        <v>390</v>
      </c>
      <c r="B502" s="135">
        <f>B501*Formulas!$C40</f>
        <v>37.425</v>
      </c>
      <c r="C502" s="135">
        <f>C501*Formulas!$C40</f>
        <v>44.91</v>
      </c>
      <c r="D502" s="135">
        <f>D501*Formulas!$C40</f>
        <v>57.385</v>
      </c>
      <c r="E502" s="135">
        <f>E501*Formulas!$C40</f>
        <v>37.425</v>
      </c>
      <c r="F502" s="135">
        <f>F501*Formulas!$C40</f>
        <v>122.255</v>
      </c>
      <c r="G502" s="135">
        <f>G501*Formulas!$C40</f>
        <v>12.475</v>
      </c>
      <c r="H502" s="135">
        <f>H501*Formulas!$C40</f>
        <v>42.415</v>
      </c>
      <c r="I502" s="135">
        <f>I501*Formulas!$C40</f>
        <v>52.395</v>
      </c>
      <c r="J502" s="135">
        <f>J501*Formulas!$C40</f>
        <v>42.415</v>
      </c>
      <c r="K502" s="135">
        <f>K501*Formulas!$C40</f>
        <v>54.89</v>
      </c>
      <c r="L502" s="135">
        <f>L501*Formulas!$C40</f>
        <v>37.425</v>
      </c>
      <c r="M502" s="135">
        <f>M501*Formulas!$C40</f>
        <v>82.335</v>
      </c>
      <c r="N502" s="135">
        <f>N501*Formulas!$C40</f>
        <v>44.91</v>
      </c>
      <c r="O502" s="135">
        <f>O501*Formulas!$C40</f>
        <v>62.375</v>
      </c>
      <c r="P502" s="135">
        <f>P501*Formulas!$C40</f>
        <v>29.94</v>
      </c>
      <c r="Q502" s="135">
        <f>Q501*Formulas!$C40</f>
        <v>82.335</v>
      </c>
      <c r="R502" s="135">
        <f>R501*Formulas!$C40</f>
        <v>44.91</v>
      </c>
      <c r="S502" s="135">
        <f>S501*Formulas!$C40</f>
        <v>84.83</v>
      </c>
      <c r="T502" s="135">
        <f>T501*Formulas!$C40</f>
        <v>67.365</v>
      </c>
      <c r="U502" s="135">
        <f>U501*Formulas!$C40</f>
        <v>29.94</v>
      </c>
      <c r="V502" s="135">
        <f>V501*Formulas!$C40</f>
        <v>17.465</v>
      </c>
      <c r="W502" s="135">
        <f>W501*Formulas!$C40</f>
        <v>14.97</v>
      </c>
      <c r="X502" s="135">
        <f>X501*Formulas!$C40</f>
        <v>34.93</v>
      </c>
      <c r="Y502" s="135">
        <f>Y501*Formulas!$C40</f>
        <v>17.465</v>
      </c>
      <c r="Z502" s="135">
        <f>Z501*Formulas!$C40</f>
        <v>32.435</v>
      </c>
      <c r="AA502" s="135">
        <f>AA501*Formulas!$C40</f>
        <v>24.95</v>
      </c>
      <c r="AB502" s="135">
        <f>AB501*Formulas!$C40</f>
        <v>7.485</v>
      </c>
      <c r="AC502" s="135">
        <f>AC501*Formulas!$C40</f>
        <v>24.95</v>
      </c>
      <c r="AD502" s="135">
        <f>AD501*Formulas!$C40</f>
        <v>37.425</v>
      </c>
      <c r="AE502" s="135">
        <f>AE501*Formulas!$C40</f>
        <v>32.435</v>
      </c>
      <c r="AF502" s="61">
        <f t="shared" si="194"/>
        <v>1314.865</v>
      </c>
    </row>
    <row r="503">
      <c r="A503" s="33" t="s">
        <v>391</v>
      </c>
      <c r="B503" s="135">
        <f>B501*Formulas!$C41</f>
        <v>3.7425</v>
      </c>
      <c r="C503" s="135">
        <f>C501*Formulas!$C41</f>
        <v>4.491</v>
      </c>
      <c r="D503" s="135">
        <f>D501*Formulas!$C41</f>
        <v>5.7385</v>
      </c>
      <c r="E503" s="135">
        <f>E501*Formulas!$C41</f>
        <v>3.7425</v>
      </c>
      <c r="F503" s="135">
        <f>F501*Formulas!$C41</f>
        <v>12.2255</v>
      </c>
      <c r="G503" s="135">
        <f>G501*Formulas!$C41</f>
        <v>1.2475</v>
      </c>
      <c r="H503" s="135">
        <f>H501*Formulas!$C41</f>
        <v>4.2415</v>
      </c>
      <c r="I503" s="135">
        <f>I501*Formulas!$C41</f>
        <v>5.2395</v>
      </c>
      <c r="J503" s="135">
        <f>J501*Formulas!$C41</f>
        <v>4.2415</v>
      </c>
      <c r="K503" s="135">
        <f>K501*Formulas!$C41</f>
        <v>5.489</v>
      </c>
      <c r="L503" s="135">
        <f>L501*Formulas!$C41</f>
        <v>3.7425</v>
      </c>
      <c r="M503" s="135">
        <f>M501*Formulas!$C41</f>
        <v>8.2335</v>
      </c>
      <c r="N503" s="135">
        <f>N501*Formulas!$C41</f>
        <v>4.491</v>
      </c>
      <c r="O503" s="135">
        <f>O501*Formulas!$C41</f>
        <v>6.2375</v>
      </c>
      <c r="P503" s="135">
        <f>P501*Formulas!$C41</f>
        <v>2.994</v>
      </c>
      <c r="Q503" s="135">
        <f>Q501*Formulas!$C41</f>
        <v>8.2335</v>
      </c>
      <c r="R503" s="135">
        <f>R501*Formulas!$C41</f>
        <v>4.491</v>
      </c>
      <c r="S503" s="135">
        <f>S501*Formulas!$C41</f>
        <v>8.483</v>
      </c>
      <c r="T503" s="135">
        <f>T501*Formulas!$C41</f>
        <v>6.7365</v>
      </c>
      <c r="U503" s="135">
        <f>U501*Formulas!$C41</f>
        <v>2.994</v>
      </c>
      <c r="V503" s="135">
        <f>V501*Formulas!$C41</f>
        <v>1.7465</v>
      </c>
      <c r="W503" s="135">
        <f>W501*Formulas!$C41</f>
        <v>1.497</v>
      </c>
      <c r="X503" s="135">
        <f>X501*Formulas!$C41</f>
        <v>3.493</v>
      </c>
      <c r="Y503" s="135">
        <f>Y501*Formulas!$C41</f>
        <v>1.7465</v>
      </c>
      <c r="Z503" s="135">
        <f>Z501*Formulas!$C41</f>
        <v>3.2435</v>
      </c>
      <c r="AA503" s="135">
        <f>AA501*Formulas!$C41</f>
        <v>2.495</v>
      </c>
      <c r="AB503" s="135">
        <f>AB501*Formulas!$C41</f>
        <v>0.7485</v>
      </c>
      <c r="AC503" s="135">
        <f>AC501*Formulas!$C41</f>
        <v>2.495</v>
      </c>
      <c r="AD503" s="135">
        <f>AD501*Formulas!$C41</f>
        <v>3.7425</v>
      </c>
      <c r="AE503" s="135">
        <f>AE501*Formulas!$C41</f>
        <v>3.2435</v>
      </c>
      <c r="AF503" s="61">
        <f t="shared" si="194"/>
        <v>131.4865</v>
      </c>
    </row>
    <row r="504">
      <c r="A504" s="33" t="s">
        <v>114</v>
      </c>
      <c r="B504" s="135">
        <f t="shared" ref="B504:AE504" si="195">(B132*0.2059)*0.0349+(B132*0.1138)*0.0499+(B132*0.0277)*0.05+(B132*0.5015)*0.0215+(B132*0.1511)*0.0315</f>
        <v>1102.395522</v>
      </c>
      <c r="C504" s="135">
        <f t="shared" si="195"/>
        <v>1372.271021</v>
      </c>
      <c r="D504" s="135">
        <f t="shared" si="195"/>
        <v>1371.35702</v>
      </c>
      <c r="E504" s="135">
        <f t="shared" si="195"/>
        <v>1195.132966</v>
      </c>
      <c r="F504" s="135">
        <f t="shared" si="195"/>
        <v>1229.668979</v>
      </c>
      <c r="G504" s="135">
        <f t="shared" si="195"/>
        <v>1219.972763</v>
      </c>
      <c r="H504" s="135">
        <f t="shared" si="195"/>
        <v>1105.349342</v>
      </c>
      <c r="I504" s="135">
        <f t="shared" si="195"/>
        <v>1594.670303</v>
      </c>
      <c r="J504" s="135">
        <f t="shared" si="195"/>
        <v>1454.306788</v>
      </c>
      <c r="K504" s="135">
        <f t="shared" si="195"/>
        <v>1259.062396</v>
      </c>
      <c r="L504" s="135">
        <f t="shared" si="195"/>
        <v>1297.806746</v>
      </c>
      <c r="M504" s="135">
        <f t="shared" si="195"/>
        <v>1514.737215</v>
      </c>
      <c r="N504" s="135">
        <f t="shared" si="195"/>
        <v>1756.193776</v>
      </c>
      <c r="O504" s="135">
        <f t="shared" si="195"/>
        <v>1857.051172</v>
      </c>
      <c r="P504" s="135">
        <f t="shared" si="195"/>
        <v>1938.719313</v>
      </c>
      <c r="Q504" s="135">
        <f t="shared" si="195"/>
        <v>1684.429498</v>
      </c>
      <c r="R504" s="135">
        <f t="shared" si="195"/>
        <v>2060.788506</v>
      </c>
      <c r="S504" s="135">
        <f t="shared" si="195"/>
        <v>2812.697983</v>
      </c>
      <c r="T504" s="135">
        <f t="shared" si="195"/>
        <v>1889.491954</v>
      </c>
      <c r="U504" s="135">
        <f t="shared" si="195"/>
        <v>800.1021793</v>
      </c>
      <c r="V504" s="135">
        <f t="shared" si="195"/>
        <v>426.2301598</v>
      </c>
      <c r="W504" s="135">
        <f t="shared" si="195"/>
        <v>439.4641088</v>
      </c>
      <c r="X504" s="135">
        <f t="shared" si="195"/>
        <v>529.2608413</v>
      </c>
      <c r="Y504" s="135">
        <f t="shared" si="195"/>
        <v>696.8340601</v>
      </c>
      <c r="Z504" s="135">
        <f t="shared" si="195"/>
        <v>1316.943569</v>
      </c>
      <c r="AA504" s="135">
        <f t="shared" si="195"/>
        <v>906.5085278</v>
      </c>
      <c r="AB504" s="135">
        <f t="shared" si="195"/>
        <v>503.0330622</v>
      </c>
      <c r="AC504" s="135">
        <f t="shared" si="195"/>
        <v>439.686055</v>
      </c>
      <c r="AD504" s="135">
        <f t="shared" si="195"/>
        <v>495.0575985</v>
      </c>
      <c r="AE504" s="135">
        <f t="shared" si="195"/>
        <v>684.9645586</v>
      </c>
      <c r="AF504" s="61">
        <f t="shared" si="194"/>
        <v>36954.18798</v>
      </c>
    </row>
    <row r="505">
      <c r="A505" s="33" t="s">
        <v>116</v>
      </c>
      <c r="B505" s="135">
        <f t="shared" ref="B505:AE505" si="196">(B125*0.2059)*0.49+(B125*0.1138)*0.49+(B125*0.0277)*0.3+(B125*0.5015)*0.3+(B125*0.1511)*0.3</f>
        <v>51.586249</v>
      </c>
      <c r="C505" s="135">
        <f t="shared" si="196"/>
        <v>54.832936</v>
      </c>
      <c r="D505" s="135">
        <f t="shared" si="196"/>
        <v>66.015969</v>
      </c>
      <c r="E505" s="135">
        <f t="shared" si="196"/>
        <v>56.275908</v>
      </c>
      <c r="F505" s="135">
        <f t="shared" si="196"/>
        <v>55.193679</v>
      </c>
      <c r="G505" s="135">
        <f t="shared" si="196"/>
        <v>59.522595</v>
      </c>
      <c r="H505" s="135">
        <f t="shared" si="196"/>
        <v>54.11145</v>
      </c>
      <c r="I505" s="135">
        <f t="shared" si="196"/>
        <v>73.952315</v>
      </c>
      <c r="J505" s="135">
        <f t="shared" si="196"/>
        <v>68.180427</v>
      </c>
      <c r="K505" s="135">
        <f t="shared" si="196"/>
        <v>59.883338</v>
      </c>
      <c r="L505" s="135">
        <f t="shared" si="196"/>
        <v>60.244081</v>
      </c>
      <c r="M505" s="135">
        <f t="shared" si="196"/>
        <v>81.888661</v>
      </c>
      <c r="N505" s="135">
        <f t="shared" si="196"/>
        <v>83.331633</v>
      </c>
      <c r="O505" s="135">
        <f t="shared" si="196"/>
        <v>85.856834</v>
      </c>
      <c r="P505" s="135">
        <f t="shared" si="196"/>
        <v>93.071694</v>
      </c>
      <c r="Q505" s="135">
        <f t="shared" si="196"/>
        <v>80.084946</v>
      </c>
      <c r="R505" s="135">
        <f t="shared" si="196"/>
        <v>94.875409</v>
      </c>
      <c r="S505" s="135">
        <f t="shared" si="196"/>
        <v>136.360854</v>
      </c>
      <c r="T505" s="135">
        <f t="shared" si="196"/>
        <v>88.382035</v>
      </c>
      <c r="U505" s="135">
        <f t="shared" si="196"/>
        <v>39.68173</v>
      </c>
      <c r="V505" s="135">
        <f t="shared" si="196"/>
        <v>23.809038</v>
      </c>
      <c r="W505" s="135">
        <f t="shared" si="196"/>
        <v>20.562351</v>
      </c>
      <c r="X505" s="135">
        <f t="shared" si="196"/>
        <v>32.106127</v>
      </c>
      <c r="Y505" s="135">
        <f t="shared" si="196"/>
        <v>32.46687</v>
      </c>
      <c r="Z505" s="135">
        <f t="shared" si="196"/>
        <v>63.130025</v>
      </c>
      <c r="AA505" s="135">
        <f t="shared" si="196"/>
        <v>39.68173</v>
      </c>
      <c r="AB505" s="135">
        <f t="shared" si="196"/>
        <v>40.042473</v>
      </c>
      <c r="AC505" s="135">
        <f t="shared" si="196"/>
        <v>28.498697</v>
      </c>
      <c r="AD505" s="135">
        <f t="shared" si="196"/>
        <v>34.992071</v>
      </c>
      <c r="AE505" s="135">
        <f t="shared" si="196"/>
        <v>38.599501</v>
      </c>
      <c r="AF505" s="61">
        <f t="shared" si="194"/>
        <v>1797.221626</v>
      </c>
    </row>
    <row r="506">
      <c r="A506" s="33" t="s">
        <v>392</v>
      </c>
      <c r="B506" s="317">
        <f>(B485+B487+B489+B492+B495+B498+B501)*Formulas!$C38</f>
        <v>11.8146125</v>
      </c>
      <c r="C506" s="317">
        <f>(C485+C487+C489+C492+C495+C498+C501)*Formulas!$C38</f>
        <v>13.146825</v>
      </c>
      <c r="D506" s="317">
        <f>(D485+D487+D489+D492+D495+D498+D501)*Formulas!$C38</f>
        <v>14.5942</v>
      </c>
      <c r="E506" s="317">
        <f>(E485+E487+E489+E492+E495+E498+E501)*Formulas!$C38</f>
        <v>13.3766375</v>
      </c>
      <c r="F506" s="317">
        <f>(F485+F487+F489+F492+F495+F498+F501)*Formulas!$C38</f>
        <v>13.0408875</v>
      </c>
      <c r="G506" s="317">
        <f>(G485+G487+G489+G492+G495+G498+G501)*Formulas!$C38</f>
        <v>12.77775</v>
      </c>
      <c r="H506" s="317">
        <f>(H485+H487+H489+H492+H495+H498+H501)*Formulas!$C38</f>
        <v>7.138825</v>
      </c>
      <c r="I506" s="317">
        <f>(I485+I487+I489+I492+I495+I498+I501)*Formulas!$C38</f>
        <v>15.124275</v>
      </c>
      <c r="J506" s="317">
        <f>(J485+J487+J489+J492+J495+J498+J501)*Formulas!$C38</f>
        <v>15.0323625</v>
      </c>
      <c r="K506" s="317">
        <f>(K485+K487+K489+K492+K495+K498+K501)*Formulas!$C38</f>
        <v>13.89115</v>
      </c>
      <c r="L506" s="317">
        <f>(L485+L487+L489+L492+L495+L498+L501)*Formulas!$C38</f>
        <v>14.3836375</v>
      </c>
      <c r="M506" s="317">
        <f>(M485+M487+M489+M492+M495+M498+M501)*Formulas!$C38</f>
        <v>17.09315</v>
      </c>
      <c r="N506" s="317">
        <f>(N485+N487+N489+N492+N495+N498+N501)*Formulas!$C38</f>
        <v>14.120925</v>
      </c>
      <c r="O506" s="317">
        <f>(O485+O487+O489+O492+O495+O498+O501)*Formulas!$C38</f>
        <v>20.03755</v>
      </c>
      <c r="P506" s="317">
        <f>(P485+P487+P489+P492+P495+P498+P501)*Formulas!$C38</f>
        <v>22.5781375</v>
      </c>
      <c r="Q506" s="317">
        <f>(Q485+Q487+Q489+Q492+Q495+Q498+Q501)*Formulas!$C38</f>
        <v>17.542</v>
      </c>
      <c r="R506" s="317">
        <f>(R485+R487+R489+R492+R495+R498+R501)*Formulas!$C38</f>
        <v>24.9982625</v>
      </c>
      <c r="S506" s="317">
        <f>(S485+S487+S489+S492+S495+S498+S501)*Formulas!$C38</f>
        <v>33.7262875</v>
      </c>
      <c r="T506" s="317">
        <f>(T485+T487+T489+T492+T495+T498+T501)*Formulas!$C38</f>
        <v>20.6993875</v>
      </c>
      <c r="U506" s="317">
        <f>(U485+U487+U489+U492+U495+U498+U501)*Formulas!$C38</f>
        <v>8.326075</v>
      </c>
      <c r="V506" s="317">
        <f>(V485+V487+V489+V492+V495+V498+V501)*Formulas!$C38</f>
        <v>2.549725</v>
      </c>
      <c r="W506" s="317">
        <f>(W485+W487+W489+W492+W495+W498+W501)*Formulas!$C38</f>
        <v>3.124575</v>
      </c>
      <c r="X506" s="317">
        <f>(X485+X487+X489+X492+X495+X498+X501)*Formulas!$C38</f>
        <v>3.393175</v>
      </c>
      <c r="Y506" s="317">
        <f>(Y485+Y487+Y489+Y492+Y495+Y498+Y501)*Formulas!$C38</f>
        <v>7.9019875</v>
      </c>
      <c r="Z506" s="317">
        <f>(Z485+Z487+Z489+Z492+Z495+Z498+Z501)*Formulas!$C38</f>
        <v>13.0421375</v>
      </c>
      <c r="AA506" s="317">
        <f>(AA485+AA487+AA489+AA492+AA495+AA498+AA501)*Formulas!$C38</f>
        <v>6.873025</v>
      </c>
      <c r="AB506" s="317">
        <f>(AB485+AB487+AB489+AB492+AB495+AB498+AB501)*Formulas!$C38</f>
        <v>3.5838875</v>
      </c>
      <c r="AC506" s="317">
        <f>(AC485+AC487+AC489+AC492+AC495+AC498+AC501)*Formulas!$C38</f>
        <v>6.4591625</v>
      </c>
      <c r="AD506" s="317">
        <f>(AD485+AD487+AD489+AD492+AD495+AD498+AD501)*Formulas!$C38</f>
        <v>6.9957875</v>
      </c>
      <c r="AE506" s="317">
        <f>(AE485+AE487+AE489+AE492+AE495+AE498+AE501)*Formulas!$C38</f>
        <v>8.804075</v>
      </c>
      <c r="AF506" s="61">
        <f t="shared" si="194"/>
        <v>386.170475</v>
      </c>
    </row>
    <row r="507">
      <c r="A507" s="33" t="s">
        <v>393</v>
      </c>
      <c r="B507" s="317">
        <f t="shared" ref="B507:AE507" si="197">$AF507/31</f>
        <v>17.36774194</v>
      </c>
      <c r="C507" s="317">
        <f t="shared" si="197"/>
        <v>17.36774194</v>
      </c>
      <c r="D507" s="317">
        <f t="shared" si="197"/>
        <v>17.36774194</v>
      </c>
      <c r="E507" s="317">
        <f t="shared" si="197"/>
        <v>17.36774194</v>
      </c>
      <c r="F507" s="317">
        <f t="shared" si="197"/>
        <v>17.36774194</v>
      </c>
      <c r="G507" s="317">
        <f t="shared" si="197"/>
        <v>17.36774194</v>
      </c>
      <c r="H507" s="317">
        <f t="shared" si="197"/>
        <v>17.36774194</v>
      </c>
      <c r="I507" s="317">
        <f t="shared" si="197"/>
        <v>17.36774194</v>
      </c>
      <c r="J507" s="317">
        <f t="shared" si="197"/>
        <v>17.36774194</v>
      </c>
      <c r="K507" s="317">
        <f t="shared" si="197"/>
        <v>17.36774194</v>
      </c>
      <c r="L507" s="317">
        <f t="shared" si="197"/>
        <v>17.36774194</v>
      </c>
      <c r="M507" s="317">
        <f t="shared" si="197"/>
        <v>17.36774194</v>
      </c>
      <c r="N507" s="317">
        <f t="shared" si="197"/>
        <v>17.36774194</v>
      </c>
      <c r="O507" s="317">
        <f t="shared" si="197"/>
        <v>17.36774194</v>
      </c>
      <c r="P507" s="317">
        <f t="shared" si="197"/>
        <v>17.36774194</v>
      </c>
      <c r="Q507" s="317">
        <f t="shared" si="197"/>
        <v>17.36774194</v>
      </c>
      <c r="R507" s="317">
        <f t="shared" si="197"/>
        <v>17.36774194</v>
      </c>
      <c r="S507" s="317">
        <f t="shared" si="197"/>
        <v>17.36774194</v>
      </c>
      <c r="T507" s="317">
        <f t="shared" si="197"/>
        <v>17.36774194</v>
      </c>
      <c r="U507" s="317">
        <f t="shared" si="197"/>
        <v>17.36774194</v>
      </c>
      <c r="V507" s="317">
        <f t="shared" si="197"/>
        <v>17.36774194</v>
      </c>
      <c r="W507" s="317">
        <f t="shared" si="197"/>
        <v>17.36774194</v>
      </c>
      <c r="X507" s="317">
        <f t="shared" si="197"/>
        <v>17.36774194</v>
      </c>
      <c r="Y507" s="317">
        <f t="shared" si="197"/>
        <v>17.36774194</v>
      </c>
      <c r="Z507" s="317">
        <f t="shared" si="197"/>
        <v>17.36774194</v>
      </c>
      <c r="AA507" s="317">
        <f t="shared" si="197"/>
        <v>17.36774194</v>
      </c>
      <c r="AB507" s="317">
        <f t="shared" si="197"/>
        <v>17.36774194</v>
      </c>
      <c r="AC507" s="317">
        <f t="shared" si="197"/>
        <v>17.36774194</v>
      </c>
      <c r="AD507" s="317">
        <f t="shared" si="197"/>
        <v>17.36774194</v>
      </c>
      <c r="AE507" s="317">
        <f t="shared" si="197"/>
        <v>17.36774194</v>
      </c>
      <c r="AF507" s="61">
        <v>538.4</v>
      </c>
    </row>
    <row r="508">
      <c r="A508" s="33" t="s">
        <v>394</v>
      </c>
      <c r="B508" s="135">
        <f>((B441+B442)*Formulas!$C13)+((B443+B444)*Formulas!$C14)+((B445+B446)*Formulas!$C15)</f>
        <v>2258.42</v>
      </c>
      <c r="C508" s="135">
        <f>((C441+C442)*Formulas!$C13)+((C443+C444)*Formulas!$C14)+((C445+C446)*Formulas!$C15)</f>
        <v>2577.08</v>
      </c>
      <c r="D508" s="135">
        <f>((D441+D442)*Formulas!$C13)+((D443+D444)*Formulas!$C14)+((D445+D446)*Formulas!$C15)</f>
        <v>2702.27</v>
      </c>
      <c r="E508" s="135">
        <f>((E441+E442)*Formulas!$C13)+((E443+E444)*Formulas!$C14)+((E445+E446)*Formulas!$C15)</f>
        <v>2311.71</v>
      </c>
      <c r="F508" s="135">
        <f>((F441+F442)*Formulas!$C13)+((F443+F444)*Formulas!$C14)+((F445+F446)*Formulas!$C15)</f>
        <v>2279.83</v>
      </c>
      <c r="G508" s="135">
        <f>((G441+G442)*Formulas!$C13)+((G443+G444)*Formulas!$C14)+((G445+G446)*Formulas!$C15)</f>
        <v>2415.82</v>
      </c>
      <c r="H508" s="135">
        <f>((H441+H442)*Formulas!$C13)+((H443+H444)*Formulas!$C14)+((H445+H446)*Formulas!$C15)</f>
        <v>1574.51</v>
      </c>
      <c r="I508" s="135">
        <f>((I441+I442)*Formulas!$C13)+((I443+I444)*Formulas!$C14)+((I445+I446)*Formulas!$C15)</f>
        <v>2878.1</v>
      </c>
      <c r="J508" s="135">
        <f>((J441+J442)*Formulas!$C13)+((J443+J444)*Formulas!$C14)+((J445+J446)*Formulas!$C15)</f>
        <v>2807.83</v>
      </c>
      <c r="K508" s="135">
        <f>((K441+K442)*Formulas!$C13)+((K443+K444)*Formulas!$C14)+((K445+K446)*Formulas!$C15)</f>
        <v>2376.96</v>
      </c>
      <c r="L508" s="135">
        <f>((L441+L442)*Formulas!$C13)+((L443+L444)*Formulas!$C14)+((L445+L446)*Formulas!$C15)</f>
        <v>2586.67</v>
      </c>
      <c r="M508" s="135">
        <f>((M441+M442)*Formulas!$C13)+((M443+M444)*Formulas!$C14)+((M445+M446)*Formulas!$C15)</f>
        <v>3012.05</v>
      </c>
      <c r="N508" s="135">
        <f>((N441+N442)*Formulas!$C13)+((N443+N444)*Formulas!$C14)+((N445+N446)*Formulas!$C15)</f>
        <v>3046.44</v>
      </c>
      <c r="O508" s="135">
        <f>((O441+O442)*Formulas!$C13)+((O443+O444)*Formulas!$C14)+((O445+O446)*Formulas!$C15)</f>
        <v>3698.94</v>
      </c>
      <c r="P508" s="135">
        <f>((P441+P442)*Formulas!$C13)+((P443+P444)*Formulas!$C14)+((P445+P446)*Formulas!$C15)</f>
        <v>4235.41</v>
      </c>
      <c r="Q508" s="135">
        <f>((Q441+Q442)*Formulas!$C13)+((Q443+Q444)*Formulas!$C14)+((Q445+Q446)*Formulas!$C15)</f>
        <v>3303.95</v>
      </c>
      <c r="R508" s="135">
        <f>((R441+R442)*Formulas!$C13)+((R443+R444)*Formulas!$C14)+((R445+R446)*Formulas!$C15)</f>
        <v>4531.78</v>
      </c>
      <c r="S508" s="135">
        <f>((S441+S442)*Formulas!$C13)+((S443+S444)*Formulas!$C14)+((S445+S446)*Formulas!$C15)</f>
        <v>6081.39</v>
      </c>
      <c r="T508" s="135">
        <f>((T441+T442)*Formulas!$C13)+((T443+T444)*Formulas!$C14)+((T445+T446)*Formulas!$C15)</f>
        <v>3725.84</v>
      </c>
      <c r="U508" s="135">
        <f>((U441+U442)*Formulas!$C13)+((U443+U444)*Formulas!$C14)+((U445+U446)*Formulas!$C15)</f>
        <v>1499.3</v>
      </c>
      <c r="V508" s="135">
        <f>((V441+V442)*Formulas!$C13)+((V443+V444)*Formulas!$C14)+((V445+V446)*Formulas!$C15)</f>
        <v>535.96</v>
      </c>
      <c r="W508" s="135">
        <f>((W441+W442)*Formulas!$C13)+((W443+W444)*Formulas!$C14)+((W445+W446)*Formulas!$C15)</f>
        <v>704.97</v>
      </c>
      <c r="X508" s="135">
        <f>((X441+X442)*Formulas!$C13)+((X443+X444)*Formulas!$C14)+((X445+X446)*Formulas!$C15)</f>
        <v>674.93</v>
      </c>
      <c r="Y508" s="135">
        <f>((Y441+Y442)*Formulas!$C13)+((Y443+Y444)*Formulas!$C14)+((Y445+Y446)*Formulas!$C15)</f>
        <v>1334.92</v>
      </c>
      <c r="Z508" s="135">
        <f>((Z441+Z442)*Formulas!$C13)+((Z443+Z444)*Formulas!$C14)+((Z445+Z446)*Formulas!$C15)</f>
        <v>2293.28</v>
      </c>
      <c r="AA508" s="135">
        <f>((AA441+AA442)*Formulas!$C13)+((AA443+AA444)*Formulas!$C14)+((AA445+AA446)*Formulas!$C15)</f>
        <v>1417.11</v>
      </c>
      <c r="AB508" s="135">
        <f>((AB441+AB442)*Formulas!$C13)+((AB443+AB444)*Formulas!$C14)+((AB445+AB446)*Formulas!$C15)</f>
        <v>775.55</v>
      </c>
      <c r="AC508" s="135">
        <f>((AC441+AC442)*Formulas!$C13)+((AC443+AC444)*Formulas!$C14)+((AC445+AC446)*Formulas!$C15)</f>
        <v>1063.53</v>
      </c>
      <c r="AD508" s="135">
        <f>((AD441+AD442)*Formulas!$C13)+((AD443+AD444)*Formulas!$C14)+((AD445+AD446)*Formulas!$C15)</f>
        <v>1159.13</v>
      </c>
      <c r="AE508" s="135">
        <f>((AE441+AE442)*Formulas!$C13)+((AE443+AE444)*Formulas!$C14)+((AE445+AE446)*Formulas!$C15)</f>
        <v>1490.83</v>
      </c>
      <c r="AF508" s="61">
        <f t="shared" ref="AF508:AF510" si="198">SUM(B508:AE508)</f>
        <v>71354.51</v>
      </c>
    </row>
    <row r="509">
      <c r="A509" s="33" t="s">
        <v>395</v>
      </c>
      <c r="B509" s="317">
        <f>((B441+B442)*Formulas!$C16)+((B443+B444)*Formulas!$C17)+((B445+B446)*Formulas!$C18)</f>
        <v>1443.98</v>
      </c>
      <c r="C509" s="317">
        <f>((C441+C442)*Formulas!$C16)+((C443+C444)*Formulas!$C17)+((C445+C446)*Formulas!$C18)</f>
        <v>1995.34</v>
      </c>
      <c r="D509" s="317">
        <f>((D441+D442)*Formulas!$C16)+((D443+D444)*Formulas!$C17)+((D445+D446)*Formulas!$C18)</f>
        <v>1760.55</v>
      </c>
      <c r="E509" s="317">
        <f>((E441+E442)*Formulas!$C16)+((E443+E444)*Formulas!$C17)+((E445+E446)*Formulas!$C18)</f>
        <v>1560.57</v>
      </c>
      <c r="F509" s="317">
        <f>((F441+F442)*Formulas!$C16)+((F443+F444)*Formulas!$C17)+((F445+F446)*Formulas!$C18)</f>
        <v>1552.39</v>
      </c>
      <c r="G509" s="317">
        <f>((G441+G442)*Formulas!$C16)+((G443+G444)*Formulas!$C17)+((G445+G446)*Formulas!$C18)</f>
        <v>1566.7</v>
      </c>
      <c r="H509" s="317">
        <f>((H441+H442)*Formulas!$C16)+((H443+H444)*Formulas!$C17)+((H445+H446)*Formulas!$C18)</f>
        <v>1096.97</v>
      </c>
      <c r="I509" s="317">
        <f>((I441+I442)*Formulas!$C16)+((I443+I444)*Formulas!$C17)+((I445+I446)*Formulas!$C18)</f>
        <v>1894.86</v>
      </c>
      <c r="J509" s="317">
        <f>((J441+J442)*Formulas!$C16)+((J443+J444)*Formulas!$C17)+((J445+J446)*Formulas!$C18)</f>
        <v>1825.09</v>
      </c>
      <c r="K509" s="317">
        <f>((K441+K442)*Formulas!$C16)+((K443+K444)*Formulas!$C17)+((K445+K446)*Formulas!$C18)</f>
        <v>1625.34</v>
      </c>
      <c r="L509" s="317">
        <f>((L441+L442)*Formulas!$C16)+((L443+L444)*Formulas!$C17)+((L445+L446)*Formulas!$C18)</f>
        <v>1686.01</v>
      </c>
      <c r="M509" s="317">
        <f>((M441+M442)*Formulas!$C16)+((M443+M444)*Formulas!$C17)+((M445+M446)*Formulas!$C18)</f>
        <v>2000.99</v>
      </c>
      <c r="N509" s="317">
        <f>((N441+N442)*Formulas!$C16)+((N443+N444)*Formulas!$C17)+((N445+N446)*Formulas!$C18)</f>
        <v>1797.12</v>
      </c>
      <c r="O509" s="317">
        <f>((O441+O442)*Formulas!$C16)+((O443+O444)*Formulas!$C17)+((O445+O446)*Formulas!$C18)</f>
        <v>2444.82</v>
      </c>
      <c r="P509" s="317">
        <f>((P441+P442)*Formulas!$C16)+((P443+P444)*Formulas!$C17)+((P445+P446)*Formulas!$C18)</f>
        <v>2699.11</v>
      </c>
      <c r="Q509" s="317">
        <f>((Q441+Q442)*Formulas!$C16)+((Q443+Q444)*Formulas!$C17)+((Q445+Q446)*Formulas!$C18)</f>
        <v>2089.61</v>
      </c>
      <c r="R509" s="317">
        <f>((R441+R442)*Formulas!$C16)+((R443+R444)*Formulas!$C17)+((R445+R446)*Formulas!$C18)</f>
        <v>2932.96</v>
      </c>
      <c r="S509" s="317">
        <f>((S441+S442)*Formulas!$C16)+((S443+S444)*Formulas!$C17)+((S445+S446)*Formulas!$C18)</f>
        <v>3954.93</v>
      </c>
      <c r="T509" s="317">
        <f>((T441+T442)*Formulas!$C16)+((T443+T444)*Formulas!$C17)+((T445+T446)*Formulas!$C18)</f>
        <v>2438</v>
      </c>
      <c r="U509" s="317">
        <f>((U441+U442)*Formulas!$C16)+((U443+U444)*Formulas!$C17)+((U445+U446)*Formulas!$C18)</f>
        <v>1002.2</v>
      </c>
      <c r="V509" s="317">
        <f>((V441+V442)*Formulas!$C16)+((V443+V444)*Formulas!$C17)+((V445+V446)*Formulas!$C18)</f>
        <v>384.52</v>
      </c>
      <c r="W509" s="317">
        <f>((W441+W442)*Formulas!$C16)+((W443+W444)*Formulas!$C17)+((W445+W446)*Formulas!$C18)</f>
        <v>545.65</v>
      </c>
      <c r="X509" s="317">
        <f>((X441+X442)*Formulas!$C16)+((X443+X444)*Formulas!$C17)+((X445+X446)*Formulas!$C18)</f>
        <v>495.65</v>
      </c>
      <c r="Y509" s="317">
        <f>((Y441+Y442)*Formulas!$C16)+((Y443+Y444)*Formulas!$C17)+((Y445+Y446)*Formulas!$C18)</f>
        <v>946.3</v>
      </c>
      <c r="Z509" s="317">
        <f>((Z441+Z442)*Formulas!$C16)+((Z443+Z444)*Formulas!$C17)+((Z445+Z446)*Formulas!$C18)</f>
        <v>1548.98</v>
      </c>
      <c r="AA509" s="317">
        <f>((AA441+AA442)*Formulas!$C16)+((AA443+AA444)*Formulas!$C17)+((AA445+AA446)*Formulas!$C18)</f>
        <v>974.25</v>
      </c>
      <c r="AB509" s="317">
        <f>((AB441+AB442)*Formulas!$C16)+((AB443+AB444)*Formulas!$C17)+((AB445+AB446)*Formulas!$C18)</f>
        <v>535.19</v>
      </c>
      <c r="AC509" s="317">
        <f>((AC441+AC442)*Formulas!$C16)+((AC443+AC444)*Formulas!$C17)+((AC445+AC446)*Formulas!$C18)</f>
        <v>767.45</v>
      </c>
      <c r="AD509" s="317">
        <f>((AD441+AD442)*Formulas!$C16)+((AD443+AD444)*Formulas!$C17)+((AD445+AD446)*Formulas!$C18)</f>
        <v>801.99</v>
      </c>
      <c r="AE509" s="317">
        <f>((AE441+AE442)*Formulas!$C16)+((AE443+AE444)*Formulas!$C17)+((AE445+AE446)*Formulas!$C18)</f>
        <v>1020.61</v>
      </c>
      <c r="AF509" s="61">
        <f t="shared" si="198"/>
        <v>47388.13</v>
      </c>
    </row>
    <row r="510">
      <c r="A510" s="33" t="s">
        <v>396</v>
      </c>
      <c r="B510" s="142">
        <f>(B455*Formulas!$F13)+(B462*Formulas!$F14)+(B469*Formulas!$F15)</f>
        <v>202.32</v>
      </c>
      <c r="C510" s="142">
        <f>(C455*Formulas!$F13)+(C462*Formulas!$F14)+(C469*Formulas!$F15)</f>
        <v>275.38</v>
      </c>
      <c r="D510" s="142">
        <f>(D455*Formulas!$F13)+(D462*Formulas!$F14)+(D469*Formulas!$F15)</f>
        <v>292.24</v>
      </c>
      <c r="E510" s="142">
        <f>(E455*Formulas!$F13)+(E462*Formulas!$F14)+(E469*Formulas!$F15)</f>
        <v>331.58</v>
      </c>
      <c r="F510" s="142">
        <f>(F455*Formulas!$F13)+(F462*Formulas!$F14)+(F469*Formulas!$F15)</f>
        <v>281</v>
      </c>
      <c r="G510" s="142">
        <f>(G455*Formulas!$F13)+(G462*Formulas!$F14)+(G469*Formulas!$F15)</f>
        <v>196.7</v>
      </c>
      <c r="H510" s="142">
        <f>(H455*Formulas!$F13)+(H462*Formulas!$F14)+(H469*Formulas!$F15)</f>
        <v>213.56</v>
      </c>
      <c r="I510" s="142">
        <f>(I455*Formulas!$F13)+(I462*Formulas!$F14)+(I469*Formulas!$F15)</f>
        <v>334.39</v>
      </c>
      <c r="J510" s="142">
        <f>(J455*Formulas!$F13)+(J462*Formulas!$F14)+(J469*Formulas!$F15)</f>
        <v>393.4</v>
      </c>
      <c r="K510" s="142">
        <f>(K455*Formulas!$F13)+(K462*Formulas!$F14)+(K469*Formulas!$F15)</f>
        <v>334.39</v>
      </c>
      <c r="L510" s="142">
        <f>(L455*Formulas!$F13)+(L462*Formulas!$F14)+(L469*Formulas!$F15)</f>
        <v>342.82</v>
      </c>
      <c r="M510" s="142">
        <f>(M455*Formulas!$F13)+(M462*Formulas!$F14)+(M469*Formulas!$F15)</f>
        <v>429.93</v>
      </c>
      <c r="N510" s="142">
        <f>(N455*Formulas!$F13)+(N462*Formulas!$F14)+(N469*Formulas!$F15)</f>
        <v>233.23</v>
      </c>
      <c r="O510" s="142">
        <f>(O455*Formulas!$F13)+(O462*Formulas!$F14)+(O469*Formulas!$F15)</f>
        <v>396.21</v>
      </c>
      <c r="P510" s="142">
        <f>(P455*Formulas!$F13)+(P462*Formulas!$F14)+(P469*Formulas!$F15)</f>
        <v>424.31</v>
      </c>
      <c r="Q510" s="142">
        <f>(Q455*Formulas!$F13)+(Q462*Formulas!$F14)+(Q469*Formulas!$F15)</f>
        <v>528.28</v>
      </c>
      <c r="R510" s="142">
        <f>(R455*Formulas!$F13)+(R462*Formulas!$F14)+(R469*Formulas!$F15)</f>
        <v>441.17</v>
      </c>
      <c r="S510" s="142">
        <f>(S455*Formulas!$F13)+(S462*Formulas!$F14)+(S469*Formulas!$F15)</f>
        <v>665.97</v>
      </c>
      <c r="T510" s="142">
        <f>(T455*Formulas!$F13)+(T462*Formulas!$F14)+(T469*Formulas!$F15)</f>
        <v>522.66</v>
      </c>
      <c r="U510" s="142">
        <f>(U455*Formulas!$F13)+(U462*Formulas!$F14)+(U469*Formulas!$F15)</f>
        <v>238.85</v>
      </c>
      <c r="V510" s="142">
        <f>(V455*Formulas!$F13)+(V462*Formulas!$F14)+(V469*Formulas!$F15)</f>
        <v>112.4</v>
      </c>
      <c r="W510" s="142">
        <f>(W455*Formulas!$F13)+(W462*Formulas!$F14)+(W469*Formulas!$F15)</f>
        <v>59.01</v>
      </c>
      <c r="X510" s="142">
        <f>(X455*Formulas!$F13)+(X462*Formulas!$F14)+(X469*Formulas!$F15)</f>
        <v>168.6</v>
      </c>
      <c r="Y510" s="142">
        <f>(Y455*Formulas!$F13)+(Y462*Formulas!$F14)+(Y469*Formulas!$F15)</f>
        <v>191.08</v>
      </c>
      <c r="Z510" s="142">
        <f>(Z455*Formulas!$F13)+(Z462*Formulas!$F14)+(Z469*Formulas!$F15)</f>
        <v>328.77</v>
      </c>
      <c r="AA510" s="142">
        <f>(AA455*Formulas!$F13)+(AA462*Formulas!$F14)+(AA469*Formulas!$F15)</f>
        <v>146.12</v>
      </c>
      <c r="AB510" s="142">
        <f>(AB455*Formulas!$F13)+(AB462*Formulas!$F14)+(AB469*Formulas!$F15)</f>
        <v>73.06</v>
      </c>
      <c r="AC510" s="142">
        <f>(AC455*Formulas!$F13)+(AC462*Formulas!$F14)+(AC469*Formulas!$F15)</f>
        <v>115.21</v>
      </c>
      <c r="AD510" s="142">
        <f>(AD455*Formulas!$F13)+(AD462*Formulas!$F14)+(AD469*Formulas!$F15)</f>
        <v>160.17</v>
      </c>
      <c r="AE510" s="142">
        <f>(AE455*Formulas!$F13)+(AE462*Formulas!$F14)+(AE469*Formulas!$F15)</f>
        <v>148.93</v>
      </c>
      <c r="AF510" s="61">
        <f t="shared" si="198"/>
        <v>8581.74</v>
      </c>
    </row>
    <row r="511">
      <c r="A511" s="33" t="s">
        <v>397</v>
      </c>
      <c r="B511" s="142">
        <f>(B183*Formulas!$F16)</f>
        <v>147.84</v>
      </c>
      <c r="C511" s="142">
        <f>(C183*Formulas!$F16)</f>
        <v>197.12</v>
      </c>
      <c r="D511" s="142">
        <f>(D183*Formulas!$F16)</f>
        <v>184.8</v>
      </c>
      <c r="E511" s="142">
        <f>(E183*Formulas!$F16)</f>
        <v>98.56</v>
      </c>
      <c r="F511" s="142">
        <f>(F183*Formulas!$F16)</f>
        <v>172.48</v>
      </c>
      <c r="G511" s="142">
        <f>(G183*Formulas!$F16)</f>
        <v>154</v>
      </c>
      <c r="H511" s="142">
        <f>(H183*Formulas!$F16)</f>
        <v>92.4</v>
      </c>
      <c r="I511" s="142">
        <f>(I183*Formulas!$F16)</f>
        <v>234.08</v>
      </c>
      <c r="J511" s="142">
        <f>(J183*Formulas!$F16)</f>
        <v>110.88</v>
      </c>
      <c r="K511" s="142">
        <f>(K183*Formulas!$F16)</f>
        <v>92.4</v>
      </c>
      <c r="L511" s="142">
        <f>(L183*Formulas!$F16)</f>
        <v>80.08</v>
      </c>
      <c r="M511" s="142">
        <f>(M183*Formulas!$F16)</f>
        <v>332.64</v>
      </c>
      <c r="N511" s="142">
        <f>(N183*Formulas!$F16)</f>
        <v>166.32</v>
      </c>
      <c r="O511" s="142">
        <f>(O183*Formulas!$F16)</f>
        <v>258.72</v>
      </c>
      <c r="P511" s="142">
        <f>(P183*Formulas!$F16)</f>
        <v>117.04</v>
      </c>
      <c r="Q511" s="142">
        <f>(Q183*Formulas!$F16)</f>
        <v>209.44</v>
      </c>
      <c r="R511" s="142">
        <f>(R183*Formulas!$F16)</f>
        <v>129.36</v>
      </c>
      <c r="S511" s="142">
        <f>(S183*Formulas!$F16)</f>
        <v>240.24</v>
      </c>
      <c r="T511" s="142">
        <f>(T183*Formulas!$F16)</f>
        <v>209.44</v>
      </c>
      <c r="U511" s="142">
        <f>(U183*Formulas!$F16)</f>
        <v>123.2</v>
      </c>
      <c r="V511" s="142">
        <f>(V183*Formulas!$F16)</f>
        <v>110.88</v>
      </c>
      <c r="W511" s="142">
        <f>(W183*Formulas!$F16)</f>
        <v>30.8</v>
      </c>
      <c r="X511" s="142">
        <f>(X183*Formulas!$F16)</f>
        <v>197.12</v>
      </c>
      <c r="Y511" s="142">
        <f>(Y183*Formulas!$F16)</f>
        <v>123.2</v>
      </c>
      <c r="Z511" s="142">
        <f>(Z183*Formulas!$F16)</f>
        <v>227.92</v>
      </c>
      <c r="AA511" s="142">
        <f>(AA183*Formulas!$F16)</f>
        <v>73.92</v>
      </c>
      <c r="AB511" s="142">
        <f>(AB183*Formulas!$F16)</f>
        <v>43.12</v>
      </c>
      <c r="AC511" s="142">
        <f>(AC183*Formulas!$F16)</f>
        <v>6.16</v>
      </c>
      <c r="AD511" s="142">
        <f>(AD183*Formulas!$F16)</f>
        <v>0</v>
      </c>
      <c r="AE511" s="142">
        <f>(AE183*Formulas!$F16)</f>
        <v>0</v>
      </c>
      <c r="AF511" s="61">
        <f>SUM(B511:AD511)</f>
        <v>4164.16</v>
      </c>
    </row>
    <row r="512">
      <c r="A512" s="33" t="s">
        <v>398</v>
      </c>
      <c r="B512" s="142">
        <f t="shared" ref="B512:AE512" si="199">B131</f>
        <v>1978.48</v>
      </c>
      <c r="C512" s="142">
        <f t="shared" si="199"/>
        <v>2096.61</v>
      </c>
      <c r="D512" s="142">
        <f t="shared" si="199"/>
        <v>2536.93</v>
      </c>
      <c r="E512" s="142">
        <f t="shared" si="199"/>
        <v>2142.27</v>
      </c>
      <c r="F512" s="142">
        <f t="shared" si="199"/>
        <v>2027.63</v>
      </c>
      <c r="G512" s="142">
        <f t="shared" si="199"/>
        <v>2148.36</v>
      </c>
      <c r="H512" s="142">
        <f t="shared" si="199"/>
        <v>1297.33</v>
      </c>
      <c r="I512" s="142">
        <f t="shared" si="199"/>
        <v>2536.02</v>
      </c>
      <c r="J512" s="142">
        <f t="shared" si="199"/>
        <v>2652.28</v>
      </c>
      <c r="K512" s="142">
        <f t="shared" si="199"/>
        <v>2123.57</v>
      </c>
      <c r="L512" s="142">
        <f t="shared" si="199"/>
        <v>2451.99</v>
      </c>
      <c r="M512" s="142">
        <f t="shared" si="199"/>
        <v>2835.13</v>
      </c>
      <c r="N512" s="142">
        <f t="shared" si="199"/>
        <v>2814.03</v>
      </c>
      <c r="O512" s="142">
        <f t="shared" si="199"/>
        <v>3289.18</v>
      </c>
      <c r="P512" s="142">
        <f t="shared" si="199"/>
        <v>3782.31</v>
      </c>
      <c r="Q512" s="142">
        <f t="shared" si="199"/>
        <v>3008.19</v>
      </c>
      <c r="R512" s="142">
        <f t="shared" si="199"/>
        <v>4099.57</v>
      </c>
      <c r="S512" s="142">
        <f t="shared" si="199"/>
        <v>5243.69</v>
      </c>
      <c r="T512" s="142">
        <f t="shared" si="199"/>
        <v>3457.41</v>
      </c>
      <c r="U512" s="142">
        <f t="shared" si="199"/>
        <v>1290.09</v>
      </c>
      <c r="V512" s="142">
        <f t="shared" si="199"/>
        <v>434.94</v>
      </c>
      <c r="W512" s="142">
        <f t="shared" si="199"/>
        <v>485.36</v>
      </c>
      <c r="X512" s="142">
        <f t="shared" si="199"/>
        <v>637.54</v>
      </c>
      <c r="Y512" s="142">
        <f t="shared" si="199"/>
        <v>1210.42</v>
      </c>
      <c r="Z512" s="142">
        <f t="shared" si="199"/>
        <v>2305.25</v>
      </c>
      <c r="AA512" s="142">
        <f t="shared" si="199"/>
        <v>1412.5</v>
      </c>
      <c r="AB512" s="142">
        <f t="shared" si="199"/>
        <v>712.56</v>
      </c>
      <c r="AC512" s="142">
        <f t="shared" si="199"/>
        <v>894.19</v>
      </c>
      <c r="AD512" s="142">
        <f t="shared" si="199"/>
        <v>1206.55</v>
      </c>
      <c r="AE512" s="142">
        <f t="shared" si="199"/>
        <v>1490.44</v>
      </c>
      <c r="AF512" s="61">
        <f t="shared" ref="AF512:AF513" si="200">SUM(B512:AE512)</f>
        <v>64600.82</v>
      </c>
    </row>
    <row r="513">
      <c r="A513" s="33" t="s">
        <v>399</v>
      </c>
      <c r="B513" s="318">
        <f>(((B242+B243)+(B261))-B378)*Formulas!$F21</f>
        <v>161.03428</v>
      </c>
      <c r="C513" s="318">
        <f>(((C242+C243)+(C261))-C378)*Formulas!$F21</f>
        <v>368.94</v>
      </c>
      <c r="D513" s="318">
        <f>(((D242+D243)+(D261))-D378)*Formulas!$F21</f>
        <v>281.1776</v>
      </c>
      <c r="E513" s="318">
        <f>(((E242+E243)+(E261))-E378)*Formulas!$F21</f>
        <v>574.1868</v>
      </c>
      <c r="F513" s="318">
        <f>(((F242+F243)+(F261))-F378)*Formulas!$F21</f>
        <v>604.36772</v>
      </c>
      <c r="G513" s="318">
        <f>(((G242+G243)+(G261))-G378)*Formulas!$F21</f>
        <v>303.0588</v>
      </c>
      <c r="H513" s="318">
        <f>(((H242+H243)+(H261))-H378)*Formulas!$F21</f>
        <v>702.90968</v>
      </c>
      <c r="I513" s="318">
        <f>(((I242+I243)+(I261))-I378)*Formulas!$F21</f>
        <v>444.39252</v>
      </c>
      <c r="J513" s="318">
        <f>(((J242+J243)+(J261))-J378)*Formulas!$F21</f>
        <v>353.76</v>
      </c>
      <c r="K513" s="318">
        <f>(((K242+K243)+(K261))-K378)*Formulas!$F21</f>
        <v>739.2</v>
      </c>
      <c r="L513" s="318">
        <f>(((L242+L243)+(L261))-L378)*Formulas!$F21</f>
        <v>356.5936</v>
      </c>
      <c r="M513" s="318">
        <f>(((M242+M243)+(M261))-M378)*Formulas!$F21</f>
        <v>573.5136</v>
      </c>
      <c r="N513" s="318">
        <f>(((N242+N243)+(N261))-N378)*Formulas!$F21</f>
        <v>244.838</v>
      </c>
      <c r="O513" s="318">
        <f>(((O242+O243)+(O261))-O378)*Formulas!$F21</f>
        <v>668.9364</v>
      </c>
      <c r="P513" s="318">
        <f>(((P242+P243)+(P261))-P378)*Formulas!$F21</f>
        <v>304.55436</v>
      </c>
      <c r="Q513" s="318">
        <f>(((Q242+Q243)+(Q261))-Q378)*Formulas!$F21</f>
        <v>89.144</v>
      </c>
      <c r="R513" s="318">
        <f>(((R242+R243)+(R261))-R378)*Formulas!$F21</f>
        <v>378.686</v>
      </c>
      <c r="S513" s="318">
        <f>(((S242+S243)+(S261))-S378)*Formulas!$F21</f>
        <v>736.01</v>
      </c>
      <c r="T513" s="318">
        <f>(((T242+T243)+(T261))-T378)*Formulas!$F21</f>
        <v>321.29108</v>
      </c>
      <c r="U513" s="318">
        <f>(((U242+U243)+(U261))-U378)*Formulas!$F21</f>
        <v>298.078</v>
      </c>
      <c r="V513" s="318">
        <f>(((V242+V243)+(V261))-V378)*Formulas!$F21</f>
        <v>223.9688</v>
      </c>
      <c r="W513" s="318">
        <f>(((W242+W243)+(W261))-W378)*Formulas!$F21</f>
        <v>268.3824</v>
      </c>
      <c r="X513" s="318">
        <f>(((X242+X243)+(X261))-X378)*Formulas!$F21</f>
        <v>2441.3114</v>
      </c>
      <c r="Y513" s="318">
        <f>(((Y242+Y243)+(Y261))-Y378)*Formulas!$F21</f>
        <v>535.26</v>
      </c>
      <c r="Z513" s="318">
        <f>(((Z242+Z243)+(Z261))-Z378)*Formulas!$F21</f>
        <v>630.7708</v>
      </c>
      <c r="AA513" s="318">
        <f>(((AA242+AA243)+(AA261))-AA378)*Formulas!$F21</f>
        <v>416.24</v>
      </c>
      <c r="AB513" s="318">
        <f>(((AB242+AB243)+(AB261))-AB378)*Formulas!$F21</f>
        <v>333.52</v>
      </c>
      <c r="AC513" s="318">
        <f>(((AC242+AC243)+(AC261))-AC378)*Formulas!$F21</f>
        <v>335.94</v>
      </c>
      <c r="AD513" s="318">
        <f>(((AD242+AD243)+(AD261))-AD378)*Formulas!$F21</f>
        <v>383.288004</v>
      </c>
      <c r="AE513" s="318">
        <f>(((AE242+AE243)+(AE261))-AE378)*Formulas!$F21</f>
        <v>438.02</v>
      </c>
      <c r="AF513" s="61">
        <f t="shared" si="200"/>
        <v>14511.37384</v>
      </c>
    </row>
    <row r="514">
      <c r="A514" s="33" t="s">
        <v>400</v>
      </c>
      <c r="B514" s="319">
        <f>(((B244+B245)+(B268))-B383)*Formulas!$F22</f>
        <v>0</v>
      </c>
      <c r="C514" s="319">
        <f>(((C244+C245)+(C268))-C383)*Formulas!$F22</f>
        <v>910.65</v>
      </c>
      <c r="D514" s="319">
        <f>(((D244+D245)+(D268))-D383)*Formulas!$F22</f>
        <v>43.68</v>
      </c>
      <c r="E514" s="319">
        <f>(((E244+E245)+(E268))-E383)*Formulas!$F22</f>
        <v>0</v>
      </c>
      <c r="F514" s="319">
        <f>(((F244+F245)+(F268))-F383)*Formulas!$F22</f>
        <v>0</v>
      </c>
      <c r="G514" s="319">
        <f>(((G244+G245)+(G268))-G383)*Formulas!$F22</f>
        <v>0</v>
      </c>
      <c r="H514" s="319">
        <f>(((H244+H245)+(H268))-H383)*Formulas!$F22</f>
        <v>0</v>
      </c>
      <c r="I514" s="319">
        <f>(((I244+I245)+(I268))-I383)*Formulas!$F22</f>
        <v>43.68</v>
      </c>
      <c r="J514" s="319">
        <f>(((J244+J245)+(J268))-J383)*Formulas!$F22</f>
        <v>0</v>
      </c>
      <c r="K514" s="319">
        <f>(((K244+K245)+(K268))-K383)*Formulas!$F22</f>
        <v>0</v>
      </c>
      <c r="L514" s="319">
        <f>(((L244+L245)+(L268))-L383)*Formulas!$F22</f>
        <v>0</v>
      </c>
      <c r="M514" s="319">
        <f>(((M244+M245)+(M268))-M383)*Formulas!$F22</f>
        <v>0</v>
      </c>
      <c r="N514" s="319">
        <f>(((N244+N245)+(N268))-N383)*Formulas!$F22</f>
        <v>0</v>
      </c>
      <c r="O514" s="319">
        <f>(((O244+O245)+(O268))-O383)*Formulas!$F22</f>
        <v>0</v>
      </c>
      <c r="P514" s="319">
        <f>(((P244+P245)+(P268))-P383)*Formulas!$F22</f>
        <v>0</v>
      </c>
      <c r="Q514" s="319">
        <f>(((Q244+Q245)+(Q268))-Q383)*Formulas!$F22</f>
        <v>0</v>
      </c>
      <c r="R514" s="319">
        <f>(((R244+R245)+(R268))-R383)*Formulas!$F22</f>
        <v>0</v>
      </c>
      <c r="S514" s="319">
        <f>(((S244+S245)+(S268))-S383)*Formulas!$F22</f>
        <v>0</v>
      </c>
      <c r="T514" s="319">
        <f>(((T244+T245)+(T268))-T383)*Formulas!$F22</f>
        <v>0</v>
      </c>
      <c r="U514" s="319">
        <f>(((U244+U245)+(U268))-U383)*Formulas!$F22</f>
        <v>0</v>
      </c>
      <c r="V514" s="319">
        <f>(((V244+V245)+(V268))-V383)*Formulas!$F22</f>
        <v>0</v>
      </c>
      <c r="W514" s="319">
        <f>(((W244+W245)+(W268))-W383)*Formulas!$F22</f>
        <v>138.58</v>
      </c>
      <c r="X514" s="319">
        <f>(((X244+X245)+(X268))-X383)*Formulas!$F22</f>
        <v>0</v>
      </c>
      <c r="Y514" s="319">
        <f>(((Y244+Y245)+(Y268))-Y383)*Formulas!$F22</f>
        <v>0</v>
      </c>
      <c r="Z514" s="319">
        <f>(((Z244+Z245)+(Z268))-Z383)*Formulas!$F22</f>
        <v>0</v>
      </c>
      <c r="AA514" s="319">
        <f>(((AA244+AA245)+(AA268))-AA383)*Formulas!$F22</f>
        <v>0</v>
      </c>
      <c r="AB514" s="319">
        <f>(((AB244+AB245)+(AB268))-AB383)*Formulas!$F22</f>
        <v>0</v>
      </c>
      <c r="AC514" s="319">
        <f>(((AC244+AC245)+(AC268))-AC383)*Formulas!$F22</f>
        <v>69.94</v>
      </c>
      <c r="AD514" s="319">
        <f>(((AD244+AD245)+(AD268))-AD383)*Formulas!$F22</f>
        <v>34.97</v>
      </c>
      <c r="AE514" s="319">
        <f>(((AE244+AE245)+(AE268))-AE383)*Formulas!$F22</f>
        <v>3.77</v>
      </c>
      <c r="AF514" s="61">
        <f>SUM(B514:AD514)</f>
        <v>1241.5</v>
      </c>
    </row>
    <row r="515">
      <c r="A515" s="33" t="s">
        <v>368</v>
      </c>
      <c r="B515" s="318">
        <v>2923.99</v>
      </c>
      <c r="C515" s="318">
        <v>397.44</v>
      </c>
      <c r="D515" s="320">
        <v>2777.14</v>
      </c>
      <c r="E515" s="318">
        <v>369.57</v>
      </c>
      <c r="F515" s="318">
        <v>2784.33</v>
      </c>
      <c r="G515" s="318">
        <v>298.0</v>
      </c>
      <c r="H515" s="318">
        <v>10324.46</v>
      </c>
      <c r="I515" s="251">
        <v>6730.03</v>
      </c>
      <c r="J515" s="318">
        <v>3917.34</v>
      </c>
      <c r="K515" s="318">
        <v>1496.82</v>
      </c>
      <c r="L515" s="318">
        <v>1398.0</v>
      </c>
      <c r="M515" s="318">
        <v>692.53</v>
      </c>
      <c r="N515" s="318">
        <v>12594.64</v>
      </c>
      <c r="O515" s="318">
        <v>3954.62</v>
      </c>
      <c r="P515" s="318">
        <v>3137.56</v>
      </c>
      <c r="Q515" s="318">
        <v>5398.49</v>
      </c>
      <c r="R515" s="321">
        <v>0.0</v>
      </c>
      <c r="S515" s="322">
        <v>481.0</v>
      </c>
      <c r="T515" s="321">
        <v>3476.3</v>
      </c>
      <c r="U515" s="321">
        <v>2405.01</v>
      </c>
      <c r="V515" s="321">
        <v>5221.9</v>
      </c>
      <c r="W515" s="323">
        <v>2738.86</v>
      </c>
      <c r="X515" s="323">
        <v>5752.26</v>
      </c>
      <c r="Y515" s="321">
        <v>566.11</v>
      </c>
      <c r="Z515" s="321">
        <v>4249.79</v>
      </c>
      <c r="AA515" s="321">
        <v>6953.28</v>
      </c>
      <c r="AB515" s="321">
        <v>5033.12</v>
      </c>
      <c r="AC515" s="321">
        <v>0.0</v>
      </c>
      <c r="AD515" s="321">
        <v>260.57</v>
      </c>
      <c r="AE515" s="321">
        <v>0.0</v>
      </c>
      <c r="AF515" s="61">
        <f t="shared" ref="AF515:AF521" si="203">SUM(B515:AE515)</f>
        <v>96333.16</v>
      </c>
    </row>
    <row r="516">
      <c r="A516" s="33" t="s">
        <v>401</v>
      </c>
      <c r="B516" s="317">
        <f t="shared" ref="B516:T516" si="201">(B390+B395+B400)</f>
        <v>199</v>
      </c>
      <c r="C516" s="317">
        <f t="shared" si="201"/>
        <v>199</v>
      </c>
      <c r="D516" s="317">
        <f t="shared" si="201"/>
        <v>0</v>
      </c>
      <c r="E516" s="317">
        <f t="shared" si="201"/>
        <v>732.7</v>
      </c>
      <c r="F516" s="317">
        <f t="shared" si="201"/>
        <v>0</v>
      </c>
      <c r="G516" s="317">
        <f t="shared" si="201"/>
        <v>0</v>
      </c>
      <c r="H516" s="317">
        <f t="shared" si="201"/>
        <v>0</v>
      </c>
      <c r="I516" s="317">
        <f t="shared" si="201"/>
        <v>309.85</v>
      </c>
      <c r="J516" s="317">
        <f t="shared" si="201"/>
        <v>0</v>
      </c>
      <c r="K516" s="317">
        <f t="shared" si="201"/>
        <v>335.87</v>
      </c>
      <c r="L516" s="317">
        <f t="shared" si="201"/>
        <v>199</v>
      </c>
      <c r="M516" s="317">
        <f t="shared" si="201"/>
        <v>0</v>
      </c>
      <c r="N516" s="317">
        <f t="shared" si="201"/>
        <v>422</v>
      </c>
      <c r="O516" s="317">
        <f t="shared" si="201"/>
        <v>853</v>
      </c>
      <c r="P516" s="317">
        <f t="shared" si="201"/>
        <v>1253</v>
      </c>
      <c r="Q516" s="317">
        <f t="shared" si="201"/>
        <v>293</v>
      </c>
      <c r="R516" s="317">
        <f t="shared" si="201"/>
        <v>0</v>
      </c>
      <c r="S516" s="317">
        <f t="shared" si="201"/>
        <v>0</v>
      </c>
      <c r="T516" s="317">
        <f t="shared" si="201"/>
        <v>0</v>
      </c>
      <c r="U516" s="317"/>
      <c r="V516" s="317">
        <f t="shared" ref="V516:AE516" si="202">(V390+V395+V400)</f>
        <v>0</v>
      </c>
      <c r="W516" s="317">
        <f t="shared" si="202"/>
        <v>468</v>
      </c>
      <c r="X516" s="317">
        <f t="shared" si="202"/>
        <v>1299</v>
      </c>
      <c r="Y516" s="317">
        <f t="shared" si="202"/>
        <v>1378</v>
      </c>
      <c r="Z516" s="317">
        <f t="shared" si="202"/>
        <v>4860</v>
      </c>
      <c r="AA516" s="317">
        <f t="shared" si="202"/>
        <v>0</v>
      </c>
      <c r="AB516" s="317">
        <f t="shared" si="202"/>
        <v>0</v>
      </c>
      <c r="AC516" s="317">
        <f t="shared" si="202"/>
        <v>0</v>
      </c>
      <c r="AD516" s="317">
        <f t="shared" si="202"/>
        <v>258</v>
      </c>
      <c r="AE516" s="317">
        <f t="shared" si="202"/>
        <v>0</v>
      </c>
      <c r="AF516" s="61">
        <f t="shared" si="203"/>
        <v>13059.42</v>
      </c>
    </row>
    <row r="517">
      <c r="A517" s="33" t="s">
        <v>402</v>
      </c>
      <c r="B517" s="317">
        <f>(B365*Formulas!$F35)+(B366*Formulas!$F36)+(B367*Formulas!$F37)</f>
        <v>10</v>
      </c>
      <c r="C517" s="317">
        <f>(C365*Formulas!$F35)+(C366*Formulas!$F36)+(C367*Formulas!$F37)</f>
        <v>10</v>
      </c>
      <c r="D517" s="317">
        <f>(D365*Formulas!$F35)+(D366*Formulas!$F36)+(D367*Formulas!$F37)</f>
        <v>0</v>
      </c>
      <c r="E517" s="317">
        <f>(E365*Formulas!$F35)+(E366*Formulas!$F36)+(E367*Formulas!$F37)</f>
        <v>20</v>
      </c>
      <c r="F517" s="317">
        <f>(F365*Formulas!$F35)+(F366*Formulas!$F36)+(F367*Formulas!$F37)</f>
        <v>0</v>
      </c>
      <c r="G517" s="317">
        <f>(G365*Formulas!$F35)+(G366*Formulas!$F36)+(G367*Formulas!$F37)</f>
        <v>0</v>
      </c>
      <c r="H517" s="317">
        <f>(H365*Formulas!$F35)+(H366*Formulas!$F36)+(H367*Formulas!$F37)</f>
        <v>0</v>
      </c>
      <c r="I517" s="317">
        <f>(I365*Formulas!$F35)+(I366*Formulas!$F36)+(I367*Formulas!$F37)</f>
        <v>10</v>
      </c>
      <c r="J517" s="317">
        <f>(J365*Formulas!$F35)+(J366*Formulas!$F36)+(J367*Formulas!$F37)</f>
        <v>0</v>
      </c>
      <c r="K517" s="317">
        <f>(K365*Formulas!$F35)+(K366*Formulas!$F36)+(K367*Formulas!$F37)</f>
        <v>10</v>
      </c>
      <c r="L517" s="317">
        <f>(L365*Formulas!$F35)+(L366*Formulas!$F36)+(L367*Formulas!$F37)</f>
        <v>10</v>
      </c>
      <c r="M517" s="317">
        <f>(M365*Formulas!$F35)+(M366*Formulas!$F36)+(M367*Formulas!$F37)</f>
        <v>0</v>
      </c>
      <c r="N517" s="317">
        <f>(N365*Formulas!$F35)+(N366*Formulas!$F36)+(N367*Formulas!$F37)</f>
        <v>20</v>
      </c>
      <c r="O517" s="317">
        <f>(O365*Formulas!$F35)+(O366*Formulas!$F36)+(O367*Formulas!$F37)</f>
        <v>30</v>
      </c>
      <c r="P517" s="317">
        <f>(P365*Formulas!$F35)+(P366*Formulas!$F36)+(P367*Formulas!$F37)</f>
        <v>50</v>
      </c>
      <c r="Q517" s="317">
        <f>(Q365*Formulas!$F35)+(Q366*Formulas!$F36)+(Q367*Formulas!$F37)</f>
        <v>10</v>
      </c>
      <c r="R517" s="317">
        <f>(R365*Formulas!$F35)+(R366*Formulas!$F36)+(R367*Formulas!$F37)</f>
        <v>0</v>
      </c>
      <c r="S517" s="317">
        <f>(S365*Formulas!$F35)+(S366*Formulas!$F36)+(S367*Formulas!$F37)</f>
        <v>0</v>
      </c>
      <c r="T517" s="317">
        <f>(T365*Formulas!$F35)+(T366*Formulas!$F36)+(T367*Formulas!$F37)</f>
        <v>0</v>
      </c>
      <c r="U517" s="317">
        <f>(U365*Formulas!$F35)+(U366*Formulas!$F36)+(U367*Formulas!$F37)</f>
        <v>30</v>
      </c>
      <c r="V517" s="317">
        <f>(V365*Formulas!$F35)+(V366*Formulas!$F36)+(V367*Formulas!$F37)</f>
        <v>0</v>
      </c>
      <c r="W517" s="317">
        <f>(W365*Formulas!$F35)+(W366*Formulas!$F36)+(W367*Formulas!$F37)</f>
        <v>20</v>
      </c>
      <c r="X517" s="317">
        <f>(X365*Formulas!$F35)+(X366*Formulas!$F36)+(X367*Formulas!$F37)</f>
        <v>50</v>
      </c>
      <c r="Y517" s="317">
        <f>(Y365*Formulas!$F35)+(Y366*Formulas!$F36)+(Y367*Formulas!$F37)</f>
        <v>60</v>
      </c>
      <c r="Z517" s="317">
        <f>(Z365*Formulas!$F35)+(Z366*Formulas!$F36)+(Z367*Formulas!$F37)</f>
        <v>190</v>
      </c>
      <c r="AA517" s="317">
        <f>(AA365*Formulas!$F35)+(AA366*Formulas!$F36)+(AA367*Formulas!$F37)</f>
        <v>0</v>
      </c>
      <c r="AB517" s="317">
        <f>(AB365*Formulas!$F35)+(AB366*Formulas!$F36)+(AB367*Formulas!$F37)</f>
        <v>0</v>
      </c>
      <c r="AC517" s="317">
        <f>(AC365*Formulas!$F35)+(AC366*Formulas!$F36)+(AC367*Formulas!$F37)</f>
        <v>0</v>
      </c>
      <c r="AD517" s="317">
        <f>(AD365*Formulas!$F35)+(AD366*Formulas!$F36)+(AD367*Formulas!$F37)</f>
        <v>10</v>
      </c>
      <c r="AE517" s="317">
        <f>(AE365*Formulas!$F35)+(AE366*Formulas!$F36)+(AE367*Formulas!$F37)</f>
        <v>0</v>
      </c>
      <c r="AF517" s="61">
        <f t="shared" si="203"/>
        <v>540</v>
      </c>
    </row>
    <row r="518">
      <c r="A518" s="33" t="s">
        <v>403</v>
      </c>
      <c r="B518" s="317"/>
      <c r="C518" s="324"/>
      <c r="D518" s="324"/>
      <c r="E518" s="324"/>
      <c r="F518" s="324"/>
      <c r="G518" s="324"/>
      <c r="H518" s="324"/>
      <c r="I518" s="324"/>
      <c r="J518" s="324"/>
      <c r="K518" s="324"/>
      <c r="L518" s="324"/>
      <c r="M518" s="324"/>
      <c r="N518" s="324"/>
      <c r="O518" s="324"/>
      <c r="P518" s="324"/>
      <c r="Q518" s="324"/>
      <c r="R518" s="324"/>
      <c r="S518" s="324"/>
      <c r="T518" s="317"/>
      <c r="U518" s="317"/>
      <c r="V518" s="317"/>
      <c r="W518" s="317"/>
      <c r="X518" s="317"/>
      <c r="Y518" s="317"/>
      <c r="Z518" s="317"/>
      <c r="AA518" s="317"/>
      <c r="AB518" s="324"/>
      <c r="AC518" s="317"/>
      <c r="AD518" s="317"/>
      <c r="AE518" s="317"/>
      <c r="AF518" s="61">
        <f t="shared" si="203"/>
        <v>0</v>
      </c>
    </row>
    <row r="519">
      <c r="A519" s="33" t="s">
        <v>404</v>
      </c>
      <c r="B519" s="317">
        <f>B125*Formulas!$F4</f>
        <v>214.5</v>
      </c>
      <c r="C519" s="317">
        <f>C125*Formulas!$F4</f>
        <v>228</v>
      </c>
      <c r="D519" s="317">
        <f>D125*Formulas!$F4</f>
        <v>274.5</v>
      </c>
      <c r="E519" s="317">
        <f>E125*Formulas!$F4</f>
        <v>234</v>
      </c>
      <c r="F519" s="317">
        <f>F125*Formulas!$F4</f>
        <v>229.5</v>
      </c>
      <c r="G519" s="317">
        <f>G125*Formulas!$F4</f>
        <v>247.5</v>
      </c>
      <c r="H519" s="317">
        <f>H125*Formulas!$F4</f>
        <v>225</v>
      </c>
      <c r="I519" s="317">
        <f>I125*Formulas!$F4</f>
        <v>307.5</v>
      </c>
      <c r="J519" s="317">
        <f>J125*Formulas!$F4</f>
        <v>283.5</v>
      </c>
      <c r="K519" s="317">
        <f>K125*Formulas!$F4</f>
        <v>249</v>
      </c>
      <c r="L519" s="317">
        <f>L125*Formulas!$F4</f>
        <v>250.5</v>
      </c>
      <c r="M519" s="317">
        <f>M125*Formulas!$F4</f>
        <v>340.5</v>
      </c>
      <c r="N519" s="317">
        <f>N125*Formulas!$F4</f>
        <v>346.5</v>
      </c>
      <c r="O519" s="317">
        <f>O125*Formulas!$F4</f>
        <v>357</v>
      </c>
      <c r="P519" s="317">
        <f>P125*Formulas!$F4</f>
        <v>387</v>
      </c>
      <c r="Q519" s="317">
        <f>Q125*Formulas!$F4</f>
        <v>333</v>
      </c>
      <c r="R519" s="317">
        <f>R125*Formulas!$F4</f>
        <v>394.5</v>
      </c>
      <c r="S519" s="317">
        <f>S125*Formulas!$F4</f>
        <v>567</v>
      </c>
      <c r="T519" s="317">
        <f>T125*Formulas!$F4</f>
        <v>367.5</v>
      </c>
      <c r="U519" s="317">
        <f>U125*Formulas!$F4</f>
        <v>165</v>
      </c>
      <c r="V519" s="317">
        <f>V125*Formulas!$F4</f>
        <v>99</v>
      </c>
      <c r="W519" s="317">
        <f>W125*Formulas!$F4</f>
        <v>85.5</v>
      </c>
      <c r="X519" s="317">
        <f>X125*Formulas!$F4</f>
        <v>133.5</v>
      </c>
      <c r="Y519" s="317">
        <f>Y125*Formulas!$F4</f>
        <v>135</v>
      </c>
      <c r="Z519" s="317">
        <f>Z125*Formulas!$F4</f>
        <v>262.5</v>
      </c>
      <c r="AA519" s="317">
        <f>AA125*Formulas!$F4</f>
        <v>165</v>
      </c>
      <c r="AB519" s="317">
        <f>AB125*Formulas!$F4</f>
        <v>166.5</v>
      </c>
      <c r="AC519" s="317">
        <f>AC125*Formulas!$F4</f>
        <v>118.5</v>
      </c>
      <c r="AD519" s="317">
        <f>AD125*Formulas!$F4</f>
        <v>145.5</v>
      </c>
      <c r="AE519" s="317">
        <f>AE125*Formulas!$F4</f>
        <v>160.5</v>
      </c>
      <c r="AF519" s="61">
        <f t="shared" si="203"/>
        <v>7473</v>
      </c>
    </row>
    <row r="520">
      <c r="A520" s="33" t="s">
        <v>405</v>
      </c>
      <c r="B520" s="317">
        <f>B125*Formulas!$F22</f>
        <v>18.59</v>
      </c>
      <c r="C520" s="317">
        <f>C125*Formulas!$F22</f>
        <v>19.76</v>
      </c>
      <c r="D520" s="317">
        <f>D125*Formulas!$F22</f>
        <v>23.79</v>
      </c>
      <c r="E520" s="317">
        <f>E125*Formulas!$F22</f>
        <v>20.28</v>
      </c>
      <c r="F520" s="317">
        <f>F125*Formulas!$F22</f>
        <v>19.89</v>
      </c>
      <c r="G520" s="317">
        <f>G125*Formulas!$F22</f>
        <v>21.45</v>
      </c>
      <c r="H520" s="317">
        <f>H125*Formulas!$F22</f>
        <v>19.5</v>
      </c>
      <c r="I520" s="317">
        <f>I125*Formulas!$F22</f>
        <v>26.65</v>
      </c>
      <c r="J520" s="317">
        <f>J125*Formulas!$F22</f>
        <v>24.57</v>
      </c>
      <c r="K520" s="317">
        <f>K125*Formulas!$F22</f>
        <v>21.58</v>
      </c>
      <c r="L520" s="317">
        <f>L125*Formulas!$F22</f>
        <v>21.71</v>
      </c>
      <c r="M520" s="317">
        <f>M125*Formulas!$F22</f>
        <v>29.51</v>
      </c>
      <c r="N520" s="317">
        <f>N125*Formulas!$F22</f>
        <v>30.03</v>
      </c>
      <c r="O520" s="317">
        <f>O125*Formulas!$F22</f>
        <v>30.94</v>
      </c>
      <c r="P520" s="317">
        <f>P125*Formulas!$F22</f>
        <v>33.54</v>
      </c>
      <c r="Q520" s="317">
        <f>Q125*Formulas!$F22</f>
        <v>28.86</v>
      </c>
      <c r="R520" s="317">
        <f>R125*Formulas!$F22</f>
        <v>34.19</v>
      </c>
      <c r="S520" s="317">
        <f>S125*Formulas!$F22</f>
        <v>49.14</v>
      </c>
      <c r="T520" s="317">
        <f>T125*Formulas!$F22</f>
        <v>31.85</v>
      </c>
      <c r="U520" s="317">
        <f>U125*Formulas!$F22</f>
        <v>14.3</v>
      </c>
      <c r="V520" s="317">
        <f>V125*Formulas!$F22</f>
        <v>8.58</v>
      </c>
      <c r="W520" s="317">
        <f>W125*Formulas!$F22</f>
        <v>7.41</v>
      </c>
      <c r="X520" s="317">
        <f>X125*Formulas!$F22</f>
        <v>11.57</v>
      </c>
      <c r="Y520" s="317">
        <f>Y125*Formulas!$F22</f>
        <v>11.7</v>
      </c>
      <c r="Z520" s="317">
        <f>Z125*Formulas!$F22</f>
        <v>22.75</v>
      </c>
      <c r="AA520" s="317">
        <f>AA125*Formulas!$F22</f>
        <v>14.3</v>
      </c>
      <c r="AB520" s="317">
        <f>AB125*Formulas!$F22</f>
        <v>14.43</v>
      </c>
      <c r="AC520" s="317">
        <f>AC125*Formulas!$F22</f>
        <v>10.27</v>
      </c>
      <c r="AD520" s="317">
        <f>AD125*Formulas!$F22</f>
        <v>12.61</v>
      </c>
      <c r="AE520" s="317">
        <f>AE125*Formulas!$F22</f>
        <v>13.91</v>
      </c>
      <c r="AF520" s="61">
        <f t="shared" si="203"/>
        <v>647.66</v>
      </c>
    </row>
    <row r="521">
      <c r="A521" s="33" t="s">
        <v>406</v>
      </c>
      <c r="B521" s="258">
        <f>B141*Formulas!$F$6</f>
        <v>40.3</v>
      </c>
      <c r="C521" s="258">
        <f>C141*Formulas!$F$6</f>
        <v>40.61</v>
      </c>
      <c r="D521" s="258">
        <f>D141*Formulas!$F$6</f>
        <v>48.05</v>
      </c>
      <c r="E521" s="258">
        <f>E141*Formulas!$F$6</f>
        <v>41.54</v>
      </c>
      <c r="F521" s="258">
        <f>F141*Formulas!$F$6</f>
        <v>42.78</v>
      </c>
      <c r="G521" s="258">
        <f>G141*Formulas!$F$6</f>
        <v>44.95</v>
      </c>
      <c r="H521" s="258">
        <f>H141*Formulas!$F$6</f>
        <v>39.68</v>
      </c>
      <c r="I521" s="258">
        <f>I141*Formulas!$F$6</f>
        <v>56.73</v>
      </c>
      <c r="J521" s="258">
        <f>J141*Formulas!$F$6</f>
        <v>51.77</v>
      </c>
      <c r="K521" s="258">
        <f>K141*Formulas!$F$6</f>
        <v>43.71</v>
      </c>
      <c r="L521" s="258">
        <f>L141*Formulas!$F$6</f>
        <v>46.19</v>
      </c>
      <c r="M521" s="258">
        <f>M141*Formulas!$F$6</f>
        <v>53.32</v>
      </c>
      <c r="N521" s="258">
        <f>N141*Formulas!$F$6</f>
        <v>65.1</v>
      </c>
      <c r="O521" s="258">
        <f>O141*Formulas!$F$6</f>
        <v>68.2</v>
      </c>
      <c r="P521" s="258">
        <f>P141*Formulas!$F$6</f>
        <v>75.02</v>
      </c>
      <c r="Q521" s="258">
        <f>Q141*Formulas!$F$6</f>
        <v>61.69</v>
      </c>
      <c r="R521" s="258">
        <f>R141*Formulas!$F$6</f>
        <v>77.81</v>
      </c>
      <c r="S521" s="258">
        <f>S141*Formulas!$F$6</f>
        <v>105.09</v>
      </c>
      <c r="T521" s="258">
        <f>T141*Formulas!$F$6</f>
        <v>68.82</v>
      </c>
      <c r="U521" s="258">
        <f>U141*Formulas!$F$6</f>
        <v>28.83</v>
      </c>
      <c r="V521" s="258">
        <f>V141*Formulas!$F$6</f>
        <v>14.88</v>
      </c>
      <c r="W521" s="258">
        <f>W141*Formulas!$F$6</f>
        <v>14.26</v>
      </c>
      <c r="X521" s="258">
        <f>X141*Formulas!$F$6</f>
        <v>17.36</v>
      </c>
      <c r="Y521" s="258">
        <f>Y141*Formulas!$F$6</f>
        <v>25.11</v>
      </c>
      <c r="Z521" s="258">
        <f>Z141*Formulas!$F$6</f>
        <v>44.64</v>
      </c>
      <c r="AA521" s="258">
        <f>AA141*Formulas!$F$6</f>
        <v>32.55</v>
      </c>
      <c r="AB521" s="258">
        <f>AB141*Formulas!$F$6</f>
        <v>18.29</v>
      </c>
      <c r="AC521" s="258">
        <f>AC141*Formulas!$F$6</f>
        <v>19.84</v>
      </c>
      <c r="AD521" s="258">
        <f>AD141*Formulas!$F$6</f>
        <v>21.7</v>
      </c>
      <c r="AE521" s="258">
        <f>AE141*Formulas!$F$6</f>
        <v>26.66</v>
      </c>
      <c r="AF521" s="61">
        <f t="shared" si="203"/>
        <v>1335.48</v>
      </c>
    </row>
    <row r="522">
      <c r="A522" s="325" t="s">
        <v>407</v>
      </c>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234"/>
    </row>
    <row r="523" hidden="1">
      <c r="A523" s="54" t="s">
        <v>408</v>
      </c>
      <c r="B523" s="258">
        <f>B409*Formulas!$C4</f>
        <v>0</v>
      </c>
      <c r="C523" s="258">
        <f>C409*Formulas!$C4</f>
        <v>0</v>
      </c>
      <c r="D523" s="258">
        <f>D409*Formulas!$C4</f>
        <v>0</v>
      </c>
      <c r="E523" s="258">
        <f>E409*Formulas!$C4</f>
        <v>0</v>
      </c>
      <c r="F523" s="258">
        <f>F409*Formulas!$C4</f>
        <v>0</v>
      </c>
      <c r="G523" s="258">
        <f>G409*Formulas!$C4</f>
        <v>0</v>
      </c>
      <c r="H523" s="258">
        <f>H409*Formulas!$C4</f>
        <v>0</v>
      </c>
      <c r="I523" s="258">
        <f>I409*Formulas!$C4</f>
        <v>0</v>
      </c>
      <c r="J523" s="258">
        <f>J409*Formulas!$C4</f>
        <v>0</v>
      </c>
      <c r="K523" s="258">
        <f>K409*Formulas!$C4</f>
        <v>0</v>
      </c>
      <c r="L523" s="258">
        <f>L409*Formulas!$C4</f>
        <v>0</v>
      </c>
      <c r="M523" s="258">
        <f>M409*Formulas!$C4</f>
        <v>0</v>
      </c>
      <c r="N523" s="258">
        <f>N409*Formulas!$C4</f>
        <v>0</v>
      </c>
      <c r="O523" s="258">
        <f>O409*Formulas!$C4</f>
        <v>0</v>
      </c>
      <c r="P523" s="258">
        <f>P409*Formulas!$C4</f>
        <v>0</v>
      </c>
      <c r="Q523" s="258">
        <f>Q409*Formulas!$C4</f>
        <v>0</v>
      </c>
      <c r="R523" s="258">
        <f>R409*Formulas!$C4</f>
        <v>0</v>
      </c>
      <c r="S523" s="258">
        <f>S409*Formulas!$C4</f>
        <v>0</v>
      </c>
      <c r="T523" s="258">
        <f>T409*Formulas!$C4</f>
        <v>0</v>
      </c>
      <c r="U523" s="258">
        <f>U409*Formulas!$C4</f>
        <v>0</v>
      </c>
      <c r="V523" s="258">
        <f>V409*Formulas!$C4</f>
        <v>0</v>
      </c>
      <c r="W523" s="258">
        <f>W409*Formulas!$C4</f>
        <v>0</v>
      </c>
      <c r="X523" s="258">
        <f>X409*Formulas!$C4</f>
        <v>0</v>
      </c>
      <c r="Y523" s="258">
        <f>Y409*Formulas!$C4</f>
        <v>0</v>
      </c>
      <c r="Z523" s="258">
        <f>Z409*Formulas!$C4</f>
        <v>0</v>
      </c>
      <c r="AA523" s="258">
        <f>AA409*Formulas!$C4</f>
        <v>0</v>
      </c>
      <c r="AB523" s="258">
        <f>AB409*Formulas!$C4</f>
        <v>0</v>
      </c>
      <c r="AC523" s="258">
        <f>AC409*Formulas!$C4</f>
        <v>0</v>
      </c>
      <c r="AD523" s="258">
        <f>AD409*Formulas!$C4</f>
        <v>0</v>
      </c>
      <c r="AE523" s="258">
        <f>AE409*Formulas!$C4</f>
        <v>0</v>
      </c>
      <c r="AF523" s="326">
        <f>SUM(C523:AD523)</f>
        <v>0</v>
      </c>
    </row>
    <row r="524" hidden="1">
      <c r="A524" s="33" t="s">
        <v>374</v>
      </c>
      <c r="B524" s="258">
        <f>B523*Formulas!$C37</f>
        <v>0</v>
      </c>
      <c r="C524" s="258">
        <f>C523*Formulas!$C37</f>
        <v>0</v>
      </c>
      <c r="D524" s="258">
        <f>D523*Formulas!$C37</f>
        <v>0</v>
      </c>
      <c r="E524" s="258">
        <f>E523*Formulas!$C37</f>
        <v>0</v>
      </c>
      <c r="F524" s="258">
        <f>F523*Formulas!$C37</f>
        <v>0</v>
      </c>
      <c r="G524" s="258">
        <f>G523*Formulas!$C37</f>
        <v>0</v>
      </c>
      <c r="H524" s="258">
        <f>H523*Formulas!$C37</f>
        <v>0</v>
      </c>
      <c r="I524" s="258">
        <f>I523*Formulas!$C37</f>
        <v>0</v>
      </c>
      <c r="J524" s="258">
        <f>J523*Formulas!$C37</f>
        <v>0</v>
      </c>
      <c r="K524" s="258">
        <f>K523*Formulas!$C37</f>
        <v>0</v>
      </c>
      <c r="L524" s="258">
        <f>L523*Formulas!$C37</f>
        <v>0</v>
      </c>
      <c r="M524" s="258">
        <f>M523*Formulas!$C37</f>
        <v>0</v>
      </c>
      <c r="N524" s="258">
        <f>N523*Formulas!$C37</f>
        <v>0</v>
      </c>
      <c r="O524" s="258">
        <f>O523*Formulas!$C37</f>
        <v>0</v>
      </c>
      <c r="P524" s="258">
        <f>P523*Formulas!$C37</f>
        <v>0</v>
      </c>
      <c r="Q524" s="258">
        <f>Q523*Formulas!$C37</f>
        <v>0</v>
      </c>
      <c r="R524" s="258">
        <f>R523*Formulas!$C37</f>
        <v>0</v>
      </c>
      <c r="S524" s="258">
        <f>S523*Formulas!$C37</f>
        <v>0</v>
      </c>
      <c r="T524" s="258">
        <f>T523*Formulas!$C37</f>
        <v>0</v>
      </c>
      <c r="U524" s="258">
        <f>U523*Formulas!$C37</f>
        <v>0</v>
      </c>
      <c r="V524" s="258">
        <f>V523*Formulas!$C37</f>
        <v>0</v>
      </c>
      <c r="W524" s="258">
        <f>W523*Formulas!$C37</f>
        <v>0</v>
      </c>
      <c r="X524" s="258">
        <f>X523*Formulas!$C37</f>
        <v>0</v>
      </c>
      <c r="Y524" s="258">
        <f>Y523*Formulas!$C37</f>
        <v>0</v>
      </c>
      <c r="Z524" s="258">
        <f>Z523*Formulas!$C37</f>
        <v>0</v>
      </c>
      <c r="AA524" s="258">
        <f>AA523*Formulas!$C37</f>
        <v>0</v>
      </c>
      <c r="AB524" s="258">
        <f>AB523*Formulas!$C37</f>
        <v>0</v>
      </c>
      <c r="AC524" s="258">
        <f>AC523*Formulas!$C37</f>
        <v>0</v>
      </c>
      <c r="AD524" s="258">
        <f>AD523*Formulas!$C37</f>
        <v>0</v>
      </c>
      <c r="AE524" s="258">
        <f>AE523*Formulas!$C37</f>
        <v>0</v>
      </c>
      <c r="AF524" s="326">
        <f t="shared" ref="AF524:AF549" si="204">SUM(C524:AE524)</f>
        <v>0</v>
      </c>
    </row>
    <row r="525" hidden="1">
      <c r="A525" s="54" t="s">
        <v>409</v>
      </c>
      <c r="B525" s="258">
        <f>B410*Formulas!$C5</f>
        <v>0</v>
      </c>
      <c r="C525" s="258">
        <f>C410*Formulas!$C5</f>
        <v>0</v>
      </c>
      <c r="D525" s="258">
        <f>D410*Formulas!$C5</f>
        <v>0</v>
      </c>
      <c r="E525" s="258">
        <f>E410*Formulas!$C5</f>
        <v>0</v>
      </c>
      <c r="F525" s="258">
        <f>F410*Formulas!$C5</f>
        <v>0</v>
      </c>
      <c r="G525" s="258">
        <f>G410*Formulas!$C5</f>
        <v>0</v>
      </c>
      <c r="H525" s="258">
        <f>H410*Formulas!$C5</f>
        <v>0</v>
      </c>
      <c r="I525" s="258">
        <f>I410*Formulas!$C5</f>
        <v>0</v>
      </c>
      <c r="J525" s="258">
        <f>J410*Formulas!$C5</f>
        <v>0</v>
      </c>
      <c r="K525" s="258">
        <f>K410*Formulas!$C5</f>
        <v>0</v>
      </c>
      <c r="L525" s="258">
        <f>L410*Formulas!$C5</f>
        <v>0</v>
      </c>
      <c r="M525" s="258">
        <f>M410*Formulas!$C5</f>
        <v>0</v>
      </c>
      <c r="N525" s="258">
        <f>N410*Formulas!$C5</f>
        <v>0</v>
      </c>
      <c r="O525" s="258">
        <f>O410*Formulas!$C5</f>
        <v>0</v>
      </c>
      <c r="P525" s="258">
        <f>P410*Formulas!$C5</f>
        <v>0</v>
      </c>
      <c r="Q525" s="258">
        <f>Q410*Formulas!$C5</f>
        <v>0</v>
      </c>
      <c r="R525" s="258">
        <f>R410*Formulas!$C5</f>
        <v>0</v>
      </c>
      <c r="S525" s="258">
        <f>S410*Formulas!$C5</f>
        <v>0</v>
      </c>
      <c r="T525" s="258">
        <f>T410*Formulas!$C5</f>
        <v>0</v>
      </c>
      <c r="U525" s="258">
        <f>U410*Formulas!$C5</f>
        <v>0</v>
      </c>
      <c r="V525" s="258">
        <f>V410*Formulas!$C5</f>
        <v>0</v>
      </c>
      <c r="W525" s="258">
        <f>W410*Formulas!$C5</f>
        <v>0</v>
      </c>
      <c r="X525" s="258">
        <f>X410*Formulas!$C5</f>
        <v>0</v>
      </c>
      <c r="Y525" s="258">
        <f>Y410*Formulas!$C5</f>
        <v>0</v>
      </c>
      <c r="Z525" s="258">
        <f>Z410*Formulas!$C5</f>
        <v>0</v>
      </c>
      <c r="AA525" s="258">
        <f>AA410*Formulas!$C5</f>
        <v>0</v>
      </c>
      <c r="AB525" s="258">
        <f>AB410*Formulas!$C5</f>
        <v>0</v>
      </c>
      <c r="AC525" s="258">
        <f>AC410*Formulas!$C5</f>
        <v>0</v>
      </c>
      <c r="AD525" s="258">
        <f>AD410*Formulas!$C5</f>
        <v>0</v>
      </c>
      <c r="AE525" s="258">
        <f>AE410*Formulas!$C5</f>
        <v>0</v>
      </c>
      <c r="AF525" s="326">
        <f t="shared" si="204"/>
        <v>0</v>
      </c>
    </row>
    <row r="526" hidden="1">
      <c r="A526" s="33" t="s">
        <v>376</v>
      </c>
      <c r="B526" s="258">
        <f>B525*Formulas!$C37</f>
        <v>0</v>
      </c>
      <c r="C526" s="258">
        <f>C525*Formulas!$C37</f>
        <v>0</v>
      </c>
      <c r="D526" s="258">
        <f>D525*Formulas!$C37</f>
        <v>0</v>
      </c>
      <c r="E526" s="258">
        <f>E525*Formulas!$C37</f>
        <v>0</v>
      </c>
      <c r="F526" s="258">
        <f>F525*Formulas!$C37</f>
        <v>0</v>
      </c>
      <c r="G526" s="258">
        <f>G525*Formulas!$C37</f>
        <v>0</v>
      </c>
      <c r="H526" s="258">
        <f>H525*Formulas!$C37</f>
        <v>0</v>
      </c>
      <c r="I526" s="258">
        <f>I525*Formulas!$C37</f>
        <v>0</v>
      </c>
      <c r="J526" s="258">
        <f>J525*Formulas!$C37</f>
        <v>0</v>
      </c>
      <c r="K526" s="258">
        <f>K525*Formulas!$C37</f>
        <v>0</v>
      </c>
      <c r="L526" s="258">
        <f>L525*Formulas!$C37</f>
        <v>0</v>
      </c>
      <c r="M526" s="258">
        <f>M525*Formulas!$C37</f>
        <v>0</v>
      </c>
      <c r="N526" s="258">
        <f>N525*Formulas!$C37</f>
        <v>0</v>
      </c>
      <c r="O526" s="258">
        <f>O525*Formulas!$C37</f>
        <v>0</v>
      </c>
      <c r="P526" s="258">
        <f>P525*Formulas!$C37</f>
        <v>0</v>
      </c>
      <c r="Q526" s="258">
        <f>Q525*Formulas!$C37</f>
        <v>0</v>
      </c>
      <c r="R526" s="258">
        <f>R525*Formulas!$C37</f>
        <v>0</v>
      </c>
      <c r="S526" s="258">
        <f>S525*Formulas!$C37</f>
        <v>0</v>
      </c>
      <c r="T526" s="258">
        <f>T525*Formulas!$C37</f>
        <v>0</v>
      </c>
      <c r="U526" s="258">
        <f>U525*Formulas!$C37</f>
        <v>0</v>
      </c>
      <c r="V526" s="258">
        <f>V525*Formulas!$C37</f>
        <v>0</v>
      </c>
      <c r="W526" s="258">
        <f>W525*Formulas!$C37</f>
        <v>0</v>
      </c>
      <c r="X526" s="258">
        <f>X525*Formulas!$C37</f>
        <v>0</v>
      </c>
      <c r="Y526" s="258">
        <f>Y525*Formulas!$C37</f>
        <v>0</v>
      </c>
      <c r="Z526" s="258">
        <f>Z525*Formulas!$C37</f>
        <v>0</v>
      </c>
      <c r="AA526" s="258">
        <f>AA525*Formulas!$C37</f>
        <v>0</v>
      </c>
      <c r="AB526" s="258">
        <f>AB525*Formulas!$C37</f>
        <v>0</v>
      </c>
      <c r="AC526" s="258">
        <f>AC525*Formulas!$C37</f>
        <v>0</v>
      </c>
      <c r="AD526" s="258">
        <f>AD525*Formulas!$C37</f>
        <v>0</v>
      </c>
      <c r="AE526" s="258">
        <f>AE525*Formulas!$C37</f>
        <v>0</v>
      </c>
      <c r="AF526" s="326">
        <f t="shared" si="204"/>
        <v>0</v>
      </c>
    </row>
    <row r="527" hidden="1">
      <c r="A527" s="54" t="s">
        <v>377</v>
      </c>
      <c r="B527" s="258">
        <f>(B413+B420+B427)*Formulas!$C8</f>
        <v>0</v>
      </c>
      <c r="C527" s="258">
        <f>(C413+C420+C427)*Formulas!$C8</f>
        <v>0</v>
      </c>
      <c r="D527" s="258">
        <f>(D413+D420+D427)*Formulas!$C8</f>
        <v>0</v>
      </c>
      <c r="E527" s="258">
        <f>(E413+E420+E427)*Formulas!$C8</f>
        <v>0</v>
      </c>
      <c r="F527" s="258">
        <f>(F413+F420+F427)*Formulas!$C8</f>
        <v>0</v>
      </c>
      <c r="G527" s="258">
        <f>(G413+G420+G427)*Formulas!$C8</f>
        <v>0</v>
      </c>
      <c r="H527" s="258">
        <f>(H413+H420+H427)*Formulas!$C8</f>
        <v>0</v>
      </c>
      <c r="I527" s="258">
        <f>(I413+I420+I427)*Formulas!$C8</f>
        <v>0</v>
      </c>
      <c r="J527" s="258">
        <f>(J413+J420+J427)*Formulas!$C8</f>
        <v>0</v>
      </c>
      <c r="K527" s="258">
        <f>(K413+K420+K427)*Formulas!$C8</f>
        <v>0</v>
      </c>
      <c r="L527" s="258">
        <f>(L413+L420+L427)*Formulas!$C8</f>
        <v>0</v>
      </c>
      <c r="M527" s="258">
        <f>(M413+M420+M427)*Formulas!$C8</f>
        <v>0</v>
      </c>
      <c r="N527" s="258">
        <f>(N413+N420+N427)*Formulas!$C8</f>
        <v>0</v>
      </c>
      <c r="O527" s="258">
        <f>(O413+O420+O427)*Formulas!$C8</f>
        <v>0</v>
      </c>
      <c r="P527" s="258">
        <f>(P413+P420+P427)*Formulas!$C8</f>
        <v>0</v>
      </c>
      <c r="Q527" s="258">
        <f>(Q413+Q420+Q427)*Formulas!$C8</f>
        <v>0</v>
      </c>
      <c r="R527" s="258">
        <f>(R413+R420+R427)*Formulas!$C8</f>
        <v>0</v>
      </c>
      <c r="S527" s="258">
        <f>(S413+S420+S427)*Formulas!$C8</f>
        <v>0</v>
      </c>
      <c r="T527" s="258">
        <f>(T413+T420+T427)*Formulas!$C8</f>
        <v>0</v>
      </c>
      <c r="U527" s="258">
        <f>(U413+U420+U427)*Formulas!$C8</f>
        <v>0</v>
      </c>
      <c r="V527" s="258">
        <f>(V413+V420+V427)*Formulas!$C8</f>
        <v>0</v>
      </c>
      <c r="W527" s="258">
        <f>(W413+W420+W427)*Formulas!$C8</f>
        <v>0</v>
      </c>
      <c r="X527" s="258">
        <f>(X413+X420+X427)*Formulas!$C8</f>
        <v>0</v>
      </c>
      <c r="Y527" s="258">
        <f>(Y413+Y420+Y427)*Formulas!$C8</f>
        <v>0</v>
      </c>
      <c r="Z527" s="258">
        <f>(Z413+Z420+Z427)*Formulas!$C8</f>
        <v>0</v>
      </c>
      <c r="AA527" s="258">
        <f>(AA413+AA420+AA427)*Formulas!$C8</f>
        <v>0</v>
      </c>
      <c r="AB527" s="258">
        <f>(AB413+AB420+AB427)*Formulas!$C8</f>
        <v>0</v>
      </c>
      <c r="AC527" s="258">
        <f>(AC413+AC420+AC427)*Formulas!$C8</f>
        <v>0</v>
      </c>
      <c r="AD527" s="258">
        <f>(AD413+AD420+AD427)*Formulas!$C8</f>
        <v>0</v>
      </c>
      <c r="AE527" s="258">
        <f>(AE413+AE420+AE427)*Formulas!$C8</f>
        <v>0</v>
      </c>
      <c r="AF527" s="326">
        <f t="shared" si="204"/>
        <v>0</v>
      </c>
    </row>
    <row r="528" hidden="1">
      <c r="A528" s="33" t="s">
        <v>378</v>
      </c>
      <c r="B528" s="258">
        <f>B527*Formulas!$C37</f>
        <v>0</v>
      </c>
      <c r="C528" s="258">
        <f>C527*Formulas!$C37</f>
        <v>0</v>
      </c>
      <c r="D528" s="258">
        <f>D527*Formulas!$C37</f>
        <v>0</v>
      </c>
      <c r="E528" s="258">
        <f>E527*Formulas!$C37</f>
        <v>0</v>
      </c>
      <c r="F528" s="258">
        <f>F527*Formulas!$C37</f>
        <v>0</v>
      </c>
      <c r="G528" s="258">
        <f>G527*Formulas!$C37</f>
        <v>0</v>
      </c>
      <c r="H528" s="258">
        <f>H527*Formulas!$C37</f>
        <v>0</v>
      </c>
      <c r="I528" s="258">
        <f>I527*Formulas!$C37</f>
        <v>0</v>
      </c>
      <c r="J528" s="258">
        <f>J527*Formulas!$C37</f>
        <v>0</v>
      </c>
      <c r="K528" s="258">
        <f>K527*Formulas!$C37</f>
        <v>0</v>
      </c>
      <c r="L528" s="258">
        <f>L527*Formulas!$C37</f>
        <v>0</v>
      </c>
      <c r="M528" s="258">
        <f>M527*Formulas!$C37</f>
        <v>0</v>
      </c>
      <c r="N528" s="258">
        <f>N527*Formulas!$C37</f>
        <v>0</v>
      </c>
      <c r="O528" s="258">
        <f>O527*Formulas!$C37</f>
        <v>0</v>
      </c>
      <c r="P528" s="258">
        <f>P527*Formulas!$C37</f>
        <v>0</v>
      </c>
      <c r="Q528" s="258">
        <f>Q527*Formulas!$C37</f>
        <v>0</v>
      </c>
      <c r="R528" s="258">
        <f>R527*Formulas!$C37</f>
        <v>0</v>
      </c>
      <c r="S528" s="258">
        <f>S527*Formulas!$C37</f>
        <v>0</v>
      </c>
      <c r="T528" s="258">
        <f>T527*Formulas!$C37</f>
        <v>0</v>
      </c>
      <c r="U528" s="258">
        <f>U527*Formulas!$C37</f>
        <v>0</v>
      </c>
      <c r="V528" s="258">
        <f>V527*Formulas!$C37</f>
        <v>0</v>
      </c>
      <c r="W528" s="258">
        <f>W527*Formulas!$C37</f>
        <v>0</v>
      </c>
      <c r="X528" s="258">
        <f>X527*Formulas!$C37</f>
        <v>0</v>
      </c>
      <c r="Y528" s="258">
        <f>Y527*Formulas!$C37</f>
        <v>0</v>
      </c>
      <c r="Z528" s="258">
        <f>Z527*Formulas!$C37</f>
        <v>0</v>
      </c>
      <c r="AA528" s="258">
        <f>AA527*Formulas!$C37</f>
        <v>0</v>
      </c>
      <c r="AB528" s="258">
        <f>AB527*Formulas!$C37</f>
        <v>0</v>
      </c>
      <c r="AC528" s="258">
        <f>AC527*Formulas!$C37</f>
        <v>0</v>
      </c>
      <c r="AD528" s="258">
        <f>AD527*Formulas!$C37</f>
        <v>0</v>
      </c>
      <c r="AE528" s="258">
        <f>AE527*Formulas!$C37</f>
        <v>0</v>
      </c>
      <c r="AF528" s="326">
        <f t="shared" si="204"/>
        <v>0</v>
      </c>
    </row>
    <row r="529" hidden="1">
      <c r="A529" s="33" t="s">
        <v>379</v>
      </c>
      <c r="B529" s="258">
        <f>B527*Formulas!$C36</f>
        <v>0</v>
      </c>
      <c r="C529" s="258">
        <f>C527*Formulas!$C36</f>
        <v>0</v>
      </c>
      <c r="D529" s="258">
        <f>D527*Formulas!$C36</f>
        <v>0</v>
      </c>
      <c r="E529" s="258">
        <f>E527*Formulas!$C36</f>
        <v>0</v>
      </c>
      <c r="F529" s="258">
        <f>F527*Formulas!$C36</f>
        <v>0</v>
      </c>
      <c r="G529" s="258">
        <f>G527*Formulas!$C36</f>
        <v>0</v>
      </c>
      <c r="H529" s="258">
        <f>H527*Formulas!$C36</f>
        <v>0</v>
      </c>
      <c r="I529" s="258">
        <f>I527*Formulas!$C36</f>
        <v>0</v>
      </c>
      <c r="J529" s="258">
        <f>J527*Formulas!$C36</f>
        <v>0</v>
      </c>
      <c r="K529" s="258">
        <f>K527*Formulas!$C36</f>
        <v>0</v>
      </c>
      <c r="L529" s="258">
        <f>L527*Formulas!$C36</f>
        <v>0</v>
      </c>
      <c r="M529" s="258">
        <f>M527*Formulas!$C36</f>
        <v>0</v>
      </c>
      <c r="N529" s="258">
        <f>N527*Formulas!$C36</f>
        <v>0</v>
      </c>
      <c r="O529" s="258">
        <f>O527*Formulas!$C36</f>
        <v>0</v>
      </c>
      <c r="P529" s="258">
        <f>P527*Formulas!$C36</f>
        <v>0</v>
      </c>
      <c r="Q529" s="258">
        <f>Q527*Formulas!$C36</f>
        <v>0</v>
      </c>
      <c r="R529" s="258">
        <f>R527*Formulas!$C36</f>
        <v>0</v>
      </c>
      <c r="S529" s="258">
        <f>S527*Formulas!$C36</f>
        <v>0</v>
      </c>
      <c r="T529" s="258">
        <f>T527*Formulas!$C36</f>
        <v>0</v>
      </c>
      <c r="U529" s="258">
        <f>U527*Formulas!$C36</f>
        <v>0</v>
      </c>
      <c r="V529" s="258">
        <f>V527*Formulas!$C36</f>
        <v>0</v>
      </c>
      <c r="W529" s="258">
        <f>W527*Formulas!$C36</f>
        <v>0</v>
      </c>
      <c r="X529" s="258">
        <f>X527*Formulas!$C36</f>
        <v>0</v>
      </c>
      <c r="Y529" s="258">
        <f>Y527*Formulas!$C36</f>
        <v>0</v>
      </c>
      <c r="Z529" s="258">
        <f>Z527*Formulas!$C36</f>
        <v>0</v>
      </c>
      <c r="AA529" s="258">
        <f>AA527*Formulas!$C36</f>
        <v>0</v>
      </c>
      <c r="AB529" s="258">
        <f>AB527*Formulas!$C36</f>
        <v>0</v>
      </c>
      <c r="AC529" s="258">
        <f>AC527*Formulas!$C36</f>
        <v>0</v>
      </c>
      <c r="AD529" s="258">
        <f>AD527*Formulas!$C36</f>
        <v>0</v>
      </c>
      <c r="AE529" s="258">
        <f>AE527*Formulas!$C36</f>
        <v>0</v>
      </c>
      <c r="AF529" s="326">
        <f t="shared" si="204"/>
        <v>0</v>
      </c>
    </row>
    <row r="530" hidden="1">
      <c r="A530" s="54" t="s">
        <v>410</v>
      </c>
      <c r="B530" s="258">
        <f>(B412+B419+B426)*Formulas!$C7</f>
        <v>0</v>
      </c>
      <c r="C530" s="258">
        <f>(C412+C419+C426)*Formulas!$C7</f>
        <v>0</v>
      </c>
      <c r="D530" s="258">
        <f>(D412+D419+D426)*Formulas!$C7</f>
        <v>0</v>
      </c>
      <c r="E530" s="258">
        <f>(E412+E419+E426)*Formulas!$C7</f>
        <v>0</v>
      </c>
      <c r="F530" s="258">
        <f>(F412+F419+F426)*Formulas!$C7</f>
        <v>0</v>
      </c>
      <c r="G530" s="258">
        <f>(G412+G419+G426)*Formulas!$C7</f>
        <v>0</v>
      </c>
      <c r="H530" s="258">
        <f>(H412+H419+H426)*Formulas!$C7</f>
        <v>0</v>
      </c>
      <c r="I530" s="258">
        <f>(I412+I419+I426)*Formulas!$C7</f>
        <v>0</v>
      </c>
      <c r="J530" s="258">
        <f>(J412+J419+J426)*Formulas!$C7</f>
        <v>0</v>
      </c>
      <c r="K530" s="258">
        <f>(K412+K419+K426)*Formulas!$C7</f>
        <v>0</v>
      </c>
      <c r="L530" s="258">
        <f>(L412+L419+L426)*Formulas!$C7</f>
        <v>0</v>
      </c>
      <c r="M530" s="258">
        <f>(M412+M419+M426)*Formulas!$C7</f>
        <v>0</v>
      </c>
      <c r="N530" s="258">
        <f>(N412+N419+N426)*Formulas!$C7</f>
        <v>0</v>
      </c>
      <c r="O530" s="258">
        <f>(O412+O419+O426)*Formulas!$C7</f>
        <v>0</v>
      </c>
      <c r="P530" s="258">
        <f>(P412+P419+P426)*Formulas!$C7</f>
        <v>0</v>
      </c>
      <c r="Q530" s="258">
        <f>(Q412+Q419+Q426)*Formulas!$C7</f>
        <v>0</v>
      </c>
      <c r="R530" s="258">
        <f>(R412+R419+R426)*Formulas!$C7</f>
        <v>0</v>
      </c>
      <c r="S530" s="258">
        <f>(S412+S419+S426)*Formulas!$C7</f>
        <v>0</v>
      </c>
      <c r="T530" s="258">
        <f>(T412+T419+T426)*Formulas!$C7</f>
        <v>0</v>
      </c>
      <c r="U530" s="258">
        <f>(U412+U419+U426)*Formulas!$C7</f>
        <v>0</v>
      </c>
      <c r="V530" s="258">
        <f>(V412+V419+V426)*Formulas!$C7</f>
        <v>0</v>
      </c>
      <c r="W530" s="258">
        <f>(W412+W419+W426)*Formulas!$C7</f>
        <v>0</v>
      </c>
      <c r="X530" s="258">
        <f>(X412+X419+X426)*Formulas!$C7</f>
        <v>0</v>
      </c>
      <c r="Y530" s="258">
        <f>(Y412+Y419+Y426)*Formulas!$C7</f>
        <v>0</v>
      </c>
      <c r="Z530" s="258">
        <f>(Z412+Z419+Z426)*Formulas!$C7</f>
        <v>0</v>
      </c>
      <c r="AA530" s="258">
        <f>(AA412+AA419+AA426)*Formulas!$C7</f>
        <v>0</v>
      </c>
      <c r="AB530" s="258">
        <f>(AB412+AB419+AB426)*Formulas!$C7</f>
        <v>0</v>
      </c>
      <c r="AC530" s="258">
        <f>(AC412+AC419+AC426)*Formulas!$C7</f>
        <v>0</v>
      </c>
      <c r="AD530" s="258">
        <f>(AD412+AD419+AD426)*Formulas!$C7</f>
        <v>0</v>
      </c>
      <c r="AE530" s="258">
        <f>(AE412+AE419+AE426)*Formulas!$C7</f>
        <v>0</v>
      </c>
      <c r="AF530" s="326">
        <f t="shared" si="204"/>
        <v>0</v>
      </c>
    </row>
    <row r="531" hidden="1">
      <c r="A531" s="33" t="s">
        <v>381</v>
      </c>
      <c r="B531" s="258">
        <f>B530*Formulas!$C37</f>
        <v>0</v>
      </c>
      <c r="C531" s="258">
        <f>C530*Formulas!$C37</f>
        <v>0</v>
      </c>
      <c r="D531" s="258">
        <f>D530*Formulas!$C37</f>
        <v>0</v>
      </c>
      <c r="E531" s="258">
        <f>E530*Formulas!$C37</f>
        <v>0</v>
      </c>
      <c r="F531" s="258">
        <f>F530*Formulas!$C37</f>
        <v>0</v>
      </c>
      <c r="G531" s="258">
        <f>G530*Formulas!$C37</f>
        <v>0</v>
      </c>
      <c r="H531" s="258">
        <f>H530*Formulas!$C37</f>
        <v>0</v>
      </c>
      <c r="I531" s="258">
        <f>I530*Formulas!$C37</f>
        <v>0</v>
      </c>
      <c r="J531" s="258">
        <f>J530*Formulas!$C37</f>
        <v>0</v>
      </c>
      <c r="K531" s="258">
        <f>K530*Formulas!$C37</f>
        <v>0</v>
      </c>
      <c r="L531" s="258">
        <f>L530*Formulas!$C37</f>
        <v>0</v>
      </c>
      <c r="M531" s="258">
        <f>M530*Formulas!$C37</f>
        <v>0</v>
      </c>
      <c r="N531" s="258">
        <f>N530*Formulas!$C37</f>
        <v>0</v>
      </c>
      <c r="O531" s="258">
        <f>O530*Formulas!$C37</f>
        <v>0</v>
      </c>
      <c r="P531" s="258">
        <f>P530*Formulas!$C37</f>
        <v>0</v>
      </c>
      <c r="Q531" s="258">
        <f>Q530*Formulas!$C37</f>
        <v>0</v>
      </c>
      <c r="R531" s="258">
        <f>R530*Formulas!$C37</f>
        <v>0</v>
      </c>
      <c r="S531" s="258">
        <f>S530*Formulas!$C37</f>
        <v>0</v>
      </c>
      <c r="T531" s="258">
        <f>T530*Formulas!$C37</f>
        <v>0</v>
      </c>
      <c r="U531" s="258">
        <f>U530*Formulas!$C37</f>
        <v>0</v>
      </c>
      <c r="V531" s="258">
        <f>V530*Formulas!$C37</f>
        <v>0</v>
      </c>
      <c r="W531" s="258">
        <f>W530*Formulas!$C37</f>
        <v>0</v>
      </c>
      <c r="X531" s="258">
        <f>X530*Formulas!$C37</f>
        <v>0</v>
      </c>
      <c r="Y531" s="258">
        <f>Y530*Formulas!$C37</f>
        <v>0</v>
      </c>
      <c r="Z531" s="258">
        <f>Z530*Formulas!$C37</f>
        <v>0</v>
      </c>
      <c r="AA531" s="258">
        <f>AA530*Formulas!$C37</f>
        <v>0</v>
      </c>
      <c r="AB531" s="258">
        <f>AB530*Formulas!$C37</f>
        <v>0</v>
      </c>
      <c r="AC531" s="258">
        <f>AC530*Formulas!$C37</f>
        <v>0</v>
      </c>
      <c r="AD531" s="258">
        <f>AD530*Formulas!$C37</f>
        <v>0</v>
      </c>
      <c r="AE531" s="258">
        <f>AE530*Formulas!$C37</f>
        <v>0</v>
      </c>
      <c r="AF531" s="326">
        <f t="shared" si="204"/>
        <v>0</v>
      </c>
    </row>
    <row r="532" hidden="1">
      <c r="A532" s="33" t="s">
        <v>382</v>
      </c>
      <c r="B532" s="258">
        <f>B530*Formulas!$C36</f>
        <v>0</v>
      </c>
      <c r="C532" s="258">
        <f>C530*Formulas!$C36</f>
        <v>0</v>
      </c>
      <c r="D532" s="258">
        <f>D530*Formulas!$C36</f>
        <v>0</v>
      </c>
      <c r="E532" s="258">
        <f>E530*Formulas!$C36</f>
        <v>0</v>
      </c>
      <c r="F532" s="258">
        <f>F530*Formulas!$C36</f>
        <v>0</v>
      </c>
      <c r="G532" s="258">
        <f>G530*Formulas!$C36</f>
        <v>0</v>
      </c>
      <c r="H532" s="258">
        <f>H530*Formulas!$C36</f>
        <v>0</v>
      </c>
      <c r="I532" s="258">
        <f>I530*Formulas!$C36</f>
        <v>0</v>
      </c>
      <c r="J532" s="258">
        <f>J530*Formulas!$C36</f>
        <v>0</v>
      </c>
      <c r="K532" s="258">
        <f>K530*Formulas!$C36</f>
        <v>0</v>
      </c>
      <c r="L532" s="258">
        <f>L530*Formulas!$C36</f>
        <v>0</v>
      </c>
      <c r="M532" s="258">
        <f>M530*Formulas!$C36</f>
        <v>0</v>
      </c>
      <c r="N532" s="258">
        <f>N530*Formulas!$C36</f>
        <v>0</v>
      </c>
      <c r="O532" s="258">
        <f>O530*Formulas!$C36</f>
        <v>0</v>
      </c>
      <c r="P532" s="258">
        <f>P530*Formulas!$C36</f>
        <v>0</v>
      </c>
      <c r="Q532" s="258">
        <f>Q530*Formulas!$C36</f>
        <v>0</v>
      </c>
      <c r="R532" s="258">
        <f>R530*Formulas!$C36</f>
        <v>0</v>
      </c>
      <c r="S532" s="258">
        <f>S530*Formulas!$C36</f>
        <v>0</v>
      </c>
      <c r="T532" s="258">
        <f>T530*Formulas!$C36</f>
        <v>0</v>
      </c>
      <c r="U532" s="258">
        <f>U530*Formulas!$C36</f>
        <v>0</v>
      </c>
      <c r="V532" s="258">
        <f>V530*Formulas!$C36</f>
        <v>0</v>
      </c>
      <c r="W532" s="258">
        <f>W530*Formulas!$C36</f>
        <v>0</v>
      </c>
      <c r="X532" s="258">
        <f>X530*Formulas!$C36</f>
        <v>0</v>
      </c>
      <c r="Y532" s="258">
        <f>Y530*Formulas!$C36</f>
        <v>0</v>
      </c>
      <c r="Z532" s="258">
        <f>Z530*Formulas!$C36</f>
        <v>0</v>
      </c>
      <c r="AA532" s="258">
        <f>AA530*Formulas!$C36</f>
        <v>0</v>
      </c>
      <c r="AB532" s="258">
        <f>AB530*Formulas!$C36</f>
        <v>0</v>
      </c>
      <c r="AC532" s="258">
        <f>AC530*Formulas!$C36</f>
        <v>0</v>
      </c>
      <c r="AD532" s="258">
        <f>AD530*Formulas!$C36</f>
        <v>0</v>
      </c>
      <c r="AE532" s="258">
        <f>AE530*Formulas!$C36</f>
        <v>0</v>
      </c>
      <c r="AF532" s="326">
        <f t="shared" si="204"/>
        <v>0</v>
      </c>
    </row>
    <row r="533" hidden="1">
      <c r="A533" s="54" t="s">
        <v>411</v>
      </c>
      <c r="B533" s="258">
        <f>(B414+B421+B428)*Formulas!$C9</f>
        <v>0</v>
      </c>
      <c r="C533" s="258">
        <f>(C414+C421+C428)*Formulas!$C9</f>
        <v>0</v>
      </c>
      <c r="D533" s="258">
        <f>(D414+D421+D428)*Formulas!$C9</f>
        <v>0</v>
      </c>
      <c r="E533" s="258">
        <f>(E414+E421+E428)*Formulas!$C9</f>
        <v>0</v>
      </c>
      <c r="F533" s="258">
        <f>(F414+F421+F428)*Formulas!$C9</f>
        <v>0</v>
      </c>
      <c r="G533" s="258">
        <f>(G414+G421+G428)*Formulas!$C9</f>
        <v>0</v>
      </c>
      <c r="H533" s="258">
        <f>(H414+H421+H428)*Formulas!$C9</f>
        <v>0</v>
      </c>
      <c r="I533" s="258">
        <f>(I414+I421+I428)*Formulas!$C9</f>
        <v>0</v>
      </c>
      <c r="J533" s="258">
        <f>(J414+J421+J428)*Formulas!$C9</f>
        <v>0</v>
      </c>
      <c r="K533" s="258">
        <f>(K414+K421+K428)*Formulas!$C9</f>
        <v>0</v>
      </c>
      <c r="L533" s="258">
        <f>(L414+L421+L428)*Formulas!$C9</f>
        <v>0</v>
      </c>
      <c r="M533" s="258">
        <f>(M414+M421+M428)*Formulas!$C9</f>
        <v>0</v>
      </c>
      <c r="N533" s="258">
        <f>(N414+N421+N428)*Formulas!$C9</f>
        <v>0</v>
      </c>
      <c r="O533" s="258">
        <f>(O414+O421+O428)*Formulas!$C9</f>
        <v>0</v>
      </c>
      <c r="P533" s="258">
        <f>(P414+P421+P428)*Formulas!$C9</f>
        <v>0</v>
      </c>
      <c r="Q533" s="258">
        <f>(Q414+Q421+Q428)*Formulas!$C9</f>
        <v>0</v>
      </c>
      <c r="R533" s="258">
        <f>(R414+R421+R428)*Formulas!$C9</f>
        <v>0</v>
      </c>
      <c r="S533" s="258">
        <f>(S414+S421+S428)*Formulas!$C9</f>
        <v>0</v>
      </c>
      <c r="T533" s="258">
        <f>(T414+T421+T428)*Formulas!$C9</f>
        <v>0</v>
      </c>
      <c r="U533" s="258">
        <f>(U414+U421+U428)*Formulas!$C9</f>
        <v>0</v>
      </c>
      <c r="V533" s="258">
        <f>(V414+V421+V428)*Formulas!$C9</f>
        <v>0</v>
      </c>
      <c r="W533" s="258">
        <f>(W414+W421+W428)*Formulas!$C9</f>
        <v>0</v>
      </c>
      <c r="X533" s="258">
        <f>(X414+X421+X428)*Formulas!$C9</f>
        <v>0</v>
      </c>
      <c r="Y533" s="258">
        <f>(Y414+Y421+Y428)*Formulas!$C9</f>
        <v>0</v>
      </c>
      <c r="Z533" s="258">
        <f>(Z414+Z421+Z428)*Formulas!$C9</f>
        <v>0</v>
      </c>
      <c r="AA533" s="258">
        <f>(AA414+AA421+AA428)*Formulas!$C9</f>
        <v>0</v>
      </c>
      <c r="AB533" s="258">
        <f>(AB414+AB421+AB428)*Formulas!$C9</f>
        <v>0</v>
      </c>
      <c r="AC533" s="258">
        <f>(AC414+AC421+AC428)*Formulas!$C9</f>
        <v>0</v>
      </c>
      <c r="AD533" s="258">
        <f>(AD414+AD421+AD428)*Formulas!$C9</f>
        <v>0</v>
      </c>
      <c r="AE533" s="258">
        <f>(AE414+AE421+AE428)*Formulas!$C9</f>
        <v>0</v>
      </c>
      <c r="AF533" s="326">
        <f t="shared" si="204"/>
        <v>0</v>
      </c>
    </row>
    <row r="534" hidden="1">
      <c r="A534" s="33" t="s">
        <v>384</v>
      </c>
      <c r="B534" s="258">
        <f>B533*Formulas!$C37</f>
        <v>0</v>
      </c>
      <c r="C534" s="258">
        <f>C533*Formulas!$C37</f>
        <v>0</v>
      </c>
      <c r="D534" s="258">
        <f>D533*Formulas!$C37</f>
        <v>0</v>
      </c>
      <c r="E534" s="258">
        <f>E533*Formulas!$C37</f>
        <v>0</v>
      </c>
      <c r="F534" s="258">
        <f>F533*Formulas!$C37</f>
        <v>0</v>
      </c>
      <c r="G534" s="258">
        <f>G533*Formulas!$C37</f>
        <v>0</v>
      </c>
      <c r="H534" s="258">
        <f>H533*Formulas!$C37</f>
        <v>0</v>
      </c>
      <c r="I534" s="258">
        <f>I533*Formulas!$C37</f>
        <v>0</v>
      </c>
      <c r="J534" s="258">
        <f>J533*Formulas!$C37</f>
        <v>0</v>
      </c>
      <c r="K534" s="258">
        <f>K533*Formulas!$C37</f>
        <v>0</v>
      </c>
      <c r="L534" s="258">
        <f>L533*Formulas!$C37</f>
        <v>0</v>
      </c>
      <c r="M534" s="258">
        <f>M533*Formulas!$C37</f>
        <v>0</v>
      </c>
      <c r="N534" s="258">
        <f>N533*Formulas!$C37</f>
        <v>0</v>
      </c>
      <c r="O534" s="258">
        <f>O533*Formulas!$C37</f>
        <v>0</v>
      </c>
      <c r="P534" s="258">
        <f>P533*Formulas!$C37</f>
        <v>0</v>
      </c>
      <c r="Q534" s="258">
        <f>Q533*Formulas!$C37</f>
        <v>0</v>
      </c>
      <c r="R534" s="258">
        <f>R533*Formulas!$C37</f>
        <v>0</v>
      </c>
      <c r="S534" s="258">
        <f>S533*Formulas!$C37</f>
        <v>0</v>
      </c>
      <c r="T534" s="258">
        <f>T533*Formulas!$C37</f>
        <v>0</v>
      </c>
      <c r="U534" s="258">
        <f>U533*Formulas!$C37</f>
        <v>0</v>
      </c>
      <c r="V534" s="258">
        <f>V533*Formulas!$C37</f>
        <v>0</v>
      </c>
      <c r="W534" s="258">
        <f>W533*Formulas!$C37</f>
        <v>0</v>
      </c>
      <c r="X534" s="258">
        <f>X533*Formulas!$C37</f>
        <v>0</v>
      </c>
      <c r="Y534" s="258">
        <f>Y533*Formulas!$C37</f>
        <v>0</v>
      </c>
      <c r="Z534" s="258">
        <f>Z533*Formulas!$C37</f>
        <v>0</v>
      </c>
      <c r="AA534" s="258">
        <f>AA533*Formulas!$C37</f>
        <v>0</v>
      </c>
      <c r="AB534" s="258">
        <f>AB533*Formulas!$C37</f>
        <v>0</v>
      </c>
      <c r="AC534" s="258">
        <f>AC533*Formulas!$C37</f>
        <v>0</v>
      </c>
      <c r="AD534" s="258">
        <f>AD533*Formulas!$C37</f>
        <v>0</v>
      </c>
      <c r="AE534" s="258">
        <f>AE533*Formulas!$C37</f>
        <v>0</v>
      </c>
      <c r="AF534" s="326">
        <f t="shared" si="204"/>
        <v>0</v>
      </c>
    </row>
    <row r="535" hidden="1">
      <c r="A535" s="33" t="s">
        <v>385</v>
      </c>
      <c r="B535" s="258">
        <f>B533*Formulas!$C36</f>
        <v>0</v>
      </c>
      <c r="C535" s="258">
        <f>C533*Formulas!$C36</f>
        <v>0</v>
      </c>
      <c r="D535" s="258">
        <f>D533*Formulas!$C36</f>
        <v>0</v>
      </c>
      <c r="E535" s="258">
        <f>E533*Formulas!$C36</f>
        <v>0</v>
      </c>
      <c r="F535" s="258">
        <f>F533*Formulas!$C36</f>
        <v>0</v>
      </c>
      <c r="G535" s="258">
        <f>G533*Formulas!$C36</f>
        <v>0</v>
      </c>
      <c r="H535" s="258">
        <f>H533*Formulas!$C36</f>
        <v>0</v>
      </c>
      <c r="I535" s="258">
        <f>I533*Formulas!$C36</f>
        <v>0</v>
      </c>
      <c r="J535" s="258">
        <f>J533*Formulas!$C36</f>
        <v>0</v>
      </c>
      <c r="K535" s="258">
        <f>K533*Formulas!$C36</f>
        <v>0</v>
      </c>
      <c r="L535" s="258">
        <f>L533*Formulas!$C36</f>
        <v>0</v>
      </c>
      <c r="M535" s="258">
        <f>M533*Formulas!$C36</f>
        <v>0</v>
      </c>
      <c r="N535" s="258">
        <f>N533*Formulas!$C36</f>
        <v>0</v>
      </c>
      <c r="O535" s="258">
        <f>O533*Formulas!$C36</f>
        <v>0</v>
      </c>
      <c r="P535" s="258">
        <f>P533*Formulas!$C36</f>
        <v>0</v>
      </c>
      <c r="Q535" s="258">
        <f>Q533*Formulas!$C36</f>
        <v>0</v>
      </c>
      <c r="R535" s="258">
        <f>R533*Formulas!$C36</f>
        <v>0</v>
      </c>
      <c r="S535" s="258">
        <f>S533*Formulas!$C36</f>
        <v>0</v>
      </c>
      <c r="T535" s="258">
        <f>T533*Formulas!$C36</f>
        <v>0</v>
      </c>
      <c r="U535" s="258">
        <f>U533*Formulas!$C36</f>
        <v>0</v>
      </c>
      <c r="V535" s="258">
        <f>V533*Formulas!$C36</f>
        <v>0</v>
      </c>
      <c r="W535" s="258">
        <f>W533*Formulas!$C36</f>
        <v>0</v>
      </c>
      <c r="X535" s="258">
        <f>X533*Formulas!$C36</f>
        <v>0</v>
      </c>
      <c r="Y535" s="258">
        <f>Y533*Formulas!$C36</f>
        <v>0</v>
      </c>
      <c r="Z535" s="258">
        <f>Z533*Formulas!$C36</f>
        <v>0</v>
      </c>
      <c r="AA535" s="258">
        <f>AA533*Formulas!$C36</f>
        <v>0</v>
      </c>
      <c r="AB535" s="258">
        <f>AB533*Formulas!$C36</f>
        <v>0</v>
      </c>
      <c r="AC535" s="258">
        <f>AC533*Formulas!$C36</f>
        <v>0</v>
      </c>
      <c r="AD535" s="258">
        <f>AD533*Formulas!$C36</f>
        <v>0</v>
      </c>
      <c r="AE535" s="258">
        <f>AE533*Formulas!$C36</f>
        <v>0</v>
      </c>
      <c r="AF535" s="326">
        <f t="shared" si="204"/>
        <v>0</v>
      </c>
    </row>
    <row r="536" hidden="1">
      <c r="A536" s="54" t="s">
        <v>412</v>
      </c>
      <c r="B536" s="258">
        <f>(B415+B422+B429)*Formulas!$C10</f>
        <v>0</v>
      </c>
      <c r="C536" s="258">
        <f>(C415+C422+C429)*Formulas!$C10</f>
        <v>0</v>
      </c>
      <c r="D536" s="258">
        <f>(D415+D422+D429)*Formulas!$C10</f>
        <v>0</v>
      </c>
      <c r="E536" s="258">
        <f>(E415+E422+E429)*Formulas!$C10</f>
        <v>0</v>
      </c>
      <c r="F536" s="258">
        <f>(F415+F422+F429)*Formulas!$C10</f>
        <v>0</v>
      </c>
      <c r="G536" s="258">
        <f>(G415+G422+G429)*Formulas!$C10</f>
        <v>0</v>
      </c>
      <c r="H536" s="258">
        <f>(H415+H422+H429)*Formulas!$C10</f>
        <v>0</v>
      </c>
      <c r="I536" s="258">
        <f>(I415+I422+I429)*Formulas!$C10</f>
        <v>0</v>
      </c>
      <c r="J536" s="258">
        <f>(J415+J422+J429)*Formulas!$C10</f>
        <v>0</v>
      </c>
      <c r="K536" s="258">
        <f>(K415+K422+K429)*Formulas!$C10</f>
        <v>0</v>
      </c>
      <c r="L536" s="258">
        <f>(L415+L422+L429)*Formulas!$C10</f>
        <v>0</v>
      </c>
      <c r="M536" s="258">
        <f>(M415+M422+M429)*Formulas!$C10</f>
        <v>0</v>
      </c>
      <c r="N536" s="258">
        <f>(N415+N422+N429)*Formulas!$C10</f>
        <v>0</v>
      </c>
      <c r="O536" s="258">
        <f>(O415+O422+O429)*Formulas!$C10</f>
        <v>0</v>
      </c>
      <c r="P536" s="258">
        <f>(P415+P422+P429)*Formulas!$C10</f>
        <v>0</v>
      </c>
      <c r="Q536" s="258">
        <f>(Q415+Q422+Q429)*Formulas!$C10</f>
        <v>0</v>
      </c>
      <c r="R536" s="258">
        <f>(R415+R422+R429)*Formulas!$C10</f>
        <v>0</v>
      </c>
      <c r="S536" s="258">
        <f>(S415+S422+S429)*Formulas!$C10</f>
        <v>0</v>
      </c>
      <c r="T536" s="258">
        <f>(T415+T422+T429)*Formulas!$C10</f>
        <v>0</v>
      </c>
      <c r="U536" s="258">
        <f>(U415+U422+U429)*Formulas!$C10</f>
        <v>0</v>
      </c>
      <c r="V536" s="258">
        <f>(V415+V422+V429)*Formulas!$C10</f>
        <v>0</v>
      </c>
      <c r="W536" s="258">
        <f>(W415+W422+W429)*Formulas!$C10</f>
        <v>0</v>
      </c>
      <c r="X536" s="258">
        <f>(X415+X422+X429)*Formulas!$C10</f>
        <v>0</v>
      </c>
      <c r="Y536" s="258">
        <f>(Y415+Y422+Y429)*Formulas!$C10</f>
        <v>0</v>
      </c>
      <c r="Z536" s="258">
        <f>(Z415+Z422+Z429)*Formulas!$C10</f>
        <v>0</v>
      </c>
      <c r="AA536" s="258">
        <f>(AA415+AA422+AA429)*Formulas!$C10</f>
        <v>0</v>
      </c>
      <c r="AB536" s="258">
        <f>(AB415+AB422+AB429)*Formulas!$C10</f>
        <v>0</v>
      </c>
      <c r="AC536" s="258">
        <f>(AC415+AC422+AC429)*Formulas!$C10</f>
        <v>0</v>
      </c>
      <c r="AD536" s="258">
        <f>(AD415+AD422+AD429)*Formulas!$C10</f>
        <v>0</v>
      </c>
      <c r="AE536" s="258">
        <f>(AE415+AE422+AE429)*Formulas!$C10</f>
        <v>0</v>
      </c>
      <c r="AF536" s="326">
        <f t="shared" si="204"/>
        <v>0</v>
      </c>
    </row>
    <row r="537" hidden="1">
      <c r="A537" s="33" t="s">
        <v>387</v>
      </c>
      <c r="B537" s="258">
        <f>B536*Formulas!$C37</f>
        <v>0</v>
      </c>
      <c r="C537" s="258">
        <f>C536*Formulas!$C37</f>
        <v>0</v>
      </c>
      <c r="D537" s="258">
        <f>D536*Formulas!$C37</f>
        <v>0</v>
      </c>
      <c r="E537" s="258">
        <f>E536*Formulas!$C37</f>
        <v>0</v>
      </c>
      <c r="F537" s="258">
        <f>F536*Formulas!$C37</f>
        <v>0</v>
      </c>
      <c r="G537" s="258">
        <f>G536*Formulas!$C37</f>
        <v>0</v>
      </c>
      <c r="H537" s="258">
        <f>H536*Formulas!$C37</f>
        <v>0</v>
      </c>
      <c r="I537" s="258">
        <f>I536*Formulas!$C37</f>
        <v>0</v>
      </c>
      <c r="J537" s="258">
        <f>J536*Formulas!$C37</f>
        <v>0</v>
      </c>
      <c r="K537" s="258">
        <f>K536*Formulas!$C37</f>
        <v>0</v>
      </c>
      <c r="L537" s="258">
        <f>L536*Formulas!$C37</f>
        <v>0</v>
      </c>
      <c r="M537" s="258">
        <f>M536*Formulas!$C37</f>
        <v>0</v>
      </c>
      <c r="N537" s="258">
        <f>N536*Formulas!$C37</f>
        <v>0</v>
      </c>
      <c r="O537" s="258">
        <f>O536*Formulas!$C37</f>
        <v>0</v>
      </c>
      <c r="P537" s="258">
        <f>P536*Formulas!$C37</f>
        <v>0</v>
      </c>
      <c r="Q537" s="258">
        <f>Q536*Formulas!$C37</f>
        <v>0</v>
      </c>
      <c r="R537" s="258">
        <f>R536*Formulas!$C37</f>
        <v>0</v>
      </c>
      <c r="S537" s="258">
        <f>S536*Formulas!$C37</f>
        <v>0</v>
      </c>
      <c r="T537" s="258">
        <f>T536*Formulas!$C37</f>
        <v>0</v>
      </c>
      <c r="U537" s="258">
        <f>U536*Formulas!$C37</f>
        <v>0</v>
      </c>
      <c r="V537" s="258">
        <f>V536*Formulas!$C37</f>
        <v>0</v>
      </c>
      <c r="W537" s="258">
        <f>W536*Formulas!$C37</f>
        <v>0</v>
      </c>
      <c r="X537" s="258">
        <f>X536*Formulas!$C37</f>
        <v>0</v>
      </c>
      <c r="Y537" s="258">
        <f>Y536*Formulas!$C37</f>
        <v>0</v>
      </c>
      <c r="Z537" s="258">
        <f>Z536*Formulas!$C37</f>
        <v>0</v>
      </c>
      <c r="AA537" s="258">
        <f>AA536*Formulas!$C37</f>
        <v>0</v>
      </c>
      <c r="AB537" s="258">
        <f>AB536*Formulas!$C37</f>
        <v>0</v>
      </c>
      <c r="AC537" s="258">
        <f>AC536*Formulas!$C37</f>
        <v>0</v>
      </c>
      <c r="AD537" s="258">
        <f>AD536*Formulas!$C37</f>
        <v>0</v>
      </c>
      <c r="AE537" s="258">
        <f>AE536*Formulas!$C37</f>
        <v>0</v>
      </c>
      <c r="AF537" s="326">
        <f t="shared" si="204"/>
        <v>0</v>
      </c>
    </row>
    <row r="538" hidden="1">
      <c r="A538" s="33" t="s">
        <v>388</v>
      </c>
      <c r="B538" s="258">
        <f>B536*Formulas!$C36</f>
        <v>0</v>
      </c>
      <c r="C538" s="258">
        <f>C536*Formulas!$C36</f>
        <v>0</v>
      </c>
      <c r="D538" s="258">
        <f>D536*Formulas!$C36</f>
        <v>0</v>
      </c>
      <c r="E538" s="258">
        <f>E536*Formulas!$C36</f>
        <v>0</v>
      </c>
      <c r="F538" s="258">
        <f>F536*Formulas!$C36</f>
        <v>0</v>
      </c>
      <c r="G538" s="258">
        <f>G536*Formulas!$C36</f>
        <v>0</v>
      </c>
      <c r="H538" s="258">
        <f>H536*Formulas!$C36</f>
        <v>0</v>
      </c>
      <c r="I538" s="258">
        <f>I536*Formulas!$C36</f>
        <v>0</v>
      </c>
      <c r="J538" s="258">
        <f>J536*Formulas!$C36</f>
        <v>0</v>
      </c>
      <c r="K538" s="258">
        <f>K536*Formulas!$C36</f>
        <v>0</v>
      </c>
      <c r="L538" s="258">
        <f>L536*Formulas!$C36</f>
        <v>0</v>
      </c>
      <c r="M538" s="258">
        <f>M536*Formulas!$C36</f>
        <v>0</v>
      </c>
      <c r="N538" s="258">
        <f>N536*Formulas!$C36</f>
        <v>0</v>
      </c>
      <c r="O538" s="258">
        <f>O536*Formulas!$C36</f>
        <v>0</v>
      </c>
      <c r="P538" s="258">
        <f>P536*Formulas!$C36</f>
        <v>0</v>
      </c>
      <c r="Q538" s="258">
        <f>Q536*Formulas!$C36</f>
        <v>0</v>
      </c>
      <c r="R538" s="258">
        <f>R536*Formulas!$C36</f>
        <v>0</v>
      </c>
      <c r="S538" s="258">
        <f>S536*Formulas!$C36</f>
        <v>0</v>
      </c>
      <c r="T538" s="258">
        <f>T536*Formulas!$C36</f>
        <v>0</v>
      </c>
      <c r="U538" s="258">
        <f>U536*Formulas!$C36</f>
        <v>0</v>
      </c>
      <c r="V538" s="258">
        <f>V536*Formulas!$C36</f>
        <v>0</v>
      </c>
      <c r="W538" s="258">
        <f>W536*Formulas!$C36</f>
        <v>0</v>
      </c>
      <c r="X538" s="258">
        <f>X536*Formulas!$C36</f>
        <v>0</v>
      </c>
      <c r="Y538" s="258">
        <f>Y536*Formulas!$C36</f>
        <v>0</v>
      </c>
      <c r="Z538" s="258">
        <f>Z536*Formulas!$C36</f>
        <v>0</v>
      </c>
      <c r="AA538" s="258">
        <f>AA536*Formulas!$C36</f>
        <v>0</v>
      </c>
      <c r="AB538" s="258">
        <f>AB536*Formulas!$C36</f>
        <v>0</v>
      </c>
      <c r="AC538" s="258">
        <f>AC536*Formulas!$C36</f>
        <v>0</v>
      </c>
      <c r="AD538" s="258">
        <f>AD536*Formulas!$C36</f>
        <v>0</v>
      </c>
      <c r="AE538" s="258">
        <f>AE536*Formulas!$C36</f>
        <v>0</v>
      </c>
      <c r="AF538" s="326">
        <f t="shared" si="204"/>
        <v>0</v>
      </c>
    </row>
    <row r="539" hidden="1">
      <c r="A539" s="54" t="s">
        <v>416</v>
      </c>
      <c r="B539" s="258">
        <f>(B416+B423+B430)*Formulas!$C6</f>
        <v>0</v>
      </c>
      <c r="C539" s="258">
        <f>(C416+C423+C430)*Formulas!$C6</f>
        <v>0</v>
      </c>
      <c r="D539" s="258">
        <f>(D416+D423+D430)*Formulas!$C6</f>
        <v>0</v>
      </c>
      <c r="E539" s="258">
        <f>(E416+E423+E430)*Formulas!$C6</f>
        <v>0</v>
      </c>
      <c r="F539" s="258">
        <f>(F416+F423+F430)*Formulas!$C6</f>
        <v>0</v>
      </c>
      <c r="G539" s="258">
        <f>(G416+G423+G430)*Formulas!$C6</f>
        <v>0</v>
      </c>
      <c r="H539" s="258">
        <f>(H416+H423+H430)*Formulas!$C6</f>
        <v>0</v>
      </c>
      <c r="I539" s="258">
        <f>(I416+I423+I430)*Formulas!$C6</f>
        <v>0</v>
      </c>
      <c r="J539" s="258">
        <f>(J416+J423+J430)*Formulas!$C6</f>
        <v>0</v>
      </c>
      <c r="K539" s="258">
        <f>(K416+K423+K430)*Formulas!$C6</f>
        <v>0</v>
      </c>
      <c r="L539" s="258">
        <f>(L416+L423+L430)*Formulas!$C6</f>
        <v>0</v>
      </c>
      <c r="M539" s="258">
        <f>(M416+M423+M430)*Formulas!$C6</f>
        <v>0</v>
      </c>
      <c r="N539" s="258">
        <f>(N416+N423+N430)*Formulas!$C6</f>
        <v>0</v>
      </c>
      <c r="O539" s="258">
        <f>(O416+O423+O430)*Formulas!$C6</f>
        <v>0</v>
      </c>
      <c r="P539" s="258">
        <f>(P416+P423+P430)*Formulas!$C6</f>
        <v>0</v>
      </c>
      <c r="Q539" s="258">
        <f>(Q416+Q423+Q430)*Formulas!$C6</f>
        <v>0</v>
      </c>
      <c r="R539" s="258">
        <f>(R416+R423+R430)*Formulas!$C6</f>
        <v>0</v>
      </c>
      <c r="S539" s="258">
        <f>(S416+S423+S430)*Formulas!$C6</f>
        <v>0</v>
      </c>
      <c r="T539" s="258">
        <f>(T416+T423+T430)*Formulas!$C6</f>
        <v>0</v>
      </c>
      <c r="U539" s="258">
        <f>(U416+U423+U430)*Formulas!$C6</f>
        <v>0</v>
      </c>
      <c r="V539" s="258">
        <f>(V416+V423+V430)*Formulas!$C6</f>
        <v>0</v>
      </c>
      <c r="W539" s="258">
        <f>(W416+W423+W430)*Formulas!$C6</f>
        <v>0</v>
      </c>
      <c r="X539" s="258">
        <f>(X416+X423+X430)*Formulas!$C6</f>
        <v>0</v>
      </c>
      <c r="Y539" s="258">
        <f>(Y416+Y423+Y430)*Formulas!$C6</f>
        <v>0</v>
      </c>
      <c r="Z539" s="258">
        <f>(Z416+Z423+Z430)*Formulas!$C6</f>
        <v>0</v>
      </c>
      <c r="AA539" s="258">
        <f>(AA416+AA423+AA430)*Formulas!$C6</f>
        <v>0</v>
      </c>
      <c r="AB539" s="258">
        <f>(AB416+AB423+AB430)*Formulas!$C6</f>
        <v>0</v>
      </c>
      <c r="AC539" s="258">
        <f>(AC416+AC423+AC430)*Formulas!$C6</f>
        <v>0</v>
      </c>
      <c r="AD539" s="258">
        <f>(AD416+AD423+AD430)*Formulas!$C6</f>
        <v>0</v>
      </c>
      <c r="AE539" s="258">
        <f>(AE416+AE423+AE430)*Formulas!$C6</f>
        <v>0</v>
      </c>
      <c r="AF539" s="326">
        <f t="shared" si="204"/>
        <v>0</v>
      </c>
    </row>
    <row r="540" hidden="1">
      <c r="A540" s="33" t="s">
        <v>390</v>
      </c>
      <c r="B540" s="258">
        <f>B539*Formulas!$C40</f>
        <v>0</v>
      </c>
      <c r="C540" s="258">
        <f>C539*Formulas!$C40</f>
        <v>0</v>
      </c>
      <c r="D540" s="258">
        <f>D539*Formulas!$C40</f>
        <v>0</v>
      </c>
      <c r="E540" s="258">
        <f>E539*Formulas!$C40</f>
        <v>0</v>
      </c>
      <c r="F540" s="258">
        <f>F539*Formulas!$C40</f>
        <v>0</v>
      </c>
      <c r="G540" s="258">
        <f>G539*Formulas!$C40</f>
        <v>0</v>
      </c>
      <c r="H540" s="258">
        <f>H539*Formulas!$C40</f>
        <v>0</v>
      </c>
      <c r="I540" s="258">
        <f>I539*Formulas!$C40</f>
        <v>0</v>
      </c>
      <c r="J540" s="258">
        <f>J539*Formulas!$C40</f>
        <v>0</v>
      </c>
      <c r="K540" s="258">
        <f>K539*Formulas!$C40</f>
        <v>0</v>
      </c>
      <c r="L540" s="258">
        <f>L539*Formulas!$C40</f>
        <v>0</v>
      </c>
      <c r="M540" s="258">
        <f>M539*Formulas!$C40</f>
        <v>0</v>
      </c>
      <c r="N540" s="258">
        <f>N539*Formulas!$C40</f>
        <v>0</v>
      </c>
      <c r="O540" s="258">
        <f>O539*Formulas!$C40</f>
        <v>0</v>
      </c>
      <c r="P540" s="258">
        <f>P539*Formulas!$C40</f>
        <v>0</v>
      </c>
      <c r="Q540" s="258">
        <f>Q539*Formulas!$C40</f>
        <v>0</v>
      </c>
      <c r="R540" s="258">
        <f>R539*Formulas!$C40</f>
        <v>0</v>
      </c>
      <c r="S540" s="258">
        <f>S539*Formulas!$C40</f>
        <v>0</v>
      </c>
      <c r="T540" s="258">
        <f>T539*Formulas!$C40</f>
        <v>0</v>
      </c>
      <c r="U540" s="258">
        <f>U539*Formulas!$C40</f>
        <v>0</v>
      </c>
      <c r="V540" s="258">
        <f>V539*Formulas!$C40</f>
        <v>0</v>
      </c>
      <c r="W540" s="258">
        <f>W539*Formulas!$C40</f>
        <v>0</v>
      </c>
      <c r="X540" s="258">
        <f>X539*Formulas!$C40</f>
        <v>0</v>
      </c>
      <c r="Y540" s="258">
        <f>Y539*Formulas!$C40</f>
        <v>0</v>
      </c>
      <c r="Z540" s="258">
        <f>Z539*Formulas!$C40</f>
        <v>0</v>
      </c>
      <c r="AA540" s="258">
        <f>AA539*Formulas!$C40</f>
        <v>0</v>
      </c>
      <c r="AB540" s="258">
        <f>AB539*Formulas!$C40</f>
        <v>0</v>
      </c>
      <c r="AC540" s="258">
        <f>AC539*Formulas!$C40</f>
        <v>0</v>
      </c>
      <c r="AD540" s="258">
        <f>AD539*Formulas!$C40</f>
        <v>0</v>
      </c>
      <c r="AE540" s="258">
        <f>AE539*Formulas!$C40</f>
        <v>0</v>
      </c>
      <c r="AF540" s="326">
        <f t="shared" si="204"/>
        <v>0</v>
      </c>
    </row>
    <row r="541" hidden="1">
      <c r="A541" s="33" t="s">
        <v>391</v>
      </c>
      <c r="B541" s="258">
        <f>B539*Formulas!$C41</f>
        <v>0</v>
      </c>
      <c r="C541" s="258">
        <f>C539*Formulas!$C41</f>
        <v>0</v>
      </c>
      <c r="D541" s="258">
        <f>D539*Formulas!$C41</f>
        <v>0</v>
      </c>
      <c r="E541" s="258">
        <f>E539*Formulas!$C41</f>
        <v>0</v>
      </c>
      <c r="F541" s="258">
        <f>F539*Formulas!$C41</f>
        <v>0</v>
      </c>
      <c r="G541" s="258">
        <f>G539*Formulas!$C41</f>
        <v>0</v>
      </c>
      <c r="H541" s="258">
        <f>H539*Formulas!$C41</f>
        <v>0</v>
      </c>
      <c r="I541" s="258">
        <f>I539*Formulas!$C41</f>
        <v>0</v>
      </c>
      <c r="J541" s="258">
        <f>J539*Formulas!$C41</f>
        <v>0</v>
      </c>
      <c r="K541" s="258">
        <f>K539*Formulas!$C41</f>
        <v>0</v>
      </c>
      <c r="L541" s="258">
        <f>L539*Formulas!$C41</f>
        <v>0</v>
      </c>
      <c r="M541" s="258">
        <f>M539*Formulas!$C41</f>
        <v>0</v>
      </c>
      <c r="N541" s="258">
        <f>N539*Formulas!$C41</f>
        <v>0</v>
      </c>
      <c r="O541" s="258">
        <f>O539*Formulas!$C41</f>
        <v>0</v>
      </c>
      <c r="P541" s="258">
        <f>P539*Formulas!$C41</f>
        <v>0</v>
      </c>
      <c r="Q541" s="258">
        <f>Q539*Formulas!$C41</f>
        <v>0</v>
      </c>
      <c r="R541" s="258">
        <f>R539*Formulas!$C41</f>
        <v>0</v>
      </c>
      <c r="S541" s="258">
        <f>S539*Formulas!$C41</f>
        <v>0</v>
      </c>
      <c r="T541" s="258">
        <f>T539*Formulas!$C41</f>
        <v>0</v>
      </c>
      <c r="U541" s="258">
        <f>U539*Formulas!$C41</f>
        <v>0</v>
      </c>
      <c r="V541" s="258">
        <f>V539*Formulas!$C41</f>
        <v>0</v>
      </c>
      <c r="W541" s="258">
        <f>W539*Formulas!$C41</f>
        <v>0</v>
      </c>
      <c r="X541" s="258">
        <f>X539*Formulas!$C41</f>
        <v>0</v>
      </c>
      <c r="Y541" s="258">
        <f>Y539*Formulas!$C41</f>
        <v>0</v>
      </c>
      <c r="Z541" s="258">
        <f>Z539*Formulas!$C41</f>
        <v>0</v>
      </c>
      <c r="AA541" s="258">
        <f>AA539*Formulas!$C41</f>
        <v>0</v>
      </c>
      <c r="AB541" s="258">
        <f>AB539*Formulas!$C41</f>
        <v>0</v>
      </c>
      <c r="AC541" s="258">
        <f>AC539*Formulas!$C41</f>
        <v>0</v>
      </c>
      <c r="AD541" s="258">
        <f>AD539*Formulas!$C41</f>
        <v>0</v>
      </c>
      <c r="AE541" s="258">
        <f>AE539*Formulas!$C41</f>
        <v>0</v>
      </c>
      <c r="AF541" s="326">
        <f t="shared" si="204"/>
        <v>0</v>
      </c>
    </row>
    <row r="542" hidden="1">
      <c r="A542" s="33" t="s">
        <v>392</v>
      </c>
      <c r="B542" s="258">
        <f>(B523+B525+B527+B530+B533+B536+B539)*Formulas!$C38</f>
        <v>0</v>
      </c>
      <c r="C542" s="258">
        <f>(C523+C525+C527+C530+C533+C536+C539)*Formulas!$C38</f>
        <v>0</v>
      </c>
      <c r="D542" s="258">
        <f>(D523+D525+D527+D530+D533+D536+D539)*Formulas!$C38</f>
        <v>0</v>
      </c>
      <c r="E542" s="258">
        <f>(E523+E525+E527+E530+E533+E536+E539)*Formulas!$C38</f>
        <v>0</v>
      </c>
      <c r="F542" s="258">
        <f>(F523+F525+F527+F530+F533+F536+F539)*Formulas!$C38</f>
        <v>0</v>
      </c>
      <c r="G542" s="258">
        <f>(G523+G525+G527+G530+G533+G536+G539)*Formulas!$C38</f>
        <v>0</v>
      </c>
      <c r="H542" s="258">
        <f>(H523+H525+H527+H530+H533+H536+H539)*Formulas!$C38</f>
        <v>0</v>
      </c>
      <c r="I542" s="258">
        <f>(I523+I525+I527+I530+I533+I536+I539)*Formulas!$C38</f>
        <v>0</v>
      </c>
      <c r="J542" s="258">
        <f>(J523+J525+J527+J530+J533+J536+J539)*Formulas!$C38</f>
        <v>0</v>
      </c>
      <c r="K542" s="258">
        <f>(K523+K525+K527+K530+K533+K536+K539)*Formulas!$C38</f>
        <v>0</v>
      </c>
      <c r="L542" s="258">
        <f>(L523+L525+L527+L530+L533+L536+L539)*Formulas!$C38</f>
        <v>0</v>
      </c>
      <c r="M542" s="258">
        <f>(M523+M525+M527+M530+M533+M536+M539)*Formulas!$C38</f>
        <v>0</v>
      </c>
      <c r="N542" s="258">
        <f>(N523+N525+N527+N530+N533+N536+N539)*Formulas!$C38</f>
        <v>0</v>
      </c>
      <c r="O542" s="258">
        <f>(O523+O525+O527+O530+O533+O536+O539)*Formulas!$C38</f>
        <v>0</v>
      </c>
      <c r="P542" s="258">
        <f>(P523+P525+P527+P530+P533+P536+P539)*Formulas!$C38</f>
        <v>0</v>
      </c>
      <c r="Q542" s="258">
        <f>(Q523+Q525+Q527+Q530+Q533+Q536+Q539)*Formulas!$C38</f>
        <v>0</v>
      </c>
      <c r="R542" s="258">
        <f>(R523+R525+R527+R530+R533+R536+R539)*Formulas!$C38</f>
        <v>0</v>
      </c>
      <c r="S542" s="258">
        <f>(S523+S525+S527+S530+S533+S536+S539)*Formulas!$C38</f>
        <v>0</v>
      </c>
      <c r="T542" s="258">
        <f>(T523+T525+T527+T530+T533+T536+T539)*Formulas!$C38</f>
        <v>0</v>
      </c>
      <c r="U542" s="258">
        <f>(U523+U525+U527+U530+U533+U536+U539)*Formulas!$C38</f>
        <v>0</v>
      </c>
      <c r="V542" s="258">
        <f>(V523+V525+V527+V530+V533+V536+V539)*Formulas!$C38</f>
        <v>0</v>
      </c>
      <c r="W542" s="258">
        <f>(W523+W525+W527+W530+W533+W536+W539)*Formulas!$C38</f>
        <v>0</v>
      </c>
      <c r="X542" s="258">
        <f>(X523+X525+X527+X530+X533+X536+X539)*Formulas!$C38</f>
        <v>0</v>
      </c>
      <c r="Y542" s="258">
        <f>(Y523+Y525+Y527+Y530+Y533+Y536+Y539)*Formulas!$C38</f>
        <v>0</v>
      </c>
      <c r="Z542" s="258">
        <f>(Z523+Z525+Z527+Z530+Z533+Z536+Z539)*Formulas!$C38</f>
        <v>0</v>
      </c>
      <c r="AA542" s="258">
        <f>(AA523+AA525+AA527+AA530+AA533+AA536+AA539)*Formulas!$C38</f>
        <v>0</v>
      </c>
      <c r="AB542" s="258">
        <f>(AB523+AB525+AB527+AB530+AB533+AB536+AB539)*Formulas!$C38</f>
        <v>0</v>
      </c>
      <c r="AC542" s="258">
        <f>(AC523+AC525+AC527+AC530+AC533+AC536+AC539)*Formulas!$C38</f>
        <v>0</v>
      </c>
      <c r="AD542" s="258">
        <f>(AD523+AD525+AD527+AD530+AD533+AD536+AD539)*Formulas!$C38</f>
        <v>0</v>
      </c>
      <c r="AE542" s="258">
        <f>(AE523+AE525+AE527+AE530+AE533+AE536+AE539)*Formulas!$C38</f>
        <v>0</v>
      </c>
      <c r="AF542" s="326">
        <f t="shared" si="204"/>
        <v>0</v>
      </c>
    </row>
    <row r="543" hidden="1">
      <c r="A543" s="33" t="s">
        <v>394</v>
      </c>
      <c r="B543" s="258">
        <f>((B403+B404)*Formulas!$C13)+((B405+B406)*Formulas!$C14)+((B407+B408)*Formulas!$C15)</f>
        <v>0</v>
      </c>
      <c r="C543" s="258">
        <f>((C403+C404)*Formulas!$C13)+((C405+C406)*Formulas!$C14)+((C407+C408)*Formulas!$C15)</f>
        <v>0</v>
      </c>
      <c r="D543" s="258">
        <f>((D403+D404)*Formulas!$C13)+((D405+D406)*Formulas!$C14)+((D407+D408)*Formulas!$C15)</f>
        <v>0</v>
      </c>
      <c r="E543" s="258">
        <f>((E403+E404)*Formulas!$C13)+((E405+E406)*Formulas!$C14)+((E407+E408)*Formulas!$C15)</f>
        <v>0</v>
      </c>
      <c r="F543" s="258">
        <f>((F403+F404)*Formulas!$C13)+((F405+F406)*Formulas!$C14)+((F407+F408)*Formulas!$C15)</f>
        <v>0</v>
      </c>
      <c r="G543" s="258">
        <f>((G403+G404)*Formulas!$C13)+((G405+G406)*Formulas!$C14)+((G407+G408)*Formulas!$C15)</f>
        <v>0</v>
      </c>
      <c r="H543" s="258">
        <f>((H403+H404)*Formulas!$C13)+((H405+H406)*Formulas!$C14)+((H407+H408)*Formulas!$C15)</f>
        <v>0</v>
      </c>
      <c r="I543" s="258">
        <f>((I403+I404)*Formulas!$C13)+((I405+I406)*Formulas!$C14)+((I407+I408)*Formulas!$C15)</f>
        <v>0</v>
      </c>
      <c r="J543" s="258">
        <f>((J403+J404)*Formulas!$C13)+((J405+J406)*Formulas!$C14)+((J407+J408)*Formulas!$C15)</f>
        <v>0</v>
      </c>
      <c r="K543" s="258">
        <f>((K403+K404)*Formulas!$C13)+((K405+K406)*Formulas!$C14)+((K407+K408)*Formulas!$C15)</f>
        <v>0</v>
      </c>
      <c r="L543" s="258">
        <f>((L403+L404)*Formulas!$C13)+((L405+L406)*Formulas!$C14)+((L407+L408)*Formulas!$C15)</f>
        <v>0</v>
      </c>
      <c r="M543" s="258">
        <f>((M403+M404)*Formulas!$C13)+((M405+M406)*Formulas!$C14)+((M407+M408)*Formulas!$C15)</f>
        <v>0</v>
      </c>
      <c r="N543" s="258">
        <f>((N403+N404)*Formulas!$C13)+((N405+N406)*Formulas!$C14)+((N407+N408)*Formulas!$C15)</f>
        <v>0</v>
      </c>
      <c r="O543" s="258">
        <f>((O403+O404)*Formulas!$C13)+((O405+O406)*Formulas!$C14)+((O407+O408)*Formulas!$C15)</f>
        <v>0</v>
      </c>
      <c r="P543" s="258">
        <f>((P403+P404)*Formulas!$C13)+((P405+P406)*Formulas!$C14)+((P407+P408)*Formulas!$C15)</f>
        <v>0</v>
      </c>
      <c r="Q543" s="258">
        <f>((Q403+Q404)*Formulas!$C13)+((Q405+Q406)*Formulas!$C14)+((Q407+Q408)*Formulas!$C15)</f>
        <v>0</v>
      </c>
      <c r="R543" s="258">
        <f>((R403+R404)*Formulas!$C13)+((R405+R406)*Formulas!$C14)+((R407+R408)*Formulas!$C15)</f>
        <v>0</v>
      </c>
      <c r="S543" s="258">
        <f>((S403+S404)*Formulas!$C13)+((S405+S406)*Formulas!$C14)+((S407+S408)*Formulas!$C15)</f>
        <v>0</v>
      </c>
      <c r="T543" s="258">
        <f>((T403+T404)*Formulas!$C13)+((T405+T406)*Formulas!$C14)+((T407+T408)*Formulas!$C15)</f>
        <v>0</v>
      </c>
      <c r="U543" s="258">
        <f>((U403+U404)*Formulas!$C13)+((U405+U406)*Formulas!$C14)+((U407+U408)*Formulas!$C15)</f>
        <v>0</v>
      </c>
      <c r="V543" s="258">
        <f>((V403+V404)*Formulas!$C13)+((V405+V406)*Formulas!$C14)+((V407+V408)*Formulas!$C15)</f>
        <v>0</v>
      </c>
      <c r="W543" s="258">
        <f>((W403+W404)*Formulas!$C13)+((W405+W406)*Formulas!$C14)+((W407+W408)*Formulas!$C15)</f>
        <v>0</v>
      </c>
      <c r="X543" s="258">
        <f>((X403+X404)*Formulas!$C13)+((X405+X406)*Formulas!$C14)+((X407+X408)*Formulas!$C15)</f>
        <v>0</v>
      </c>
      <c r="Y543" s="258">
        <f>((Y403+Y404)*Formulas!$C13)+((Y405+Y406)*Formulas!$C14)+((Y407+Y408)*Formulas!$C15)</f>
        <v>0</v>
      </c>
      <c r="Z543" s="258">
        <f>((Z403+Z404)*Formulas!$C13)+((Z405+Z406)*Formulas!$C14)+((Z407+Z408)*Formulas!$C15)</f>
        <v>0</v>
      </c>
      <c r="AA543" s="258">
        <f>((AA403+AA404)*Formulas!$C13)+((AA405+AA406)*Formulas!$C14)+((AA407+AA408)*Formulas!$C15)</f>
        <v>0</v>
      </c>
      <c r="AB543" s="258">
        <f>((AB403+AB404)*Formulas!$C13)+((AB405+AB406)*Formulas!$C14)+((AB407+AB408)*Formulas!$C15)</f>
        <v>0</v>
      </c>
      <c r="AC543" s="258">
        <f>((AC403+AC404)*Formulas!$C13)+((AC405+AC406)*Formulas!$C14)+((AC407+AC408)*Formulas!$C15)</f>
        <v>0</v>
      </c>
      <c r="AD543" s="258">
        <f>((AD403+AD404)*Formulas!$C13)+((AD405+AD406)*Formulas!$C14)+((AD407+AD408)*Formulas!$C15)</f>
        <v>0</v>
      </c>
      <c r="AE543" s="258">
        <f>((AE403+AE404)*Formulas!$C13)+((AE405+AE406)*Formulas!$C14)+((AE407+AE408)*Formulas!$C15)</f>
        <v>0</v>
      </c>
      <c r="AF543" s="326">
        <f t="shared" si="204"/>
        <v>0</v>
      </c>
    </row>
    <row r="544" hidden="1">
      <c r="A544" s="33" t="s">
        <v>395</v>
      </c>
      <c r="B544" s="258">
        <f>((B403+B404)*Formulas!$C16)+((B405+B406)*Formulas!$C17)+((B407+B408)*Formulas!$C18)</f>
        <v>0</v>
      </c>
      <c r="C544" s="258">
        <f>((C403+C404)*Formulas!$C16)+((C405+C406)*Formulas!$C17)+((C407+C408)*Formulas!$C18)</f>
        <v>0</v>
      </c>
      <c r="D544" s="258">
        <f>((D403+D404)*Formulas!$C16)+((D405+D406)*Formulas!$C17)+((D407+D408)*Formulas!$C18)</f>
        <v>0</v>
      </c>
      <c r="E544" s="258">
        <f>((E403+E404)*Formulas!$C16)+((E405+E406)*Formulas!$C17)+((E407+E408)*Formulas!$C18)</f>
        <v>0</v>
      </c>
      <c r="F544" s="258">
        <f>((F403+F404)*Formulas!$C16)+((F405+F406)*Formulas!$C17)+((F407+F408)*Formulas!$C18)</f>
        <v>0</v>
      </c>
      <c r="G544" s="258">
        <f>((G403+G404)*Formulas!$C16)+((G405+G406)*Formulas!$C17)+((G407+G408)*Formulas!$C18)</f>
        <v>0</v>
      </c>
      <c r="H544" s="258">
        <f>((H403+H404)*Formulas!$C16)+((H405+H406)*Formulas!$C17)+((H407+H408)*Formulas!$C18)</f>
        <v>0</v>
      </c>
      <c r="I544" s="258">
        <f>((I403+I404)*Formulas!$C16)+((I405+I406)*Formulas!$C17)+((I407+I408)*Formulas!$C18)</f>
        <v>0</v>
      </c>
      <c r="J544" s="258">
        <f>((J403+J404)*Formulas!$C16)+((J405+J406)*Formulas!$C17)+((J407+J408)*Formulas!$C18)</f>
        <v>0</v>
      </c>
      <c r="K544" s="258">
        <f>((K403+K404)*Formulas!$C16)+((K405+K406)*Formulas!$C17)+((K407+K408)*Formulas!$C18)</f>
        <v>0</v>
      </c>
      <c r="L544" s="258">
        <f>((L403+L404)*Formulas!$C16)+((L405+L406)*Formulas!$C17)+((L407+L408)*Formulas!$C18)</f>
        <v>0</v>
      </c>
      <c r="M544" s="258">
        <f>((M403+M404)*Formulas!$C16)+((M405+M406)*Formulas!$C17)+((M407+M408)*Formulas!$C18)</f>
        <v>0</v>
      </c>
      <c r="N544" s="258">
        <f>((N403+N404)*Formulas!$C16)+((N405+N406)*Formulas!$C17)+((N407+N408)*Formulas!$C18)</f>
        <v>0</v>
      </c>
      <c r="O544" s="258">
        <f>((O403+O404)*Formulas!$C16)+((O405+O406)*Formulas!$C17)+((O407+O408)*Formulas!$C18)</f>
        <v>0</v>
      </c>
      <c r="P544" s="258">
        <f>((P403+P404)*Formulas!$C16)+((P405+P406)*Formulas!$C17)+((P407+P408)*Formulas!$C18)</f>
        <v>0</v>
      </c>
      <c r="Q544" s="258">
        <f>((Q403+Q404)*Formulas!$C16)+((Q405+Q406)*Formulas!$C17)+((Q407+Q408)*Formulas!$C18)</f>
        <v>0</v>
      </c>
      <c r="R544" s="258">
        <f>((R403+R404)*Formulas!$C16)+((R405+R406)*Formulas!$C17)+((R407+R408)*Formulas!$C18)</f>
        <v>0</v>
      </c>
      <c r="S544" s="258">
        <f>((S403+S404)*Formulas!$C16)+((S405+S406)*Formulas!$C17)+((S407+S408)*Formulas!$C18)</f>
        <v>0</v>
      </c>
      <c r="T544" s="258">
        <f>((T403+T404)*Formulas!$C16)+((T405+T406)*Formulas!$C17)+((T407+T408)*Formulas!$C18)</f>
        <v>0</v>
      </c>
      <c r="U544" s="258">
        <f>((U403+U404)*Formulas!$C16)+((U405+U406)*Formulas!$C17)+((U407+U408)*Formulas!$C18)</f>
        <v>0</v>
      </c>
      <c r="V544" s="258">
        <f>((V403+V404)*Formulas!$C16)+((V405+V406)*Formulas!$C17)+((V407+V408)*Formulas!$C18)</f>
        <v>0</v>
      </c>
      <c r="W544" s="258">
        <f>((W403+W404)*Formulas!$C16)+((W405+W406)*Formulas!$C17)+((W407+W408)*Formulas!$C18)</f>
        <v>0</v>
      </c>
      <c r="X544" s="258">
        <f>((X403+X404)*Formulas!$C16)+((X405+X406)*Formulas!$C17)+((X407+X408)*Formulas!$C18)</f>
        <v>0</v>
      </c>
      <c r="Y544" s="258">
        <f>((Y403+Y404)*Formulas!$C16)+((Y405+Y406)*Formulas!$C17)+((Y407+Y408)*Formulas!$C18)</f>
        <v>0</v>
      </c>
      <c r="Z544" s="258">
        <f>((Z403+Z404)*Formulas!$C16)+((Z405+Z406)*Formulas!$C17)+((Z407+Z408)*Formulas!$C18)</f>
        <v>0</v>
      </c>
      <c r="AA544" s="258">
        <f>((AA403+AA404)*Formulas!$C16)+((AA405+AA406)*Formulas!$C17)+((AA407+AA408)*Formulas!$C18)</f>
        <v>0</v>
      </c>
      <c r="AB544" s="258">
        <f>((AB403+AB404)*Formulas!$C16)+((AB405+AB406)*Formulas!$C17)+((AB407+AB408)*Formulas!$C18)</f>
        <v>0</v>
      </c>
      <c r="AC544" s="258">
        <f>((AC403+AC404)*Formulas!$C16)+((AC405+AC406)*Formulas!$C17)+((AC407+AC408)*Formulas!$C18)</f>
        <v>0</v>
      </c>
      <c r="AD544" s="258">
        <f>((AD403+AD404)*Formulas!$C16)+((AD405+AD406)*Formulas!$C17)+((AD407+AD408)*Formulas!$C18)</f>
        <v>0</v>
      </c>
      <c r="AE544" s="258">
        <f>((AE403+AE404)*Formulas!$C16)+((AE405+AE406)*Formulas!$C17)+((AE407+AE408)*Formulas!$C18)</f>
        <v>0</v>
      </c>
      <c r="AF544" s="326">
        <f t="shared" si="204"/>
        <v>0</v>
      </c>
    </row>
    <row r="545" hidden="1">
      <c r="A545" s="33" t="s">
        <v>396</v>
      </c>
      <c r="B545" s="258">
        <f>(B417*Formulas!$F13)+(B424*Formulas!$F14)+(B431*Formulas!$F15)</f>
        <v>0</v>
      </c>
      <c r="C545" s="258">
        <f>(C417*Formulas!$F13)+(C424*Formulas!$F14)+(C431*Formulas!$F15)</f>
        <v>0</v>
      </c>
      <c r="D545" s="258">
        <f>(D417*Formulas!$F13)+(D424*Formulas!$F14)+(D431*Formulas!$F15)</f>
        <v>0</v>
      </c>
      <c r="E545" s="258">
        <f>(E417*Formulas!$F13)+(E424*Formulas!$F14)+(E431*Formulas!$F15)</f>
        <v>0</v>
      </c>
      <c r="F545" s="258">
        <f>(F417*Formulas!$F13)+(F424*Formulas!$F14)+(F431*Formulas!$F15)</f>
        <v>0</v>
      </c>
      <c r="G545" s="258">
        <f>(G417*Formulas!$F13)+(G424*Formulas!$F14)+(G431*Formulas!$F15)</f>
        <v>0</v>
      </c>
      <c r="H545" s="258">
        <f>(H417*Formulas!$F13)+(H424*Formulas!$F14)+(H431*Formulas!$F15)</f>
        <v>0</v>
      </c>
      <c r="I545" s="258">
        <f>(I417*Formulas!$F13)+(I424*Formulas!$F14)+(I431*Formulas!$F15)</f>
        <v>0</v>
      </c>
      <c r="J545" s="258">
        <f>(J417*Formulas!$F13)+(J424*Formulas!$F14)+(J431*Formulas!$F15)</f>
        <v>0</v>
      </c>
      <c r="K545" s="258">
        <f>(K417*Formulas!$F13)+(K424*Formulas!$F14)+(K431*Formulas!$F15)</f>
        <v>0</v>
      </c>
      <c r="L545" s="258">
        <f>(L417*Formulas!$F13)+(L424*Formulas!$F14)+(L431*Formulas!$F15)</f>
        <v>0</v>
      </c>
      <c r="M545" s="258">
        <f>(M417*Formulas!$F13)+(M424*Formulas!$F14)+(M431*Formulas!$F15)</f>
        <v>0</v>
      </c>
      <c r="N545" s="258">
        <f>(N417*Formulas!$F13)+(N424*Formulas!$F14)+(N431*Formulas!$F15)</f>
        <v>0</v>
      </c>
      <c r="O545" s="258">
        <f>(O417*Formulas!$F13)+(O424*Formulas!$F14)+(O431*Formulas!$F15)</f>
        <v>0</v>
      </c>
      <c r="P545" s="258">
        <f>(P417*Formulas!$F13)+(P424*Formulas!$F14)+(P431*Formulas!$F15)</f>
        <v>0</v>
      </c>
      <c r="Q545" s="258">
        <f>(Q417*Formulas!$F13)+(Q424*Formulas!$F14)+(Q431*Formulas!$F15)</f>
        <v>0</v>
      </c>
      <c r="R545" s="258">
        <f>(R417*Formulas!$F13)+(R424*Formulas!$F14)+(R431*Formulas!$F15)</f>
        <v>0</v>
      </c>
      <c r="S545" s="258">
        <f>(S417*Formulas!$F13)+(S424*Formulas!$F14)+(S431*Formulas!$F15)</f>
        <v>0</v>
      </c>
      <c r="T545" s="258">
        <f>(T417*Formulas!$F13)+(T424*Formulas!$F14)+(T431*Formulas!$F15)</f>
        <v>0</v>
      </c>
      <c r="U545" s="258">
        <f>(U417*Formulas!$F13)+(U424*Formulas!$F14)+(U431*Formulas!$F15)</f>
        <v>0</v>
      </c>
      <c r="V545" s="258">
        <f>(V417*Formulas!$F13)+(V424*Formulas!$F14)+(V431*Formulas!$F15)</f>
        <v>0</v>
      </c>
      <c r="W545" s="258">
        <f>(W417*Formulas!$F13)+(W424*Formulas!$F14)+(W431*Formulas!$F15)</f>
        <v>0</v>
      </c>
      <c r="X545" s="258">
        <f>(X417*Formulas!$F13)+(X424*Formulas!$F14)+(X431*Formulas!$F15)</f>
        <v>0</v>
      </c>
      <c r="Y545" s="258">
        <f>(Y417*Formulas!$F13)+(Y424*Formulas!$F14)+(Y431*Formulas!$F15)</f>
        <v>0</v>
      </c>
      <c r="Z545" s="258">
        <f>(Z417*Formulas!$F13)+(Z424*Formulas!$F14)+(Z431*Formulas!$F15)</f>
        <v>0</v>
      </c>
      <c r="AA545" s="258">
        <f>(AA417*Formulas!$F13)+(AA424*Formulas!$F14)+(AA431*Formulas!$F15)</f>
        <v>0</v>
      </c>
      <c r="AB545" s="258">
        <f>(AB417*Formulas!$F13)+(AB424*Formulas!$F14)+(AB431*Formulas!$F15)</f>
        <v>0</v>
      </c>
      <c r="AC545" s="258">
        <f>(AC417*Formulas!$F13)+(AC424*Formulas!$F14)+(AC431*Formulas!$F15)</f>
        <v>0</v>
      </c>
      <c r="AD545" s="258">
        <f>(AD417*Formulas!$F13)+(AD424*Formulas!$F14)+(AD431*Formulas!$F15)</f>
        <v>0</v>
      </c>
      <c r="AE545" s="258">
        <f>(AE417*Formulas!$F13)+(AE424*Formulas!$F14)+(AE431*Formulas!$F15)</f>
        <v>0</v>
      </c>
      <c r="AF545" s="326">
        <f t="shared" si="204"/>
        <v>0</v>
      </c>
    </row>
    <row r="546" hidden="1">
      <c r="A546" s="33" t="s">
        <v>397</v>
      </c>
      <c r="B546" s="258">
        <f>(B417*Formulas!$F16)+(B424*Formulas!$F17)+(B431*Formulas!$F18)</f>
        <v>0</v>
      </c>
      <c r="C546" s="258">
        <f>(C417*Formulas!$F16)+(C424*Formulas!$F17)+(C431*Formulas!$F18)</f>
        <v>0</v>
      </c>
      <c r="D546" s="258">
        <f>(D417*Formulas!$F16)+(D424*Formulas!$F17)+(D431*Formulas!$F18)</f>
        <v>0</v>
      </c>
      <c r="E546" s="258">
        <f>(E417*Formulas!$F16)+(E424*Formulas!$F17)+(E431*Formulas!$F18)</f>
        <v>0</v>
      </c>
      <c r="F546" s="258">
        <f>(F417*Formulas!$F16)+(F424*Formulas!$F17)+(F431*Formulas!$F18)</f>
        <v>0</v>
      </c>
      <c r="G546" s="258">
        <f>(G417*Formulas!$F16)+(G424*Formulas!$F17)+(G431*Formulas!$F18)</f>
        <v>0</v>
      </c>
      <c r="H546" s="258">
        <f>(H417*Formulas!$F16)+(H424*Formulas!$F17)+(H431*Formulas!$F18)</f>
        <v>0</v>
      </c>
      <c r="I546" s="258">
        <f>(I417*Formulas!$F16)+(I424*Formulas!$F17)+(I431*Formulas!$F18)</f>
        <v>0</v>
      </c>
      <c r="J546" s="258">
        <f>(J417*Formulas!$F16)+(J424*Formulas!$F17)+(J431*Formulas!$F18)</f>
        <v>0</v>
      </c>
      <c r="K546" s="258">
        <f>(K417*Formulas!$F16)+(K424*Formulas!$F17)+(K431*Formulas!$F18)</f>
        <v>0</v>
      </c>
      <c r="L546" s="258">
        <f>(L417*Formulas!$F16)+(L424*Formulas!$F17)+(L431*Formulas!$F18)</f>
        <v>0</v>
      </c>
      <c r="M546" s="258">
        <f>(M417*Formulas!$F16)+(M424*Formulas!$F17)+(M431*Formulas!$F18)</f>
        <v>0</v>
      </c>
      <c r="N546" s="258">
        <f>(N417*Formulas!$F16)+(N424*Formulas!$F17)+(N431*Formulas!$F18)</f>
        <v>0</v>
      </c>
      <c r="O546" s="258">
        <f>(O417*Formulas!$F16)+(O424*Formulas!$F17)+(O431*Formulas!$F18)</f>
        <v>0</v>
      </c>
      <c r="P546" s="258">
        <f>(P417*Formulas!$F16)+(P424*Formulas!$F17)+(P431*Formulas!$F18)</f>
        <v>0</v>
      </c>
      <c r="Q546" s="258">
        <f>(Q417*Formulas!$F16)+(Q424*Formulas!$F17)+(Q431*Formulas!$F18)</f>
        <v>0</v>
      </c>
      <c r="R546" s="258">
        <f>(R417*Formulas!$F16)+(R424*Formulas!$F17)+(R431*Formulas!$F18)</f>
        <v>0</v>
      </c>
      <c r="S546" s="258">
        <f>(S417*Formulas!$F16)+(S424*Formulas!$F17)+(S431*Formulas!$F18)</f>
        <v>0</v>
      </c>
      <c r="T546" s="258">
        <f>(T417*Formulas!$F16)+(T424*Formulas!$F17)+(T431*Formulas!$F18)</f>
        <v>0</v>
      </c>
      <c r="U546" s="258">
        <f>(U417*Formulas!$F16)+(U424*Formulas!$F17)+(U431*Formulas!$F18)</f>
        <v>0</v>
      </c>
      <c r="V546" s="258">
        <f>(V417*Formulas!$F16)+(V424*Formulas!$F17)+(V431*Formulas!$F18)</f>
        <v>0</v>
      </c>
      <c r="W546" s="258">
        <f>(W417*Formulas!$F16)+(W424*Formulas!$F17)+(W431*Formulas!$F18)</f>
        <v>0</v>
      </c>
      <c r="X546" s="258">
        <f>(X417*Formulas!$F16)+(X424*Formulas!$F17)+(X431*Formulas!$F18)</f>
        <v>0</v>
      </c>
      <c r="Y546" s="258">
        <f>(Y417*Formulas!$F16)+(Y424*Formulas!$F17)+(Y431*Formulas!$F18)</f>
        <v>0</v>
      </c>
      <c r="Z546" s="258">
        <f>(Z417*Formulas!$F16)+(Z424*Formulas!$F17)+(Z431*Formulas!$F18)</f>
        <v>0</v>
      </c>
      <c r="AA546" s="258">
        <f>(AA417*Formulas!$F16)+(AA424*Formulas!$F17)+(AA431*Formulas!$F18)</f>
        <v>0</v>
      </c>
      <c r="AB546" s="258">
        <f>(AB417*Formulas!$F16)+(AB424*Formulas!$F17)+(AB431*Formulas!$F18)</f>
        <v>0</v>
      </c>
      <c r="AC546" s="258">
        <f>(AC417*Formulas!$F16)+(AC424*Formulas!$F17)+(AC431*Formulas!$F18)</f>
        <v>0</v>
      </c>
      <c r="AD546" s="258">
        <f>(AD417*Formulas!$F16)+(AD424*Formulas!$F17)+(AD431*Formulas!$F18)</f>
        <v>0</v>
      </c>
      <c r="AE546" s="258">
        <f>(AE417*Formulas!$F16)+(AE424*Formulas!$F17)+(AE431*Formulas!$F18)</f>
        <v>0</v>
      </c>
      <c r="AF546" s="326">
        <f t="shared" si="204"/>
        <v>0</v>
      </c>
    </row>
    <row r="547" hidden="1">
      <c r="A547" s="33" t="s">
        <v>404</v>
      </c>
      <c r="B547" s="258">
        <f>(B409+B410)*Formulas!$C29</f>
        <v>0</v>
      </c>
      <c r="C547" s="258">
        <f>(C409+C410)*Formulas!$C29</f>
        <v>0</v>
      </c>
      <c r="D547" s="258">
        <f>(D409+D410)*Formulas!$C29</f>
        <v>0</v>
      </c>
      <c r="E547" s="258">
        <f>(E409+E410)*Formulas!$C29</f>
        <v>0</v>
      </c>
      <c r="F547" s="258">
        <f>(F409+F410)*Formulas!$C29</f>
        <v>0</v>
      </c>
      <c r="G547" s="258">
        <f>(G409+G410)*Formulas!$C29</f>
        <v>0</v>
      </c>
      <c r="H547" s="258">
        <f>(H409+H410)*Formulas!$C29</f>
        <v>0</v>
      </c>
      <c r="I547" s="258">
        <f>(I409+I410)*Formulas!$C29</f>
        <v>0</v>
      </c>
      <c r="J547" s="258">
        <f>(J409+J410)*Formulas!$C29</f>
        <v>0</v>
      </c>
      <c r="K547" s="258">
        <f>(K409+K410)*Formulas!$C29</f>
        <v>0</v>
      </c>
      <c r="L547" s="258">
        <f>(L409+L410)*Formulas!$C29</f>
        <v>0</v>
      </c>
      <c r="M547" s="258">
        <f>(M409+M410)*Formulas!$C29</f>
        <v>0</v>
      </c>
      <c r="N547" s="258">
        <f>(N409+N410)*Formulas!$C29</f>
        <v>0</v>
      </c>
      <c r="O547" s="258">
        <f>(O409+O410)*Formulas!$C29</f>
        <v>0</v>
      </c>
      <c r="P547" s="258">
        <f>(P409+P410)*Formulas!$C29</f>
        <v>0</v>
      </c>
      <c r="Q547" s="258">
        <f>(Q409+Q410)*Formulas!$C29</f>
        <v>0</v>
      </c>
      <c r="R547" s="258">
        <f>(R409+R410)*Formulas!$C29</f>
        <v>0</v>
      </c>
      <c r="S547" s="258">
        <f>(S409+S410)*Formulas!$C29</f>
        <v>0</v>
      </c>
      <c r="T547" s="258">
        <f>(T409+T410)*Formulas!$C29</f>
        <v>0</v>
      </c>
      <c r="U547" s="258">
        <f>(U409+U410)*Formulas!$C29</f>
        <v>0</v>
      </c>
      <c r="V547" s="258">
        <f>(V409+V410)*Formulas!$C29</f>
        <v>0</v>
      </c>
      <c r="W547" s="258">
        <f>(W409+W410)*Formulas!$C29</f>
        <v>0</v>
      </c>
      <c r="X547" s="258">
        <f>(X409+X410)*Formulas!$C29</f>
        <v>0</v>
      </c>
      <c r="Y547" s="258">
        <f>(Y409+Y410)*Formulas!$C29</f>
        <v>0</v>
      </c>
      <c r="Z547" s="258">
        <f>(Z409+Z410)*Formulas!$C29</f>
        <v>0</v>
      </c>
      <c r="AA547" s="258">
        <f>(AA409+AA410)*Formulas!$C29</f>
        <v>0</v>
      </c>
      <c r="AB547" s="258">
        <f>(AB409+AB410)*Formulas!$C29</f>
        <v>0</v>
      </c>
      <c r="AC547" s="258">
        <f>(AC409+AC410)*Formulas!$C29</f>
        <v>0</v>
      </c>
      <c r="AD547" s="258">
        <f>(AD409+AD410)*Formulas!$C29</f>
        <v>0</v>
      </c>
      <c r="AE547" s="258">
        <f>(AE409+AE410)*Formulas!$C29</f>
        <v>0</v>
      </c>
      <c r="AF547" s="326">
        <f t="shared" si="204"/>
        <v>0</v>
      </c>
    </row>
    <row r="548" hidden="1">
      <c r="A548" s="33" t="s">
        <v>405</v>
      </c>
      <c r="B548" s="258">
        <f>Formulas!$C30*(B409+B410)</f>
        <v>0</v>
      </c>
      <c r="C548" s="258">
        <f>Formulas!$C30*(C409+C410)</f>
        <v>0</v>
      </c>
      <c r="D548" s="258">
        <f>Formulas!$C30*(D409+D410)</f>
        <v>0</v>
      </c>
      <c r="E548" s="258">
        <f>Formulas!$C30*(E409+E410)</f>
        <v>0</v>
      </c>
      <c r="F548" s="258">
        <f>Formulas!$C30*(F409+F410)</f>
        <v>0</v>
      </c>
      <c r="G548" s="258">
        <f>Formulas!$C30*(G409+G410)</f>
        <v>0</v>
      </c>
      <c r="H548" s="258">
        <f>Formulas!$C30*(H409+H410)</f>
        <v>0</v>
      </c>
      <c r="I548" s="258">
        <f>Formulas!$C30*(I409+I410)</f>
        <v>0</v>
      </c>
      <c r="J548" s="258">
        <f>Formulas!$C30*(J409+J410)</f>
        <v>0</v>
      </c>
      <c r="K548" s="258">
        <f>Formulas!$C30*(K409+K410)</f>
        <v>0</v>
      </c>
      <c r="L548" s="258">
        <f>Formulas!$C30*(L409+L410)</f>
        <v>0</v>
      </c>
      <c r="M548" s="258">
        <f>Formulas!$C30*(M409+M410)</f>
        <v>0</v>
      </c>
      <c r="N548" s="258">
        <f>Formulas!$C30*(N409+N410)</f>
        <v>0</v>
      </c>
      <c r="O548" s="258">
        <f>Formulas!$C30*(O409+O410)</f>
        <v>0</v>
      </c>
      <c r="P548" s="258">
        <f>Formulas!$C30*(P409+P410)</f>
        <v>0</v>
      </c>
      <c r="Q548" s="258">
        <f>Formulas!$C30*(Q409+Q410)</f>
        <v>0</v>
      </c>
      <c r="R548" s="258">
        <f>Formulas!$C30*(R409+R410)</f>
        <v>0</v>
      </c>
      <c r="S548" s="258">
        <f>Formulas!$C30*(S409+S410)</f>
        <v>0</v>
      </c>
      <c r="T548" s="258">
        <f>Formulas!$C30*(T409+T410)</f>
        <v>0</v>
      </c>
      <c r="U548" s="258">
        <f>Formulas!$C30*(U409+U410)</f>
        <v>0</v>
      </c>
      <c r="V548" s="258">
        <f>Formulas!$C30*(V409+V410)</f>
        <v>0</v>
      </c>
      <c r="W548" s="258">
        <f>Formulas!$C30*(W409+W410)</f>
        <v>0</v>
      </c>
      <c r="X548" s="258">
        <f>Formulas!$C30*(X409+X410)</f>
        <v>0</v>
      </c>
      <c r="Y548" s="258">
        <f>Formulas!$C30*(Y409+Y410)</f>
        <v>0</v>
      </c>
      <c r="Z548" s="258">
        <f>Formulas!$C30*(Z409+Z410)</f>
        <v>0</v>
      </c>
      <c r="AA548" s="258">
        <f>Formulas!$C30*(AA409+AA410)</f>
        <v>0</v>
      </c>
      <c r="AB548" s="258">
        <f>Formulas!$C30*(AB409+AB410)</f>
        <v>0</v>
      </c>
      <c r="AC548" s="258">
        <f>Formulas!$C30*(AC409+AC410)</f>
        <v>0</v>
      </c>
      <c r="AD548" s="258">
        <f>Formulas!$C30*(AD409+AD410)</f>
        <v>0</v>
      </c>
      <c r="AE548" s="258">
        <f>Formulas!$C30*(AE409+AE410)</f>
        <v>0</v>
      </c>
      <c r="AF548" s="326">
        <f t="shared" si="204"/>
        <v>0</v>
      </c>
    </row>
    <row r="549" hidden="1">
      <c r="A549" s="33" t="s">
        <v>406</v>
      </c>
      <c r="B549" s="258">
        <f>Formulas!$C31*(B409+B410)</f>
        <v>0</v>
      </c>
      <c r="C549" s="258">
        <f>Formulas!$C31*(C409+C410)</f>
        <v>0</v>
      </c>
      <c r="D549" s="258">
        <f>Formulas!$C31*(D409+D410)</f>
        <v>0</v>
      </c>
      <c r="E549" s="258">
        <f>Formulas!$C31*(E409+E410)</f>
        <v>0</v>
      </c>
      <c r="F549" s="258">
        <f>Formulas!$C31*(F409+F410)</f>
        <v>0</v>
      </c>
      <c r="G549" s="258">
        <f>Formulas!$C31*(G409+G410)</f>
        <v>0</v>
      </c>
      <c r="H549" s="258">
        <f>Formulas!$C31*(H409+H410)</f>
        <v>0</v>
      </c>
      <c r="I549" s="258">
        <f>Formulas!$C31*(I409+I410)</f>
        <v>0</v>
      </c>
      <c r="J549" s="258">
        <f>Formulas!$C31*(J409+J410)</f>
        <v>0</v>
      </c>
      <c r="K549" s="258">
        <f>Formulas!$C31*(K409+K410)</f>
        <v>0</v>
      </c>
      <c r="L549" s="258">
        <f>Formulas!$C31*(L409+L410)</f>
        <v>0</v>
      </c>
      <c r="M549" s="258">
        <f>Formulas!$C31*(M409+M410)</f>
        <v>0</v>
      </c>
      <c r="N549" s="258">
        <f>Formulas!$C31*(N409+N410)</f>
        <v>0</v>
      </c>
      <c r="O549" s="258">
        <f>Formulas!$C31*(O409+O410)</f>
        <v>0</v>
      </c>
      <c r="P549" s="258">
        <f>Formulas!$C31*(P409+P410)</f>
        <v>0</v>
      </c>
      <c r="Q549" s="258">
        <f>Formulas!$C31*(Q409+Q410)</f>
        <v>0</v>
      </c>
      <c r="R549" s="258">
        <f>Formulas!$C31*(R409+R410)</f>
        <v>0</v>
      </c>
      <c r="S549" s="258">
        <f>Formulas!$C31*(S409+S410)</f>
        <v>0</v>
      </c>
      <c r="T549" s="258">
        <f>Formulas!$C31*(T409+T410)</f>
        <v>0</v>
      </c>
      <c r="U549" s="258">
        <f>Formulas!$C31*(U409+U410)</f>
        <v>0</v>
      </c>
      <c r="V549" s="258">
        <f>Formulas!$C31*(V409+V410)</f>
        <v>0</v>
      </c>
      <c r="W549" s="258">
        <f>Formulas!$C31*(W409+W410)</f>
        <v>0</v>
      </c>
      <c r="X549" s="258">
        <f>Formulas!$C31*(X409+X410)</f>
        <v>0</v>
      </c>
      <c r="Y549" s="258">
        <f>Formulas!$C31*(Y409+Y410)</f>
        <v>0</v>
      </c>
      <c r="Z549" s="258">
        <f>Formulas!$C31*(Z409+Z410)</f>
        <v>0</v>
      </c>
      <c r="AA549" s="258">
        <f>Formulas!$C31*(AA409+AA410)</f>
        <v>0</v>
      </c>
      <c r="AB549" s="258">
        <f>Formulas!$C31*(AB409+AB410)</f>
        <v>0</v>
      </c>
      <c r="AC549" s="258">
        <f>Formulas!$C31*(AC409+AC410)</f>
        <v>0</v>
      </c>
      <c r="AD549" s="258">
        <f>Formulas!$C31*(AD409+AD410)</f>
        <v>0</v>
      </c>
      <c r="AE549" s="258">
        <f>Formulas!$C31*(AE409+AE410)</f>
        <v>0</v>
      </c>
      <c r="AF549" s="326">
        <f t="shared" si="204"/>
        <v>0</v>
      </c>
    </row>
    <row r="550">
      <c r="A550" s="54" t="s">
        <v>247</v>
      </c>
      <c r="B550" s="258">
        <f t="shared" ref="B550:AE550" si="205">sum(B523:B549)</f>
        <v>0</v>
      </c>
      <c r="C550" s="258">
        <f t="shared" si="205"/>
        <v>0</v>
      </c>
      <c r="D550" s="258">
        <f t="shared" si="205"/>
        <v>0</v>
      </c>
      <c r="E550" s="258">
        <f t="shared" si="205"/>
        <v>0</v>
      </c>
      <c r="F550" s="258">
        <f t="shared" si="205"/>
        <v>0</v>
      </c>
      <c r="G550" s="258">
        <f t="shared" si="205"/>
        <v>0</v>
      </c>
      <c r="H550" s="258">
        <f t="shared" si="205"/>
        <v>0</v>
      </c>
      <c r="I550" s="258">
        <f t="shared" si="205"/>
        <v>0</v>
      </c>
      <c r="J550" s="258">
        <f t="shared" si="205"/>
        <v>0</v>
      </c>
      <c r="K550" s="258">
        <f t="shared" si="205"/>
        <v>0</v>
      </c>
      <c r="L550" s="258">
        <f t="shared" si="205"/>
        <v>0</v>
      </c>
      <c r="M550" s="258">
        <f t="shared" si="205"/>
        <v>0</v>
      </c>
      <c r="N550" s="258">
        <f t="shared" si="205"/>
        <v>0</v>
      </c>
      <c r="O550" s="258">
        <f t="shared" si="205"/>
        <v>0</v>
      </c>
      <c r="P550" s="258">
        <f t="shared" si="205"/>
        <v>0</v>
      </c>
      <c r="Q550" s="258">
        <f t="shared" si="205"/>
        <v>0</v>
      </c>
      <c r="R550" s="258">
        <f t="shared" si="205"/>
        <v>0</v>
      </c>
      <c r="S550" s="258">
        <f t="shared" si="205"/>
        <v>0</v>
      </c>
      <c r="T550" s="258">
        <f t="shared" si="205"/>
        <v>0</v>
      </c>
      <c r="U550" s="258">
        <f t="shared" si="205"/>
        <v>0</v>
      </c>
      <c r="V550" s="258">
        <f t="shared" si="205"/>
        <v>0</v>
      </c>
      <c r="W550" s="258">
        <f t="shared" si="205"/>
        <v>0</v>
      </c>
      <c r="X550" s="258">
        <f t="shared" si="205"/>
        <v>0</v>
      </c>
      <c r="Y550" s="258">
        <f t="shared" si="205"/>
        <v>0</v>
      </c>
      <c r="Z550" s="258">
        <f t="shared" si="205"/>
        <v>0</v>
      </c>
      <c r="AA550" s="258">
        <f t="shared" si="205"/>
        <v>0</v>
      </c>
      <c r="AB550" s="258">
        <f t="shared" si="205"/>
        <v>0</v>
      </c>
      <c r="AC550" s="258">
        <f t="shared" si="205"/>
        <v>0</v>
      </c>
      <c r="AD550" s="258">
        <f t="shared" si="205"/>
        <v>0</v>
      </c>
      <c r="AE550" s="258">
        <f t="shared" si="205"/>
        <v>0</v>
      </c>
      <c r="AF550" s="61">
        <f>SUM(B550:AE550)</f>
        <v>0</v>
      </c>
    </row>
    <row r="551">
      <c r="A551" s="2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234"/>
    </row>
    <row r="552">
      <c r="A552" s="366" t="s">
        <v>123</v>
      </c>
      <c r="B552" s="367">
        <f t="shared" ref="B552:AE552" si="206">SUM(B483:B521)+B550</f>
        <v>34214.24396</v>
      </c>
      <c r="C552" s="367">
        <f t="shared" si="206"/>
        <v>39194.68902</v>
      </c>
      <c r="D552" s="367">
        <f t="shared" si="206"/>
        <v>41931.78805</v>
      </c>
      <c r="E552" s="367">
        <f t="shared" si="206"/>
        <v>36004.36412</v>
      </c>
      <c r="F552" s="367">
        <f t="shared" si="206"/>
        <v>36673.45415</v>
      </c>
      <c r="G552" s="367">
        <f t="shared" si="206"/>
        <v>33167.78679</v>
      </c>
      <c r="H552" s="367">
        <f t="shared" si="206"/>
        <v>37157.375</v>
      </c>
      <c r="I552" s="367">
        <f t="shared" si="206"/>
        <v>44569.71315</v>
      </c>
      <c r="J552" s="367">
        <f t="shared" si="206"/>
        <v>41466.33275</v>
      </c>
      <c r="K552" s="367">
        <f t="shared" si="206"/>
        <v>41285.25477</v>
      </c>
      <c r="L552" s="367">
        <f t="shared" si="206"/>
        <v>44259.99736</v>
      </c>
      <c r="M552" s="367">
        <f t="shared" si="206"/>
        <v>47600.89023</v>
      </c>
      <c r="N552" s="367">
        <f t="shared" si="206"/>
        <v>55214.26358</v>
      </c>
      <c r="O552" s="367">
        <f t="shared" si="206"/>
        <v>53230.03186</v>
      </c>
      <c r="P552" s="367">
        <f t="shared" si="206"/>
        <v>55025.06526</v>
      </c>
      <c r="Q552" s="367">
        <f t="shared" si="206"/>
        <v>51408.95473</v>
      </c>
      <c r="R552" s="367">
        <f t="shared" si="206"/>
        <v>58008.22433</v>
      </c>
      <c r="S552" s="367">
        <f t="shared" si="206"/>
        <v>72735.58482</v>
      </c>
      <c r="T552" s="367">
        <f t="shared" si="206"/>
        <v>55604.56503</v>
      </c>
      <c r="U552" s="367">
        <f t="shared" si="206"/>
        <v>29810.61543</v>
      </c>
      <c r="V552" s="367">
        <f t="shared" si="206"/>
        <v>14423.93793</v>
      </c>
      <c r="W552" s="367">
        <f t="shared" si="206"/>
        <v>9005.106097</v>
      </c>
      <c r="X552" s="367">
        <f t="shared" si="206"/>
        <v>17450.62349</v>
      </c>
      <c r="Y552" s="367">
        <f t="shared" si="206"/>
        <v>18645.38487</v>
      </c>
      <c r="Z552" s="367">
        <f t="shared" si="206"/>
        <v>36842.70479</v>
      </c>
      <c r="AA552" s="367">
        <f t="shared" si="206"/>
        <v>26253.3398</v>
      </c>
      <c r="AB552" s="367">
        <f t="shared" si="206"/>
        <v>18378.95459</v>
      </c>
      <c r="AC552" s="367">
        <f t="shared" si="206"/>
        <v>15778.70675</v>
      </c>
      <c r="AD552" s="367">
        <f t="shared" si="206"/>
        <v>18393.09821</v>
      </c>
      <c r="AE552" s="367">
        <f t="shared" si="206"/>
        <v>21453.12754</v>
      </c>
      <c r="AF552" s="61">
        <f>SUM(B552:AE552)</f>
        <v>1105188.178</v>
      </c>
    </row>
    <row r="553">
      <c r="A553" s="26"/>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c r="AA553" s="142"/>
      <c r="AB553" s="142"/>
      <c r="AC553" s="142"/>
      <c r="AD553" s="142"/>
      <c r="AE553" s="142"/>
      <c r="AF553" s="234"/>
    </row>
    <row r="554">
      <c r="A554" s="56" t="s">
        <v>454</v>
      </c>
      <c r="B554" s="135">
        <f t="shared" ref="B554:AE554" si="207">B135-B552</f>
        <v>3071.226045</v>
      </c>
      <c r="C554" s="135">
        <f t="shared" si="207"/>
        <v>-363.7190244</v>
      </c>
      <c r="D554" s="135">
        <f t="shared" si="207"/>
        <v>3978.011949</v>
      </c>
      <c r="E554" s="135">
        <f t="shared" si="207"/>
        <v>4069.625876</v>
      </c>
      <c r="F554" s="135">
        <f t="shared" si="207"/>
        <v>4494.975852</v>
      </c>
      <c r="G554" s="135">
        <f t="shared" si="207"/>
        <v>8025.533211</v>
      </c>
      <c r="H554" s="135">
        <f t="shared" si="207"/>
        <v>957.7250012</v>
      </c>
      <c r="I554" s="135">
        <f t="shared" si="207"/>
        <v>8706.176845</v>
      </c>
      <c r="J554" s="135">
        <f t="shared" si="207"/>
        <v>7731.81725</v>
      </c>
      <c r="K554" s="135">
        <f t="shared" si="207"/>
        <v>1253.045234</v>
      </c>
      <c r="L554" s="135">
        <f t="shared" si="207"/>
        <v>-634.9773568</v>
      </c>
      <c r="M554" s="135">
        <f t="shared" si="207"/>
        <v>3481.079772</v>
      </c>
      <c r="N554" s="135">
        <f t="shared" si="207"/>
        <v>4608.866424</v>
      </c>
      <c r="O554" s="135">
        <f t="shared" si="207"/>
        <v>9088.138142</v>
      </c>
      <c r="P554" s="135">
        <f t="shared" si="207"/>
        <v>10403.67474</v>
      </c>
      <c r="Q554" s="135">
        <f t="shared" si="207"/>
        <v>5609.275274</v>
      </c>
      <c r="R554" s="135">
        <f t="shared" si="207"/>
        <v>11202.92567</v>
      </c>
      <c r="S554" s="135">
        <f t="shared" si="207"/>
        <v>21737.02518</v>
      </c>
      <c r="T554" s="135">
        <f t="shared" si="207"/>
        <v>8149.644971</v>
      </c>
      <c r="U554" s="135">
        <f t="shared" si="207"/>
        <v>-2624.295426</v>
      </c>
      <c r="V554" s="135">
        <f t="shared" si="207"/>
        <v>409.4520653</v>
      </c>
      <c r="W554" s="135">
        <f t="shared" si="207"/>
        <v>4613.163903</v>
      </c>
      <c r="X554" s="135">
        <f t="shared" si="207"/>
        <v>1217.366515</v>
      </c>
      <c r="Y554" s="135">
        <f t="shared" si="207"/>
        <v>4867.81513</v>
      </c>
      <c r="Z554" s="135">
        <f t="shared" si="207"/>
        <v>7453.285206</v>
      </c>
      <c r="AA554" s="135">
        <f t="shared" si="207"/>
        <v>4723.720195</v>
      </c>
      <c r="AB554" s="135">
        <f t="shared" si="207"/>
        <v>-1063.694595</v>
      </c>
      <c r="AC554" s="135">
        <f t="shared" si="207"/>
        <v>1388.293254</v>
      </c>
      <c r="AD554" s="135">
        <f t="shared" si="207"/>
        <v>1129.901787</v>
      </c>
      <c r="AE554" s="135">
        <f t="shared" si="207"/>
        <v>4634.312464</v>
      </c>
      <c r="AF554" s="61">
        <f>SUM(B554:AE554)</f>
        <v>142319.3916</v>
      </c>
    </row>
    <row r="555">
      <c r="A555" s="368">
        <f>SUM(B554:AC554)</f>
        <v>136555.1773</v>
      </c>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c r="AA555" s="142"/>
      <c r="AB555" s="142"/>
      <c r="AC555" s="142"/>
      <c r="AD555" s="142"/>
      <c r="AE555" s="142"/>
      <c r="AF555" s="369"/>
    </row>
    <row r="556">
      <c r="A556" s="26"/>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c r="AA556" s="142"/>
      <c r="AB556" s="142"/>
      <c r="AC556" s="142"/>
      <c r="AD556" s="142"/>
      <c r="AE556" s="142"/>
      <c r="AF556" s="369"/>
    </row>
    <row r="557">
      <c r="A557" s="370" t="s">
        <v>455</v>
      </c>
      <c r="B557" s="371">
        <f t="shared" ref="B557:AE557" si="208">B554/B135</f>
        <v>0.08237058685</v>
      </c>
      <c r="C557" s="371">
        <f t="shared" si="208"/>
        <v>-0.009366725178</v>
      </c>
      <c r="D557" s="371">
        <f t="shared" si="208"/>
        <v>0.08664842689</v>
      </c>
      <c r="E557" s="371">
        <f t="shared" si="208"/>
        <v>0.1015527996</v>
      </c>
      <c r="F557" s="371">
        <f t="shared" si="208"/>
        <v>0.10918502</v>
      </c>
      <c r="G557" s="371">
        <f t="shared" si="208"/>
        <v>0.1948260837</v>
      </c>
      <c r="H557" s="371">
        <f t="shared" si="208"/>
        <v>0.0251271806</v>
      </c>
      <c r="I557" s="371">
        <f t="shared" si="208"/>
        <v>0.163416826</v>
      </c>
      <c r="J557" s="371">
        <f t="shared" si="208"/>
        <v>0.1571566665</v>
      </c>
      <c r="K557" s="371">
        <f t="shared" si="208"/>
        <v>0.02945687144</v>
      </c>
      <c r="L557" s="371">
        <f t="shared" si="208"/>
        <v>-0.01455534821</v>
      </c>
      <c r="M557" s="371">
        <f t="shared" si="208"/>
        <v>0.06814693663</v>
      </c>
      <c r="N557" s="371">
        <f t="shared" si="208"/>
        <v>0.07704154604</v>
      </c>
      <c r="O557" s="371">
        <f t="shared" si="208"/>
        <v>0.1458344836</v>
      </c>
      <c r="P557" s="371">
        <f t="shared" si="208"/>
        <v>0.1590077196</v>
      </c>
      <c r="Q557" s="371">
        <f t="shared" si="208"/>
        <v>0.0983768748</v>
      </c>
      <c r="R557" s="371">
        <f t="shared" si="208"/>
        <v>0.1618659085</v>
      </c>
      <c r="S557" s="371">
        <f t="shared" si="208"/>
        <v>0.2300881196</v>
      </c>
      <c r="T557" s="371">
        <f t="shared" si="208"/>
        <v>0.1278291264</v>
      </c>
      <c r="U557" s="371">
        <f t="shared" si="208"/>
        <v>-0.09652999841</v>
      </c>
      <c r="V557" s="371">
        <f t="shared" si="208"/>
        <v>0.02760340457</v>
      </c>
      <c r="W557" s="371">
        <f t="shared" si="208"/>
        <v>0.3387481599</v>
      </c>
      <c r="X557" s="371">
        <f t="shared" si="208"/>
        <v>0.06521144026</v>
      </c>
      <c r="Y557" s="371">
        <f t="shared" si="208"/>
        <v>0.2070247831</v>
      </c>
      <c r="Z557" s="371">
        <f t="shared" si="208"/>
        <v>0.1682609466</v>
      </c>
      <c r="AA557" s="371">
        <f t="shared" si="208"/>
        <v>0.1524909141</v>
      </c>
      <c r="AB557" s="371">
        <f t="shared" si="208"/>
        <v>-0.06143104953</v>
      </c>
      <c r="AC557" s="371">
        <f t="shared" si="208"/>
        <v>0.08086988138</v>
      </c>
      <c r="AD557" s="371">
        <f t="shared" si="208"/>
        <v>0.05787541808</v>
      </c>
      <c r="AE557" s="371">
        <f t="shared" si="208"/>
        <v>0.1776453521</v>
      </c>
      <c r="AF557" s="369"/>
    </row>
    <row r="558">
      <c r="A558" s="372" t="s">
        <v>456</v>
      </c>
      <c r="B558" s="373">
        <f t="shared" ref="B558:AE558" si="209">(B135-B512-B513-B514)/B483</f>
        <v>2.655898452</v>
      </c>
      <c r="C558" s="373">
        <f t="shared" si="209"/>
        <v>2.084684423</v>
      </c>
      <c r="D558" s="373">
        <f t="shared" si="209"/>
        <v>2.57539356</v>
      </c>
      <c r="E558" s="373">
        <f t="shared" si="209"/>
        <v>2.535175384</v>
      </c>
      <c r="F558" s="373">
        <f t="shared" si="209"/>
        <v>2.78519103</v>
      </c>
      <c r="G558" s="373">
        <f t="shared" si="209"/>
        <v>2.923632431</v>
      </c>
      <c r="H558" s="373">
        <f t="shared" si="209"/>
        <v>2.54568795</v>
      </c>
      <c r="I558" s="373">
        <f t="shared" si="209"/>
        <v>3.59002441</v>
      </c>
      <c r="J558" s="373">
        <f t="shared" si="209"/>
        <v>3.183504562</v>
      </c>
      <c r="K558" s="373">
        <f t="shared" si="209"/>
        <v>2.164642087</v>
      </c>
      <c r="L558" s="373">
        <f t="shared" si="209"/>
        <v>1.966424129</v>
      </c>
      <c r="M558" s="373">
        <f t="shared" si="209"/>
        <v>2.291080327</v>
      </c>
      <c r="N558" s="373">
        <f t="shared" si="209"/>
        <v>2.977130474</v>
      </c>
      <c r="O558" s="373">
        <f t="shared" si="209"/>
        <v>3.315580578</v>
      </c>
      <c r="P558" s="373">
        <f t="shared" si="209"/>
        <v>3.672911082</v>
      </c>
      <c r="Q558" s="373">
        <f t="shared" si="209"/>
        <v>2.825990928</v>
      </c>
      <c r="R558" s="373">
        <f t="shared" si="209"/>
        <v>3.095866369</v>
      </c>
      <c r="S558" s="373">
        <f t="shared" si="209"/>
        <v>3.998786712</v>
      </c>
      <c r="T558" s="373">
        <f t="shared" si="209"/>
        <v>2.882686767</v>
      </c>
      <c r="U558" s="373">
        <f t="shared" si="209"/>
        <v>1.767699994</v>
      </c>
      <c r="V558" s="373">
        <f t="shared" si="209"/>
        <v>3.083862639</v>
      </c>
      <c r="W558" s="373" t="str">
        <f t="shared" si="209"/>
        <v>#DIV/0!</v>
      </c>
      <c r="X558" s="373">
        <f t="shared" si="209"/>
        <v>8.013992412</v>
      </c>
      <c r="Y558" s="373">
        <f t="shared" si="209"/>
        <v>4.913428483</v>
      </c>
      <c r="Z558" s="373">
        <f t="shared" si="209"/>
        <v>5.954956137</v>
      </c>
      <c r="AA558" s="373">
        <f t="shared" si="209"/>
        <v>3.801893622</v>
      </c>
      <c r="AB558" s="373">
        <f t="shared" si="209"/>
        <v>2.336971839</v>
      </c>
      <c r="AC558" s="373">
        <f t="shared" si="209"/>
        <v>2.516307623</v>
      </c>
      <c r="AD558" s="373">
        <f t="shared" si="209"/>
        <v>2.440790132</v>
      </c>
      <c r="AE558" s="373">
        <f t="shared" si="209"/>
        <v>2.908787339</v>
      </c>
      <c r="AF558" s="369"/>
    </row>
    <row r="559">
      <c r="A559" s="374" t="s">
        <v>457</v>
      </c>
      <c r="B559" s="373">
        <f>Sales!B20</f>
        <v>2.81757659</v>
      </c>
      <c r="C559" s="373">
        <f>Sales!C20</f>
        <v>2.730608765</v>
      </c>
      <c r="D559" s="373">
        <f>Sales!D20</f>
        <v>2.739170195</v>
      </c>
      <c r="E559" s="373">
        <f>Sales!E20</f>
        <v>2.734697008</v>
      </c>
      <c r="F559" s="373">
        <f>Sales!F20</f>
        <v>2.956114139</v>
      </c>
      <c r="G559" s="373">
        <f>Sales!G20</f>
        <v>3.073493936</v>
      </c>
      <c r="H559" s="373">
        <f>Sales!H20</f>
        <v>2.68348921</v>
      </c>
      <c r="I559" s="373">
        <f>Sales!I20</f>
        <v>3.875150919</v>
      </c>
      <c r="J559" s="373">
        <f>Sales!J20</f>
        <v>3.360871133</v>
      </c>
      <c r="K559" s="373">
        <f>Sales!K20</f>
        <v>2.301963187</v>
      </c>
      <c r="L559" s="373">
        <f>Sales!L20</f>
        <v>2.074974934</v>
      </c>
      <c r="M559" s="373">
        <f>Sales!M20</f>
        <v>2.443092767</v>
      </c>
      <c r="N559" s="373">
        <f>Sales!N20</f>
        <v>3.104117973</v>
      </c>
      <c r="O559" s="373">
        <f>Sales!O20</f>
        <v>3.515892274</v>
      </c>
      <c r="P559" s="373">
        <f>Sales!P20</f>
        <v>3.853732805</v>
      </c>
      <c r="Q559" s="373">
        <f>Sales!Q20</f>
        <v>2.988322017</v>
      </c>
      <c r="R559" s="373">
        <f>Sales!R20</f>
        <v>3.25923151</v>
      </c>
      <c r="S559" s="373">
        <f>Sales!S20</f>
        <v>4.197648369</v>
      </c>
      <c r="T559" s="373">
        <f>Sales!T20</f>
        <v>3.023142704</v>
      </c>
      <c r="U559" s="373">
        <f>Sales!U20</f>
        <v>1.85519217</v>
      </c>
      <c r="V559" s="373">
        <f>Sales!V20</f>
        <v>3.227217743</v>
      </c>
      <c r="W559" s="373">
        <f>Sales!W20</f>
        <v>59.17298671</v>
      </c>
      <c r="X559" s="373">
        <f>Sales!X20</f>
        <v>9.174947289</v>
      </c>
      <c r="Y559" s="373">
        <f>Sales!Y20</f>
        <v>5.151063909</v>
      </c>
      <c r="Z559" s="373">
        <f>Sales!Z20</f>
        <v>6.206181166</v>
      </c>
      <c r="AA559" s="373">
        <f>Sales!AA20</f>
        <v>4.015331054</v>
      </c>
      <c r="AB559" s="373">
        <f>Sales!AB20</f>
        <v>4.047204992</v>
      </c>
      <c r="AC559" s="373">
        <f>Sales!AC20</f>
        <v>3.019073401</v>
      </c>
      <c r="AD559" s="373">
        <f>Sales!AD20</f>
        <v>2.985231046</v>
      </c>
      <c r="AE559" s="373">
        <f>Sales!AE20</f>
        <v>3.141467832</v>
      </c>
      <c r="AF559" s="369"/>
    </row>
    <row r="560">
      <c r="A560" s="26"/>
      <c r="B560" s="143"/>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7"/>
    </row>
    <row r="561">
      <c r="A561" s="124"/>
      <c r="B561" s="375"/>
      <c r="C561" s="376"/>
      <c r="D561" s="376"/>
      <c r="E561" s="376"/>
      <c r="F561" s="376"/>
      <c r="G561" s="376"/>
      <c r="H561" s="376"/>
      <c r="I561" s="376"/>
      <c r="J561" s="376"/>
      <c r="K561" s="376"/>
      <c r="L561" s="376"/>
      <c r="M561" s="376"/>
      <c r="N561" s="376"/>
      <c r="O561" s="376"/>
      <c r="P561" s="376"/>
      <c r="Q561" s="376"/>
      <c r="R561" s="376"/>
      <c r="S561" s="376"/>
      <c r="T561" s="376"/>
      <c r="U561" s="124"/>
      <c r="V561" s="124"/>
      <c r="W561" s="124"/>
      <c r="X561" s="124"/>
      <c r="Y561" s="124"/>
      <c r="Z561" s="124"/>
      <c r="AA561" s="124"/>
      <c r="AB561" s="124"/>
      <c r="AC561" s="124"/>
      <c r="AD561" s="124"/>
      <c r="AE561" s="124"/>
      <c r="AF561" s="7"/>
    </row>
    <row r="562">
      <c r="A562" s="374" t="s">
        <v>138</v>
      </c>
      <c r="B562" s="377"/>
      <c r="C562" s="377"/>
      <c r="D562" s="377"/>
      <c r="E562" s="377"/>
      <c r="F562" s="377"/>
      <c r="G562" s="377"/>
      <c r="H562" s="377"/>
      <c r="I562" s="377"/>
      <c r="J562" s="377"/>
      <c r="K562" s="377"/>
      <c r="L562" s="377"/>
      <c r="M562" s="377"/>
      <c r="N562" s="377"/>
      <c r="O562" s="377"/>
      <c r="P562" s="377"/>
      <c r="Q562" s="377"/>
      <c r="R562" s="377"/>
      <c r="S562" s="377"/>
      <c r="T562" s="377"/>
      <c r="U562" s="377"/>
      <c r="V562" s="377"/>
      <c r="W562" s="377"/>
      <c r="X562" s="377"/>
      <c r="Y562" s="377"/>
      <c r="Z562" s="377"/>
      <c r="AA562" s="16"/>
      <c r="AB562" s="377"/>
      <c r="AC562" s="377"/>
      <c r="AD562" s="377"/>
      <c r="AE562" s="377"/>
      <c r="AF562" s="7"/>
    </row>
    <row r="563">
      <c r="A563" s="144">
        <f>SUM(B135:AE135)</f>
        <v>1247507.57</v>
      </c>
      <c r="B563" s="377"/>
      <c r="C563" s="377"/>
      <c r="D563" s="377"/>
      <c r="E563" s="377"/>
      <c r="F563" s="377"/>
      <c r="G563" s="377"/>
      <c r="H563" s="377"/>
      <c r="I563" s="377"/>
      <c r="J563" s="377"/>
      <c r="K563" s="377"/>
      <c r="L563" s="377"/>
      <c r="M563" s="377"/>
      <c r="N563" s="377"/>
      <c r="O563" s="377"/>
      <c r="P563" s="377"/>
      <c r="Q563" s="377"/>
      <c r="R563" s="377"/>
      <c r="S563" s="377"/>
      <c r="T563" s="377"/>
      <c r="U563" s="377"/>
      <c r="V563" s="377"/>
      <c r="W563" s="377"/>
      <c r="X563" s="377"/>
      <c r="Y563" s="377"/>
      <c r="Z563" s="377"/>
      <c r="AA563" s="377"/>
      <c r="AB563" s="377"/>
      <c r="AC563" s="377"/>
      <c r="AD563" s="377"/>
      <c r="AE563" s="377"/>
      <c r="AF563" s="378"/>
    </row>
    <row r="564">
      <c r="A564" s="2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7"/>
    </row>
    <row r="565">
      <c r="A565" s="370" t="s">
        <v>249</v>
      </c>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7"/>
    </row>
    <row r="566">
      <c r="A566" s="144">
        <f>SUM(B552:AE552)</f>
        <v>1105188.178</v>
      </c>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7"/>
    </row>
    <row r="567">
      <c r="A567" s="2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7"/>
    </row>
    <row r="568">
      <c r="A568" s="370" t="s">
        <v>369</v>
      </c>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7"/>
    </row>
    <row r="569">
      <c r="A569" s="379">
        <f>A555/A563</f>
        <v>0.1094624038</v>
      </c>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7"/>
    </row>
    <row r="570">
      <c r="A570" s="2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7"/>
    </row>
    <row r="571">
      <c r="A571" s="224"/>
      <c r="AF571" s="275"/>
    </row>
    <row r="572">
      <c r="A572" s="224"/>
      <c r="AF572" s="275"/>
    </row>
    <row r="573">
      <c r="A573" s="224"/>
      <c r="AF573" s="275"/>
    </row>
    <row r="574">
      <c r="A574" s="224"/>
      <c r="AF574" s="275"/>
    </row>
    <row r="575">
      <c r="A575" s="224"/>
      <c r="AF575" s="275"/>
    </row>
    <row r="576">
      <c r="A576" s="224"/>
      <c r="AF576" s="275"/>
    </row>
    <row r="577">
      <c r="A577" s="224"/>
      <c r="AF577" s="275"/>
    </row>
    <row r="578">
      <c r="A578" s="224"/>
      <c r="AF578" s="275"/>
    </row>
    <row r="579">
      <c r="A579" s="224"/>
      <c r="AF579" s="275"/>
    </row>
    <row r="580">
      <c r="A580" s="224"/>
      <c r="AF580" s="275"/>
    </row>
    <row r="581">
      <c r="A581" s="224"/>
      <c r="AF581" s="275"/>
    </row>
    <row r="582">
      <c r="A582" s="224"/>
      <c r="AF582" s="275"/>
    </row>
    <row r="583">
      <c r="A583" s="224"/>
      <c r="AF583" s="275"/>
    </row>
    <row r="584">
      <c r="A584" s="224"/>
      <c r="AF584" s="275"/>
    </row>
    <row r="585">
      <c r="A585" s="224"/>
      <c r="AF585" s="275"/>
    </row>
    <row r="586">
      <c r="A586" s="224"/>
      <c r="AF586" s="275"/>
    </row>
    <row r="587">
      <c r="A587" s="224"/>
      <c r="AF587" s="275"/>
    </row>
    <row r="588">
      <c r="A588" s="224"/>
      <c r="AF588" s="275"/>
    </row>
    <row r="589">
      <c r="A589" s="224"/>
      <c r="AF589" s="275"/>
    </row>
    <row r="590">
      <c r="A590" s="224"/>
      <c r="AF590" s="275"/>
    </row>
    <row r="591">
      <c r="A591" s="224"/>
      <c r="AF591" s="275"/>
    </row>
    <row r="592">
      <c r="A592" s="224"/>
      <c r="AF592" s="275"/>
    </row>
    <row r="593">
      <c r="A593" s="224"/>
      <c r="AF593" s="275"/>
    </row>
    <row r="594">
      <c r="A594" s="224"/>
      <c r="AF594" s="275"/>
    </row>
    <row r="595">
      <c r="A595" s="224"/>
      <c r="AF595" s="275"/>
    </row>
    <row r="596">
      <c r="A596" s="224"/>
      <c r="AF596" s="275"/>
    </row>
    <row r="597">
      <c r="A597" s="224"/>
      <c r="AF597" s="275"/>
    </row>
    <row r="598">
      <c r="A598" s="224"/>
      <c r="AF598" s="275"/>
    </row>
    <row r="599">
      <c r="A599" s="224"/>
      <c r="AF599" s="275"/>
    </row>
    <row r="600">
      <c r="A600" s="224"/>
      <c r="AF600" s="275"/>
    </row>
    <row r="601">
      <c r="A601" s="224"/>
      <c r="AF601" s="275"/>
    </row>
    <row r="602">
      <c r="A602" s="224"/>
      <c r="AF602" s="275"/>
    </row>
    <row r="603">
      <c r="A603" s="224"/>
      <c r="AF603" s="275"/>
    </row>
    <row r="604">
      <c r="A604" s="224"/>
      <c r="AF604" s="275"/>
    </row>
    <row r="605">
      <c r="A605" s="224"/>
      <c r="AF605" s="275"/>
    </row>
    <row r="606">
      <c r="A606" s="224"/>
      <c r="AF606" s="275"/>
    </row>
    <row r="607">
      <c r="A607" s="224"/>
      <c r="AF607" s="275"/>
    </row>
    <row r="608">
      <c r="A608" s="224"/>
      <c r="AF608" s="275"/>
    </row>
    <row r="609">
      <c r="A609" s="224"/>
      <c r="AF609" s="275"/>
    </row>
    <row r="610">
      <c r="A610" s="224"/>
      <c r="AF610" s="275"/>
    </row>
    <row r="611">
      <c r="A611" s="224"/>
      <c r="AF611" s="275"/>
    </row>
    <row r="612">
      <c r="A612" s="224"/>
      <c r="AF612" s="275"/>
    </row>
    <row r="613">
      <c r="A613" s="224"/>
      <c r="AF613" s="275"/>
    </row>
    <row r="614">
      <c r="A614" s="224"/>
      <c r="AF614" s="275"/>
    </row>
    <row r="615">
      <c r="A615" s="224"/>
      <c r="AF615" s="275"/>
    </row>
    <row r="616">
      <c r="A616" s="224"/>
      <c r="AF616" s="275"/>
    </row>
    <row r="617">
      <c r="A617" s="224"/>
      <c r="AF617" s="275"/>
    </row>
    <row r="618">
      <c r="A618" s="224"/>
      <c r="AF618" s="275"/>
    </row>
    <row r="619">
      <c r="A619" s="224"/>
      <c r="AF619" s="275"/>
    </row>
    <row r="620">
      <c r="A620" s="224"/>
      <c r="AF620" s="275"/>
    </row>
    <row r="621">
      <c r="A621" s="224"/>
      <c r="AF621" s="275"/>
    </row>
    <row r="622">
      <c r="A622" s="224"/>
      <c r="AF622" s="275"/>
    </row>
    <row r="623">
      <c r="A623" s="224"/>
      <c r="AF623" s="275"/>
    </row>
    <row r="624">
      <c r="A624" s="224"/>
      <c r="AF624" s="275"/>
    </row>
    <row r="625">
      <c r="A625" s="224"/>
      <c r="AF625" s="275"/>
    </row>
    <row r="626">
      <c r="A626" s="224"/>
      <c r="AF626" s="275"/>
    </row>
    <row r="627">
      <c r="A627" s="224"/>
      <c r="AF627" s="275"/>
    </row>
    <row r="628">
      <c r="A628" s="224"/>
      <c r="AF628" s="275"/>
    </row>
    <row r="629">
      <c r="A629" s="224"/>
      <c r="AF629" s="275"/>
    </row>
    <row r="630">
      <c r="A630" s="224"/>
      <c r="AF630" s="275"/>
    </row>
    <row r="631">
      <c r="A631" s="224"/>
      <c r="AF631" s="275"/>
    </row>
    <row r="632">
      <c r="A632" s="224"/>
      <c r="AF632" s="275"/>
    </row>
    <row r="633">
      <c r="A633" s="224"/>
      <c r="AF633" s="275"/>
    </row>
    <row r="634">
      <c r="A634" s="224"/>
      <c r="AF634" s="275"/>
    </row>
    <row r="635">
      <c r="A635" s="224"/>
      <c r="AF635" s="275"/>
    </row>
    <row r="636">
      <c r="A636" s="224"/>
      <c r="AF636" s="275"/>
    </row>
    <row r="637">
      <c r="A637" s="224"/>
      <c r="AF637" s="275"/>
    </row>
    <row r="638">
      <c r="A638" s="224"/>
      <c r="AF638" s="275"/>
    </row>
    <row r="639">
      <c r="A639" s="224"/>
      <c r="AF639" s="275"/>
    </row>
    <row r="640">
      <c r="A640" s="224"/>
      <c r="AF640" s="275"/>
    </row>
    <row r="641">
      <c r="A641" s="224"/>
      <c r="AF641" s="275"/>
    </row>
    <row r="642">
      <c r="A642" s="224"/>
      <c r="AF642" s="275"/>
    </row>
    <row r="643">
      <c r="A643" s="224"/>
      <c r="AF643" s="275"/>
    </row>
    <row r="644">
      <c r="A644" s="224"/>
      <c r="AF644" s="275"/>
    </row>
    <row r="645">
      <c r="A645" s="224"/>
      <c r="AF645" s="275"/>
    </row>
    <row r="646">
      <c r="A646" s="224"/>
      <c r="AF646" s="275"/>
    </row>
    <row r="647">
      <c r="A647" s="224"/>
      <c r="AF647" s="275"/>
    </row>
    <row r="648">
      <c r="A648" s="224"/>
      <c r="AF648" s="275"/>
    </row>
    <row r="649">
      <c r="A649" s="224"/>
      <c r="AF649" s="275"/>
    </row>
    <row r="650">
      <c r="A650" s="224"/>
      <c r="AF650" s="275"/>
    </row>
    <row r="651">
      <c r="A651" s="224"/>
      <c r="AF651" s="275"/>
    </row>
    <row r="652">
      <c r="A652" s="224"/>
      <c r="AF652" s="275"/>
    </row>
    <row r="653">
      <c r="A653" s="224"/>
      <c r="AF653" s="275"/>
    </row>
    <row r="654">
      <c r="A654" s="224"/>
      <c r="AF654" s="275"/>
    </row>
    <row r="655">
      <c r="A655" s="224"/>
      <c r="AF655" s="275"/>
    </row>
    <row r="656">
      <c r="A656" s="224"/>
      <c r="AF656" s="275"/>
    </row>
    <row r="657">
      <c r="A657" s="224"/>
      <c r="AF657" s="275"/>
    </row>
    <row r="658">
      <c r="A658" s="224"/>
      <c r="AF658" s="275"/>
    </row>
    <row r="659">
      <c r="A659" s="224"/>
      <c r="AF659" s="275"/>
    </row>
    <row r="660">
      <c r="A660" s="224"/>
      <c r="AF660" s="275"/>
    </row>
    <row r="661">
      <c r="A661" s="224"/>
      <c r="AF661" s="275"/>
    </row>
    <row r="662">
      <c r="A662" s="224"/>
      <c r="AF662" s="275"/>
    </row>
    <row r="663">
      <c r="A663" s="224"/>
      <c r="AF663" s="275"/>
    </row>
    <row r="664">
      <c r="A664" s="224"/>
      <c r="AF664" s="275"/>
    </row>
    <row r="665">
      <c r="A665" s="224"/>
      <c r="AF665" s="275"/>
    </row>
    <row r="666">
      <c r="A666" s="224"/>
      <c r="AF666" s="275"/>
    </row>
    <row r="667">
      <c r="A667" s="224"/>
      <c r="AF667" s="275"/>
    </row>
    <row r="668">
      <c r="A668" s="224"/>
      <c r="AF668" s="275"/>
    </row>
    <row r="669">
      <c r="A669" s="224"/>
      <c r="AF669" s="275"/>
    </row>
    <row r="670">
      <c r="A670" s="224"/>
      <c r="AF670" s="275"/>
    </row>
    <row r="671">
      <c r="A671" s="224"/>
      <c r="AF671" s="275"/>
    </row>
    <row r="672">
      <c r="A672" s="224"/>
      <c r="AF672" s="275"/>
    </row>
    <row r="673">
      <c r="A673" s="224"/>
      <c r="AF673" s="275"/>
    </row>
    <row r="674">
      <c r="A674" s="224"/>
      <c r="AF674" s="275"/>
    </row>
    <row r="675">
      <c r="A675" s="224"/>
      <c r="AF675" s="275"/>
    </row>
    <row r="676">
      <c r="A676" s="224"/>
      <c r="AF676" s="275"/>
    </row>
    <row r="677">
      <c r="A677" s="224"/>
      <c r="AF677" s="275"/>
    </row>
    <row r="678">
      <c r="A678" s="224"/>
      <c r="AF678" s="275"/>
    </row>
    <row r="679">
      <c r="A679" s="224"/>
      <c r="AF679" s="275"/>
    </row>
    <row r="680">
      <c r="A680" s="224"/>
      <c r="AF680" s="275"/>
    </row>
    <row r="681">
      <c r="A681" s="224"/>
      <c r="AF681" s="275"/>
    </row>
    <row r="682">
      <c r="A682" s="224"/>
      <c r="AF682" s="275"/>
    </row>
    <row r="683">
      <c r="A683" s="224"/>
      <c r="AF683" s="275"/>
    </row>
    <row r="684">
      <c r="A684" s="224"/>
      <c r="AF684" s="275"/>
    </row>
    <row r="685">
      <c r="A685" s="224"/>
      <c r="AF685" s="275"/>
    </row>
    <row r="686">
      <c r="A686" s="224"/>
      <c r="AF686" s="275"/>
    </row>
    <row r="687">
      <c r="A687" s="224"/>
      <c r="AF687" s="275"/>
    </row>
    <row r="688">
      <c r="A688" s="224"/>
      <c r="AF688" s="275"/>
    </row>
    <row r="689">
      <c r="A689" s="224"/>
      <c r="AF689" s="275"/>
    </row>
    <row r="690">
      <c r="A690" s="224"/>
      <c r="AF690" s="275"/>
    </row>
    <row r="691">
      <c r="A691" s="224"/>
      <c r="AF691" s="275"/>
    </row>
    <row r="692">
      <c r="A692" s="224"/>
      <c r="AF692" s="275"/>
    </row>
    <row r="693">
      <c r="A693" s="224"/>
      <c r="AF693" s="275"/>
    </row>
    <row r="694">
      <c r="A694" s="224"/>
      <c r="AF694" s="275"/>
    </row>
    <row r="695">
      <c r="A695" s="224"/>
      <c r="AF695" s="275"/>
    </row>
    <row r="696">
      <c r="A696" s="224"/>
      <c r="AF696" s="275"/>
    </row>
    <row r="697">
      <c r="A697" s="224"/>
      <c r="AF697" s="275"/>
    </row>
    <row r="698">
      <c r="A698" s="224"/>
      <c r="AF698" s="275"/>
    </row>
    <row r="699">
      <c r="A699" s="224"/>
      <c r="AF699" s="275"/>
    </row>
    <row r="700">
      <c r="A700" s="224"/>
      <c r="AF700" s="275"/>
    </row>
    <row r="701">
      <c r="A701" s="224"/>
      <c r="AF701" s="275"/>
    </row>
    <row r="702">
      <c r="A702" s="224"/>
      <c r="AF702" s="275"/>
    </row>
    <row r="703">
      <c r="A703" s="224"/>
      <c r="AF703" s="275"/>
    </row>
    <row r="704">
      <c r="A704" s="224"/>
      <c r="AF704" s="275"/>
    </row>
    <row r="705">
      <c r="A705" s="224"/>
      <c r="AF705" s="275"/>
    </row>
    <row r="706">
      <c r="A706" s="224"/>
      <c r="AF706" s="275"/>
    </row>
    <row r="707">
      <c r="A707" s="224"/>
      <c r="AF707" s="275"/>
    </row>
    <row r="708">
      <c r="A708" s="224"/>
      <c r="AF708" s="275"/>
    </row>
    <row r="709">
      <c r="A709" s="224"/>
      <c r="AF709" s="275"/>
    </row>
    <row r="710">
      <c r="A710" s="224"/>
      <c r="AF710" s="275"/>
    </row>
    <row r="711">
      <c r="A711" s="224"/>
      <c r="AF711" s="275"/>
    </row>
    <row r="712">
      <c r="A712" s="224"/>
      <c r="AF712" s="275"/>
    </row>
    <row r="713">
      <c r="A713" s="224"/>
      <c r="AF713" s="275"/>
    </row>
    <row r="714">
      <c r="A714" s="224"/>
      <c r="AF714" s="275"/>
    </row>
    <row r="715">
      <c r="A715" s="224"/>
      <c r="AF715" s="275"/>
    </row>
    <row r="716">
      <c r="A716" s="224"/>
      <c r="AF716" s="275"/>
    </row>
    <row r="717">
      <c r="A717" s="224"/>
      <c r="AF717" s="275"/>
    </row>
    <row r="718">
      <c r="A718" s="224"/>
      <c r="AF718" s="275"/>
    </row>
    <row r="719">
      <c r="A719" s="224"/>
      <c r="AF719" s="275"/>
    </row>
    <row r="720">
      <c r="A720" s="224"/>
      <c r="AF720" s="275"/>
    </row>
    <row r="721">
      <c r="A721" s="224"/>
      <c r="AF721" s="275"/>
    </row>
    <row r="722">
      <c r="A722" s="224"/>
      <c r="AF722" s="275"/>
    </row>
    <row r="723">
      <c r="A723" s="224"/>
      <c r="AF723" s="275"/>
    </row>
    <row r="724">
      <c r="A724" s="224"/>
      <c r="AF724" s="275"/>
    </row>
    <row r="725">
      <c r="A725" s="224"/>
      <c r="AF725" s="275"/>
    </row>
    <row r="726">
      <c r="A726" s="224"/>
      <c r="AF726" s="275"/>
    </row>
    <row r="727">
      <c r="A727" s="224"/>
      <c r="AF727" s="275"/>
    </row>
    <row r="728">
      <c r="A728" s="224"/>
      <c r="AF728" s="275"/>
    </row>
    <row r="729">
      <c r="A729" s="224"/>
      <c r="AF729" s="275"/>
    </row>
    <row r="730">
      <c r="A730" s="224"/>
      <c r="AF730" s="275"/>
    </row>
    <row r="731">
      <c r="A731" s="224"/>
      <c r="AF731" s="275"/>
    </row>
    <row r="732">
      <c r="A732" s="224"/>
      <c r="AF732" s="275"/>
    </row>
    <row r="733">
      <c r="A733" s="224"/>
      <c r="AF733" s="275"/>
    </row>
    <row r="734">
      <c r="A734" s="224"/>
      <c r="AF734" s="275"/>
    </row>
    <row r="735">
      <c r="A735" s="224"/>
      <c r="AF735" s="275"/>
    </row>
    <row r="736">
      <c r="A736" s="224"/>
      <c r="AF736" s="275"/>
    </row>
    <row r="737">
      <c r="A737" s="224"/>
      <c r="AF737" s="275"/>
    </row>
    <row r="738">
      <c r="A738" s="224"/>
      <c r="AF738" s="275"/>
    </row>
    <row r="739">
      <c r="A739" s="224"/>
      <c r="AF739" s="275"/>
    </row>
    <row r="740">
      <c r="A740" s="224"/>
      <c r="AF740" s="275"/>
    </row>
    <row r="741">
      <c r="A741" s="224"/>
      <c r="AF741" s="275"/>
    </row>
    <row r="742">
      <c r="A742" s="224"/>
      <c r="AF742" s="275"/>
    </row>
    <row r="743">
      <c r="A743" s="224"/>
      <c r="AF743" s="275"/>
    </row>
    <row r="744">
      <c r="A744" s="224"/>
      <c r="AF744" s="275"/>
    </row>
    <row r="745">
      <c r="A745" s="224"/>
      <c r="AF745" s="275"/>
    </row>
    <row r="746">
      <c r="A746" s="224"/>
      <c r="AF746" s="275"/>
    </row>
    <row r="747">
      <c r="A747" s="224"/>
      <c r="AF747" s="275"/>
    </row>
    <row r="748">
      <c r="A748" s="224"/>
      <c r="AF748" s="275"/>
    </row>
    <row r="749">
      <c r="A749" s="224"/>
      <c r="AF749" s="275"/>
    </row>
    <row r="750">
      <c r="A750" s="224"/>
      <c r="AF750" s="275"/>
    </row>
    <row r="751">
      <c r="A751" s="224"/>
      <c r="AF751" s="275"/>
    </row>
    <row r="752">
      <c r="A752" s="224"/>
      <c r="AF752" s="275"/>
    </row>
    <row r="753">
      <c r="A753" s="224"/>
      <c r="AF753" s="275"/>
    </row>
    <row r="754">
      <c r="A754" s="224"/>
      <c r="AF754" s="275"/>
    </row>
    <row r="755">
      <c r="A755" s="224"/>
      <c r="AF755" s="275"/>
    </row>
    <row r="756">
      <c r="A756" s="224"/>
      <c r="AF756" s="275"/>
    </row>
    <row r="757">
      <c r="A757" s="224"/>
      <c r="AF757" s="275"/>
    </row>
    <row r="758">
      <c r="A758" s="224"/>
      <c r="AF758" s="275"/>
    </row>
    <row r="759">
      <c r="A759" s="224"/>
      <c r="AF759" s="275"/>
    </row>
    <row r="760">
      <c r="A760" s="224"/>
      <c r="AF760" s="275"/>
    </row>
    <row r="761">
      <c r="A761" s="224"/>
      <c r="AF761" s="275"/>
    </row>
    <row r="762">
      <c r="A762" s="224"/>
      <c r="AF762" s="275"/>
    </row>
    <row r="763">
      <c r="A763" s="224"/>
      <c r="AF763" s="275"/>
    </row>
    <row r="764">
      <c r="A764" s="224"/>
      <c r="AF764" s="275"/>
    </row>
    <row r="765">
      <c r="A765" s="224"/>
      <c r="AF765" s="275"/>
    </row>
    <row r="766">
      <c r="A766" s="224"/>
      <c r="AF766" s="275"/>
    </row>
    <row r="767">
      <c r="A767" s="224"/>
      <c r="AF767" s="275"/>
    </row>
    <row r="768">
      <c r="A768" s="224"/>
      <c r="AF768" s="275"/>
    </row>
    <row r="769">
      <c r="A769" s="224"/>
      <c r="AF769" s="275"/>
    </row>
    <row r="770">
      <c r="A770" s="224"/>
      <c r="AF770" s="275"/>
    </row>
    <row r="771">
      <c r="A771" s="224"/>
      <c r="AF771" s="275"/>
    </row>
    <row r="772">
      <c r="A772" s="224"/>
      <c r="AF772" s="275"/>
    </row>
    <row r="773">
      <c r="A773" s="224"/>
      <c r="AF773" s="275"/>
    </row>
    <row r="774">
      <c r="A774" s="224"/>
      <c r="AF774" s="275"/>
    </row>
    <row r="775">
      <c r="A775" s="224"/>
      <c r="AF775" s="275"/>
    </row>
    <row r="776">
      <c r="A776" s="224"/>
      <c r="AF776" s="275"/>
    </row>
    <row r="777">
      <c r="A777" s="224"/>
      <c r="AF777" s="275"/>
    </row>
    <row r="778">
      <c r="A778" s="224"/>
      <c r="AF778" s="275"/>
    </row>
    <row r="779">
      <c r="A779" s="224"/>
      <c r="AF779" s="275"/>
    </row>
    <row r="780">
      <c r="A780" s="224"/>
      <c r="AF780" s="275"/>
    </row>
    <row r="781">
      <c r="A781" s="224"/>
      <c r="AF781" s="275"/>
    </row>
    <row r="782">
      <c r="A782" s="224"/>
      <c r="AF782" s="275"/>
    </row>
    <row r="783">
      <c r="A783" s="224"/>
      <c r="AF783" s="275"/>
    </row>
    <row r="784">
      <c r="A784" s="224"/>
      <c r="AF784" s="275"/>
    </row>
    <row r="785">
      <c r="A785" s="224"/>
      <c r="AF785" s="275"/>
    </row>
    <row r="786">
      <c r="A786" s="224"/>
      <c r="AF786" s="275"/>
    </row>
    <row r="787">
      <c r="A787" s="224"/>
      <c r="AF787" s="275"/>
    </row>
    <row r="788">
      <c r="A788" s="224"/>
      <c r="AF788" s="275"/>
    </row>
    <row r="789">
      <c r="A789" s="224"/>
      <c r="AF789" s="275"/>
    </row>
    <row r="790">
      <c r="A790" s="224"/>
      <c r="AF790" s="275"/>
    </row>
    <row r="791">
      <c r="A791" s="224"/>
      <c r="AF791" s="275"/>
    </row>
    <row r="792">
      <c r="A792" s="224"/>
      <c r="AF792" s="275"/>
    </row>
    <row r="793">
      <c r="A793" s="224"/>
      <c r="AF793" s="275"/>
    </row>
    <row r="794">
      <c r="A794" s="224"/>
      <c r="AF794" s="275"/>
    </row>
    <row r="795">
      <c r="A795" s="224"/>
      <c r="AF795" s="275"/>
    </row>
    <row r="796">
      <c r="A796" s="224"/>
      <c r="AF796" s="275"/>
    </row>
    <row r="797">
      <c r="A797" s="224"/>
      <c r="AF797" s="275"/>
    </row>
    <row r="798">
      <c r="A798" s="224"/>
      <c r="AF798" s="275"/>
    </row>
    <row r="799">
      <c r="A799" s="224"/>
      <c r="AF799" s="275"/>
    </row>
    <row r="800">
      <c r="A800" s="224"/>
      <c r="AF800" s="275"/>
    </row>
    <row r="801">
      <c r="A801" s="224"/>
      <c r="AF801" s="275"/>
    </row>
    <row r="802">
      <c r="A802" s="224"/>
      <c r="AF802" s="275"/>
    </row>
    <row r="803">
      <c r="A803" s="224"/>
      <c r="AF803" s="275"/>
    </row>
    <row r="804">
      <c r="A804" s="224"/>
      <c r="AF804" s="275"/>
    </row>
    <row r="805">
      <c r="A805" s="224"/>
      <c r="AF805" s="275"/>
    </row>
    <row r="806">
      <c r="A806" s="224"/>
      <c r="AF806" s="275"/>
    </row>
    <row r="807">
      <c r="A807" s="224"/>
      <c r="AF807" s="275"/>
    </row>
    <row r="808">
      <c r="A808" s="224"/>
      <c r="AF808" s="275"/>
    </row>
    <row r="809">
      <c r="A809" s="224"/>
      <c r="AF809" s="275"/>
    </row>
    <row r="810">
      <c r="A810" s="224"/>
      <c r="AF810" s="275"/>
    </row>
    <row r="811">
      <c r="A811" s="224"/>
      <c r="AF811" s="275"/>
    </row>
    <row r="812">
      <c r="A812" s="224"/>
      <c r="AF812" s="275"/>
    </row>
    <row r="813">
      <c r="A813" s="224"/>
      <c r="AF813" s="275"/>
    </row>
    <row r="814">
      <c r="A814" s="224"/>
      <c r="AF814" s="275"/>
    </row>
    <row r="815">
      <c r="A815" s="224"/>
      <c r="AF815" s="275"/>
    </row>
    <row r="816">
      <c r="A816" s="224"/>
      <c r="AF816" s="275"/>
    </row>
    <row r="817">
      <c r="A817" s="224"/>
      <c r="AF817" s="275"/>
    </row>
    <row r="818">
      <c r="A818" s="224"/>
      <c r="AF818" s="275"/>
    </row>
    <row r="819">
      <c r="A819" s="224"/>
      <c r="AF819" s="275"/>
    </row>
    <row r="820">
      <c r="A820" s="224"/>
      <c r="AF820" s="275"/>
    </row>
    <row r="821">
      <c r="A821" s="224"/>
      <c r="AF821" s="275"/>
    </row>
    <row r="822">
      <c r="A822" s="224"/>
      <c r="AF822" s="275"/>
    </row>
    <row r="823">
      <c r="A823" s="224"/>
      <c r="AF823" s="275"/>
    </row>
    <row r="824">
      <c r="A824" s="224"/>
      <c r="AF824" s="275"/>
    </row>
    <row r="825">
      <c r="A825" s="224"/>
      <c r="AF825" s="275"/>
    </row>
    <row r="826">
      <c r="A826" s="224"/>
      <c r="AF826" s="275"/>
    </row>
    <row r="827">
      <c r="A827" s="224"/>
      <c r="AF827" s="275"/>
    </row>
    <row r="828">
      <c r="A828" s="224"/>
      <c r="AF828" s="275"/>
    </row>
    <row r="829">
      <c r="A829" s="224"/>
      <c r="AF829" s="275"/>
    </row>
    <row r="830">
      <c r="A830" s="224"/>
      <c r="AF830" s="275"/>
    </row>
    <row r="831">
      <c r="A831" s="224"/>
      <c r="AF831" s="275"/>
    </row>
    <row r="832">
      <c r="A832" s="224"/>
      <c r="AF832" s="275"/>
    </row>
    <row r="833">
      <c r="A833" s="224"/>
      <c r="AF833" s="275"/>
    </row>
    <row r="834">
      <c r="A834" s="224"/>
      <c r="AF834" s="275"/>
    </row>
    <row r="835">
      <c r="A835" s="224"/>
      <c r="AF835" s="275"/>
    </row>
    <row r="836">
      <c r="A836" s="224"/>
      <c r="AF836" s="275"/>
    </row>
    <row r="837">
      <c r="A837" s="224"/>
      <c r="AF837" s="275"/>
    </row>
    <row r="838">
      <c r="A838" s="224"/>
      <c r="AF838" s="275"/>
    </row>
    <row r="839">
      <c r="A839" s="224"/>
      <c r="AF839" s="275"/>
    </row>
    <row r="840">
      <c r="A840" s="224"/>
      <c r="AF840" s="275"/>
    </row>
    <row r="841">
      <c r="A841" s="224"/>
      <c r="AF841" s="275"/>
    </row>
    <row r="842">
      <c r="A842" s="224"/>
      <c r="AF842" s="275"/>
    </row>
    <row r="843">
      <c r="A843" s="224"/>
      <c r="AF843" s="275"/>
    </row>
    <row r="844">
      <c r="A844" s="224"/>
      <c r="AF844" s="275"/>
    </row>
    <row r="845">
      <c r="A845" s="224"/>
      <c r="AF845" s="275"/>
    </row>
    <row r="846">
      <c r="A846" s="224"/>
      <c r="AF846" s="275"/>
    </row>
    <row r="847">
      <c r="A847" s="224"/>
      <c r="AF847" s="275"/>
    </row>
    <row r="848">
      <c r="A848" s="224"/>
      <c r="AF848" s="275"/>
    </row>
    <row r="849">
      <c r="A849" s="224"/>
      <c r="AF849" s="275"/>
    </row>
    <row r="850">
      <c r="A850" s="224"/>
      <c r="AF850" s="275"/>
    </row>
    <row r="851">
      <c r="A851" s="224"/>
      <c r="AF851" s="275"/>
    </row>
    <row r="852">
      <c r="A852" s="224"/>
      <c r="AF852" s="275"/>
    </row>
    <row r="853">
      <c r="A853" s="224"/>
      <c r="AF853" s="275"/>
    </row>
    <row r="854">
      <c r="A854" s="224"/>
      <c r="AF854" s="275"/>
    </row>
    <row r="855">
      <c r="A855" s="224"/>
      <c r="AF855" s="275"/>
    </row>
    <row r="856">
      <c r="A856" s="224"/>
      <c r="AF856" s="275"/>
    </row>
    <row r="857">
      <c r="A857" s="224"/>
      <c r="AF857" s="275"/>
    </row>
    <row r="858">
      <c r="A858" s="224"/>
      <c r="AF858" s="275"/>
    </row>
    <row r="859">
      <c r="A859" s="224"/>
      <c r="AF859" s="275"/>
    </row>
    <row r="860">
      <c r="A860" s="224"/>
      <c r="AF860" s="275"/>
    </row>
    <row r="861">
      <c r="A861" s="224"/>
      <c r="AF861" s="275"/>
    </row>
    <row r="862">
      <c r="A862" s="224"/>
      <c r="AF862" s="275"/>
    </row>
    <row r="863">
      <c r="A863" s="224"/>
      <c r="AF863" s="275"/>
    </row>
    <row r="864">
      <c r="A864" s="224"/>
      <c r="AF864" s="275"/>
    </row>
    <row r="865">
      <c r="A865" s="224"/>
      <c r="AF865" s="275"/>
    </row>
    <row r="866">
      <c r="A866" s="224"/>
      <c r="AF866" s="275"/>
    </row>
    <row r="867">
      <c r="A867" s="224"/>
      <c r="AF867" s="275"/>
    </row>
    <row r="868">
      <c r="A868" s="224"/>
      <c r="AF868" s="275"/>
    </row>
    <row r="869">
      <c r="A869" s="224"/>
      <c r="AF869" s="275"/>
    </row>
    <row r="870">
      <c r="A870" s="224"/>
      <c r="AF870" s="275"/>
    </row>
    <row r="871">
      <c r="A871" s="224"/>
      <c r="AF871" s="275"/>
    </row>
    <row r="872">
      <c r="A872" s="224"/>
      <c r="AF872" s="275"/>
    </row>
    <row r="873">
      <c r="A873" s="224"/>
      <c r="AF873" s="275"/>
    </row>
    <row r="874">
      <c r="A874" s="224"/>
      <c r="AF874" s="275"/>
    </row>
    <row r="875">
      <c r="A875" s="224"/>
      <c r="AF875" s="275"/>
    </row>
    <row r="876">
      <c r="A876" s="224"/>
      <c r="AF876" s="275"/>
    </row>
    <row r="877">
      <c r="A877" s="224"/>
      <c r="AF877" s="275"/>
    </row>
    <row r="878">
      <c r="A878" s="224"/>
      <c r="AF878" s="275"/>
    </row>
    <row r="879">
      <c r="A879" s="224"/>
      <c r="AF879" s="275"/>
    </row>
    <row r="880">
      <c r="A880" s="224"/>
      <c r="AF880" s="275"/>
    </row>
    <row r="881">
      <c r="A881" s="224"/>
      <c r="AF881" s="275"/>
    </row>
    <row r="882">
      <c r="A882" s="224"/>
      <c r="AF882" s="275"/>
    </row>
    <row r="883">
      <c r="A883" s="224"/>
      <c r="AF883" s="275"/>
    </row>
    <row r="884">
      <c r="A884" s="224"/>
      <c r="AF884" s="275"/>
    </row>
    <row r="885">
      <c r="A885" s="224"/>
      <c r="AF885" s="275"/>
    </row>
    <row r="886">
      <c r="A886" s="224"/>
      <c r="AF886" s="275"/>
    </row>
    <row r="887">
      <c r="A887" s="224"/>
      <c r="AF887" s="275"/>
    </row>
    <row r="888">
      <c r="A888" s="224"/>
      <c r="AF888" s="275"/>
    </row>
    <row r="889">
      <c r="A889" s="224"/>
      <c r="AF889" s="275"/>
    </row>
    <row r="890">
      <c r="A890" s="224"/>
      <c r="AF890" s="275"/>
    </row>
    <row r="891">
      <c r="A891" s="224"/>
      <c r="AF891" s="275"/>
    </row>
    <row r="892">
      <c r="A892" s="224"/>
      <c r="AF892" s="275"/>
    </row>
    <row r="893">
      <c r="A893" s="224"/>
      <c r="AF893" s="275"/>
    </row>
    <row r="894">
      <c r="A894" s="224"/>
      <c r="AF894" s="275"/>
    </row>
    <row r="895">
      <c r="A895" s="224"/>
      <c r="AF895" s="275"/>
    </row>
    <row r="896">
      <c r="A896" s="224"/>
      <c r="AF896" s="275"/>
    </row>
    <row r="897">
      <c r="A897" s="224"/>
      <c r="AF897" s="275"/>
    </row>
    <row r="898">
      <c r="A898" s="224"/>
      <c r="AF898" s="275"/>
    </row>
    <row r="899">
      <c r="A899" s="224"/>
      <c r="AF899" s="275"/>
    </row>
    <row r="900">
      <c r="A900" s="224"/>
      <c r="AF900" s="275"/>
    </row>
    <row r="901">
      <c r="A901" s="224"/>
      <c r="AF901" s="275"/>
    </row>
    <row r="902">
      <c r="A902" s="224"/>
      <c r="AF902" s="275"/>
    </row>
    <row r="903">
      <c r="A903" s="224"/>
      <c r="AF903" s="275"/>
    </row>
    <row r="904">
      <c r="A904" s="224"/>
      <c r="AF904" s="275"/>
    </row>
    <row r="905">
      <c r="A905" s="224"/>
      <c r="AF905" s="275"/>
    </row>
    <row r="906">
      <c r="A906" s="224"/>
      <c r="AF906" s="275"/>
    </row>
    <row r="907">
      <c r="A907" s="224"/>
      <c r="AF907" s="275"/>
    </row>
    <row r="908">
      <c r="A908" s="224"/>
      <c r="AF908" s="275"/>
    </row>
    <row r="909">
      <c r="A909" s="224"/>
      <c r="AF909" s="275"/>
    </row>
    <row r="910">
      <c r="A910" s="224"/>
      <c r="AF910" s="275"/>
    </row>
    <row r="911">
      <c r="A911" s="224"/>
      <c r="AF911" s="275"/>
    </row>
    <row r="912">
      <c r="A912" s="224"/>
      <c r="AF912" s="275"/>
    </row>
    <row r="913">
      <c r="A913" s="224"/>
      <c r="AF913" s="275"/>
    </row>
    <row r="914">
      <c r="A914" s="224"/>
      <c r="AF914" s="275"/>
    </row>
    <row r="915">
      <c r="A915" s="224"/>
      <c r="AF915" s="275"/>
    </row>
    <row r="916">
      <c r="A916" s="224"/>
      <c r="AF916" s="275"/>
    </row>
    <row r="917">
      <c r="A917" s="224"/>
      <c r="AF917" s="275"/>
    </row>
    <row r="918">
      <c r="A918" s="224"/>
      <c r="AF918" s="275"/>
    </row>
    <row r="919">
      <c r="A919" s="224"/>
      <c r="AF919" s="275"/>
    </row>
    <row r="920">
      <c r="A920" s="224"/>
      <c r="AF920" s="275"/>
    </row>
    <row r="921">
      <c r="A921" s="224"/>
      <c r="AF921" s="275"/>
    </row>
    <row r="922">
      <c r="A922" s="224"/>
      <c r="AF922" s="275"/>
    </row>
    <row r="923">
      <c r="A923" s="224"/>
      <c r="AF923" s="275"/>
    </row>
    <row r="924">
      <c r="A924" s="224"/>
      <c r="AF924" s="275"/>
    </row>
    <row r="925">
      <c r="A925" s="224"/>
      <c r="AF925" s="275"/>
    </row>
    <row r="926">
      <c r="A926" s="224"/>
      <c r="AF926" s="275"/>
    </row>
    <row r="927">
      <c r="A927" s="224"/>
      <c r="AF927" s="275"/>
    </row>
    <row r="928">
      <c r="A928" s="224"/>
      <c r="AF928" s="275"/>
    </row>
    <row r="929">
      <c r="A929" s="224"/>
      <c r="AF929" s="275"/>
    </row>
    <row r="930">
      <c r="A930" s="224"/>
      <c r="AF930" s="275"/>
    </row>
    <row r="931">
      <c r="A931" s="224"/>
      <c r="AF931" s="275"/>
    </row>
    <row r="932">
      <c r="A932" s="224"/>
      <c r="AF932" s="275"/>
    </row>
    <row r="933">
      <c r="A933" s="224"/>
      <c r="AF933" s="275"/>
    </row>
    <row r="934">
      <c r="A934" s="224"/>
      <c r="AF934" s="275"/>
    </row>
    <row r="935">
      <c r="A935" s="224"/>
      <c r="AF935" s="275"/>
    </row>
    <row r="936">
      <c r="A936" s="224"/>
      <c r="AF936" s="275"/>
    </row>
    <row r="937">
      <c r="A937" s="224"/>
      <c r="AF937" s="275"/>
    </row>
    <row r="938">
      <c r="A938" s="224"/>
      <c r="AF938" s="275"/>
    </row>
    <row r="939">
      <c r="A939" s="224"/>
      <c r="AF939" s="275"/>
    </row>
    <row r="940">
      <c r="A940" s="224"/>
      <c r="AF940" s="275"/>
    </row>
    <row r="941">
      <c r="A941" s="224"/>
      <c r="AF941" s="275"/>
    </row>
    <row r="942">
      <c r="A942" s="224"/>
      <c r="AF942" s="275"/>
    </row>
    <row r="943">
      <c r="A943" s="224"/>
      <c r="AF943" s="275"/>
    </row>
    <row r="944">
      <c r="A944" s="224"/>
      <c r="AF944" s="275"/>
    </row>
    <row r="945">
      <c r="A945" s="224"/>
      <c r="AF945" s="275"/>
    </row>
    <row r="946">
      <c r="A946" s="224"/>
      <c r="AF946" s="275"/>
    </row>
    <row r="947">
      <c r="A947" s="224"/>
      <c r="AF947" s="275"/>
    </row>
    <row r="948">
      <c r="A948" s="224"/>
      <c r="AF948" s="275"/>
    </row>
    <row r="949">
      <c r="A949" s="224"/>
      <c r="AF949" s="275"/>
    </row>
    <row r="950">
      <c r="A950" s="224"/>
      <c r="AF950" s="275"/>
    </row>
    <row r="951">
      <c r="A951" s="224"/>
      <c r="AF951" s="275"/>
    </row>
    <row r="952">
      <c r="A952" s="224"/>
      <c r="AF952" s="275"/>
    </row>
    <row r="953">
      <c r="A953" s="224"/>
      <c r="AF953" s="275"/>
    </row>
    <row r="954">
      <c r="A954" s="224"/>
      <c r="AF954" s="275"/>
    </row>
    <row r="955">
      <c r="A955" s="224"/>
      <c r="AF955" s="275"/>
    </row>
    <row r="956">
      <c r="A956" s="224"/>
      <c r="AF956" s="275"/>
    </row>
    <row r="957">
      <c r="A957" s="224"/>
      <c r="AF957" s="275"/>
    </row>
    <row r="958">
      <c r="A958" s="224"/>
      <c r="AF958" s="275"/>
    </row>
    <row r="959">
      <c r="A959" s="224"/>
      <c r="AF959" s="275"/>
    </row>
    <row r="960">
      <c r="A960" s="224"/>
      <c r="AF960" s="275"/>
    </row>
    <row r="961">
      <c r="A961" s="224"/>
      <c r="AF961" s="275"/>
    </row>
    <row r="962">
      <c r="A962" s="224"/>
      <c r="AF962" s="275"/>
    </row>
    <row r="963">
      <c r="A963" s="224"/>
      <c r="AF963" s="275"/>
    </row>
    <row r="964">
      <c r="A964" s="224"/>
      <c r="AF964" s="275"/>
    </row>
    <row r="965">
      <c r="A965" s="224"/>
      <c r="AF965" s="275"/>
    </row>
    <row r="966">
      <c r="A966" s="224"/>
      <c r="AF966" s="275"/>
    </row>
    <row r="967">
      <c r="A967" s="224"/>
      <c r="AF967" s="275"/>
    </row>
    <row r="968">
      <c r="A968" s="224"/>
      <c r="AF968" s="275"/>
    </row>
    <row r="969">
      <c r="A969" s="224"/>
      <c r="AF969" s="275"/>
    </row>
    <row r="970">
      <c r="A970" s="224"/>
      <c r="AF970" s="275"/>
    </row>
    <row r="971">
      <c r="A971" s="224"/>
      <c r="AF971" s="275"/>
    </row>
    <row r="972">
      <c r="A972" s="224"/>
      <c r="AF972" s="275"/>
    </row>
    <row r="973">
      <c r="A973" s="224"/>
      <c r="AF973" s="275"/>
    </row>
    <row r="974">
      <c r="A974" s="224"/>
      <c r="AF974" s="275"/>
    </row>
    <row r="975">
      <c r="A975" s="224"/>
      <c r="AF975" s="275"/>
    </row>
    <row r="976">
      <c r="A976" s="224"/>
      <c r="AF976" s="275"/>
    </row>
    <row r="977">
      <c r="A977" s="224"/>
      <c r="AF977" s="275"/>
    </row>
    <row r="978">
      <c r="A978" s="224"/>
      <c r="AF978" s="275"/>
    </row>
    <row r="979">
      <c r="A979" s="224"/>
      <c r="AF979" s="275"/>
    </row>
    <row r="980">
      <c r="A980" s="224"/>
      <c r="AF980" s="275"/>
    </row>
    <row r="981">
      <c r="A981" s="224"/>
      <c r="AF981" s="275"/>
    </row>
    <row r="982">
      <c r="A982" s="224"/>
      <c r="AF982" s="275"/>
    </row>
    <row r="983">
      <c r="A983" s="224"/>
      <c r="AF983" s="275"/>
    </row>
    <row r="984">
      <c r="A984" s="224"/>
      <c r="AF984" s="275"/>
    </row>
    <row r="985">
      <c r="A985" s="224"/>
      <c r="AF985" s="275"/>
    </row>
    <row r="986">
      <c r="A986" s="224"/>
      <c r="AF986" s="275"/>
    </row>
    <row r="987">
      <c r="A987" s="224"/>
      <c r="AF987" s="275"/>
    </row>
    <row r="988">
      <c r="A988" s="224"/>
      <c r="AF988" s="275"/>
    </row>
    <row r="989">
      <c r="A989" s="224"/>
      <c r="AF989" s="275"/>
    </row>
    <row r="990">
      <c r="A990" s="224"/>
      <c r="AF990" s="275"/>
    </row>
    <row r="991">
      <c r="A991" s="224"/>
      <c r="AF991" s="275"/>
    </row>
    <row r="992">
      <c r="A992" s="224"/>
      <c r="AF992" s="275"/>
    </row>
    <row r="993">
      <c r="A993" s="224"/>
      <c r="AF993" s="275"/>
    </row>
    <row r="994">
      <c r="A994" s="224"/>
      <c r="AF994" s="275"/>
    </row>
    <row r="995">
      <c r="A995" s="224"/>
      <c r="AF995" s="275"/>
    </row>
    <row r="996">
      <c r="A996" s="224"/>
      <c r="AF996" s="275"/>
    </row>
    <row r="997">
      <c r="A997" s="224"/>
      <c r="AF997" s="275"/>
    </row>
    <row r="998">
      <c r="A998" s="224"/>
      <c r="AF998" s="275"/>
    </row>
    <row r="999">
      <c r="A999" s="224"/>
      <c r="AF999" s="275"/>
    </row>
    <row r="1000">
      <c r="A1000" s="224"/>
      <c r="AF1000" s="275"/>
    </row>
    <row r="1001">
      <c r="A1001" s="224"/>
      <c r="AF1001" s="275"/>
    </row>
    <row r="1002">
      <c r="A1002" s="224"/>
      <c r="AF1002" s="275"/>
    </row>
    <row r="1003">
      <c r="A1003" s="224"/>
      <c r="AF1003" s="275"/>
    </row>
    <row r="1004">
      <c r="A1004" s="224"/>
      <c r="AF1004" s="275"/>
    </row>
    <row r="1005">
      <c r="A1005" s="224"/>
      <c r="AF1005" s="275"/>
    </row>
    <row r="1006">
      <c r="A1006" s="224"/>
      <c r="AF1006" s="275"/>
    </row>
    <row r="1007">
      <c r="A1007" s="224"/>
      <c r="AF1007" s="275"/>
    </row>
    <row r="1008">
      <c r="A1008" s="224"/>
      <c r="AF1008" s="275"/>
    </row>
    <row r="1009">
      <c r="A1009" s="224"/>
      <c r="AF1009" s="275"/>
    </row>
    <row r="1010">
      <c r="A1010" s="224"/>
      <c r="AF1010" s="275"/>
    </row>
    <row r="1011">
      <c r="A1011" s="224"/>
      <c r="AF1011" s="275"/>
    </row>
    <row r="1012">
      <c r="A1012" s="224"/>
      <c r="AF1012" s="275"/>
    </row>
    <row r="1013">
      <c r="A1013" s="224"/>
      <c r="AF1013" s="275"/>
    </row>
    <row r="1014">
      <c r="A1014" s="224"/>
      <c r="AF1014" s="275"/>
    </row>
    <row r="1015">
      <c r="A1015" s="224"/>
      <c r="AF1015" s="275"/>
    </row>
    <row r="1016">
      <c r="A1016" s="224"/>
      <c r="AF1016" s="275"/>
    </row>
    <row r="1017">
      <c r="A1017" s="224"/>
      <c r="AF1017" s="275"/>
    </row>
    <row r="1018">
      <c r="A1018" s="224"/>
      <c r="AF1018" s="275"/>
    </row>
    <row r="1019">
      <c r="A1019" s="224"/>
      <c r="AF1019" s="275"/>
    </row>
    <row r="1020">
      <c r="A1020" s="224"/>
      <c r="AF1020" s="275"/>
    </row>
    <row r="1021">
      <c r="A1021" s="224"/>
      <c r="AF1021" s="275"/>
    </row>
    <row r="1022">
      <c r="A1022" s="224"/>
      <c r="AF1022" s="275"/>
    </row>
    <row r="1023">
      <c r="A1023" s="224"/>
      <c r="AF1023" s="275"/>
    </row>
    <row r="1024">
      <c r="A1024" s="224"/>
      <c r="AF1024" s="275"/>
    </row>
    <row r="1025">
      <c r="A1025" s="224"/>
      <c r="AF1025" s="275"/>
    </row>
    <row r="1026">
      <c r="A1026" s="224"/>
      <c r="AF1026" s="275"/>
    </row>
    <row r="1027">
      <c r="A1027" s="224"/>
      <c r="AF1027" s="275"/>
    </row>
    <row r="1028">
      <c r="A1028" s="224"/>
      <c r="AF1028" s="275"/>
    </row>
    <row r="1029">
      <c r="A1029" s="224"/>
      <c r="AF1029" s="275"/>
    </row>
    <row r="1030">
      <c r="A1030" s="224"/>
      <c r="AF1030" s="275"/>
    </row>
    <row r="1031">
      <c r="A1031" s="224"/>
      <c r="AF1031" s="275"/>
    </row>
    <row r="1032">
      <c r="A1032" s="224"/>
      <c r="AF1032" s="275"/>
    </row>
    <row r="1033">
      <c r="A1033" s="224"/>
      <c r="AF1033" s="275"/>
    </row>
    <row r="1034">
      <c r="A1034" s="224"/>
      <c r="AF1034" s="275"/>
    </row>
    <row r="1035">
      <c r="A1035" s="224"/>
      <c r="AF1035" s="275"/>
    </row>
    <row r="1036">
      <c r="A1036" s="224"/>
      <c r="AF1036" s="275"/>
    </row>
    <row r="1037">
      <c r="A1037" s="224"/>
      <c r="AF1037" s="275"/>
    </row>
    <row r="1038">
      <c r="A1038" s="224"/>
      <c r="AF1038" s="275"/>
    </row>
    <row r="1039">
      <c r="A1039" s="224"/>
      <c r="AF1039" s="275"/>
    </row>
    <row r="1040">
      <c r="A1040" s="224"/>
      <c r="AF1040" s="275"/>
    </row>
    <row r="1041">
      <c r="A1041" s="224"/>
      <c r="AF1041" s="275"/>
    </row>
    <row r="1042">
      <c r="A1042" s="224"/>
      <c r="AF1042" s="275"/>
    </row>
    <row r="1043">
      <c r="A1043" s="224"/>
      <c r="AF1043" s="275"/>
    </row>
    <row r="1044">
      <c r="A1044" s="224"/>
      <c r="AF1044" s="275"/>
    </row>
    <row r="1045">
      <c r="A1045" s="224"/>
      <c r="AF1045" s="275"/>
    </row>
    <row r="1046">
      <c r="A1046" s="224"/>
      <c r="AF1046" s="275"/>
    </row>
    <row r="1047">
      <c r="A1047" s="224"/>
      <c r="AF1047" s="275"/>
    </row>
    <row r="1048">
      <c r="A1048" s="224"/>
      <c r="AF1048" s="275"/>
    </row>
    <row r="1049">
      <c r="A1049" s="224"/>
      <c r="AF1049" s="275"/>
    </row>
    <row r="1050">
      <c r="A1050" s="224"/>
      <c r="AF1050" s="275"/>
    </row>
    <row r="1051">
      <c r="A1051" s="224"/>
      <c r="AF1051" s="275"/>
    </row>
    <row r="1052">
      <c r="A1052" s="224"/>
      <c r="AF1052" s="275"/>
    </row>
    <row r="1053">
      <c r="A1053" s="224"/>
      <c r="AF1053" s="275"/>
    </row>
    <row r="1054">
      <c r="A1054" s="224"/>
      <c r="AF1054" s="275"/>
    </row>
    <row r="1055">
      <c r="A1055" s="224"/>
      <c r="AF1055" s="275"/>
    </row>
    <row r="1056">
      <c r="A1056" s="224"/>
      <c r="AF1056" s="275"/>
    </row>
    <row r="1057">
      <c r="A1057" s="224"/>
      <c r="AF1057" s="275"/>
    </row>
    <row r="1058">
      <c r="A1058" s="224"/>
      <c r="AF1058" s="275"/>
    </row>
    <row r="1059">
      <c r="A1059" s="224"/>
      <c r="AF1059" s="275"/>
    </row>
    <row r="1060">
      <c r="A1060" s="224"/>
      <c r="AF1060" s="275"/>
    </row>
    <row r="1061">
      <c r="A1061" s="224"/>
      <c r="AF1061" s="275"/>
    </row>
    <row r="1062">
      <c r="A1062" s="224"/>
      <c r="AF1062" s="275"/>
    </row>
    <row r="1063">
      <c r="A1063" s="224"/>
      <c r="AF1063" s="275"/>
    </row>
    <row r="1064">
      <c r="A1064" s="224"/>
      <c r="AF1064" s="275"/>
    </row>
    <row r="1065">
      <c r="A1065" s="224"/>
      <c r="AF1065" s="275"/>
    </row>
    <row r="1066">
      <c r="A1066" s="224"/>
      <c r="AF1066" s="275"/>
    </row>
    <row r="1067">
      <c r="A1067" s="224"/>
      <c r="AF1067" s="275"/>
    </row>
    <row r="1068">
      <c r="A1068" s="224"/>
      <c r="AF1068" s="275"/>
    </row>
    <row r="1069">
      <c r="A1069" s="224"/>
      <c r="AF1069" s="275"/>
    </row>
    <row r="1070">
      <c r="A1070" s="224"/>
      <c r="AF1070" s="275"/>
    </row>
    <row r="1071">
      <c r="A1071" s="224"/>
      <c r="AF1071" s="275"/>
    </row>
    <row r="1072">
      <c r="A1072" s="224"/>
      <c r="AF1072" s="275"/>
    </row>
    <row r="1073">
      <c r="A1073" s="224"/>
      <c r="AF1073" s="275"/>
    </row>
    <row r="1074">
      <c r="A1074" s="224"/>
      <c r="AF1074" s="275"/>
    </row>
    <row r="1075">
      <c r="A1075" s="224"/>
      <c r="AF1075" s="275"/>
    </row>
    <row r="1076">
      <c r="A1076" s="224"/>
      <c r="AF1076" s="275"/>
    </row>
    <row r="1077">
      <c r="A1077" s="224"/>
      <c r="AF1077" s="275"/>
    </row>
    <row r="1078">
      <c r="A1078" s="224"/>
      <c r="AF1078" s="275"/>
    </row>
    <row r="1079">
      <c r="A1079" s="224"/>
      <c r="AF1079" s="275"/>
    </row>
    <row r="1080">
      <c r="A1080" s="224"/>
      <c r="AF1080" s="275"/>
    </row>
    <row r="1081">
      <c r="A1081" s="224"/>
      <c r="AF1081" s="275"/>
    </row>
    <row r="1082">
      <c r="A1082" s="224"/>
      <c r="AF1082" s="275"/>
    </row>
    <row r="1083">
      <c r="A1083" s="224"/>
      <c r="AF1083" s="275"/>
    </row>
    <row r="1084">
      <c r="A1084" s="224"/>
      <c r="AF1084" s="275"/>
    </row>
    <row r="1085">
      <c r="A1085" s="224"/>
      <c r="AF1085" s="275"/>
    </row>
    <row r="1086">
      <c r="A1086" s="224"/>
      <c r="AF1086" s="275"/>
    </row>
    <row r="1087">
      <c r="A1087" s="224"/>
      <c r="AF1087" s="275"/>
    </row>
    <row r="1088">
      <c r="A1088" s="224"/>
      <c r="AF1088" s="275"/>
    </row>
    <row r="1089">
      <c r="A1089" s="224"/>
      <c r="AF1089" s="275"/>
    </row>
    <row r="1090">
      <c r="A1090" s="224"/>
      <c r="AF1090" s="275"/>
    </row>
    <row r="1091">
      <c r="A1091" s="224"/>
      <c r="AF1091" s="275"/>
    </row>
    <row r="1092">
      <c r="A1092" s="224"/>
      <c r="AF1092" s="275"/>
    </row>
    <row r="1093">
      <c r="A1093" s="224"/>
      <c r="AF1093" s="275"/>
    </row>
    <row r="1094">
      <c r="A1094" s="224"/>
      <c r="AF1094" s="275"/>
    </row>
    <row r="1095">
      <c r="A1095" s="224"/>
      <c r="AF1095" s="275"/>
    </row>
    <row r="1096">
      <c r="A1096" s="224"/>
      <c r="AF1096" s="275"/>
    </row>
    <row r="1097">
      <c r="A1097" s="224"/>
      <c r="AF1097" s="275"/>
    </row>
    <row r="1098">
      <c r="A1098" s="224"/>
      <c r="AF1098" s="275"/>
    </row>
    <row r="1099">
      <c r="A1099" s="224"/>
      <c r="AF1099" s="275"/>
    </row>
    <row r="1100">
      <c r="A1100" s="224"/>
      <c r="AF1100" s="275"/>
    </row>
    <row r="1101">
      <c r="A1101" s="224"/>
      <c r="AF1101" s="275"/>
    </row>
    <row r="1102">
      <c r="A1102" s="224"/>
      <c r="AF1102" s="275"/>
    </row>
    <row r="1103">
      <c r="A1103" s="224"/>
      <c r="AF1103" s="275"/>
    </row>
    <row r="1104">
      <c r="A1104" s="224"/>
      <c r="AF1104" s="275"/>
    </row>
    <row r="1105">
      <c r="A1105" s="224"/>
      <c r="AF1105" s="275"/>
    </row>
    <row r="1106">
      <c r="A1106" s="224"/>
      <c r="AF1106" s="275"/>
    </row>
    <row r="1107">
      <c r="A1107" s="224"/>
      <c r="AF1107" s="275"/>
    </row>
    <row r="1108">
      <c r="A1108" s="224"/>
      <c r="AF1108" s="275"/>
    </row>
    <row r="1109">
      <c r="A1109" s="224"/>
      <c r="AF1109" s="275"/>
    </row>
    <row r="1110">
      <c r="A1110" s="224"/>
      <c r="AF1110" s="275"/>
    </row>
    <row r="1111">
      <c r="A1111" s="224"/>
      <c r="AF1111" s="275"/>
    </row>
    <row r="1112">
      <c r="A1112" s="224"/>
      <c r="AF1112" s="275"/>
    </row>
    <row r="1113">
      <c r="A1113" s="224"/>
      <c r="AF1113" s="275"/>
    </row>
    <row r="1114">
      <c r="A1114" s="224"/>
      <c r="AF1114" s="275"/>
    </row>
    <row r="1115">
      <c r="A1115" s="224"/>
      <c r="AF1115" s="275"/>
    </row>
    <row r="1116">
      <c r="A1116" s="224"/>
      <c r="AF1116" s="275"/>
    </row>
    <row r="1117">
      <c r="A1117" s="224"/>
      <c r="AF1117" s="275"/>
    </row>
    <row r="1118">
      <c r="A1118" s="224"/>
      <c r="AF1118" s="275"/>
    </row>
    <row r="1119">
      <c r="A1119" s="224"/>
      <c r="AF1119" s="275"/>
    </row>
    <row r="1120">
      <c r="A1120" s="224"/>
      <c r="AF1120" s="275"/>
    </row>
    <row r="1121">
      <c r="A1121" s="224"/>
      <c r="AF1121" s="275"/>
    </row>
    <row r="1122">
      <c r="A1122" s="224"/>
      <c r="AF1122" s="275"/>
    </row>
    <row r="1123">
      <c r="A1123" s="224"/>
      <c r="AF1123" s="275"/>
    </row>
    <row r="1124">
      <c r="A1124" s="224"/>
      <c r="AF1124" s="275"/>
    </row>
    <row r="1125">
      <c r="A1125" s="224"/>
      <c r="AF1125" s="275"/>
    </row>
    <row r="1126">
      <c r="A1126" s="224"/>
      <c r="AF1126" s="275"/>
    </row>
    <row r="1127">
      <c r="A1127" s="224"/>
      <c r="AF1127" s="275"/>
    </row>
    <row r="1128">
      <c r="A1128" s="224"/>
      <c r="AF1128" s="275"/>
    </row>
  </sheetData>
  <conditionalFormatting sqref="B554:AE554">
    <cfRule type="cellIs" dxfId="0" priority="1" operator="lessThan">
      <formula>0</formula>
    </cfRule>
  </conditionalFormatting>
  <conditionalFormatting sqref="B554:AE554">
    <cfRule type="cellIs" dxfId="1" priority="2" operator="greaterThan">
      <formula>0</formula>
    </cfRule>
  </conditionalFormatting>
  <conditionalFormatting sqref="B483:AE483">
    <cfRule type="colorScale" priority="3">
      <colorScale>
        <cfvo type="min"/>
        <cfvo type="max"/>
        <color rgb="FFFFFFFF"/>
        <color rgb="FFE67C73"/>
      </colorScale>
    </cfRule>
  </conditionalFormatting>
  <conditionalFormatting sqref="B63:AE63 B75:AE75 B112:AE112 B115:AE115">
    <cfRule type="cellIs" dxfId="0" priority="4" operator="lessThan">
      <formula>0</formula>
    </cfRule>
  </conditionalFormatting>
  <conditionalFormatting sqref="B63:AE63 B75:AE75 B112:AE112 B115:AE115">
    <cfRule type="cellIs" dxfId="1" priority="5" operator="greaterThan">
      <formula>0</formula>
    </cfRule>
  </conditionalFormatting>
  <conditionalFormatting sqref="B81:AE81 B87:AE87 B112:AE112 B115:AE115">
    <cfRule type="cellIs" dxfId="1" priority="6" operator="greaterThan">
      <formula>0</formula>
    </cfRule>
  </conditionalFormatting>
  <conditionalFormatting sqref="B81:AE81 B87:AE87 B112:AE112 B115:AE115">
    <cfRule type="cellIs" dxfId="0" priority="7" operator="lessThan">
      <formula>0</formula>
    </cfRule>
  </conditionalFormatting>
  <conditionalFormatting sqref="B57:AE57">
    <cfRule type="cellIs" dxfId="1" priority="8" operator="greaterThan">
      <formula>0</formula>
    </cfRule>
  </conditionalFormatting>
  <conditionalFormatting sqref="B57:AE57">
    <cfRule type="cellIs" dxfId="0" priority="9" operator="lessThan">
      <formula>0</formula>
    </cfRule>
  </conditionalFormatting>
  <conditionalFormatting sqref="B557:AE557">
    <cfRule type="colorScale" priority="10">
      <colorScale>
        <cfvo type="min"/>
        <cfvo type="max"/>
        <color rgb="FFFFFFFF"/>
        <color rgb="FF57BB8A"/>
      </colorScale>
    </cfRule>
  </conditionalFormatting>
  <conditionalFormatting sqref="B559:AE559">
    <cfRule type="colorScale" priority="11">
      <colorScale>
        <cfvo type="min"/>
        <cfvo type="max"/>
        <color rgb="FFFFFFFF"/>
        <color rgb="FF57BB8A"/>
      </colorScale>
    </cfRule>
  </conditionalFormatting>
  <conditionalFormatting sqref="A58">
    <cfRule type="cellIs" dxfId="2" priority="12" operator="greaterThan">
      <formula>0</formula>
    </cfRule>
  </conditionalFormatting>
  <conditionalFormatting sqref="A58">
    <cfRule type="cellIs" dxfId="0" priority="13" operator="lessThan">
      <formula>0</formula>
    </cfRule>
  </conditionalFormatting>
  <conditionalFormatting sqref="B69:AE69 R91">
    <cfRule type="cellIs" dxfId="1" priority="14" operator="greaterThan">
      <formula>0</formula>
    </cfRule>
  </conditionalFormatting>
  <conditionalFormatting sqref="B69:AE69 R91">
    <cfRule type="cellIs" dxfId="0" priority="15" operator="lessThan">
      <formula>0</formula>
    </cfRule>
  </conditionalFormatting>
  <conditionalFormatting sqref="A555">
    <cfRule type="cellIs" dxfId="3" priority="16" operator="greaterThan">
      <formula>0</formula>
    </cfRule>
  </conditionalFormatting>
  <conditionalFormatting sqref="A555">
    <cfRule type="cellIs" dxfId="4" priority="17" operator="lessThan">
      <formula>0</formula>
    </cfRule>
  </conditionalFormatting>
  <conditionalFormatting sqref="B515:AE515">
    <cfRule type="colorScale" priority="18">
      <colorScale>
        <cfvo type="min"/>
        <cfvo type="max"/>
        <color rgb="FFFFFFFF"/>
        <color rgb="FFE67C73"/>
      </colorScale>
    </cfRule>
  </conditionalFormatting>
  <conditionalFormatting sqref="B516:AE516">
    <cfRule type="colorScale" priority="19">
      <colorScale>
        <cfvo type="min"/>
        <cfvo type="max"/>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5" max="5" width="17.38"/>
  </cols>
  <sheetData>
    <row r="1">
      <c r="B1" s="4" t="s">
        <v>14</v>
      </c>
    </row>
    <row r="3">
      <c r="A3" s="5"/>
      <c r="B3" s="6" t="s">
        <v>27</v>
      </c>
      <c r="C3" s="10" t="s">
        <v>31</v>
      </c>
      <c r="E3" s="11" t="s">
        <v>54</v>
      </c>
    </row>
    <row r="4">
      <c r="A4" s="12"/>
      <c r="B4" s="13" t="s">
        <v>55</v>
      </c>
      <c r="C4" s="14">
        <v>70.53</v>
      </c>
      <c r="E4" s="13" t="s">
        <v>56</v>
      </c>
      <c r="F4" s="14">
        <v>1.5</v>
      </c>
    </row>
    <row r="5">
      <c r="A5" s="5"/>
      <c r="B5" s="13" t="s">
        <v>57</v>
      </c>
      <c r="C5" s="14">
        <v>80.08</v>
      </c>
      <c r="E5" s="13" t="s">
        <v>59</v>
      </c>
      <c r="F5" s="14">
        <v>0.3</v>
      </c>
    </row>
    <row r="6">
      <c r="A6" s="17"/>
      <c r="B6" s="13" t="s">
        <v>60</v>
      </c>
      <c r="C6" s="14">
        <v>9.98</v>
      </c>
      <c r="E6" s="13" t="s">
        <v>61</v>
      </c>
      <c r="F6" s="18">
        <v>0.31</v>
      </c>
    </row>
    <row r="7">
      <c r="A7" s="17"/>
      <c r="B7" s="13" t="s">
        <v>62</v>
      </c>
      <c r="C7" s="14">
        <v>4.93</v>
      </c>
      <c r="E7" s="13" t="s">
        <v>64</v>
      </c>
      <c r="F7" s="21"/>
    </row>
    <row r="8">
      <c r="A8" s="17"/>
      <c r="B8" s="13" t="s">
        <v>70</v>
      </c>
      <c r="C8" s="14">
        <v>6.37</v>
      </c>
      <c r="E8" s="10" t="s">
        <v>31</v>
      </c>
      <c r="F8" s="14"/>
    </row>
    <row r="9">
      <c r="A9" s="17"/>
      <c r="B9" s="13" t="s">
        <v>78</v>
      </c>
      <c r="C9" s="14">
        <v>1.07</v>
      </c>
      <c r="E9" s="13"/>
      <c r="F9" s="14"/>
    </row>
    <row r="10">
      <c r="A10" s="17"/>
      <c r="B10" s="24" t="s">
        <v>79</v>
      </c>
      <c r="C10" s="21">
        <v>6.08</v>
      </c>
      <c r="E10" s="24"/>
      <c r="F10" s="25"/>
    </row>
    <row r="11">
      <c r="A11" s="17"/>
    </row>
    <row r="12">
      <c r="A12" s="17"/>
      <c r="B12" s="11" t="s">
        <v>82</v>
      </c>
      <c r="C12" s="29" t="s">
        <v>31</v>
      </c>
      <c r="E12" s="11" t="s">
        <v>84</v>
      </c>
    </row>
    <row r="13">
      <c r="A13" s="17"/>
      <c r="B13" s="13" t="s">
        <v>85</v>
      </c>
      <c r="C13" s="18">
        <v>18.43</v>
      </c>
      <c r="E13" s="13" t="s">
        <v>85</v>
      </c>
      <c r="F13" s="18">
        <v>2.81</v>
      </c>
    </row>
    <row r="14">
      <c r="A14" s="17"/>
      <c r="B14" s="13" t="s">
        <v>88</v>
      </c>
      <c r="C14" s="14">
        <v>4.98</v>
      </c>
      <c r="E14" s="13" t="s">
        <v>88</v>
      </c>
      <c r="F14" s="21"/>
    </row>
    <row r="15">
      <c r="B15" s="13" t="s">
        <v>89</v>
      </c>
      <c r="C15" s="21">
        <v>10.0</v>
      </c>
      <c r="E15" s="13" t="s">
        <v>89</v>
      </c>
      <c r="F15" s="21"/>
    </row>
    <row r="16">
      <c r="B16" s="1" t="s">
        <v>90</v>
      </c>
      <c r="C16" s="14">
        <v>11.59</v>
      </c>
      <c r="E16" s="1" t="s">
        <v>90</v>
      </c>
      <c r="F16" s="21">
        <v>6.16</v>
      </c>
    </row>
    <row r="17">
      <c r="B17" s="1" t="s">
        <v>92</v>
      </c>
      <c r="C17" s="21">
        <v>15.0</v>
      </c>
      <c r="E17" s="1" t="s">
        <v>92</v>
      </c>
      <c r="F17" s="21"/>
    </row>
    <row r="18">
      <c r="B18" s="1" t="s">
        <v>93</v>
      </c>
      <c r="C18" s="21">
        <v>20.0</v>
      </c>
      <c r="E18" s="1" t="s">
        <v>93</v>
      </c>
      <c r="F18" s="21"/>
    </row>
    <row r="20">
      <c r="B20" s="11" t="s">
        <v>94</v>
      </c>
      <c r="E20" s="11" t="s">
        <v>96</v>
      </c>
    </row>
    <row r="21">
      <c r="B21" s="13" t="s">
        <v>27</v>
      </c>
      <c r="C21" s="14">
        <f>(C4*1)+(C6*F26)+(C7*F27)+(C8*F28)+(C9*F29)+(C10*F30)</f>
        <v>74.08561823</v>
      </c>
      <c r="E21" s="13" t="s">
        <v>101</v>
      </c>
      <c r="F21" s="34">
        <v>0.22</v>
      </c>
    </row>
    <row r="22">
      <c r="B22" s="13" t="s">
        <v>103</v>
      </c>
      <c r="C22" s="14">
        <f>C13</f>
        <v>18.43</v>
      </c>
      <c r="E22" s="13" t="s">
        <v>104</v>
      </c>
      <c r="F22" s="34">
        <v>0.13</v>
      </c>
    </row>
    <row r="23">
      <c r="B23" s="13" t="s">
        <v>105</v>
      </c>
      <c r="C23" s="14">
        <f>C16</f>
        <v>11.59</v>
      </c>
      <c r="E23" s="13" t="s">
        <v>107</v>
      </c>
      <c r="F23" s="21"/>
    </row>
    <row r="24">
      <c r="B24" s="13" t="s">
        <v>108</v>
      </c>
      <c r="C24" s="14">
        <v>10.89</v>
      </c>
      <c r="F24" s="14"/>
    </row>
    <row r="25">
      <c r="B25" s="1" t="s">
        <v>109</v>
      </c>
      <c r="C25" s="36">
        <f>C21*0.075</f>
        <v>5.556421367</v>
      </c>
      <c r="E25" s="11" t="s">
        <v>110</v>
      </c>
    </row>
    <row r="26">
      <c r="B26" s="1" t="s">
        <v>111</v>
      </c>
      <c r="C26" s="14">
        <f>C21*0.034</f>
        <v>2.51891102</v>
      </c>
      <c r="E26" s="1" t="s">
        <v>113</v>
      </c>
      <c r="F26" s="38">
        <f>('Detailed Report'!AF170)/'Detailed Report'!AF164</f>
        <v>0.07783251232</v>
      </c>
    </row>
    <row r="27">
      <c r="B27" s="1" t="s">
        <v>114</v>
      </c>
      <c r="C27" s="14">
        <f>Sales!B48*0.0297</f>
        <v>7.6040848</v>
      </c>
      <c r="E27" s="1" t="s">
        <v>62</v>
      </c>
      <c r="F27" s="38">
        <f>('Detailed Report'!AF166)/'Detailed Report'!AF164</f>
        <v>0.3118226601</v>
      </c>
    </row>
    <row r="28">
      <c r="B28" s="1" t="s">
        <v>116</v>
      </c>
      <c r="C28" s="36">
        <f>0.36</f>
        <v>0.36</v>
      </c>
      <c r="E28" s="1" t="s">
        <v>70</v>
      </c>
      <c r="F28" s="38">
        <f>('Detailed Report'!AF167)/'Detailed Report'!AF164</f>
        <v>0</v>
      </c>
    </row>
    <row r="29">
      <c r="B29" s="1" t="s">
        <v>118</v>
      </c>
      <c r="C29" s="36">
        <f t="shared" ref="C29:C31" si="1">F4</f>
        <v>1.5</v>
      </c>
      <c r="E29" s="1" t="s">
        <v>78</v>
      </c>
      <c r="F29" s="38">
        <f>('Detailed Report'!AF168)/'Detailed Report'!AF164</f>
        <v>0.1736453202</v>
      </c>
    </row>
    <row r="30">
      <c r="B30" s="1" t="s">
        <v>119</v>
      </c>
      <c r="C30" s="36">
        <f t="shared" si="1"/>
        <v>0.3</v>
      </c>
      <c r="E30" s="1" t="s">
        <v>120</v>
      </c>
      <c r="F30" s="38">
        <f>('Detailed Report'!AF169)/'Detailed Report'!AF164</f>
        <v>0.1736453202</v>
      </c>
    </row>
    <row r="31">
      <c r="B31" s="44" t="s">
        <v>122</v>
      </c>
      <c r="C31" s="45">
        <f t="shared" si="1"/>
        <v>0.31</v>
      </c>
    </row>
    <row r="32">
      <c r="B32" s="1" t="s">
        <v>123</v>
      </c>
      <c r="C32" s="36">
        <f>SUM(C21:C30)</f>
        <v>132.8350354</v>
      </c>
    </row>
    <row r="34">
      <c r="B34" s="11" t="s">
        <v>124</v>
      </c>
      <c r="E34" s="11" t="s">
        <v>125</v>
      </c>
    </row>
    <row r="35">
      <c r="B35" s="1" t="s">
        <v>126</v>
      </c>
      <c r="C35" s="34">
        <v>0.0297</v>
      </c>
      <c r="E35" s="1" t="s">
        <v>128</v>
      </c>
      <c r="F35" s="47">
        <v>10.0</v>
      </c>
    </row>
    <row r="36">
      <c r="B36" s="1" t="s">
        <v>129</v>
      </c>
      <c r="C36" s="34">
        <v>0.034</v>
      </c>
      <c r="E36" s="1" t="s">
        <v>130</v>
      </c>
      <c r="F36" s="47">
        <v>20.0</v>
      </c>
    </row>
    <row r="37">
      <c r="B37" s="1" t="s">
        <v>131</v>
      </c>
      <c r="C37" s="34">
        <v>0.075</v>
      </c>
      <c r="E37" s="1" t="s">
        <v>132</v>
      </c>
      <c r="F37" s="47">
        <v>20.0</v>
      </c>
    </row>
    <row r="38">
      <c r="B38" s="1" t="s">
        <v>133</v>
      </c>
      <c r="C38" s="49">
        <v>0.00125</v>
      </c>
      <c r="E38" s="1" t="s">
        <v>134</v>
      </c>
      <c r="F38" s="50">
        <v>0.8</v>
      </c>
    </row>
    <row r="39">
      <c r="B39" s="1" t="s">
        <v>135</v>
      </c>
      <c r="C39" s="51">
        <v>0.003464</v>
      </c>
      <c r="F39" s="47"/>
    </row>
    <row r="40">
      <c r="B40" s="1" t="s">
        <v>136</v>
      </c>
      <c r="C40" s="50">
        <v>0.25</v>
      </c>
    </row>
    <row r="41">
      <c r="B41" s="1" t="s">
        <v>137</v>
      </c>
      <c r="C41" s="34">
        <v>0.025</v>
      </c>
    </row>
  </sheetData>
  <mergeCells count="1">
    <mergeCell ref="B1:F1"/>
  </mergeCells>
  <hyperlinks>
    <hyperlink r:id="rId1" location="gid=1424197335" ref="C3"/>
    <hyperlink r:id="rId2" location="gid=1038709083" ref="E8"/>
    <hyperlink r:id="rId3" ref="C1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139</v>
      </c>
    </row>
    <row r="3">
      <c r="A3" s="72" t="s">
        <v>140</v>
      </c>
    </row>
    <row r="4">
      <c r="H4" s="73">
        <v>1.6406162E7</v>
      </c>
    </row>
    <row r="5">
      <c r="A5" s="1" t="s">
        <v>141</v>
      </c>
      <c r="H5" s="76"/>
    </row>
    <row r="6">
      <c r="A6" s="78" t="s">
        <v>142</v>
      </c>
      <c r="H6" s="76"/>
    </row>
    <row r="8">
      <c r="A8" s="78" t="s">
        <v>143</v>
      </c>
      <c r="H8" s="81" t="s">
        <v>144</v>
      </c>
    </row>
    <row r="10">
      <c r="A10" s="78" t="s">
        <v>145</v>
      </c>
    </row>
    <row r="13">
      <c r="A13" s="78" t="s">
        <v>146</v>
      </c>
    </row>
    <row r="16">
      <c r="A16" s="78" t="s">
        <v>147</v>
      </c>
    </row>
    <row r="19">
      <c r="A19" s="84" t="s">
        <v>148</v>
      </c>
      <c r="B19" s="85"/>
      <c r="C19" s="85"/>
      <c r="D19" s="84" t="s">
        <v>2</v>
      </c>
      <c r="E19" s="84" t="s">
        <v>3</v>
      </c>
      <c r="F19" s="85"/>
      <c r="G19" s="84" t="s">
        <v>4</v>
      </c>
      <c r="H19" s="84" t="s">
        <v>5</v>
      </c>
      <c r="I19" s="84" t="s">
        <v>6</v>
      </c>
      <c r="J19" s="84" t="s">
        <v>7</v>
      </c>
      <c r="K19" s="84" t="s">
        <v>8</v>
      </c>
      <c r="L19" s="84" t="s">
        <v>9</v>
      </c>
      <c r="M19" s="84" t="s">
        <v>10</v>
      </c>
      <c r="N19" s="84" t="s">
        <v>11</v>
      </c>
      <c r="O19" s="84" t="s">
        <v>12</v>
      </c>
      <c r="P19" s="85"/>
      <c r="Q19" s="84" t="s">
        <v>13</v>
      </c>
      <c r="R19" s="84" t="s">
        <v>15</v>
      </c>
      <c r="S19" s="84" t="s">
        <v>16</v>
      </c>
      <c r="T19" s="84" t="s">
        <v>17</v>
      </c>
      <c r="U19" s="84" t="s">
        <v>18</v>
      </c>
      <c r="V19" s="85"/>
      <c r="W19" s="84" t="s">
        <v>19</v>
      </c>
      <c r="X19" s="84" t="s">
        <v>20</v>
      </c>
      <c r="Y19" s="84" t="s">
        <v>21</v>
      </c>
      <c r="Z19" s="84" t="s">
        <v>22</v>
      </c>
      <c r="AA19" s="84" t="s">
        <v>23</v>
      </c>
      <c r="AB19" s="84" t="s">
        <v>24</v>
      </c>
      <c r="AC19" s="84" t="s">
        <v>26</v>
      </c>
      <c r="AD19" s="84" t="s">
        <v>28</v>
      </c>
      <c r="AE19" s="84" t="s">
        <v>29</v>
      </c>
      <c r="AF19" s="84" t="s">
        <v>30</v>
      </c>
      <c r="AG19" s="84" t="s">
        <v>32</v>
      </c>
      <c r="AH19" s="85"/>
      <c r="AI19" s="85"/>
      <c r="AJ19" s="84" t="s">
        <v>33</v>
      </c>
      <c r="AK19" s="84" t="s">
        <v>34</v>
      </c>
      <c r="AL19" s="84" t="s">
        <v>35</v>
      </c>
      <c r="AM19" s="85"/>
      <c r="AN19" s="84" t="s">
        <v>36</v>
      </c>
      <c r="AO19" s="84" t="s">
        <v>37</v>
      </c>
      <c r="AP19" s="84" t="s">
        <v>38</v>
      </c>
      <c r="AQ19" s="84" t="s">
        <v>40</v>
      </c>
      <c r="AR19" s="85"/>
      <c r="AS19" s="85"/>
      <c r="AT19" s="84" t="s">
        <v>41</v>
      </c>
      <c r="AU19" s="84" t="s">
        <v>43</v>
      </c>
      <c r="AV19" s="84" t="s">
        <v>45</v>
      </c>
      <c r="AW19" s="85"/>
      <c r="AX19" s="85"/>
      <c r="AY19" s="85"/>
      <c r="AZ19" s="85"/>
      <c r="BA19" s="85"/>
      <c r="BB19" s="85"/>
      <c r="BC19" s="85"/>
      <c r="BD19" s="85"/>
      <c r="BE19" s="85"/>
      <c r="BF19" s="85"/>
      <c r="BG19" s="85"/>
      <c r="BH19" s="85"/>
      <c r="BI19" s="85"/>
      <c r="BJ19" s="85"/>
      <c r="BK19" s="85"/>
      <c r="BL19" s="85"/>
      <c r="BM19" s="85"/>
    </row>
    <row r="20" hidden="1">
      <c r="A20" s="1" t="s">
        <v>151</v>
      </c>
      <c r="C20" s="1" t="s">
        <v>152</v>
      </c>
      <c r="D20" s="1" t="s">
        <v>153</v>
      </c>
      <c r="E20" s="1" t="s">
        <v>154</v>
      </c>
      <c r="G20" s="1" t="s">
        <v>155</v>
      </c>
      <c r="H20" s="1" t="s">
        <v>156</v>
      </c>
      <c r="I20" s="1" t="s">
        <v>157</v>
      </c>
      <c r="J20" s="1" t="s">
        <v>158</v>
      </c>
      <c r="K20" s="1" t="s">
        <v>159</v>
      </c>
      <c r="L20" s="1" t="s">
        <v>160</v>
      </c>
      <c r="M20" s="1" t="s">
        <v>161</v>
      </c>
      <c r="N20" s="1" t="s">
        <v>162</v>
      </c>
      <c r="O20" s="1" t="s">
        <v>163</v>
      </c>
      <c r="Q20" s="1" t="s">
        <v>164</v>
      </c>
      <c r="R20" s="1" t="s">
        <v>165</v>
      </c>
      <c r="S20" s="1" t="s">
        <v>167</v>
      </c>
      <c r="T20" s="1" t="s">
        <v>168</v>
      </c>
      <c r="U20" s="1" t="s">
        <v>169</v>
      </c>
      <c r="W20" s="1" t="s">
        <v>170</v>
      </c>
      <c r="X20" s="1" t="s">
        <v>171</v>
      </c>
      <c r="Y20" s="1" t="s">
        <v>172</v>
      </c>
      <c r="Z20" s="1" t="s">
        <v>173</v>
      </c>
      <c r="AA20" s="1" t="s">
        <v>174</v>
      </c>
      <c r="AB20" s="1" t="s">
        <v>175</v>
      </c>
      <c r="AC20" s="1" t="s">
        <v>176</v>
      </c>
      <c r="AD20" s="1" t="s">
        <v>177</v>
      </c>
      <c r="AE20" s="1" t="s">
        <v>178</v>
      </c>
      <c r="AF20" s="1" t="s">
        <v>179</v>
      </c>
      <c r="AG20" s="1" t="s">
        <v>180</v>
      </c>
      <c r="AJ20" s="1" t="s">
        <v>181</v>
      </c>
      <c r="AK20" s="1" t="s">
        <v>182</v>
      </c>
      <c r="AL20" s="1" t="s">
        <v>183</v>
      </c>
      <c r="AN20" s="1" t="s">
        <v>184</v>
      </c>
      <c r="AO20" s="1" t="s">
        <v>185</v>
      </c>
      <c r="AP20" s="1" t="s">
        <v>186</v>
      </c>
      <c r="AQ20" s="1" t="s">
        <v>187</v>
      </c>
      <c r="AR20" s="1" t="s">
        <v>188</v>
      </c>
      <c r="AS20" s="1" t="s">
        <v>189</v>
      </c>
      <c r="AT20" s="1" t="s">
        <v>190</v>
      </c>
      <c r="AU20" s="1" t="s">
        <v>191</v>
      </c>
      <c r="AV20" s="1" t="s">
        <v>192</v>
      </c>
    </row>
    <row r="21">
      <c r="A21" s="89" t="s">
        <v>193</v>
      </c>
      <c r="B21" s="90"/>
      <c r="C21" s="90"/>
      <c r="D21" s="89" t="str">
        <f>IFERROR(__xludf.DUMMYFUNCTION("ARRAY_CONSTRAIN(split(CELL(""ADDRESS"",zsupermetrics_pxuhRTEmIU93xSgKclyxajD0fCZ6rF),""!""),1,1)"),"#REF!")</f>
        <v>#REF!</v>
      </c>
      <c r="E21" s="89"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90"/>
      <c r="G21" s="94">
        <v>44557.69715277778</v>
      </c>
      <c r="H21" s="94">
        <v>44557.839155092595</v>
      </c>
      <c r="I21" s="89" t="s">
        <v>203</v>
      </c>
      <c r="J21" s="96"/>
      <c r="K21" s="89" t="b">
        <v>0</v>
      </c>
      <c r="L21" s="96">
        <v>4.0</v>
      </c>
      <c r="M21" s="89" t="s">
        <v>65</v>
      </c>
      <c r="N21" s="90"/>
      <c r="O21" s="89" t="s">
        <v>204</v>
      </c>
      <c r="P21" s="90"/>
      <c r="Q21" s="89" t="s">
        <v>205</v>
      </c>
      <c r="R21" s="90"/>
      <c r="S21" s="90"/>
      <c r="T21" s="90"/>
      <c r="U21" s="90"/>
      <c r="V21" s="90"/>
      <c r="W21" s="89" t="s">
        <v>206</v>
      </c>
      <c r="X21" s="89" t="s">
        <v>207</v>
      </c>
      <c r="Y21" s="89" t="s">
        <v>72</v>
      </c>
      <c r="Z21" s="89" t="s">
        <v>208</v>
      </c>
      <c r="AA21" s="89" t="s">
        <v>72</v>
      </c>
      <c r="AB21" s="89" t="s">
        <v>72</v>
      </c>
      <c r="AC21" s="90"/>
      <c r="AD21" s="89">
        <v>10000.0</v>
      </c>
      <c r="AE21" s="89">
        <v>50.0</v>
      </c>
      <c r="AF21" s="89" t="s">
        <v>210</v>
      </c>
      <c r="AG21" s="89" t="s">
        <v>74</v>
      </c>
      <c r="AH21" s="90"/>
      <c r="AI21" s="90"/>
      <c r="AJ21" s="90"/>
      <c r="AK21" s="90"/>
      <c r="AL21" s="90"/>
      <c r="AM21" s="90"/>
      <c r="AN21" s="90"/>
      <c r="AO21" s="90"/>
      <c r="AP21" s="99" t="s">
        <v>214</v>
      </c>
      <c r="AQ21" s="90"/>
      <c r="AR21" s="90"/>
      <c r="AS21" s="90"/>
      <c r="AT21" s="90"/>
      <c r="AU21" s="89" t="s">
        <v>215</v>
      </c>
      <c r="AV21" s="90"/>
      <c r="AW21" s="90"/>
      <c r="AX21" s="90"/>
    </row>
  </sheetData>
  <mergeCells count="5">
    <mergeCell ref="A6:G7"/>
    <mergeCell ref="A8:G9"/>
    <mergeCell ref="A10:G11"/>
    <mergeCell ref="A13:H15"/>
    <mergeCell ref="A16:H17"/>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91" t="s">
        <v>194</v>
      </c>
    </row>
    <row r="2">
      <c r="A2" s="92" t="s">
        <v>195</v>
      </c>
      <c r="B2" s="92" t="s">
        <v>55</v>
      </c>
      <c r="C2" s="92" t="s">
        <v>57</v>
      </c>
      <c r="D2" s="92" t="s">
        <v>113</v>
      </c>
      <c r="E2" s="92" t="s">
        <v>62</v>
      </c>
      <c r="F2" s="92" t="s">
        <v>78</v>
      </c>
      <c r="G2" s="92" t="s">
        <v>79</v>
      </c>
      <c r="H2" s="1" t="s">
        <v>196</v>
      </c>
      <c r="I2" s="1" t="s">
        <v>197</v>
      </c>
      <c r="J2" s="1" t="s">
        <v>198</v>
      </c>
    </row>
    <row r="3">
      <c r="A3" s="93" t="s">
        <v>199</v>
      </c>
      <c r="B3" s="93" t="s">
        <v>200</v>
      </c>
      <c r="C3" s="93" t="s">
        <v>200</v>
      </c>
      <c r="D3" s="93" t="s">
        <v>202</v>
      </c>
      <c r="E3" s="93" t="s">
        <v>202</v>
      </c>
      <c r="F3" s="93" t="s">
        <v>202</v>
      </c>
      <c r="G3" s="93" t="s">
        <v>202</v>
      </c>
    </row>
    <row r="5">
      <c r="A5" s="95" t="s">
        <v>27</v>
      </c>
    </row>
    <row r="6">
      <c r="A6" s="97" t="s">
        <v>31</v>
      </c>
    </row>
    <row r="7">
      <c r="A7" s="98" t="s">
        <v>209</v>
      </c>
      <c r="B7" s="13" t="s">
        <v>211</v>
      </c>
      <c r="C7" s="13" t="s">
        <v>211</v>
      </c>
      <c r="D7" s="13" t="s">
        <v>211</v>
      </c>
      <c r="E7" s="13" t="s">
        <v>211</v>
      </c>
      <c r="F7" s="13" t="s">
        <v>211</v>
      </c>
      <c r="G7" s="13" t="s">
        <v>211</v>
      </c>
    </row>
    <row r="8">
      <c r="A8" s="98" t="s">
        <v>212</v>
      </c>
      <c r="B8" s="13" t="s">
        <v>213</v>
      </c>
      <c r="C8" s="13" t="s">
        <v>213</v>
      </c>
      <c r="D8" s="13" t="s">
        <v>213</v>
      </c>
      <c r="E8" s="13" t="s">
        <v>213</v>
      </c>
      <c r="F8" s="13" t="s">
        <v>213</v>
      </c>
      <c r="G8" s="13" t="s">
        <v>213</v>
      </c>
    </row>
    <row r="9">
      <c r="A9" s="98" t="s">
        <v>216</v>
      </c>
      <c r="B9" s="13" t="s">
        <v>217</v>
      </c>
      <c r="C9" s="13" t="s">
        <v>217</v>
      </c>
      <c r="D9" s="13" t="s">
        <v>217</v>
      </c>
      <c r="E9" s="13" t="s">
        <v>217</v>
      </c>
      <c r="F9" s="13" t="s">
        <v>217</v>
      </c>
      <c r="G9" s="13" t="s">
        <v>217</v>
      </c>
    </row>
    <row r="10">
      <c r="A10" s="98" t="s">
        <v>218</v>
      </c>
      <c r="B10" s="100">
        <v>150000.0</v>
      </c>
      <c r="C10" s="100">
        <v>150000.0</v>
      </c>
      <c r="D10" s="101"/>
      <c r="E10" s="101"/>
      <c r="F10" s="101"/>
      <c r="G10" s="101"/>
    </row>
    <row r="11">
      <c r="A11" s="98" t="s">
        <v>219</v>
      </c>
      <c r="B11" s="13" t="s">
        <v>220</v>
      </c>
      <c r="C11" s="13" t="s">
        <v>220</v>
      </c>
      <c r="D11" s="101"/>
      <c r="E11" s="101"/>
      <c r="F11" s="101"/>
      <c r="G11" s="101"/>
    </row>
    <row r="12">
      <c r="B12" s="13"/>
      <c r="C12" s="13"/>
      <c r="D12" s="13"/>
      <c r="E12" s="13"/>
      <c r="F12" s="13"/>
      <c r="G12" s="13"/>
    </row>
    <row r="13">
      <c r="A13" s="102" t="s">
        <v>222</v>
      </c>
      <c r="B13" s="103">
        <v>6.1433</v>
      </c>
      <c r="C13" s="103">
        <v>6.1433</v>
      </c>
      <c r="D13" s="104">
        <v>0.0</v>
      </c>
      <c r="E13" s="104">
        <v>0.0</v>
      </c>
      <c r="F13" s="104">
        <v>0.0</v>
      </c>
      <c r="G13" s="104">
        <v>0.0</v>
      </c>
      <c r="H13" s="105"/>
      <c r="I13" s="106"/>
    </row>
    <row r="14">
      <c r="A14" s="102" t="s">
        <v>223</v>
      </c>
      <c r="B14" s="103">
        <v>38.23</v>
      </c>
      <c r="C14" s="103">
        <v>45.3</v>
      </c>
      <c r="D14" s="107">
        <v>6.87</v>
      </c>
      <c r="E14" s="107">
        <v>3.79</v>
      </c>
      <c r="F14" s="107">
        <v>0.82</v>
      </c>
      <c r="G14" s="108">
        <v>3.8336</v>
      </c>
      <c r="H14" s="105"/>
      <c r="I14" s="106"/>
    </row>
    <row r="15">
      <c r="A15" s="102" t="s">
        <v>224</v>
      </c>
      <c r="B15" s="103">
        <f t="shared" ref="B15:G15" si="1">(B13+B14)*B23</f>
        <v>15.530655</v>
      </c>
      <c r="C15" s="103">
        <f t="shared" si="1"/>
        <v>18.005155</v>
      </c>
      <c r="D15" s="103">
        <f t="shared" si="1"/>
        <v>2.4045</v>
      </c>
      <c r="E15" s="103">
        <f t="shared" si="1"/>
        <v>1.137</v>
      </c>
      <c r="F15" s="103">
        <f t="shared" si="1"/>
        <v>0.246</v>
      </c>
      <c r="G15" s="103">
        <f t="shared" si="1"/>
        <v>1.15008</v>
      </c>
      <c r="H15" s="105"/>
      <c r="I15" s="106"/>
    </row>
    <row r="16">
      <c r="A16" s="102" t="s">
        <v>225</v>
      </c>
      <c r="B16" s="103">
        <v>8.1762</v>
      </c>
      <c r="C16" s="103">
        <v>8.1762</v>
      </c>
      <c r="D16" s="109">
        <v>0.544</v>
      </c>
      <c r="E16" s="110">
        <v>0.0</v>
      </c>
      <c r="F16" s="110">
        <v>0.0</v>
      </c>
      <c r="G16" s="110">
        <v>0.8422</v>
      </c>
      <c r="H16" s="105"/>
      <c r="I16" s="112"/>
    </row>
    <row r="17">
      <c r="A17" s="102" t="s">
        <v>226</v>
      </c>
      <c r="B17" s="103">
        <f t="shared" ref="B17:G17" si="2">B16*B24</f>
        <v>2.45286</v>
      </c>
      <c r="C17" s="103">
        <f t="shared" si="2"/>
        <v>2.45286</v>
      </c>
      <c r="D17" s="103">
        <f t="shared" si="2"/>
        <v>0.1632</v>
      </c>
      <c r="E17" s="103">
        <f t="shared" si="2"/>
        <v>0</v>
      </c>
      <c r="F17" s="103">
        <f t="shared" si="2"/>
        <v>0</v>
      </c>
      <c r="G17" s="103">
        <f t="shared" si="2"/>
        <v>0.25266</v>
      </c>
      <c r="H17" s="105"/>
      <c r="I17" s="106"/>
    </row>
    <row r="18">
      <c r="A18" s="113" t="s">
        <v>227</v>
      </c>
      <c r="B18" s="114">
        <f t="shared" ref="B18:G18" si="3">SUM(B13:B17)</f>
        <v>70.533015</v>
      </c>
      <c r="C18" s="114">
        <f t="shared" si="3"/>
        <v>80.077515</v>
      </c>
      <c r="D18" s="114">
        <f t="shared" si="3"/>
        <v>9.9817</v>
      </c>
      <c r="E18" s="114">
        <f t="shared" si="3"/>
        <v>4.927</v>
      </c>
      <c r="F18" s="114">
        <f t="shared" si="3"/>
        <v>1.066</v>
      </c>
      <c r="G18" s="114">
        <f t="shared" si="3"/>
        <v>6.07854</v>
      </c>
      <c r="H18" s="115"/>
      <c r="I18" s="116"/>
    </row>
    <row r="19">
      <c r="A19" s="17"/>
      <c r="B19" s="13"/>
      <c r="C19" s="13"/>
      <c r="D19" s="13"/>
      <c r="E19" s="13"/>
      <c r="F19" s="13"/>
      <c r="G19" s="13"/>
      <c r="H19" s="105"/>
      <c r="I19" s="106"/>
    </row>
    <row r="20">
      <c r="A20" s="13" t="s">
        <v>229</v>
      </c>
      <c r="B20" s="103">
        <v>10.0</v>
      </c>
      <c r="C20" s="103">
        <v>10.0</v>
      </c>
      <c r="D20" s="103">
        <v>0.0</v>
      </c>
      <c r="E20" s="103">
        <v>0.0</v>
      </c>
      <c r="F20" s="103">
        <v>0.0</v>
      </c>
      <c r="G20" s="103">
        <v>0.0</v>
      </c>
      <c r="H20" s="105"/>
      <c r="I20" s="106"/>
    </row>
    <row r="21">
      <c r="A21" s="13" t="s">
        <v>230</v>
      </c>
      <c r="B21" s="103">
        <v>1.88</v>
      </c>
      <c r="C21" s="103">
        <v>1.88</v>
      </c>
      <c r="D21" s="103">
        <v>0.0</v>
      </c>
      <c r="E21" s="103">
        <v>0.0</v>
      </c>
      <c r="F21" s="103">
        <v>0.0</v>
      </c>
      <c r="G21" s="103">
        <v>0.0</v>
      </c>
      <c r="H21" s="105"/>
      <c r="I21" s="106"/>
    </row>
    <row r="22">
      <c r="A22" s="17"/>
      <c r="B22" s="13"/>
      <c r="C22" s="13"/>
      <c r="D22" s="13"/>
      <c r="E22" s="13"/>
      <c r="F22" s="13"/>
      <c r="G22" s="13"/>
      <c r="H22" s="105"/>
      <c r="I22" s="106"/>
    </row>
    <row r="23">
      <c r="A23" s="13" t="s">
        <v>231</v>
      </c>
      <c r="B23" s="118">
        <v>0.35</v>
      </c>
      <c r="C23" s="118">
        <v>0.35</v>
      </c>
      <c r="D23" s="118">
        <v>0.35</v>
      </c>
      <c r="E23" s="118">
        <v>0.3</v>
      </c>
      <c r="F23" s="118">
        <v>0.3</v>
      </c>
      <c r="G23" s="119">
        <v>0.3</v>
      </c>
      <c r="H23" s="105"/>
      <c r="I23" s="112"/>
    </row>
    <row r="24">
      <c r="A24" s="1" t="s">
        <v>233</v>
      </c>
      <c r="B24" s="118">
        <v>0.3</v>
      </c>
      <c r="C24" s="118">
        <v>0.3</v>
      </c>
      <c r="D24" s="118">
        <v>0.3</v>
      </c>
      <c r="E24" s="119">
        <v>0.3</v>
      </c>
      <c r="F24" s="119">
        <v>0.3</v>
      </c>
      <c r="G24" s="119">
        <v>0.3</v>
      </c>
      <c r="H24" s="105"/>
      <c r="I24" s="106"/>
    </row>
    <row r="25">
      <c r="B25" s="13"/>
      <c r="C25" s="13"/>
      <c r="D25" s="13"/>
      <c r="E25" s="13"/>
      <c r="F25" s="13"/>
      <c r="G25" s="13"/>
      <c r="H25" s="105"/>
      <c r="I25" s="106"/>
    </row>
    <row r="26">
      <c r="A26" s="102" t="s">
        <v>235</v>
      </c>
      <c r="B26" s="103">
        <f t="shared" ref="B26:G26" si="4">sum(B13:B17)*B32</f>
        <v>0</v>
      </c>
      <c r="C26" s="103">
        <f t="shared" si="4"/>
        <v>0</v>
      </c>
      <c r="D26" s="103">
        <f t="shared" si="4"/>
        <v>0.2495425</v>
      </c>
      <c r="E26" s="103">
        <f t="shared" si="4"/>
        <v>0.167518</v>
      </c>
      <c r="F26" s="103">
        <f t="shared" si="4"/>
        <v>0.036244</v>
      </c>
      <c r="G26" s="103">
        <f t="shared" si="4"/>
        <v>0.20667036</v>
      </c>
      <c r="H26" s="124"/>
      <c r="I26" s="116"/>
    </row>
    <row r="27">
      <c r="A27" s="102" t="s">
        <v>237</v>
      </c>
      <c r="B27" s="103">
        <f t="shared" ref="B27:G27" si="5">sum(B13:B17)*B33</f>
        <v>5.289976125</v>
      </c>
      <c r="C27" s="103">
        <f t="shared" si="5"/>
        <v>6.005813625</v>
      </c>
      <c r="D27" s="103">
        <f t="shared" si="5"/>
        <v>2.495425</v>
      </c>
      <c r="E27" s="103">
        <f t="shared" si="5"/>
        <v>0.369525</v>
      </c>
      <c r="F27" s="103">
        <f t="shared" si="5"/>
        <v>0.07995</v>
      </c>
      <c r="G27" s="103">
        <f t="shared" si="5"/>
        <v>0.4558905</v>
      </c>
      <c r="H27" s="105"/>
      <c r="I27" s="127"/>
    </row>
    <row r="28">
      <c r="A28" s="102" t="s">
        <v>133</v>
      </c>
      <c r="B28" s="103">
        <f t="shared" ref="B28:G28" si="6">SUM($B$13:$B$17)*B34</f>
        <v>0.08816626875</v>
      </c>
      <c r="C28" s="103">
        <f t="shared" si="6"/>
        <v>0.08816626875</v>
      </c>
      <c r="D28" s="103">
        <f t="shared" si="6"/>
        <v>0.08816626875</v>
      </c>
      <c r="E28" s="103">
        <f t="shared" si="6"/>
        <v>0.08816626875</v>
      </c>
      <c r="F28" s="103">
        <f t="shared" si="6"/>
        <v>0.08816626875</v>
      </c>
      <c r="G28" s="103">
        <f t="shared" si="6"/>
        <v>0.08816626875</v>
      </c>
    </row>
    <row r="29">
      <c r="A29" s="102" t="s">
        <v>135</v>
      </c>
      <c r="B29" s="103">
        <f t="shared" ref="B29:G29" si="7">SUM($B$13:$B$17)*B35</f>
        <v>0.244326364</v>
      </c>
      <c r="C29" s="103">
        <f t="shared" si="7"/>
        <v>0.244326364</v>
      </c>
      <c r="D29" s="103">
        <f t="shared" si="7"/>
        <v>0.244326364</v>
      </c>
      <c r="E29" s="103">
        <f t="shared" si="7"/>
        <v>0.244326364</v>
      </c>
      <c r="F29" s="103">
        <f t="shared" si="7"/>
        <v>0.244326364</v>
      </c>
      <c r="G29" s="103">
        <f t="shared" si="7"/>
        <v>0.244326364</v>
      </c>
    </row>
    <row r="30">
      <c r="A30" s="113" t="s">
        <v>239</v>
      </c>
      <c r="B30" s="114">
        <f t="shared" ref="B30:G30" si="8">SUM(B26:B29)</f>
        <v>5.622468758</v>
      </c>
      <c r="C30" s="114">
        <f t="shared" si="8"/>
        <v>6.338306258</v>
      </c>
      <c r="D30" s="114">
        <f t="shared" si="8"/>
        <v>3.077460133</v>
      </c>
      <c r="E30" s="114">
        <f t="shared" si="8"/>
        <v>0.8695356327</v>
      </c>
      <c r="F30" s="114">
        <f t="shared" si="8"/>
        <v>0.4486866327</v>
      </c>
      <c r="G30" s="114">
        <f t="shared" si="8"/>
        <v>0.9950534927</v>
      </c>
    </row>
    <row r="31">
      <c r="B31" s="13"/>
      <c r="C31" s="13"/>
      <c r="D31" s="13"/>
      <c r="E31" s="13"/>
      <c r="F31" s="13"/>
      <c r="G31" s="13"/>
    </row>
    <row r="32">
      <c r="A32" s="89" t="s">
        <v>241</v>
      </c>
      <c r="B32" s="118">
        <v>0.0</v>
      </c>
      <c r="C32" s="118">
        <v>0.0</v>
      </c>
      <c r="D32" s="118">
        <v>0.025</v>
      </c>
      <c r="E32" s="118">
        <v>0.034</v>
      </c>
      <c r="F32" s="118">
        <v>0.034</v>
      </c>
      <c r="G32" s="118">
        <v>0.034</v>
      </c>
    </row>
    <row r="33">
      <c r="A33" s="89" t="s">
        <v>243</v>
      </c>
      <c r="B33" s="118">
        <v>0.075</v>
      </c>
      <c r="C33" s="118">
        <v>0.075</v>
      </c>
      <c r="D33" s="118">
        <v>0.25</v>
      </c>
      <c r="E33" s="118">
        <v>0.075</v>
      </c>
      <c r="F33" s="118">
        <v>0.075</v>
      </c>
      <c r="G33" s="118">
        <v>0.075</v>
      </c>
    </row>
    <row r="34">
      <c r="A34" s="1" t="s">
        <v>244</v>
      </c>
      <c r="B34" s="128">
        <v>0.00125</v>
      </c>
      <c r="C34" s="128">
        <v>0.00125</v>
      </c>
      <c r="D34" s="128">
        <v>0.00125</v>
      </c>
      <c r="E34" s="128">
        <v>0.00125</v>
      </c>
      <c r="F34" s="128">
        <v>0.00125</v>
      </c>
      <c r="G34" s="128">
        <v>0.00125</v>
      </c>
    </row>
    <row r="35">
      <c r="A35" s="1" t="s">
        <v>246</v>
      </c>
      <c r="B35" s="131">
        <v>0.003464</v>
      </c>
      <c r="C35" s="131">
        <v>0.003464</v>
      </c>
      <c r="D35" s="131">
        <v>0.003464</v>
      </c>
      <c r="E35" s="131">
        <v>0.003464</v>
      </c>
      <c r="F35" s="131">
        <v>0.003464</v>
      </c>
      <c r="G35" s="131">
        <v>0.003464</v>
      </c>
    </row>
    <row r="36">
      <c r="B36" s="13"/>
      <c r="C36" s="13"/>
      <c r="D36" s="13"/>
      <c r="E36" s="13"/>
      <c r="F36" s="13"/>
      <c r="G36" s="13"/>
    </row>
    <row r="37">
      <c r="A37" s="132" t="s">
        <v>247</v>
      </c>
      <c r="B37" s="133">
        <f t="shared" ref="B37:G37" si="9">B18+B20+B21+B30</f>
        <v>88.03548376</v>
      </c>
      <c r="C37" s="133">
        <f t="shared" si="9"/>
        <v>98.29582126</v>
      </c>
      <c r="D37" s="133">
        <f t="shared" si="9"/>
        <v>13.05916013</v>
      </c>
      <c r="E37" s="133">
        <f t="shared" si="9"/>
        <v>5.796535633</v>
      </c>
      <c r="F37" s="133">
        <f t="shared" si="9"/>
        <v>1.514686633</v>
      </c>
      <c r="G37" s="133">
        <f t="shared" si="9"/>
        <v>7.073593493</v>
      </c>
    </row>
    <row r="40">
      <c r="C40" s="34"/>
      <c r="F40" s="47"/>
    </row>
    <row r="41">
      <c r="A41" s="95" t="s">
        <v>103</v>
      </c>
    </row>
    <row r="42">
      <c r="A42" s="97" t="s">
        <v>31</v>
      </c>
    </row>
    <row r="43">
      <c r="A43" s="98" t="s">
        <v>209</v>
      </c>
      <c r="B43" s="13" t="s">
        <v>248</v>
      </c>
      <c r="C43" s="13" t="s">
        <v>248</v>
      </c>
      <c r="D43" s="13" t="s">
        <v>248</v>
      </c>
      <c r="E43" s="13" t="s">
        <v>248</v>
      </c>
      <c r="F43" s="13" t="s">
        <v>248</v>
      </c>
      <c r="G43" s="13" t="s">
        <v>248</v>
      </c>
    </row>
    <row r="44">
      <c r="A44" s="98" t="s">
        <v>212</v>
      </c>
      <c r="B44" s="13" t="s">
        <v>213</v>
      </c>
      <c r="C44" s="13" t="s">
        <v>213</v>
      </c>
      <c r="D44" s="13" t="s">
        <v>213</v>
      </c>
      <c r="E44" s="13" t="s">
        <v>213</v>
      </c>
      <c r="F44" s="13" t="s">
        <v>213</v>
      </c>
      <c r="G44" s="13" t="s">
        <v>213</v>
      </c>
    </row>
    <row r="45">
      <c r="A45" s="98" t="s">
        <v>216</v>
      </c>
      <c r="B45" s="13" t="s">
        <v>217</v>
      </c>
      <c r="C45" s="13" t="s">
        <v>217</v>
      </c>
      <c r="D45" s="13" t="s">
        <v>217</v>
      </c>
      <c r="E45" s="13" t="s">
        <v>217</v>
      </c>
      <c r="F45" s="13" t="s">
        <v>217</v>
      </c>
      <c r="G45" s="13" t="s">
        <v>217</v>
      </c>
    </row>
    <row r="46">
      <c r="A46" s="98" t="s">
        <v>218</v>
      </c>
      <c r="B46" s="101"/>
      <c r="C46" s="101"/>
      <c r="D46" s="101"/>
      <c r="E46" s="101"/>
      <c r="F46" s="101"/>
      <c r="G46" s="101"/>
    </row>
    <row r="47">
      <c r="A47" s="98" t="s">
        <v>219</v>
      </c>
      <c r="B47" s="101"/>
      <c r="C47" s="101"/>
      <c r="D47" s="101"/>
      <c r="E47" s="101"/>
      <c r="F47" s="101"/>
      <c r="G47" s="101"/>
    </row>
    <row r="49">
      <c r="A49" s="102" t="s">
        <v>251</v>
      </c>
      <c r="B49" s="134">
        <v>22.88</v>
      </c>
      <c r="C49" s="134">
        <v>22.88</v>
      </c>
      <c r="D49" s="134">
        <v>3.06</v>
      </c>
      <c r="E49" s="134">
        <v>4.88</v>
      </c>
      <c r="F49" s="134">
        <v>0.75</v>
      </c>
      <c r="G49" s="134">
        <v>2.55</v>
      </c>
    </row>
    <row r="50">
      <c r="A50" s="102" t="s">
        <v>252</v>
      </c>
      <c r="B50" s="134">
        <v>10.56</v>
      </c>
      <c r="C50" s="134">
        <v>10.56</v>
      </c>
      <c r="D50" s="134">
        <v>1.31</v>
      </c>
      <c r="E50" s="136">
        <v>2.09</v>
      </c>
      <c r="F50" s="136">
        <v>0.32</v>
      </c>
      <c r="G50" s="136">
        <v>0.97</v>
      </c>
    </row>
    <row r="51">
      <c r="A51" s="102" t="s">
        <v>253</v>
      </c>
      <c r="B51" s="134">
        <v>2.65</v>
      </c>
      <c r="C51" s="134">
        <v>2.65</v>
      </c>
      <c r="D51" s="134">
        <v>0.39</v>
      </c>
      <c r="E51" s="134">
        <v>0.58</v>
      </c>
      <c r="F51" s="134">
        <v>0.1</v>
      </c>
      <c r="G51" s="134">
        <v>0.35</v>
      </c>
    </row>
    <row r="52">
      <c r="A52" s="113" t="s">
        <v>254</v>
      </c>
      <c r="B52" s="114">
        <f t="shared" ref="B52:G52" si="10">(B49*B54)+(B50*B55)+(B56*B51)</f>
        <v>11.442</v>
      </c>
      <c r="C52" s="114">
        <f t="shared" si="10"/>
        <v>11.442</v>
      </c>
      <c r="D52" s="114">
        <f t="shared" si="10"/>
        <v>1.476</v>
      </c>
      <c r="E52" s="114">
        <f t="shared" si="10"/>
        <v>2.346</v>
      </c>
      <c r="F52" s="114">
        <f t="shared" si="10"/>
        <v>0.362</v>
      </c>
      <c r="G52" s="114">
        <f t="shared" si="10"/>
        <v>1.162</v>
      </c>
    </row>
    <row r="53">
      <c r="A53" s="17"/>
      <c r="B53" s="13"/>
      <c r="C53" s="13"/>
      <c r="D53" s="13"/>
      <c r="E53" s="13"/>
      <c r="F53" s="13"/>
      <c r="G53" s="13"/>
    </row>
    <row r="54">
      <c r="A54" s="13" t="s">
        <v>255</v>
      </c>
      <c r="B54" s="119">
        <v>0.2</v>
      </c>
      <c r="C54" s="119">
        <v>0.2</v>
      </c>
      <c r="D54" s="119">
        <v>0.2</v>
      </c>
      <c r="E54" s="119">
        <v>0.2</v>
      </c>
      <c r="F54" s="119">
        <v>0.2</v>
      </c>
      <c r="G54" s="119">
        <v>0.2</v>
      </c>
    </row>
    <row r="55">
      <c r="A55" s="1" t="s">
        <v>256</v>
      </c>
      <c r="B55" s="119">
        <v>0.6</v>
      </c>
      <c r="C55" s="119">
        <v>0.6</v>
      </c>
      <c r="D55" s="119">
        <v>0.6</v>
      </c>
      <c r="E55" s="119">
        <v>0.6</v>
      </c>
      <c r="F55" s="119">
        <v>0.6</v>
      </c>
      <c r="G55" s="119">
        <v>0.6</v>
      </c>
    </row>
    <row r="56">
      <c r="A56" s="44" t="s">
        <v>257</v>
      </c>
      <c r="B56" s="137">
        <v>0.2</v>
      </c>
      <c r="C56" s="137">
        <v>0.2</v>
      </c>
      <c r="D56" s="137">
        <v>0.2</v>
      </c>
      <c r="E56" s="137">
        <v>0.2</v>
      </c>
      <c r="F56" s="137">
        <v>0.2</v>
      </c>
      <c r="G56" s="137">
        <v>0.2</v>
      </c>
    </row>
    <row r="57">
      <c r="B57" s="38">
        <f t="shared" ref="B57:G57" si="11">SUM(B54:B56)</f>
        <v>1</v>
      </c>
      <c r="C57" s="38">
        <f t="shared" si="11"/>
        <v>1</v>
      </c>
      <c r="D57" s="38">
        <f t="shared" si="11"/>
        <v>1</v>
      </c>
      <c r="E57" s="38">
        <f t="shared" si="11"/>
        <v>1</v>
      </c>
      <c r="F57" s="38">
        <f t="shared" si="11"/>
        <v>1</v>
      </c>
      <c r="G57" s="38">
        <f t="shared" si="11"/>
        <v>1</v>
      </c>
    </row>
    <row r="59">
      <c r="A59" s="132" t="s">
        <v>247</v>
      </c>
      <c r="B59" s="133">
        <f t="shared" ref="B59:G59" si="12">B37+B52</f>
        <v>99.47748376</v>
      </c>
      <c r="C59" s="133">
        <f t="shared" si="12"/>
        <v>109.7378213</v>
      </c>
      <c r="D59" s="133">
        <f t="shared" si="12"/>
        <v>14.53516013</v>
      </c>
      <c r="E59" s="133">
        <f t="shared" si="12"/>
        <v>8.142535633</v>
      </c>
      <c r="F59" s="133">
        <f t="shared" si="12"/>
        <v>1.876686633</v>
      </c>
      <c r="G59" s="133">
        <f t="shared" si="12"/>
        <v>8.235593493</v>
      </c>
    </row>
    <row r="63">
      <c r="A63" s="95" t="s">
        <v>105</v>
      </c>
    </row>
    <row r="64">
      <c r="A64" s="97" t="s">
        <v>31</v>
      </c>
    </row>
    <row r="65">
      <c r="A65" s="98" t="s">
        <v>209</v>
      </c>
      <c r="B65" s="13" t="s">
        <v>259</v>
      </c>
      <c r="C65" s="13" t="s">
        <v>259</v>
      </c>
      <c r="D65" s="13" t="s">
        <v>259</v>
      </c>
      <c r="E65" s="13" t="s">
        <v>259</v>
      </c>
      <c r="F65" s="13" t="s">
        <v>259</v>
      </c>
      <c r="G65" s="13" t="s">
        <v>259</v>
      </c>
    </row>
    <row r="66">
      <c r="A66" s="98" t="s">
        <v>212</v>
      </c>
      <c r="B66" s="13" t="s">
        <v>213</v>
      </c>
      <c r="C66" s="13" t="s">
        <v>213</v>
      </c>
      <c r="D66" s="13" t="s">
        <v>213</v>
      </c>
      <c r="E66" s="13" t="s">
        <v>213</v>
      </c>
      <c r="F66" s="13" t="s">
        <v>213</v>
      </c>
      <c r="G66" s="13" t="s">
        <v>213</v>
      </c>
    </row>
    <row r="67">
      <c r="A67" s="98" t="s">
        <v>216</v>
      </c>
      <c r="B67" s="13" t="s">
        <v>217</v>
      </c>
      <c r="C67" s="13" t="s">
        <v>217</v>
      </c>
      <c r="D67" s="13" t="s">
        <v>217</v>
      </c>
      <c r="E67" s="13" t="s">
        <v>217</v>
      </c>
      <c r="F67" s="13" t="s">
        <v>217</v>
      </c>
      <c r="G67" s="13" t="s">
        <v>217</v>
      </c>
    </row>
    <row r="68">
      <c r="A68" s="98" t="s">
        <v>218</v>
      </c>
      <c r="B68" s="101"/>
      <c r="C68" s="101"/>
      <c r="D68" s="101"/>
      <c r="E68" s="101"/>
      <c r="F68" s="101"/>
      <c r="G68" s="101"/>
    </row>
    <row r="69">
      <c r="A69" s="98" t="s">
        <v>219</v>
      </c>
      <c r="B69" s="101"/>
      <c r="C69" s="101"/>
      <c r="D69" s="101"/>
      <c r="E69" s="101"/>
      <c r="F69" s="101"/>
      <c r="G69" s="101"/>
    </row>
    <row r="71">
      <c r="A71" s="102" t="s">
        <v>105</v>
      </c>
      <c r="B71" s="103">
        <v>11.94</v>
      </c>
      <c r="C71" s="103">
        <v>11.94</v>
      </c>
      <c r="D71" s="103">
        <v>6.28</v>
      </c>
      <c r="E71" s="103">
        <v>6.28</v>
      </c>
      <c r="F71" s="103">
        <v>5.78</v>
      </c>
      <c r="G71" s="103">
        <v>6.28</v>
      </c>
    </row>
    <row r="72">
      <c r="A72" s="102" t="s">
        <v>260</v>
      </c>
      <c r="B72" s="102"/>
      <c r="C72" s="102"/>
      <c r="D72" s="102"/>
      <c r="E72" s="102"/>
      <c r="F72" s="102"/>
      <c r="G72" s="102"/>
    </row>
    <row r="73">
      <c r="A73" s="102" t="s">
        <v>261</v>
      </c>
      <c r="B73" s="104">
        <v>1.01</v>
      </c>
      <c r="C73" s="104">
        <v>1.01</v>
      </c>
      <c r="D73" s="104">
        <v>0.6</v>
      </c>
      <c r="E73" s="104">
        <v>0.6</v>
      </c>
      <c r="F73" s="104">
        <v>0.6</v>
      </c>
      <c r="G73" s="104">
        <v>0.6</v>
      </c>
    </row>
    <row r="74">
      <c r="A74" s="102" t="s">
        <v>262</v>
      </c>
      <c r="B74" s="104">
        <v>0.3</v>
      </c>
      <c r="C74" s="104">
        <v>0.3</v>
      </c>
      <c r="D74" s="104">
        <v>0.3</v>
      </c>
      <c r="E74" s="104">
        <v>0.3</v>
      </c>
      <c r="F74" s="104">
        <v>0.3</v>
      </c>
      <c r="G74" s="104">
        <v>0.3</v>
      </c>
    </row>
    <row r="75">
      <c r="A75" s="102" t="s">
        <v>263</v>
      </c>
      <c r="B75" s="36">
        <f t="shared" ref="B75:C75" si="13">25/80</f>
        <v>0.3125</v>
      </c>
      <c r="C75" s="36">
        <f t="shared" si="13"/>
        <v>0.3125</v>
      </c>
      <c r="D75" s="36">
        <f>25/720</f>
        <v>0.03472222222</v>
      </c>
      <c r="E75" s="36">
        <f>25/450</f>
        <v>0.05555555556</v>
      </c>
      <c r="F75" s="36">
        <f>25/2940</f>
        <v>0.008503401361</v>
      </c>
      <c r="G75" s="36">
        <f>25/640</f>
        <v>0.0390625</v>
      </c>
      <c r="H75" s="139"/>
      <c r="I75" s="139"/>
      <c r="J75" s="139"/>
      <c r="K75" s="139"/>
      <c r="L75" s="139"/>
      <c r="M75" s="139"/>
      <c r="N75" s="139"/>
      <c r="O75" s="139"/>
      <c r="P75" s="139"/>
      <c r="Q75" s="139"/>
      <c r="R75" s="139"/>
      <c r="S75" s="139"/>
      <c r="T75" s="139"/>
      <c r="U75" s="139"/>
    </row>
    <row r="76">
      <c r="A76" s="102" t="s">
        <v>265</v>
      </c>
      <c r="B76" s="140">
        <v>0.0</v>
      </c>
      <c r="C76" s="140">
        <v>0.0</v>
      </c>
      <c r="D76" s="140">
        <v>1.2</v>
      </c>
      <c r="E76" s="140">
        <v>1.2</v>
      </c>
      <c r="F76" s="140">
        <v>1.2</v>
      </c>
      <c r="G76" s="140">
        <v>1.2</v>
      </c>
    </row>
    <row r="77">
      <c r="A77" s="102" t="s">
        <v>266</v>
      </c>
      <c r="B77" s="140">
        <v>1.3</v>
      </c>
      <c r="C77" s="140">
        <v>1.3</v>
      </c>
      <c r="D77" s="140">
        <v>0.0</v>
      </c>
      <c r="E77" s="140">
        <v>0.0</v>
      </c>
      <c r="F77" s="140">
        <v>0.0</v>
      </c>
      <c r="G77" s="140">
        <v>0.0</v>
      </c>
    </row>
    <row r="78">
      <c r="A78" s="102" t="s">
        <v>267</v>
      </c>
      <c r="B78" s="102"/>
      <c r="C78" s="102"/>
      <c r="D78" s="102"/>
      <c r="E78" s="102"/>
      <c r="F78" s="102"/>
      <c r="G78" s="102"/>
    </row>
    <row r="79">
      <c r="A79" s="102" t="s">
        <v>59</v>
      </c>
      <c r="B79" s="104">
        <v>0.3</v>
      </c>
      <c r="C79" s="104">
        <v>0.3</v>
      </c>
      <c r="D79" s="140">
        <v>0.0</v>
      </c>
      <c r="E79" s="140">
        <v>0.0</v>
      </c>
      <c r="F79" s="140">
        <v>0.0</v>
      </c>
      <c r="G79" s="140">
        <v>0.0</v>
      </c>
    </row>
    <row r="80">
      <c r="A80" s="102" t="s">
        <v>268</v>
      </c>
      <c r="B80" s="14">
        <v>0.31</v>
      </c>
      <c r="C80" s="14">
        <v>0.31</v>
      </c>
      <c r="D80" s="14">
        <v>0.31</v>
      </c>
      <c r="E80" s="14">
        <v>0.31</v>
      </c>
      <c r="F80" s="14">
        <v>0.31</v>
      </c>
      <c r="G80" s="14">
        <v>0.31</v>
      </c>
    </row>
    <row r="81">
      <c r="A81" s="113" t="s">
        <v>269</v>
      </c>
      <c r="B81" s="114">
        <f t="shared" ref="B81:G81" si="14">SUM(B71:B80)</f>
        <v>15.4725</v>
      </c>
      <c r="C81" s="114">
        <f t="shared" si="14"/>
        <v>15.4725</v>
      </c>
      <c r="D81" s="114">
        <f t="shared" si="14"/>
        <v>8.724722222</v>
      </c>
      <c r="E81" s="114">
        <f t="shared" si="14"/>
        <v>8.745555556</v>
      </c>
      <c r="F81" s="114">
        <f t="shared" si="14"/>
        <v>8.198503401</v>
      </c>
      <c r="G81" s="114">
        <f t="shared" si="14"/>
        <v>8.7290625</v>
      </c>
    </row>
    <row r="83">
      <c r="A83" s="132" t="s">
        <v>247</v>
      </c>
      <c r="B83" s="133">
        <f t="shared" ref="B83:G83" si="15">B59+B81</f>
        <v>114.9499838</v>
      </c>
      <c r="C83" s="133">
        <f t="shared" si="15"/>
        <v>125.2103213</v>
      </c>
      <c r="D83" s="133">
        <f t="shared" si="15"/>
        <v>23.25988235</v>
      </c>
      <c r="E83" s="133">
        <f t="shared" si="15"/>
        <v>16.88809119</v>
      </c>
      <c r="F83" s="133">
        <f t="shared" si="15"/>
        <v>10.07519003</v>
      </c>
      <c r="G83" s="133">
        <f t="shared" si="15"/>
        <v>16.96465599</v>
      </c>
    </row>
    <row r="86">
      <c r="B86" s="1" t="s">
        <v>270</v>
      </c>
      <c r="D86" s="1" t="s">
        <v>271</v>
      </c>
      <c r="E86" s="1" t="s">
        <v>272</v>
      </c>
      <c r="F86" s="1" t="s">
        <v>273</v>
      </c>
      <c r="G86" s="1" t="s">
        <v>274</v>
      </c>
    </row>
    <row r="87">
      <c r="A87" s="17"/>
      <c r="B87" s="13"/>
      <c r="C87" s="13"/>
      <c r="D87" s="13"/>
      <c r="E87" s="13"/>
      <c r="F87" s="13"/>
      <c r="G87" s="13"/>
    </row>
    <row r="88">
      <c r="B88" s="36"/>
      <c r="D88" s="36"/>
      <c r="E88" s="36"/>
      <c r="F88" s="36"/>
      <c r="G88" s="36"/>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91" t="s">
        <v>277</v>
      </c>
    </row>
    <row r="2">
      <c r="A2" s="92" t="s">
        <v>195</v>
      </c>
      <c r="B2" s="92" t="s">
        <v>55</v>
      </c>
      <c r="C2" s="92" t="s">
        <v>57</v>
      </c>
      <c r="D2" s="92" t="s">
        <v>113</v>
      </c>
      <c r="E2" s="92" t="s">
        <v>62</v>
      </c>
      <c r="F2" s="92" t="s">
        <v>78</v>
      </c>
      <c r="G2" s="92" t="s">
        <v>79</v>
      </c>
      <c r="H2" s="1" t="s">
        <v>196</v>
      </c>
      <c r="I2" s="1" t="s">
        <v>197</v>
      </c>
      <c r="J2" s="1" t="s">
        <v>198</v>
      </c>
    </row>
    <row r="3">
      <c r="A3" s="93" t="s">
        <v>199</v>
      </c>
      <c r="B3" s="93" t="s">
        <v>200</v>
      </c>
      <c r="C3" s="93" t="s">
        <v>200</v>
      </c>
      <c r="D3" s="93" t="s">
        <v>202</v>
      </c>
      <c r="E3" s="93" t="s">
        <v>202</v>
      </c>
      <c r="F3" s="93" t="s">
        <v>202</v>
      </c>
      <c r="G3" s="93" t="s">
        <v>202</v>
      </c>
    </row>
    <row r="5">
      <c r="A5" s="95" t="s">
        <v>27</v>
      </c>
    </row>
    <row r="6">
      <c r="A6" s="97" t="s">
        <v>31</v>
      </c>
    </row>
    <row r="7">
      <c r="A7" s="98" t="s">
        <v>209</v>
      </c>
      <c r="B7" s="13" t="s">
        <v>211</v>
      </c>
      <c r="C7" s="13" t="s">
        <v>211</v>
      </c>
      <c r="D7" s="13" t="s">
        <v>211</v>
      </c>
      <c r="E7" s="13" t="s">
        <v>211</v>
      </c>
      <c r="F7" s="13" t="s">
        <v>211</v>
      </c>
      <c r="G7" s="13" t="s">
        <v>211</v>
      </c>
    </row>
    <row r="8">
      <c r="A8" s="98" t="s">
        <v>212</v>
      </c>
      <c r="B8" s="13" t="s">
        <v>213</v>
      </c>
      <c r="C8" s="13" t="s">
        <v>213</v>
      </c>
      <c r="D8" s="13" t="s">
        <v>213</v>
      </c>
      <c r="E8" s="13" t="s">
        <v>213</v>
      </c>
      <c r="F8" s="13" t="s">
        <v>213</v>
      </c>
      <c r="G8" s="13" t="s">
        <v>213</v>
      </c>
    </row>
    <row r="9">
      <c r="A9" s="98" t="s">
        <v>216</v>
      </c>
      <c r="B9" s="13" t="s">
        <v>217</v>
      </c>
      <c r="C9" s="13" t="s">
        <v>217</v>
      </c>
      <c r="D9" s="13" t="s">
        <v>217</v>
      </c>
      <c r="E9" s="13" t="s">
        <v>217</v>
      </c>
      <c r="F9" s="13" t="s">
        <v>217</v>
      </c>
      <c r="G9" s="13" t="s">
        <v>217</v>
      </c>
    </row>
    <row r="10">
      <c r="A10" s="98" t="s">
        <v>218</v>
      </c>
      <c r="B10" s="100">
        <v>150000.0</v>
      </c>
      <c r="C10" s="100">
        <v>150000.0</v>
      </c>
      <c r="D10" s="101"/>
      <c r="E10" s="101"/>
      <c r="F10" s="101"/>
      <c r="G10" s="101"/>
    </row>
    <row r="11">
      <c r="A11" s="98" t="s">
        <v>219</v>
      </c>
      <c r="B11" s="13" t="s">
        <v>220</v>
      </c>
      <c r="C11" s="13" t="s">
        <v>220</v>
      </c>
      <c r="D11" s="101"/>
      <c r="E11" s="101"/>
      <c r="F11" s="101"/>
      <c r="G11" s="101"/>
    </row>
    <row r="12">
      <c r="B12" s="13"/>
      <c r="C12" s="13"/>
      <c r="D12" s="13"/>
      <c r="E12" s="13"/>
      <c r="F12" s="13"/>
      <c r="G12" s="13"/>
    </row>
    <row r="13">
      <c r="A13" s="102" t="s">
        <v>222</v>
      </c>
      <c r="B13" s="103">
        <v>6.1433</v>
      </c>
      <c r="C13" s="103">
        <v>6.1433</v>
      </c>
      <c r="D13" s="104">
        <v>0.0</v>
      </c>
      <c r="E13" s="104">
        <v>0.0</v>
      </c>
      <c r="F13" s="104">
        <v>0.0</v>
      </c>
      <c r="G13" s="104">
        <v>0.0</v>
      </c>
      <c r="H13" s="105"/>
      <c r="I13" s="106"/>
    </row>
    <row r="14">
      <c r="A14" s="102" t="s">
        <v>223</v>
      </c>
      <c r="B14" s="103">
        <v>38.23</v>
      </c>
      <c r="C14" s="103">
        <v>45.3</v>
      </c>
      <c r="D14" s="107">
        <v>6.87</v>
      </c>
      <c r="E14" s="107">
        <v>3.79</v>
      </c>
      <c r="F14" s="107">
        <v>0.82</v>
      </c>
      <c r="G14" s="108">
        <v>3.8336</v>
      </c>
      <c r="H14" s="105"/>
      <c r="I14" s="106"/>
    </row>
    <row r="15">
      <c r="A15" s="102" t="s">
        <v>224</v>
      </c>
      <c r="B15" s="103">
        <f t="shared" ref="B15:G15" si="1">(B13+B14)*B23</f>
        <v>15.530655</v>
      </c>
      <c r="C15" s="103">
        <f t="shared" si="1"/>
        <v>18.005155</v>
      </c>
      <c r="D15" s="103">
        <f t="shared" si="1"/>
        <v>2.4045</v>
      </c>
      <c r="E15" s="103">
        <f t="shared" si="1"/>
        <v>1.137</v>
      </c>
      <c r="F15" s="103">
        <f t="shared" si="1"/>
        <v>0.246</v>
      </c>
      <c r="G15" s="103">
        <f t="shared" si="1"/>
        <v>1.15008</v>
      </c>
      <c r="H15" s="105"/>
      <c r="I15" s="106"/>
    </row>
    <row r="16">
      <c r="A16" s="102" t="s">
        <v>225</v>
      </c>
      <c r="B16" s="103">
        <v>8.1762</v>
      </c>
      <c r="C16" s="103">
        <v>8.1762</v>
      </c>
      <c r="D16" s="109">
        <v>0.544</v>
      </c>
      <c r="E16" s="110">
        <v>0.0</v>
      </c>
      <c r="F16" s="110">
        <v>0.0</v>
      </c>
      <c r="G16" s="110">
        <v>0.8422</v>
      </c>
      <c r="H16" s="105"/>
      <c r="I16" s="112"/>
    </row>
    <row r="17">
      <c r="A17" s="102" t="s">
        <v>226</v>
      </c>
      <c r="B17" s="103">
        <f t="shared" ref="B17:G17" si="2">B16*B24</f>
        <v>2.45286</v>
      </c>
      <c r="C17" s="103">
        <f t="shared" si="2"/>
        <v>2.45286</v>
      </c>
      <c r="D17" s="103">
        <f t="shared" si="2"/>
        <v>0.1632</v>
      </c>
      <c r="E17" s="103">
        <f t="shared" si="2"/>
        <v>0</v>
      </c>
      <c r="F17" s="103">
        <f t="shared" si="2"/>
        <v>0</v>
      </c>
      <c r="G17" s="103">
        <f t="shared" si="2"/>
        <v>0.25266</v>
      </c>
      <c r="H17" s="105"/>
      <c r="I17" s="106"/>
    </row>
    <row r="18">
      <c r="A18" s="113" t="s">
        <v>227</v>
      </c>
      <c r="B18" s="114">
        <f t="shared" ref="B18:G18" si="3">SUM(B13:B17)</f>
        <v>70.533015</v>
      </c>
      <c r="C18" s="114">
        <f t="shared" si="3"/>
        <v>80.077515</v>
      </c>
      <c r="D18" s="114">
        <f t="shared" si="3"/>
        <v>9.9817</v>
      </c>
      <c r="E18" s="114">
        <f t="shared" si="3"/>
        <v>4.927</v>
      </c>
      <c r="F18" s="114">
        <f t="shared" si="3"/>
        <v>1.066</v>
      </c>
      <c r="G18" s="114">
        <f t="shared" si="3"/>
        <v>6.07854</v>
      </c>
      <c r="H18" s="124"/>
      <c r="I18" s="116"/>
    </row>
    <row r="19">
      <c r="A19" s="17"/>
      <c r="B19" s="13"/>
      <c r="C19" s="13"/>
      <c r="D19" s="13"/>
      <c r="E19" s="13"/>
      <c r="F19" s="13"/>
      <c r="G19" s="13"/>
      <c r="H19" s="105"/>
      <c r="I19" s="106"/>
    </row>
    <row r="20">
      <c r="A20" s="13" t="s">
        <v>229</v>
      </c>
      <c r="B20" s="103">
        <v>10.0</v>
      </c>
      <c r="C20" s="103">
        <v>10.0</v>
      </c>
      <c r="D20" s="103">
        <v>0.0</v>
      </c>
      <c r="E20" s="103">
        <v>0.0</v>
      </c>
      <c r="F20" s="103">
        <v>0.0</v>
      </c>
      <c r="G20" s="103">
        <v>0.0</v>
      </c>
      <c r="H20" s="105"/>
      <c r="I20" s="106"/>
    </row>
    <row r="21">
      <c r="A21" s="13" t="s">
        <v>230</v>
      </c>
      <c r="B21" s="103">
        <v>1.88</v>
      </c>
      <c r="C21" s="103">
        <v>1.88</v>
      </c>
      <c r="D21" s="103">
        <v>0.0</v>
      </c>
      <c r="E21" s="103">
        <v>0.0</v>
      </c>
      <c r="F21" s="103">
        <v>0.0</v>
      </c>
      <c r="G21" s="103">
        <v>0.0</v>
      </c>
      <c r="H21" s="105"/>
      <c r="I21" s="106"/>
    </row>
    <row r="22">
      <c r="A22" s="17"/>
      <c r="B22" s="13"/>
      <c r="C22" s="13"/>
      <c r="D22" s="13"/>
      <c r="E22" s="13"/>
      <c r="F22" s="13"/>
      <c r="G22" s="13"/>
      <c r="H22" s="105"/>
      <c r="I22" s="106"/>
    </row>
    <row r="23">
      <c r="A23" s="13" t="s">
        <v>231</v>
      </c>
      <c r="B23" s="118">
        <v>0.35</v>
      </c>
      <c r="C23" s="118">
        <v>0.35</v>
      </c>
      <c r="D23" s="118">
        <v>0.35</v>
      </c>
      <c r="E23" s="118">
        <v>0.3</v>
      </c>
      <c r="F23" s="118">
        <v>0.3</v>
      </c>
      <c r="G23" s="119">
        <v>0.3</v>
      </c>
      <c r="H23" s="105"/>
      <c r="I23" s="112"/>
    </row>
    <row r="24">
      <c r="A24" s="1" t="s">
        <v>233</v>
      </c>
      <c r="B24" s="118">
        <v>0.3</v>
      </c>
      <c r="C24" s="118">
        <v>0.3</v>
      </c>
      <c r="D24" s="118">
        <v>0.3</v>
      </c>
      <c r="E24" s="119">
        <v>0.3</v>
      </c>
      <c r="F24" s="119">
        <v>0.3</v>
      </c>
      <c r="G24" s="119">
        <v>0.3</v>
      </c>
      <c r="H24" s="105"/>
      <c r="I24" s="106"/>
    </row>
    <row r="25">
      <c r="B25" s="13"/>
      <c r="C25" s="13"/>
      <c r="D25" s="13"/>
      <c r="E25" s="13"/>
      <c r="F25" s="13"/>
      <c r="G25" s="13"/>
      <c r="H25" s="105"/>
      <c r="I25" s="106"/>
    </row>
    <row r="26">
      <c r="A26" s="102" t="s">
        <v>235</v>
      </c>
      <c r="B26" s="103">
        <f t="shared" ref="B26:G26" si="4">sum(B13:B17)*B32</f>
        <v>0</v>
      </c>
      <c r="C26" s="103">
        <f t="shared" si="4"/>
        <v>0</v>
      </c>
      <c r="D26" s="103">
        <f t="shared" si="4"/>
        <v>0.2495425</v>
      </c>
      <c r="E26" s="103">
        <f t="shared" si="4"/>
        <v>0.167518</v>
      </c>
      <c r="F26" s="103">
        <f t="shared" si="4"/>
        <v>0.036244</v>
      </c>
      <c r="G26" s="103">
        <f t="shared" si="4"/>
        <v>0.20667036</v>
      </c>
      <c r="H26" s="124"/>
      <c r="I26" s="116"/>
    </row>
    <row r="27">
      <c r="A27" s="102" t="s">
        <v>237</v>
      </c>
      <c r="B27" s="103">
        <f t="shared" ref="B27:G27" si="5">sum(B13:B17)*B33</f>
        <v>5.289976125</v>
      </c>
      <c r="C27" s="103">
        <f t="shared" si="5"/>
        <v>6.005813625</v>
      </c>
      <c r="D27" s="103">
        <f t="shared" si="5"/>
        <v>2.495425</v>
      </c>
      <c r="E27" s="103">
        <f t="shared" si="5"/>
        <v>0.369525</v>
      </c>
      <c r="F27" s="103">
        <f t="shared" si="5"/>
        <v>0.07995</v>
      </c>
      <c r="G27" s="103">
        <f t="shared" si="5"/>
        <v>0.4558905</v>
      </c>
      <c r="H27" s="105"/>
      <c r="I27" s="127"/>
    </row>
    <row r="28">
      <c r="A28" s="102" t="s">
        <v>133</v>
      </c>
      <c r="B28" s="103">
        <f t="shared" ref="B28:G28" si="6">SUM($B$13:$B$17)*B34</f>
        <v>0.08816626875</v>
      </c>
      <c r="C28" s="103">
        <f t="shared" si="6"/>
        <v>0.08816626875</v>
      </c>
      <c r="D28" s="103">
        <f t="shared" si="6"/>
        <v>0.08816626875</v>
      </c>
      <c r="E28" s="103">
        <f t="shared" si="6"/>
        <v>0.08816626875</v>
      </c>
      <c r="F28" s="103">
        <f t="shared" si="6"/>
        <v>0.08816626875</v>
      </c>
      <c r="G28" s="103">
        <f t="shared" si="6"/>
        <v>0.08816626875</v>
      </c>
    </row>
    <row r="29">
      <c r="A29" s="102" t="s">
        <v>135</v>
      </c>
      <c r="B29" s="103">
        <f t="shared" ref="B29:G29" si="7">SUM($B$13:$B$17)*B35</f>
        <v>0.244326364</v>
      </c>
      <c r="C29" s="103">
        <f t="shared" si="7"/>
        <v>0.244326364</v>
      </c>
      <c r="D29" s="103">
        <f t="shared" si="7"/>
        <v>0.244326364</v>
      </c>
      <c r="E29" s="103">
        <f t="shared" si="7"/>
        <v>0.244326364</v>
      </c>
      <c r="F29" s="103">
        <f t="shared" si="7"/>
        <v>0.244326364</v>
      </c>
      <c r="G29" s="103">
        <f t="shared" si="7"/>
        <v>0.244326364</v>
      </c>
    </row>
    <row r="30">
      <c r="A30" s="113" t="s">
        <v>239</v>
      </c>
      <c r="B30" s="114">
        <f t="shared" ref="B30:G30" si="8">SUM(B26:B29)</f>
        <v>5.622468758</v>
      </c>
      <c r="C30" s="114">
        <f t="shared" si="8"/>
        <v>6.338306258</v>
      </c>
      <c r="D30" s="114">
        <f t="shared" si="8"/>
        <v>3.077460133</v>
      </c>
      <c r="E30" s="114">
        <f t="shared" si="8"/>
        <v>0.8695356327</v>
      </c>
      <c r="F30" s="114">
        <f t="shared" si="8"/>
        <v>0.4486866327</v>
      </c>
      <c r="G30" s="114">
        <f t="shared" si="8"/>
        <v>0.9950534927</v>
      </c>
    </row>
    <row r="31">
      <c r="B31" s="13"/>
      <c r="C31" s="13"/>
      <c r="D31" s="13"/>
      <c r="E31" s="13"/>
      <c r="F31" s="13"/>
      <c r="G31" s="13"/>
    </row>
    <row r="32">
      <c r="A32" s="89" t="s">
        <v>241</v>
      </c>
      <c r="B32" s="118">
        <v>0.0</v>
      </c>
      <c r="C32" s="118">
        <v>0.0</v>
      </c>
      <c r="D32" s="118">
        <v>0.025</v>
      </c>
      <c r="E32" s="118">
        <v>0.034</v>
      </c>
      <c r="F32" s="118">
        <v>0.034</v>
      </c>
      <c r="G32" s="118">
        <v>0.034</v>
      </c>
    </row>
    <row r="33">
      <c r="A33" s="89" t="s">
        <v>243</v>
      </c>
      <c r="B33" s="118">
        <v>0.075</v>
      </c>
      <c r="C33" s="118">
        <v>0.075</v>
      </c>
      <c r="D33" s="118">
        <v>0.25</v>
      </c>
      <c r="E33" s="118">
        <v>0.075</v>
      </c>
      <c r="F33" s="118">
        <v>0.075</v>
      </c>
      <c r="G33" s="118">
        <v>0.075</v>
      </c>
    </row>
    <row r="34">
      <c r="A34" s="1" t="s">
        <v>244</v>
      </c>
      <c r="B34" s="128">
        <v>0.00125</v>
      </c>
      <c r="C34" s="128">
        <v>0.00125</v>
      </c>
      <c r="D34" s="128">
        <v>0.00125</v>
      </c>
      <c r="E34" s="128">
        <v>0.00125</v>
      </c>
      <c r="F34" s="128">
        <v>0.00125</v>
      </c>
      <c r="G34" s="128">
        <v>0.00125</v>
      </c>
    </row>
    <row r="35">
      <c r="A35" s="1" t="s">
        <v>246</v>
      </c>
      <c r="B35" s="131">
        <v>0.003464</v>
      </c>
      <c r="C35" s="131">
        <v>0.003464</v>
      </c>
      <c r="D35" s="131">
        <v>0.003464</v>
      </c>
      <c r="E35" s="131">
        <v>0.003464</v>
      </c>
      <c r="F35" s="131">
        <v>0.003464</v>
      </c>
      <c r="G35" s="131">
        <v>0.003464</v>
      </c>
    </row>
    <row r="36">
      <c r="B36" s="13"/>
      <c r="C36" s="13"/>
      <c r="D36" s="13"/>
      <c r="E36" s="13"/>
      <c r="F36" s="13"/>
      <c r="G36" s="13"/>
    </row>
    <row r="37">
      <c r="A37" s="132" t="s">
        <v>247</v>
      </c>
      <c r="B37" s="133">
        <f t="shared" ref="B37:G37" si="9">B18+B20+B21+B30</f>
        <v>88.03548376</v>
      </c>
      <c r="C37" s="133">
        <f t="shared" si="9"/>
        <v>98.29582126</v>
      </c>
      <c r="D37" s="133">
        <f t="shared" si="9"/>
        <v>13.05916013</v>
      </c>
      <c r="E37" s="133">
        <f t="shared" si="9"/>
        <v>5.796535633</v>
      </c>
      <c r="F37" s="133">
        <f t="shared" si="9"/>
        <v>1.514686633</v>
      </c>
      <c r="G37" s="133">
        <f t="shared" si="9"/>
        <v>7.073593493</v>
      </c>
    </row>
    <row r="40">
      <c r="C40" s="34"/>
      <c r="F40" s="47"/>
    </row>
    <row r="41">
      <c r="A41" s="95" t="s">
        <v>103</v>
      </c>
    </row>
    <row r="42">
      <c r="A42" s="97" t="s">
        <v>31</v>
      </c>
    </row>
    <row r="43">
      <c r="A43" s="98" t="s">
        <v>209</v>
      </c>
      <c r="B43" s="13" t="s">
        <v>248</v>
      </c>
      <c r="C43" s="13" t="s">
        <v>248</v>
      </c>
      <c r="D43" s="13" t="s">
        <v>248</v>
      </c>
      <c r="E43" s="13" t="s">
        <v>248</v>
      </c>
      <c r="F43" s="13" t="s">
        <v>248</v>
      </c>
      <c r="G43" s="13" t="s">
        <v>248</v>
      </c>
    </row>
    <row r="44">
      <c r="A44" s="98" t="s">
        <v>212</v>
      </c>
      <c r="B44" s="13" t="s">
        <v>213</v>
      </c>
      <c r="C44" s="13" t="s">
        <v>213</v>
      </c>
      <c r="D44" s="13" t="s">
        <v>213</v>
      </c>
      <c r="E44" s="13" t="s">
        <v>213</v>
      </c>
      <c r="F44" s="13" t="s">
        <v>213</v>
      </c>
      <c r="G44" s="13" t="s">
        <v>213</v>
      </c>
    </row>
    <row r="45">
      <c r="A45" s="98" t="s">
        <v>216</v>
      </c>
      <c r="B45" s="13" t="s">
        <v>217</v>
      </c>
      <c r="C45" s="13" t="s">
        <v>217</v>
      </c>
      <c r="D45" s="13" t="s">
        <v>217</v>
      </c>
      <c r="E45" s="13" t="s">
        <v>217</v>
      </c>
      <c r="F45" s="13" t="s">
        <v>217</v>
      </c>
      <c r="G45" s="13" t="s">
        <v>217</v>
      </c>
    </row>
    <row r="46">
      <c r="A46" s="98" t="s">
        <v>218</v>
      </c>
      <c r="B46" s="101"/>
      <c r="C46" s="101"/>
      <c r="D46" s="101"/>
      <c r="E46" s="101"/>
      <c r="F46" s="101"/>
      <c r="G46" s="101"/>
    </row>
    <row r="47">
      <c r="A47" s="98" t="s">
        <v>219</v>
      </c>
      <c r="B47" s="101"/>
      <c r="C47" s="101"/>
      <c r="D47" s="101"/>
      <c r="E47" s="101"/>
      <c r="F47" s="101"/>
      <c r="G47" s="101"/>
    </row>
    <row r="49">
      <c r="A49" s="102" t="s">
        <v>251</v>
      </c>
      <c r="B49" s="134">
        <v>22.88</v>
      </c>
      <c r="C49" s="134">
        <v>22.88</v>
      </c>
      <c r="D49" s="134">
        <v>3.06</v>
      </c>
      <c r="E49" s="134">
        <v>4.88</v>
      </c>
      <c r="F49" s="134">
        <v>0.75</v>
      </c>
      <c r="G49" s="134">
        <v>2.55</v>
      </c>
    </row>
    <row r="50">
      <c r="A50" s="102" t="s">
        <v>252</v>
      </c>
      <c r="B50" s="134">
        <v>10.56</v>
      </c>
      <c r="C50" s="134">
        <v>10.56</v>
      </c>
      <c r="D50" s="134">
        <v>1.31</v>
      </c>
      <c r="E50" s="136">
        <v>2.09</v>
      </c>
      <c r="F50" s="136">
        <v>0.32</v>
      </c>
      <c r="G50" s="136">
        <v>0.97</v>
      </c>
    </row>
    <row r="51">
      <c r="A51" s="102" t="s">
        <v>253</v>
      </c>
      <c r="B51" s="134">
        <v>2.65</v>
      </c>
      <c r="C51" s="134">
        <v>2.65</v>
      </c>
      <c r="D51" s="134">
        <v>0.39</v>
      </c>
      <c r="E51" s="134">
        <v>0.58</v>
      </c>
      <c r="F51" s="134">
        <v>0.1</v>
      </c>
      <c r="G51" s="134">
        <v>0.35</v>
      </c>
    </row>
    <row r="52">
      <c r="A52" s="113" t="s">
        <v>254</v>
      </c>
      <c r="B52" s="114">
        <f t="shared" ref="B52:G52" si="10">(B49*B54)+(B50*B55)+(B56*B51)</f>
        <v>11.442</v>
      </c>
      <c r="C52" s="114">
        <f t="shared" si="10"/>
        <v>11.442</v>
      </c>
      <c r="D52" s="114">
        <f t="shared" si="10"/>
        <v>1.476</v>
      </c>
      <c r="E52" s="114">
        <f t="shared" si="10"/>
        <v>2.346</v>
      </c>
      <c r="F52" s="114">
        <f t="shared" si="10"/>
        <v>0.362</v>
      </c>
      <c r="G52" s="114">
        <f t="shared" si="10"/>
        <v>1.162</v>
      </c>
    </row>
    <row r="53">
      <c r="A53" s="17"/>
      <c r="B53" s="13"/>
      <c r="C53" s="13"/>
      <c r="D53" s="13"/>
      <c r="E53" s="13"/>
      <c r="F53" s="13"/>
      <c r="G53" s="13"/>
    </row>
    <row r="54">
      <c r="A54" s="13" t="s">
        <v>255</v>
      </c>
      <c r="B54" s="119">
        <v>0.2</v>
      </c>
      <c r="C54" s="119">
        <v>0.2</v>
      </c>
      <c r="D54" s="119">
        <v>0.2</v>
      </c>
      <c r="E54" s="119">
        <v>0.2</v>
      </c>
      <c r="F54" s="119">
        <v>0.2</v>
      </c>
      <c r="G54" s="119">
        <v>0.2</v>
      </c>
    </row>
    <row r="55">
      <c r="A55" s="1" t="s">
        <v>256</v>
      </c>
      <c r="B55" s="119">
        <v>0.6</v>
      </c>
      <c r="C55" s="119">
        <v>0.6</v>
      </c>
      <c r="D55" s="119">
        <v>0.6</v>
      </c>
      <c r="E55" s="119">
        <v>0.6</v>
      </c>
      <c r="F55" s="119">
        <v>0.6</v>
      </c>
      <c r="G55" s="119">
        <v>0.6</v>
      </c>
    </row>
    <row r="56">
      <c r="A56" s="44" t="s">
        <v>257</v>
      </c>
      <c r="B56" s="137">
        <v>0.2</v>
      </c>
      <c r="C56" s="137">
        <v>0.2</v>
      </c>
      <c r="D56" s="137">
        <v>0.2</v>
      </c>
      <c r="E56" s="137">
        <v>0.2</v>
      </c>
      <c r="F56" s="137">
        <v>0.2</v>
      </c>
      <c r="G56" s="137">
        <v>0.2</v>
      </c>
    </row>
    <row r="57">
      <c r="B57" s="38">
        <f t="shared" ref="B57:G57" si="11">SUM(B54:B56)</f>
        <v>1</v>
      </c>
      <c r="C57" s="38">
        <f t="shared" si="11"/>
        <v>1</v>
      </c>
      <c r="D57" s="38">
        <f t="shared" si="11"/>
        <v>1</v>
      </c>
      <c r="E57" s="38">
        <f t="shared" si="11"/>
        <v>1</v>
      </c>
      <c r="F57" s="38">
        <f t="shared" si="11"/>
        <v>1</v>
      </c>
      <c r="G57" s="38">
        <f t="shared" si="11"/>
        <v>1</v>
      </c>
    </row>
    <row r="59">
      <c r="A59" s="132" t="s">
        <v>247</v>
      </c>
      <c r="B59" s="133">
        <f t="shared" ref="B59:G59" si="12">B37+B52</f>
        <v>99.47748376</v>
      </c>
      <c r="C59" s="133">
        <f t="shared" si="12"/>
        <v>109.7378213</v>
      </c>
      <c r="D59" s="133">
        <f t="shared" si="12"/>
        <v>14.53516013</v>
      </c>
      <c r="E59" s="133">
        <f t="shared" si="12"/>
        <v>8.142535633</v>
      </c>
      <c r="F59" s="133">
        <f t="shared" si="12"/>
        <v>1.876686633</v>
      </c>
      <c r="G59" s="133">
        <f t="shared" si="12"/>
        <v>8.235593493</v>
      </c>
    </row>
    <row r="63">
      <c r="A63" s="95" t="s">
        <v>105</v>
      </c>
    </row>
    <row r="64">
      <c r="A64" s="97" t="s">
        <v>31</v>
      </c>
    </row>
    <row r="65">
      <c r="A65" s="98" t="s">
        <v>209</v>
      </c>
      <c r="B65" s="13" t="s">
        <v>259</v>
      </c>
      <c r="C65" s="13" t="s">
        <v>259</v>
      </c>
      <c r="D65" s="13" t="s">
        <v>259</v>
      </c>
      <c r="E65" s="13" t="s">
        <v>259</v>
      </c>
      <c r="F65" s="13" t="s">
        <v>259</v>
      </c>
      <c r="G65" s="13" t="s">
        <v>259</v>
      </c>
    </row>
    <row r="66">
      <c r="A66" s="98" t="s">
        <v>212</v>
      </c>
      <c r="B66" s="13" t="s">
        <v>213</v>
      </c>
      <c r="C66" s="13" t="s">
        <v>213</v>
      </c>
      <c r="D66" s="13" t="s">
        <v>213</v>
      </c>
      <c r="E66" s="13" t="s">
        <v>213</v>
      </c>
      <c r="F66" s="13" t="s">
        <v>213</v>
      </c>
      <c r="G66" s="13" t="s">
        <v>213</v>
      </c>
    </row>
    <row r="67">
      <c r="A67" s="98" t="s">
        <v>216</v>
      </c>
      <c r="B67" s="13" t="s">
        <v>217</v>
      </c>
      <c r="C67" s="13" t="s">
        <v>217</v>
      </c>
      <c r="D67" s="13" t="s">
        <v>217</v>
      </c>
      <c r="E67" s="13" t="s">
        <v>217</v>
      </c>
      <c r="F67" s="13" t="s">
        <v>217</v>
      </c>
      <c r="G67" s="13" t="s">
        <v>217</v>
      </c>
    </row>
    <row r="68">
      <c r="A68" s="98" t="s">
        <v>218</v>
      </c>
      <c r="B68" s="101"/>
      <c r="C68" s="101"/>
      <c r="D68" s="101"/>
      <c r="E68" s="101"/>
      <c r="F68" s="101"/>
      <c r="G68" s="101"/>
    </row>
    <row r="69">
      <c r="A69" s="98" t="s">
        <v>219</v>
      </c>
      <c r="B69" s="101"/>
      <c r="C69" s="101"/>
      <c r="D69" s="101"/>
      <c r="E69" s="101"/>
      <c r="F69" s="101"/>
      <c r="G69" s="101"/>
    </row>
    <row r="71">
      <c r="A71" s="102" t="s">
        <v>105</v>
      </c>
      <c r="B71" s="103">
        <v>44.0</v>
      </c>
      <c r="C71" s="103">
        <v>44.0</v>
      </c>
      <c r="D71" s="103">
        <v>22.0</v>
      </c>
      <c r="E71" s="103">
        <v>22.0</v>
      </c>
      <c r="F71" s="103">
        <v>22.0</v>
      </c>
      <c r="G71" s="103">
        <v>22.0</v>
      </c>
    </row>
    <row r="72">
      <c r="A72" s="102" t="s">
        <v>260</v>
      </c>
      <c r="B72" s="102"/>
      <c r="C72" s="102"/>
      <c r="D72" s="102"/>
      <c r="E72" s="102"/>
      <c r="F72" s="102"/>
      <c r="G72" s="102"/>
    </row>
    <row r="73">
      <c r="A73" s="102" t="s">
        <v>261</v>
      </c>
      <c r="B73" s="104">
        <v>1.01</v>
      </c>
      <c r="C73" s="104">
        <v>1.01</v>
      </c>
      <c r="D73" s="104">
        <v>0.6</v>
      </c>
      <c r="E73" s="104">
        <v>0.6</v>
      </c>
      <c r="F73" s="104">
        <v>0.6</v>
      </c>
      <c r="G73" s="104">
        <v>0.6</v>
      </c>
    </row>
    <row r="74">
      <c r="A74" s="102" t="s">
        <v>262</v>
      </c>
      <c r="B74" s="104">
        <v>0.35</v>
      </c>
      <c r="C74" s="104">
        <v>0.35</v>
      </c>
      <c r="D74" s="104">
        <v>0.35</v>
      </c>
      <c r="E74" s="104">
        <v>0.35</v>
      </c>
      <c r="F74" s="104">
        <v>0.35</v>
      </c>
      <c r="G74" s="104">
        <v>0.35</v>
      </c>
    </row>
    <row r="75">
      <c r="A75" s="102" t="s">
        <v>263</v>
      </c>
      <c r="B75" s="110">
        <v>0.31</v>
      </c>
      <c r="C75" s="110">
        <v>0.31</v>
      </c>
      <c r="D75" s="110">
        <v>0.03</v>
      </c>
      <c r="E75" s="110">
        <v>0.06</v>
      </c>
      <c r="F75" s="110">
        <v>0.01</v>
      </c>
      <c r="G75" s="110">
        <v>0.04</v>
      </c>
      <c r="H75" s="139"/>
      <c r="I75" s="139"/>
      <c r="J75" s="139"/>
      <c r="K75" s="139"/>
      <c r="L75" s="139"/>
      <c r="M75" s="139"/>
      <c r="N75" s="139"/>
      <c r="O75" s="139"/>
      <c r="P75" s="139"/>
      <c r="Q75" s="139"/>
      <c r="R75" s="139"/>
      <c r="S75" s="139"/>
      <c r="T75" s="139"/>
      <c r="U75" s="139"/>
    </row>
    <row r="76">
      <c r="A76" s="102" t="s">
        <v>265</v>
      </c>
      <c r="B76" s="140">
        <v>0.0</v>
      </c>
      <c r="C76" s="140">
        <v>0.0</v>
      </c>
      <c r="D76" s="140">
        <v>1.2</v>
      </c>
      <c r="E76" s="140">
        <v>1.2</v>
      </c>
      <c r="F76" s="140">
        <v>1.2</v>
      </c>
      <c r="G76" s="140">
        <v>1.2</v>
      </c>
    </row>
    <row r="77">
      <c r="A77" s="102" t="s">
        <v>266</v>
      </c>
      <c r="B77" s="140">
        <v>1.3</v>
      </c>
      <c r="C77" s="140">
        <v>1.3</v>
      </c>
      <c r="D77" s="140">
        <v>0.0</v>
      </c>
      <c r="E77" s="140">
        <v>0.0</v>
      </c>
      <c r="F77" s="140">
        <v>0.0</v>
      </c>
      <c r="G77" s="140">
        <v>0.0</v>
      </c>
    </row>
    <row r="78">
      <c r="A78" s="102" t="s">
        <v>267</v>
      </c>
      <c r="B78" s="102"/>
      <c r="C78" s="102"/>
      <c r="D78" s="102"/>
      <c r="E78" s="102"/>
      <c r="F78" s="102"/>
      <c r="G78" s="102"/>
    </row>
    <row r="79">
      <c r="A79" s="102" t="s">
        <v>59</v>
      </c>
      <c r="B79" s="104">
        <v>0.3</v>
      </c>
      <c r="C79" s="104">
        <v>0.3</v>
      </c>
      <c r="D79" s="140">
        <v>0.0</v>
      </c>
      <c r="E79" s="140">
        <v>0.0</v>
      </c>
      <c r="F79" s="140">
        <v>0.0</v>
      </c>
      <c r="G79" s="140">
        <v>0.0</v>
      </c>
    </row>
    <row r="80">
      <c r="A80" s="102" t="s">
        <v>268</v>
      </c>
      <c r="B80" s="14">
        <v>0.31</v>
      </c>
      <c r="C80" s="14">
        <v>0.31</v>
      </c>
      <c r="D80" s="14">
        <v>0.31</v>
      </c>
      <c r="E80" s="14">
        <v>0.31</v>
      </c>
      <c r="F80" s="14">
        <v>0.31</v>
      </c>
      <c r="G80" s="14">
        <v>0.31</v>
      </c>
    </row>
    <row r="81">
      <c r="A81" s="113" t="s">
        <v>269</v>
      </c>
      <c r="B81" s="114">
        <f t="shared" ref="B81:G81" si="13">SUM(B71:B80)</f>
        <v>47.58</v>
      </c>
      <c r="C81" s="114">
        <f t="shared" si="13"/>
        <v>47.58</v>
      </c>
      <c r="D81" s="114">
        <f t="shared" si="13"/>
        <v>24.49</v>
      </c>
      <c r="E81" s="114">
        <f t="shared" si="13"/>
        <v>24.52</v>
      </c>
      <c r="F81" s="114">
        <f t="shared" si="13"/>
        <v>24.47</v>
      </c>
      <c r="G81" s="114">
        <f t="shared" si="13"/>
        <v>24.5</v>
      </c>
    </row>
    <row r="83">
      <c r="A83" s="132" t="s">
        <v>247</v>
      </c>
      <c r="B83" s="133">
        <f t="shared" ref="B83:G83" si="14">B59+B81</f>
        <v>147.0574838</v>
      </c>
      <c r="C83" s="133">
        <f t="shared" si="14"/>
        <v>157.3178213</v>
      </c>
      <c r="D83" s="133">
        <f t="shared" si="14"/>
        <v>39.02516013</v>
      </c>
      <c r="E83" s="133">
        <f t="shared" si="14"/>
        <v>32.66253563</v>
      </c>
      <c r="F83" s="133">
        <f t="shared" si="14"/>
        <v>26.34668663</v>
      </c>
      <c r="G83" s="133">
        <f t="shared" si="14"/>
        <v>32.73559349</v>
      </c>
    </row>
    <row r="87">
      <c r="A87" s="17"/>
      <c r="B87" s="13"/>
      <c r="C87" s="13" t="s">
        <v>282</v>
      </c>
      <c r="D87" s="13">
        <v>70.0</v>
      </c>
      <c r="E87" s="13">
        <v>24.0</v>
      </c>
      <c r="F87" s="13">
        <v>14.0</v>
      </c>
      <c r="G87" s="13">
        <v>29.0</v>
      </c>
    </row>
    <row r="88">
      <c r="C88" s="1" t="s">
        <v>283</v>
      </c>
      <c r="D88" s="47">
        <v>10.0</v>
      </c>
      <c r="E88" s="47">
        <v>10.0</v>
      </c>
      <c r="F88" s="47">
        <v>10.0</v>
      </c>
      <c r="G88" s="47">
        <v>10.0</v>
      </c>
    </row>
    <row r="89">
      <c r="D89" s="36">
        <f t="shared" ref="D89:G89" si="15">(D87-D83)+D88</f>
        <v>40.97483987</v>
      </c>
      <c r="E89" s="36">
        <f t="shared" si="15"/>
        <v>1.337464367</v>
      </c>
      <c r="F89" s="36">
        <f t="shared" si="15"/>
        <v>-2.346686633</v>
      </c>
      <c r="G89" s="36">
        <f t="shared" si="15"/>
        <v>6.264406507</v>
      </c>
    </row>
    <row r="91">
      <c r="C91" s="1" t="s">
        <v>284</v>
      </c>
      <c r="D91" s="153">
        <f t="shared" ref="D91:G91" si="16">D87*0.13</f>
        <v>9.1</v>
      </c>
      <c r="E91" s="153">
        <f t="shared" si="16"/>
        <v>3.12</v>
      </c>
      <c r="F91" s="153">
        <f t="shared" si="16"/>
        <v>1.82</v>
      </c>
      <c r="G91" s="153">
        <f t="shared" si="16"/>
        <v>3.77</v>
      </c>
    </row>
    <row r="93">
      <c r="C93" s="154" t="s">
        <v>285</v>
      </c>
      <c r="D93" s="36">
        <f t="shared" ref="D93:G93" si="17">D89-D91</f>
        <v>31.87483987</v>
      </c>
      <c r="E93" s="36">
        <f t="shared" si="17"/>
        <v>-1.782535633</v>
      </c>
      <c r="F93" s="36">
        <f t="shared" si="17"/>
        <v>-4.166686633</v>
      </c>
      <c r="G93" s="36">
        <f t="shared" si="17"/>
        <v>2.494406507</v>
      </c>
    </row>
    <row r="97">
      <c r="F97" s="155"/>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